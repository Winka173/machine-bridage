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Bang_danh_noc" sheetId="9" state="visible" r:id="rId9"/>
    <sheet name="Bang_xuyen_qua" sheetId="10" state="visible" r:id="rId10"/>
    <sheet name="Bang_no_lan" sheetId="11" state="visible" r:id="rId11"/>
    <sheet name="He_so_toan_cuc" sheetId="12" state="visible" r:id="rId12"/>
    <sheet name="Khac_che" sheetId="13" state="visible" r:id="rId13"/>
    <sheet name="Phao_sang" sheetId="14" state="visible" r:id="rId14"/>
    <sheet name="Hanh_vi_dan" sheetId="15" state="visible" r:id="rId15"/>
    <sheet name="Hanh_vi_dan_nhom" sheetId="16" state="visible" r:id="rId16"/>
    <sheet name="Drone" sheetId="17" state="visible" r:id="rId17"/>
    <sheet name="Ten_lua_tham_so" sheetId="18" state="visible" r:id="rId18"/>
    <sheet name="Canh_bao_vong" sheetId="19" state="visible" r:id="rId19"/>
    <sheet name="Bom_rai_tham" sheetId="20" state="visible" r:id="rId20"/>
    <sheet name="Vu_khi_suy_ra" sheetId="21" state="visible" r:id="rId21"/>
    <sheet name="Vu_khi_tham_chieu" sheetId="22" state="visible" r:id="rId22"/>
    <sheet name="Vu_khi_so_sanh_that" sheetId="23" state="visible" r:id="rId23"/>
    <sheet name="Xe" sheetId="24" state="visible" r:id="rId24"/>
    <sheet name="Xe_vu_khi" sheetId="25" state="visible" r:id="rId25"/>
    <sheet name="Xe_ten_lua" sheetId="26" state="visible" r:id="rId26"/>
    <sheet name="Xe_bo_phan" sheetId="27" state="visible" r:id="rId27"/>
    <sheet name="The_ho_tro" sheetId="28" state="visible" r:id="rId28"/>
    <sheet name="Ky_nang" sheetId="29" state="visible" r:id="rId29"/>
    <sheet name="Tinh_nhue_luat" sheetId="30" state="visible" r:id="rId30"/>
    <sheet name="Nhanh_xe" sheetId="31" state="visible" r:id="rId31"/>
    <sheet name="Do_ben" sheetId="32" state="visible" r:id="rId32"/>
    <sheet name="Commander" sheetId="33" state="visible" r:id="rId33"/>
    <sheet name="Commander_noi_tai" sheetId="34" state="visible" r:id="rId34"/>
    <sheet name="Commander_gia" sheetId="35" state="visible" r:id="rId35"/>
    <sheet name="Doi_mo_man" sheetId="36" state="visible" r:id="rId36"/>
    <sheet name="Doi_mo_man_vai_tro" sheetId="37" state="visible" r:id="rId37"/>
    <sheet name="Doi_mo_man_luat" sheetId="38" state="visible" r:id="rId38"/>
    <sheet name="Xe_tham_chieu" sheetId="39" state="visible" r:id="rId39"/>
    <sheet name="xe_input_vu_khi" sheetId="40" state="visible" r:id="rId40"/>
    <sheet name="xe_input_vu_khi_suy_ra" sheetId="41" state="visible" r:id="rId41"/>
    <sheet name="xe_input_bang_xuyen_giap" sheetId="42" state="visible" r:id="rId42"/>
    <sheet name="xe_input_bang_danh_noc" sheetId="43" state="visible" r:id="rId43"/>
    <sheet name="xe_input_bang_xuyen_qua" sheetId="44" state="visible" r:id="rId44"/>
    <sheet name="Xe_suy_ra" sheetId="45" state="visible" r:id="rId45"/>
    <sheet name="Hoi_quy_du_lieu" sheetId="46" state="visible" r:id="rId46"/>
    <sheet name="Hoi_quy" sheetId="47" state="visible" r:id="rId47"/>
    <sheet name="May_bay_so_phat" sheetId="48" state="visible" r:id="rId48"/>
    <sheet name="Doi_mo_man_suy_ra" sheetId="49" state="visible" r:id="rId49"/>
    <sheet name="xe_input_kich_thuoc_that" sheetId="50" state="visible" r:id="rId50"/>
    <sheet name="Phuong_tien_tham_chieu" sheetId="51" state="visible" r:id="rId51"/>
    <sheet name="Phuong_tien_so_sanh_that" sheetId="52" state="visible" r:id="rId52"/>
    <sheet name="So_tay_dan" sheetId="53" state="visible" r:id="rId53"/>
    <sheet name="Hang_so_vu_khi" sheetId="54" state="visible" r:id="rId54"/>
    <sheet name="Hang_so_phuong_tien" sheetId="55" state="visible" r:id="rId55"/>
    <sheet name="Bom_vu_khi" sheetId="56" state="visible" r:id="rId56"/>
    <sheet name="Bom_don_vi" sheetId="57" state="visible" r:id="rId57"/>
    <sheet name="Bom_hanh_vi" sheetId="58" state="visible" r:id="rId58"/>
    <sheet name="Bom_canh_bao" sheetId="59" state="visible" r:id="rId59"/>
  </sheets>
  <definedNames>
    <definedName name="_xlnm._FilterDatabase" localSheetId="0" hidden="1">'Vu_khi'!$A$1:$GE$360</definedName>
    <definedName name="_xlnm._FilterDatabase" localSheetId="1" hidden="1">'Vu_khi_he_so_thuong'!$A$1:$J$28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'Dong_vu_khi'!$A$1:$M$66</definedName>
    <definedName name="_xlnm._FilterDatabase" localSheetId="5" hidden="1">'Dan_thay_the'!$A$1:$O$69</definedName>
    <definedName name="_xlnm._FilterDatabase" localSheetId="6" hidden="1">'Bang_sat_thuong'!$A$1:$F$7</definedName>
    <definedName name="_xlnm._FilterDatabase" localSheetId="7" hidden="1">'Bang_xuyen_giap'!$A$1:$E$8</definedName>
    <definedName name="_xlnm._FilterDatabase" localSheetId="8" hidden="1">'Bang_danh_noc'!$A$1:$E$8</definedName>
    <definedName name="_xlnm._FilterDatabase" localSheetId="9" hidden="1">'Bang_xuyen_qua'!$A$1:$E$5</definedName>
    <definedName name="_xlnm._FilterDatabase" localSheetId="10" hidden="1">'Bang_no_lan'!$A$1:$E$10</definedName>
    <definedName name="_xlnm._FilterDatabase" localSheetId="11" hidden="1">'He_so_toan_cuc'!$A$1:$H$5</definedName>
    <definedName name="_xlnm._FilterDatabase" localSheetId="12" hidden="1">'Khac_che'!$A$1:$AD$24</definedName>
    <definedName name="_xlnm._FilterDatabase" localSheetId="13" hidden="1">'Phao_sang'!$A$1:$S$12</definedName>
    <definedName name="_xlnm._FilterDatabase" localSheetId="14" hidden="1">'Hanh_vi_dan'!$A$1:$H$12</definedName>
    <definedName name="_xlnm._FilterDatabase" localSheetId="15" hidden="1">'Hanh_vi_dan_nhom'!$A$1:$L$8</definedName>
    <definedName name="_xlnm._FilterDatabase" localSheetId="16" hidden="1">'Drone'!$A$1:$S$14</definedName>
    <definedName name="_xlnm._FilterDatabase" localSheetId="17" hidden="1">'Ten_lua_tham_so'!$A$1:$U$53</definedName>
    <definedName name="_xlnm._FilterDatabase" localSheetId="18" hidden="1">'Canh_bao_vong'!$A$1:$H$14</definedName>
    <definedName name="_xlnm._FilterDatabase" localSheetId="19" hidden="1">'Bom_rai_tham'!$A$1:$Q$7</definedName>
    <definedName name="_xlnm._FilterDatabase" localSheetId="20" hidden="1">'Vu_khi_suy_ra'!$A$1:$BO$360</definedName>
    <definedName name="_xlnm._FilterDatabase" localSheetId="21" hidden="1">'Vu_khi_tham_chieu'!$A$1:$AG$360</definedName>
    <definedName name="_xlnm._FilterDatabase" localSheetId="22" hidden="1">'Vu_khi_so_sanh_that'!$A$1:$Q$264</definedName>
    <definedName name="_xlnm._FilterDatabase" localSheetId="23" hidden="1">'Xe'!$A$1:$FO$80</definedName>
    <definedName name="_xlnm._FilterDatabase" localSheetId="24" hidden="1">'Xe_vu_khi'!$A$1:$K$77</definedName>
    <definedName name="_xlnm._FilterDatabase" localSheetId="25" hidden="1">'Xe_ten_lua'!$A$1:$H$4</definedName>
    <definedName name="_xlnm._FilterDatabase" localSheetId="26" hidden="1">'Xe_bo_phan'!$A$1:$Q$7</definedName>
    <definedName name="_xlnm._FilterDatabase" localSheetId="27" hidden="1">'The_ho_tro'!$A$1:$AL$26</definedName>
    <definedName name="_xlnm._FilterDatabase" localSheetId="28" hidden="1">'Ky_nang'!$A$1:$O$22</definedName>
    <definedName name="_xlnm._FilterDatabase" localSheetId="29" hidden="1">'Tinh_nhue_luat'!$A$1:$H$21</definedName>
    <definedName name="_xlnm._FilterDatabase" localSheetId="30" hidden="1">'Nhanh_xe'!$A$1:$D$5</definedName>
    <definedName name="_xlnm._FilterDatabase" localSheetId="31" hidden="1">'Do_ben'!$A$1:$H$3</definedName>
    <definedName name="_xlnm._FilterDatabase" localSheetId="32" hidden="1">'Commander'!$A$1:$AF$23</definedName>
    <definedName name="_xlnm._FilterDatabase" localSheetId="33" hidden="1">'Commander_noi_tai'!$A$1:$H$46</definedName>
    <definedName name="_xlnm._FilterDatabase" localSheetId="34" hidden="1">'Commander_gia'!$A$1:$G$6</definedName>
    <definedName name="_xlnm._FilterDatabase" localSheetId="35" hidden="1">'Doi_mo_man'!$A$1:$G$24</definedName>
    <definedName name="_xlnm._FilterDatabase" localSheetId="36" hidden="1">'Doi_mo_man_vai_tro'!$A$1:$G$19</definedName>
    <definedName name="_xlnm._FilterDatabase" localSheetId="37" hidden="1">'Doi_mo_man_luat'!$A$1:$H$4</definedName>
    <definedName name="_xlnm._FilterDatabase" localSheetId="38" hidden="1">'Xe_tham_chieu'!$A$1:$J$7</definedName>
    <definedName name="_xlnm._FilterDatabase" localSheetId="39" hidden="1">'xe_input_vu_khi'!$A$1:$J$66</definedName>
    <definedName name="_xlnm._FilterDatabase" localSheetId="40" hidden="1">'xe_input_vu_khi_suy_ra'!$A$1:$L$66</definedName>
    <definedName name="_xlnm._FilterDatabase" localSheetId="41" hidden="1">'xe_input_bang_xuyen_giap'!$A$1:$D$8</definedName>
    <definedName name="_xlnm._FilterDatabase" localSheetId="42" hidden="1">'xe_input_bang_danh_noc'!$A$1:$D$8</definedName>
    <definedName name="_xlnm._FilterDatabase" localSheetId="43" hidden="1">'xe_input_bang_xuyen_qua'!$A$1:$D$5</definedName>
    <definedName name="_xlnm._FilterDatabase" localSheetId="44" hidden="1">'Xe_suy_ra'!$A$1:$Q$80</definedName>
    <definedName name="_xlnm._FilterDatabase" localSheetId="45" hidden="1">'Hoi_quy_du_lieu'!$A$1:$S$51</definedName>
    <definedName name="_xlnm._FilterDatabase" localSheetId="46" hidden="1">'Hoi_quy'!$A$1:$E$13</definedName>
    <definedName name="_xlnm._FilterDatabase" localSheetId="47" hidden="1">'May_bay_so_phat'!$A$1:$O$15</definedName>
    <definedName name="_xlnm._FilterDatabase" localSheetId="48" hidden="1">'Doi_mo_man_suy_ra'!$A$1:$G$24</definedName>
    <definedName name="_xlnm._FilterDatabase" localSheetId="49" hidden="1">'xe_input_kich_thuoc_that'!$A$1:$I$66</definedName>
    <definedName name="_xlnm._FilterDatabase" localSheetId="50" hidden="1">'Phuong_tien_tham_chieu'!$A$1:$AK$105</definedName>
    <definedName name="_xlnm._FilterDatabase" localSheetId="51" hidden="1">'Phuong_tien_so_sanh_that'!$A$1:$Q$222</definedName>
    <definedName name="_xlnm._FilterDatabase" localSheetId="52" hidden="1">'So_tay_dan'!$A$1:$H$3</definedName>
    <definedName name="_xlnm._FilterDatabase" localSheetId="53" hidden="1">'Hang_so_vu_khi'!$A$1:$K$42</definedName>
    <definedName name="_xlnm._FilterDatabase" localSheetId="54" hidden="1">'Hang_so_phuong_tien'!$A$1:$K$99</definedName>
    <definedName name="_xlnm._FilterDatabase" localSheetId="55" hidden="1">'Bom_vu_khi'!$A$1:$BV$15</definedName>
    <definedName name="_xlnm._FilterDatabase" localSheetId="56" hidden="1">'Bom_don_vi'!$A$1:$S$18</definedName>
    <definedName name="_xlnm._FilterDatabase" localSheetId="57" hidden="1">'Bom_hanh_vi'!$A$1:$G$19</definedName>
    <definedName name="_xlnm._FilterDatabase" localSheetId="58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0" customWidth="1" min="2" max="2"/>
    <col width="31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4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20" customWidth="1" min="119" max="119"/>
    <col width="8" customWidth="1" min="120" max="120"/>
    <col width="18" customWidth="1" min="121" max="121"/>
    <col width="14" customWidth="1" min="122" max="122"/>
    <col width="13" customWidth="1" min="123" max="123"/>
    <col width="24" customWidth="1" min="124" max="124"/>
    <col width="16" customWidth="1" min="125" max="125"/>
    <col width="8" customWidth="1" min="126" max="126"/>
    <col width="8" customWidth="1" min="127" max="127"/>
    <col width="8" customWidth="1" min="128" max="128"/>
    <col width="8" customWidth="1" min="129" max="129"/>
    <col width="13" customWidth="1" min="130" max="130"/>
    <col width="8" customWidth="1" min="131" max="131"/>
    <col width="8" customWidth="1" min="132" max="132"/>
    <col width="8" customWidth="1" min="133" max="133"/>
    <col width="12" customWidth="1" min="134" max="134"/>
    <col width="10" customWidth="1" min="135" max="135"/>
    <col width="10" customWidth="1" min="136" max="136"/>
    <col width="8" customWidth="1" min="137" max="137"/>
    <col width="12" customWidth="1" min="138" max="138"/>
    <col width="18" customWidth="1" min="139" max="139"/>
    <col width="18" customWidth="1" min="140" max="140"/>
    <col width="22" customWidth="1" min="141" max="141"/>
    <col width="11" customWidth="1" min="142" max="142"/>
    <col width="14" customWidth="1" min="143" max="143"/>
    <col width="16" customWidth="1" min="144" max="144"/>
    <col width="9" customWidth="1" min="145" max="145"/>
    <col width="9" customWidth="1" min="146" max="146"/>
    <col width="50" customWidth="1" min="147" max="147"/>
    <col width="10" customWidth="1" min="148" max="148"/>
    <col width="8" customWidth="1" min="149" max="149"/>
    <col width="14" customWidth="1" min="150" max="150"/>
    <col width="21" customWidth="1" min="151" max="151"/>
    <col width="14" customWidth="1" min="152" max="152"/>
    <col width="13" customWidth="1" min="153" max="153"/>
    <col width="8" customWidth="1" min="154" max="154"/>
    <col width="10" customWidth="1" min="155" max="155"/>
    <col width="8" customWidth="1" min="156" max="156"/>
    <col width="14" customWidth="1" min="157" max="157"/>
    <col width="18" customWidth="1" min="158" max="158"/>
    <col width="13" customWidth="1" min="159" max="159"/>
    <col width="12" customWidth="1" min="160" max="160"/>
    <col width="14" customWidth="1" min="161" max="161"/>
    <col width="19" customWidth="1" min="162" max="162"/>
    <col width="19" customWidth="1" min="163" max="163"/>
    <col width="18" customWidth="1" min="164" max="164"/>
    <col width="23" customWidth="1" min="165" max="165"/>
    <col width="22" customWidth="1" min="166" max="166"/>
    <col width="14" customWidth="1" min="167" max="167"/>
    <col width="16" customWidth="1" min="168" max="168"/>
    <col width="19" customWidth="1" min="169" max="169"/>
    <col width="12" customWidth="1" min="170" max="170"/>
    <col width="15" customWidth="1" min="171" max="171"/>
    <col width="25" customWidth="1" min="172" max="172"/>
    <col width="16" customWidth="1" min="173" max="173"/>
    <col width="17" customWidth="1" min="174" max="174"/>
    <col width="23" customWidth="1" min="175" max="175"/>
    <col width="18" customWidth="1" min="176" max="176"/>
    <col width="15" customWidth="1" min="177" max="177"/>
    <col width="8" customWidth="1" min="178" max="178"/>
    <col width="9" customWidth="1" min="179" max="179"/>
    <col width="13" customWidth="1" min="180" max="180"/>
    <col width="12" customWidth="1" min="181" max="181"/>
    <col width="12" customWidth="1" min="182" max="182"/>
    <col width="32" customWidth="1" min="183" max="183"/>
    <col width="31" customWidth="1" min="184" max="184"/>
    <col width="19" customWidth="1" min="185" max="185"/>
    <col width="60" customWidth="1" min="186" max="186"/>
    <col width="60" customWidth="1" min="187" max="187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ground_min_reach_m</t>
        </is>
      </c>
      <c r="DP1" s="1" t="inlineStr">
        <is>
          <t>guided</t>
        </is>
      </c>
      <c r="DQ1" s="1" t="inlineStr">
        <is>
          <t>he</t>
        </is>
      </c>
      <c r="DR1" s="1" t="inlineStr">
        <is>
          <t>impact_scale</t>
        </is>
      </c>
      <c r="DS1" s="1" t="inlineStr">
        <is>
          <t>impact_tier</t>
        </is>
      </c>
      <c r="DT1" s="1" t="inlineStr">
        <is>
          <t>inherits</t>
        </is>
      </c>
      <c r="DU1" s="1" t="inlineStr">
        <is>
          <t>intercept_only</t>
        </is>
      </c>
      <c r="DV1" s="1" t="inlineStr">
        <is>
          <t>laid</t>
        </is>
      </c>
      <c r="DW1" s="1" t="inlineStr">
        <is>
          <t>load</t>
        </is>
      </c>
      <c r="DX1" s="1" t="inlineStr">
        <is>
          <t>lobs</t>
        </is>
      </c>
      <c r="DY1" s="1" t="inlineStr">
        <is>
          <t>melee</t>
        </is>
      </c>
      <c r="DZ1" s="1" t="inlineStr">
        <is>
          <t>min_range_m</t>
        </is>
      </c>
      <c r="EA1" s="1" t="inlineStr">
        <is>
          <t>mrsi</t>
        </is>
      </c>
      <c r="EB1" s="1" t="inlineStr">
        <is>
          <t>pen</t>
        </is>
      </c>
      <c r="EC1" s="1" t="inlineStr">
        <is>
          <t>pierce</t>
        </is>
      </c>
      <c r="ED1" s="1" t="inlineStr">
        <is>
          <t>pierce_max</t>
        </is>
      </c>
      <c r="EE1" s="1" t="inlineStr">
        <is>
          <t>piercing</t>
        </is>
      </c>
      <c r="EF1" s="1" t="inlineStr">
        <is>
          <t>power_kw</t>
        </is>
      </c>
      <c r="EG1" s="1" t="inlineStr">
        <is>
          <t>prey</t>
        </is>
      </c>
      <c r="EH1" s="1" t="inlineStr">
        <is>
          <t>projectile</t>
        </is>
      </c>
      <c r="EI1" s="1" t="inlineStr">
        <is>
          <t>projectile_model</t>
        </is>
      </c>
      <c r="EJ1" s="1" t="inlineStr">
        <is>
          <t>projectile_scale</t>
        </is>
      </c>
      <c r="EK1" s="1" t="inlineStr">
        <is>
          <t>projectile_speed_m_s</t>
        </is>
      </c>
      <c r="EL1" s="1" t="inlineStr">
        <is>
          <t>ramp_from</t>
        </is>
      </c>
      <c r="EM1" s="1" t="inlineStr">
        <is>
          <t>ramp_grace_s</t>
        </is>
      </c>
      <c r="EN1" s="1" t="inlineStr">
        <is>
          <t>ramp_seconds_s</t>
        </is>
      </c>
      <c r="EO1" s="1" t="inlineStr">
        <is>
          <t>ramp_to</t>
        </is>
      </c>
      <c r="EP1" s="1" t="inlineStr">
        <is>
          <t>range_m</t>
        </is>
      </c>
      <c r="EQ1" s="1" t="inlineStr">
        <is>
          <t>real</t>
        </is>
      </c>
      <c r="ER1" s="1" t="inlineStr">
        <is>
          <t>reload_s</t>
        </is>
      </c>
      <c r="ES1" s="1" t="inlineStr">
        <is>
          <t>round</t>
        </is>
      </c>
      <c r="ET1" s="1" t="inlineStr">
        <is>
          <t>round_length</t>
        </is>
      </c>
      <c r="EU1" s="1" t="inlineStr">
        <is>
          <t>round_of</t>
        </is>
      </c>
      <c r="EV1" s="1" t="inlineStr">
        <is>
          <t>round_weight</t>
        </is>
      </c>
      <c r="EW1" s="1" t="inlineStr">
        <is>
          <t>salvo_mode</t>
        </is>
      </c>
      <c r="EX1" s="1" t="inlineStr">
        <is>
          <t>size</t>
        </is>
      </c>
      <c r="EY1" s="1" t="inlineStr">
        <is>
          <t>splash_m</t>
        </is>
      </c>
      <c r="EZ1" s="1" t="inlineStr">
        <is>
          <t>spread</t>
        </is>
      </c>
      <c r="FA1" s="1" t="inlineStr">
        <is>
          <t>stick_anchor</t>
        </is>
      </c>
      <c r="FB1" s="1" t="inlineStr">
        <is>
          <t>stick_bay_open_s</t>
        </is>
      </c>
      <c r="FC1" s="1" t="inlineStr">
        <is>
          <t>stick_bombs</t>
        </is>
      </c>
      <c r="FD1" s="1" t="inlineStr">
        <is>
          <t>stick_drop</t>
        </is>
      </c>
      <c r="FE1" s="1" t="inlineStr">
        <is>
          <t>stick_exit_m</t>
        </is>
      </c>
      <c r="FF1" s="1" t="inlineStr">
        <is>
          <t>stick_fall_time_s</t>
        </is>
      </c>
      <c r="FG1" s="1" t="inlineStr">
        <is>
          <t>stick_heading_deg</t>
        </is>
      </c>
      <c r="FH1" s="1" t="inlineStr">
        <is>
          <t>stick_interval_s</t>
        </is>
      </c>
      <c r="FI1" s="1" t="inlineStr">
        <is>
          <t>stick_jitter_across_m</t>
        </is>
      </c>
      <c r="FJ1" s="1" t="inlineStr">
        <is>
          <t>stick_jitter_along_m</t>
        </is>
      </c>
      <c r="FK1" s="1" t="inlineStr">
        <is>
          <t>stick_lead_m</t>
        </is>
      </c>
      <c r="FL1" s="1" t="inlineStr">
        <is>
          <t>stick_length_m</t>
        </is>
      </c>
      <c r="FM1" s="1" t="inlineStr">
        <is>
          <t>stick_min_targets</t>
        </is>
      </c>
      <c r="FN1" s="1" t="inlineStr">
        <is>
          <t>stick_mode</t>
        </is>
      </c>
      <c r="FO1" s="1" t="inlineStr">
        <is>
          <t>stick_overlap</t>
        </is>
      </c>
      <c r="FP1" s="1" t="inlineStr">
        <is>
          <t>stick_release_speed_m_s</t>
        </is>
      </c>
      <c r="FQ1" s="1" t="inlineStr">
        <is>
          <t>stick_safety_m</t>
        </is>
      </c>
      <c r="FR1" s="1" t="inlineStr">
        <is>
          <t>stick_spacing_m</t>
        </is>
      </c>
      <c r="FS1" s="1" t="inlineStr">
        <is>
          <t>stick_straight_time_s</t>
        </is>
      </c>
      <c r="FT1" s="1" t="inlineStr">
        <is>
          <t>stick_warn_shape</t>
        </is>
      </c>
      <c r="FU1" s="1" t="inlineStr">
        <is>
          <t>stick_width_m</t>
        </is>
      </c>
      <c r="FV1" s="1" t="inlineStr">
        <is>
          <t>swarm</t>
        </is>
      </c>
      <c r="FW1" s="1" t="inlineStr">
        <is>
          <t>targets</t>
        </is>
      </c>
      <c r="FX1" s="1" t="inlineStr">
        <is>
          <t>thermobaric</t>
        </is>
      </c>
      <c r="FY1" s="1" t="inlineStr">
        <is>
          <t>top_attack</t>
        </is>
      </c>
      <c r="FZ1" s="1" t="inlineStr">
        <is>
          <t>warhead_kg</t>
        </is>
      </c>
      <c r="GA1" s="1" t="inlineStr">
        <is>
          <t>weapon_family</t>
        </is>
      </c>
      <c r="GB1" s="1" t="inlineStr">
        <is>
          <t>weapon_family_id</t>
        </is>
      </c>
      <c r="GC1" s="1" t="inlineStr">
        <is>
          <t>weapon_variant_id</t>
        </is>
      </c>
      <c r="GD1" s="1" t="inlineStr">
        <is>
          <t>nguon</t>
        </is>
      </c>
      <c r="GE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T2" t="inlineStr">
        <is>
          <t>zu23</t>
        </is>
      </c>
      <c r="EB2" t="n">
        <v>1</v>
      </c>
      <c r="EP2" t="n">
        <v>42</v>
      </c>
      <c r="EQ2" t="inlineStr">
        <is>
          <t>Type 96 25 mm (triple)</t>
        </is>
      </c>
      <c r="EX2" t="n">
        <v>25</v>
      </c>
      <c r="FW2" t="inlineStr">
        <is>
          <t>Air</t>
        </is>
      </c>
      <c r="GB2" t="inlineStr">
        <is>
          <t>cal_25</t>
        </is>
      </c>
      <c r="GC2" t="inlineStr">
        <is>
          <t>flak</t>
        </is>
      </c>
      <c r="GD2" t="inlineStr">
        <is>
          <t>Assets/MachineBrigade/Resources/Data/balance.json: weapons[290]</t>
        </is>
      </c>
      <c r="GE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T3" t="inlineStr">
        <is>
          <t>aa_25_triple</t>
        </is>
      </c>
      <c r="EB3" t="n">
        <v>2</v>
      </c>
      <c r="EE3" t="b">
        <v>1</v>
      </c>
      <c r="EQ3" t="inlineStr">
        <is>
          <t>Type 96 25 mm AP (triple)</t>
        </is>
      </c>
      <c r="ES3" t="inlineStr">
        <is>
          <t>ap</t>
        </is>
      </c>
      <c r="EU3" t="inlineStr">
        <is>
          <t>aa_25_triple</t>
        </is>
      </c>
      <c r="EY3" t="n">
        <v>0</v>
      </c>
      <c r="FW3" t="inlineStr">
        <is>
          <t>Ground</t>
        </is>
      </c>
      <c r="GA3" t="inlineStr"/>
      <c r="GC3" t="inlineStr"/>
      <c r="GD3" t="inlineStr">
        <is>
          <t>Assets/MachineBrigade/Resources/Data/balance.json: secondRounds.rounds[0]</t>
        </is>
      </c>
      <c r="GE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S4" t="inlineStr">
        <is>
          <t>Small</t>
        </is>
      </c>
      <c r="EB4" t="n">
        <v>2</v>
      </c>
      <c r="EH4" t="inlineStr">
        <is>
          <t>Bullet</t>
        </is>
      </c>
      <c r="EP4" t="n">
        <v>30</v>
      </c>
      <c r="EQ4" t="inlineStr">
        <is>
          <t>Mk 19 40 mm</t>
        </is>
      </c>
      <c r="EX4" t="n">
        <v>40</v>
      </c>
      <c r="EZ4" t="n">
        <v>2.2</v>
      </c>
      <c r="GA4" t="inlineStr">
        <is>
          <t>mk_19_40_mm</t>
        </is>
      </c>
      <c r="GB4" t="inlineStr">
        <is>
          <t>gl_40</t>
        </is>
      </c>
      <c r="GD4" t="inlineStr">
        <is>
          <t>Assets/MachineBrigade/Resources/Data/balance.json: weapons[234]</t>
        </is>
      </c>
      <c r="GE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9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2.5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S5" t="inlineStr">
        <is>
          <t>Huge</t>
        </is>
      </c>
      <c r="DW5" t="n">
        <v>2</v>
      </c>
      <c r="EB5" t="n">
        <v>3</v>
      </c>
      <c r="EH5" t="inlineStr">
        <is>
          <t>Missile</t>
        </is>
      </c>
      <c r="EI5" t="inlineStr">
        <is>
          <t>cruise_missile</t>
        </is>
      </c>
      <c r="EK5" t="n">
        <v>65</v>
      </c>
      <c r="EP5" t="n">
        <v>110</v>
      </c>
      <c r="EQ5" t="inlineStr">
        <is>
          <t>Kh-101 (400 kg)</t>
        </is>
      </c>
      <c r="EV5" t="n">
        <v>450</v>
      </c>
      <c r="EX5" t="n">
        <v>400</v>
      </c>
      <c r="EY5" t="n">
        <v>9</v>
      </c>
      <c r="FZ5" t="n">
        <v>400</v>
      </c>
      <c r="GB5" t="inlineStr">
        <is>
          <t>cruise_kh_101</t>
        </is>
      </c>
      <c r="GD5" t="inlineStr">
        <is>
          <t>Assets/MachineBrigade/Resources/Data/balance.json: weapons[68]</t>
        </is>
      </c>
      <c r="GE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kg)","family":"cruise","size":400,"warheadKg":400,"pen":3,"projectileModel":"cruise_missile","damageType":"HighExplosive","damage":378,"cooldown":11.2,"range":110,"projectileSpeed":65,"splash":9,"impactTier":"Huge","projectile":"Missile","roundWeight":450}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140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0.4285714285714285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140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S6" t="inlineStr">
        <is>
          <t>Medium</t>
        </is>
      </c>
      <c r="DW6" t="n">
        <v>4</v>
      </c>
      <c r="EB6" t="n">
        <v>3</v>
      </c>
      <c r="EH6" t="inlineStr">
        <is>
          <t>Missile</t>
        </is>
      </c>
      <c r="EI6" t="inlineStr">
        <is>
          <t>aim120</t>
        </is>
      </c>
      <c r="EJ6" t="n">
        <v>0.85</v>
      </c>
      <c r="EK6" t="n">
        <v>140</v>
      </c>
      <c r="EP6" t="n">
        <v>60</v>
      </c>
      <c r="EQ6" t="inlineStr">
        <is>
          <t>AIM-120 AMRAAM</t>
        </is>
      </c>
      <c r="EV6" t="n">
        <v>351</v>
      </c>
      <c r="EX6" t="n">
        <v>20</v>
      </c>
      <c r="EY6" t="n">
        <v>2</v>
      </c>
      <c r="FW6" t="inlineStr">
        <is>
          <t>Air</t>
        </is>
      </c>
      <c r="FZ6" t="n">
        <v>20</v>
      </c>
      <c r="GB6" t="inlineStr">
        <is>
          <t>sam_aim_120_amraam</t>
        </is>
      </c>
      <c r="GD6" t="inlineStr">
        <is>
          <t>Assets/MachineBrigade/Resources/Data/balance.json: weapons[62]</t>
        </is>
      </c>
      <c r="GE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140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S7" t="inlineStr">
        <is>
          <t>Large</t>
        </is>
      </c>
      <c r="EB7" t="n">
        <v>3</v>
      </c>
      <c r="EE7" t="b">
        <v>1</v>
      </c>
      <c r="EH7" t="inlineStr">
        <is>
          <t>Drone</t>
        </is>
      </c>
      <c r="EP7" t="n">
        <v>70</v>
      </c>
      <c r="EQ7" t="inlineStr">
        <is>
          <t>FPV drone (1.5 kg)</t>
        </is>
      </c>
      <c r="EX7" t="n">
        <v>1.5</v>
      </c>
      <c r="FY7" t="b">
        <v>1</v>
      </c>
      <c r="FZ7" t="n">
        <v>1.5</v>
      </c>
      <c r="GA7" t="inlineStr">
        <is>
          <t>fpv_drone</t>
        </is>
      </c>
      <c r="GB7" t="inlineStr">
        <is>
          <t>drone_fpv_drone</t>
        </is>
      </c>
      <c r="GD7" t="inlineStr">
        <is>
          <t>Assets/MachineBrigade/Resources/Data/balance.json: weapons[246]</t>
        </is>
      </c>
      <c r="GE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S8" t="inlineStr">
        <is>
          <t>Medium</t>
        </is>
      </c>
      <c r="EB8" t="n">
        <v>2</v>
      </c>
      <c r="EH8" t="inlineStr">
        <is>
          <t>Bullet</t>
        </is>
      </c>
      <c r="EK8" t="n">
        <v>280</v>
      </c>
      <c r="EP8" t="n">
        <v>48</v>
      </c>
      <c r="EQ8" t="inlineStr">
        <is>
          <t>S-60 57 mm</t>
        </is>
      </c>
      <c r="EX8" t="n">
        <v>57</v>
      </c>
      <c r="EY8" t="n">
        <v>3</v>
      </c>
      <c r="EZ8" t="n">
        <v>1.4</v>
      </c>
      <c r="FW8" t="inlineStr">
        <is>
          <t>All</t>
        </is>
      </c>
      <c r="GB8" t="inlineStr">
        <is>
          <t>cal_57</t>
        </is>
      </c>
      <c r="GC8" t="inlineStr">
        <is>
          <t>flak</t>
        </is>
      </c>
      <c r="GD8" t="inlineStr">
        <is>
          <t>Assets/MachineBrigade/Resources/Data/balance.json: weapons[245]</t>
        </is>
      </c>
      <c r="GE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14.607</v>
      </c>
      <c r="S9" t="n">
        <v>0</v>
      </c>
      <c r="T9" t="n">
        <v>0</v>
      </c>
      <c r="U9" t="n">
        <v>0</v>
      </c>
      <c r="V9" t="n">
        <v>0</v>
      </c>
      <c r="W9" t="n">
        <v>214</v>
      </c>
      <c r="X9" t="n">
        <v>5</v>
      </c>
      <c r="Y9" t="n">
        <v>0</v>
      </c>
      <c r="Z9" t="n">
        <v>45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1.333333333333333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H9" t="n">
        <v>150</v>
      </c>
      <c r="BI9" t="n">
        <v>214</v>
      </c>
      <c r="BJ9" t="n">
        <v>10</v>
      </c>
      <c r="BK9" t="n">
        <v>14.607</v>
      </c>
      <c r="BR9" t="n">
        <v>32</v>
      </c>
      <c r="BS9" t="n">
        <v>45</v>
      </c>
      <c r="CR9" t="n">
        <v>4</v>
      </c>
      <c r="CS9" t="n">
        <v>0.25</v>
      </c>
      <c r="CT9" t="n">
        <v>120</v>
      </c>
      <c r="DD9" t="n">
        <v>14.607</v>
      </c>
      <c r="DE9" t="n">
        <v>214</v>
      </c>
      <c r="DF9" t="inlineStr">
        <is>
          <t>HighExplosive</t>
        </is>
      </c>
      <c r="DJ9" t="inlineStr">
        <is>
          <t>mortar</t>
        </is>
      </c>
      <c r="DS9" t="inlineStr">
        <is>
          <t>Large</t>
        </is>
      </c>
      <c r="DZ9" t="n">
        <v>10</v>
      </c>
      <c r="EA9" t="b">
        <v>1</v>
      </c>
      <c r="EB9" t="n">
        <v>2</v>
      </c>
      <c r="EI9" t="inlineStr">
        <is>
          <t>mortar_bomb</t>
        </is>
      </c>
      <c r="EK9" t="n">
        <v>45</v>
      </c>
      <c r="EP9" t="n">
        <v>60</v>
      </c>
      <c r="EQ9" t="inlineStr">
        <is>
          <t>120 mm AMOS (twin)</t>
        </is>
      </c>
      <c r="EX9" t="n">
        <v>120</v>
      </c>
      <c r="EY9" t="n">
        <v>5</v>
      </c>
      <c r="EZ9" t="n">
        <v>4.5</v>
      </c>
      <c r="GB9" t="inlineStr">
        <is>
          <t>cal_120_he</t>
        </is>
      </c>
      <c r="GC9" t="inlineStr">
        <is>
          <t>mortar</t>
        </is>
      </c>
      <c r="GD9" t="inlineStr">
        <is>
          <t>Assets/MachineBrigade/Resources/Data/balance.json: weapons[281]</t>
        </is>
      </c>
      <c r="GE9" t="inlineStr">
        <is>
          <t>{"id":"amos_120","weaponFamilyId":"cal_120_he","weaponVariantId":"mortar","real":"120 mm AMOS (twin)","family":"mortar","size":120,"caliberMm":120,"pen":2,"damageType":"HighExplosive","damage":214,"burst":4,"burstInterval":0.25,"cooldown":14.607,"range":60,"minRange":10,"projectileSpeed":45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95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1.473684210526316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95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S10" t="inlineStr">
        <is>
          <t>Huge</t>
        </is>
      </c>
      <c r="EB10" t="n">
        <v>4</v>
      </c>
      <c r="EH10" t="inlineStr">
        <is>
          <t>Missile</t>
        </is>
      </c>
      <c r="EI10" t="inlineStr">
        <is>
          <t>nsm_oniks</t>
        </is>
      </c>
      <c r="EK10" t="n">
        <v>95</v>
      </c>
      <c r="EP10" t="n">
        <v>140</v>
      </c>
      <c r="EQ10" t="inlineStr">
        <is>
          <t>NSM / P-800 Oniks</t>
        </is>
      </c>
      <c r="ET10" t="n">
        <v>3.17</v>
      </c>
      <c r="EX10" t="n">
        <v>680</v>
      </c>
      <c r="EY10" t="n">
        <v>7</v>
      </c>
      <c r="FZ10" t="n">
        <v>250</v>
      </c>
      <c r="GA10" t="inlineStr">
        <is>
          <t>nsm_oniks</t>
        </is>
      </c>
      <c r="GB10" t="inlineStr">
        <is>
          <t>msl_nsm_p_800_oniks</t>
        </is>
      </c>
      <c r="GD10" t="inlineStr">
        <is>
          <t>Assets/MachineBrigade/Resources/Data/balance.json: weapons[292]</t>
        </is>
      </c>
      <c r="GE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95,"splash":7,"impactTier":"Huge","projectile":"Missile","projectileModel":"nsm_oniks","roundLength":3.17}</t>
        </is>
      </c>
    </row>
    <row r="11">
      <c r="A11" t="inlineStr">
        <is>
          <t>apkws_rocket</t>
        </is>
      </c>
      <c r="B11" t="inlineStr">
        <is>
          <t>APKWS (laser-guided Hydra 70)</t>
        </is>
      </c>
      <c r="C11" t="inlineStr">
        <is>
          <t>rkt_70_80</t>
        </is>
      </c>
      <c r="D11" t="inlineStr">
        <is>
          <t>guided</t>
        </is>
      </c>
      <c r="E11" t="inlineStr">
        <is>
          <t>apkws</t>
        </is>
      </c>
      <c r="F11" t="inlineStr">
        <is>
          <t>rocket</t>
        </is>
      </c>
      <c r="G11" t="n">
        <v>70</v>
      </c>
      <c r="H11" t="inlineStr"/>
      <c r="I11" t="inlineStr"/>
      <c r="J11" t="inlineStr"/>
      <c r="K11" t="inlineStr">
        <is>
          <t>ShapedCharge</t>
        </is>
      </c>
      <c r="L11" t="n">
        <v>2</v>
      </c>
      <c r="M11" t="inlineStr">
        <is>
          <t>Rocket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1</v>
      </c>
      <c r="S11" t="n">
        <v>0</v>
      </c>
      <c r="T11" t="n">
        <v>0</v>
      </c>
      <c r="U11" t="n">
        <v>0</v>
      </c>
      <c r="V11" t="n">
        <v>0</v>
      </c>
      <c r="W11" t="n">
        <v>90</v>
      </c>
      <c r="X11" t="n">
        <v>2</v>
      </c>
      <c r="Y11" t="n">
        <v>0</v>
      </c>
      <c r="Z11" t="n">
        <v>85</v>
      </c>
      <c r="AA11" t="n">
        <v>40</v>
      </c>
      <c r="AB11" t="n">
        <v>0</v>
      </c>
      <c r="AC11" t="inlineStr">
        <is>
          <t>All</t>
        </is>
      </c>
      <c r="AD11" t="inlineStr"/>
      <c r="AE11" t="n">
        <v>0</v>
      </c>
      <c r="AF11" t="inlineStr">
        <is>
          <t>Medium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70</v>
      </c>
      <c r="AO11" t="n">
        <v>0</v>
      </c>
      <c r="AP11" t="inlineStr">
        <is>
          <t>T2</t>
        </is>
      </c>
      <c r="AQ11" t="inlineStr"/>
      <c r="AR11" t="inlineStr"/>
      <c r="AS11" t="inlineStr">
        <is>
          <t>xe</t>
        </is>
      </c>
      <c r="AT11" t="inlineStr">
        <is>
          <t>attack_helicopter</t>
        </is>
      </c>
      <c r="AU11" t="n">
        <v>1</v>
      </c>
      <c r="AV11" t="inlineStr">
        <is>
          <t>attack_helicopter:4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0.4705882352941176</v>
      </c>
      <c r="BB11" t="n">
        <v>900</v>
      </c>
      <c r="BC11" t="inlineStr"/>
      <c r="BD11" t="inlineStr">
        <is>
          <t>rocket</t>
        </is>
      </c>
      <c r="BE11" t="inlineStr">
        <is>
          <t>rocket pods: ripples of 0.05-0.12 s (DECISIONS 19R)</t>
        </is>
      </c>
      <c r="BG11" t="inlineStr">
        <is>
          <t>doi</t>
        </is>
      </c>
      <c r="BR11" t="n">
        <v>45</v>
      </c>
      <c r="BS11" t="n">
        <v>85</v>
      </c>
      <c r="CT11" t="n">
        <v>70</v>
      </c>
      <c r="DD11" t="n">
        <v>1</v>
      </c>
      <c r="DE11" t="n">
        <v>90</v>
      </c>
      <c r="DF11" t="inlineStr">
        <is>
          <t>ShapedCharge</t>
        </is>
      </c>
      <c r="DJ11" t="inlineStr">
        <is>
          <t>rocket</t>
        </is>
      </c>
      <c r="DS11" t="inlineStr">
        <is>
          <t>Medium</t>
        </is>
      </c>
      <c r="EB11" t="n">
        <v>2</v>
      </c>
      <c r="EH11" t="inlineStr">
        <is>
          <t>Rocket</t>
        </is>
      </c>
      <c r="EI11" t="inlineStr">
        <is>
          <t>apkws</t>
        </is>
      </c>
      <c r="EK11" t="n">
        <v>85</v>
      </c>
      <c r="EP11" t="n">
        <v>40</v>
      </c>
      <c r="EQ11" t="inlineStr">
        <is>
          <t>APKWS (laser-guided Hydra 70)</t>
        </is>
      </c>
      <c r="ET11" t="n">
        <v>0.8</v>
      </c>
      <c r="EX11" t="n">
        <v>70</v>
      </c>
      <c r="EY11" t="n">
        <v>2</v>
      </c>
      <c r="FW11" t="inlineStr">
        <is>
          <t>All</t>
        </is>
      </c>
      <c r="GA11" t="inlineStr">
        <is>
          <t>apkws</t>
        </is>
      </c>
      <c r="GB11" t="inlineStr">
        <is>
          <t>rkt_70_80</t>
        </is>
      </c>
      <c r="GC11" t="inlineStr">
        <is>
          <t>guided</t>
        </is>
      </c>
      <c r="GD11" t="inlineStr">
        <is>
          <t>Assets/MachineBrigade/Resources/Data/balance.json: weapons[291]</t>
        </is>
      </c>
      <c r="GE11" t="inlineStr">
        <is>
          <t>{"id":"apkws_rocket","weaponFamilyId":"rkt_70_80","weaponVariantId":"guided","real":"APKWS (laser-guided Hydra 70)","weaponFamily":"apkws","family":"rocket","size":70,"caliberMm":70,"pen":2,"damageType":"ShapedCharge","damage":90,"cooldown":1,"range":40,"projectileSpeed":85,"splash":2,"impactTier":"Medium","projectile":"Rocket","projectileModel":"apkws","roundLength":0.8,"targets":"All"}</t>
        </is>
      </c>
    </row>
    <row r="12">
      <c r="A12" t="inlineStr">
        <is>
          <t>atgm</t>
        </is>
      </c>
      <c r="B12" t="inlineStr">
        <is>
          <t>BGM-71 TOW-2</t>
        </is>
      </c>
      <c r="C12" t="inlineStr">
        <is>
          <t>atgm_bgm_71_tow_2</t>
        </is>
      </c>
      <c r="D12" t="inlineStr"/>
      <c r="E12" t="inlineStr"/>
      <c r="F12" t="inlineStr">
        <is>
          <t>atgm</t>
        </is>
      </c>
      <c r="G12" t="inlineStr"/>
      <c r="H12" t="n">
        <v>5.9</v>
      </c>
      <c r="I12" t="inlineStr"/>
      <c r="J12" t="inlineStr"/>
      <c r="K12" t="inlineStr">
        <is>
          <t>ShapedCharge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12.33</v>
      </c>
      <c r="S12" t="n">
        <v>0</v>
      </c>
      <c r="T12" t="n">
        <v>0</v>
      </c>
      <c r="U12" t="n">
        <v>0</v>
      </c>
      <c r="V12" t="n">
        <v>0</v>
      </c>
      <c r="W12" t="n">
        <v>210</v>
      </c>
      <c r="X12" t="n">
        <v>0</v>
      </c>
      <c r="Y12" t="n">
        <v>0</v>
      </c>
      <c r="Z12" t="n">
        <v>80</v>
      </c>
      <c r="AA12" t="n">
        <v>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Medium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22.6</v>
      </c>
      <c r="AO12" t="n">
        <v>0</v>
      </c>
      <c r="AP12" t="inlineStr">
        <is>
          <t>T2</t>
        </is>
      </c>
      <c r="AQ12" t="inlineStr"/>
      <c r="AR12" t="inlineStr"/>
      <c r="AS12" t="inlineStr">
        <is>
          <t>xe</t>
        </is>
      </c>
      <c r="AT12" t="inlineStr">
        <is>
          <t>elite_apc;ifv;titan_tank</t>
        </is>
      </c>
      <c r="AU12" t="n">
        <v>3</v>
      </c>
      <c r="AV12" t="inlineStr">
        <is>
          <t>elite_apc:2;ifv:2;titan_tank:3</t>
        </is>
      </c>
      <c r="AW12" t="n">
        <v>0</v>
      </c>
      <c r="AX12" t="b">
        <v>0</v>
      </c>
      <c r="AY12" t="inlineStr"/>
      <c r="AZ12">
        <f>IF(AND($AX$12,$AW$12&gt;$AA$12/$Z$12),$AW$12,$AA$12/$Z$12)</f>
        <v/>
      </c>
      <c r="BA12" t="n">
        <v>0.5</v>
      </c>
      <c r="BB12" t="n">
        <v>3</v>
      </c>
      <c r="BC12" t="n">
        <v>2</v>
      </c>
      <c r="BD12" t="inlineStr">
        <is>
          <t>atgm</t>
        </is>
      </c>
      <c r="BE12" t="inlineStr">
        <is>
          <t>Wikipedia 'BGM-71 TOW': ~3 rpm</t>
        </is>
      </c>
      <c r="BG12" t="inlineStr">
        <is>
          <t>doi</t>
        </is>
      </c>
      <c r="BH12" t="n">
        <v>190</v>
      </c>
      <c r="BI12" t="n">
        <v>210</v>
      </c>
      <c r="BR12" t="n">
        <v>20</v>
      </c>
      <c r="BS12" t="n">
        <v>80</v>
      </c>
      <c r="DD12" t="n">
        <v>12.33</v>
      </c>
      <c r="DE12" t="n">
        <v>210</v>
      </c>
      <c r="DF12" t="inlineStr">
        <is>
          <t>ShapedCharge</t>
        </is>
      </c>
      <c r="DJ12" t="inlineStr">
        <is>
          <t>atgm</t>
        </is>
      </c>
      <c r="DS12" t="inlineStr">
        <is>
          <t>Medium</t>
        </is>
      </c>
      <c r="EB12" t="n">
        <v>4</v>
      </c>
      <c r="EE12" t="b">
        <v>1</v>
      </c>
      <c r="EH12" t="inlineStr">
        <is>
          <t>Missile</t>
        </is>
      </c>
      <c r="EI12" t="inlineStr">
        <is>
          <t>atgm_tow</t>
        </is>
      </c>
      <c r="EJ12" t="n">
        <v>0.8</v>
      </c>
      <c r="EK12" t="n">
        <v>80</v>
      </c>
      <c r="EP12" t="n">
        <v>40</v>
      </c>
      <c r="EQ12" t="inlineStr">
        <is>
          <t>BGM-71 TOW-2</t>
        </is>
      </c>
      <c r="EX12" t="n">
        <v>22.6</v>
      </c>
      <c r="FZ12" t="n">
        <v>5.9</v>
      </c>
      <c r="GB12" t="inlineStr">
        <is>
          <t>atgm_bgm_71_tow_2</t>
        </is>
      </c>
      <c r="GD12" t="inlineStr">
        <is>
          <t>Assets/MachineBrigade/Resources/Data/balance.json: weapons[13]</t>
        </is>
      </c>
      <c r="GE12" t="inlineStr">
        <is>
          <t>{"id":"atgm","weaponFamilyId":"atgm_bgm_71_tow_2","real":"BGM-71 TOW-2","family":"atgm","size":22.6,"warheadKg":5.9,"pen":4,"piercing":true,"projectileModel":"atgm_tow","projectileScale":0.8,"damageType":"ShapedCharge","damage":210,"cooldown":12.33,"range":40,"projectileSpeed":80,"impactTier":"Medium","projectile":"Missile"}</t>
        </is>
      </c>
    </row>
    <row r="13">
      <c r="A13" t="inlineStr">
        <is>
          <t>atgm_heavy</t>
        </is>
      </c>
      <c r="B13" t="inlineStr">
        <is>
          <t>9M133 Kornet</t>
        </is>
      </c>
      <c r="C13" t="inlineStr">
        <is>
          <t>atgm_kornet</t>
        </is>
      </c>
      <c r="D13" t="inlineStr"/>
      <c r="E13" t="inlineStr">
        <is>
          <t>9m133_kornet</t>
        </is>
      </c>
      <c r="F13" t="inlineStr">
        <is>
          <t>atgm</t>
        </is>
      </c>
      <c r="G13" t="inlineStr"/>
      <c r="H13" t="n">
        <v>7</v>
      </c>
      <c r="I13" t="inlineStr"/>
      <c r="J13" t="inlineStr"/>
      <c r="K13" t="inlineStr">
        <is>
          <t>ShapedCharge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2</v>
      </c>
      <c r="Q13" t="n">
        <v>0.7</v>
      </c>
      <c r="R13" t="n">
        <v>6.8</v>
      </c>
      <c r="S13" t="n">
        <v>0</v>
      </c>
      <c r="T13" t="n">
        <v>0</v>
      </c>
      <c r="U13" t="n">
        <v>0</v>
      </c>
      <c r="V13" t="n">
        <v>0</v>
      </c>
      <c r="W13" t="n">
        <v>230</v>
      </c>
      <c r="X13" t="n">
        <v>0</v>
      </c>
      <c r="Y13" t="n">
        <v>0</v>
      </c>
      <c r="Z13" t="n">
        <v>80</v>
      </c>
      <c r="AA13" t="n">
        <v>42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29</v>
      </c>
      <c r="AO13" t="n">
        <v>0</v>
      </c>
      <c r="AP13" t="inlineStr">
        <is>
          <t>T2</t>
        </is>
      </c>
      <c r="AQ13" t="inlineStr"/>
      <c r="AR13" t="inlineStr"/>
      <c r="AS13" t="inlineStr"/>
      <c r="AT13" t="inlineStr"/>
      <c r="AU13" t="n">
        <v>0</v>
      </c>
      <c r="AV13" t="inlineStr"/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0.525</v>
      </c>
      <c r="BB13" t="n">
        <v>3</v>
      </c>
      <c r="BC13" t="n">
        <v>3</v>
      </c>
      <c r="BD13" t="inlineStr">
        <is>
          <t>atgm</t>
        </is>
      </c>
      <c r="BE13" t="inlineStr">
        <is>
          <t>Wikipedia '9M133 Kornet': 2-3 rpm</t>
        </is>
      </c>
      <c r="BG13" t="inlineStr">
        <is>
          <t>doi</t>
        </is>
      </c>
      <c r="BR13" t="n">
        <v>22</v>
      </c>
      <c r="BS13" t="n">
        <v>80</v>
      </c>
      <c r="CR13" t="n">
        <v>2</v>
      </c>
      <c r="CS13" t="n">
        <v>0.7</v>
      </c>
      <c r="DD13" t="n">
        <v>6.8</v>
      </c>
      <c r="DE13" t="n">
        <v>230</v>
      </c>
      <c r="DF13" t="inlineStr">
        <is>
          <t>ShapedCharge</t>
        </is>
      </c>
      <c r="DJ13" t="inlineStr">
        <is>
          <t>atgm</t>
        </is>
      </c>
      <c r="DS13" t="inlineStr">
        <is>
          <t>Medium</t>
        </is>
      </c>
      <c r="EB13" t="n">
        <v>4</v>
      </c>
      <c r="EE13" t="b">
        <v>1</v>
      </c>
      <c r="EH13" t="inlineStr">
        <is>
          <t>Missile</t>
        </is>
      </c>
      <c r="EP13" t="n">
        <v>42</v>
      </c>
      <c r="EQ13" t="inlineStr">
        <is>
          <t>9M133 Kornet</t>
        </is>
      </c>
      <c r="EX13" t="n">
        <v>29</v>
      </c>
      <c r="FZ13" t="n">
        <v>7</v>
      </c>
      <c r="GA13" t="inlineStr">
        <is>
          <t>9m133_kornet</t>
        </is>
      </c>
      <c r="GB13" t="inlineStr">
        <is>
          <t>atgm_kornet</t>
        </is>
      </c>
      <c r="GD13" t="inlineStr">
        <is>
          <t>Assets/MachineBrigade/Resources/Data/balance.json: weapons[34]</t>
        </is>
      </c>
      <c r="GE13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4">
      <c r="A14" t="inlineStr">
        <is>
          <t>atgm_post</t>
        </is>
      </c>
      <c r="B14" t="inlineStr">
        <is>
          <t>9M113 Konkurs</t>
        </is>
      </c>
      <c r="C14" t="inlineStr">
        <is>
          <t>atgm_9m113_konkurs</t>
        </is>
      </c>
      <c r="D14" t="inlineStr"/>
      <c r="E14" t="inlineStr"/>
      <c r="F14" t="inlineStr">
        <is>
          <t>atgm</t>
        </is>
      </c>
      <c r="G14" t="inlineStr"/>
      <c r="H14" t="n">
        <v>2.7</v>
      </c>
      <c r="I14" t="inlineStr"/>
      <c r="J14" t="inlineStr"/>
      <c r="K14" t="inlineStr">
        <is>
          <t>ShapedCharge</t>
        </is>
      </c>
      <c r="L14" t="n">
        <v>3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12.1</v>
      </c>
      <c r="S14" t="n">
        <v>0</v>
      </c>
      <c r="T14" t="n">
        <v>0</v>
      </c>
      <c r="U14" t="n">
        <v>0</v>
      </c>
      <c r="V14" t="n">
        <v>0</v>
      </c>
      <c r="W14" t="n">
        <v>190</v>
      </c>
      <c r="X14" t="n">
        <v>0</v>
      </c>
      <c r="Y14" t="n">
        <v>0</v>
      </c>
      <c r="Z14" t="n">
        <v>60</v>
      </c>
      <c r="AA14" t="n">
        <v>34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25</v>
      </c>
      <c r="AO14" t="n">
        <v>0</v>
      </c>
      <c r="AP14" t="inlineStr">
        <is>
          <t>T2</t>
        </is>
      </c>
      <c r="AQ14" t="inlineStr"/>
      <c r="AR14" t="inlineStr"/>
      <c r="AS14" t="inlineStr"/>
      <c r="AT14" t="inlineStr"/>
      <c r="AU14" t="n">
        <v>0</v>
      </c>
      <c r="AV14" t="inlineStr"/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0.5666666666666667</v>
      </c>
      <c r="BB14" t="n">
        <v>3</v>
      </c>
      <c r="BC14" t="n">
        <v>2</v>
      </c>
      <c r="BD14" t="inlineStr">
        <is>
          <t>atgm</t>
        </is>
      </c>
      <c r="BE14" t="inlineStr">
        <is>
          <t>Wikipedia '9M113 Konkurs': 2-3 rpm</t>
        </is>
      </c>
      <c r="BG14" t="inlineStr">
        <is>
          <t>doi</t>
        </is>
      </c>
      <c r="BR14" t="n">
        <v>19</v>
      </c>
      <c r="BS14" t="n">
        <v>60</v>
      </c>
      <c r="DD14" t="n">
        <v>12.1</v>
      </c>
      <c r="DE14" t="n">
        <v>190</v>
      </c>
      <c r="DF14" t="inlineStr">
        <is>
          <t>ShapedCharge</t>
        </is>
      </c>
      <c r="DJ14" t="inlineStr">
        <is>
          <t>atgm</t>
        </is>
      </c>
      <c r="DS14" t="inlineStr">
        <is>
          <t>Medium</t>
        </is>
      </c>
      <c r="EB14" t="n">
        <v>3</v>
      </c>
      <c r="EE14" t="b">
        <v>1</v>
      </c>
      <c r="EH14" t="inlineStr">
        <is>
          <t>Missile</t>
        </is>
      </c>
      <c r="EI14" t="inlineStr">
        <is>
          <t>atgm_kornet</t>
        </is>
      </c>
      <c r="EK14" t="n">
        <v>60</v>
      </c>
      <c r="EP14" t="n">
        <v>34</v>
      </c>
      <c r="EQ14" t="inlineStr">
        <is>
          <t>9M113 Konkurs</t>
        </is>
      </c>
      <c r="EX14" t="n">
        <v>25</v>
      </c>
      <c r="FZ14" t="n">
        <v>2.7</v>
      </c>
      <c r="GB14" t="inlineStr">
        <is>
          <t>atgm_9m113_konkurs</t>
        </is>
      </c>
      <c r="GD14" t="inlineStr">
        <is>
          <t>Assets/MachineBrigade/Resources/Data/balance.json: weapons[237]</t>
        </is>
      </c>
      <c r="GE14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15">
      <c r="A15" t="inlineStr">
        <is>
          <t>autocannon_25</t>
        </is>
      </c>
      <c r="B15" t="inlineStr">
        <is>
          <t>M242 Bushmaster 25 mm</t>
        </is>
      </c>
      <c r="C15" t="inlineStr">
        <is>
          <t>cal_25</t>
        </is>
      </c>
      <c r="D15" t="inlineStr"/>
      <c r="E15" t="inlineStr">
        <is>
          <t>m242_bushmaster_25_mm</t>
        </is>
      </c>
      <c r="F15" t="inlineStr">
        <is>
          <t>autocannon</t>
        </is>
      </c>
      <c r="G15" t="n">
        <v>25</v>
      </c>
      <c r="H15" t="inlineStr"/>
      <c r="I15" t="inlineStr"/>
      <c r="J15" t="inlineStr"/>
      <c r="K15" t="inlineStr">
        <is>
          <t>Kinetic</t>
        </is>
      </c>
      <c r="L15" t="n">
        <v>2</v>
      </c>
      <c r="M15" t="inlineStr">
        <is>
          <t>Bullet</t>
        </is>
      </c>
      <c r="N15" t="n">
        <v>1</v>
      </c>
      <c r="O15" t="inlineStr">
        <is>
          <t>RIPPLE</t>
        </is>
      </c>
      <c r="P15" t="n">
        <v>8</v>
      </c>
      <c r="Q15" t="n">
        <v>0.1667</v>
      </c>
      <c r="R15" t="n">
        <v>1.4667</v>
      </c>
      <c r="S15" t="n">
        <v>0</v>
      </c>
      <c r="T15" t="n">
        <v>0</v>
      </c>
      <c r="U15" t="n">
        <v>0</v>
      </c>
      <c r="V15" t="n">
        <v>0</v>
      </c>
      <c r="W15" t="n">
        <v>17</v>
      </c>
      <c r="X15" t="n">
        <v>0</v>
      </c>
      <c r="Y15" t="n">
        <v>0</v>
      </c>
      <c r="Z15" t="n">
        <v>210</v>
      </c>
      <c r="AA15" t="n">
        <v>30</v>
      </c>
      <c r="AB15" t="n">
        <v>0</v>
      </c>
      <c r="AC15" t="inlineStr">
        <is>
          <t>Ground</t>
        </is>
      </c>
      <c r="AD15" t="inlineStr"/>
      <c r="AE15" t="n">
        <v>0.9</v>
      </c>
      <c r="AF15" t="inlineStr">
        <is>
          <t>Small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25</v>
      </c>
      <c r="AO15" t="n">
        <v>0</v>
      </c>
      <c r="AP15" t="inlineStr">
        <is>
          <t>T1</t>
        </is>
      </c>
      <c r="AQ15" t="inlineStr"/>
      <c r="AR15" t="inlineStr">
        <is>
          <t>autocannon_25_flak</t>
        </is>
      </c>
      <c r="AS15" t="inlineStr">
        <is>
          <t>thap;xe</t>
        </is>
      </c>
      <c r="AT15" t="inlineStr">
        <is>
          <t>armored_car;guard_tower.nest</t>
        </is>
      </c>
      <c r="AU15" t="n">
        <v>2</v>
      </c>
      <c r="AV15" t="inlineStr">
        <is>
          <t>armored_car:0;guard_tower.nest:other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0.1428571428571428</v>
      </c>
      <c r="BB15" t="n">
        <v>500</v>
      </c>
      <c r="BC15" t="n">
        <v>200</v>
      </c>
      <c r="BD15" t="inlineStr">
        <is>
          <t>ac</t>
        </is>
      </c>
      <c r="BE15" t="inlineStr">
        <is>
          <t>Wikipedia 'M242 Bushmaster': 200 or 500 rpm</t>
        </is>
      </c>
      <c r="BG15" t="inlineStr">
        <is>
          <t>giong</t>
        </is>
      </c>
      <c r="CR15" t="n">
        <v>8</v>
      </c>
      <c r="CS15" t="n">
        <v>0.1667</v>
      </c>
      <c r="CT15" t="n">
        <v>25</v>
      </c>
      <c r="DD15" t="n">
        <v>1.4667</v>
      </c>
      <c r="DE15" t="n">
        <v>17</v>
      </c>
      <c r="DF15" t="inlineStr">
        <is>
          <t>Kinetic</t>
        </is>
      </c>
      <c r="DJ15" t="inlineStr">
        <is>
          <t>autocannon</t>
        </is>
      </c>
      <c r="DS15" t="inlineStr">
        <is>
          <t>Small</t>
        </is>
      </c>
      <c r="EB15" t="n">
        <v>2</v>
      </c>
      <c r="EH15" t="inlineStr">
        <is>
          <t>Bullet</t>
        </is>
      </c>
      <c r="EP15" t="n">
        <v>30</v>
      </c>
      <c r="EQ15" t="inlineStr">
        <is>
          <t>M242 Bushmaster 25 mm</t>
        </is>
      </c>
      <c r="EV15" t="n">
        <v>22</v>
      </c>
      <c r="EX15" t="n">
        <v>25</v>
      </c>
      <c r="EZ15" t="n">
        <v>0.9</v>
      </c>
      <c r="FW15" t="inlineStr">
        <is>
          <t>Ground</t>
        </is>
      </c>
      <c r="GA15" t="inlineStr">
        <is>
          <t>m242_bushmaster_25_mm</t>
        </is>
      </c>
      <c r="GB15" t="inlineStr">
        <is>
          <t>cal_25</t>
        </is>
      </c>
      <c r="GD15" t="inlineStr">
        <is>
          <t>Assets/MachineBrigade/Resources/Data/balance.json: weapons[25]</t>
        </is>
      </c>
      <c r="GE15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16">
      <c r="A16" t="inlineStr">
        <is>
          <t>autocannon_25_flak</t>
        </is>
      </c>
      <c r="B16" t="inlineStr">
        <is>
          <t>M242 Bushmaster 25 mm air-burst</t>
        </is>
      </c>
      <c r="C16" t="inlineStr">
        <is>
          <t>cal_25</t>
        </is>
      </c>
      <c r="D16" t="inlineStr">
        <is>
          <t>flak</t>
        </is>
      </c>
      <c r="E16" t="inlineStr">
        <is>
          <t>m242_bushmaster_25_mm_air_burst</t>
        </is>
      </c>
      <c r="F16" t="inlineStr">
        <is>
          <t>autocannon</t>
        </is>
      </c>
      <c r="G16" t="n">
        <v>25</v>
      </c>
      <c r="H16" t="inlineStr"/>
      <c r="I16" t="inlineStr"/>
      <c r="J16" t="inlineStr"/>
      <c r="K16" t="inlineStr">
        <is>
          <t>Fragmentation</t>
        </is>
      </c>
      <c r="L16" t="n">
        <v>1</v>
      </c>
      <c r="M16" t="inlineStr">
        <is>
          <t>Bullet</t>
        </is>
      </c>
      <c r="N16" t="n">
        <v>1</v>
      </c>
      <c r="O16" t="inlineStr">
        <is>
          <t>RIPPLE</t>
        </is>
      </c>
      <c r="P16" t="n">
        <v>8</v>
      </c>
      <c r="Q16" t="n">
        <v>0.1667</v>
      </c>
      <c r="R16" t="n">
        <v>1.4667</v>
      </c>
      <c r="S16" t="n">
        <v>0</v>
      </c>
      <c r="T16" t="n">
        <v>0</v>
      </c>
      <c r="U16" t="n">
        <v>0</v>
      </c>
      <c r="V16" t="n">
        <v>0</v>
      </c>
      <c r="W16" t="n">
        <v>17</v>
      </c>
      <c r="X16" t="n">
        <v>2</v>
      </c>
      <c r="Y16" t="n">
        <v>0</v>
      </c>
      <c r="Z16" t="n">
        <v>210</v>
      </c>
      <c r="AA16" t="n">
        <v>30</v>
      </c>
      <c r="AB16" t="n">
        <v>0</v>
      </c>
      <c r="AC16" t="inlineStr">
        <is>
          <t>Air</t>
        </is>
      </c>
      <c r="AD16" t="inlineStr"/>
      <c r="AE16" t="n">
        <v>0.9</v>
      </c>
      <c r="AF16" t="inlineStr">
        <is>
          <t>Small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25</v>
      </c>
      <c r="AO16" t="n">
        <v>0</v>
      </c>
      <c r="AP16" t="inlineStr">
        <is>
          <t>T1</t>
        </is>
      </c>
      <c r="AQ16" t="inlineStr">
        <is>
          <t>autocannon_25</t>
        </is>
      </c>
      <c r="AR16" t="inlineStr"/>
      <c r="AS16" t="inlineStr"/>
      <c r="AT16" t="inlineStr"/>
      <c r="AU16" t="n">
        <v>0</v>
      </c>
      <c r="AV16" t="inlineStr"/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0.1428571428571428</v>
      </c>
      <c r="BB16" t="n">
        <v>500</v>
      </c>
      <c r="BC16" t="n">
        <v>200</v>
      </c>
      <c r="BD16" t="inlineStr">
        <is>
          <t>ac</t>
        </is>
      </c>
      <c r="BE16" t="inlineStr">
        <is>
          <t>Wikipedia 'M242 Bushmaster': 200 or 500 rpm</t>
        </is>
      </c>
      <c r="BG16" t="inlineStr">
        <is>
          <t>giong</t>
        </is>
      </c>
      <c r="DE16" t="n">
        <v>17</v>
      </c>
      <c r="DF16" t="inlineStr">
        <is>
          <t>Fragmentation</t>
        </is>
      </c>
      <c r="DM16" t="inlineStr">
        <is>
          <t>air</t>
        </is>
      </c>
      <c r="DN16" t="inlineStr">
        <is>
          <t>Airburst</t>
        </is>
      </c>
      <c r="DT16" t="inlineStr">
        <is>
          <t>autocannon_25</t>
        </is>
      </c>
      <c r="EB16" t="n">
        <v>1</v>
      </c>
      <c r="EE16" t="b">
        <v>0</v>
      </c>
      <c r="EQ16" t="inlineStr">
        <is>
          <t>M242 Bushmaster 25 mm air-burst</t>
        </is>
      </c>
      <c r="ES16" t="inlineStr">
        <is>
          <t>flak</t>
        </is>
      </c>
      <c r="EU16" t="inlineStr">
        <is>
          <t>autocannon_25</t>
        </is>
      </c>
      <c r="EY16" t="n">
        <v>2</v>
      </c>
      <c r="FW16" t="inlineStr">
        <is>
          <t>Air</t>
        </is>
      </c>
      <c r="GA16" t="inlineStr">
        <is>
          <t>m242_bushmaster_25_mm_air_burst</t>
        </is>
      </c>
      <c r="GC16" t="inlineStr">
        <is>
          <t>flak</t>
        </is>
      </c>
      <c r="GD16" t="inlineStr">
        <is>
          <t>Assets/MachineBrigade/Resources/Data/balance.json: secondRounds.rounds[1]</t>
        </is>
      </c>
      <c r="GE16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17">
      <c r="A17" t="inlineStr">
        <is>
          <t>autocannon_30</t>
        </is>
      </c>
      <c r="B17" t="inlineStr">
        <is>
          <t>2A42 30 mm</t>
        </is>
      </c>
      <c r="C17" t="inlineStr">
        <is>
          <t>cal_30</t>
        </is>
      </c>
      <c r="D17" t="inlineStr"/>
      <c r="E17" t="inlineStr">
        <is>
          <t>2a42_30_mm</t>
        </is>
      </c>
      <c r="F17" t="inlineStr">
        <is>
          <t>autocannon</t>
        </is>
      </c>
      <c r="G17" t="n">
        <v>30</v>
      </c>
      <c r="H17" t="inlineStr"/>
      <c r="I17" t="inlineStr"/>
      <c r="J17" t="inlineStr"/>
      <c r="K17" t="inlineStr">
        <is>
          <t>Kinetic</t>
        </is>
      </c>
      <c r="L17" t="n">
        <v>2</v>
      </c>
      <c r="M17" t="inlineStr">
        <is>
          <t>Bullet</t>
        </is>
      </c>
      <c r="N17" t="n">
        <v>1</v>
      </c>
      <c r="O17" t="inlineStr">
        <is>
          <t>RIPPLE</t>
        </is>
      </c>
      <c r="P17" t="n">
        <v>10</v>
      </c>
      <c r="Q17" t="n">
        <v>0.1111</v>
      </c>
      <c r="R17" t="n">
        <v>1.6111</v>
      </c>
      <c r="S17" t="n">
        <v>0</v>
      </c>
      <c r="T17" t="n">
        <v>0</v>
      </c>
      <c r="U17" t="n">
        <v>0</v>
      </c>
      <c r="V17" t="n">
        <v>0</v>
      </c>
      <c r="W17" t="n">
        <v>22</v>
      </c>
      <c r="X17" t="n">
        <v>0</v>
      </c>
      <c r="Y17" t="n">
        <v>0</v>
      </c>
      <c r="Z17" t="n">
        <v>200</v>
      </c>
      <c r="AA17" t="n">
        <v>30</v>
      </c>
      <c r="AB17" t="n">
        <v>0</v>
      </c>
      <c r="AC17" t="inlineStr">
        <is>
          <t>Ground</t>
        </is>
      </c>
      <c r="AD17" t="inlineStr"/>
      <c r="AE17" t="n">
        <v>0.8</v>
      </c>
      <c r="AF17" t="inlineStr">
        <is>
          <t>Small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30</v>
      </c>
      <c r="AO17" t="n">
        <v>0</v>
      </c>
      <c r="AP17" t="inlineStr">
        <is>
          <t>T1</t>
        </is>
      </c>
      <c r="AQ17" t="inlineStr"/>
      <c r="AR17" t="inlineStr">
        <is>
          <t>autocannon_30_flak</t>
        </is>
      </c>
      <c r="AS17" t="inlineStr">
        <is>
          <t>boss_part;xe</t>
        </is>
      </c>
      <c r="AT17" t="inlineStr">
        <is>
          <t>elite_apc;elite_heavy_tank;gun_30;heavy_tank</t>
        </is>
      </c>
      <c r="AU17" t="n">
        <v>4</v>
      </c>
      <c r="AV17" t="inlineStr">
        <is>
          <t>elite_apc:0;elite_heavy_tank:1;gun_30:part;heavy_tank:1</t>
        </is>
      </c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0.15</v>
      </c>
      <c r="BB17" t="n">
        <v>800</v>
      </c>
      <c r="BC17" t="n">
        <v>300</v>
      </c>
      <c r="BD17" t="inlineStr">
        <is>
          <t>ac</t>
        </is>
      </c>
      <c r="BE17" t="inlineStr">
        <is>
          <t>Wikipedia '2A42': 550-800 high, 200-300 low rpm</t>
        </is>
      </c>
      <c r="BG17" t="inlineStr">
        <is>
          <t>giong</t>
        </is>
      </c>
      <c r="CR17" t="n">
        <v>10</v>
      </c>
      <c r="CS17" t="n">
        <v>0.1111</v>
      </c>
      <c r="CT17" t="n">
        <v>30</v>
      </c>
      <c r="DD17" t="n">
        <v>1.6111</v>
      </c>
      <c r="DE17" t="n">
        <v>22</v>
      </c>
      <c r="DF17" t="inlineStr">
        <is>
          <t>Kinetic</t>
        </is>
      </c>
      <c r="DJ17" t="inlineStr">
        <is>
          <t>autocannon</t>
        </is>
      </c>
      <c r="DS17" t="inlineStr">
        <is>
          <t>Small</t>
        </is>
      </c>
      <c r="EB17" t="n">
        <v>2</v>
      </c>
      <c r="EH17" t="inlineStr">
        <is>
          <t>Bullet</t>
        </is>
      </c>
      <c r="EP17" t="n">
        <v>30</v>
      </c>
      <c r="EQ17" t="inlineStr">
        <is>
          <t>2A42 30 mm</t>
        </is>
      </c>
      <c r="EX17" t="n">
        <v>30</v>
      </c>
      <c r="EZ17" t="n">
        <v>0.8</v>
      </c>
      <c r="FW17" t="inlineStr">
        <is>
          <t>Ground</t>
        </is>
      </c>
      <c r="GA17" t="inlineStr">
        <is>
          <t>2a42_30_mm</t>
        </is>
      </c>
      <c r="GB17" t="inlineStr">
        <is>
          <t>cal_30</t>
        </is>
      </c>
      <c r="GD17" t="inlineStr">
        <is>
          <t>Assets/MachineBrigade/Resources/Data/balance.json: weapons[8]</t>
        </is>
      </c>
      <c r="GE17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18">
      <c r="A18" t="inlineStr">
        <is>
          <t>autocannon_30_flak</t>
        </is>
      </c>
      <c r="B18" t="inlineStr">
        <is>
          <t>2A42 30 mm air-burst</t>
        </is>
      </c>
      <c r="C18" t="inlineStr">
        <is>
          <t>cal_30</t>
        </is>
      </c>
      <c r="D18" t="inlineStr">
        <is>
          <t>flak</t>
        </is>
      </c>
      <c r="E18" t="inlineStr">
        <is>
          <t>2a42_30_mm_air_burst</t>
        </is>
      </c>
      <c r="F18" t="inlineStr">
        <is>
          <t>autocannon</t>
        </is>
      </c>
      <c r="G18" t="n">
        <v>30</v>
      </c>
      <c r="H18" t="inlineStr"/>
      <c r="I18" t="inlineStr"/>
      <c r="J18" t="inlineStr"/>
      <c r="K18" t="inlineStr">
        <is>
          <t>Fragmentation</t>
        </is>
      </c>
      <c r="L18" t="n">
        <v>2</v>
      </c>
      <c r="M18" t="inlineStr">
        <is>
          <t>Bullet</t>
        </is>
      </c>
      <c r="N18" t="n">
        <v>1</v>
      </c>
      <c r="O18" t="inlineStr">
        <is>
          <t>RIPPLE</t>
        </is>
      </c>
      <c r="P18" t="n">
        <v>10</v>
      </c>
      <c r="Q18" t="n">
        <v>0.1111</v>
      </c>
      <c r="R18" t="n">
        <v>1.6111</v>
      </c>
      <c r="S18" t="n">
        <v>0</v>
      </c>
      <c r="T18" t="n">
        <v>0</v>
      </c>
      <c r="U18" t="n">
        <v>0</v>
      </c>
      <c r="V18" t="n">
        <v>0</v>
      </c>
      <c r="W18" t="n">
        <v>22</v>
      </c>
      <c r="X18" t="n">
        <v>2.5</v>
      </c>
      <c r="Y18" t="n">
        <v>0</v>
      </c>
      <c r="Z18" t="n">
        <v>200</v>
      </c>
      <c r="AA18" t="n">
        <v>30</v>
      </c>
      <c r="AB18" t="n">
        <v>0</v>
      </c>
      <c r="AC18" t="inlineStr">
        <is>
          <t>Air</t>
        </is>
      </c>
      <c r="AD18" t="inlineStr"/>
      <c r="AE18" t="n">
        <v>0.8</v>
      </c>
      <c r="AF18" t="inlineStr">
        <is>
          <t>Small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30</v>
      </c>
      <c r="AO18" t="n">
        <v>0</v>
      </c>
      <c r="AP18" t="inlineStr">
        <is>
          <t>T1</t>
        </is>
      </c>
      <c r="AQ18" t="inlineStr">
        <is>
          <t>autocannon_30</t>
        </is>
      </c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0.15</v>
      </c>
      <c r="BB18" t="n">
        <v>800</v>
      </c>
      <c r="BC18" t="n">
        <v>300</v>
      </c>
      <c r="BD18" t="inlineStr">
        <is>
          <t>ac</t>
        </is>
      </c>
      <c r="BE18" t="inlineStr">
        <is>
          <t>Wikipedia '2A42': 550-800 high, 200-300 low rpm</t>
        </is>
      </c>
      <c r="BG18" t="inlineStr">
        <is>
          <t>giong</t>
        </is>
      </c>
      <c r="DE18" t="n">
        <v>22</v>
      </c>
      <c r="DF18" t="inlineStr">
        <is>
          <t>Fragmentation</t>
        </is>
      </c>
      <c r="DM18" t="inlineStr">
        <is>
          <t>air</t>
        </is>
      </c>
      <c r="DN18" t="inlineStr">
        <is>
          <t>Airburst</t>
        </is>
      </c>
      <c r="DT18" t="inlineStr">
        <is>
          <t>autocannon_30</t>
        </is>
      </c>
      <c r="EB18" t="n">
        <v>2</v>
      </c>
      <c r="EE18" t="b">
        <v>0</v>
      </c>
      <c r="EQ18" t="inlineStr">
        <is>
          <t>2A42 30 mm air-burst</t>
        </is>
      </c>
      <c r="ES18" t="inlineStr">
        <is>
          <t>flak</t>
        </is>
      </c>
      <c r="EU18" t="inlineStr">
        <is>
          <t>autocannon_30</t>
        </is>
      </c>
      <c r="EY18" t="n">
        <v>2.5</v>
      </c>
      <c r="FW18" t="inlineStr">
        <is>
          <t>Air</t>
        </is>
      </c>
      <c r="GA18" t="inlineStr">
        <is>
          <t>2a42_30_mm_air_burst</t>
        </is>
      </c>
      <c r="GC18" t="inlineStr">
        <is>
          <t>flak</t>
        </is>
      </c>
      <c r="GD18" t="inlineStr">
        <is>
          <t>Assets/MachineBrigade/Resources/Data/balance.json: secondRounds.rounds[2]</t>
        </is>
      </c>
      <c r="GE18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9">
      <c r="A19" t="inlineStr">
        <is>
          <t>autocannon_40</t>
        </is>
      </c>
      <c r="B19" t="inlineStr">
        <is>
          <t>Bofors 40 mm</t>
        </is>
      </c>
      <c r="C19" t="inlineStr">
        <is>
          <t>cal_40</t>
        </is>
      </c>
      <c r="D19" t="inlineStr"/>
      <c r="E19" t="inlineStr"/>
      <c r="F19" t="inlineStr">
        <is>
          <t>autocannon</t>
        </is>
      </c>
      <c r="G19" t="n">
        <v>40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1</v>
      </c>
      <c r="Q19" t="n">
        <v>0.1</v>
      </c>
      <c r="R19" t="n">
        <v>0.2</v>
      </c>
      <c r="S19" t="n">
        <v>10</v>
      </c>
      <c r="T19" t="n">
        <v>1.72</v>
      </c>
      <c r="U19" t="n">
        <v>0</v>
      </c>
      <c r="V19" t="n">
        <v>0</v>
      </c>
      <c r="W19" t="n">
        <v>30</v>
      </c>
      <c r="X19" t="n">
        <v>1</v>
      </c>
      <c r="Y19" t="n">
        <v>0</v>
      </c>
      <c r="Z19" t="n">
        <v>210</v>
      </c>
      <c r="AA19" t="n">
        <v>28</v>
      </c>
      <c r="AB19" t="n">
        <v>0</v>
      </c>
      <c r="AC19" t="inlineStr">
        <is>
          <t>All</t>
        </is>
      </c>
      <c r="AD19" t="inlineStr"/>
      <c r="AE19" t="n">
        <v>0.8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40</v>
      </c>
      <c r="AO19" t="n">
        <v>0</v>
      </c>
      <c r="AP19" t="inlineStr">
        <is>
          <t>T1</t>
        </is>
      </c>
      <c r="AQ19" t="inlineStr"/>
      <c r="AR19" t="inlineStr">
        <is>
          <t>autocannon_40_flak</t>
        </is>
      </c>
      <c r="AS19" t="inlineStr">
        <is>
          <t>boss_part</t>
        </is>
      </c>
      <c r="AT19" t="inlineStr">
        <is>
          <t>gun_40</t>
        </is>
      </c>
      <c r="AU19" t="n">
        <v>1</v>
      </c>
      <c r="AV19" t="inlineStr">
        <is>
          <t>gun_40:part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0.1333333333333333</v>
      </c>
      <c r="BB19" t="n">
        <v>330</v>
      </c>
      <c r="BC19" t="n">
        <v>120</v>
      </c>
      <c r="BD19" t="inlineStr">
        <is>
          <t>aa</t>
        </is>
      </c>
      <c r="BE19" t="inlineStr">
        <is>
          <t>Wikipedia 'Bofors 40 mm L/70': 240-330 rpm</t>
        </is>
      </c>
      <c r="BF19" t="inlineStr">
        <is>
          <t>Gungnir's 40 mm guns: frozen (fix rule 8); their 1 m burst is Gungnir's own</t>
        </is>
      </c>
      <c r="BG19" t="inlineStr">
        <is>
          <t>giong</t>
        </is>
      </c>
      <c r="CT19" t="n">
        <v>40</v>
      </c>
      <c r="CW19" t="n">
        <v>10</v>
      </c>
      <c r="CX19" t="n">
        <v>1.72</v>
      </c>
      <c r="DD19" t="n">
        <v>0.2</v>
      </c>
      <c r="DE19" t="n">
        <v>30</v>
      </c>
      <c r="DF19" t="inlineStr">
        <is>
          <t>Kinetic</t>
        </is>
      </c>
      <c r="DJ19" t="inlineStr">
        <is>
          <t>autocannon</t>
        </is>
      </c>
      <c r="DS19" t="inlineStr">
        <is>
          <t>Small</t>
        </is>
      </c>
      <c r="EB19" t="n">
        <v>2</v>
      </c>
      <c r="EH19" t="inlineStr">
        <is>
          <t>Bullet</t>
        </is>
      </c>
      <c r="EK19" t="n">
        <v>210</v>
      </c>
      <c r="EP19" t="n">
        <v>28</v>
      </c>
      <c r="EQ19" t="inlineStr">
        <is>
          <t>Bofors 40 mm</t>
        </is>
      </c>
      <c r="EV19" t="n">
        <v>51</v>
      </c>
      <c r="EX19" t="n">
        <v>40</v>
      </c>
      <c r="EY19" t="n">
        <v>1</v>
      </c>
      <c r="EZ19" t="n">
        <v>0.8</v>
      </c>
      <c r="FW19" t="inlineStr">
        <is>
          <t>All</t>
        </is>
      </c>
      <c r="GB19" t="inlineStr">
        <is>
          <t>cal_40</t>
        </is>
      </c>
      <c r="GD19" t="inlineStr">
        <is>
          <t>Assets/MachineBrigade/Resources/Data/balance.json: weapons[99]</t>
        </is>
      </c>
      <c r="GE19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0">
      <c r="A20" t="inlineStr">
        <is>
          <t>autocannon_40_flak</t>
        </is>
      </c>
      <c r="B20" t="inlineStr">
        <is>
          <t>Bofors 40 mm air-burst</t>
        </is>
      </c>
      <c r="C20" t="inlineStr">
        <is>
          <t>cal_40</t>
        </is>
      </c>
      <c r="D20" t="inlineStr">
        <is>
          <t>flak</t>
        </is>
      </c>
      <c r="E20" t="inlineStr"/>
      <c r="F20" t="inlineStr">
        <is>
          <t>autocannon</t>
        </is>
      </c>
      <c r="G20" t="n">
        <v>40</v>
      </c>
      <c r="H20" t="inlineStr"/>
      <c r="I20" t="inlineStr"/>
      <c r="J20" t="inlineStr"/>
      <c r="K20" t="inlineStr">
        <is>
          <t>Fragmentation</t>
        </is>
      </c>
      <c r="L20" t="n">
        <v>2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1</v>
      </c>
      <c r="Q20" t="n">
        <v>0.1</v>
      </c>
      <c r="R20" t="n">
        <v>0.2</v>
      </c>
      <c r="S20" t="n">
        <v>10</v>
      </c>
      <c r="T20" t="n">
        <v>1.72</v>
      </c>
      <c r="U20" t="n">
        <v>0</v>
      </c>
      <c r="V20" t="n">
        <v>0</v>
      </c>
      <c r="W20" t="n">
        <v>30</v>
      </c>
      <c r="X20" t="n">
        <v>3.5</v>
      </c>
      <c r="Y20" t="n">
        <v>0</v>
      </c>
      <c r="Z20" t="n">
        <v>210</v>
      </c>
      <c r="AA20" t="n">
        <v>28</v>
      </c>
      <c r="AB20" t="n">
        <v>0</v>
      </c>
      <c r="AC20" t="inlineStr">
        <is>
          <t>Air</t>
        </is>
      </c>
      <c r="AD20" t="inlineStr"/>
      <c r="AE20" t="n">
        <v>0.8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40</v>
      </c>
      <c r="AO20" t="n">
        <v>0</v>
      </c>
      <c r="AP20" t="inlineStr">
        <is>
          <t>T1</t>
        </is>
      </c>
      <c r="AQ20" t="inlineStr">
        <is>
          <t>autocannon_40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0.1333333333333333</v>
      </c>
      <c r="BB20" t="n">
        <v>330</v>
      </c>
      <c r="BC20" t="n">
        <v>120</v>
      </c>
      <c r="BD20" t="inlineStr">
        <is>
          <t>aa</t>
        </is>
      </c>
      <c r="BE20" t="inlineStr">
        <is>
          <t>Wikipedia 'Bofors 40 mm L/70': 240-330 rpm</t>
        </is>
      </c>
      <c r="BG20" t="inlineStr">
        <is>
          <t>giong</t>
        </is>
      </c>
      <c r="DE20" t="n">
        <v>30</v>
      </c>
      <c r="DF20" t="inlineStr">
        <is>
          <t>Fragmentation</t>
        </is>
      </c>
      <c r="DM20" t="inlineStr">
        <is>
          <t>air</t>
        </is>
      </c>
      <c r="DN20" t="inlineStr">
        <is>
          <t>Airburst</t>
        </is>
      </c>
      <c r="DT20" t="inlineStr">
        <is>
          <t>autocannon_40</t>
        </is>
      </c>
      <c r="EB20" t="n">
        <v>2</v>
      </c>
      <c r="EE20" t="b">
        <v>0</v>
      </c>
      <c r="EQ20" t="inlineStr">
        <is>
          <t>Bofors 40 mm air-burst</t>
        </is>
      </c>
      <c r="ES20" t="inlineStr">
        <is>
          <t>flak</t>
        </is>
      </c>
      <c r="EU20" t="inlineStr">
        <is>
          <t>autocannon_40</t>
        </is>
      </c>
      <c r="EY20" t="n">
        <v>3.5</v>
      </c>
      <c r="FW20" t="inlineStr">
        <is>
          <t>Air</t>
        </is>
      </c>
      <c r="GA20" t="inlineStr"/>
      <c r="GC20" t="inlineStr">
        <is>
          <t>flak</t>
        </is>
      </c>
      <c r="GD20" t="inlineStr">
        <is>
          <t>Assets/MachineBrigade/Resources/Data/balance.json: secondRounds.rounds[3]</t>
        </is>
      </c>
      <c r="GE20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1">
      <c r="A21" t="inlineStr">
        <is>
          <t>ballistic_missile</t>
        </is>
      </c>
      <c r="B21" t="inlineStr">
        <is>
          <t>9M723 Iskander (700 kg)</t>
        </is>
      </c>
      <c r="C21" t="inlineStr">
        <is>
          <t>bal_9m723_iskander</t>
        </is>
      </c>
      <c r="D21" t="inlineStr"/>
      <c r="E21" t="inlineStr"/>
      <c r="F21" t="inlineStr">
        <is>
          <t>ballistic</t>
        </is>
      </c>
      <c r="G21" t="inlineStr"/>
      <c r="H21" t="n">
        <v>480</v>
      </c>
      <c r="I21" t="inlineStr"/>
      <c r="J21" t="inlineStr"/>
      <c r="K21" t="inlineStr">
        <is>
          <t>HighExplosive</t>
        </is>
      </c>
      <c r="L21" t="n">
        <v>4</v>
      </c>
      <c r="M21" t="inlineStr">
        <is>
          <t>Rocket</t>
        </is>
      </c>
      <c r="N21" t="n">
        <v>1</v>
      </c>
      <c r="O21" t="inlineStr">
        <is>
          <t>RIPPLE</t>
        </is>
      </c>
      <c r="P21" t="n">
        <v>2</v>
      </c>
      <c r="Q21" t="n">
        <v>1.5</v>
      </c>
      <c r="R21" t="n">
        <v>22.71</v>
      </c>
      <c r="S21" t="n">
        <v>0</v>
      </c>
      <c r="T21" t="n">
        <v>0</v>
      </c>
      <c r="U21" t="n">
        <v>2</v>
      </c>
      <c r="V21" t="n">
        <v>0</v>
      </c>
      <c r="W21" t="n">
        <v>630</v>
      </c>
      <c r="X21" t="n">
        <v>10</v>
      </c>
      <c r="Y21" t="n">
        <v>0</v>
      </c>
      <c r="Z21" t="n">
        <v>200</v>
      </c>
      <c r="AA21" t="n">
        <v>180</v>
      </c>
      <c r="AB21" t="n">
        <v>40</v>
      </c>
      <c r="AC21" t="inlineStr">
        <is>
          <t>Ground</t>
        </is>
      </c>
      <c r="AD21" t="inlineStr"/>
      <c r="AE21" t="n">
        <v>5</v>
      </c>
      <c r="AF21" t="inlineStr">
        <is>
          <t>Ultimate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700</v>
      </c>
      <c r="AO21" t="n">
        <v>0</v>
      </c>
      <c r="AP21" t="inlineStr">
        <is>
          <t>T4</t>
        </is>
      </c>
      <c r="AQ21" t="inlineStr"/>
      <c r="AR21" t="inlineStr"/>
      <c r="AS21" t="inlineStr">
        <is>
          <t>xe</t>
        </is>
      </c>
      <c r="AT21" t="inlineStr">
        <is>
          <t>ballistic_launcher</t>
        </is>
      </c>
      <c r="AU21" t="n">
        <v>1</v>
      </c>
      <c r="AV21" t="inlineStr">
        <is>
          <t>ballistic_launcher:0</t>
        </is>
      </c>
      <c r="AW21" t="n">
        <v>2.722222222222222</v>
      </c>
      <c r="AX21" t="b">
        <v>1</v>
      </c>
      <c r="AY21" t="inlineStr"/>
      <c r="AZ21">
        <f>IF(AND($AX$21,$AW$21&gt;$AA$21/$Z$21),$AW$21,$AA$21/$Z$21)</f>
        <v/>
      </c>
      <c r="BA21" t="n">
        <v>2.722222222222222</v>
      </c>
      <c r="BB21" t="n">
        <v>2</v>
      </c>
      <c r="BC21" t="n">
        <v>2</v>
      </c>
      <c r="BD21" t="inlineStr">
        <is>
          <t>missile</t>
        </is>
      </c>
      <c r="BE21" t="inlineStr">
        <is>
          <t>Wikipedia '9K720 Iskander': two missiles within a minute</t>
        </is>
      </c>
      <c r="BG21" t="inlineStr">
        <is>
          <t>doi</t>
        </is>
      </c>
      <c r="BR21" t="n">
        <v>50</v>
      </c>
      <c r="BS21" t="n">
        <v>200</v>
      </c>
      <c r="CN21" t="n">
        <v>2</v>
      </c>
      <c r="CR21" t="n">
        <v>2</v>
      </c>
      <c r="CS21" t="n">
        <v>1.5</v>
      </c>
      <c r="DD21" t="n">
        <v>22.71</v>
      </c>
      <c r="DE21" t="n">
        <v>630</v>
      </c>
      <c r="DF21" t="inlineStr">
        <is>
          <t>HighExplosive</t>
        </is>
      </c>
      <c r="DJ21" t="inlineStr">
        <is>
          <t>ballistic</t>
        </is>
      </c>
      <c r="DS21" t="inlineStr">
        <is>
          <t>Ultimate</t>
        </is>
      </c>
      <c r="DZ21" t="n">
        <v>40</v>
      </c>
      <c r="EB21" t="n">
        <v>4</v>
      </c>
      <c r="EH21" t="inlineStr">
        <is>
          <t>Rocket</t>
        </is>
      </c>
      <c r="EJ21" t="n">
        <v>0.85</v>
      </c>
      <c r="EK21" t="n">
        <v>200</v>
      </c>
      <c r="EP21" t="n">
        <v>180</v>
      </c>
      <c r="EQ21" t="inlineStr">
        <is>
          <t>9M723 Iskander (700 kg)</t>
        </is>
      </c>
      <c r="EV21" t="n">
        <v>700</v>
      </c>
      <c r="EX21" t="n">
        <v>700</v>
      </c>
      <c r="EY21" t="n">
        <v>10</v>
      </c>
      <c r="EZ21" t="n">
        <v>5</v>
      </c>
      <c r="FZ21" t="n">
        <v>480</v>
      </c>
      <c r="GB21" t="inlineStr">
        <is>
          <t>bal_9m723_iskander</t>
        </is>
      </c>
      <c r="GD21" t="inlineStr">
        <is>
          <t>Assets/MachineBrigade/Resources/Data/balance.json: weapons[59]</t>
        </is>
      </c>
      <c r="GE21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200,"splash":10,"spread":5,"impactTier":"Ultimate","projectile":"Rocket","burst":2,"burstInterval":1.5,"ammo":2,"roundWeight":700}</t>
        </is>
      </c>
    </row>
    <row r="22">
      <c r="A22" t="inlineStr">
        <is>
          <t>bastion_gun</t>
        </is>
      </c>
      <c r="B22" t="inlineStr">
        <is>
          <t>2A83 152 mm (twin)</t>
        </is>
      </c>
      <c r="C22" t="inlineStr">
        <is>
          <t>cal_152_155</t>
        </is>
      </c>
      <c r="D22" t="inlineStr">
        <is>
          <t>ap</t>
        </is>
      </c>
      <c r="E22" t="inlineStr">
        <is>
          <t>2a83_152_mm</t>
        </is>
      </c>
      <c r="F22" t="inlineStr">
        <is>
          <t>tank_gun</t>
        </is>
      </c>
      <c r="G22" t="n">
        <v>152</v>
      </c>
      <c r="H22" t="inlineStr"/>
      <c r="I22" t="inlineStr"/>
      <c r="J22" t="inlineStr"/>
      <c r="K22" t="inlineStr">
        <is>
          <t>Kinetic</t>
        </is>
      </c>
      <c r="L22" t="n">
        <v>4</v>
      </c>
      <c r="M22" t="inlineStr">
        <is>
          <t>Shell</t>
        </is>
      </c>
      <c r="N22" t="n">
        <v>2</v>
      </c>
      <c r="O22" t="inlineStr">
        <is>
          <t>SIMULTANEOUS</t>
        </is>
      </c>
      <c r="P22" t="n">
        <v>1</v>
      </c>
      <c r="Q22" t="n">
        <v>0.05</v>
      </c>
      <c r="R22" t="n">
        <v>7.443</v>
      </c>
      <c r="S22" t="n">
        <v>0</v>
      </c>
      <c r="T22" t="n">
        <v>0</v>
      </c>
      <c r="U22" t="n">
        <v>0</v>
      </c>
      <c r="V22" t="n">
        <v>0</v>
      </c>
      <c r="W22" t="n">
        <v>457</v>
      </c>
      <c r="X22" t="n">
        <v>2.5</v>
      </c>
      <c r="Y22" t="n">
        <v>0</v>
      </c>
      <c r="Z22" t="n">
        <v>160</v>
      </c>
      <c r="AA22" t="n">
        <v>40</v>
      </c>
      <c r="AB22" t="n">
        <v>0</v>
      </c>
      <c r="AC22" t="inlineStr">
        <is>
          <t>Ground</t>
        </is>
      </c>
      <c r="AD22" t="inlineStr"/>
      <c r="AE22" t="n">
        <v>0.3</v>
      </c>
      <c r="AF22" t="inlineStr">
        <is>
          <t>Large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152</v>
      </c>
      <c r="AO22" t="n">
        <v>0</v>
      </c>
      <c r="AP22" t="inlineStr">
        <is>
          <t>T3</t>
        </is>
      </c>
      <c r="AQ22" t="inlineStr"/>
      <c r="AR22" t="inlineStr">
        <is>
          <t>bastion_gun_he</t>
        </is>
      </c>
      <c r="AS22" t="inlineStr">
        <is>
          <t>cong_trinh;thap</t>
        </is>
      </c>
      <c r="AT22" t="inlineStr">
        <is>
          <t>headquarters;headquarters.fortress_air;headquarters.fortress_ground;headquarters.shield;spawn_bastion</t>
        </is>
      </c>
      <c r="AU22" t="n">
        <v>5</v>
      </c>
      <c r="AV22" t="inlineStr">
        <is>
          <t>headquarters:0;headquarters.fortress_air:0;headquarters.fortress_ground:0;headquarters.shield:0;spawn_bastion:0</t>
        </is>
      </c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0.25</v>
      </c>
      <c r="BB22" t="n">
        <v>10</v>
      </c>
      <c r="BC22" t="n">
        <v>8</v>
      </c>
      <c r="BD22" t="inlineStr">
        <is>
          <t>gun</t>
        </is>
      </c>
      <c r="BE22" t="inlineStr">
        <is>
          <t>Object 195 / T-14 152 mm, est. ~10 rpm (the sheet)</t>
        </is>
      </c>
      <c r="BG22" t="inlineStr">
        <is>
          <t>doi</t>
        </is>
      </c>
      <c r="BH22" t="n">
        <v>320</v>
      </c>
      <c r="BI22" t="n">
        <v>457</v>
      </c>
      <c r="BJ22" t="n">
        <v>5.16</v>
      </c>
      <c r="BK22" t="n">
        <v>7.443</v>
      </c>
      <c r="BT22" t="n">
        <v>2</v>
      </c>
      <c r="BU22" t="n">
        <v>1</v>
      </c>
      <c r="BX22" t="n">
        <v>1</v>
      </c>
      <c r="BY22" t="n">
        <v>2</v>
      </c>
      <c r="BZ22" t="inlineStr">
        <is>
          <t>RIPPLE</t>
        </is>
      </c>
      <c r="CA22" t="inlineStr">
        <is>
          <t>SIMULTANEOUS</t>
        </is>
      </c>
      <c r="CO22" t="n">
        <v>2</v>
      </c>
      <c r="CR22" t="n">
        <v>1</v>
      </c>
      <c r="CS22" t="n">
        <v>0.05</v>
      </c>
      <c r="CT22" t="n">
        <v>152</v>
      </c>
      <c r="DD22" t="n">
        <v>7.443</v>
      </c>
      <c r="DE22" t="n">
        <v>457</v>
      </c>
      <c r="DF22" t="inlineStr">
        <is>
          <t>Kinetic</t>
        </is>
      </c>
      <c r="DJ22" t="inlineStr">
        <is>
          <t>tank_gun</t>
        </is>
      </c>
      <c r="DR22" t="n">
        <v>1.5</v>
      </c>
      <c r="DS22" t="inlineStr">
        <is>
          <t>Large</t>
        </is>
      </c>
      <c r="EB22" t="n">
        <v>4</v>
      </c>
      <c r="EE22" t="b">
        <v>1</v>
      </c>
      <c r="EP22" t="n">
        <v>40</v>
      </c>
      <c r="EQ22" t="inlineStr">
        <is>
          <t>2A83 152 mm (twin)</t>
        </is>
      </c>
      <c r="EW22" t="inlineStr">
        <is>
          <t>SIMULTANEOUS</t>
        </is>
      </c>
      <c r="EX22" t="n">
        <v>152</v>
      </c>
      <c r="EZ22" t="n">
        <v>0.3</v>
      </c>
      <c r="GA22" t="inlineStr">
        <is>
          <t>2a83_152_mm</t>
        </is>
      </c>
      <c r="GB22" t="inlineStr">
        <is>
          <t>cal_152_155</t>
        </is>
      </c>
      <c r="GC22" t="inlineStr">
        <is>
          <t>ap</t>
        </is>
      </c>
      <c r="GD22" t="inlineStr">
        <is>
          <t>Assets/MachineBrigade/Resources/Data/balance.json: weapons[91]</t>
        </is>
      </c>
      <c r="GE22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(twin)","family":"tank_gun","size":152,"caliberMm":152,"pen":4,"piercing":true,"damageType":"Kinetic","damage":457,"cooldown":7.443,"range":40,"spread":0.3,"impactTier":"Large","burst":1,"burstInterval":0.05,"impactScale":1.5}</t>
        </is>
      </c>
    </row>
    <row r="23">
      <c r="A23" t="inlineStr">
        <is>
          <t>bastion_gun_he</t>
        </is>
      </c>
      <c r="B23" t="inlineStr">
        <is>
          <t>2A83 152 mm HE-FRAG (twin)</t>
        </is>
      </c>
      <c r="C23" t="inlineStr">
        <is>
          <t>cal_152_155</t>
        </is>
      </c>
      <c r="D23" t="inlineStr"/>
      <c r="E23" t="inlineStr">
        <is>
          <t>2a83_152_mm_he_frag</t>
        </is>
      </c>
      <c r="F23" t="inlineStr">
        <is>
          <t>tank_gun</t>
        </is>
      </c>
      <c r="G23" t="n">
        <v>152</v>
      </c>
      <c r="H23" t="inlineStr"/>
      <c r="I23" t="inlineStr"/>
      <c r="J23" t="inlineStr"/>
      <c r="K23" t="inlineStr">
        <is>
          <t>HighExplosive</t>
        </is>
      </c>
      <c r="L23" t="n">
        <v>3</v>
      </c>
      <c r="M23" t="inlineStr">
        <is>
          <t>Shell</t>
        </is>
      </c>
      <c r="N23" t="n">
        <v>2</v>
      </c>
      <c r="O23" t="inlineStr">
        <is>
          <t>SIMULTANEOUS</t>
        </is>
      </c>
      <c r="P23" t="n">
        <v>1</v>
      </c>
      <c r="Q23" t="n">
        <v>0.05</v>
      </c>
      <c r="R23" t="n">
        <v>7.443</v>
      </c>
      <c r="S23" t="n">
        <v>0</v>
      </c>
      <c r="T23" t="n">
        <v>0</v>
      </c>
      <c r="U23" t="n">
        <v>0</v>
      </c>
      <c r="V23" t="n">
        <v>0</v>
      </c>
      <c r="W23" t="n">
        <v>457</v>
      </c>
      <c r="X23" t="n">
        <v>6.5</v>
      </c>
      <c r="Y23" t="n">
        <v>0</v>
      </c>
      <c r="Z23" t="n">
        <v>150</v>
      </c>
      <c r="AA23" t="n">
        <v>40</v>
      </c>
      <c r="AB23" t="n">
        <v>0</v>
      </c>
      <c r="AC23" t="inlineStr">
        <is>
          <t>Ground</t>
        </is>
      </c>
      <c r="AD23" t="inlineStr"/>
      <c r="AE23" t="n">
        <v>0.3</v>
      </c>
      <c r="AF23" t="inlineStr">
        <is>
          <t>Huge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152</v>
      </c>
      <c r="AO23" t="n">
        <v>0</v>
      </c>
      <c r="AP23" t="inlineStr">
        <is>
          <t>T3</t>
        </is>
      </c>
      <c r="AQ23" t="inlineStr">
        <is>
          <t>bastion_gun</t>
        </is>
      </c>
      <c r="AR23" t="inlineStr"/>
      <c r="AS23" t="inlineStr"/>
      <c r="AT23" t="inlineStr"/>
      <c r="AU23" t="n">
        <v>0</v>
      </c>
      <c r="AV23" t="inlineStr"/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0.2666666666666667</v>
      </c>
      <c r="BB23" t="n">
        <v>10</v>
      </c>
      <c r="BC23" t="n">
        <v>8</v>
      </c>
      <c r="BD23" t="inlineStr">
        <is>
          <t>gun</t>
        </is>
      </c>
      <c r="BE23" t="inlineStr">
        <is>
          <t>Object 195 / T-14 152 mm, est. ~10 rpm (the sheet)</t>
        </is>
      </c>
      <c r="BG23" t="inlineStr">
        <is>
          <t>doi</t>
        </is>
      </c>
      <c r="BH23" t="n">
        <v>320</v>
      </c>
      <c r="BI23" t="n">
        <v>457</v>
      </c>
      <c r="BJ23" t="n">
        <v>5.16</v>
      </c>
      <c r="BK23" t="n">
        <v>7.443</v>
      </c>
      <c r="BT23" t="n">
        <v>2</v>
      </c>
      <c r="BU23" t="n">
        <v>1</v>
      </c>
      <c r="BX23" t="n">
        <v>1</v>
      </c>
      <c r="BY23" t="n">
        <v>2</v>
      </c>
      <c r="BZ23" t="inlineStr">
        <is>
          <t>RIPPLE</t>
        </is>
      </c>
      <c r="CA23" t="inlineStr">
        <is>
          <t>SIMULTANEOUS</t>
        </is>
      </c>
      <c r="DE23" t="n">
        <v>457</v>
      </c>
      <c r="DF23" t="inlineStr">
        <is>
          <t>HighExplosive</t>
        </is>
      </c>
      <c r="DM23" t="inlineStr">
        <is>
          <t>light;structure</t>
        </is>
      </c>
      <c r="DN23" t="inlineStr">
        <is>
          <t>HeShell</t>
        </is>
      </c>
      <c r="DS23" t="inlineStr">
        <is>
          <t>Huge</t>
        </is>
      </c>
      <c r="DT23" t="inlineStr">
        <is>
          <t>bastion_gun</t>
        </is>
      </c>
      <c r="EB23" t="n">
        <v>3</v>
      </c>
      <c r="EE23" t="b">
        <v>0</v>
      </c>
      <c r="EK23" t="n">
        <v>150</v>
      </c>
      <c r="EQ23" t="inlineStr">
        <is>
          <t>2A83 152 mm HE-FRAG (twin)</t>
        </is>
      </c>
      <c r="ES23" t="inlineStr">
        <is>
          <t>he</t>
        </is>
      </c>
      <c r="EU23" t="inlineStr">
        <is>
          <t>bastion_gun</t>
        </is>
      </c>
      <c r="EV23" t="n">
        <v>343</v>
      </c>
      <c r="EY23" t="n">
        <v>6.5</v>
      </c>
      <c r="FW23" t="inlineStr">
        <is>
          <t>Ground</t>
        </is>
      </c>
      <c r="GA23" t="inlineStr">
        <is>
          <t>2a83_152_mm_he_frag</t>
        </is>
      </c>
      <c r="GC23" t="inlineStr"/>
      <c r="GD23" t="inlineStr">
        <is>
          <t>Assets/MachineBrigade/Resources/Data/balance.json: secondRounds.rounds[4]</t>
        </is>
      </c>
      <c r="GE23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(twin)","damageType":"HighExplosive","pen":3,"damage":457,"splash":6.5,"form":"HeShell","piercing":false,"targets":"Ground","projectileSpeed":150,"impactTier":"Huge","roundWeight":343}</t>
        </is>
      </c>
    </row>
    <row r="24">
      <c r="A24" t="inlineStr">
        <is>
          <t>boat_rockets</t>
        </is>
      </c>
      <c r="B24" t="inlineStr">
        <is>
          <t>S-8 80 mm</t>
        </is>
      </c>
      <c r="C24" t="inlineStr">
        <is>
          <t>rkt_70_80</t>
        </is>
      </c>
      <c r="D24" t="inlineStr"/>
      <c r="E24" t="inlineStr">
        <is>
          <t>s_8_80_mm_boat</t>
        </is>
      </c>
      <c r="F24" t="inlineStr">
        <is>
          <t>rocket</t>
        </is>
      </c>
      <c r="G24" t="n">
        <v>80</v>
      </c>
      <c r="H24" t="inlineStr"/>
      <c r="I24" t="inlineStr"/>
      <c r="J24" t="inlineStr"/>
      <c r="K24" t="inlineStr">
        <is>
          <t>HighExplosive</t>
        </is>
      </c>
      <c r="L24" t="n">
        <v>2</v>
      </c>
      <c r="M24" t="inlineStr">
        <is>
          <t>Rocket</t>
        </is>
      </c>
      <c r="N24" t="n">
        <v>1</v>
      </c>
      <c r="O24" t="inlineStr">
        <is>
          <t>RIPPLE</t>
        </is>
      </c>
      <c r="P24" t="n">
        <v>10</v>
      </c>
      <c r="Q24" t="n">
        <v>0.12</v>
      </c>
      <c r="R24" t="n">
        <v>7</v>
      </c>
      <c r="S24" t="n">
        <v>0</v>
      </c>
      <c r="T24" t="n">
        <v>0</v>
      </c>
      <c r="U24" t="n">
        <v>0</v>
      </c>
      <c r="V24" t="n">
        <v>0</v>
      </c>
      <c r="W24" t="n">
        <v>32</v>
      </c>
      <c r="X24" t="n">
        <v>3.5</v>
      </c>
      <c r="Y24" t="n">
        <v>7</v>
      </c>
      <c r="Z24" t="n">
        <v>90</v>
      </c>
      <c r="AA24" t="n">
        <v>55</v>
      </c>
      <c r="AB24" t="n">
        <v>0</v>
      </c>
      <c r="AC24" t="inlineStr">
        <is>
          <t>Ground</t>
        </is>
      </c>
      <c r="AD24" t="inlineStr"/>
      <c r="AE24" t="n">
        <v>4</v>
      </c>
      <c r="AF24" t="inlineStr">
        <is>
          <t>Medium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80</v>
      </c>
      <c r="AO24" t="n">
        <v>0</v>
      </c>
      <c r="AP24" t="inlineStr">
        <is>
          <t>T2</t>
        </is>
      </c>
      <c r="AQ24" t="inlineStr"/>
      <c r="AR24" t="inlineStr"/>
      <c r="AS24" t="inlineStr">
        <is>
          <t>xe</t>
        </is>
      </c>
      <c r="AT24" t="inlineStr">
        <is>
          <t>missile_boat</t>
        </is>
      </c>
      <c r="AU24" t="n">
        <v>1</v>
      </c>
      <c r="AV24" t="inlineStr">
        <is>
          <t>missile_boat:0</t>
        </is>
      </c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0.6111111111111112</v>
      </c>
      <c r="BB24" t="n">
        <v>900</v>
      </c>
      <c r="BC24" t="inlineStr"/>
      <c r="BD24" t="inlineStr">
        <is>
          <t>rocket</t>
        </is>
      </c>
      <c r="BE24" t="inlineStr">
        <is>
          <t>rocket pods: ripples of 0.05-0.12 s (DECISIONS 19R)</t>
        </is>
      </c>
      <c r="BG24" t="inlineStr">
        <is>
          <t>doi</t>
        </is>
      </c>
      <c r="BN24" t="n">
        <v>3</v>
      </c>
      <c r="BO24" t="n">
        <v>3.5</v>
      </c>
      <c r="BP24" t="n">
        <v>0</v>
      </c>
      <c r="BQ24" t="n">
        <v>7</v>
      </c>
      <c r="BR24" t="n">
        <v>40</v>
      </c>
      <c r="BS24" t="n">
        <v>90</v>
      </c>
      <c r="CR24" t="n">
        <v>10</v>
      </c>
      <c r="CS24" t="n">
        <v>0.12</v>
      </c>
      <c r="CT24" t="n">
        <v>80</v>
      </c>
      <c r="DD24" t="n">
        <v>7</v>
      </c>
      <c r="DE24" t="n">
        <v>32</v>
      </c>
      <c r="DF24" t="inlineStr">
        <is>
          <t>HighExplosive</t>
        </is>
      </c>
      <c r="DG24" t="n">
        <v>7</v>
      </c>
      <c r="DJ24" t="inlineStr">
        <is>
          <t>rocket</t>
        </is>
      </c>
      <c r="DS24" t="inlineStr">
        <is>
          <t>Medium</t>
        </is>
      </c>
      <c r="EB24" t="n">
        <v>2</v>
      </c>
      <c r="EH24" t="inlineStr">
        <is>
          <t>Rocket</t>
        </is>
      </c>
      <c r="EJ24" t="n">
        <v>0.9</v>
      </c>
      <c r="EP24" t="n">
        <v>55</v>
      </c>
      <c r="EQ24" t="inlineStr">
        <is>
          <t>S-8 80 mm</t>
        </is>
      </c>
      <c r="EX24" t="n">
        <v>80</v>
      </c>
      <c r="EZ24" t="n">
        <v>4</v>
      </c>
      <c r="GA24" t="inlineStr">
        <is>
          <t>s_8_80_mm_boat</t>
        </is>
      </c>
      <c r="GB24" t="inlineStr">
        <is>
          <t>rkt_70_80</t>
        </is>
      </c>
      <c r="GD24" t="inlineStr">
        <is>
          <t>Assets/MachineBrigade/Resources/Data/balance.json: weapons[255]</t>
        </is>
      </c>
      <c r="GE24" t="inlineStr">
        <is>
          <t>{"id":"boat_rockets","weaponFamilyId":"rkt_70_80","weaponFamily":"s_8_80_mm_boat","real":"S-8 80 mm","family":"rocket","size":80,"caliberMm":80,"pen":2,"projectileScale":0.9,"damageType":"HighExplosive","damage":32,"cooldown":7,"edge":7,"range":55,"spread":4,"impactTier":"Medium","projectile":"Rocket","burst":10,"burstInterval":0.12}</t>
        </is>
      </c>
    </row>
    <row r="25">
      <c r="A25" t="inlineStr">
        <is>
          <t>bofors_l70</t>
        </is>
      </c>
      <c r="B25" t="inlineStr">
        <is>
          <t>Bofors 40 mm L/70</t>
        </is>
      </c>
      <c r="C25" t="inlineStr">
        <is>
          <t>cal_40</t>
        </is>
      </c>
      <c r="D25" t="inlineStr">
        <is>
          <t>flak</t>
        </is>
      </c>
      <c r="E25" t="inlineStr">
        <is>
          <t>bofors_40_mm_l_70</t>
        </is>
      </c>
      <c r="F25" t="inlineStr">
        <is>
          <t>autocannon</t>
        </is>
      </c>
      <c r="G25" t="n">
        <v>40</v>
      </c>
      <c r="H25" t="inlineStr"/>
      <c r="I25" t="inlineStr"/>
      <c r="J25" t="inlineStr"/>
      <c r="K25" t="inlineStr">
        <is>
          <t>Fragmentation</t>
        </is>
      </c>
      <c r="L25" t="n">
        <v>2</v>
      </c>
      <c r="M25" t="inlineStr">
        <is>
          <t>Bullet</t>
        </is>
      </c>
      <c r="N25" t="n">
        <v>1</v>
      </c>
      <c r="O25" t="inlineStr">
        <is>
          <t>RIPPLE</t>
        </is>
      </c>
      <c r="P25" t="n">
        <v>1</v>
      </c>
      <c r="Q25" t="n">
        <v>0.1</v>
      </c>
      <c r="R25" t="n">
        <v>0.25</v>
      </c>
      <c r="S25" t="n">
        <v>20</v>
      </c>
      <c r="T25" t="n">
        <v>3</v>
      </c>
      <c r="U25" t="n">
        <v>0</v>
      </c>
      <c r="V25" t="n">
        <v>0</v>
      </c>
      <c r="W25" t="n">
        <v>30</v>
      </c>
      <c r="X25" t="n">
        <v>2.5</v>
      </c>
      <c r="Y25" t="n">
        <v>0</v>
      </c>
      <c r="Z25" t="n">
        <v>220</v>
      </c>
      <c r="AA25" t="n">
        <v>48</v>
      </c>
      <c r="AB25" t="n">
        <v>0</v>
      </c>
      <c r="AC25" t="inlineStr">
        <is>
          <t>All</t>
        </is>
      </c>
      <c r="AD25" t="inlineStr"/>
      <c r="AE25" t="n">
        <v>1.2</v>
      </c>
      <c r="AF25" t="inlineStr">
        <is>
          <t>Small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40</v>
      </c>
      <c r="AO25" t="n">
        <v>0</v>
      </c>
      <c r="AP25" t="inlineStr">
        <is>
          <t>T1</t>
        </is>
      </c>
      <c r="AQ25" t="inlineStr"/>
      <c r="AR25" t="inlineStr"/>
      <c r="AS25" t="inlineStr">
        <is>
          <t>cong_trinh;thap;xe</t>
        </is>
      </c>
      <c r="AT25" t="inlineStr">
        <is>
          <t>aa_gun_tower;aa_gun_vehicle;headquarters.fortress_air</t>
        </is>
      </c>
      <c r="AU25" t="n">
        <v>3</v>
      </c>
      <c r="AV25" t="inlineStr">
        <is>
          <t>aa_gun_tower:0;aa_gun_vehicle:0;headquarters.fortress_air:4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0.2181818181818182</v>
      </c>
      <c r="BB25" t="n">
        <v>330</v>
      </c>
      <c r="BC25" t="n">
        <v>120</v>
      </c>
      <c r="BD25" t="inlineStr">
        <is>
          <t>aa</t>
        </is>
      </c>
      <c r="BE25" t="inlineStr">
        <is>
          <t>Wikipedia 'Bofors 40 mm L/70': 240-330 rpm</t>
        </is>
      </c>
      <c r="BG25" t="inlineStr">
        <is>
          <t>giong</t>
        </is>
      </c>
      <c r="CT25" t="n">
        <v>40</v>
      </c>
      <c r="CW25" t="n">
        <v>20</v>
      </c>
      <c r="CX25" t="n">
        <v>3</v>
      </c>
      <c r="DD25" t="n">
        <v>0.25</v>
      </c>
      <c r="DE25" t="n">
        <v>30</v>
      </c>
      <c r="DF25" t="inlineStr">
        <is>
          <t>Fragmentation</t>
        </is>
      </c>
      <c r="DJ25" t="inlineStr">
        <is>
          <t>autocannon</t>
        </is>
      </c>
      <c r="DS25" t="inlineStr">
        <is>
          <t>Small</t>
        </is>
      </c>
      <c r="EB25" t="n">
        <v>2</v>
      </c>
      <c r="EH25" t="inlineStr">
        <is>
          <t>Bullet</t>
        </is>
      </c>
      <c r="EP25" t="n">
        <v>48</v>
      </c>
      <c r="EQ25" t="inlineStr">
        <is>
          <t>Bofors 40 mm L/70</t>
        </is>
      </c>
      <c r="EX25" t="n">
        <v>40</v>
      </c>
      <c r="EZ25" t="n">
        <v>1.2</v>
      </c>
      <c r="FW25" t="inlineStr">
        <is>
          <t>All</t>
        </is>
      </c>
      <c r="GA25" t="inlineStr">
        <is>
          <t>bofors_40_mm_l_70</t>
        </is>
      </c>
      <c r="GB25" t="inlineStr">
        <is>
          <t>cal_40</t>
        </is>
      </c>
      <c r="GC25" t="inlineStr">
        <is>
          <t>flak</t>
        </is>
      </c>
      <c r="GD25" t="inlineStr">
        <is>
          <t>Assets/MachineBrigade/Resources/Data/balance.json: weapons[279]</t>
        </is>
      </c>
      <c r="GE25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26">
      <c r="A26" t="inlineStr">
        <is>
          <t>bomber_payload</t>
        </is>
      </c>
      <c r="B26" t="inlineStr">
        <is>
          <t>FAB-500 (500 kg)</t>
        </is>
      </c>
      <c r="C26" t="inlineStr">
        <is>
          <t>bomb_fab_500</t>
        </is>
      </c>
      <c r="D26" t="inlineStr"/>
      <c r="E26" t="inlineStr"/>
      <c r="F26" t="inlineStr">
        <is>
          <t>bomb</t>
        </is>
      </c>
      <c r="G26" t="inlineStr"/>
      <c r="H26" t="n">
        <v>500</v>
      </c>
      <c r="I26" t="inlineStr"/>
      <c r="J26" t="inlineStr"/>
      <c r="K26" t="inlineStr">
        <is>
          <t>HighExplosive</t>
        </is>
      </c>
      <c r="L26" t="n">
        <v>3</v>
      </c>
      <c r="M26" t="inlineStr">
        <is>
          <t>Bomb</t>
        </is>
      </c>
      <c r="N26" t="n">
        <v>1</v>
      </c>
      <c r="O26" t="inlineStr">
        <is>
          <t>RIPPLE</t>
        </is>
      </c>
      <c r="P26" t="n">
        <v>7</v>
      </c>
      <c r="Q26" t="n">
        <v>0.2</v>
      </c>
      <c r="R26" t="n">
        <v>11.2</v>
      </c>
      <c r="S26" t="n">
        <v>0</v>
      </c>
      <c r="T26" t="n">
        <v>0</v>
      </c>
      <c r="U26" t="n">
        <v>0</v>
      </c>
      <c r="V26" t="n">
        <v>0</v>
      </c>
      <c r="W26" t="n">
        <v>420</v>
      </c>
      <c r="X26" t="n">
        <v>10</v>
      </c>
      <c r="Y26" t="n">
        <v>0</v>
      </c>
      <c r="Z26" t="n">
        <v>35</v>
      </c>
      <c r="AA26" t="n">
        <v>28</v>
      </c>
      <c r="AB26" t="n">
        <v>0</v>
      </c>
      <c r="AC26" t="inlineStr">
        <is>
          <t>Ground</t>
        </is>
      </c>
      <c r="AD26" t="inlineStr"/>
      <c r="AE26" t="n">
        <v>7</v>
      </c>
      <c r="AF26" t="inlineStr">
        <is>
          <t>Huge</t>
        </is>
      </c>
      <c r="AG26" t="b">
        <v>1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500</v>
      </c>
      <c r="AO26" t="n">
        <v>7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heavy_bomber</t>
        </is>
      </c>
      <c r="AU26" t="n">
        <v>1</v>
      </c>
      <c r="AV26" t="inlineStr">
        <is>
          <t>heavy_bomber:0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n">
        <v>0.8</v>
      </c>
      <c r="BB26" t="n">
        <v>600</v>
      </c>
      <c r="BC26" t="inlineStr"/>
      <c r="BD26" t="inlineStr">
        <is>
          <t>bomb</t>
        </is>
      </c>
      <c r="BE26" t="inlineStr">
        <is>
          <t>a stick's release, 0.1 s and up (est.)</t>
        </is>
      </c>
      <c r="BG26" t="inlineStr">
        <is>
          <t>giong</t>
        </is>
      </c>
      <c r="CR26" t="n">
        <v>7</v>
      </c>
      <c r="CS26" t="n">
        <v>0.2</v>
      </c>
      <c r="DD26" t="n">
        <v>11.2</v>
      </c>
      <c r="DE26" t="n">
        <v>420</v>
      </c>
      <c r="DF26" t="inlineStr">
        <is>
          <t>HighExplosive</t>
        </is>
      </c>
      <c r="DJ26" t="inlineStr">
        <is>
          <t>bomb</t>
        </is>
      </c>
      <c r="DS26" t="inlineStr">
        <is>
          <t>Huge</t>
        </is>
      </c>
      <c r="DW26" t="n">
        <v>7</v>
      </c>
      <c r="EB26" t="n">
        <v>3</v>
      </c>
      <c r="EH26" t="inlineStr">
        <is>
          <t>Bomb</t>
        </is>
      </c>
      <c r="EI26" t="inlineStr">
        <is>
          <t>bomb</t>
        </is>
      </c>
      <c r="EJ26" t="n">
        <v>0.7324000000000001</v>
      </c>
      <c r="EK26" t="n">
        <v>35</v>
      </c>
      <c r="EP26" t="n">
        <v>28</v>
      </c>
      <c r="EQ26" t="inlineStr">
        <is>
          <t>FAB-500 (500 kg)</t>
        </is>
      </c>
      <c r="ET26" t="n">
        <v>1.2</v>
      </c>
      <c r="EX26" t="n">
        <v>500</v>
      </c>
      <c r="EY26" t="n">
        <v>10</v>
      </c>
      <c r="EZ26" t="n">
        <v>7</v>
      </c>
      <c r="FA26" t="inlineStr">
        <is>
          <t>CENTER</t>
        </is>
      </c>
      <c r="FB26" t="n">
        <v>1.5</v>
      </c>
      <c r="FC26" t="n">
        <v>7</v>
      </c>
      <c r="FD26" t="inlineStr">
        <is>
          <t>OVERFLY</t>
        </is>
      </c>
      <c r="FE26" t="n">
        <v>40</v>
      </c>
      <c r="FF26" t="n">
        <v>1.449</v>
      </c>
      <c r="FG26" t="inlineStr">
        <is>
          <t>AXIS</t>
        </is>
      </c>
      <c r="FH26" t="n">
        <v>0.625</v>
      </c>
      <c r="FI26" t="n">
        <v>2.5</v>
      </c>
      <c r="FJ26" t="n">
        <v>1.65</v>
      </c>
      <c r="FK26" t="n">
        <v>25.5</v>
      </c>
      <c r="FL26" t="n">
        <v>66</v>
      </c>
      <c r="FM26" t="n">
        <v>3</v>
      </c>
      <c r="FN26" t="inlineStr">
        <is>
          <t>STICK</t>
        </is>
      </c>
      <c r="FO26" t="n">
        <v>0.909</v>
      </c>
      <c r="FP26" t="n">
        <v>17.6</v>
      </c>
      <c r="FQ26" t="n">
        <v>10</v>
      </c>
      <c r="FR26" t="n">
        <v>11</v>
      </c>
      <c r="FS26" t="n">
        <v>6.2</v>
      </c>
      <c r="FT26" t="inlineStr">
        <is>
          <t>STICK_RECT</t>
        </is>
      </c>
      <c r="FU26" t="n">
        <v>25</v>
      </c>
      <c r="FY26" t="b">
        <v>1</v>
      </c>
      <c r="FZ26" t="n">
        <v>500</v>
      </c>
      <c r="GB26" t="inlineStr">
        <is>
          <t>bomb_fab_500</t>
        </is>
      </c>
      <c r="GD26" t="inlineStr">
        <is>
          <t>Assets/MachineBrigade/Resources/Data/balance.json: weapons[48]</t>
        </is>
      </c>
      <c r="GE26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27">
      <c r="A27" t="inlineStr">
        <is>
          <t>bomber_tail_guns</t>
        </is>
      </c>
      <c r="B27" t="inlineStr">
        <is>
          <t>M3 12.7 mm (quad tail)</t>
        </is>
      </c>
      <c r="C27" t="inlineStr">
        <is>
          <t>cal_12_7</t>
        </is>
      </c>
      <c r="D27" t="inlineStr"/>
      <c r="E27" t="inlineStr"/>
      <c r="F27" t="inlineStr">
        <is>
          <t>mg</t>
        </is>
      </c>
      <c r="G27" t="n">
        <v>12.7</v>
      </c>
      <c r="H27" t="inlineStr"/>
      <c r="I27" t="inlineStr"/>
      <c r="J27" t="inlineStr"/>
      <c r="K27" t="inlineStr">
        <is>
          <t>Kinetic</t>
        </is>
      </c>
      <c r="L27" t="n">
        <v>1</v>
      </c>
      <c r="M27" t="inlineStr">
        <is>
          <t>Bullet</t>
        </is>
      </c>
      <c r="N27" t="n">
        <v>1</v>
      </c>
      <c r="O27" t="inlineStr">
        <is>
          <t>RIPPLE</t>
        </is>
      </c>
      <c r="P27" t="n">
        <v>1</v>
      </c>
      <c r="Q27" t="n">
        <v>0.1</v>
      </c>
      <c r="R27" t="n">
        <v>0.0167</v>
      </c>
      <c r="S27" t="n">
        <v>26</v>
      </c>
      <c r="T27" t="n">
        <v>2.78</v>
      </c>
      <c r="U27" t="n">
        <v>0</v>
      </c>
      <c r="V27" t="n">
        <v>0</v>
      </c>
      <c r="W27" t="n">
        <v>9.5</v>
      </c>
      <c r="X27" t="n">
        <v>0</v>
      </c>
      <c r="Y27" t="n">
        <v>0</v>
      </c>
      <c r="Z27" t="n">
        <v>240</v>
      </c>
      <c r="AA27" t="n">
        <v>30</v>
      </c>
      <c r="AB27" t="n">
        <v>0</v>
      </c>
      <c r="AC27" t="inlineStr">
        <is>
          <t>Air</t>
        </is>
      </c>
      <c r="AD27" t="inlineStr"/>
      <c r="AE27" t="n">
        <v>1.5</v>
      </c>
      <c r="AF27" t="inlineStr">
        <is>
          <t>Small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12.7</v>
      </c>
      <c r="AO27" t="n">
        <v>0</v>
      </c>
      <c r="AP27" t="inlineStr">
        <is>
          <t>T0</t>
        </is>
      </c>
      <c r="AQ27" t="inlineStr"/>
      <c r="AR27" t="inlineStr">
        <is>
          <t>bomber_tail_guns_api</t>
        </is>
      </c>
      <c r="AS27" t="inlineStr">
        <is>
          <t>xe</t>
        </is>
      </c>
      <c r="AT27" t="inlineStr">
        <is>
          <t>heavy_bomber</t>
        </is>
      </c>
      <c r="AU27" t="n">
        <v>1</v>
      </c>
      <c r="AV27" t="inlineStr">
        <is>
          <t>heavy_bomber:1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0.125</v>
      </c>
      <c r="BB27" t="n">
        <v>1200</v>
      </c>
      <c r="BC27" t="n">
        <v>200</v>
      </c>
      <c r="BD27" t="inlineStr">
        <is>
          <t>mg</t>
        </is>
      </c>
      <c r="BE27" t="inlineStr">
        <is>
          <t>Wikipedia 'M3 Browning' (AN/M3): 1,100-1,250 rpm</t>
        </is>
      </c>
      <c r="BG27" t="inlineStr">
        <is>
          <t>giong</t>
        </is>
      </c>
      <c r="CT27" t="n">
        <v>12.7</v>
      </c>
      <c r="CW27" t="n">
        <v>26</v>
      </c>
      <c r="CX27" t="n">
        <v>2.78</v>
      </c>
      <c r="DD27" t="n">
        <v>0.0167</v>
      </c>
      <c r="DE27" t="n">
        <v>9.5</v>
      </c>
      <c r="DF27" t="inlineStr">
        <is>
          <t>Kinetic</t>
        </is>
      </c>
      <c r="DJ27" t="inlineStr">
        <is>
          <t>mg</t>
        </is>
      </c>
      <c r="DS27" t="inlineStr">
        <is>
          <t>Small</t>
        </is>
      </c>
      <c r="EB27" t="n">
        <v>1</v>
      </c>
      <c r="EH27" t="inlineStr">
        <is>
          <t>Bullet</t>
        </is>
      </c>
      <c r="EK27" t="n">
        <v>240</v>
      </c>
      <c r="EP27" t="n">
        <v>30</v>
      </c>
      <c r="EQ27" t="inlineStr">
        <is>
          <t>M3 12.7 mm (quad tail)</t>
        </is>
      </c>
      <c r="EV27" t="n">
        <v>19</v>
      </c>
      <c r="EX27" t="n">
        <v>12.7</v>
      </c>
      <c r="EZ27" t="n">
        <v>1.5</v>
      </c>
      <c r="FW27" t="inlineStr">
        <is>
          <t>Air</t>
        </is>
      </c>
      <c r="GB27" t="inlineStr">
        <is>
          <t>cal_12_7</t>
        </is>
      </c>
      <c r="GD27" t="inlineStr">
        <is>
          <t>Assets/MachineBrigade/Resources/Data/balance.json: weapons[49]</t>
        </is>
      </c>
      <c r="GE27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28">
      <c r="A28" t="inlineStr">
        <is>
          <t>bomber_tail_guns_api</t>
        </is>
      </c>
      <c r="B28" t="inlineStr">
        <is>
          <t>M3 12.7 mm API (quad tail)</t>
        </is>
      </c>
      <c r="C28" t="inlineStr">
        <is>
          <t>cal_12_7</t>
        </is>
      </c>
      <c r="D28" t="inlineStr"/>
      <c r="E28" t="inlineStr"/>
      <c r="F28" t="inlineStr">
        <is>
          <t>mg</t>
        </is>
      </c>
      <c r="G28" t="n">
        <v>12.7</v>
      </c>
      <c r="H28" t="inlineStr"/>
      <c r="I28" t="inlineStr"/>
      <c r="J28" t="inlineStr"/>
      <c r="K28" t="inlineStr">
        <is>
          <t>Kinetic</t>
        </is>
      </c>
      <c r="L28" t="n">
        <v>2</v>
      </c>
      <c r="M28" t="inlineStr">
        <is>
          <t>Bullet</t>
        </is>
      </c>
      <c r="N28" t="n">
        <v>1</v>
      </c>
      <c r="O28" t="inlineStr">
        <is>
          <t>RIPPLE</t>
        </is>
      </c>
      <c r="P28" t="n">
        <v>1</v>
      </c>
      <c r="Q28" t="n">
        <v>0.1</v>
      </c>
      <c r="R28" t="n">
        <v>0.0167</v>
      </c>
      <c r="S28" t="n">
        <v>26</v>
      </c>
      <c r="T28" t="n">
        <v>2.78</v>
      </c>
      <c r="U28" t="n">
        <v>0</v>
      </c>
      <c r="V28" t="n">
        <v>0</v>
      </c>
      <c r="W28" t="n">
        <v>9.5</v>
      </c>
      <c r="X28" t="n">
        <v>0</v>
      </c>
      <c r="Y28" t="n">
        <v>0</v>
      </c>
      <c r="Z28" t="n">
        <v>240</v>
      </c>
      <c r="AA28" t="n">
        <v>30</v>
      </c>
      <c r="AB28" t="n">
        <v>0</v>
      </c>
      <c r="AC28" t="inlineStr">
        <is>
          <t>Air</t>
        </is>
      </c>
      <c r="AD28" t="inlineStr"/>
      <c r="AE28" t="n">
        <v>1.5</v>
      </c>
      <c r="AF28" t="inlineStr">
        <is>
          <t>Small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12.7</v>
      </c>
      <c r="AO28" t="n">
        <v>0</v>
      </c>
      <c r="AP28" t="inlineStr">
        <is>
          <t>T0</t>
        </is>
      </c>
      <c r="AQ28" t="inlineStr">
        <is>
          <t>bomber_tail_guns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0.125</v>
      </c>
      <c r="BB28" t="n">
        <v>1200</v>
      </c>
      <c r="BC28" t="n">
        <v>200</v>
      </c>
      <c r="BD28" t="inlineStr">
        <is>
          <t>mg</t>
        </is>
      </c>
      <c r="BE28" t="inlineStr">
        <is>
          <t>Wikipedia 'M3 Browning' (AN/M3): 1,100-1,250 rpm</t>
        </is>
      </c>
      <c r="BG28" t="inlineStr">
        <is>
          <t>giong</t>
        </is>
      </c>
      <c r="DE28" t="n">
        <v>9.5</v>
      </c>
      <c r="DF28" t="inlineStr">
        <is>
          <t>Kinetic</t>
        </is>
      </c>
      <c r="DH28" t="b">
        <v>1</v>
      </c>
      <c r="DM28" t="inlineStr">
        <is>
          <t>any</t>
        </is>
      </c>
      <c r="DN28" t="inlineStr">
        <is>
          <t>BulletBig</t>
        </is>
      </c>
      <c r="DT28" t="inlineStr">
        <is>
          <t>bomber_tail_guns</t>
        </is>
      </c>
      <c r="EB28" t="n">
        <v>2</v>
      </c>
      <c r="EE28" t="b">
        <v>1</v>
      </c>
      <c r="EQ28" t="inlineStr">
        <is>
          <t>M3 12.7 mm API (quad tail)</t>
        </is>
      </c>
      <c r="ES28" t="inlineStr">
        <is>
          <t>api</t>
        </is>
      </c>
      <c r="EU28" t="inlineStr">
        <is>
          <t>bomber_tail_guns</t>
        </is>
      </c>
      <c r="GA28" t="inlineStr"/>
      <c r="GD28" t="inlineStr">
        <is>
          <t>Assets/MachineBrigade/Resources/Data/balance.json: secondRounds.rounds[5]</t>
        </is>
      </c>
      <c r="GE28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29">
      <c r="A29" t="inlineStr">
        <is>
          <t>borer_cannon</t>
        </is>
      </c>
      <c r="B29" t="inlineStr">
        <is>
          <t>2A70 100/76 mm</t>
        </is>
      </c>
      <c r="C29" t="inlineStr">
        <is>
          <t>cal_76</t>
        </is>
      </c>
      <c r="D29" t="inlineStr"/>
      <c r="E29" t="inlineStr"/>
      <c r="F29" t="inlineStr">
        <is>
          <t>tank_gun</t>
        </is>
      </c>
      <c r="G29" t="n">
        <v>76</v>
      </c>
      <c r="H29" t="inlineStr"/>
      <c r="I29" t="inlineStr"/>
      <c r="J29" t="inlineStr"/>
      <c r="K29" t="inlineStr">
        <is>
          <t>Kinetic</t>
        </is>
      </c>
      <c r="L29" t="n">
        <v>3</v>
      </c>
      <c r="M29" t="inlineStr">
        <is>
          <t>Shell</t>
        </is>
      </c>
      <c r="N29" t="n">
        <v>1</v>
      </c>
      <c r="O29" t="inlineStr">
        <is>
          <t>RIPPLE</t>
        </is>
      </c>
      <c r="P29" t="n">
        <v>1</v>
      </c>
      <c r="Q29" t="n">
        <v>0.1</v>
      </c>
      <c r="R29" t="n">
        <v>6</v>
      </c>
      <c r="S29" t="n">
        <v>0</v>
      </c>
      <c r="T29" t="n">
        <v>0</v>
      </c>
      <c r="U29" t="n">
        <v>0</v>
      </c>
      <c r="V29" t="n">
        <v>0</v>
      </c>
      <c r="W29" t="n">
        <v>120</v>
      </c>
      <c r="X29" t="n">
        <v>1.5</v>
      </c>
      <c r="Y29" t="n">
        <v>0</v>
      </c>
      <c r="Z29" t="n">
        <v>170</v>
      </c>
      <c r="AA29" t="n">
        <v>34</v>
      </c>
      <c r="AB29" t="n">
        <v>0</v>
      </c>
      <c r="AC29" t="inlineStr">
        <is>
          <t>Ground</t>
        </is>
      </c>
      <c r="AD29" t="inlineStr"/>
      <c r="AE29" t="n">
        <v>0.7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76</v>
      </c>
      <c r="AO29" t="n">
        <v>0</v>
      </c>
      <c r="AP29" t="inlineStr">
        <is>
          <t>T2</t>
        </is>
      </c>
      <c r="AQ29" t="inlineStr"/>
      <c r="AR29" t="inlineStr">
        <is>
          <t>borer_cannon_he</t>
        </is>
      </c>
      <c r="AS29" t="inlineStr">
        <is>
          <t>boss</t>
        </is>
      </c>
      <c r="AT29" t="inlineStr">
        <is>
          <t>earth_borer</t>
        </is>
      </c>
      <c r="AU29" t="n">
        <v>1</v>
      </c>
      <c r="AV29" t="inlineStr">
        <is>
          <t>earth_borer:1;earth_borer:2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0.2</v>
      </c>
      <c r="BB29" t="n">
        <v>10</v>
      </c>
      <c r="BC29" t="n">
        <v>8</v>
      </c>
      <c r="BD29" t="inlineStr">
        <is>
          <t>gun</t>
        </is>
      </c>
      <c r="BE29" t="inlineStr">
        <is>
          <t>Wikipedia '2A70': 10 rpm (100 mm), BMP-3</t>
        </is>
      </c>
      <c r="BF29" t="inlineStr">
        <is>
          <t>real 2A70 10 rpm (6 s); 2.08 s was too fast</t>
        </is>
      </c>
      <c r="BG29" t="inlineStr">
        <is>
          <t>doi</t>
        </is>
      </c>
      <c r="BJ29" t="n">
        <v>2.08</v>
      </c>
      <c r="BK29" t="n">
        <v>6</v>
      </c>
      <c r="CT29" t="n">
        <v>76</v>
      </c>
      <c r="DD29" t="n">
        <v>6</v>
      </c>
      <c r="DE29" t="n">
        <v>120</v>
      </c>
      <c r="DF29" t="inlineStr">
        <is>
          <t>Kinetic</t>
        </is>
      </c>
      <c r="DJ29" t="inlineStr">
        <is>
          <t>tank_gun</t>
        </is>
      </c>
      <c r="DO29" t="n">
        <v>16</v>
      </c>
      <c r="DS29" t="inlineStr">
        <is>
          <t>Medium</t>
        </is>
      </c>
      <c r="EB29" t="n">
        <v>3</v>
      </c>
      <c r="EE29" t="b">
        <v>1</v>
      </c>
      <c r="EK29" t="n">
        <v>170</v>
      </c>
      <c r="EP29" t="n">
        <v>34</v>
      </c>
      <c r="EQ29" t="inlineStr">
        <is>
          <t>2A70 100/76 mm</t>
        </is>
      </c>
      <c r="EV29" t="n">
        <v>150</v>
      </c>
      <c r="EX29" t="n">
        <v>76</v>
      </c>
      <c r="EY29" t="n">
        <v>1.5</v>
      </c>
      <c r="EZ29" t="n">
        <v>0.7</v>
      </c>
      <c r="GB29" t="inlineStr">
        <is>
          <t>cal_76</t>
        </is>
      </c>
      <c r="GD29" t="inlineStr">
        <is>
          <t>Assets/MachineBrigade/Resources/Data/balance.json: weapons[244]</t>
        </is>
      </c>
      <c r="GE29" t="inlineStr">
        <is>
          <t>{"id":"borer_cannon","groundMinReach":16,"weaponFamilyId":"cal_76","real":"2A70 100/76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0">
      <c r="A30" t="inlineStr">
        <is>
          <t>borer_cannon_he</t>
        </is>
      </c>
      <c r="B30" t="inlineStr">
        <is>
          <t>2A70 100/76 mm HE</t>
        </is>
      </c>
      <c r="C30" t="inlineStr">
        <is>
          <t>cal_76</t>
        </is>
      </c>
      <c r="D30" t="inlineStr"/>
      <c r="E30" t="inlineStr"/>
      <c r="F30" t="inlineStr">
        <is>
          <t>tank_gun</t>
        </is>
      </c>
      <c r="G30" t="n">
        <v>76</v>
      </c>
      <c r="H30" t="inlineStr"/>
      <c r="I30" t="inlineStr"/>
      <c r="J30" t="inlineStr"/>
      <c r="K30" t="inlineStr">
        <is>
          <t>HighExplosive</t>
        </is>
      </c>
      <c r="L30" t="n">
        <v>2</v>
      </c>
      <c r="M30" t="inlineStr">
        <is>
          <t>Shell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6</v>
      </c>
      <c r="S30" t="n">
        <v>0</v>
      </c>
      <c r="T30" t="n">
        <v>0</v>
      </c>
      <c r="U30" t="n">
        <v>0</v>
      </c>
      <c r="V30" t="n">
        <v>0</v>
      </c>
      <c r="W30" t="n">
        <v>120</v>
      </c>
      <c r="X30" t="n">
        <v>3</v>
      </c>
      <c r="Y30" t="n">
        <v>0</v>
      </c>
      <c r="Z30" t="n">
        <v>170</v>
      </c>
      <c r="AA30" t="n">
        <v>34</v>
      </c>
      <c r="AB30" t="n">
        <v>0</v>
      </c>
      <c r="AC30" t="inlineStr">
        <is>
          <t>Ground</t>
        </is>
      </c>
      <c r="AD30" t="inlineStr"/>
      <c r="AE30" t="n">
        <v>0.7</v>
      </c>
      <c r="AF30" t="inlineStr">
        <is>
          <t>Large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76</v>
      </c>
      <c r="AO30" t="n">
        <v>0</v>
      </c>
      <c r="AP30" t="inlineStr">
        <is>
          <t>T2</t>
        </is>
      </c>
      <c r="AQ30" t="inlineStr">
        <is>
          <t>borer_cannon</t>
        </is>
      </c>
      <c r="AR30" t="inlineStr"/>
      <c r="AS30" t="inlineStr"/>
      <c r="AT30" t="inlineStr"/>
      <c r="AU30" t="n">
        <v>0</v>
      </c>
      <c r="AV30" t="inlineStr"/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</v>
      </c>
      <c r="BB30" t="n">
        <v>10</v>
      </c>
      <c r="BC30" t="n">
        <v>8</v>
      </c>
      <c r="BD30" t="inlineStr">
        <is>
          <t>gun</t>
        </is>
      </c>
      <c r="BE30" t="inlineStr">
        <is>
          <t>Wikipedia '2A70': 10 rpm (100 mm), BMP-3</t>
        </is>
      </c>
      <c r="BG30" t="inlineStr">
        <is>
          <t>doi</t>
        </is>
      </c>
      <c r="BJ30" t="n">
        <v>2.08</v>
      </c>
      <c r="BK30" t="n">
        <v>6</v>
      </c>
      <c r="DE30" t="n">
        <v>120</v>
      </c>
      <c r="DF30" t="inlineStr">
        <is>
          <t>HighExplosive</t>
        </is>
      </c>
      <c r="DM30" t="inlineStr">
        <is>
          <t>light;structure</t>
        </is>
      </c>
      <c r="DN30" t="inlineStr">
        <is>
          <t>HeShell</t>
        </is>
      </c>
      <c r="DS30" t="inlineStr">
        <is>
          <t>Large</t>
        </is>
      </c>
      <c r="DT30" t="inlineStr">
        <is>
          <t>borer_cannon</t>
        </is>
      </c>
      <c r="EB30" t="n">
        <v>2</v>
      </c>
      <c r="EE30" t="b">
        <v>0</v>
      </c>
      <c r="EQ30" t="inlineStr">
        <is>
          <t>2A70 100/76 mm HE</t>
        </is>
      </c>
      <c r="ES30" t="inlineStr">
        <is>
          <t>he</t>
        </is>
      </c>
      <c r="EU30" t="inlineStr">
        <is>
          <t>borer_cannon</t>
        </is>
      </c>
      <c r="EY30" t="n">
        <v>3</v>
      </c>
      <c r="FW30" t="inlineStr">
        <is>
          <t>Ground</t>
        </is>
      </c>
      <c r="GA30" t="inlineStr"/>
      <c r="GD30" t="inlineStr">
        <is>
          <t>Assets/MachineBrigade/Resources/Data/balance.json: secondRounds.rounds[7]</t>
        </is>
      </c>
      <c r="GE30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1">
      <c r="A31" t="inlineStr">
        <is>
          <t>borer_drill</t>
        </is>
      </c>
      <c r="B31" t="inlineStr">
        <is>
          <t>drill head</t>
        </is>
      </c>
      <c r="C31" t="inlineStr">
        <is>
          <t>melee_drill_head</t>
        </is>
      </c>
      <c r="D31" t="inlineStr"/>
      <c r="E31" t="inlineStr"/>
      <c r="F31" t="inlineStr">
        <is>
          <t>melee</t>
        </is>
      </c>
      <c r="G31" t="inlineStr"/>
      <c r="H31" t="inlineStr"/>
      <c r="I31" t="inlineStr"/>
      <c r="J31" t="inlineStr"/>
      <c r="K31" t="inlineStr">
        <is>
          <t>Kinetic</t>
        </is>
      </c>
      <c r="L31" t="n">
        <v>5</v>
      </c>
      <c r="M31" t="inlineStr">
        <is>
          <t>Bullet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1.5</v>
      </c>
      <c r="S31" t="n">
        <v>0</v>
      </c>
      <c r="T31" t="n">
        <v>0</v>
      </c>
      <c r="U31" t="n">
        <v>0</v>
      </c>
      <c r="V31" t="n">
        <v>0</v>
      </c>
      <c r="W31" t="n">
        <v>260</v>
      </c>
      <c r="X31" t="n">
        <v>0</v>
      </c>
      <c r="Y31" t="n">
        <v>0</v>
      </c>
      <c r="Z31" t="n">
        <v>400</v>
      </c>
      <c r="AA31" t="n">
        <v>7</v>
      </c>
      <c r="AB31" t="n">
        <v>0</v>
      </c>
      <c r="AC31" t="inlineStr">
        <is>
          <t>Ground</t>
        </is>
      </c>
      <c r="AD31" t="inlineStr"/>
      <c r="AE31" t="n">
        <v>0</v>
      </c>
      <c r="AF31" t="inlineStr">
        <is>
          <t>Medium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2</v>
      </c>
      <c r="AO31" t="n">
        <v>0</v>
      </c>
      <c r="AP31" t="inlineStr">
        <is>
          <t>T0</t>
        </is>
      </c>
      <c r="AQ31" t="inlineStr"/>
      <c r="AR31" t="inlineStr"/>
      <c r="AS31" t="inlineStr">
        <is>
          <t>boss</t>
        </is>
      </c>
      <c r="AT31" t="inlineStr">
        <is>
          <t>earth_borer</t>
        </is>
      </c>
      <c r="AU31" t="n">
        <v>1</v>
      </c>
      <c r="AV31" t="inlineStr">
        <is>
          <t>earth_borer:0</t>
        </is>
      </c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0.0175</v>
      </c>
      <c r="BB31" t="inlineStr">
        <is>
          <t>NEED_SOURCE</t>
        </is>
      </c>
      <c r="BC31" t="inlineStr">
        <is>
          <t>NEED_SOURCE</t>
        </is>
      </c>
      <c r="BE31" t="inlineStr">
        <is>
          <t>NEED_SOURCE</t>
        </is>
      </c>
      <c r="BG31" t="inlineStr">
        <is>
          <t>doi</t>
        </is>
      </c>
      <c r="CB31" t="n">
        <v>4</v>
      </c>
      <c r="CC31" t="n">
        <v>5</v>
      </c>
      <c r="DD31" t="n">
        <v>1.5</v>
      </c>
      <c r="DE31" t="n">
        <v>260</v>
      </c>
      <c r="DF31" t="inlineStr">
        <is>
          <t>Kinetic</t>
        </is>
      </c>
      <c r="DJ31" t="inlineStr">
        <is>
          <t>melee</t>
        </is>
      </c>
      <c r="DS31" t="inlineStr">
        <is>
          <t>Medium</t>
        </is>
      </c>
      <c r="DY31" t="b">
        <v>1</v>
      </c>
      <c r="EB31" t="n">
        <v>5</v>
      </c>
      <c r="EE31" t="b">
        <v>1</v>
      </c>
      <c r="EH31" t="inlineStr">
        <is>
          <t>Bullet</t>
        </is>
      </c>
      <c r="EK31" t="n">
        <v>400</v>
      </c>
      <c r="EP31" t="n">
        <v>7</v>
      </c>
      <c r="EQ31" t="inlineStr">
        <is>
          <t>drill head</t>
        </is>
      </c>
      <c r="EX31" t="n">
        <v>2</v>
      </c>
      <c r="FW31" t="inlineStr">
        <is>
          <t>Ground</t>
        </is>
      </c>
      <c r="GB31" t="inlineStr">
        <is>
          <t>melee_drill_head</t>
        </is>
      </c>
      <c r="GD31" t="inlineStr">
        <is>
          <t>Assets/MachineBrigade/Resources/Data/balance.json: weapons[243]</t>
        </is>
      </c>
      <c r="GE31" t="inlineStr">
        <is>
          <t>{"id":"borer_drill","weaponFamilyId":"melee_drill_head","real":"drill head","family":"melee","size":2,"pen":5,"piercing":true,"melee":true,"damageType":"Kinetic","damage":260,"cooldown":1.5,"range":7,"projectileSpeed":400,"impactTier":"Medium","projectile":"Bullet","targets":"Ground","bonuses":[{"armor":"Structure","mult":2}]}</t>
        </is>
      </c>
    </row>
    <row r="32">
      <c r="A32" t="inlineStr">
        <is>
          <t>boss_flak</t>
        </is>
      </c>
      <c r="B32" t="inlineStr">
        <is>
          <t>Oerlikon 35 mm (twin)</t>
        </is>
      </c>
      <c r="C32" t="inlineStr">
        <is>
          <t>cal_35</t>
        </is>
      </c>
      <c r="D32" t="inlineStr"/>
      <c r="E32" t="inlineStr">
        <is>
          <t>oerlikon_35_mm</t>
        </is>
      </c>
      <c r="F32" t="inlineStr">
        <is>
          <t>autocannon</t>
        </is>
      </c>
      <c r="G32" t="n">
        <v>35</v>
      </c>
      <c r="H32" t="inlineStr"/>
      <c r="I32" t="inlineStr"/>
      <c r="J32" t="inlineStr"/>
      <c r="K32" t="inlineStr">
        <is>
          <t>Fragmentation</t>
        </is>
      </c>
      <c r="L32" t="n">
        <v>2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0.05</v>
      </c>
      <c r="S32" t="n">
        <v>41</v>
      </c>
      <c r="T32" t="n">
        <v>3.38</v>
      </c>
      <c r="U32" t="n">
        <v>0</v>
      </c>
      <c r="V32" t="n">
        <v>0</v>
      </c>
      <c r="W32" t="n">
        <v>25</v>
      </c>
      <c r="X32" t="n">
        <v>2.5</v>
      </c>
      <c r="Y32" t="n">
        <v>0</v>
      </c>
      <c r="Z32" t="n">
        <v>260</v>
      </c>
      <c r="AA32" t="n">
        <v>40</v>
      </c>
      <c r="AB32" t="n">
        <v>0</v>
      </c>
      <c r="AC32" t="inlineStr">
        <is>
          <t>All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35</v>
      </c>
      <c r="AO32" t="n">
        <v>0</v>
      </c>
      <c r="AP32" t="inlineStr">
        <is>
          <t>T1</t>
        </is>
      </c>
      <c r="AQ32" t="inlineStr"/>
      <c r="AR32" t="inlineStr">
        <is>
          <t>boss_flak_ap</t>
        </is>
      </c>
      <c r="AS32" t="inlineStr">
        <is>
          <t>boss;boss_part;xe</t>
        </is>
      </c>
      <c r="AT32" t="inlineStr">
        <is>
          <t>armored_train;flak_35;mara_behemoth</t>
        </is>
      </c>
      <c r="AU32" t="n">
        <v>3</v>
      </c>
      <c r="AV32" t="inlineStr">
        <is>
          <t>armored_train:3;armored_train:5;flak_35:part;mara_behemoth:2;mara_behemoth:3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0.1538461538461539</v>
      </c>
      <c r="BB32" t="n">
        <v>550</v>
      </c>
      <c r="BC32" t="n">
        <v>300</v>
      </c>
      <c r="BD32" t="inlineStr">
        <is>
          <t>aa</t>
        </is>
      </c>
      <c r="BE32" t="inlineStr">
        <is>
          <t>Wikipedia 'Oerlikon GDF': 550 rpm a gun (the twin: 1,100)</t>
        </is>
      </c>
      <c r="BG32" t="inlineStr">
        <is>
          <t>giong</t>
        </is>
      </c>
      <c r="CT32" t="n">
        <v>35</v>
      </c>
      <c r="CW32" t="n">
        <v>41</v>
      </c>
      <c r="CX32" t="n">
        <v>3.38</v>
      </c>
      <c r="DD32" t="n">
        <v>0.05</v>
      </c>
      <c r="DE32" t="n">
        <v>25</v>
      </c>
      <c r="DF32" t="inlineStr">
        <is>
          <t>Fragmentation</t>
        </is>
      </c>
      <c r="DJ32" t="inlineStr">
        <is>
          <t>autocannon</t>
        </is>
      </c>
      <c r="DS32" t="inlineStr">
        <is>
          <t>Small</t>
        </is>
      </c>
      <c r="EB32" t="n">
        <v>2</v>
      </c>
      <c r="EH32" t="inlineStr">
        <is>
          <t>Bullet</t>
        </is>
      </c>
      <c r="EP32" t="n">
        <v>40</v>
      </c>
      <c r="EQ32" t="inlineStr">
        <is>
          <t>Oerlikon 35 mm (twin)</t>
        </is>
      </c>
      <c r="EX32" t="n">
        <v>35</v>
      </c>
      <c r="EZ32" t="n">
        <v>1.5</v>
      </c>
      <c r="FW32" t="inlineStr">
        <is>
          <t>All</t>
        </is>
      </c>
      <c r="GA32" t="inlineStr">
        <is>
          <t>oerlikon_35_mm</t>
        </is>
      </c>
      <c r="GB32" t="inlineStr">
        <is>
          <t>cal_35</t>
        </is>
      </c>
      <c r="GD32" t="inlineStr">
        <is>
          <t>Assets/MachineBrigade/Resources/Data/balance.json: weapons[232]</t>
        </is>
      </c>
      <c r="GE32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3">
      <c r="A33" t="inlineStr">
        <is>
          <t>boss_flak_ap</t>
        </is>
      </c>
      <c r="B33" t="inlineStr">
        <is>
          <t>Oerlikon 35 mm AP (twin)</t>
        </is>
      </c>
      <c r="C33" t="inlineStr">
        <is>
          <t>cal_35</t>
        </is>
      </c>
      <c r="D33" t="inlineStr">
        <is>
          <t>ap</t>
        </is>
      </c>
      <c r="E33" t="inlineStr">
        <is>
          <t>oerlikon_35_mm_ap</t>
        </is>
      </c>
      <c r="F33" t="inlineStr">
        <is>
          <t>autocannon</t>
        </is>
      </c>
      <c r="G33" t="n">
        <v>35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0.05</v>
      </c>
      <c r="S33" t="n">
        <v>41</v>
      </c>
      <c r="T33" t="n">
        <v>3.38</v>
      </c>
      <c r="U33" t="n">
        <v>0</v>
      </c>
      <c r="V33" t="n">
        <v>0</v>
      </c>
      <c r="W33" t="n">
        <v>25</v>
      </c>
      <c r="X33" t="n">
        <v>0</v>
      </c>
      <c r="Y33" t="n">
        <v>0</v>
      </c>
      <c r="Z33" t="n">
        <v>260</v>
      </c>
      <c r="AA33" t="n">
        <v>40</v>
      </c>
      <c r="AB33" t="n">
        <v>0</v>
      </c>
      <c r="AC33" t="inlineStr">
        <is>
          <t>Ground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35</v>
      </c>
      <c r="AO33" t="n">
        <v>0</v>
      </c>
      <c r="AP33" t="inlineStr">
        <is>
          <t>T1</t>
        </is>
      </c>
      <c r="AQ33" t="inlineStr">
        <is>
          <t>boss_flak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0.1538461538461539</v>
      </c>
      <c r="BB33" t="n">
        <v>550</v>
      </c>
      <c r="BC33" t="n">
        <v>300</v>
      </c>
      <c r="BD33" t="inlineStr">
        <is>
          <t>aa</t>
        </is>
      </c>
      <c r="BE33" t="inlineStr">
        <is>
          <t>Wikipedia 'Oerlikon GDF': 550 rpm a gun (the twin: 1,100)</t>
        </is>
      </c>
      <c r="BG33" t="inlineStr">
        <is>
          <t>giong</t>
        </is>
      </c>
      <c r="DE33" t="n">
        <v>25</v>
      </c>
      <c r="DF33" t="inlineStr">
        <is>
          <t>Kinetic</t>
        </is>
      </c>
      <c r="DM33" t="inlineStr">
        <is>
          <t>ground</t>
        </is>
      </c>
      <c r="DN33" t="inlineStr">
        <is>
          <t>BeltedAutocannon</t>
        </is>
      </c>
      <c r="DT33" t="inlineStr">
        <is>
          <t>boss_flak</t>
        </is>
      </c>
      <c r="EB33" t="n">
        <v>2</v>
      </c>
      <c r="EE33" t="b">
        <v>1</v>
      </c>
      <c r="EQ33" t="inlineStr">
        <is>
          <t>Oerlikon 35 mm AP (twin)</t>
        </is>
      </c>
      <c r="ES33" t="inlineStr">
        <is>
          <t>ap</t>
        </is>
      </c>
      <c r="EU33" t="inlineStr">
        <is>
          <t>boss_flak</t>
        </is>
      </c>
      <c r="EY33" t="n">
        <v>0</v>
      </c>
      <c r="FW33" t="inlineStr">
        <is>
          <t>Ground</t>
        </is>
      </c>
      <c r="GA33" t="inlineStr">
        <is>
          <t>oerlikon_35_mm_ap</t>
        </is>
      </c>
      <c r="GC33" t="inlineStr">
        <is>
          <t>ap</t>
        </is>
      </c>
      <c r="GD33" t="inlineStr">
        <is>
          <t>Assets/MachineBrigade/Resources/Data/balance.json: secondRounds.rounds[8]</t>
        </is>
      </c>
      <c r="GE33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4">
      <c r="A34" t="inlineStr">
        <is>
          <t>boss_flamer</t>
        </is>
      </c>
      <c r="B34" t="inlineStr">
        <is>
          <t>flamethrower (heavy)</t>
        </is>
      </c>
      <c r="C34" t="inlineStr">
        <is>
          <t>flame_flamethrower</t>
        </is>
      </c>
      <c r="D34" t="inlineStr"/>
      <c r="E34" t="inlineStr"/>
      <c r="F34" t="inlineStr">
        <is>
          <t>flame</t>
        </is>
      </c>
      <c r="G34" t="inlineStr"/>
      <c r="H34" t="inlineStr"/>
      <c r="I34" t="inlineStr"/>
      <c r="J34" t="inlineStr"/>
      <c r="K34" t="inlineStr">
        <is>
          <t>Fire</t>
        </is>
      </c>
      <c r="L34" t="n">
        <v>2</v>
      </c>
      <c r="M34" t="inlineStr">
        <is>
          <t>Flame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0.25</v>
      </c>
      <c r="S34" t="n">
        <v>0</v>
      </c>
      <c r="T34" t="n">
        <v>0</v>
      </c>
      <c r="U34" t="n">
        <v>0</v>
      </c>
      <c r="V34" t="n">
        <v>0</v>
      </c>
      <c r="W34" t="n">
        <v>30</v>
      </c>
      <c r="X34" t="n">
        <v>3.5</v>
      </c>
      <c r="Y34" t="n">
        <v>0</v>
      </c>
      <c r="Z34" t="n">
        <v>38</v>
      </c>
      <c r="AA34" t="n">
        <v>20</v>
      </c>
      <c r="AB34" t="n">
        <v>0</v>
      </c>
      <c r="AC34" t="inlineStr">
        <is>
          <t>Ground</t>
        </is>
      </c>
      <c r="AD34" t="inlineStr"/>
      <c r="AE34" t="n">
        <v>0.8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3</v>
      </c>
      <c r="AO34" t="n">
        <v>0</v>
      </c>
      <c r="AP34" t="inlineStr">
        <is>
          <t>T1</t>
        </is>
      </c>
      <c r="AQ34" t="inlineStr"/>
      <c r="AR34" t="inlineStr"/>
      <c r="AS34" t="inlineStr">
        <is>
          <t>boss</t>
        </is>
      </c>
      <c r="AT34" t="inlineStr">
        <is>
          <t>behemoth_inferno</t>
        </is>
      </c>
      <c r="AU34" t="n">
        <v>1</v>
      </c>
      <c r="AV34" t="inlineStr">
        <is>
          <t>behemoth_inferno:0;behemoth_inferno:2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0.5263157894736842</v>
      </c>
      <c r="BB34" t="inlineStr">
        <is>
          <t>NEED_SOURCE</t>
        </is>
      </c>
      <c r="BC34" t="inlineStr">
        <is>
          <t>NEED_SOURCE</t>
        </is>
      </c>
      <c r="BE34" t="inlineStr">
        <is>
          <t>NEED_SOURCE</t>
        </is>
      </c>
      <c r="BG34" t="inlineStr">
        <is>
          <t>giong</t>
        </is>
      </c>
      <c r="DD34" t="n">
        <v>0.25</v>
      </c>
      <c r="DE34" t="n">
        <v>30</v>
      </c>
      <c r="DF34" t="inlineStr">
        <is>
          <t>Fire</t>
        </is>
      </c>
      <c r="DJ34" t="inlineStr">
        <is>
          <t>flame</t>
        </is>
      </c>
      <c r="DS34" t="inlineStr">
        <is>
          <t>Medium</t>
        </is>
      </c>
      <c r="EB34" t="n">
        <v>2</v>
      </c>
      <c r="EH34" t="inlineStr">
        <is>
          <t>Flame</t>
        </is>
      </c>
      <c r="EK34" t="n">
        <v>38</v>
      </c>
      <c r="EP34" t="n">
        <v>20</v>
      </c>
      <c r="EQ34" t="inlineStr">
        <is>
          <t>flamethrower (heavy)</t>
        </is>
      </c>
      <c r="EX34" t="n">
        <v>3</v>
      </c>
      <c r="EY34" t="n">
        <v>3.5</v>
      </c>
      <c r="EZ34" t="n">
        <v>0.8</v>
      </c>
      <c r="GB34" t="inlineStr">
        <is>
          <t>flame_flamethrower</t>
        </is>
      </c>
      <c r="GD34" t="inlineStr">
        <is>
          <t>Assets/MachineBrigade/Resources/Data/balance.json: weapons[239]</t>
        </is>
      </c>
      <c r="GE34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35">
      <c r="A35" t="inlineStr">
        <is>
          <t>boss_heli_gun</t>
        </is>
      </c>
      <c r="B35" t="inlineStr">
        <is>
          <t>M230 30 mm</t>
        </is>
      </c>
      <c r="C35" t="inlineStr">
        <is>
          <t>cal_30</t>
        </is>
      </c>
      <c r="D35" t="inlineStr"/>
      <c r="E35" t="inlineStr"/>
      <c r="F35" t="inlineStr">
        <is>
          <t>autocannon</t>
        </is>
      </c>
      <c r="G35" t="n">
        <v>30</v>
      </c>
      <c r="H35" t="inlineStr"/>
      <c r="I35" t="inlineStr"/>
      <c r="J35" t="inlineStr"/>
      <c r="K35" t="inlineStr">
        <is>
          <t>Kinetic</t>
        </is>
      </c>
      <c r="L35" t="n">
        <v>2</v>
      </c>
      <c r="M35" t="inlineStr">
        <is>
          <t>Bullet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0.1667</v>
      </c>
      <c r="S35" t="n">
        <v>40</v>
      </c>
      <c r="T35" t="n">
        <v>3.167</v>
      </c>
      <c r="U35" t="n">
        <v>0</v>
      </c>
      <c r="V35" t="n">
        <v>0</v>
      </c>
      <c r="W35" t="n">
        <v>22</v>
      </c>
      <c r="X35" t="n">
        <v>0</v>
      </c>
      <c r="Y35" t="n">
        <v>0</v>
      </c>
      <c r="Z35" t="n">
        <v>200</v>
      </c>
      <c r="AA35" t="n">
        <v>26</v>
      </c>
      <c r="AB35" t="n">
        <v>0</v>
      </c>
      <c r="AC35" t="inlineStr">
        <is>
          <t>All</t>
        </is>
      </c>
      <c r="AD35" t="inlineStr"/>
      <c r="AE35" t="n">
        <v>1.3</v>
      </c>
      <c r="AF35" t="inlineStr">
        <is>
          <t>Small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30</v>
      </c>
      <c r="AO35" t="n">
        <v>0</v>
      </c>
      <c r="AP35" t="inlineStr">
        <is>
          <t>T1</t>
        </is>
      </c>
      <c r="AQ35" t="inlineStr">
        <is>
          <t>heli_gun</t>
        </is>
      </c>
      <c r="AR35" t="inlineStr">
        <is>
          <t>boss_heli_gun_flak</t>
        </is>
      </c>
      <c r="AS35" t="inlineStr">
        <is>
          <t>boss</t>
        </is>
      </c>
      <c r="AT35" t="inlineStr">
        <is>
          <t>mega_gunship</t>
        </is>
      </c>
      <c r="AU35" t="n">
        <v>1</v>
      </c>
      <c r="AV35" t="inlineStr">
        <is>
          <t>mega_gunship:1;mega_gunship:2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0.13</v>
      </c>
      <c r="BB35" t="n">
        <v>625</v>
      </c>
      <c r="BC35" t="n">
        <v>300</v>
      </c>
      <c r="BD35" t="inlineStr">
        <is>
          <t>ac</t>
        </is>
      </c>
      <c r="BE35" t="inlineStr">
        <is>
          <t>Wikipedia 'M230 chain gun': 625 rpm</t>
        </is>
      </c>
      <c r="BG35" t="inlineStr">
        <is>
          <t>doi</t>
        </is>
      </c>
      <c r="BR35" t="n">
        <v>220</v>
      </c>
      <c r="BS35" t="n">
        <v>200</v>
      </c>
      <c r="CH35" t="n">
        <v>3.1667</v>
      </c>
      <c r="CI35" t="n">
        <v>3.167</v>
      </c>
      <c r="CT35" t="n">
        <v>30</v>
      </c>
      <c r="CW35" t="n">
        <v>40</v>
      </c>
      <c r="CX35" t="n">
        <v>3.167</v>
      </c>
      <c r="DD35" t="n">
        <v>0.1667</v>
      </c>
      <c r="DJ35" t="inlineStr">
        <is>
          <t>autocannon</t>
        </is>
      </c>
      <c r="DT35" t="inlineStr">
        <is>
          <t>heli_gun</t>
        </is>
      </c>
      <c r="EB35" t="n">
        <v>2</v>
      </c>
      <c r="EK35" t="n">
        <v>200</v>
      </c>
      <c r="EQ35" t="inlineStr">
        <is>
          <t>M230 30 mm</t>
        </is>
      </c>
      <c r="EX35" t="n">
        <v>30</v>
      </c>
      <c r="EY35" t="n">
        <v>0</v>
      </c>
      <c r="GA35" t="inlineStr"/>
      <c r="GD35" t="inlineStr">
        <is>
          <t>Assets/MachineBrigade/Resources/Data/balance.json: weapons[247]</t>
        </is>
      </c>
      <c r="GE35" t="inlineStr">
        <is>
          <t>{"id":"boss_heli_gun","weaponFamily":"","real":"M230 30 mm","family":"autocannon","size":30,"caliberMm":30,"pen":2,"inherits":"heli_gun","splash":0,"projectileSpeed":200,"cooldown":0.1667,"clip":40,"clipReload":3.167}</t>
        </is>
      </c>
    </row>
    <row r="36">
      <c r="A36" t="inlineStr">
        <is>
          <t>boss_heli_gun_flak</t>
        </is>
      </c>
      <c r="B36" t="inlineStr">
        <is>
          <t>M230 30 mm air-burst</t>
        </is>
      </c>
      <c r="C36" t="inlineStr">
        <is>
          <t>cal_30</t>
        </is>
      </c>
      <c r="D36" t="inlineStr">
        <is>
          <t>flak</t>
        </is>
      </c>
      <c r="E36" t="inlineStr">
        <is>
          <t>m230_30_mm_air_burst</t>
        </is>
      </c>
      <c r="F36" t="inlineStr">
        <is>
          <t>autocannon</t>
        </is>
      </c>
      <c r="G36" t="n">
        <v>30</v>
      </c>
      <c r="H36" t="inlineStr"/>
      <c r="I36" t="inlineStr"/>
      <c r="J36" t="inlineStr"/>
      <c r="K36" t="inlineStr">
        <is>
          <t>Fragmentation</t>
        </is>
      </c>
      <c r="L36" t="n">
        <v>2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0.1667</v>
      </c>
      <c r="S36" t="n">
        <v>40</v>
      </c>
      <c r="T36" t="n">
        <v>3.167</v>
      </c>
      <c r="U36" t="n">
        <v>0</v>
      </c>
      <c r="V36" t="n">
        <v>0</v>
      </c>
      <c r="W36" t="n">
        <v>22</v>
      </c>
      <c r="X36" t="n">
        <v>2.5</v>
      </c>
      <c r="Y36" t="n">
        <v>0</v>
      </c>
      <c r="Z36" t="n">
        <v>220</v>
      </c>
      <c r="AA36" t="n">
        <v>26</v>
      </c>
      <c r="AB36" t="n">
        <v>0</v>
      </c>
      <c r="AC36" t="inlineStr">
        <is>
          <t>Air</t>
        </is>
      </c>
      <c r="AD36" t="inlineStr"/>
      <c r="AE36" t="n">
        <v>1.3</v>
      </c>
      <c r="AF36" t="inlineStr">
        <is>
          <t>Small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30</v>
      </c>
      <c r="AO36" t="n">
        <v>0</v>
      </c>
      <c r="AP36" t="inlineStr">
        <is>
          <t>T1</t>
        </is>
      </c>
      <c r="AQ36" t="inlineStr">
        <is>
          <t>boss_heli_gun</t>
        </is>
      </c>
      <c r="AR36" t="inlineStr"/>
      <c r="AS36" t="inlineStr"/>
      <c r="AT36" t="inlineStr"/>
      <c r="AU36" t="n">
        <v>0</v>
      </c>
      <c r="AV36" t="inlineStr"/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0.1181818181818182</v>
      </c>
      <c r="BB36" t="n">
        <v>625</v>
      </c>
      <c r="BC36" t="n">
        <v>300</v>
      </c>
      <c r="BD36" t="inlineStr">
        <is>
          <t>ac</t>
        </is>
      </c>
      <c r="BE36" t="inlineStr">
        <is>
          <t>Wikipedia 'M230 chain gun': 625 rpm</t>
        </is>
      </c>
      <c r="BG36" t="inlineStr">
        <is>
          <t>doi</t>
        </is>
      </c>
      <c r="CH36" t="n">
        <v>3.1667</v>
      </c>
      <c r="CI36" t="n">
        <v>3.167</v>
      </c>
      <c r="DE36" t="n">
        <v>22</v>
      </c>
      <c r="DF36" t="inlineStr">
        <is>
          <t>Fragmentation</t>
        </is>
      </c>
      <c r="DM36" t="inlineStr">
        <is>
          <t>air</t>
        </is>
      </c>
      <c r="DN36" t="inlineStr">
        <is>
          <t>Airburst</t>
        </is>
      </c>
      <c r="DT36" t="inlineStr">
        <is>
          <t>boss_heli_gun</t>
        </is>
      </c>
      <c r="EB36" t="n">
        <v>2</v>
      </c>
      <c r="EE36" t="b">
        <v>0</v>
      </c>
      <c r="EQ36" t="inlineStr">
        <is>
          <t>M230 30 mm air-burst</t>
        </is>
      </c>
      <c r="ES36" t="inlineStr">
        <is>
          <t>flak</t>
        </is>
      </c>
      <c r="EU36" t="inlineStr">
        <is>
          <t>boss_heli_gun</t>
        </is>
      </c>
      <c r="EY36" t="n">
        <v>2.5</v>
      </c>
      <c r="FW36" t="inlineStr">
        <is>
          <t>Air</t>
        </is>
      </c>
      <c r="GA36" t="inlineStr">
        <is>
          <t>m230_30_mm_air_burst</t>
        </is>
      </c>
      <c r="GC36" t="inlineStr">
        <is>
          <t>flak</t>
        </is>
      </c>
      <c r="GD36" t="inlineStr">
        <is>
          <t>Assets/MachineBrigade/Resources/Data/balance.json: secondRounds.rounds[9]</t>
        </is>
      </c>
      <c r="GE36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37">
      <c r="A37" t="inlineStr">
        <is>
          <t>boss_hmg</t>
        </is>
      </c>
      <c r="B37" t="inlineStr">
        <is>
          <t>NSV 12.7 mm</t>
        </is>
      </c>
      <c r="C37" t="inlineStr">
        <is>
          <t>cal_12_7</t>
        </is>
      </c>
      <c r="D37" t="inlineStr"/>
      <c r="E37" t="inlineStr">
        <is>
          <t>nsv_12_7_mm</t>
        </is>
      </c>
      <c r="F37" t="inlineStr">
        <is>
          <t>mg</t>
        </is>
      </c>
      <c r="G37" t="n">
        <v>12.7</v>
      </c>
      <c r="H37" t="inlineStr"/>
      <c r="I37" t="inlineStr"/>
      <c r="J37" t="inlineStr"/>
      <c r="K37" t="inlineStr">
        <is>
          <t>Kinetic</t>
        </is>
      </c>
      <c r="L37" t="n">
        <v>1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0.0833</v>
      </c>
      <c r="S37" t="n">
        <v>100</v>
      </c>
      <c r="T37" t="n">
        <v>5</v>
      </c>
      <c r="U37" t="n">
        <v>0</v>
      </c>
      <c r="V37" t="n">
        <v>0</v>
      </c>
      <c r="W37" t="n">
        <v>15</v>
      </c>
      <c r="X37" t="n">
        <v>0</v>
      </c>
      <c r="Y37" t="n">
        <v>0</v>
      </c>
      <c r="Z37" t="n">
        <v>240</v>
      </c>
      <c r="AA37" t="n">
        <v>30</v>
      </c>
      <c r="AB37" t="n">
        <v>0</v>
      </c>
      <c r="AC37" t="inlineStr">
        <is>
          <t>All</t>
        </is>
      </c>
      <c r="AD37" t="inlineStr"/>
      <c r="AE37" t="n">
        <v>1.3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12.7</v>
      </c>
      <c r="AO37" t="n">
        <v>0</v>
      </c>
      <c r="AP37" t="inlineStr">
        <is>
          <t>T0</t>
        </is>
      </c>
      <c r="AQ37" t="inlineStr">
        <is>
          <t>hmg_roof</t>
        </is>
      </c>
      <c r="AR37" t="inlineStr">
        <is>
          <t>boss_hmg_api</t>
        </is>
      </c>
      <c r="AS37" t="inlineStr">
        <is>
          <t>boss</t>
        </is>
      </c>
      <c r="AT37" t="inlineStr">
        <is>
          <t>armored_train;mega_gunship</t>
        </is>
      </c>
      <c r="AU37" t="n">
        <v>2</v>
      </c>
      <c r="AV37" t="inlineStr">
        <is>
          <t>armored_train:2;mega_gunship:5;mega_gunship:6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0.125</v>
      </c>
      <c r="BB37" t="n">
        <v>800</v>
      </c>
      <c r="BC37" t="n">
        <v>100</v>
      </c>
      <c r="BD37" t="inlineStr">
        <is>
          <t>mg</t>
        </is>
      </c>
      <c r="BE37" t="inlineStr">
        <is>
          <t>Wikipedia 'NSV machine gun': 700-800 cyclic, 100 practical</t>
        </is>
      </c>
      <c r="BF37" t="inlineStr">
        <is>
          <t>wave 1 boss_hmg: 100 rounds at 720 rpm, changed in 5 s (NSV 700-800 rpm)</t>
        </is>
      </c>
      <c r="BG37" t="inlineStr">
        <is>
          <t>doi</t>
        </is>
      </c>
      <c r="BH37" t="n">
        <v>9.5</v>
      </c>
      <c r="BI37" t="n">
        <v>15</v>
      </c>
      <c r="CH37" t="n">
        <v>5.0833</v>
      </c>
      <c r="CI37" t="n">
        <v>5</v>
      </c>
      <c r="CT37" t="n">
        <v>12.7</v>
      </c>
      <c r="CW37" t="n">
        <v>100</v>
      </c>
      <c r="CX37" t="n">
        <v>5</v>
      </c>
      <c r="DD37" t="n">
        <v>0.0833</v>
      </c>
      <c r="DE37" t="n">
        <v>15</v>
      </c>
      <c r="DJ37" t="inlineStr">
        <is>
          <t>mg</t>
        </is>
      </c>
      <c r="DT37" t="inlineStr">
        <is>
          <t>hmg_roof</t>
        </is>
      </c>
      <c r="EB37" t="n">
        <v>1</v>
      </c>
      <c r="EQ37" t="inlineStr">
        <is>
          <t>NSV 12.7 mm</t>
        </is>
      </c>
      <c r="EX37" t="n">
        <v>12.7</v>
      </c>
      <c r="GA37" t="inlineStr">
        <is>
          <t>nsv_12_7_mm</t>
        </is>
      </c>
      <c r="GD37" t="inlineStr">
        <is>
          <t>Assets/MachineBrigade/Resources/Data/balance.json: weapons[249]</t>
        </is>
      </c>
      <c r="GE37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38">
      <c r="A38" t="inlineStr">
        <is>
          <t>boss_hmg_api</t>
        </is>
      </c>
      <c r="B38" t="inlineStr">
        <is>
          <t>NSV 12.7 mm API</t>
        </is>
      </c>
      <c r="C38" t="inlineStr">
        <is>
          <t>cal_12_7</t>
        </is>
      </c>
      <c r="D38" t="inlineStr"/>
      <c r="E38" t="inlineStr">
        <is>
          <t>nsv_12_7_mm_api</t>
        </is>
      </c>
      <c r="F38" t="inlineStr">
        <is>
          <t>mg</t>
        </is>
      </c>
      <c r="G38" t="n">
        <v>12.7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0.0833</v>
      </c>
      <c r="S38" t="n">
        <v>100</v>
      </c>
      <c r="T38" t="n">
        <v>5</v>
      </c>
      <c r="U38" t="n">
        <v>0</v>
      </c>
      <c r="V38" t="n">
        <v>0</v>
      </c>
      <c r="W38" t="n">
        <v>15</v>
      </c>
      <c r="X38" t="n">
        <v>0</v>
      </c>
      <c r="Y38" t="n">
        <v>0</v>
      </c>
      <c r="Z38" t="n">
        <v>240</v>
      </c>
      <c r="AA38" t="n">
        <v>30</v>
      </c>
      <c r="AB38" t="n">
        <v>0</v>
      </c>
      <c r="AC38" t="inlineStr">
        <is>
          <t>All</t>
        </is>
      </c>
      <c r="AD38" t="inlineStr"/>
      <c r="AE38" t="n">
        <v>1.3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12.7</v>
      </c>
      <c r="AO38" t="n">
        <v>0</v>
      </c>
      <c r="AP38" t="inlineStr">
        <is>
          <t>T0</t>
        </is>
      </c>
      <c r="AQ38" t="inlineStr">
        <is>
          <t>boss_hmg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0.125</v>
      </c>
      <c r="BB38" t="n">
        <v>800</v>
      </c>
      <c r="BC38" t="n">
        <v>100</v>
      </c>
      <c r="BD38" t="inlineStr">
        <is>
          <t>mg</t>
        </is>
      </c>
      <c r="BE38" t="inlineStr">
        <is>
          <t>Wikipedia 'NSV machine gun': 700-800 cyclic, 100 practical</t>
        </is>
      </c>
      <c r="BG38" t="inlineStr">
        <is>
          <t>doi</t>
        </is>
      </c>
      <c r="BH38" t="n">
        <v>9.5</v>
      </c>
      <c r="BI38" t="n">
        <v>15</v>
      </c>
      <c r="CH38" t="n">
        <v>5.0833</v>
      </c>
      <c r="CI38" t="n">
        <v>5</v>
      </c>
      <c r="DE38" t="n">
        <v>15</v>
      </c>
      <c r="DF38" t="inlineStr">
        <is>
          <t>Kinetic</t>
        </is>
      </c>
      <c r="DH38" t="b">
        <v>1</v>
      </c>
      <c r="DM38" t="inlineStr">
        <is>
          <t>any</t>
        </is>
      </c>
      <c r="DN38" t="inlineStr">
        <is>
          <t>BulletBig</t>
        </is>
      </c>
      <c r="DT38" t="inlineStr">
        <is>
          <t>boss_hmg</t>
        </is>
      </c>
      <c r="EB38" t="n">
        <v>2</v>
      </c>
      <c r="EE38" t="b">
        <v>1</v>
      </c>
      <c r="EQ38" t="inlineStr">
        <is>
          <t>NSV 12.7 mm API</t>
        </is>
      </c>
      <c r="ES38" t="inlineStr">
        <is>
          <t>api</t>
        </is>
      </c>
      <c r="EU38" t="inlineStr">
        <is>
          <t>boss_hmg</t>
        </is>
      </c>
      <c r="GA38" t="inlineStr">
        <is>
          <t>nsv_12_7_mm_api</t>
        </is>
      </c>
      <c r="GD38" t="inlineStr">
        <is>
          <t>Assets/MachineBrigade/Resources/Data/balance.json: secondRounds.rounds[10]</t>
        </is>
      </c>
      <c r="GE38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39">
      <c r="A39" t="inlineStr">
        <is>
          <t>boss_howitzer</t>
        </is>
      </c>
      <c r="B39" t="inlineStr">
        <is>
          <t>2A44 203 mm</t>
        </is>
      </c>
      <c r="C39" t="inlineStr">
        <is>
          <t>cal_203</t>
        </is>
      </c>
      <c r="D39" t="inlineStr"/>
      <c r="E39" t="inlineStr"/>
      <c r="F39" t="inlineStr">
        <is>
          <t>howitzer</t>
        </is>
      </c>
      <c r="G39" t="n">
        <v>203</v>
      </c>
      <c r="H39" t="inlineStr"/>
      <c r="I39" t="inlineStr"/>
      <c r="J39" t="inlineStr"/>
      <c r="K39" t="inlineStr">
        <is>
          <t>HighExplosive</t>
        </is>
      </c>
      <c r="L39" t="n">
        <v>4</v>
      </c>
      <c r="M39" t="inlineStr">
        <is>
          <t>Shell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9.44</v>
      </c>
      <c r="S39" t="n">
        <v>0</v>
      </c>
      <c r="T39" t="n">
        <v>0</v>
      </c>
      <c r="U39" t="n">
        <v>0</v>
      </c>
      <c r="V39" t="n">
        <v>0</v>
      </c>
      <c r="W39" t="n">
        <v>420</v>
      </c>
      <c r="X39" t="n">
        <v>8</v>
      </c>
      <c r="Y39" t="n">
        <v>0</v>
      </c>
      <c r="Z39" t="n">
        <v>60</v>
      </c>
      <c r="AA39" t="n">
        <v>60</v>
      </c>
      <c r="AB39" t="n">
        <v>0</v>
      </c>
      <c r="AC39" t="inlineStr">
        <is>
          <t>Ground</t>
        </is>
      </c>
      <c r="AD39" t="inlineStr"/>
      <c r="AE39" t="n">
        <v>3</v>
      </c>
      <c r="AF39" t="inlineStr">
        <is>
          <t>Huge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203</v>
      </c>
      <c r="AO39" t="n">
        <v>0</v>
      </c>
      <c r="AP39" t="inlineStr">
        <is>
          <t>T4</t>
        </is>
      </c>
      <c r="AQ39" t="inlineStr"/>
      <c r="AR39" t="inlineStr">
        <is>
          <t>boss_howitzer_guided</t>
        </is>
      </c>
      <c r="AS39" t="inlineStr">
        <is>
          <t>boss_part</t>
        </is>
      </c>
      <c r="AT39" t="inlineStr">
        <is>
          <t>howitzer_203</t>
        </is>
      </c>
      <c r="AU39" t="n">
        <v>1</v>
      </c>
      <c r="AV39" t="inlineStr">
        <is>
          <t>howitzer_203:part</t>
        </is>
      </c>
      <c r="AW39" t="n">
        <v>2.5</v>
      </c>
      <c r="AX39" t="b">
        <v>1</v>
      </c>
      <c r="AY39" t="inlineStr"/>
      <c r="AZ39">
        <f>IF(AND($AX$39,$AW$39&gt;$AA$39/$Z$39),$AW$39,$AA$39/$Z$39)</f>
        <v/>
      </c>
      <c r="BA39" t="n">
        <v>2.5</v>
      </c>
      <c r="BB39" t="n">
        <v>2.5</v>
      </c>
      <c r="BC39" t="n">
        <v>1</v>
      </c>
      <c r="BD39" t="inlineStr">
        <is>
          <t>gun</t>
        </is>
      </c>
      <c r="BE39" t="inlineStr">
        <is>
          <t>Wikipedia '2S7 Pion': 1.5 rpm (2S7M Malka 2.5)</t>
        </is>
      </c>
      <c r="BG39" t="inlineStr">
        <is>
          <t>giong</t>
        </is>
      </c>
      <c r="CT39" t="n">
        <v>203</v>
      </c>
      <c r="DD39" t="n">
        <v>9.44</v>
      </c>
      <c r="DE39" t="n">
        <v>420</v>
      </c>
      <c r="DF39" t="inlineStr">
        <is>
          <t>HighExplosive</t>
        </is>
      </c>
      <c r="DJ39" t="inlineStr">
        <is>
          <t>howitzer</t>
        </is>
      </c>
      <c r="DS39" t="inlineStr">
        <is>
          <t>Huge</t>
        </is>
      </c>
      <c r="DX39" t="b">
        <v>1</v>
      </c>
      <c r="EB39" t="n">
        <v>4</v>
      </c>
      <c r="EI39" t="inlineStr">
        <is>
          <t>shell_155</t>
        </is>
      </c>
      <c r="EJ39" t="n">
        <v>0.9455</v>
      </c>
      <c r="EK39" t="n">
        <v>60</v>
      </c>
      <c r="EP39" t="n">
        <v>60</v>
      </c>
      <c r="EQ39" t="inlineStr">
        <is>
          <t>2A44 203 mm</t>
        </is>
      </c>
      <c r="ET39" t="n">
        <v>1.04</v>
      </c>
      <c r="EX39" t="n">
        <v>203</v>
      </c>
      <c r="EY39" t="n">
        <v>8</v>
      </c>
      <c r="EZ39" t="n">
        <v>3</v>
      </c>
      <c r="GB39" t="inlineStr">
        <is>
          <t>cal_203</t>
        </is>
      </c>
      <c r="GD39" t="inlineStr">
        <is>
          <t>Assets/MachineBrigade/Resources/Data/balance.json: weapons[137]</t>
        </is>
      </c>
      <c r="GE39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mm","family":"howitzer","size":203,"caliberMm":203,"pen":4,"projectileModel":"shell_155","projectileScale":0.9455,"roundLength":1.04,"damageType":"HighExplosive","damage":420,"cooldown":9.44,"range":60,"projectileSpeed":60,"splash":8,"spread":3,"impactTier":"Huge"}</t>
        </is>
      </c>
    </row>
    <row r="40">
      <c r="A40" t="inlineStr">
        <is>
          <t>boss_howitzer_guided</t>
        </is>
      </c>
      <c r="B40" t="inlineStr">
        <is>
          <t>2A44 203 mm guided</t>
        </is>
      </c>
      <c r="C40" t="inlineStr">
        <is>
          <t>cal_203</t>
        </is>
      </c>
      <c r="D40" t="inlineStr"/>
      <c r="E40" t="inlineStr"/>
      <c r="F40" t="inlineStr">
        <is>
          <t>howitzer</t>
        </is>
      </c>
      <c r="G40" t="n">
        <v>203</v>
      </c>
      <c r="H40" t="inlineStr"/>
      <c r="I40" t="inlineStr"/>
      <c r="J40" t="inlineStr"/>
      <c r="K40" t="inlineStr">
        <is>
          <t>HighExplosive</t>
        </is>
      </c>
      <c r="L40" t="n">
        <v>4</v>
      </c>
      <c r="M40" t="inlineStr">
        <is>
          <t>Shell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9.44</v>
      </c>
      <c r="S40" t="n">
        <v>0</v>
      </c>
      <c r="T40" t="n">
        <v>0</v>
      </c>
      <c r="U40" t="n">
        <v>0</v>
      </c>
      <c r="V40" t="n">
        <v>0</v>
      </c>
      <c r="W40" t="n">
        <v>420</v>
      </c>
      <c r="X40" t="n">
        <v>8</v>
      </c>
      <c r="Y40" t="n">
        <v>0</v>
      </c>
      <c r="Z40" t="n">
        <v>60</v>
      </c>
      <c r="AA40" t="n">
        <v>60</v>
      </c>
      <c r="AB40" t="n">
        <v>0</v>
      </c>
      <c r="AC40" t="inlineStr">
        <is>
          <t>Ground</t>
        </is>
      </c>
      <c r="AD40" t="inlineStr"/>
      <c r="AE40" t="n">
        <v>0</v>
      </c>
      <c r="AF40" t="inlineStr">
        <is>
          <t>Huge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1</v>
      </c>
      <c r="AN40" t="n">
        <v>203</v>
      </c>
      <c r="AO40" t="n">
        <v>0</v>
      </c>
      <c r="AP40" t="inlineStr">
        <is>
          <t>T4</t>
        </is>
      </c>
      <c r="AQ40" t="inlineStr">
        <is>
          <t>boss_howitzer</t>
        </is>
      </c>
      <c r="AR40" t="inlineStr"/>
      <c r="AS40" t="inlineStr"/>
      <c r="AT40" t="inlineStr"/>
      <c r="AU40" t="n">
        <v>0</v>
      </c>
      <c r="AV40" t="inlineStr"/>
      <c r="AW40" t="n">
        <v>2.5</v>
      </c>
      <c r="AX40" t="b">
        <v>1</v>
      </c>
      <c r="AY40" t="inlineStr"/>
      <c r="AZ40">
        <f>IF(AND($AX$40,$AW$40&gt;$AA$40/$Z$40),$AW$40,$AA$40/$Z$40)</f>
        <v/>
      </c>
      <c r="BA40" t="n">
        <v>2.5</v>
      </c>
      <c r="BB40" t="n">
        <v>2.5</v>
      </c>
      <c r="BC40" t="n">
        <v>1</v>
      </c>
      <c r="BD40" t="inlineStr">
        <is>
          <t>gun</t>
        </is>
      </c>
      <c r="BE40" t="inlineStr">
        <is>
          <t>Wikipedia '2S7 Pion': 1.5 rpm (2S7M Malka 2.5)</t>
        </is>
      </c>
      <c r="BG40" t="inlineStr">
        <is>
          <t>giong</t>
        </is>
      </c>
      <c r="CR40" t="n">
        <v>1</v>
      </c>
      <c r="DE40" t="n">
        <v>420</v>
      </c>
      <c r="DF40" t="inlineStr">
        <is>
          <t>HighExplosive</t>
        </is>
      </c>
      <c r="DH40" t="b">
        <v>1</v>
      </c>
      <c r="DM40" t="inlineStr">
        <is>
          <t>armour</t>
        </is>
      </c>
      <c r="DN40" t="inlineStr">
        <is>
          <t>HeShell</t>
        </is>
      </c>
      <c r="DP40" t="b">
        <v>1</v>
      </c>
      <c r="DT40" t="inlineStr">
        <is>
          <t>boss_howitzer</t>
        </is>
      </c>
      <c r="EB40" t="n">
        <v>4</v>
      </c>
      <c r="EQ40" t="inlineStr">
        <is>
          <t>2A44 203 mm guided</t>
        </is>
      </c>
      <c r="ES40" t="inlineStr">
        <is>
          <t>guided</t>
        </is>
      </c>
      <c r="EU40" t="inlineStr">
        <is>
          <t>boss_howitzer</t>
        </is>
      </c>
      <c r="EZ40" t="n">
        <v>0</v>
      </c>
      <c r="FW40" t="inlineStr">
        <is>
          <t>Ground</t>
        </is>
      </c>
      <c r="GA40" t="inlineStr"/>
      <c r="GD40" t="inlineStr">
        <is>
          <t>Assets/MachineBrigade/Resources/Data/balance.json: secondRounds.rounds[11]</t>
        </is>
      </c>
      <c r="GE40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1">
      <c r="A41" t="inlineStr">
        <is>
          <t>boss_minigun</t>
        </is>
      </c>
      <c r="B41" t="inlineStr">
        <is>
          <t>GShG 7.62 mm</t>
        </is>
      </c>
      <c r="C41" t="inlineStr">
        <is>
          <t>cal_7_62</t>
        </is>
      </c>
      <c r="D41" t="inlineStr"/>
      <c r="E41" t="inlineStr"/>
      <c r="F41" t="inlineStr">
        <is>
          <t>mg</t>
        </is>
      </c>
      <c r="G41" t="n">
        <v>7.62</v>
      </c>
      <c r="H41" t="inlineStr"/>
      <c r="I41" t="inlineStr"/>
      <c r="J41" t="inlineStr"/>
      <c r="K41" t="inlineStr">
        <is>
          <t>Kinetic</t>
        </is>
      </c>
      <c r="L41" t="n">
        <v>0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0.0172</v>
      </c>
      <c r="S41" t="n">
        <v>40</v>
      </c>
      <c r="T41" t="n">
        <v>6.09</v>
      </c>
      <c r="U41" t="n">
        <v>0</v>
      </c>
      <c r="V41" t="n">
        <v>0</v>
      </c>
      <c r="W41" t="n">
        <v>5.5</v>
      </c>
      <c r="X41" t="n">
        <v>0</v>
      </c>
      <c r="Y41" t="n">
        <v>0</v>
      </c>
      <c r="Z41" t="n">
        <v>240</v>
      </c>
      <c r="AA41" t="n">
        <v>24</v>
      </c>
      <c r="AB41" t="n">
        <v>0</v>
      </c>
      <c r="AC41" t="inlineStr">
        <is>
          <t>All</t>
        </is>
      </c>
      <c r="AD41" t="inlineStr"/>
      <c r="AE41" t="n">
        <v>1.4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7.62</v>
      </c>
      <c r="AO41" t="n">
        <v>0</v>
      </c>
      <c r="AP41" t="inlineStr">
        <is>
          <t>T0</t>
        </is>
      </c>
      <c r="AQ41" t="inlineStr">
        <is>
          <t>minigun</t>
        </is>
      </c>
      <c r="AR41" t="inlineStr"/>
      <c r="AS41" t="inlineStr">
        <is>
          <t>boss</t>
        </is>
      </c>
      <c r="AT41" t="inlineStr">
        <is>
          <t>mega_gunship</t>
        </is>
      </c>
      <c r="AU41" t="n">
        <v>1</v>
      </c>
      <c r="AV41" t="inlineStr">
        <is>
          <t>mega_gunship:3</t>
        </is>
      </c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</v>
      </c>
      <c r="BB41" t="n">
        <v>6000</v>
      </c>
      <c r="BC41" t="inlineStr"/>
      <c r="BD41" t="inlineStr">
        <is>
          <t>mg</t>
        </is>
      </c>
      <c r="BE41" t="inlineStr">
        <is>
          <t>Wikipedia 'GShG-7.62': 3,500 / 6,000 rpm</t>
        </is>
      </c>
      <c r="BG41" t="inlineStr">
        <is>
          <t>giong</t>
        </is>
      </c>
      <c r="CT41" t="n">
        <v>7.62</v>
      </c>
      <c r="CW41" t="n">
        <v>40</v>
      </c>
      <c r="CX41" t="n">
        <v>6.09</v>
      </c>
      <c r="DD41" t="n">
        <v>0.0172</v>
      </c>
      <c r="DJ41" t="inlineStr">
        <is>
          <t>mg</t>
        </is>
      </c>
      <c r="DT41" t="inlineStr">
        <is>
          <t>minigun</t>
        </is>
      </c>
      <c r="EB41" t="n">
        <v>0</v>
      </c>
      <c r="EQ41" t="inlineStr">
        <is>
          <t>GShG 7.62 mm</t>
        </is>
      </c>
      <c r="EV41" t="n">
        <v>7</v>
      </c>
      <c r="EX41" t="n">
        <v>7.62</v>
      </c>
      <c r="GD41" t="inlineStr">
        <is>
          <t>Assets/MachineBrigade/Resources/Data/balance.json: weapons[248]</t>
        </is>
      </c>
      <c r="GE41" t="inlineStr">
        <is>
          <t>{"id":"boss_minigun","real":"GShG 7.62 mm","family":"mg","size":7.62,"caliberMm":7.62,"pen":0,"inherits":"minigun","cooldown":0.0172,"roundWeight":7,"clip":40,"clipReload":6.09}</t>
        </is>
      </c>
    </row>
    <row r="42">
      <c r="A42" t="inlineStr">
        <is>
          <t>boss_missiles</t>
        </is>
      </c>
      <c r="B42" t="inlineStr">
        <is>
          <t>9M133 Kornet</t>
        </is>
      </c>
      <c r="C42" t="inlineStr">
        <is>
          <t>atgm_kornet</t>
        </is>
      </c>
      <c r="D42" t="inlineStr"/>
      <c r="E42" t="inlineStr">
        <is>
          <t>9m133_kornet</t>
        </is>
      </c>
      <c r="F42" t="inlineStr">
        <is>
          <t>atgm</t>
        </is>
      </c>
      <c r="G42" t="inlineStr"/>
      <c r="H42" t="n">
        <v>7</v>
      </c>
      <c r="I42" t="inlineStr"/>
      <c r="J42" t="inlineStr"/>
      <c r="K42" t="inlineStr">
        <is>
          <t>ShapedCharge</t>
        </is>
      </c>
      <c r="L42" t="n">
        <v>4</v>
      </c>
      <c r="M42" t="inlineStr">
        <is>
          <t>Missile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6.39</v>
      </c>
      <c r="S42" t="n">
        <v>0</v>
      </c>
      <c r="T42" t="n">
        <v>0</v>
      </c>
      <c r="U42" t="n">
        <v>0</v>
      </c>
      <c r="V42" t="n">
        <v>0</v>
      </c>
      <c r="W42" t="n">
        <v>230</v>
      </c>
      <c r="X42" t="n">
        <v>0</v>
      </c>
      <c r="Y42" t="n">
        <v>0</v>
      </c>
      <c r="Z42" t="n">
        <v>80</v>
      </c>
      <c r="AA42" t="n">
        <v>45</v>
      </c>
      <c r="AB42" t="n">
        <v>0</v>
      </c>
      <c r="AC42" t="inlineStr">
        <is>
          <t>Ground</t>
        </is>
      </c>
      <c r="AD42" t="inlineStr"/>
      <c r="AE42" t="n">
        <v>0</v>
      </c>
      <c r="AF42" t="inlineStr">
        <is>
          <t>Medium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29</v>
      </c>
      <c r="AO42" t="n">
        <v>0</v>
      </c>
      <c r="AP42" t="inlineStr">
        <is>
          <t>T2</t>
        </is>
      </c>
      <c r="AQ42" t="inlineStr"/>
      <c r="AR42" t="inlineStr"/>
      <c r="AS42" t="inlineStr">
        <is>
          <t>xe</t>
        </is>
      </c>
      <c r="AT42" t="inlineStr">
        <is>
          <t>mara_behemoth</t>
        </is>
      </c>
      <c r="AU42" t="n">
        <v>1</v>
      </c>
      <c r="AV42" t="inlineStr">
        <is>
          <t>mara_behemoth:4;mara_behemoth:5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0.5625</v>
      </c>
      <c r="BB42" t="n">
        <v>3</v>
      </c>
      <c r="BC42" t="n">
        <v>3</v>
      </c>
      <c r="BD42" t="inlineStr">
        <is>
          <t>atgm</t>
        </is>
      </c>
      <c r="BE42" t="inlineStr">
        <is>
          <t>Wikipedia '9M133 Kornet': 2-3 rpm</t>
        </is>
      </c>
      <c r="BG42" t="inlineStr">
        <is>
          <t>doi</t>
        </is>
      </c>
      <c r="BR42" t="n">
        <v>22</v>
      </c>
      <c r="BS42" t="n">
        <v>80</v>
      </c>
      <c r="DD42" t="n">
        <v>6.39</v>
      </c>
      <c r="DE42" t="n">
        <v>230</v>
      </c>
      <c r="DF42" t="inlineStr">
        <is>
          <t>ShapedCharge</t>
        </is>
      </c>
      <c r="DJ42" t="inlineStr">
        <is>
          <t>atgm</t>
        </is>
      </c>
      <c r="DS42" t="inlineStr">
        <is>
          <t>Medium</t>
        </is>
      </c>
      <c r="EB42" t="n">
        <v>4</v>
      </c>
      <c r="EE42" t="b">
        <v>1</v>
      </c>
      <c r="EH42" t="inlineStr">
        <is>
          <t>Missile</t>
        </is>
      </c>
      <c r="EP42" t="n">
        <v>45</v>
      </c>
      <c r="EQ42" t="inlineStr">
        <is>
          <t>9M133 Kornet</t>
        </is>
      </c>
      <c r="EX42" t="n">
        <v>29</v>
      </c>
      <c r="FW42" t="inlineStr">
        <is>
          <t>Ground</t>
        </is>
      </c>
      <c r="FZ42" t="n">
        <v>7</v>
      </c>
      <c r="GA42" t="inlineStr">
        <is>
          <t>9m133_kornet</t>
        </is>
      </c>
      <c r="GB42" t="inlineStr">
        <is>
          <t>atgm_kornet</t>
        </is>
      </c>
      <c r="GD42" t="inlineStr">
        <is>
          <t>Assets/MachineBrigade/Resources/Data/balance.json: weapons[139]</t>
        </is>
      </c>
      <c r="GE42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3">
      <c r="A43" t="inlineStr">
        <is>
          <t>boss_mortar</t>
        </is>
      </c>
      <c r="B43" t="inlineStr">
        <is>
          <t>2B8 240 mm</t>
        </is>
      </c>
      <c r="C43" t="inlineStr">
        <is>
          <t>cal_240</t>
        </is>
      </c>
      <c r="D43" t="inlineStr"/>
      <c r="E43" t="inlineStr">
        <is>
          <t>2b8_240_mm</t>
        </is>
      </c>
      <c r="F43" t="inlineStr">
        <is>
          <t>mortar</t>
        </is>
      </c>
      <c r="G43" t="n">
        <v>240</v>
      </c>
      <c r="H43" t="inlineStr"/>
      <c r="I43" t="inlineStr"/>
      <c r="J43" t="inlineStr"/>
      <c r="K43" t="inlineStr">
        <is>
          <t>HighExplosive</t>
        </is>
      </c>
      <c r="L43" t="n">
        <v>4</v>
      </c>
      <c r="M43" t="inlineStr">
        <is>
          <t>Shell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9.779999999999999</v>
      </c>
      <c r="S43" t="n">
        <v>0</v>
      </c>
      <c r="T43" t="n">
        <v>0</v>
      </c>
      <c r="U43" t="n">
        <v>0</v>
      </c>
      <c r="V43" t="n">
        <v>0</v>
      </c>
      <c r="W43" t="n">
        <v>450</v>
      </c>
      <c r="X43" t="n">
        <v>9</v>
      </c>
      <c r="Y43" t="n">
        <v>0</v>
      </c>
      <c r="Z43" t="n">
        <v>40</v>
      </c>
      <c r="AA43" t="n">
        <v>80</v>
      </c>
      <c r="AB43" t="n">
        <v>12</v>
      </c>
      <c r="AC43" t="inlineStr">
        <is>
          <t>Ground</t>
        </is>
      </c>
      <c r="AD43" t="inlineStr"/>
      <c r="AE43" t="n">
        <v>3.5</v>
      </c>
      <c r="AF43" t="inlineStr">
        <is>
          <t>Huge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240</v>
      </c>
      <c r="AO43" t="n">
        <v>0</v>
      </c>
      <c r="AP43" t="inlineStr">
        <is>
          <t>T4</t>
        </is>
      </c>
      <c r="AQ43" t="inlineStr"/>
      <c r="AR43" t="inlineStr"/>
      <c r="AS43" t="inlineStr"/>
      <c r="AT43" t="inlineStr"/>
      <c r="AU43" t="n">
        <v>0</v>
      </c>
      <c r="AV43" t="inlineStr"/>
      <c r="AW43" t="n">
        <v>2.5</v>
      </c>
      <c r="AX43" t="b">
        <v>1</v>
      </c>
      <c r="AY43" t="inlineStr"/>
      <c r="AZ43">
        <f>IF(AND($AX$43,$AW$43&gt;$AA$43/$Z$43),$AW$43,$AA$43/$Z$43)</f>
        <v/>
      </c>
      <c r="BA43" t="n">
        <v>2.5</v>
      </c>
      <c r="BB43" t="n">
        <v>1</v>
      </c>
      <c r="BC43" t="n">
        <v>1</v>
      </c>
      <c r="BD43" t="inlineStr">
        <is>
          <t>gun</t>
        </is>
      </c>
      <c r="BE43" t="inlineStr">
        <is>
          <t>Wikipedia '2S4 Tyulpan': ~1 rpm</t>
        </is>
      </c>
      <c r="BG43" t="inlineStr">
        <is>
          <t>doi</t>
        </is>
      </c>
      <c r="BR43" t="n">
        <v>38</v>
      </c>
      <c r="BS43" t="n">
        <v>40</v>
      </c>
      <c r="CT43" t="n">
        <v>240</v>
      </c>
      <c r="DD43" t="n">
        <v>9.779999999999999</v>
      </c>
      <c r="DE43" t="n">
        <v>450</v>
      </c>
      <c r="DF43" t="inlineStr">
        <is>
          <t>HighExplosive</t>
        </is>
      </c>
      <c r="DJ43" t="inlineStr">
        <is>
          <t>mortar</t>
        </is>
      </c>
      <c r="DS43" t="inlineStr">
        <is>
          <t>Huge</t>
        </is>
      </c>
      <c r="DZ43" t="n">
        <v>12</v>
      </c>
      <c r="EB43" t="n">
        <v>4</v>
      </c>
      <c r="EH43" t="inlineStr">
        <is>
          <t>Shell</t>
        </is>
      </c>
      <c r="EP43" t="n">
        <v>80</v>
      </c>
      <c r="EQ43" t="inlineStr">
        <is>
          <t>2B8 240 mm</t>
        </is>
      </c>
      <c r="EX43" t="n">
        <v>240</v>
      </c>
      <c r="EZ43" t="n">
        <v>3.5</v>
      </c>
      <c r="GA43" t="inlineStr">
        <is>
          <t>2b8_240_mm</t>
        </is>
      </c>
      <c r="GB43" t="inlineStr">
        <is>
          <t>cal_240</t>
        </is>
      </c>
      <c r="GD43" t="inlineStr">
        <is>
          <t>Assets/MachineBrigade/Resources/Data/balance.json: weapons[242]</t>
        </is>
      </c>
      <c r="GE43" t="inlineStr">
        <is>
          <t>{"id":"boss_mortar","weaponFamilyId":"cal_240","weaponFamily":"2b8_240_mm","real":"2B8 240 mm","family":"mortar","size":240,"caliberMm":240,"pen":4,"damageType":"HighExplosive","damage":450,"cooldown":9.78,"range":80,"minRange":12,"spread":3.5,"impactTier":"Huge","projectile":"Shell"}</t>
        </is>
      </c>
    </row>
    <row r="44">
      <c r="A44" t="inlineStr">
        <is>
          <t>boss_railgun</t>
        </is>
      </c>
      <c r="B44" t="inlineStr">
        <is>
          <t>railgun (64 MJ)</t>
        </is>
      </c>
      <c r="C44" t="inlineStr">
        <is>
          <t>rail_railgun</t>
        </is>
      </c>
      <c r="D44" t="inlineStr"/>
      <c r="E44" t="inlineStr"/>
      <c r="F44" t="inlineStr">
        <is>
          <t>railgun</t>
        </is>
      </c>
      <c r="G44" t="inlineStr"/>
      <c r="H44" t="inlineStr"/>
      <c r="I44" t="inlineStr"/>
      <c r="J44" t="n">
        <v>64</v>
      </c>
      <c r="K44" t="inlineStr">
        <is>
          <t>Kinetic</t>
        </is>
      </c>
      <c r="L44" t="n">
        <v>5</v>
      </c>
      <c r="M44" t="inlineStr">
        <is>
          <t>Bullet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8</v>
      </c>
      <c r="S44" t="n">
        <v>0</v>
      </c>
      <c r="T44" t="n">
        <v>0</v>
      </c>
      <c r="U44" t="n">
        <v>0</v>
      </c>
      <c r="V44" t="n">
        <v>0</v>
      </c>
      <c r="W44" t="n">
        <v>720</v>
      </c>
      <c r="X44" t="n">
        <v>0</v>
      </c>
      <c r="Y44" t="n">
        <v>0</v>
      </c>
      <c r="Z44" t="n">
        <v>700</v>
      </c>
      <c r="AA44" t="n">
        <v>80</v>
      </c>
      <c r="AB44" t="n">
        <v>0</v>
      </c>
      <c r="AC44" t="inlineStr">
        <is>
          <t>Ground</t>
        </is>
      </c>
      <c r="AD44" t="inlineStr"/>
      <c r="AE44" t="n">
        <v>0.4</v>
      </c>
      <c r="AF44" t="inlineStr">
        <is>
          <t>Large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64</v>
      </c>
      <c r="AO44" t="n">
        <v>0</v>
      </c>
      <c r="AP44" t="inlineStr">
        <is>
          <t>T3</t>
        </is>
      </c>
      <c r="AQ44" t="inlineStr"/>
      <c r="AR44" t="inlineStr"/>
      <c r="AS44" t="inlineStr">
        <is>
          <t>boss</t>
        </is>
      </c>
      <c r="AT44" t="inlineStr">
        <is>
          <t>behemoth_tempest</t>
        </is>
      </c>
      <c r="AU44" t="n">
        <v>1</v>
      </c>
      <c r="AV44" t="inlineStr">
        <is>
          <t>behemoth_tempest:0</t>
        </is>
      </c>
      <c r="AW44" t="n">
        <v>0</v>
      </c>
      <c r="AX44" t="b">
        <v>0</v>
      </c>
      <c r="AY44" t="inlineStr"/>
      <c r="AZ44">
        <f>IF(AND($AX$44,$AW$44&gt;$AA$44/$Z$44),$AW$44,$AA$44/$Z$44)</f>
        <v/>
      </c>
      <c r="BA44" t="n">
        <v>0.1142857142857143</v>
      </c>
      <c r="BB44" t="inlineStr">
        <is>
          <t>NEED_SOURCE</t>
        </is>
      </c>
      <c r="BC44" t="inlineStr">
        <is>
          <t>NEED_SOURCE</t>
        </is>
      </c>
      <c r="BE44" t="inlineStr">
        <is>
          <t>NEED_SOURCE</t>
        </is>
      </c>
      <c r="BG44" t="inlineStr">
        <is>
          <t>doi</t>
        </is>
      </c>
      <c r="CB44" t="n">
        <v>4</v>
      </c>
      <c r="CC44" t="n">
        <v>5</v>
      </c>
      <c r="CV44" t="n">
        <v>1</v>
      </c>
      <c r="DD44" t="n">
        <v>8</v>
      </c>
      <c r="DE44" t="n">
        <v>720</v>
      </c>
      <c r="DF44" t="inlineStr">
        <is>
          <t>Kinetic</t>
        </is>
      </c>
      <c r="DI44" t="n">
        <v>64</v>
      </c>
      <c r="DJ44" t="inlineStr">
        <is>
          <t>railgun</t>
        </is>
      </c>
      <c r="DO44" t="n">
        <v>33</v>
      </c>
      <c r="DR44" t="n">
        <v>1.6</v>
      </c>
      <c r="DS44" t="inlineStr">
        <is>
          <t>Large</t>
        </is>
      </c>
      <c r="EB44" t="n">
        <v>5</v>
      </c>
      <c r="EC44" t="b">
        <v>1</v>
      </c>
      <c r="EE44" t="b">
        <v>1</v>
      </c>
      <c r="EH44" t="inlineStr">
        <is>
          <t>Bullet</t>
        </is>
      </c>
      <c r="EI44" t="inlineStr">
        <is>
          <t>rail_slug</t>
        </is>
      </c>
      <c r="EK44" t="n">
        <v>700</v>
      </c>
      <c r="EP44" t="n">
        <v>80</v>
      </c>
      <c r="EQ44" t="inlineStr">
        <is>
          <t>railgun (64 MJ)</t>
        </is>
      </c>
      <c r="EX44" t="n">
        <v>64</v>
      </c>
      <c r="EZ44" t="n">
        <v>0.4</v>
      </c>
      <c r="GB44" t="inlineStr">
        <is>
          <t>rail_railgun</t>
        </is>
      </c>
      <c r="GD44" t="inlineStr">
        <is>
          <t>Assets/MachineBrigade/Resources/Data/balance.json: weapons[241]</t>
        </is>
      </c>
      <c r="GE44" t="inlineStr">
        <is>
          <t>{"id":"boss_railgun","groundMinReach":33,"weaponFamilyId":"rail_railgun","real":"railgun (64 MJ)","family":"railgun","size":64,"energyMj":64,"pen":5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45">
      <c r="A45" t="inlineStr">
        <is>
          <t>boss_rockets</t>
        </is>
      </c>
      <c r="B45" t="inlineStr">
        <is>
          <t>BM-21 Grad 122 mm</t>
        </is>
      </c>
      <c r="C45" t="inlineStr">
        <is>
          <t>rkt_grad_122</t>
        </is>
      </c>
      <c r="D45" t="inlineStr"/>
      <c r="E45" t="inlineStr"/>
      <c r="F45" t="inlineStr">
        <is>
          <t>rocket</t>
        </is>
      </c>
      <c r="G45" t="n">
        <v>122</v>
      </c>
      <c r="H45" t="inlineStr"/>
      <c r="I45" t="inlineStr"/>
      <c r="J45" t="inlineStr"/>
      <c r="K45" t="inlineStr">
        <is>
          <t>HighExplosive</t>
        </is>
      </c>
      <c r="L45" t="n">
        <v>2</v>
      </c>
      <c r="M45" t="inlineStr">
        <is>
          <t>Rocket</t>
        </is>
      </c>
      <c r="N45" t="n">
        <v>1</v>
      </c>
      <c r="O45" t="inlineStr">
        <is>
          <t>RIPPLE</t>
        </is>
      </c>
      <c r="P45" t="n">
        <v>13</v>
      </c>
      <c r="Q45" t="n">
        <v>0.5</v>
      </c>
      <c r="R45" t="n">
        <v>2.44</v>
      </c>
      <c r="S45" t="n">
        <v>0</v>
      </c>
      <c r="T45" t="n">
        <v>0</v>
      </c>
      <c r="U45" t="n">
        <v>0</v>
      </c>
      <c r="V45" t="n">
        <v>0</v>
      </c>
      <c r="W45" t="n">
        <v>200</v>
      </c>
      <c r="X45" t="n">
        <v>4.5</v>
      </c>
      <c r="Y45" t="n">
        <v>9</v>
      </c>
      <c r="Z45" t="n">
        <v>80</v>
      </c>
      <c r="AA45" t="n">
        <v>45</v>
      </c>
      <c r="AB45" t="n">
        <v>0</v>
      </c>
      <c r="AC45" t="inlineStr">
        <is>
          <t>Ground</t>
        </is>
      </c>
      <c r="AD45" t="inlineStr"/>
      <c r="AE45" t="n">
        <v>5</v>
      </c>
      <c r="AF45" t="inlineStr">
        <is>
          <t>Medium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0</v>
      </c>
      <c r="AN45" t="n">
        <v>122</v>
      </c>
      <c r="AO45" t="n">
        <v>0</v>
      </c>
      <c r="AP45" t="inlineStr">
        <is>
          <t>T3</t>
        </is>
      </c>
      <c r="AQ45" t="inlineStr"/>
      <c r="AR45" t="inlineStr"/>
      <c r="AS45" t="inlineStr">
        <is>
          <t>boss_part</t>
        </is>
      </c>
      <c r="AT45" t="inlineStr">
        <is>
          <t>rocket_pod</t>
        </is>
      </c>
      <c r="AU45" t="n">
        <v>1</v>
      </c>
      <c r="AV45" t="inlineStr">
        <is>
          <t>rocket_pod:part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0.5625</v>
      </c>
      <c r="BB45" t="n">
        <v>120</v>
      </c>
      <c r="BC45" t="inlineStr"/>
      <c r="BD45" t="inlineStr">
        <is>
          <t>rocket</t>
        </is>
      </c>
      <c r="BE45" t="inlineStr">
        <is>
          <t>Wikipedia 'BM-21 Grad': 40 rockets in 20 s</t>
        </is>
      </c>
      <c r="BF4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45" t="inlineStr">
        <is>
          <t>doi</t>
        </is>
      </c>
      <c r="BH45" t="n">
        <v>57</v>
      </c>
      <c r="BI45" t="n">
        <v>200</v>
      </c>
      <c r="BJ45" t="n">
        <v>2.94</v>
      </c>
      <c r="BK45" t="n">
        <v>2.44</v>
      </c>
      <c r="BP45" t="n">
        <v>0</v>
      </c>
      <c r="BQ45" t="n">
        <v>9</v>
      </c>
      <c r="BR45" t="n">
        <v>45</v>
      </c>
      <c r="BS45" t="n">
        <v>80</v>
      </c>
      <c r="CR45" t="n">
        <v>13</v>
      </c>
      <c r="CS45" t="n">
        <v>0.5</v>
      </c>
      <c r="CT45" t="n">
        <v>122</v>
      </c>
      <c r="DD45" t="n">
        <v>2.44</v>
      </c>
      <c r="DE45" t="n">
        <v>200</v>
      </c>
      <c r="DF45" t="inlineStr">
        <is>
          <t>HighExplosive</t>
        </is>
      </c>
      <c r="DG45" t="n">
        <v>9</v>
      </c>
      <c r="DJ45" t="inlineStr">
        <is>
          <t>rocket</t>
        </is>
      </c>
      <c r="DL45" t="inlineStr">
        <is>
          <t>Ballistic</t>
        </is>
      </c>
      <c r="DO45" t="n">
        <v>14</v>
      </c>
      <c r="DS45" t="inlineStr">
        <is>
          <t>Medium</t>
        </is>
      </c>
      <c r="EB45" t="n">
        <v>2</v>
      </c>
      <c r="EH45" t="inlineStr">
        <is>
          <t>Rocket</t>
        </is>
      </c>
      <c r="EI45" t="inlineStr">
        <is>
          <t>grad</t>
        </is>
      </c>
      <c r="EK45" t="n">
        <v>80</v>
      </c>
      <c r="EP45" t="n">
        <v>45</v>
      </c>
      <c r="EQ45" t="inlineStr">
        <is>
          <t>BM-21 Grad 122 mm</t>
        </is>
      </c>
      <c r="EX45" t="n">
        <v>122</v>
      </c>
      <c r="EY45" t="n">
        <v>4.5</v>
      </c>
      <c r="EZ45" t="n">
        <v>5</v>
      </c>
      <c r="GB45" t="inlineStr">
        <is>
          <t>rkt_grad_122</t>
        </is>
      </c>
      <c r="GD45" t="inlineStr">
        <is>
          <t>Assets/MachineBrigade/Resources/Data/balance.json: weapons[138]</t>
        </is>
      </c>
      <c r="GE45" t="inlineStr">
        <is>
          <t>{"id":"boss_rockets","groundMinReach":14,"flightProfile":"Ballistic","weaponFamilyId":"rkt_grad_122","edge":9,"real":"BM-21 Grad 122 mm","family":"rocket","size":122,"caliberMm":122,"pen":2,"projectileModel":"grad","damageType":"HighExplosive","damage":200,"cooldown":2.44,"range":45,"projectileSpeed":80,"splash":4.5,"spread":5,"impactTier":"Medium","projectile":"Rocket","burst":13,"burstInterval":0.5}</t>
        </is>
      </c>
    </row>
    <row r="46">
      <c r="A46" t="inlineStr">
        <is>
          <t>boss_thermo</t>
        </is>
      </c>
      <c r="B46" t="inlineStr">
        <is>
          <t>2A46M 125 mm, 3VOF128 thermobaric</t>
        </is>
      </c>
      <c r="C46" t="inlineStr">
        <is>
          <t>cal_125_he</t>
        </is>
      </c>
      <c r="D46" t="inlineStr"/>
      <c r="E46" t="inlineStr"/>
      <c r="F46" t="inlineStr">
        <is>
          <t>tank_gun</t>
        </is>
      </c>
      <c r="G46" t="n">
        <v>125</v>
      </c>
      <c r="H46" t="inlineStr"/>
      <c r="I46" t="inlineStr"/>
      <c r="J46" t="inlineStr"/>
      <c r="K46" t="inlineStr">
        <is>
          <t>HighExplosive</t>
        </is>
      </c>
      <c r="L46" t="n">
        <v>3</v>
      </c>
      <c r="M46" t="inlineStr">
        <is>
          <t>Shell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6.255</v>
      </c>
      <c r="S46" t="n">
        <v>0</v>
      </c>
      <c r="T46" t="n">
        <v>0</v>
      </c>
      <c r="U46" t="n">
        <v>0</v>
      </c>
      <c r="V46" t="n">
        <v>0</v>
      </c>
      <c r="W46" t="n">
        <v>291</v>
      </c>
      <c r="X46" t="n">
        <v>7</v>
      </c>
      <c r="Y46" t="n">
        <v>0</v>
      </c>
      <c r="Z46" t="n">
        <v>170</v>
      </c>
      <c r="AA46" t="n">
        <v>46</v>
      </c>
      <c r="AB46" t="n">
        <v>0</v>
      </c>
      <c r="AC46" t="inlineStr">
        <is>
          <t>Ground</t>
        </is>
      </c>
      <c r="AD46" t="inlineStr"/>
      <c r="AE46" t="n">
        <v>1</v>
      </c>
      <c r="AF46" t="inlineStr">
        <is>
          <t>Large</t>
        </is>
      </c>
      <c r="AG46" t="b">
        <v>0</v>
      </c>
      <c r="AH46" t="b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n">
        <v>125</v>
      </c>
      <c r="AO46" t="n">
        <v>0</v>
      </c>
      <c r="AP46" t="inlineStr">
        <is>
          <t>T3</t>
        </is>
      </c>
      <c r="AQ46" t="inlineStr"/>
      <c r="AR46" t="inlineStr"/>
      <c r="AS46" t="inlineStr">
        <is>
          <t>boss</t>
        </is>
      </c>
      <c r="AT46" t="inlineStr">
        <is>
          <t>behemoth_inferno</t>
        </is>
      </c>
      <c r="AU46" t="n">
        <v>1</v>
      </c>
      <c r="AV46" t="inlineStr">
        <is>
          <t>behemoth_inferno:1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0.2705882352941176</v>
      </c>
      <c r="BB46" t="n">
        <v>8</v>
      </c>
      <c r="BC46" t="n">
        <v>7</v>
      </c>
      <c r="BD46" t="inlineStr">
        <is>
          <t>gun</t>
        </is>
      </c>
      <c r="BE46" t="inlineStr">
        <is>
          <t>Wikipedia '2A46': 7-8 rpm with the autoloader</t>
        </is>
      </c>
      <c r="BG46" t="inlineStr">
        <is>
          <t>doi</t>
        </is>
      </c>
      <c r="BH46" t="n">
        <v>97</v>
      </c>
      <c r="BI46" t="n">
        <v>291</v>
      </c>
      <c r="BJ46" t="n">
        <v>12.51</v>
      </c>
      <c r="BK46" t="n">
        <v>6.255</v>
      </c>
      <c r="BR46" t="n">
        <v>35</v>
      </c>
      <c r="BS46" t="n">
        <v>170</v>
      </c>
      <c r="BT46" t="n">
        <v>6</v>
      </c>
      <c r="BU46" t="n">
        <v>1</v>
      </c>
      <c r="BV46" t="n">
        <v>0.3</v>
      </c>
      <c r="BW46" t="n">
        <v>0.1</v>
      </c>
      <c r="CJ46" t="inlineStr">
        <is>
          <t>Rocket</t>
        </is>
      </c>
      <c r="CK46" t="inlineStr">
        <is>
          <t>Shell</t>
        </is>
      </c>
      <c r="CT46" t="n">
        <v>125</v>
      </c>
      <c r="DD46" t="n">
        <v>6.255</v>
      </c>
      <c r="DE46" t="n">
        <v>291</v>
      </c>
      <c r="DF46" t="inlineStr">
        <is>
          <t>HighExplosive</t>
        </is>
      </c>
      <c r="DJ46" t="inlineStr">
        <is>
          <t>tank_gun</t>
        </is>
      </c>
      <c r="DO46" t="n">
        <v>21</v>
      </c>
      <c r="DS46" t="inlineStr">
        <is>
          <t>Large</t>
        </is>
      </c>
      <c r="EB46" t="n">
        <v>3</v>
      </c>
      <c r="EH46" t="inlineStr">
        <is>
          <t>Shell</t>
        </is>
      </c>
      <c r="EK46" t="n">
        <v>170</v>
      </c>
      <c r="EP46" t="n">
        <v>46</v>
      </c>
      <c r="EQ46" t="inlineStr">
        <is>
          <t>2A46M 125 mm, 3VOF128 thermobaric</t>
        </is>
      </c>
      <c r="EX46" t="n">
        <v>125</v>
      </c>
      <c r="EY46" t="n">
        <v>7</v>
      </c>
      <c r="EZ46" t="n">
        <v>1</v>
      </c>
      <c r="FX46" t="b">
        <v>1</v>
      </c>
      <c r="GB46" t="inlineStr">
        <is>
          <t>cal_125_he</t>
        </is>
      </c>
      <c r="GD46" t="inlineStr">
        <is>
          <t>Assets/MachineBrigade/Resources/Data/balance.json: weapons[240]</t>
        </is>
      </c>
      <c r="GE46" t="inlineStr">
        <is>
          <t>{"id":"boss_thermo","groundMinReach":21,"weaponFamilyId":"cal_125_he","real":"2A46M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47">
      <c r="A47" t="inlineStr">
        <is>
          <t>buk_launcher</t>
        </is>
      </c>
      <c r="B47" t="inlineStr">
        <is>
          <t>9M317 Buk</t>
        </is>
      </c>
      <c r="C47" t="inlineStr">
        <is>
          <t>sam_9m317_buk</t>
        </is>
      </c>
      <c r="D47" t="inlineStr"/>
      <c r="E47" t="inlineStr">
        <is>
          <t>9m317_buk</t>
        </is>
      </c>
      <c r="F47" t="inlineStr">
        <is>
          <t>aa_missile</t>
        </is>
      </c>
      <c r="G47" t="inlineStr"/>
      <c r="H47" t="n">
        <v>70</v>
      </c>
      <c r="I47" t="inlineStr"/>
      <c r="J47" t="inlineStr"/>
      <c r="K47" t="inlineStr">
        <is>
          <t>Fragmentation</t>
        </is>
      </c>
      <c r="L47" t="n">
        <v>3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2</v>
      </c>
      <c r="Q47" t="n">
        <v>0.5</v>
      </c>
      <c r="R47" t="n">
        <v>2.8</v>
      </c>
      <c r="S47" t="n">
        <v>0</v>
      </c>
      <c r="T47" t="n">
        <v>0</v>
      </c>
      <c r="U47" t="n">
        <v>0</v>
      </c>
      <c r="V47" t="n">
        <v>0</v>
      </c>
      <c r="W47" t="n">
        <v>320</v>
      </c>
      <c r="X47" t="n">
        <v>2</v>
      </c>
      <c r="Y47" t="n">
        <v>0</v>
      </c>
      <c r="Z47" t="n">
        <v>145</v>
      </c>
      <c r="AA47" t="n">
        <v>55</v>
      </c>
      <c r="AB47" t="n">
        <v>0</v>
      </c>
      <c r="AC47" t="inlineStr">
        <is>
          <t>Air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70</v>
      </c>
      <c r="AO47" t="n">
        <v>0</v>
      </c>
      <c r="AP47" t="inlineStr">
        <is>
          <t>T2</t>
        </is>
      </c>
      <c r="AQ47" t="inlineStr">
        <is>
          <t>sam_long</t>
        </is>
      </c>
      <c r="AR47" t="inlineStr"/>
      <c r="AS47" t="inlineStr">
        <is>
          <t>xe</t>
        </is>
      </c>
      <c r="AT47" t="inlineStr">
        <is>
          <t>sam_launcher</t>
        </is>
      </c>
      <c r="AU47" t="n">
        <v>1</v>
      </c>
      <c r="AV47" t="inlineStr">
        <is>
          <t>sam_launcher:0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0.3793103448275862</v>
      </c>
      <c r="BB47" t="n">
        <v>15</v>
      </c>
      <c r="BC47" t="n">
        <v>15</v>
      </c>
      <c r="BD47" t="inlineStr">
        <is>
          <t>missile</t>
        </is>
      </c>
      <c r="BE47" t="inlineStr">
        <is>
          <t>Wikipedia 'Buk missile system': 4 s between launches</t>
        </is>
      </c>
      <c r="BG47" t="inlineStr">
        <is>
          <t>doi</t>
        </is>
      </c>
      <c r="BR47" t="n">
        <v>50</v>
      </c>
      <c r="BS47" t="n">
        <v>145</v>
      </c>
      <c r="DD47" t="n">
        <v>2.8</v>
      </c>
      <c r="DJ47" t="inlineStr">
        <is>
          <t>aa_missile</t>
        </is>
      </c>
      <c r="DT47" t="inlineStr">
        <is>
          <t>sam_long</t>
        </is>
      </c>
      <c r="EB47" t="n">
        <v>3</v>
      </c>
      <c r="EQ47" t="inlineStr">
        <is>
          <t>9M317 Buk</t>
        </is>
      </c>
      <c r="EX47" t="n">
        <v>70</v>
      </c>
      <c r="FZ47" t="n">
        <v>70</v>
      </c>
      <c r="GA47" t="inlineStr">
        <is>
          <t>9m317_buk</t>
        </is>
      </c>
      <c r="GD47" t="inlineStr">
        <is>
          <t>Assets/MachineBrigade/Resources/Data/balance.json: weapons[30]</t>
        </is>
      </c>
      <c r="GE47" t="inlineStr">
        <is>
          <t>{"id":"buk_launcher","weaponFamily":"9m317_buk","real":"9M317 Buk","family":"aa_missile","size":70,"warheadKg":70,"pen":3,"inherits":"sam_long","cooldown":2.8}</t>
        </is>
      </c>
    </row>
    <row r="48">
      <c r="A48" t="inlineStr">
        <is>
          <t>bunker_flame</t>
        </is>
      </c>
      <c r="B48" t="inlineStr">
        <is>
          <t>flamethrower (bunker)</t>
        </is>
      </c>
      <c r="C48" t="inlineStr">
        <is>
          <t>flame_flamethrower</t>
        </is>
      </c>
      <c r="D48" t="inlineStr"/>
      <c r="E48" t="inlineStr"/>
      <c r="F48" t="inlineStr">
        <is>
          <t>flame</t>
        </is>
      </c>
      <c r="G48" t="inlineStr"/>
      <c r="H48" t="inlineStr"/>
      <c r="I48" t="inlineStr"/>
      <c r="J48" t="inlineStr"/>
      <c r="K48" t="inlineStr">
        <is>
          <t>Fire</t>
        </is>
      </c>
      <c r="L48" t="n">
        <v>1</v>
      </c>
      <c r="M48" t="inlineStr">
        <is>
          <t>Flame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0.195</v>
      </c>
      <c r="S48" t="n">
        <v>0</v>
      </c>
      <c r="T48" t="n">
        <v>0</v>
      </c>
      <c r="U48" t="n">
        <v>0</v>
      </c>
      <c r="V48" t="n">
        <v>0</v>
      </c>
      <c r="W48" t="n">
        <v>26</v>
      </c>
      <c r="X48" t="n">
        <v>4.5</v>
      </c>
      <c r="Y48" t="n">
        <v>0</v>
      </c>
      <c r="Z48" t="n">
        <v>36</v>
      </c>
      <c r="AA48" t="n">
        <v>16</v>
      </c>
      <c r="AB48" t="n">
        <v>0</v>
      </c>
      <c r="AC48" t="inlineStr">
        <is>
          <t>Ground</t>
        </is>
      </c>
      <c r="AD48" t="inlineStr"/>
      <c r="AE48" t="n">
        <v>1.2</v>
      </c>
      <c r="AF48" t="inlineStr">
        <is>
          <t>Small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</v>
      </c>
      <c r="AO48" t="n">
        <v>0</v>
      </c>
      <c r="AP48" t="inlineStr">
        <is>
          <t>T1</t>
        </is>
      </c>
      <c r="AQ48" t="inlineStr">
        <is>
          <t>flamethrower</t>
        </is>
      </c>
      <c r="AR48" t="inlineStr"/>
      <c r="AS48" t="inlineStr">
        <is>
          <t>thap</t>
        </is>
      </c>
      <c r="AT48" t="inlineStr">
        <is>
          <t>mg_bunker.flame</t>
        </is>
      </c>
      <c r="AU48" t="n">
        <v>1</v>
      </c>
      <c r="AV48" t="inlineStr">
        <is>
          <t>mg_bunker.flame:0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0.4444444444444444</v>
      </c>
      <c r="BB48" t="inlineStr">
        <is>
          <t>NEED_SOURCE</t>
        </is>
      </c>
      <c r="BC48" t="inlineStr">
        <is>
          <t>NEED_SOURCE</t>
        </is>
      </c>
      <c r="BE48" t="inlineStr">
        <is>
          <t>NEED_SOURCE</t>
        </is>
      </c>
      <c r="BG48" t="inlineStr">
        <is>
          <t>giong</t>
        </is>
      </c>
      <c r="DD48" t="n">
        <v>0.195</v>
      </c>
      <c r="DE48" t="n">
        <v>26</v>
      </c>
      <c r="DJ48" t="inlineStr">
        <is>
          <t>flame</t>
        </is>
      </c>
      <c r="DT48" t="inlineStr">
        <is>
          <t>flamethrower</t>
        </is>
      </c>
      <c r="EB48" t="n">
        <v>1</v>
      </c>
      <c r="EP48" t="n">
        <v>16</v>
      </c>
      <c r="EQ48" t="inlineStr">
        <is>
          <t>flamethrower (bunker)</t>
        </is>
      </c>
      <c r="EX48" t="n">
        <v>2</v>
      </c>
      <c r="EY48" t="n">
        <v>4.5</v>
      </c>
      <c r="GD48" t="inlineStr">
        <is>
          <t>Assets/MachineBrigade/Resources/Data/balance.json: weapons[112]</t>
        </is>
      </c>
      <c r="GE48" t="inlineStr">
        <is>
          <t>{"id":"bunker_flame","splash":4.5,"cooldown":0.195,"real":"flamethrower (bunker)","family":"flame","size":2,"pen":1,"inherits":"flamethrower","range":16,"damage":26}</t>
        </is>
      </c>
    </row>
    <row r="49">
      <c r="A49" t="inlineStr">
        <is>
          <t>bunker_hmg</t>
        </is>
      </c>
      <c r="B49" t="inlineStr">
        <is>
          <t>NSV 12.7 mm</t>
        </is>
      </c>
      <c r="C49" t="inlineStr">
        <is>
          <t>cal_12_7</t>
        </is>
      </c>
      <c r="D49" t="inlineStr"/>
      <c r="E49" t="inlineStr">
        <is>
          <t>nsv_12_7_mm</t>
        </is>
      </c>
      <c r="F49" t="inlineStr">
        <is>
          <t>mg</t>
        </is>
      </c>
      <c r="G49" t="n">
        <v>12.7</v>
      </c>
      <c r="H49" t="inlineStr"/>
      <c r="I49" t="inlineStr"/>
      <c r="J49" t="inlineStr"/>
      <c r="K49" t="inlineStr">
        <is>
          <t>Kinetic</t>
        </is>
      </c>
      <c r="L49" t="n">
        <v>1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0.062</v>
      </c>
      <c r="S49" t="n">
        <v>150</v>
      </c>
      <c r="T49" t="n">
        <v>4.062</v>
      </c>
      <c r="U49" t="n">
        <v>0</v>
      </c>
      <c r="V49" t="n">
        <v>0</v>
      </c>
      <c r="W49" t="n">
        <v>9.5</v>
      </c>
      <c r="X49" t="n">
        <v>0</v>
      </c>
      <c r="Y49" t="n">
        <v>0</v>
      </c>
      <c r="Z49" t="n">
        <v>240</v>
      </c>
      <c r="AA49" t="n">
        <v>32</v>
      </c>
      <c r="AB49" t="n">
        <v>0</v>
      </c>
      <c r="AC49" t="inlineStr">
        <is>
          <t>All</t>
        </is>
      </c>
      <c r="AD49" t="inlineStr"/>
      <c r="AE49" t="n">
        <v>1.4</v>
      </c>
      <c r="AF49" t="inlineStr">
        <is>
          <t>Small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12.7</v>
      </c>
      <c r="AO49" t="n">
        <v>0</v>
      </c>
      <c r="AP49" t="inlineStr">
        <is>
          <t>T0</t>
        </is>
      </c>
      <c r="AQ49" t="inlineStr"/>
      <c r="AR49" t="inlineStr">
        <is>
          <t>bunker_hmg_api</t>
        </is>
      </c>
      <c r="AS49" t="inlineStr">
        <is>
          <t>thap</t>
        </is>
      </c>
      <c r="AT49" t="inlineStr">
        <is>
          <t>bulwark_post;mg_bunker</t>
        </is>
      </c>
      <c r="AU49" t="n">
        <v>2</v>
      </c>
      <c r="AV49" t="inlineStr">
        <is>
          <t>bulwark_post:0;mg_bunker:0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0.1333333333333333</v>
      </c>
      <c r="BB49" t="n">
        <v>800</v>
      </c>
      <c r="BC49" t="n">
        <v>100</v>
      </c>
      <c r="BD49" t="inlineStr">
        <is>
          <t>mg</t>
        </is>
      </c>
      <c r="BE49" t="inlineStr">
        <is>
          <t>Wikipedia 'NSV machine gun': 700-800 cyclic, 100 practical</t>
        </is>
      </c>
      <c r="BG49" t="inlineStr">
        <is>
          <t>giong</t>
        </is>
      </c>
      <c r="CT49" t="n">
        <v>12.7</v>
      </c>
      <c r="CW49" t="n">
        <v>150</v>
      </c>
      <c r="CX49" t="n">
        <v>4.062</v>
      </c>
      <c r="DD49" t="n">
        <v>0.062</v>
      </c>
      <c r="DE49" t="n">
        <v>9.5</v>
      </c>
      <c r="DF49" t="inlineStr">
        <is>
          <t>Kinetic</t>
        </is>
      </c>
      <c r="DJ49" t="inlineStr">
        <is>
          <t>mg</t>
        </is>
      </c>
      <c r="DS49" t="inlineStr">
        <is>
          <t>Small</t>
        </is>
      </c>
      <c r="EB49" t="n">
        <v>1</v>
      </c>
      <c r="EH49" t="inlineStr">
        <is>
          <t>Bullet</t>
        </is>
      </c>
      <c r="EP49" t="n">
        <v>32</v>
      </c>
      <c r="EQ49" t="inlineStr">
        <is>
          <t>NSV 12.7 mm</t>
        </is>
      </c>
      <c r="EX49" t="n">
        <v>12.7</v>
      </c>
      <c r="EZ49" t="n">
        <v>1.4</v>
      </c>
      <c r="FW49" t="inlineStr">
        <is>
          <t>All</t>
        </is>
      </c>
      <c r="GA49" t="inlineStr">
        <is>
          <t>nsv_12_7_mm</t>
        </is>
      </c>
      <c r="GB49" t="inlineStr">
        <is>
          <t>cal_12_7</t>
        </is>
      </c>
      <c r="GD49" t="inlineStr">
        <is>
          <t>Assets/MachineBrigade/Resources/Data/balance.json: weapons[131]</t>
        </is>
      </c>
      <c r="GE49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0">
      <c r="A50" t="inlineStr">
        <is>
          <t>bunker_hmg_api</t>
        </is>
      </c>
      <c r="B50" t="inlineStr">
        <is>
          <t>NSV 12.7 mm API</t>
        </is>
      </c>
      <c r="C50" t="inlineStr">
        <is>
          <t>cal_12_7</t>
        </is>
      </c>
      <c r="D50" t="inlineStr"/>
      <c r="E50" t="inlineStr">
        <is>
          <t>nsv_12_7_mm_api</t>
        </is>
      </c>
      <c r="F50" t="inlineStr">
        <is>
          <t>mg</t>
        </is>
      </c>
      <c r="G50" t="n">
        <v>12.7</v>
      </c>
      <c r="H50" t="inlineStr"/>
      <c r="I50" t="inlineStr"/>
      <c r="J50" t="inlineStr"/>
      <c r="K50" t="inlineStr">
        <is>
          <t>Kinetic</t>
        </is>
      </c>
      <c r="L50" t="n">
        <v>2</v>
      </c>
      <c r="M50" t="inlineStr">
        <is>
          <t>Bullet</t>
        </is>
      </c>
      <c r="N50" t="n">
        <v>1</v>
      </c>
      <c r="O50" t="inlineStr">
        <is>
          <t>RIPPLE</t>
        </is>
      </c>
      <c r="P50" t="n">
        <v>1</v>
      </c>
      <c r="Q50" t="n">
        <v>0.1</v>
      </c>
      <c r="R50" t="n">
        <v>0.062</v>
      </c>
      <c r="S50" t="n">
        <v>150</v>
      </c>
      <c r="T50" t="n">
        <v>4.062</v>
      </c>
      <c r="U50" t="n">
        <v>0</v>
      </c>
      <c r="V50" t="n">
        <v>0</v>
      </c>
      <c r="W50" t="n">
        <v>9.5</v>
      </c>
      <c r="X50" t="n">
        <v>0</v>
      </c>
      <c r="Y50" t="n">
        <v>0</v>
      </c>
      <c r="Z50" t="n">
        <v>240</v>
      </c>
      <c r="AA50" t="n">
        <v>32</v>
      </c>
      <c r="AB50" t="n">
        <v>0</v>
      </c>
      <c r="AC50" t="inlineStr">
        <is>
          <t>All</t>
        </is>
      </c>
      <c r="AD50" t="inlineStr"/>
      <c r="AE50" t="n">
        <v>1.4</v>
      </c>
      <c r="AF50" t="inlineStr">
        <is>
          <t>Small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12.7</v>
      </c>
      <c r="AO50" t="n">
        <v>0</v>
      </c>
      <c r="AP50" t="inlineStr">
        <is>
          <t>T0</t>
        </is>
      </c>
      <c r="AQ50" t="inlineStr">
        <is>
          <t>bunker_hmg</t>
        </is>
      </c>
      <c r="AR50" t="inlineStr"/>
      <c r="AS50" t="inlineStr"/>
      <c r="AT50" t="inlineStr"/>
      <c r="AU50" t="n">
        <v>0</v>
      </c>
      <c r="AV50" t="inlineStr"/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0.1333333333333333</v>
      </c>
      <c r="BB50" t="n">
        <v>800</v>
      </c>
      <c r="BC50" t="n">
        <v>100</v>
      </c>
      <c r="BD50" t="inlineStr">
        <is>
          <t>mg</t>
        </is>
      </c>
      <c r="BE50" t="inlineStr">
        <is>
          <t>Wikipedia 'NSV machine gun': 700-800 cyclic, 100 practical</t>
        </is>
      </c>
      <c r="BG50" t="inlineStr">
        <is>
          <t>giong</t>
        </is>
      </c>
      <c r="DE50" t="n">
        <v>9.5</v>
      </c>
      <c r="DF50" t="inlineStr">
        <is>
          <t>Kinetic</t>
        </is>
      </c>
      <c r="DH50" t="b">
        <v>1</v>
      </c>
      <c r="DM50" t="inlineStr">
        <is>
          <t>any</t>
        </is>
      </c>
      <c r="DN50" t="inlineStr">
        <is>
          <t>BulletBig</t>
        </is>
      </c>
      <c r="DT50" t="inlineStr">
        <is>
          <t>bunker_hmg</t>
        </is>
      </c>
      <c r="EB50" t="n">
        <v>2</v>
      </c>
      <c r="EE50" t="b">
        <v>1</v>
      </c>
      <c r="EQ50" t="inlineStr">
        <is>
          <t>NSV 12.7 mm API</t>
        </is>
      </c>
      <c r="ES50" t="inlineStr">
        <is>
          <t>api</t>
        </is>
      </c>
      <c r="EU50" t="inlineStr">
        <is>
          <t>bunker_hmg</t>
        </is>
      </c>
      <c r="GA50" t="inlineStr">
        <is>
          <t>nsv_12_7_mm_api</t>
        </is>
      </c>
      <c r="GD50" t="inlineStr">
        <is>
          <t>Assets/MachineBrigade/Resources/Data/balance.json: secondRounds.rounds[12]</t>
        </is>
      </c>
      <c r="GE50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1">
      <c r="A51" t="inlineStr">
        <is>
          <t>bunker_hmg_twin</t>
        </is>
      </c>
      <c r="B51" t="inlineStr">
        <is>
          <t>NSV 12.7 mm (twin)</t>
        </is>
      </c>
      <c r="C51" t="inlineStr">
        <is>
          <t>cal_12_7</t>
        </is>
      </c>
      <c r="D51" t="inlineStr"/>
      <c r="E51" t="inlineStr">
        <is>
          <t>nsv_12_7_mm</t>
        </is>
      </c>
      <c r="F51" t="inlineStr">
        <is>
          <t>mg</t>
        </is>
      </c>
      <c r="G51" t="n">
        <v>12.7</v>
      </c>
      <c r="H51" t="inlineStr"/>
      <c r="I51" t="inlineStr"/>
      <c r="J51" t="inlineStr"/>
      <c r="K51" t="inlineStr">
        <is>
          <t>Kinetic</t>
        </is>
      </c>
      <c r="L51" t="n">
        <v>1</v>
      </c>
      <c r="M51" t="inlineStr">
        <is>
          <t>Bullet</t>
        </is>
      </c>
      <c r="N51" t="n">
        <v>1</v>
      </c>
      <c r="O51" t="inlineStr">
        <is>
          <t>RIPPLE</t>
        </is>
      </c>
      <c r="P51" t="n">
        <v>1</v>
      </c>
      <c r="Q51" t="n">
        <v>0.1</v>
      </c>
      <c r="R51" t="n">
        <v>0.05</v>
      </c>
      <c r="S51" t="n">
        <v>150</v>
      </c>
      <c r="T51" t="n">
        <v>4.05</v>
      </c>
      <c r="U51" t="n">
        <v>0</v>
      </c>
      <c r="V51" t="n">
        <v>0</v>
      </c>
      <c r="W51" t="n">
        <v>9.5</v>
      </c>
      <c r="X51" t="n">
        <v>0</v>
      </c>
      <c r="Y51" t="n">
        <v>0</v>
      </c>
      <c r="Z51" t="n">
        <v>240</v>
      </c>
      <c r="AA51" t="n">
        <v>28</v>
      </c>
      <c r="AB51" t="n">
        <v>0</v>
      </c>
      <c r="AC51" t="inlineStr">
        <is>
          <t>All</t>
        </is>
      </c>
      <c r="AD51" t="inlineStr"/>
      <c r="AE51" t="n">
        <v>1.4</v>
      </c>
      <c r="AF51" t="inlineStr">
        <is>
          <t>Small</t>
        </is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12.7</v>
      </c>
      <c r="AO51" t="n">
        <v>0</v>
      </c>
      <c r="AP51" t="inlineStr">
        <is>
          <t>T0</t>
        </is>
      </c>
      <c r="AQ51" t="inlineStr">
        <is>
          <t>bunker_hmg</t>
        </is>
      </c>
      <c r="AR51" t="inlineStr">
        <is>
          <t>bunker_hmg_twin_api</t>
        </is>
      </c>
      <c r="AS51" t="inlineStr">
        <is>
          <t>thap</t>
        </is>
      </c>
      <c r="AT51" t="inlineStr">
        <is>
          <t>mg_bunker.twin</t>
        </is>
      </c>
      <c r="AU51" t="n">
        <v>1</v>
      </c>
      <c r="AV51" t="inlineStr">
        <is>
          <t>mg_bunker.twin:0</t>
        </is>
      </c>
      <c r="AW51" t="n">
        <v>0</v>
      </c>
      <c r="AX51" t="b">
        <v>0</v>
      </c>
      <c r="AY51" t="inlineStr"/>
      <c r="AZ51">
        <f>IF(AND($AX$51,$AW$51&gt;$AA$51/$Z$51),$AW$51,$AA$51/$Z$51)</f>
        <v/>
      </c>
      <c r="BA51" t="n">
        <v>0.1166666666666667</v>
      </c>
      <c r="BB51" t="n">
        <v>800</v>
      </c>
      <c r="BC51" t="n">
        <v>100</v>
      </c>
      <c r="BD51" t="inlineStr">
        <is>
          <t>mg</t>
        </is>
      </c>
      <c r="BE51" t="inlineStr">
        <is>
          <t>Wikipedia 'NSV machine gun': 700-800 cyclic, 100 practical</t>
        </is>
      </c>
      <c r="BG51" t="inlineStr">
        <is>
          <t>giong</t>
        </is>
      </c>
      <c r="CT51" t="n">
        <v>12.7</v>
      </c>
      <c r="CW51" t="n">
        <v>150</v>
      </c>
      <c r="CX51" t="n">
        <v>4.05</v>
      </c>
      <c r="DD51" t="n">
        <v>0.05</v>
      </c>
      <c r="DJ51" t="inlineStr">
        <is>
          <t>mg</t>
        </is>
      </c>
      <c r="DT51" t="inlineStr">
        <is>
          <t>bunker_hmg</t>
        </is>
      </c>
      <c r="EB51" t="n">
        <v>1</v>
      </c>
      <c r="EP51" t="n">
        <v>28</v>
      </c>
      <c r="EQ51" t="inlineStr">
        <is>
          <t>NSV 12.7 mm (twin)</t>
        </is>
      </c>
      <c r="EX51" t="n">
        <v>12.7</v>
      </c>
      <c r="GA51" t="inlineStr">
        <is>
          <t>nsv_12_7_mm</t>
        </is>
      </c>
      <c r="GD51" t="inlineStr">
        <is>
          <t>Assets/MachineBrigade/Resources/Data/balance.json: weapons[110]</t>
        </is>
      </c>
      <c r="GE51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2">
      <c r="A52" t="inlineStr">
        <is>
          <t>bunker_hmg_twin_api</t>
        </is>
      </c>
      <c r="B52" t="inlineStr">
        <is>
          <t>NSV 12.7 mm API (twin)</t>
        </is>
      </c>
      <c r="C52" t="inlineStr">
        <is>
          <t>cal_12_7</t>
        </is>
      </c>
      <c r="D52" t="inlineStr"/>
      <c r="E52" t="inlineStr">
        <is>
          <t>nsv_12_7_mm_api</t>
        </is>
      </c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2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0.05</v>
      </c>
      <c r="S52" t="n">
        <v>150</v>
      </c>
      <c r="T52" t="n">
        <v>4.05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28</v>
      </c>
      <c r="AB52" t="n">
        <v>0</v>
      </c>
      <c r="AC52" t="inlineStr">
        <is>
          <t>All</t>
        </is>
      </c>
      <c r="AD52" t="inlineStr"/>
      <c r="AE52" t="n">
        <v>1.4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>
        <is>
          <t>bunker_hmg_twin</t>
        </is>
      </c>
      <c r="AR52" t="inlineStr"/>
      <c r="AS52" t="inlineStr"/>
      <c r="AT52" t="inlineStr"/>
      <c r="AU52" t="n">
        <v>0</v>
      </c>
      <c r="AV52" t="inlineStr"/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0.1166666666666667</v>
      </c>
      <c r="BB52" t="n">
        <v>800</v>
      </c>
      <c r="BC52" t="n">
        <v>100</v>
      </c>
      <c r="BD52" t="inlineStr">
        <is>
          <t>mg</t>
        </is>
      </c>
      <c r="BE52" t="inlineStr">
        <is>
          <t>Wikipedia 'NSV machine gun': 700-800 cyclic, 100 practical</t>
        </is>
      </c>
      <c r="BG52" t="inlineStr">
        <is>
          <t>giong</t>
        </is>
      </c>
      <c r="DE52" t="n">
        <v>9.5</v>
      </c>
      <c r="DF52" t="inlineStr">
        <is>
          <t>Kinetic</t>
        </is>
      </c>
      <c r="DH52" t="b">
        <v>1</v>
      </c>
      <c r="DM52" t="inlineStr">
        <is>
          <t>any</t>
        </is>
      </c>
      <c r="DN52" t="inlineStr">
        <is>
          <t>BulletBig</t>
        </is>
      </c>
      <c r="DT52" t="inlineStr">
        <is>
          <t>bunker_hmg_twin</t>
        </is>
      </c>
      <c r="EB52" t="n">
        <v>2</v>
      </c>
      <c r="EE52" t="b">
        <v>1</v>
      </c>
      <c r="EQ52" t="inlineStr">
        <is>
          <t>NSV 12.7 mm API (twin)</t>
        </is>
      </c>
      <c r="ES52" t="inlineStr">
        <is>
          <t>api</t>
        </is>
      </c>
      <c r="EU52" t="inlineStr">
        <is>
          <t>bunker_hmg_twin</t>
        </is>
      </c>
      <c r="GA52" t="inlineStr">
        <is>
          <t>nsv_12_7_mm_api</t>
        </is>
      </c>
      <c r="GD52" t="inlineStr">
        <is>
          <t>Assets/MachineBrigade/Resources/Data/balance.json: secondRounds.rounds[13]</t>
        </is>
      </c>
      <c r="GE52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53">
      <c r="A53" t="inlineStr">
        <is>
          <t>bunker_pkm</t>
        </is>
      </c>
      <c r="B53" t="inlineStr">
        <is>
          <t>PKM 7.62 mm (bunker embrasure)</t>
        </is>
      </c>
      <c r="C53" t="inlineStr">
        <is>
          <t>cal_7_62</t>
        </is>
      </c>
      <c r="D53" t="inlineStr"/>
      <c r="E53" t="inlineStr">
        <is>
          <t>pkt_m240_7_62_mm</t>
        </is>
      </c>
      <c r="F53" t="inlineStr">
        <is>
          <t>mg</t>
        </is>
      </c>
      <c r="G53" t="n">
        <v>7.62</v>
      </c>
      <c r="H53" t="inlineStr"/>
      <c r="I53" t="inlineStr"/>
      <c r="J53" t="inlineStr"/>
      <c r="K53" t="inlineStr">
        <is>
          <t>Kinetic</t>
        </is>
      </c>
      <c r="L53" t="n">
        <v>0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0.092</v>
      </c>
      <c r="S53" t="n">
        <v>100</v>
      </c>
      <c r="T53" t="n">
        <v>6</v>
      </c>
      <c r="U53" t="n">
        <v>0</v>
      </c>
      <c r="V53" t="n">
        <v>0</v>
      </c>
      <c r="W53" t="n">
        <v>1.6</v>
      </c>
      <c r="X53" t="n">
        <v>0</v>
      </c>
      <c r="Y53" t="n">
        <v>0</v>
      </c>
      <c r="Z53" t="n">
        <v>240</v>
      </c>
      <c r="AA53" t="n">
        <v>28</v>
      </c>
      <c r="AB53" t="n">
        <v>0</v>
      </c>
      <c r="AC53" t="inlineStr">
        <is>
          <t>All</t>
        </is>
      </c>
      <c r="AD53" t="inlineStr"/>
      <c r="AE53" t="n">
        <v>1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7.62</v>
      </c>
      <c r="AO53" t="n">
        <v>0</v>
      </c>
      <c r="AP53" t="inlineStr">
        <is>
          <t>T0</t>
        </is>
      </c>
      <c r="AQ53" t="inlineStr">
        <is>
          <t>mg_coax</t>
        </is>
      </c>
      <c r="AR53" t="inlineStr"/>
      <c r="AS53" t="inlineStr">
        <is>
          <t>thap</t>
        </is>
      </c>
      <c r="AT53" t="inlineStr">
        <is>
          <t>mg_bunker;mg_bunker.twin</t>
        </is>
      </c>
      <c r="AU53" t="n">
        <v>2</v>
      </c>
      <c r="AV53" t="inlineStr">
        <is>
          <t>mg_bunker:1;mg_bunker:2;mg_bunker:3;mg_bunker:4;mg_bunker.twin:1;mg_bunker.twin:2;mg_bunker.twin:3;mg_bunker.twin:4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0.1166666666666667</v>
      </c>
      <c r="BB53" t="inlineStr">
        <is>
          <t>NEED_SOURCE</t>
        </is>
      </c>
      <c r="BC53" t="inlineStr">
        <is>
          <t>NEED_SOURCE</t>
        </is>
      </c>
      <c r="BE53" t="inlineStr">
        <is>
          <t>NEED_SOURCE</t>
        </is>
      </c>
      <c r="BG53" t="inlineStr">
        <is>
          <t>moi</t>
        </is>
      </c>
      <c r="CT53" t="n">
        <v>7.62</v>
      </c>
      <c r="CW53" t="n">
        <v>100</v>
      </c>
      <c r="CX53" t="n">
        <v>6</v>
      </c>
      <c r="DD53" t="n">
        <v>0.092</v>
      </c>
      <c r="DE53" t="n">
        <v>1.6</v>
      </c>
      <c r="DJ53" t="inlineStr">
        <is>
          <t>mg</t>
        </is>
      </c>
      <c r="DT53" t="inlineStr">
        <is>
          <t>mg_coax</t>
        </is>
      </c>
      <c r="EB53" t="n">
        <v>0</v>
      </c>
      <c r="EP53" t="n">
        <v>28</v>
      </c>
      <c r="EQ53" t="inlineStr">
        <is>
          <t>PKM 7.62 mm (bunker embrasure)</t>
        </is>
      </c>
      <c r="EX53" t="n">
        <v>7.62</v>
      </c>
      <c r="GA53" t="inlineStr">
        <is>
          <t>pkt_m240_7_62_mm</t>
        </is>
      </c>
      <c r="GD53" t="inlineStr">
        <is>
          <t>Assets/MachineBrigade/Resources/Data/balance.json: weapons[111]</t>
        </is>
      </c>
      <c r="GE53" t="inlineStr">
        <is>
          <t>{"id":"bunker_pkm","weaponFamily":"pkt_m240_7_62_mm","real":"PKM 7.62 mm (bunker embrasure)","family":"mg","size":7.62,"caliberMm":7.62,"pen":0,"inherits":"mg_coax","damage":1.6,"cooldown":0.092,"range":28,"clip":100,"clipReload":6.0}</t>
        </is>
      </c>
    </row>
    <row r="54">
      <c r="A54" t="inlineStr">
        <is>
          <t>c_ram_gatling</t>
        </is>
      </c>
      <c r="B54" t="inlineStr">
        <is>
          <t>Phalanx M61 20 mm</t>
        </is>
      </c>
      <c r="C54" t="inlineStr">
        <is>
          <t>cal_20</t>
        </is>
      </c>
      <c r="D54" t="inlineStr"/>
      <c r="E54" t="inlineStr"/>
      <c r="F54" t="inlineStr">
        <is>
          <t>autocannon</t>
        </is>
      </c>
      <c r="G54" t="n">
        <v>20</v>
      </c>
      <c r="H54" t="inlineStr"/>
      <c r="I54" t="inlineStr"/>
      <c r="J54" t="inlineStr"/>
      <c r="K54" t="inlineStr">
        <is>
          <t>Fragmentation</t>
        </is>
      </c>
      <c r="L54" t="n">
        <v>1</v>
      </c>
      <c r="M54" t="inlineStr">
        <is>
          <t>Bullet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0.02</v>
      </c>
      <c r="S54" t="n">
        <v>200</v>
      </c>
      <c r="T54" t="n">
        <v>3.02</v>
      </c>
      <c r="U54" t="n">
        <v>0</v>
      </c>
      <c r="V54" t="n">
        <v>0</v>
      </c>
      <c r="W54" t="n">
        <v>2</v>
      </c>
      <c r="X54" t="n">
        <v>1.2</v>
      </c>
      <c r="Y54" t="n">
        <v>0</v>
      </c>
      <c r="Z54" t="n">
        <v>380</v>
      </c>
      <c r="AA54" t="n">
        <v>32</v>
      </c>
      <c r="AB54" t="n">
        <v>0</v>
      </c>
      <c r="AC54" t="inlineStr">
        <is>
          <t>Air</t>
        </is>
      </c>
      <c r="AD54" t="inlineStr"/>
      <c r="AE54" t="n">
        <v>1.2</v>
      </c>
      <c r="AF54" t="inlineStr">
        <is>
          <t>Small</t>
        </is>
      </c>
      <c r="AG54" t="b">
        <v>0</v>
      </c>
      <c r="AH54" t="b">
        <v>0</v>
      </c>
      <c r="AI54" t="b">
        <v>0</v>
      </c>
      <c r="AJ54" t="b">
        <v>1</v>
      </c>
      <c r="AK54" t="b">
        <v>0</v>
      </c>
      <c r="AL54" t="b">
        <v>0</v>
      </c>
      <c r="AM54" t="b">
        <v>0</v>
      </c>
      <c r="AN54" t="n">
        <v>20</v>
      </c>
      <c r="AO54" t="n">
        <v>0</v>
      </c>
      <c r="AP54" t="inlineStr">
        <is>
          <t>T1</t>
        </is>
      </c>
      <c r="AQ54" t="inlineStr"/>
      <c r="AR54" t="inlineStr"/>
      <c r="AS54" t="inlineStr">
        <is>
          <t>thap</t>
        </is>
      </c>
      <c r="AT54" t="inlineStr">
        <is>
          <t>c_ram;c_ram.centurion</t>
        </is>
      </c>
      <c r="AU54" t="n">
        <v>2</v>
      </c>
      <c r="AV54" t="inlineStr">
        <is>
          <t>c_ram:0;c_ram.centurion:0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0.08421052631578947</v>
      </c>
      <c r="BB54" t="n">
        <v>4500</v>
      </c>
      <c r="BC54" t="inlineStr"/>
      <c r="BD54" t="inlineStr">
        <is>
          <t>aa</t>
        </is>
      </c>
      <c r="BE54" t="inlineStr">
        <is>
          <t>Wikipedia 'Phalanx CIWS': 4,500 rpm (C-RAM)</t>
        </is>
      </c>
      <c r="BG54" t="inlineStr">
        <is>
          <t>giong</t>
        </is>
      </c>
      <c r="CT54" t="n">
        <v>20</v>
      </c>
      <c r="CW54" t="n">
        <v>200</v>
      </c>
      <c r="CX54" t="n">
        <v>3.02</v>
      </c>
      <c r="DD54" t="n">
        <v>0.02</v>
      </c>
      <c r="DE54" t="n">
        <v>2</v>
      </c>
      <c r="DF54" t="inlineStr">
        <is>
          <t>Fragmentation</t>
        </is>
      </c>
      <c r="DJ54" t="inlineStr">
        <is>
          <t>autocannon</t>
        </is>
      </c>
      <c r="DS54" t="inlineStr">
        <is>
          <t>Small</t>
        </is>
      </c>
      <c r="DU54" t="b">
        <v>1</v>
      </c>
      <c r="EB54" t="n">
        <v>1</v>
      </c>
      <c r="EH54" t="inlineStr">
        <is>
          <t>Bullet</t>
        </is>
      </c>
      <c r="EK54" t="n">
        <v>380</v>
      </c>
      <c r="EP54" t="n">
        <v>32</v>
      </c>
      <c r="EQ54" t="inlineStr">
        <is>
          <t>Phalanx M61 20 mm</t>
        </is>
      </c>
      <c r="EX54" t="n">
        <v>20</v>
      </c>
      <c r="EY54" t="n">
        <v>1.2</v>
      </c>
      <c r="EZ54" t="n">
        <v>1.2</v>
      </c>
      <c r="FW54" t="inlineStr">
        <is>
          <t>Air</t>
        </is>
      </c>
      <c r="GB54" t="inlineStr">
        <is>
          <t>cal_20</t>
        </is>
      </c>
      <c r="GD54" t="inlineStr">
        <is>
          <t>Assets/MachineBrigade/Resources/Data/balance.json: weapons[107]</t>
        </is>
      </c>
      <c r="GE54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55">
      <c r="A55" t="inlineStr">
        <is>
          <t>casemate_155</t>
        </is>
      </c>
      <c r="B55" t="inlineStr">
        <is>
          <t>M284 155 mm (casemate)</t>
        </is>
      </c>
      <c r="C55" t="inlineStr">
        <is>
          <t>cal_152_155</t>
        </is>
      </c>
      <c r="D55" t="inlineStr"/>
      <c r="E55" t="inlineStr">
        <is>
          <t>m284_155_mm_casemate</t>
        </is>
      </c>
      <c r="F55" t="inlineStr">
        <is>
          <t>howitzer</t>
        </is>
      </c>
      <c r="G55" t="n">
        <v>155</v>
      </c>
      <c r="H55" t="inlineStr"/>
      <c r="I55" t="inlineStr"/>
      <c r="J55" t="inlineStr"/>
      <c r="K55" t="inlineStr">
        <is>
          <t>HighExplosive</t>
        </is>
      </c>
      <c r="L55" t="n">
        <v>3</v>
      </c>
      <c r="M55" t="inlineStr">
        <is>
          <t>Shell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12.81</v>
      </c>
      <c r="S55" t="n">
        <v>0</v>
      </c>
      <c r="T55" t="n">
        <v>0</v>
      </c>
      <c r="U55" t="n">
        <v>0</v>
      </c>
      <c r="V55" t="n">
        <v>0</v>
      </c>
      <c r="W55" t="n">
        <v>620</v>
      </c>
      <c r="X55" t="n">
        <v>8</v>
      </c>
      <c r="Y55" t="n">
        <v>16</v>
      </c>
      <c r="Z55" t="n">
        <v>60</v>
      </c>
      <c r="AA55" t="n">
        <v>75</v>
      </c>
      <c r="AB55" t="n">
        <v>20</v>
      </c>
      <c r="AC55" t="inlineStr">
        <is>
          <t>Ground</t>
        </is>
      </c>
      <c r="AD55" t="inlineStr"/>
      <c r="AE55" t="n">
        <v>4.5</v>
      </c>
      <c r="AF55" t="inlineStr">
        <is>
          <t>Huge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n">
        <v>155</v>
      </c>
      <c r="AO55" t="n">
        <v>0</v>
      </c>
      <c r="AP55" t="inlineStr">
        <is>
          <t>T3</t>
        </is>
      </c>
      <c r="AQ55" t="inlineStr">
        <is>
          <t>gun_155_sph</t>
        </is>
      </c>
      <c r="AR55" t="inlineStr">
        <is>
          <t>casemate_155_guided</t>
        </is>
      </c>
      <c r="AS55" t="inlineStr">
        <is>
          <t>boss_part</t>
        </is>
      </c>
      <c r="AT55" t="inlineStr">
        <is>
          <t>casemate_155</t>
        </is>
      </c>
      <c r="AU55" t="n">
        <v>1</v>
      </c>
      <c r="AV55" t="inlineStr">
        <is>
          <t>casemate_155:part</t>
        </is>
      </c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1.25</v>
      </c>
      <c r="BB55" t="n">
        <v>4</v>
      </c>
      <c r="BC55" t="n">
        <v>1</v>
      </c>
      <c r="BD55" t="inlineStr">
        <is>
          <t>gun</t>
        </is>
      </c>
      <c r="BE55" t="inlineStr">
        <is>
          <t>US Army M109A7 fact file: 4 rpm for 3 min, 1 rpm sustained</t>
        </is>
      </c>
      <c r="BG55" t="inlineStr">
        <is>
          <t>doi</t>
        </is>
      </c>
      <c r="BH55" t="n">
        <v>320</v>
      </c>
      <c r="BI55" t="n">
        <v>620</v>
      </c>
      <c r="BN55" t="n">
        <v>7</v>
      </c>
      <c r="BO55" t="n">
        <v>8</v>
      </c>
      <c r="BP55" t="n">
        <v>0</v>
      </c>
      <c r="BQ55" t="n">
        <v>16</v>
      </c>
      <c r="BR55" t="n">
        <v>45</v>
      </c>
      <c r="BS55" t="n">
        <v>60</v>
      </c>
      <c r="CN55" t="n">
        <v>0</v>
      </c>
      <c r="CT55" t="n">
        <v>155</v>
      </c>
      <c r="DE55" t="n">
        <v>620</v>
      </c>
      <c r="DG55" t="n">
        <v>16</v>
      </c>
      <c r="DJ55" t="inlineStr">
        <is>
          <t>howitzer</t>
        </is>
      </c>
      <c r="DT55" t="inlineStr">
        <is>
          <t>gun_155_sph</t>
        </is>
      </c>
      <c r="DZ55" t="n">
        <v>20</v>
      </c>
      <c r="EB55" t="n">
        <v>3</v>
      </c>
      <c r="EP55" t="n">
        <v>75</v>
      </c>
      <c r="EQ55" t="inlineStr">
        <is>
          <t>M284 155 mm (casemate)</t>
        </is>
      </c>
      <c r="ER55" t="n">
        <v>0</v>
      </c>
      <c r="EX55" t="n">
        <v>155</v>
      </c>
      <c r="GA55" t="inlineStr">
        <is>
          <t>m284_155_mm_casemate</t>
        </is>
      </c>
      <c r="GD55" t="inlineStr">
        <is>
          <t>Assets/MachineBrigade/Resources/Data/balance.json: weapons[267]</t>
        </is>
      </c>
      <c r="GE55" t="inlineStr">
        <is>
          <t>{"id":"casemate_155","weaponFamily":"m284_155_mm_casemate","inherits":"gun_155_sph","real":"M284 155 mm (casemate)","family":"howitzer","size":155,"caliberMm":155,"pen":3,"damage":620,"edge":16,"range":75,"minRange":20,"ammo":0,"reload":0}</t>
        </is>
      </c>
    </row>
    <row r="56">
      <c r="A56" t="inlineStr">
        <is>
          <t>casemate_155_guided</t>
        </is>
      </c>
      <c r="B56" t="inlineStr">
        <is>
          <t>M284 155 mm guided (casemate)</t>
        </is>
      </c>
      <c r="C56" t="inlineStr">
        <is>
          <t>cal_152_155</t>
        </is>
      </c>
      <c r="D56" t="inlineStr">
        <is>
          <t>guided</t>
        </is>
      </c>
      <c r="E56" t="inlineStr">
        <is>
          <t>m284_155_mm_guided_casemate</t>
        </is>
      </c>
      <c r="F56" t="inlineStr">
        <is>
          <t>howitzer</t>
        </is>
      </c>
      <c r="G56" t="n">
        <v>155</v>
      </c>
      <c r="H56" t="inlineStr"/>
      <c r="I56" t="inlineStr"/>
      <c r="J56" t="inlineStr"/>
      <c r="K56" t="inlineStr">
        <is>
          <t>HighExplosive</t>
        </is>
      </c>
      <c r="L56" t="n">
        <v>3</v>
      </c>
      <c r="M56" t="inlineStr">
        <is>
          <t>Shell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12.81</v>
      </c>
      <c r="S56" t="n">
        <v>0</v>
      </c>
      <c r="T56" t="n">
        <v>0</v>
      </c>
      <c r="U56" t="n">
        <v>0</v>
      </c>
      <c r="V56" t="n">
        <v>0</v>
      </c>
      <c r="W56" t="n">
        <v>620</v>
      </c>
      <c r="X56" t="n">
        <v>7</v>
      </c>
      <c r="Y56" t="n">
        <v>16</v>
      </c>
      <c r="Z56" t="n">
        <v>65</v>
      </c>
      <c r="AA56" t="n">
        <v>75</v>
      </c>
      <c r="AB56" t="n">
        <v>20</v>
      </c>
      <c r="AC56" t="inlineStr">
        <is>
          <t>Ground</t>
        </is>
      </c>
      <c r="AD56" t="inlineStr"/>
      <c r="AE56" t="n">
        <v>0</v>
      </c>
      <c r="AF56" t="inlineStr">
        <is>
          <t>Huge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1</v>
      </c>
      <c r="AN56" t="n">
        <v>155</v>
      </c>
      <c r="AO56" t="n">
        <v>0</v>
      </c>
      <c r="AP56" t="inlineStr">
        <is>
          <t>T3</t>
        </is>
      </c>
      <c r="AQ56" t="inlineStr">
        <is>
          <t>casemate_155</t>
        </is>
      </c>
      <c r="AR56" t="inlineStr"/>
      <c r="AS56" t="inlineStr"/>
      <c r="AT56" t="inlineStr"/>
      <c r="AU56" t="n">
        <v>0</v>
      </c>
      <c r="AV56" t="inlineStr"/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1.153846153846154</v>
      </c>
      <c r="BB56" t="n">
        <v>4</v>
      </c>
      <c r="BC56" t="n">
        <v>1</v>
      </c>
      <c r="BD56" t="inlineStr">
        <is>
          <t>gun</t>
        </is>
      </c>
      <c r="BE56" t="inlineStr">
        <is>
          <t>US Army M109A7 fact file: 4 rpm for 3 min, 1 rpm sustained</t>
        </is>
      </c>
      <c r="BG56" t="inlineStr">
        <is>
          <t>doi</t>
        </is>
      </c>
      <c r="BH56" t="n">
        <v>320</v>
      </c>
      <c r="BI56" t="n">
        <v>620</v>
      </c>
      <c r="BP56" t="n">
        <v>0</v>
      </c>
      <c r="BQ56" t="n">
        <v>16</v>
      </c>
      <c r="BR56" t="n">
        <v>45</v>
      </c>
      <c r="BS56" t="n">
        <v>65</v>
      </c>
      <c r="CR56" t="n">
        <v>1</v>
      </c>
      <c r="DE56" t="n">
        <v>620</v>
      </c>
      <c r="DF56" t="inlineStr">
        <is>
          <t>HighExplosive</t>
        </is>
      </c>
      <c r="DH56" t="b">
        <v>1</v>
      </c>
      <c r="DM56" t="inlineStr">
        <is>
          <t>armour</t>
        </is>
      </c>
      <c r="DN56" t="inlineStr">
        <is>
          <t>HeShell</t>
        </is>
      </c>
      <c r="DP56" t="b">
        <v>1</v>
      </c>
      <c r="DT56" t="inlineStr">
        <is>
          <t>casemate_155</t>
        </is>
      </c>
      <c r="EB56" t="n">
        <v>3</v>
      </c>
      <c r="EQ56" t="inlineStr">
        <is>
          <t>M284 155 mm guided (casemate)</t>
        </is>
      </c>
      <c r="ES56" t="inlineStr">
        <is>
          <t>guided</t>
        </is>
      </c>
      <c r="EU56" t="inlineStr">
        <is>
          <t>casemate_155</t>
        </is>
      </c>
      <c r="EZ56" t="n">
        <v>0</v>
      </c>
      <c r="FW56" t="inlineStr">
        <is>
          <t>Ground</t>
        </is>
      </c>
      <c r="GA56" t="inlineStr">
        <is>
          <t>m284_155_mm_guided_casemate</t>
        </is>
      </c>
      <c r="GC56" t="inlineStr">
        <is>
          <t>guided</t>
        </is>
      </c>
      <c r="GD56" t="inlineStr">
        <is>
          <t>Assets/MachineBrigade/Resources/Data/balance.json: secondRounds.rounds[14]</t>
        </is>
      </c>
      <c r="GE56" t="inlineStr">
        <is>
          <t>{"id":"casemate_155_guided","roundOf":"casemate_155","inherits":"casemate_155","weaponVariantId":"guided","weaponFamily":"m284_155_mm_guided_casemate","round":"guided","for":["armour"],"elite":true,"real":"M284 155 mm guided (casemate)","damageType":"HighExplosive","pen":3,"damage":620,"spread":0,"burst":1,"guided":true,"form":"HeShell","targets":"Ground"}</t>
        </is>
      </c>
    </row>
    <row r="57">
      <c r="A57" t="inlineStr">
        <is>
          <t>ciws_aa</t>
        </is>
      </c>
      <c r="B57" t="inlineStr">
        <is>
          <t>AK-630 30 mm</t>
        </is>
      </c>
      <c r="C57" t="inlineStr">
        <is>
          <t>cal_30</t>
        </is>
      </c>
      <c r="D57" t="inlineStr">
        <is>
          <t>ciws</t>
        </is>
      </c>
      <c r="E57" t="inlineStr">
        <is>
          <t>ak_630_30_mm</t>
        </is>
      </c>
      <c r="F57" t="inlineStr">
        <is>
          <t>autocannon</t>
        </is>
      </c>
      <c r="G57" t="n">
        <v>30</v>
      </c>
      <c r="H57" t="inlineStr"/>
      <c r="I57" t="inlineStr"/>
      <c r="J57" t="inlineStr"/>
      <c r="K57" t="inlineStr">
        <is>
          <t>Kinetic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0.0167</v>
      </c>
      <c r="S57" t="n">
        <v>60</v>
      </c>
      <c r="T57" t="n">
        <v>5.0167</v>
      </c>
      <c r="U57" t="n">
        <v>0</v>
      </c>
      <c r="V57" t="n">
        <v>0</v>
      </c>
      <c r="W57" t="n">
        <v>12</v>
      </c>
      <c r="X57" t="n">
        <v>0</v>
      </c>
      <c r="Y57" t="n">
        <v>0</v>
      </c>
      <c r="Z57" t="n">
        <v>300</v>
      </c>
      <c r="AA57" t="n">
        <v>34</v>
      </c>
      <c r="AB57" t="n">
        <v>0</v>
      </c>
      <c r="AC57" t="inlineStr">
        <is>
          <t>Air</t>
        </is>
      </c>
      <c r="AD57" t="inlineStr"/>
      <c r="AE57" t="n">
        <v>1.3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30</v>
      </c>
      <c r="AO57" t="n">
        <v>0</v>
      </c>
      <c r="AP57" t="inlineStr">
        <is>
          <t>T1</t>
        </is>
      </c>
      <c r="AQ57" t="inlineStr">
        <is>
          <t>hover_ciws</t>
        </is>
      </c>
      <c r="AR57" t="inlineStr">
        <is>
          <t>ciws_aa_flak</t>
        </is>
      </c>
      <c r="AS57" t="inlineStr">
        <is>
          <t>boss</t>
        </is>
      </c>
      <c r="AT57" t="inlineStr">
        <is>
          <t>landing_hovercraft</t>
        </is>
      </c>
      <c r="AU57" t="n">
        <v>1</v>
      </c>
      <c r="AV57" t="inlineStr">
        <is>
          <t>landing_hovercraft:2</t>
        </is>
      </c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0.1133333333333333</v>
      </c>
      <c r="BB57" t="n">
        <v>5000</v>
      </c>
      <c r="BC57" t="n">
        <v>1000</v>
      </c>
      <c r="BD57" t="inlineStr">
        <is>
          <t>aa</t>
        </is>
      </c>
      <c r="BE57" t="inlineStr">
        <is>
          <t>Wikipedia 'AK-630': 4,000-5,000 rpm, 2,000-round belt</t>
        </is>
      </c>
      <c r="BG57" t="inlineStr">
        <is>
          <t>giong</t>
        </is>
      </c>
      <c r="CT57" t="n">
        <v>30</v>
      </c>
      <c r="DJ57" t="inlineStr">
        <is>
          <t>autocannon</t>
        </is>
      </c>
      <c r="DT57" t="inlineStr">
        <is>
          <t>hover_ciws</t>
        </is>
      </c>
      <c r="EB57" t="n">
        <v>2</v>
      </c>
      <c r="EQ57" t="inlineStr">
        <is>
          <t>AK-630 30 mm</t>
        </is>
      </c>
      <c r="EX57" t="n">
        <v>30</v>
      </c>
      <c r="FW57" t="inlineStr">
        <is>
          <t>Air</t>
        </is>
      </c>
      <c r="GA57" t="inlineStr">
        <is>
          <t>ak_630_30_mm</t>
        </is>
      </c>
      <c r="GD57" t="inlineStr">
        <is>
          <t>Assets/MachineBrigade/Resources/Data/balance.json: weapons[258]</t>
        </is>
      </c>
      <c r="GE57" t="inlineStr">
        <is>
          <t>{"id":"ciws_aa","weaponFamily":"ak_630_30_mm","real":"AK-630 30 mm","family":"autocannon","size":30,"caliberMm":30,"pen":2,"inherits":"hover_ciws","targets":"Air"}</t>
        </is>
      </c>
    </row>
    <row r="58">
      <c r="A58" t="inlineStr">
        <is>
          <t>ciws_aa_flak</t>
        </is>
      </c>
      <c r="B58" t="inlineStr">
        <is>
          <t>AK-630 30 mm air-burst</t>
        </is>
      </c>
      <c r="C58" t="inlineStr">
        <is>
          <t>cal_30</t>
        </is>
      </c>
      <c r="D58" t="inlineStr">
        <is>
          <t>flak</t>
        </is>
      </c>
      <c r="E58" t="inlineStr">
        <is>
          <t>ak_630_30_mm_air_burst</t>
        </is>
      </c>
      <c r="F58" t="inlineStr">
        <is>
          <t>autocannon</t>
        </is>
      </c>
      <c r="G58" t="n">
        <v>30</v>
      </c>
      <c r="H58" t="inlineStr"/>
      <c r="I58" t="inlineStr"/>
      <c r="J58" t="inlineStr"/>
      <c r="K58" t="inlineStr">
        <is>
          <t>Fragmentation</t>
        </is>
      </c>
      <c r="L58" t="n">
        <v>2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0.0167</v>
      </c>
      <c r="S58" t="n">
        <v>60</v>
      </c>
      <c r="T58" t="n">
        <v>5.0167</v>
      </c>
      <c r="U58" t="n">
        <v>0</v>
      </c>
      <c r="V58" t="n">
        <v>0</v>
      </c>
      <c r="W58" t="n">
        <v>12</v>
      </c>
      <c r="X58" t="n">
        <v>2.5</v>
      </c>
      <c r="Y58" t="n">
        <v>0</v>
      </c>
      <c r="Z58" t="n">
        <v>300</v>
      </c>
      <c r="AA58" t="n">
        <v>34</v>
      </c>
      <c r="AB58" t="n">
        <v>0</v>
      </c>
      <c r="AC58" t="inlineStr">
        <is>
          <t>Air</t>
        </is>
      </c>
      <c r="AD58" t="inlineStr"/>
      <c r="AE58" t="n">
        <v>1.3</v>
      </c>
      <c r="AF58" t="inlineStr">
        <is>
          <t>Small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30</v>
      </c>
      <c r="AO58" t="n">
        <v>0</v>
      </c>
      <c r="AP58" t="inlineStr">
        <is>
          <t>T1</t>
        </is>
      </c>
      <c r="AQ58" t="inlineStr">
        <is>
          <t>ciws_aa</t>
        </is>
      </c>
      <c r="AR58" t="inlineStr"/>
      <c r="AS58" t="inlineStr"/>
      <c r="AT58" t="inlineStr"/>
      <c r="AU58" t="n">
        <v>0</v>
      </c>
      <c r="AV58" t="inlineStr"/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0.1133333333333333</v>
      </c>
      <c r="BB58" t="n">
        <v>5000</v>
      </c>
      <c r="BC58" t="n">
        <v>1000</v>
      </c>
      <c r="BD58" t="inlineStr">
        <is>
          <t>aa</t>
        </is>
      </c>
      <c r="BE58" t="inlineStr">
        <is>
          <t>Wikipedia 'AK-630': 4,000-5,000 rpm, 2,000-round belt</t>
        </is>
      </c>
      <c r="BG58" t="inlineStr">
        <is>
          <t>giong</t>
        </is>
      </c>
      <c r="DE58" t="n">
        <v>12</v>
      </c>
      <c r="DF58" t="inlineStr">
        <is>
          <t>Fragmentation</t>
        </is>
      </c>
      <c r="DM58" t="inlineStr">
        <is>
          <t>air</t>
        </is>
      </c>
      <c r="DN58" t="inlineStr">
        <is>
          <t>Airburst</t>
        </is>
      </c>
      <c r="DT58" t="inlineStr">
        <is>
          <t>ciws_aa</t>
        </is>
      </c>
      <c r="EB58" t="n">
        <v>2</v>
      </c>
      <c r="EE58" t="b">
        <v>0</v>
      </c>
      <c r="EQ58" t="inlineStr">
        <is>
          <t>AK-630 30 mm air-burst</t>
        </is>
      </c>
      <c r="ES58" t="inlineStr">
        <is>
          <t>flak</t>
        </is>
      </c>
      <c r="EU58" t="inlineStr">
        <is>
          <t>ciws_aa</t>
        </is>
      </c>
      <c r="EY58" t="n">
        <v>2.5</v>
      </c>
      <c r="FW58" t="inlineStr">
        <is>
          <t>Air</t>
        </is>
      </c>
      <c r="GA58" t="inlineStr">
        <is>
          <t>ak_630_30_mm_air_burst</t>
        </is>
      </c>
      <c r="GC58" t="inlineStr">
        <is>
          <t>flak</t>
        </is>
      </c>
      <c r="GD58" t="inlineStr">
        <is>
          <t>Assets/MachineBrigade/Resources/Data/balance.json: secondRounds.rounds[15]</t>
        </is>
      </c>
      <c r="GE58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59">
      <c r="A59" t="inlineStr">
        <is>
          <t>coilgun</t>
        </is>
      </c>
      <c r="B59" t="inlineStr">
        <is>
          <t>coilgun (10 MJ)</t>
        </is>
      </c>
      <c r="C59" t="inlineStr">
        <is>
          <t>rail_coilgun</t>
        </is>
      </c>
      <c r="D59" t="inlineStr"/>
      <c r="E59" t="inlineStr"/>
      <c r="F59" t="inlineStr">
        <is>
          <t>railgun</t>
        </is>
      </c>
      <c r="G59" t="inlineStr"/>
      <c r="H59" t="inlineStr"/>
      <c r="I59" t="inlineStr"/>
      <c r="J59" t="n">
        <v>10</v>
      </c>
      <c r="K59" t="inlineStr">
        <is>
          <t>Kinetic</t>
        </is>
      </c>
      <c r="L59" t="n">
        <v>4</v>
      </c>
      <c r="M59" t="inlineStr">
        <is>
          <t>Bullet</t>
        </is>
      </c>
      <c r="N59" t="n">
        <v>1</v>
      </c>
      <c r="O59" t="inlineStr">
        <is>
          <t>RIPPLE</t>
        </is>
      </c>
      <c r="P59" t="n">
        <v>2</v>
      </c>
      <c r="Q59" t="n">
        <v>0.25</v>
      </c>
      <c r="R59" t="n">
        <v>4.54</v>
      </c>
      <c r="S59" t="n">
        <v>0</v>
      </c>
      <c r="T59" t="n">
        <v>0</v>
      </c>
      <c r="U59" t="n">
        <v>0</v>
      </c>
      <c r="V59" t="n">
        <v>0</v>
      </c>
      <c r="W59" t="n">
        <v>250</v>
      </c>
      <c r="X59" t="n">
        <v>0</v>
      </c>
      <c r="Y59" t="n">
        <v>0</v>
      </c>
      <c r="Z59" t="n">
        <v>420</v>
      </c>
      <c r="AA59" t="n">
        <v>55</v>
      </c>
      <c r="AB59" t="n">
        <v>0</v>
      </c>
      <c r="AC59" t="inlineStr">
        <is>
          <t>All</t>
        </is>
      </c>
      <c r="AD59" t="inlineStr"/>
      <c r="AE59" t="n">
        <v>0.6</v>
      </c>
      <c r="AF59" t="inlineStr">
        <is>
          <t>Large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10</v>
      </c>
      <c r="AO59" t="n">
        <v>0</v>
      </c>
      <c r="AP59" t="inlineStr">
        <is>
          <t>T3</t>
        </is>
      </c>
      <c r="AQ59" t="inlineStr"/>
      <c r="AR59" t="inlineStr"/>
      <c r="AS59" t="inlineStr">
        <is>
          <t>boss</t>
        </is>
      </c>
      <c r="AT59" t="inlineStr">
        <is>
          <t>behemoth_tempest</t>
        </is>
      </c>
      <c r="AU59" t="n">
        <v>1</v>
      </c>
      <c r="AV59" t="inlineStr">
        <is>
          <t>behemoth_tempest:1;behemoth_tempest:2</t>
        </is>
      </c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0.130952380952381</v>
      </c>
      <c r="BB59" t="inlineStr">
        <is>
          <t>NEED_SOURCE</t>
        </is>
      </c>
      <c r="BC59" t="inlineStr">
        <is>
          <t>NEED_SOURCE</t>
        </is>
      </c>
      <c r="BE59" t="inlineStr">
        <is>
          <t>NEED_SOURCE</t>
        </is>
      </c>
      <c r="BG59" t="inlineStr">
        <is>
          <t>giong</t>
        </is>
      </c>
      <c r="CR59" t="n">
        <v>2</v>
      </c>
      <c r="CS59" t="n">
        <v>0.25</v>
      </c>
      <c r="CV59" t="n">
        <v>0.5</v>
      </c>
      <c r="DD59" t="n">
        <v>4.54</v>
      </c>
      <c r="DE59" t="n">
        <v>250</v>
      </c>
      <c r="DF59" t="inlineStr">
        <is>
          <t>Kinetic</t>
        </is>
      </c>
      <c r="DI59" t="n">
        <v>10</v>
      </c>
      <c r="DJ59" t="inlineStr">
        <is>
          <t>railgun</t>
        </is>
      </c>
      <c r="DO59" t="n">
        <v>17</v>
      </c>
      <c r="DS59" t="inlineStr">
        <is>
          <t>Large</t>
        </is>
      </c>
      <c r="EB59" t="n">
        <v>4</v>
      </c>
      <c r="EE59" t="b">
        <v>1</v>
      </c>
      <c r="EH59" t="inlineStr">
        <is>
          <t>Bullet</t>
        </is>
      </c>
      <c r="EK59" t="n">
        <v>420</v>
      </c>
      <c r="EP59" t="n">
        <v>55</v>
      </c>
      <c r="EQ59" t="inlineStr">
        <is>
          <t>coilgun (10 MJ)</t>
        </is>
      </c>
      <c r="EX59" t="n">
        <v>10</v>
      </c>
      <c r="EZ59" t="n">
        <v>0.6</v>
      </c>
      <c r="FW59" t="inlineStr">
        <is>
          <t>All</t>
        </is>
      </c>
      <c r="GB59" t="inlineStr">
        <is>
          <t>rail_coilgun</t>
        </is>
      </c>
      <c r="GD59" t="inlineStr">
        <is>
          <t>Assets/MachineBrigade/Resources/Data/balance.json: weapons[133]</t>
        </is>
      </c>
      <c r="GE59" t="inlineStr">
        <is>
          <t>{"id":"coilgun","groundMinReach":17,"weaponFamilyId":"rail_coilgun","real":"coilgun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60">
      <c r="A60" t="inlineStr">
        <is>
          <t>cruise_missile_ground</t>
        </is>
      </c>
      <c r="B60" t="inlineStr">
        <is>
          <t>Typhon MRC (ground-launched Tomahawk)</t>
        </is>
      </c>
      <c r="C60" t="inlineStr">
        <is>
          <t>cruise_typhon_mrc</t>
        </is>
      </c>
      <c r="D60" t="inlineStr"/>
      <c r="E60" t="inlineStr"/>
      <c r="F60" t="inlineStr">
        <is>
          <t>cruise_missile</t>
        </is>
      </c>
      <c r="G60" t="inlineStr"/>
      <c r="H60" t="n">
        <v>450</v>
      </c>
      <c r="I60" t="inlineStr"/>
      <c r="J60" t="inlineStr"/>
      <c r="K60" t="inlineStr">
        <is>
          <t>ShapedCharge</t>
        </is>
      </c>
      <c r="L60" t="n">
        <v>4</v>
      </c>
      <c r="M60" t="inlineStr">
        <is>
          <t>Missile</t>
        </is>
      </c>
      <c r="N60" t="n">
        <v>1</v>
      </c>
      <c r="O60" t="inlineStr">
        <is>
          <t>RIPPLE</t>
        </is>
      </c>
      <c r="P60" t="n">
        <v>1</v>
      </c>
      <c r="Q60" t="n">
        <v>0.1</v>
      </c>
      <c r="R60" t="n">
        <v>15</v>
      </c>
      <c r="S60" t="n">
        <v>2</v>
      </c>
      <c r="T60" t="n">
        <v>30</v>
      </c>
      <c r="U60" t="n">
        <v>0</v>
      </c>
      <c r="V60" t="n">
        <v>0</v>
      </c>
      <c r="W60" t="n">
        <v>450</v>
      </c>
      <c r="X60" t="n">
        <v>8</v>
      </c>
      <c r="Y60" t="n">
        <v>16</v>
      </c>
      <c r="Z60" t="n">
        <v>70</v>
      </c>
      <c r="AA60" t="n">
        <v>180</v>
      </c>
      <c r="AB60" t="n">
        <v>0</v>
      </c>
      <c r="AC60" t="inlineStr">
        <is>
          <t>All</t>
        </is>
      </c>
      <c r="AD60" t="inlineStr"/>
      <c r="AE60" t="n">
        <v>0</v>
      </c>
      <c r="AF60" t="inlineStr">
        <is>
          <t>Huge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450</v>
      </c>
      <c r="AO60" t="n">
        <v>0</v>
      </c>
      <c r="AP60" t="inlineStr">
        <is>
          <t>T4</t>
        </is>
      </c>
      <c r="AQ60" t="inlineStr"/>
      <c r="AR60" t="inlineStr"/>
      <c r="AS60" t="inlineStr">
        <is>
          <t>xe</t>
        </is>
      </c>
      <c r="AT60" t="inlineStr">
        <is>
          <t>ground_cruise_missile_vehicle</t>
        </is>
      </c>
      <c r="AU60" t="n">
        <v>1</v>
      </c>
      <c r="AV60" t="inlineStr">
        <is>
          <t>ground_cruise_missile_vehicle:0</t>
        </is>
      </c>
      <c r="AW60" t="n">
        <v>2.5</v>
      </c>
      <c r="AX60" t="b">
        <v>0</v>
      </c>
      <c r="AY60" t="inlineStr"/>
      <c r="AZ60">
        <f>IF(AND($AX$60,$AW$60&gt;$AA$60/$Z$60),$AW$60,$AA$60/$Z$60)</f>
        <v/>
      </c>
      <c r="BA60" t="n">
        <v>2.571428571428572</v>
      </c>
      <c r="BB60" t="n">
        <v>20</v>
      </c>
      <c r="BC60" t="n">
        <v>6</v>
      </c>
      <c r="BD60" t="inlineStr">
        <is>
          <t>missile</t>
        </is>
      </c>
      <c r="BE60" t="inlineStr">
        <is>
          <t>cruise missiles: ~3 s between launches (est.)</t>
        </is>
      </c>
      <c r="BG60" t="inlineStr">
        <is>
          <t>doi</t>
        </is>
      </c>
      <c r="BN60" t="n">
        <v>0</v>
      </c>
      <c r="BO60" t="n">
        <v>8</v>
      </c>
      <c r="BP60" t="n">
        <v>0</v>
      </c>
      <c r="BQ60" t="n">
        <v>16</v>
      </c>
      <c r="BR60" t="n">
        <v>22</v>
      </c>
      <c r="BS60" t="n">
        <v>70</v>
      </c>
      <c r="CW60" t="n">
        <v>2</v>
      </c>
      <c r="CX60" t="n">
        <v>30</v>
      </c>
      <c r="DD60" t="n">
        <v>15</v>
      </c>
      <c r="DE60" t="n">
        <v>450</v>
      </c>
      <c r="DF60" t="inlineStr">
        <is>
          <t>ShapedCharge</t>
        </is>
      </c>
      <c r="DG60" t="n">
        <v>16</v>
      </c>
      <c r="DJ60" t="inlineStr">
        <is>
          <t>cruise_missile</t>
        </is>
      </c>
      <c r="DL60" t="inlineStr">
        <is>
          <t>Loft</t>
        </is>
      </c>
      <c r="DS60" t="inlineStr">
        <is>
          <t>Huge</t>
        </is>
      </c>
      <c r="EB60" t="n">
        <v>4</v>
      </c>
      <c r="EH60" t="inlineStr">
        <is>
          <t>Missile</t>
        </is>
      </c>
      <c r="EK60" t="n">
        <v>70</v>
      </c>
      <c r="EP60" t="n">
        <v>180</v>
      </c>
      <c r="EQ60" t="inlineStr">
        <is>
          <t>Typhon MRC (ground-launched Tomahawk)</t>
        </is>
      </c>
      <c r="EX60" t="n">
        <v>450</v>
      </c>
      <c r="EY60" t="n">
        <v>8</v>
      </c>
      <c r="FW60" t="inlineStr">
        <is>
          <t>All</t>
        </is>
      </c>
      <c r="FZ60" t="n">
        <v>450</v>
      </c>
      <c r="GB60" t="inlineStr">
        <is>
          <t>cruise_typhon_mrc</t>
        </is>
      </c>
      <c r="GD60" t="inlineStr">
        <is>
          <t>Assets/MachineBrigade/Resources/Data/balance.json: weapons[287]</t>
        </is>
      </c>
      <c r="GE60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Tomahawk)","family":"cruise_missile","size":450,"warheadKg":450,"pen":4,"damageType":"ShapedCharge","damage":450,"cooldown":15,"range":180,"projectileSpeed":70,"splash":8,"edge":16,"impactTier":"Huge","projectile":"Missile","targets":"All","clip":2,"clipReload":30}</t>
        </is>
      </c>
    </row>
    <row r="61">
      <c r="A61" t="inlineStr">
        <is>
          <t>cruiser_203</t>
        </is>
      </c>
      <c r="B61" t="inlineStr">
        <is>
          <t>Mk 71 203 mm (twin)</t>
        </is>
      </c>
      <c r="C61" t="inlineStr">
        <is>
          <t>cal_203</t>
        </is>
      </c>
      <c r="D61" t="inlineStr"/>
      <c r="E61" t="inlineStr"/>
      <c r="F61" t="inlineStr">
        <is>
          <t>howitzer</t>
        </is>
      </c>
      <c r="G61" t="n">
        <v>203</v>
      </c>
      <c r="H61" t="inlineStr"/>
      <c r="I61" t="inlineStr"/>
      <c r="J61" t="inlineStr"/>
      <c r="K61" t="inlineStr">
        <is>
          <t>HighExplosive</t>
        </is>
      </c>
      <c r="L61" t="n">
        <v>4</v>
      </c>
      <c r="M61" t="inlineStr">
        <is>
          <t>Shell</t>
        </is>
      </c>
      <c r="N61" t="n">
        <v>2</v>
      </c>
      <c r="O61" t="inlineStr">
        <is>
          <t>SIMULTANEOUS</t>
        </is>
      </c>
      <c r="P61" t="n">
        <v>1</v>
      </c>
      <c r="Q61" t="n">
        <v>0.4</v>
      </c>
      <c r="R61" t="n">
        <v>16.857</v>
      </c>
      <c r="S61" t="n">
        <v>0</v>
      </c>
      <c r="T61" t="n">
        <v>0</v>
      </c>
      <c r="U61" t="n">
        <v>0</v>
      </c>
      <c r="V61" t="n">
        <v>0</v>
      </c>
      <c r="W61" t="n">
        <v>600</v>
      </c>
      <c r="X61" t="n">
        <v>8</v>
      </c>
      <c r="Y61" t="n">
        <v>0</v>
      </c>
      <c r="Z61" t="n">
        <v>85</v>
      </c>
      <c r="AA61" t="n">
        <v>105</v>
      </c>
      <c r="AB61" t="n">
        <v>0</v>
      </c>
      <c r="AC61" t="inlineStr">
        <is>
          <t>Ground</t>
        </is>
      </c>
      <c r="AD61" t="inlineStr"/>
      <c r="AE61" t="n">
        <v>2.6</v>
      </c>
      <c r="AF61" t="inlineStr">
        <is>
          <t>Huge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203</v>
      </c>
      <c r="AO61" t="n">
        <v>0</v>
      </c>
      <c r="AP61" t="inlineStr">
        <is>
          <t>T4</t>
        </is>
      </c>
      <c r="AQ61" t="inlineStr">
        <is>
          <t>naval_76</t>
        </is>
      </c>
      <c r="AR61" t="inlineStr">
        <is>
          <t>cruiser_203_guided</t>
        </is>
      </c>
      <c r="AS61" t="inlineStr">
        <is>
          <t>xe</t>
        </is>
      </c>
      <c r="AT61" t="inlineStr">
        <is>
          <t>sea_cruiser</t>
        </is>
      </c>
      <c r="AU61" t="n">
        <v>1</v>
      </c>
      <c r="AV61" t="inlineStr">
        <is>
          <t>sea_cruiser:0;sea_cruiser:1</t>
        </is>
      </c>
      <c r="AW61" t="n">
        <v>2.5</v>
      </c>
      <c r="AX61" t="b">
        <v>1</v>
      </c>
      <c r="AY61" t="inlineStr"/>
      <c r="AZ61">
        <f>IF(AND($AX$61,$AW$61&gt;$AA$61/$Z$61),$AW$61,$AA$61/$Z$61)</f>
        <v/>
      </c>
      <c r="BA61" t="n">
        <v>2.5</v>
      </c>
      <c r="BB61" t="n">
        <v>12</v>
      </c>
      <c r="BC61" t="n">
        <v>12</v>
      </c>
      <c r="BD61" t="inlineStr">
        <is>
          <t>gun</t>
        </is>
      </c>
      <c r="BE61" t="inlineStr">
        <is>
          <t>Wikipedia '8"/55 caliber Mark 71': 12 rpm</t>
        </is>
      </c>
      <c r="BG61" t="inlineStr">
        <is>
          <t>doi</t>
        </is>
      </c>
      <c r="BH61" t="n">
        <v>420</v>
      </c>
      <c r="BI61" t="n">
        <v>600</v>
      </c>
      <c r="BJ61" t="n">
        <v>11.4</v>
      </c>
      <c r="BK61" t="n">
        <v>16.857</v>
      </c>
      <c r="BR61" t="n">
        <v>70</v>
      </c>
      <c r="BS61" t="n">
        <v>85</v>
      </c>
      <c r="BT61" t="n">
        <v>2</v>
      </c>
      <c r="BU61" t="n">
        <v>1</v>
      </c>
      <c r="BX61" t="n">
        <v>1</v>
      </c>
      <c r="BY61" t="n">
        <v>2</v>
      </c>
      <c r="BZ61" t="inlineStr">
        <is>
          <t>RIPPLE</t>
        </is>
      </c>
      <c r="CA61" t="inlineStr">
        <is>
          <t>SIMULTANEOUS</t>
        </is>
      </c>
      <c r="CO61" t="n">
        <v>2</v>
      </c>
      <c r="CR61" t="n">
        <v>1</v>
      </c>
      <c r="CS61" t="n">
        <v>0.4</v>
      </c>
      <c r="CT61" t="n">
        <v>203</v>
      </c>
      <c r="DD61" t="n">
        <v>16.857</v>
      </c>
      <c r="DE61" t="n">
        <v>600</v>
      </c>
      <c r="DJ61" t="inlineStr">
        <is>
          <t>howitzer</t>
        </is>
      </c>
      <c r="DS61" t="inlineStr">
        <is>
          <t>Huge</t>
        </is>
      </c>
      <c r="DT61" t="inlineStr">
        <is>
          <t>naval_76</t>
        </is>
      </c>
      <c r="EB61" t="n">
        <v>4</v>
      </c>
      <c r="EI61" t="inlineStr">
        <is>
          <t>shell_155</t>
        </is>
      </c>
      <c r="EJ61" t="n">
        <v>0.9455</v>
      </c>
      <c r="EK61" t="n">
        <v>85</v>
      </c>
      <c r="EP61" t="n">
        <v>105</v>
      </c>
      <c r="EQ61" t="inlineStr">
        <is>
          <t>Mk 71 203 mm (twin)</t>
        </is>
      </c>
      <c r="ET61" t="n">
        <v>1.04</v>
      </c>
      <c r="EW61" t="inlineStr">
        <is>
          <t>SIMULTANEOUS</t>
        </is>
      </c>
      <c r="EX61" t="n">
        <v>203</v>
      </c>
      <c r="EY61" t="n">
        <v>8</v>
      </c>
      <c r="EZ61" t="n">
        <v>2.6</v>
      </c>
      <c r="GB61" t="inlineStr">
        <is>
          <t>cal_203</t>
        </is>
      </c>
      <c r="GD61" t="inlineStr">
        <is>
          <t>Assets/MachineBrigade/Resources/Data/balance.json: weapons[252]</t>
        </is>
      </c>
      <c r="GE61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(twin)","family":"howitzer","size":203,"caliberMm":203,"pen":4,"projectileModel":"shell_155","roundLength":1.04,"projectileScale":0.9455,"damage":600,"cooldown":16.857,"range":105,"projectileSpeed":85,"splash":8,"spread":2.6,"impactTier":"Huge","burst":1,"burstInterval":0.4}</t>
        </is>
      </c>
    </row>
    <row r="62">
      <c r="A62" t="inlineStr">
        <is>
          <t>cruiser_203_guided</t>
        </is>
      </c>
      <c r="B62" t="inlineStr">
        <is>
          <t>Mk 71 203 mm guided (twin)</t>
        </is>
      </c>
      <c r="C62" t="inlineStr">
        <is>
          <t>cal_203</t>
        </is>
      </c>
      <c r="D62" t="inlineStr"/>
      <c r="E62" t="inlineStr"/>
      <c r="F62" t="inlineStr">
        <is>
          <t>howitzer</t>
        </is>
      </c>
      <c r="G62" t="n">
        <v>203</v>
      </c>
      <c r="H62" t="inlineStr"/>
      <c r="I62" t="inlineStr"/>
      <c r="J62" t="inlineStr"/>
      <c r="K62" t="inlineStr">
        <is>
          <t>HighExplosive</t>
        </is>
      </c>
      <c r="L62" t="n">
        <v>4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0.4</v>
      </c>
      <c r="R62" t="n">
        <v>16.857</v>
      </c>
      <c r="S62" t="n">
        <v>0</v>
      </c>
      <c r="T62" t="n">
        <v>0</v>
      </c>
      <c r="U62" t="n">
        <v>0</v>
      </c>
      <c r="V62" t="n">
        <v>0</v>
      </c>
      <c r="W62" t="n">
        <v>600</v>
      </c>
      <c r="X62" t="n">
        <v>8</v>
      </c>
      <c r="Y62" t="n">
        <v>0</v>
      </c>
      <c r="Z62" t="n">
        <v>85</v>
      </c>
      <c r="AA62" t="n">
        <v>105</v>
      </c>
      <c r="AB62" t="n">
        <v>0</v>
      </c>
      <c r="AC62" t="inlineStr">
        <is>
          <t>Ground</t>
        </is>
      </c>
      <c r="AD62" t="inlineStr"/>
      <c r="AE62" t="n">
        <v>0</v>
      </c>
      <c r="AF62" t="inlineStr">
        <is>
          <t>Huge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1</v>
      </c>
      <c r="AN62" t="n">
        <v>203</v>
      </c>
      <c r="AO62" t="n">
        <v>0</v>
      </c>
      <c r="AP62" t="inlineStr">
        <is>
          <t>T4</t>
        </is>
      </c>
      <c r="AQ62" t="inlineStr">
        <is>
          <t>cruiser_203</t>
        </is>
      </c>
      <c r="AR62" t="inlineStr"/>
      <c r="AS62" t="inlineStr"/>
      <c r="AT62" t="inlineStr"/>
      <c r="AU62" t="n">
        <v>0</v>
      </c>
      <c r="AV62" t="inlineStr"/>
      <c r="AW62" t="n">
        <v>2.5</v>
      </c>
      <c r="AX62" t="b">
        <v>1</v>
      </c>
      <c r="AY62" t="inlineStr"/>
      <c r="AZ62">
        <f>IF(AND($AX$62,$AW$62&gt;$AA$62/$Z$62),$AW$62,$AA$62/$Z$62)</f>
        <v/>
      </c>
      <c r="BA62" t="n">
        <v>2.5</v>
      </c>
      <c r="BB62" t="n">
        <v>12</v>
      </c>
      <c r="BC62" t="n">
        <v>12</v>
      </c>
      <c r="BD62" t="inlineStr">
        <is>
          <t>gun</t>
        </is>
      </c>
      <c r="BE62" t="inlineStr">
        <is>
          <t>Wikipedia '8"/55 caliber Mark 71': 12 rpm</t>
        </is>
      </c>
      <c r="BG62" t="inlineStr">
        <is>
          <t>doi</t>
        </is>
      </c>
      <c r="BH62" t="n">
        <v>420</v>
      </c>
      <c r="BI62" t="n">
        <v>600</v>
      </c>
      <c r="BJ62" t="n">
        <v>11.4</v>
      </c>
      <c r="BK62" t="n">
        <v>16.857</v>
      </c>
      <c r="BR62" t="n">
        <v>70</v>
      </c>
      <c r="BS62" t="n">
        <v>85</v>
      </c>
      <c r="CO62" t="n">
        <v>1</v>
      </c>
      <c r="CR62" t="n">
        <v>1</v>
      </c>
      <c r="DE62" t="n">
        <v>600</v>
      </c>
      <c r="DF62" t="inlineStr">
        <is>
          <t>HighExplosive</t>
        </is>
      </c>
      <c r="DH62" t="b">
        <v>1</v>
      </c>
      <c r="DM62" t="inlineStr">
        <is>
          <t>armour</t>
        </is>
      </c>
      <c r="DN62" t="inlineStr">
        <is>
          <t>HeShell</t>
        </is>
      </c>
      <c r="DP62" t="b">
        <v>1</v>
      </c>
      <c r="DT62" t="inlineStr">
        <is>
          <t>cruiser_203</t>
        </is>
      </c>
      <c r="EB62" t="n">
        <v>4</v>
      </c>
      <c r="EQ62" t="inlineStr">
        <is>
          <t>Mk 71 203 mm guided (twin)</t>
        </is>
      </c>
      <c r="ES62" t="inlineStr">
        <is>
          <t>guided</t>
        </is>
      </c>
      <c r="EU62" t="inlineStr">
        <is>
          <t>cruiser_203</t>
        </is>
      </c>
      <c r="EW62" t="inlineStr">
        <is>
          <t>RIPPLE</t>
        </is>
      </c>
      <c r="EZ62" t="n">
        <v>0</v>
      </c>
      <c r="FW62" t="inlineStr">
        <is>
          <t>Ground</t>
        </is>
      </c>
      <c r="GA62" t="inlineStr"/>
      <c r="GD62" t="inlineStr">
        <is>
          <t>Assets/MachineBrigade/Resources/Data/balance.json: secondRounds.rounds[16]</t>
        </is>
      </c>
      <c r="GE62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(twin)","damageType":"HighExplosive","pen":4,"damage":600,"spread":0,"burst":1,"guided":true,"form":"HeShell","targets":"Ground"}</t>
        </is>
      </c>
    </row>
    <row r="63">
      <c r="A63" t="inlineStr">
        <is>
          <t>detonator</t>
        </is>
      </c>
      <c r="B63" t="inlineStr">
        <is>
          <t>car bomb (900 kg)</t>
        </is>
      </c>
      <c r="C63" t="inlineStr">
        <is>
          <t>bomb_car_bomb</t>
        </is>
      </c>
      <c r="D63" t="inlineStr"/>
      <c r="E63" t="inlineStr"/>
      <c r="F63" t="inlineStr">
        <is>
          <t>bomb</t>
        </is>
      </c>
      <c r="G63" t="inlineStr"/>
      <c r="H63" t="n">
        <v>900</v>
      </c>
      <c r="I63" t="inlineStr"/>
      <c r="J63" t="inlineStr"/>
      <c r="K63" t="inlineStr">
        <is>
          <t>HighExplosive</t>
        </is>
      </c>
      <c r="L63" t="n">
        <v>4</v>
      </c>
      <c r="M63" t="inlineStr">
        <is>
          <t>Shell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</v>
      </c>
      <c r="S63" t="n">
        <v>0</v>
      </c>
      <c r="T63" t="n">
        <v>0</v>
      </c>
      <c r="U63" t="n">
        <v>0</v>
      </c>
      <c r="V63" t="n">
        <v>0</v>
      </c>
      <c r="W63" t="n">
        <v>770</v>
      </c>
      <c r="X63" t="n">
        <v>10</v>
      </c>
      <c r="Y63" t="n">
        <v>0</v>
      </c>
      <c r="Z63" t="n">
        <v>100</v>
      </c>
      <c r="AA63" t="n">
        <v>3</v>
      </c>
      <c r="AB63" t="n">
        <v>0</v>
      </c>
      <c r="AC63" t="inlineStr">
        <is>
          <t>Ground</t>
        </is>
      </c>
      <c r="AD63" t="inlineStr"/>
      <c r="AE63" t="n">
        <v>0</v>
      </c>
      <c r="AF63" t="inlineStr">
        <is>
          <t>Ultimate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0</v>
      </c>
      <c r="AN63" t="n">
        <v>900</v>
      </c>
      <c r="AO63" t="n">
        <v>0</v>
      </c>
      <c r="AP63" t="inlineStr">
        <is>
          <t>T4</t>
        </is>
      </c>
      <c r="AQ63" t="inlineStr"/>
      <c r="AR63" t="inlineStr"/>
      <c r="AS63" t="inlineStr">
        <is>
          <t>xe</t>
        </is>
      </c>
      <c r="AT63" t="inlineStr">
        <is>
          <t>vbied</t>
        </is>
      </c>
      <c r="AU63" t="n">
        <v>1</v>
      </c>
      <c r="AV63" t="inlineStr">
        <is>
          <t>vbied:0</t>
        </is>
      </c>
      <c r="AW63" t="n">
        <v>2.722222222222222</v>
      </c>
      <c r="AX63" t="b">
        <v>1</v>
      </c>
      <c r="AY63" t="inlineStr"/>
      <c r="AZ63">
        <f>IF(AND($AX$63,$AW$63&gt;$AA$63/$Z$63),$AW$63,$AA$63/$Z$63)</f>
        <v/>
      </c>
      <c r="BA63" t="n">
        <v>2.722222222222222</v>
      </c>
      <c r="BB63" t="n">
        <v>600</v>
      </c>
      <c r="BC63" t="inlineStr"/>
      <c r="BD63" t="inlineStr">
        <is>
          <t>bomb</t>
        </is>
      </c>
      <c r="BE63" t="inlineStr">
        <is>
          <t>a stick's release, 0.1 s and up (est.)</t>
        </is>
      </c>
      <c r="BG63" t="inlineStr">
        <is>
          <t>giong</t>
        </is>
      </c>
      <c r="DD63" t="n">
        <v>1</v>
      </c>
      <c r="DE63" t="n">
        <v>770</v>
      </c>
      <c r="DF63" t="inlineStr">
        <is>
          <t>HighExplosive</t>
        </is>
      </c>
      <c r="DJ63" t="inlineStr">
        <is>
          <t>bomb</t>
        </is>
      </c>
      <c r="DN63" t="inlineStr">
        <is>
          <t>CarBomb</t>
        </is>
      </c>
      <c r="DS63" t="inlineStr">
        <is>
          <t>Ultimate</t>
        </is>
      </c>
      <c r="EB63" t="n">
        <v>4</v>
      </c>
      <c r="EK63" t="n">
        <v>100</v>
      </c>
      <c r="EP63" t="n">
        <v>3</v>
      </c>
      <c r="EQ63" t="inlineStr">
        <is>
          <t>car bomb (900 kg)</t>
        </is>
      </c>
      <c r="EX63" t="n">
        <v>900</v>
      </c>
      <c r="EY63" t="n">
        <v>10</v>
      </c>
      <c r="FZ63" t="n">
        <v>900</v>
      </c>
      <c r="GB63" t="inlineStr">
        <is>
          <t>bomb_car_bomb</t>
        </is>
      </c>
      <c r="GD63" t="inlineStr">
        <is>
          <t>Assets/MachineBrigade/Resources/Data/balance.json: weapons[72]</t>
        </is>
      </c>
      <c r="GE63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64">
      <c r="A64" t="inlineStr">
        <is>
          <t>dozer_blade</t>
        </is>
      </c>
      <c r="B64" t="inlineStr">
        <is>
          <t>dozer blade</t>
        </is>
      </c>
      <c r="C64" t="inlineStr">
        <is>
          <t>melee_dozer_blade</t>
        </is>
      </c>
      <c r="D64" t="inlineStr"/>
      <c r="E64" t="inlineStr"/>
      <c r="F64" t="inlineStr">
        <is>
          <t>melee</t>
        </is>
      </c>
      <c r="G64" t="inlineStr"/>
      <c r="H64" t="inlineStr"/>
      <c r="I64" t="inlineStr"/>
      <c r="J64" t="inlineStr"/>
      <c r="K64" t="inlineStr">
        <is>
          <t>Kinetic</t>
        </is>
      </c>
      <c r="L64" t="n">
        <v>3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1.6</v>
      </c>
      <c r="S64" t="n">
        <v>0</v>
      </c>
      <c r="T64" t="n">
        <v>0</v>
      </c>
      <c r="U64" t="n">
        <v>0</v>
      </c>
      <c r="V64" t="n">
        <v>0</v>
      </c>
      <c r="W64" t="n">
        <v>110</v>
      </c>
      <c r="X64" t="n">
        <v>0</v>
      </c>
      <c r="Y64" t="n">
        <v>0</v>
      </c>
      <c r="Z64" t="n">
        <v>400</v>
      </c>
      <c r="AA64" t="n">
        <v>4</v>
      </c>
      <c r="AB64" t="n">
        <v>0</v>
      </c>
      <c r="AC64" t="inlineStr">
        <is>
          <t>Ground</t>
        </is>
      </c>
      <c r="AD64" t="inlineStr"/>
      <c r="AE64" t="n">
        <v>0</v>
      </c>
      <c r="AF64" t="inlineStr">
        <is>
          <t>Medium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1</v>
      </c>
      <c r="AO64" t="n">
        <v>0</v>
      </c>
      <c r="AP64" t="inlineStr">
        <is>
          <t>T0</t>
        </is>
      </c>
      <c r="AQ64" t="inlineStr"/>
      <c r="AR64" t="inlineStr"/>
      <c r="AS64" t="inlineStr">
        <is>
          <t>xe</t>
        </is>
      </c>
      <c r="AT64" t="inlineStr">
        <is>
          <t>armored_bulldozer</t>
        </is>
      </c>
      <c r="AU64" t="n">
        <v>1</v>
      </c>
      <c r="AV64" t="inlineStr">
        <is>
          <t>armored_bulldozer:0</t>
        </is>
      </c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0.01</v>
      </c>
      <c r="BB64" t="inlineStr">
        <is>
          <t>NEED_SOURCE</t>
        </is>
      </c>
      <c r="BC64" t="inlineStr">
        <is>
          <t>NEED_SOURCE</t>
        </is>
      </c>
      <c r="BE64" t="inlineStr">
        <is>
          <t>NEED_SOURCE</t>
        </is>
      </c>
      <c r="BG64" t="inlineStr">
        <is>
          <t>giong</t>
        </is>
      </c>
      <c r="DD64" t="n">
        <v>1.6</v>
      </c>
      <c r="DE64" t="n">
        <v>110</v>
      </c>
      <c r="DF64" t="inlineStr">
        <is>
          <t>Kinetic</t>
        </is>
      </c>
      <c r="DJ64" t="inlineStr">
        <is>
          <t>melee</t>
        </is>
      </c>
      <c r="DS64" t="inlineStr">
        <is>
          <t>Medium</t>
        </is>
      </c>
      <c r="DY64" t="b">
        <v>1</v>
      </c>
      <c r="EB64" t="n">
        <v>3</v>
      </c>
      <c r="EE64" t="b">
        <v>1</v>
      </c>
      <c r="EH64" t="inlineStr">
        <is>
          <t>Bullet</t>
        </is>
      </c>
      <c r="EK64" t="n">
        <v>400</v>
      </c>
      <c r="EP64" t="n">
        <v>4</v>
      </c>
      <c r="EQ64" t="inlineStr">
        <is>
          <t>dozer blade</t>
        </is>
      </c>
      <c r="EX64" t="n">
        <v>1</v>
      </c>
      <c r="FW64" t="inlineStr">
        <is>
          <t>Ground</t>
        </is>
      </c>
      <c r="GB64" t="inlineStr">
        <is>
          <t>melee_dozer_blade</t>
        </is>
      </c>
      <c r="GD64" t="inlineStr">
        <is>
          <t>Assets/MachineBrigade/Resources/Data/balance.json: weapons[104]</t>
        </is>
      </c>
      <c r="GE64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65">
      <c r="A65" t="inlineStr">
        <is>
          <t>drone_gun</t>
        </is>
      </c>
      <c r="B65" t="inlineStr">
        <is>
          <t>M3P 12.7 mm</t>
        </is>
      </c>
      <c r="C65" t="inlineStr">
        <is>
          <t>cal_12_7</t>
        </is>
      </c>
      <c r="D65" t="inlineStr"/>
      <c r="E65" t="inlineStr"/>
      <c r="F65" t="inlineStr">
        <is>
          <t>mg</t>
        </is>
      </c>
      <c r="G65" t="n">
        <v>12.7</v>
      </c>
      <c r="H65" t="inlineStr"/>
      <c r="I65" t="inlineStr"/>
      <c r="J65" t="inlineStr"/>
      <c r="K65" t="inlineStr">
        <is>
          <t>Kinetic</t>
        </is>
      </c>
      <c r="L65" t="n">
        <v>1</v>
      </c>
      <c r="M65" t="inlineStr">
        <is>
          <t>Bullet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0.158</v>
      </c>
      <c r="S65" t="n">
        <v>0</v>
      </c>
      <c r="T65" t="n">
        <v>0</v>
      </c>
      <c r="U65" t="n">
        <v>0</v>
      </c>
      <c r="V65" t="n">
        <v>0</v>
      </c>
      <c r="W65" t="n">
        <v>9.5</v>
      </c>
      <c r="X65" t="n">
        <v>0</v>
      </c>
      <c r="Y65" t="n">
        <v>0</v>
      </c>
      <c r="Z65" t="n">
        <v>220</v>
      </c>
      <c r="AA65" t="n">
        <v>26</v>
      </c>
      <c r="AB65" t="n">
        <v>0</v>
      </c>
      <c r="AC65" t="inlineStr">
        <is>
          <t>Ground</t>
        </is>
      </c>
      <c r="AD65" t="inlineStr"/>
      <c r="AE65" t="n">
        <v>1.4</v>
      </c>
      <c r="AF65" t="inlineStr">
        <is>
          <t>Small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12.7</v>
      </c>
      <c r="AO65" t="n">
        <v>0</v>
      </c>
      <c r="AP65" t="inlineStr">
        <is>
          <t>T0</t>
        </is>
      </c>
      <c r="AQ65" t="inlineStr"/>
      <c r="AR65" t="inlineStr"/>
      <c r="AS65" t="inlineStr"/>
      <c r="AT65" t="inlineStr"/>
      <c r="AU65" t="n">
        <v>0</v>
      </c>
      <c r="AV65" t="inlineStr"/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0.1181818181818182</v>
      </c>
      <c r="BB65" t="n">
        <v>1200</v>
      </c>
      <c r="BC65" t="n">
        <v>200</v>
      </c>
      <c r="BD65" t="inlineStr">
        <is>
          <t>mg</t>
        </is>
      </c>
      <c r="BE65" t="inlineStr">
        <is>
          <t>Wikipedia 'M3 Browning' (AN/M3): 1,100-1,250 rpm</t>
        </is>
      </c>
      <c r="BG65" t="inlineStr">
        <is>
          <t>giong</t>
        </is>
      </c>
      <c r="CT65" t="n">
        <v>12.7</v>
      </c>
      <c r="DD65" t="n">
        <v>0.158</v>
      </c>
      <c r="DE65" t="n">
        <v>9.5</v>
      </c>
      <c r="DF65" t="inlineStr">
        <is>
          <t>Kinetic</t>
        </is>
      </c>
      <c r="DJ65" t="inlineStr">
        <is>
          <t>mg</t>
        </is>
      </c>
      <c r="DS65" t="inlineStr">
        <is>
          <t>Small</t>
        </is>
      </c>
      <c r="EB65" t="n">
        <v>1</v>
      </c>
      <c r="EH65" t="inlineStr">
        <is>
          <t>Bullet</t>
        </is>
      </c>
      <c r="EK65" t="n">
        <v>220</v>
      </c>
      <c r="EP65" t="n">
        <v>26</v>
      </c>
      <c r="EQ65" t="inlineStr">
        <is>
          <t>M3P 12.7 mm</t>
        </is>
      </c>
      <c r="EV65" t="n">
        <v>12</v>
      </c>
      <c r="EX65" t="n">
        <v>12.7</v>
      </c>
      <c r="EZ65" t="n">
        <v>1.4</v>
      </c>
      <c r="GB65" t="inlineStr">
        <is>
          <t>cal_12_7</t>
        </is>
      </c>
      <c r="GD65" t="inlineStr">
        <is>
          <t>Assets/MachineBrigade/Resources/Data/balance.json: weapons[238]</t>
        </is>
      </c>
      <c r="GE65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66">
      <c r="A66" t="inlineStr">
        <is>
          <t>drone_missile</t>
        </is>
      </c>
      <c r="B66" t="inlineStr">
        <is>
          <t>AGM-114 Hellfire</t>
        </is>
      </c>
      <c r="C66" t="inlineStr">
        <is>
          <t>atgm_agm_114_hellfire</t>
        </is>
      </c>
      <c r="D66" t="inlineStr"/>
      <c r="E66" t="inlineStr">
        <is>
          <t>agm_114_hellfire</t>
        </is>
      </c>
      <c r="F66" t="inlineStr">
        <is>
          <t>atgm</t>
        </is>
      </c>
      <c r="G66" t="inlineStr"/>
      <c r="H66" t="n">
        <v>9</v>
      </c>
      <c r="I66" t="inlineStr"/>
      <c r="J66" t="inlineStr"/>
      <c r="K66" t="inlineStr">
        <is>
          <t>ShapedCharge</t>
        </is>
      </c>
      <c r="L66" t="n">
        <v>4</v>
      </c>
      <c r="M66" t="inlineStr">
        <is>
          <t>Missile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3.58</v>
      </c>
      <c r="S66" t="n">
        <v>0</v>
      </c>
      <c r="T66" t="n">
        <v>0</v>
      </c>
      <c r="U66" t="n">
        <v>0</v>
      </c>
      <c r="V66" t="n">
        <v>0</v>
      </c>
      <c r="W66" t="n">
        <v>260</v>
      </c>
      <c r="X66" t="n">
        <v>0</v>
      </c>
      <c r="Y66" t="n">
        <v>0</v>
      </c>
      <c r="Z66" t="n">
        <v>80</v>
      </c>
      <c r="AA66" t="n">
        <v>48</v>
      </c>
      <c r="AB66" t="n">
        <v>0</v>
      </c>
      <c r="AC66" t="inlineStr">
        <is>
          <t>Ground</t>
        </is>
      </c>
      <c r="AD66" t="inlineStr"/>
      <c r="AE66" t="n">
        <v>0</v>
      </c>
      <c r="AF66" t="inlineStr">
        <is>
          <t>Medium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49</v>
      </c>
      <c r="AO66" t="n">
        <v>3</v>
      </c>
      <c r="AP66" t="inlineStr">
        <is>
          <t>T2</t>
        </is>
      </c>
      <c r="AQ66" t="inlineStr"/>
      <c r="AR66" t="inlineStr"/>
      <c r="AS66" t="inlineStr">
        <is>
          <t>xe</t>
        </is>
      </c>
      <c r="AT66" t="inlineStr">
        <is>
          <t>strike_drone</t>
        </is>
      </c>
      <c r="AU66" t="n">
        <v>1</v>
      </c>
      <c r="AV66" t="inlineStr">
        <is>
          <t>strike_drone:0</t>
        </is>
      </c>
      <c r="AW66" t="n">
        <v>0</v>
      </c>
      <c r="AX66" t="b">
        <v>0</v>
      </c>
      <c r="AY66" t="inlineStr"/>
      <c r="AZ66">
        <f>IF(AND($AX$66,$AW$66&gt;$AA$66/$Z$66),$AW$66,$AA$66/$Z$66)</f>
        <v/>
      </c>
      <c r="BA66" t="n">
        <v>0.6</v>
      </c>
      <c r="BB66" t="n">
        <v>60</v>
      </c>
      <c r="BC66" t="n">
        <v>10</v>
      </c>
      <c r="BD66" t="inlineStr">
        <is>
          <t>atgm</t>
        </is>
      </c>
      <c r="BE66" t="inlineStr">
        <is>
          <t>air-launched: ripples ~1 s apart, est. 6 s an aimed shot</t>
        </is>
      </c>
      <c r="BG66" t="inlineStr">
        <is>
          <t>doi</t>
        </is>
      </c>
      <c r="BR66" t="n">
        <v>26</v>
      </c>
      <c r="BS66" t="n">
        <v>80</v>
      </c>
      <c r="DD66" t="n">
        <v>3.58</v>
      </c>
      <c r="DE66" t="n">
        <v>260</v>
      </c>
      <c r="DF66" t="inlineStr">
        <is>
          <t>ShapedCharge</t>
        </is>
      </c>
      <c r="DJ66" t="inlineStr">
        <is>
          <t>atgm</t>
        </is>
      </c>
      <c r="DS66" t="inlineStr">
        <is>
          <t>Medium</t>
        </is>
      </c>
      <c r="DW66" t="n">
        <v>3</v>
      </c>
      <c r="EB66" t="n">
        <v>4</v>
      </c>
      <c r="EE66" t="b">
        <v>1</v>
      </c>
      <c r="EH66" t="inlineStr">
        <is>
          <t>Missile</t>
        </is>
      </c>
      <c r="EJ66" t="n">
        <v>0.65</v>
      </c>
      <c r="EP66" t="n">
        <v>48</v>
      </c>
      <c r="EQ66" t="inlineStr">
        <is>
          <t>AGM-114 Hellfire</t>
        </is>
      </c>
      <c r="EX66" t="n">
        <v>49</v>
      </c>
      <c r="FZ66" t="n">
        <v>9</v>
      </c>
      <c r="GA66" t="inlineStr">
        <is>
          <t>agm_114_hellfire</t>
        </is>
      </c>
      <c r="GB66" t="inlineStr">
        <is>
          <t>atgm_agm_114_hellfire</t>
        </is>
      </c>
      <c r="GD66" t="inlineStr">
        <is>
          <t>Assets/MachineBrigade/Resources/Data/balance.json: weapons[41]</t>
        </is>
      </c>
      <c r="GE66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67">
      <c r="A67" t="inlineStr">
        <is>
          <t>fighter_cannon</t>
        </is>
      </c>
      <c r="B67" t="inlineStr">
        <is>
          <t>GAU-22/A 25 mm</t>
        </is>
      </c>
      <c r="C67" t="inlineStr">
        <is>
          <t>cal_25</t>
        </is>
      </c>
      <c r="D67" t="inlineStr">
        <is>
          <t>flak</t>
        </is>
      </c>
      <c r="E67" t="inlineStr"/>
      <c r="F67" t="inlineStr">
        <is>
          <t>autocannon</t>
        </is>
      </c>
      <c r="G67" t="n">
        <v>25</v>
      </c>
      <c r="H67" t="inlineStr"/>
      <c r="I67" t="inlineStr"/>
      <c r="J67" t="inlineStr"/>
      <c r="K67" t="inlineStr">
        <is>
          <t>Fragmentation</t>
        </is>
      </c>
      <c r="L67" t="n">
        <v>2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0.1151</v>
      </c>
      <c r="S67" t="n">
        <v>44</v>
      </c>
      <c r="T67" t="n">
        <v>1</v>
      </c>
      <c r="U67" t="n">
        <v>0</v>
      </c>
      <c r="V67" t="n">
        <v>0</v>
      </c>
      <c r="W67" t="n">
        <v>18</v>
      </c>
      <c r="X67" t="n">
        <v>0</v>
      </c>
      <c r="Y67" t="n">
        <v>0</v>
      </c>
      <c r="Z67" t="n">
        <v>320</v>
      </c>
      <c r="AA67" t="n">
        <v>30</v>
      </c>
      <c r="AB67" t="n">
        <v>0</v>
      </c>
      <c r="AC67" t="inlineStr">
        <is>
          <t>All</t>
        </is>
      </c>
      <c r="AD67" t="inlineStr"/>
      <c r="AE67" t="n">
        <v>1.5</v>
      </c>
      <c r="AF67" t="inlineStr">
        <is>
          <t>Small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25</v>
      </c>
      <c r="AO67" t="n">
        <v>0</v>
      </c>
      <c r="AP67" t="inlineStr">
        <is>
          <t>T1</t>
        </is>
      </c>
      <c r="AQ67" t="inlineStr"/>
      <c r="AR67" t="inlineStr">
        <is>
          <t>fighter_cannon_ap</t>
        </is>
      </c>
      <c r="AS67" t="inlineStr">
        <is>
          <t>xe</t>
        </is>
      </c>
      <c r="AT67" t="inlineStr">
        <is>
          <t>fighter_jet;stealth_fighter</t>
        </is>
      </c>
      <c r="AU67" t="n">
        <v>2</v>
      </c>
      <c r="AV67" t="inlineStr">
        <is>
          <t>fighter_jet:2;stealth_fighter:2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0.09375</v>
      </c>
      <c r="BB67" t="n">
        <v>3300</v>
      </c>
      <c r="BC67" t="inlineStr"/>
      <c r="BD67" t="inlineStr">
        <is>
          <t>ac</t>
        </is>
      </c>
      <c r="BE67" t="inlineStr">
        <is>
          <t>Wikipedia 'GAU-22/A': 3,300 rpm</t>
        </is>
      </c>
      <c r="BG67" t="inlineStr">
        <is>
          <t>giong</t>
        </is>
      </c>
      <c r="CT67" t="n">
        <v>25</v>
      </c>
      <c r="CW67" t="n">
        <v>44</v>
      </c>
      <c r="CX67" t="n">
        <v>1</v>
      </c>
      <c r="DD67" t="n">
        <v>0.1151</v>
      </c>
      <c r="DE67" t="n">
        <v>18</v>
      </c>
      <c r="DF67" t="inlineStr">
        <is>
          <t>Fragmentation</t>
        </is>
      </c>
      <c r="DJ67" t="inlineStr">
        <is>
          <t>autocannon</t>
        </is>
      </c>
      <c r="DN67" t="inlineStr">
        <is>
          <t>BeltedAutocannon</t>
        </is>
      </c>
      <c r="DS67" t="inlineStr">
        <is>
          <t>Small</t>
        </is>
      </c>
      <c r="EB67" t="n">
        <v>2</v>
      </c>
      <c r="EH67" t="inlineStr">
        <is>
          <t>Bullet</t>
        </is>
      </c>
      <c r="EK67" t="n">
        <v>320</v>
      </c>
      <c r="EP67" t="n">
        <v>30</v>
      </c>
      <c r="EQ67" t="inlineStr">
        <is>
          <t>GAU-22/A 25 mm</t>
        </is>
      </c>
      <c r="EV67" t="n">
        <v>30</v>
      </c>
      <c r="EX67" t="n">
        <v>25</v>
      </c>
      <c r="EZ67" t="n">
        <v>1.5</v>
      </c>
      <c r="FW67" t="inlineStr">
        <is>
          <t>All</t>
        </is>
      </c>
      <c r="GB67" t="inlineStr">
        <is>
          <t>cal_25</t>
        </is>
      </c>
      <c r="GC67" t="inlineStr">
        <is>
          <t>flak</t>
        </is>
      </c>
      <c r="GD67" t="inlineStr">
        <is>
          <t>Assets/MachineBrigade/Resources/Data/balance.json: weapons[80]</t>
        </is>
      </c>
      <c r="GE67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68">
      <c r="A68" t="inlineStr">
        <is>
          <t>fighter_cannon_ap</t>
        </is>
      </c>
      <c r="B68" t="inlineStr">
        <is>
          <t>GAU-22/A 25 mm AP</t>
        </is>
      </c>
      <c r="C68" t="inlineStr">
        <is>
          <t>cal_25</t>
        </is>
      </c>
      <c r="D68" t="inlineStr"/>
      <c r="E68" t="inlineStr"/>
      <c r="F68" t="inlineStr">
        <is>
          <t>autocannon</t>
        </is>
      </c>
      <c r="G68" t="n">
        <v>25</v>
      </c>
      <c r="H68" t="inlineStr"/>
      <c r="I68" t="inlineStr"/>
      <c r="J68" t="inlineStr"/>
      <c r="K68" t="inlineStr">
        <is>
          <t>Kinetic</t>
        </is>
      </c>
      <c r="L68" t="n">
        <v>2</v>
      </c>
      <c r="M68" t="inlineStr">
        <is>
          <t>Bullet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0.1151</v>
      </c>
      <c r="S68" t="n">
        <v>44</v>
      </c>
      <c r="T68" t="n">
        <v>1</v>
      </c>
      <c r="U68" t="n">
        <v>0</v>
      </c>
      <c r="V68" t="n">
        <v>0</v>
      </c>
      <c r="W68" t="n">
        <v>18</v>
      </c>
      <c r="X68" t="n">
        <v>0</v>
      </c>
      <c r="Y68" t="n">
        <v>0</v>
      </c>
      <c r="Z68" t="n">
        <v>320</v>
      </c>
      <c r="AA68" t="n">
        <v>30</v>
      </c>
      <c r="AB68" t="n">
        <v>0</v>
      </c>
      <c r="AC68" t="inlineStr">
        <is>
          <t>Ground</t>
        </is>
      </c>
      <c r="AD68" t="inlineStr"/>
      <c r="AE68" t="n">
        <v>1.5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25</v>
      </c>
      <c r="AO68" t="n">
        <v>0</v>
      </c>
      <c r="AP68" t="inlineStr">
        <is>
          <t>T1</t>
        </is>
      </c>
      <c r="AQ68" t="inlineStr">
        <is>
          <t>fighter_cannon</t>
        </is>
      </c>
      <c r="AR68" t="inlineStr"/>
      <c r="AS68" t="inlineStr"/>
      <c r="AT68" t="inlineStr"/>
      <c r="AU68" t="n">
        <v>0</v>
      </c>
      <c r="AV68" t="inlineStr"/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0.09375</v>
      </c>
      <c r="BB68" t="n">
        <v>3300</v>
      </c>
      <c r="BC68" t="inlineStr"/>
      <c r="BD68" t="inlineStr">
        <is>
          <t>ac</t>
        </is>
      </c>
      <c r="BE68" t="inlineStr">
        <is>
          <t>Wikipedia 'GAU-22/A': 3,300 rpm</t>
        </is>
      </c>
      <c r="BG68" t="inlineStr">
        <is>
          <t>giong</t>
        </is>
      </c>
      <c r="DE68" t="n">
        <v>18</v>
      </c>
      <c r="DF68" t="inlineStr">
        <is>
          <t>Kinetic</t>
        </is>
      </c>
      <c r="DM68" t="inlineStr">
        <is>
          <t>ground</t>
        </is>
      </c>
      <c r="DN68" t="inlineStr">
        <is>
          <t>BeltedAutocannon</t>
        </is>
      </c>
      <c r="DT68" t="inlineStr">
        <is>
          <t>fighter_cannon</t>
        </is>
      </c>
      <c r="EB68" t="n">
        <v>2</v>
      </c>
      <c r="EE68" t="b">
        <v>1</v>
      </c>
      <c r="EQ68" t="inlineStr">
        <is>
          <t>GAU-22/A 25 mm AP</t>
        </is>
      </c>
      <c r="ES68" t="inlineStr">
        <is>
          <t>ap</t>
        </is>
      </c>
      <c r="EU68" t="inlineStr">
        <is>
          <t>fighter_cannon</t>
        </is>
      </c>
      <c r="EY68" t="n">
        <v>0</v>
      </c>
      <c r="FW68" t="inlineStr">
        <is>
          <t>Ground</t>
        </is>
      </c>
      <c r="GA68" t="inlineStr"/>
      <c r="GC68" t="inlineStr"/>
      <c r="GD68" t="inlineStr">
        <is>
          <t>Assets/MachineBrigade/Resources/Data/balance.json: secondRounds.rounds[17]</t>
        </is>
      </c>
      <c r="GE68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69">
      <c r="A69" t="inlineStr">
        <is>
          <t>flak_35</t>
        </is>
      </c>
      <c r="B69" t="inlineStr">
        <is>
          <t>Oerlikon KDA 35 mm (Gepard)</t>
        </is>
      </c>
      <c r="C69" t="inlineStr">
        <is>
          <t>cal_35</t>
        </is>
      </c>
      <c r="D69" t="inlineStr"/>
      <c r="E69" t="inlineStr">
        <is>
          <t>oerlikon_35_mm</t>
        </is>
      </c>
      <c r="F69" t="inlineStr">
        <is>
          <t>autocannon</t>
        </is>
      </c>
      <c r="G69" t="n">
        <v>35</v>
      </c>
      <c r="H69" t="inlineStr"/>
      <c r="I69" t="inlineStr"/>
      <c r="J69" t="inlineStr"/>
      <c r="K69" t="inlineStr">
        <is>
          <t>Fragmentation</t>
        </is>
      </c>
      <c r="L69" t="n">
        <v>2</v>
      </c>
      <c r="M69" t="inlineStr">
        <is>
          <t>Bullet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0.25</v>
      </c>
      <c r="S69" t="n">
        <v>22</v>
      </c>
      <c r="T69" t="n">
        <v>1.25</v>
      </c>
      <c r="U69" t="n">
        <v>0</v>
      </c>
      <c r="V69" t="n">
        <v>0</v>
      </c>
      <c r="W69" t="n">
        <v>26</v>
      </c>
      <c r="X69" t="n">
        <v>2.5</v>
      </c>
      <c r="Y69" t="n">
        <v>0</v>
      </c>
      <c r="Z69" t="n">
        <v>260</v>
      </c>
      <c r="AA69" t="n">
        <v>36</v>
      </c>
      <c r="AB69" t="n">
        <v>0</v>
      </c>
      <c r="AC69" t="inlineStr">
        <is>
          <t>All</t>
        </is>
      </c>
      <c r="AD69" t="inlineStr"/>
      <c r="AE69" t="n">
        <v>1.5</v>
      </c>
      <c r="AF69" t="inlineStr">
        <is>
          <t>Small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35</v>
      </c>
      <c r="AO69" t="n">
        <v>0</v>
      </c>
      <c r="AP69" t="inlineStr">
        <is>
          <t>T1</t>
        </is>
      </c>
      <c r="AQ69" t="inlineStr"/>
      <c r="AR69" t="inlineStr">
        <is>
          <t>flak_35_ap</t>
        </is>
      </c>
      <c r="AS69" t="inlineStr">
        <is>
          <t>xe</t>
        </is>
      </c>
      <c r="AT69" t="inlineStr">
        <is>
          <t>aa_vehicle</t>
        </is>
      </c>
      <c r="AU69" t="n">
        <v>1</v>
      </c>
      <c r="AV69" t="inlineStr">
        <is>
          <t>aa_vehicle:0</t>
        </is>
      </c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0.1384615384615385</v>
      </c>
      <c r="BB69" t="n">
        <v>550</v>
      </c>
      <c r="BC69" t="n">
        <v>300</v>
      </c>
      <c r="BD69" t="inlineStr">
        <is>
          <t>aa</t>
        </is>
      </c>
      <c r="BE69" t="inlineStr">
        <is>
          <t>Wikipedia 'Oerlikon GDF' / 'Gepard': 2 x 550 rpm</t>
        </is>
      </c>
      <c r="BG69" t="inlineStr">
        <is>
          <t>giong</t>
        </is>
      </c>
      <c r="CT69" t="n">
        <v>35</v>
      </c>
      <c r="CW69" t="n">
        <v>22</v>
      </c>
      <c r="CX69" t="n">
        <v>1.25</v>
      </c>
      <c r="DD69" t="n">
        <v>0.25</v>
      </c>
      <c r="DE69" t="n">
        <v>26</v>
      </c>
      <c r="DF69" t="inlineStr">
        <is>
          <t>Fragmentation</t>
        </is>
      </c>
      <c r="DJ69" t="inlineStr">
        <is>
          <t>autocannon</t>
        </is>
      </c>
      <c r="DS69" t="inlineStr">
        <is>
          <t>Small</t>
        </is>
      </c>
      <c r="EB69" t="n">
        <v>2</v>
      </c>
      <c r="EH69" t="inlineStr">
        <is>
          <t>Bullet</t>
        </is>
      </c>
      <c r="EP69" t="n">
        <v>36</v>
      </c>
      <c r="EQ69" t="inlineStr">
        <is>
          <t>Oerlikon KDA 35 mm (Gepard)</t>
        </is>
      </c>
      <c r="EX69" t="n">
        <v>35</v>
      </c>
      <c r="EZ69" t="n">
        <v>1.5</v>
      </c>
      <c r="FW69" t="inlineStr">
        <is>
          <t>All</t>
        </is>
      </c>
      <c r="GA69" t="inlineStr">
        <is>
          <t>oerlikon_35_mm</t>
        </is>
      </c>
      <c r="GB69" t="inlineStr">
        <is>
          <t>cal_35</t>
        </is>
      </c>
      <c r="GD69" t="inlineStr">
        <is>
          <t>Assets/MachineBrigade/Resources/Data/balance.json: weapons[19]</t>
        </is>
      </c>
      <c r="GE69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70">
      <c r="A70" t="inlineStr">
        <is>
          <t>flak_35_ap</t>
        </is>
      </c>
      <c r="B70" t="inlineStr">
        <is>
          <t>Oerlikon 35 mm AP (Gepard)</t>
        </is>
      </c>
      <c r="C70" t="inlineStr">
        <is>
          <t>cal_35</t>
        </is>
      </c>
      <c r="D70" t="inlineStr">
        <is>
          <t>ap</t>
        </is>
      </c>
      <c r="E70" t="inlineStr">
        <is>
          <t>oerlikon_35_mm_ap</t>
        </is>
      </c>
      <c r="F70" t="inlineStr">
        <is>
          <t>autocannon</t>
        </is>
      </c>
      <c r="G70" t="n">
        <v>35</v>
      </c>
      <c r="H70" t="inlineStr"/>
      <c r="I70" t="inlineStr"/>
      <c r="J70" t="inlineStr"/>
      <c r="K70" t="inlineStr">
        <is>
          <t>Kinetic</t>
        </is>
      </c>
      <c r="L70" t="n">
        <v>2</v>
      </c>
      <c r="M70" t="inlineStr">
        <is>
          <t>Bullet</t>
        </is>
      </c>
      <c r="N70" t="n">
        <v>1</v>
      </c>
      <c r="O70" t="inlineStr">
        <is>
          <t>RIPPLE</t>
        </is>
      </c>
      <c r="P70" t="n">
        <v>1</v>
      </c>
      <c r="Q70" t="n">
        <v>0.1</v>
      </c>
      <c r="R70" t="n">
        <v>0.25</v>
      </c>
      <c r="S70" t="n">
        <v>22</v>
      </c>
      <c r="T70" t="n">
        <v>1.25</v>
      </c>
      <c r="U70" t="n">
        <v>0</v>
      </c>
      <c r="V70" t="n">
        <v>0</v>
      </c>
      <c r="W70" t="n">
        <v>26</v>
      </c>
      <c r="X70" t="n">
        <v>0</v>
      </c>
      <c r="Y70" t="n">
        <v>0</v>
      </c>
      <c r="Z70" t="n">
        <v>260</v>
      </c>
      <c r="AA70" t="n">
        <v>36</v>
      </c>
      <c r="AB70" t="n">
        <v>0</v>
      </c>
      <c r="AC70" t="inlineStr">
        <is>
          <t>Ground</t>
        </is>
      </c>
      <c r="AD70" t="inlineStr"/>
      <c r="AE70" t="n">
        <v>1.5</v>
      </c>
      <c r="AF70" t="inlineStr">
        <is>
          <t>Small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35</v>
      </c>
      <c r="AO70" t="n">
        <v>0</v>
      </c>
      <c r="AP70" t="inlineStr">
        <is>
          <t>T1</t>
        </is>
      </c>
      <c r="AQ70" t="inlineStr">
        <is>
          <t>flak_35</t>
        </is>
      </c>
      <c r="AR70" t="inlineStr"/>
      <c r="AS70" t="inlineStr"/>
      <c r="AT70" t="inlineStr"/>
      <c r="AU70" t="n">
        <v>0</v>
      </c>
      <c r="AV70" t="inlineStr"/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0.1384615384615385</v>
      </c>
      <c r="BB70" t="n">
        <v>550</v>
      </c>
      <c r="BC70" t="n">
        <v>300</v>
      </c>
      <c r="BD70" t="inlineStr">
        <is>
          <t>aa</t>
        </is>
      </c>
      <c r="BE70" t="inlineStr">
        <is>
          <t>Wikipedia 'Oerlikon GDF': 550 rpm a gun (the twin: 1,100)</t>
        </is>
      </c>
      <c r="BG70" t="inlineStr">
        <is>
          <t>giong</t>
        </is>
      </c>
      <c r="CQ70" t="inlineStr"/>
      <c r="DE70" t="n">
        <v>26</v>
      </c>
      <c r="DF70" t="inlineStr">
        <is>
          <t>Kinetic</t>
        </is>
      </c>
      <c r="DM70" t="inlineStr">
        <is>
          <t>ground</t>
        </is>
      </c>
      <c r="DN70" t="inlineStr">
        <is>
          <t>BeltedAutocannon</t>
        </is>
      </c>
      <c r="DT70" t="inlineStr">
        <is>
          <t>flak_35</t>
        </is>
      </c>
      <c r="EB70" t="n">
        <v>2</v>
      </c>
      <c r="EE70" t="b">
        <v>1</v>
      </c>
      <c r="EQ70" t="inlineStr">
        <is>
          <t>Oerlikon 35 mm AP (Gepard)</t>
        </is>
      </c>
      <c r="ES70" t="inlineStr">
        <is>
          <t>ap</t>
        </is>
      </c>
      <c r="EU70" t="inlineStr">
        <is>
          <t>flak_35</t>
        </is>
      </c>
      <c r="EY70" t="n">
        <v>0</v>
      </c>
      <c r="FW70" t="inlineStr">
        <is>
          <t>Ground</t>
        </is>
      </c>
      <c r="GA70" t="inlineStr">
        <is>
          <t>oerlikon_35_mm_ap</t>
        </is>
      </c>
      <c r="GC70" t="inlineStr">
        <is>
          <t>ap</t>
        </is>
      </c>
      <c r="GD70" t="inlineStr">
        <is>
          <t>Assets/MachineBrigade/Resources/Data/balance.json: secondRounds.rounds[18]</t>
        </is>
      </c>
      <c r="GE70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71">
      <c r="A71" t="inlineStr">
        <is>
          <t>flak_quad</t>
        </is>
      </c>
      <c r="B71" t="inlineStr">
        <is>
          <t>ZSU-23-4 23 mm (quad)</t>
        </is>
      </c>
      <c r="C71" t="inlineStr">
        <is>
          <t>cal_23</t>
        </is>
      </c>
      <c r="D71" t="inlineStr"/>
      <c r="E71" t="inlineStr"/>
      <c r="F71" t="inlineStr">
        <is>
          <t>autocannon</t>
        </is>
      </c>
      <c r="G71" t="n">
        <v>23</v>
      </c>
      <c r="H71" t="inlineStr"/>
      <c r="I71" t="inlineStr"/>
      <c r="J71" t="inlineStr"/>
      <c r="K71" t="inlineStr">
        <is>
          <t>Fragmentation</t>
        </is>
      </c>
      <c r="L71" t="n">
        <v>1</v>
      </c>
      <c r="M71" t="inlineStr">
        <is>
          <t>Bullet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0.0324</v>
      </c>
      <c r="S71" t="n">
        <v>54</v>
      </c>
      <c r="T71" t="n">
        <v>1.5</v>
      </c>
      <c r="U71" t="n">
        <v>0</v>
      </c>
      <c r="V71" t="n">
        <v>0</v>
      </c>
      <c r="W71" t="n">
        <v>14</v>
      </c>
      <c r="X71" t="n">
        <v>3.5</v>
      </c>
      <c r="Y71" t="n">
        <v>0</v>
      </c>
      <c r="Z71" t="n">
        <v>300</v>
      </c>
      <c r="AA71" t="n">
        <v>46</v>
      </c>
      <c r="AB71" t="n">
        <v>0</v>
      </c>
      <c r="AC71" t="inlineStr">
        <is>
          <t>All</t>
        </is>
      </c>
      <c r="AD71" t="inlineStr"/>
      <c r="AE71" t="n">
        <v>1.6</v>
      </c>
      <c r="AF71" t="inlineStr">
        <is>
          <t>Medium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0</v>
      </c>
      <c r="AN71" t="n">
        <v>23</v>
      </c>
      <c r="AO71" t="n">
        <v>0</v>
      </c>
      <c r="AP71" t="inlineStr">
        <is>
          <t>T1</t>
        </is>
      </c>
      <c r="AQ71" t="inlineStr"/>
      <c r="AR71" t="inlineStr">
        <is>
          <t>flak_quad_ap</t>
        </is>
      </c>
      <c r="AS71" t="inlineStr">
        <is>
          <t>thap</t>
        </is>
      </c>
      <c r="AT71" t="inlineStr">
        <is>
          <t>aa_turret.flak</t>
        </is>
      </c>
      <c r="AU71" t="n">
        <v>1</v>
      </c>
      <c r="AV71" t="inlineStr">
        <is>
          <t>aa_turret.flak:0</t>
        </is>
      </c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0.1533333333333333</v>
      </c>
      <c r="BB71" t="n">
        <v>1000</v>
      </c>
      <c r="BC71" t="n">
        <v>400</v>
      </c>
      <c r="BD71" t="inlineStr">
        <is>
          <t>aa</t>
        </is>
      </c>
      <c r="BE71" t="inlineStr">
        <is>
          <t>Wikipedia 'ZSU-23-4 Shilka': 4 x 850-1,000 rpm</t>
        </is>
      </c>
      <c r="BG71" t="inlineStr">
        <is>
          <t>giong</t>
        </is>
      </c>
      <c r="CT71" t="n">
        <v>23</v>
      </c>
      <c r="CW71" t="n">
        <v>54</v>
      </c>
      <c r="CX71" t="n">
        <v>1.5</v>
      </c>
      <c r="DD71" t="n">
        <v>0.0324</v>
      </c>
      <c r="DE71" t="n">
        <v>14</v>
      </c>
      <c r="DF71" t="inlineStr">
        <is>
          <t>Fragmentation</t>
        </is>
      </c>
      <c r="DJ71" t="inlineStr">
        <is>
          <t>autocannon</t>
        </is>
      </c>
      <c r="DS71" t="inlineStr">
        <is>
          <t>Medium</t>
        </is>
      </c>
      <c r="EB71" t="n">
        <v>1</v>
      </c>
      <c r="EH71" t="inlineStr">
        <is>
          <t>Bullet</t>
        </is>
      </c>
      <c r="EK71" t="n">
        <v>300</v>
      </c>
      <c r="EP71" t="n">
        <v>46</v>
      </c>
      <c r="EQ71" t="inlineStr">
        <is>
          <t>ZSU-23-4 23 mm (quad)</t>
        </is>
      </c>
      <c r="EV71" t="n">
        <v>22</v>
      </c>
      <c r="EX71" t="n">
        <v>23</v>
      </c>
      <c r="EY71" t="n">
        <v>3.5</v>
      </c>
      <c r="EZ71" t="n">
        <v>1.6</v>
      </c>
      <c r="FW71" t="inlineStr">
        <is>
          <t>All</t>
        </is>
      </c>
      <c r="GB71" t="inlineStr">
        <is>
          <t>cal_23</t>
        </is>
      </c>
      <c r="GD71" t="inlineStr">
        <is>
          <t>Assets/MachineBrigade/Resources/Data/balance.json: weapons[86]</t>
        </is>
      </c>
      <c r="GE71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72">
      <c r="A72" t="inlineStr">
        <is>
          <t>flak_quad_ap</t>
        </is>
      </c>
      <c r="B72" t="inlineStr">
        <is>
          <t>ZSU-23-4 23 mm AP (quad)</t>
        </is>
      </c>
      <c r="C72" t="inlineStr">
        <is>
          <t>cal_23</t>
        </is>
      </c>
      <c r="D72" t="inlineStr"/>
      <c r="E72" t="inlineStr"/>
      <c r="F72" t="inlineStr">
        <is>
          <t>autocannon</t>
        </is>
      </c>
      <c r="G72" t="n">
        <v>23</v>
      </c>
      <c r="H72" t="inlineStr"/>
      <c r="I72" t="inlineStr"/>
      <c r="J72" t="inlineStr"/>
      <c r="K72" t="inlineStr">
        <is>
          <t>Kinetic</t>
        </is>
      </c>
      <c r="L72" t="n">
        <v>2</v>
      </c>
      <c r="M72" t="inlineStr">
        <is>
          <t>Bullet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0.0324</v>
      </c>
      <c r="S72" t="n">
        <v>54</v>
      </c>
      <c r="T72" t="n">
        <v>1.5</v>
      </c>
      <c r="U72" t="n">
        <v>0</v>
      </c>
      <c r="V72" t="n">
        <v>0</v>
      </c>
      <c r="W72" t="n">
        <v>14</v>
      </c>
      <c r="X72" t="n">
        <v>0</v>
      </c>
      <c r="Y72" t="n">
        <v>0</v>
      </c>
      <c r="Z72" t="n">
        <v>300</v>
      </c>
      <c r="AA72" t="n">
        <v>46</v>
      </c>
      <c r="AB72" t="n">
        <v>0</v>
      </c>
      <c r="AC72" t="inlineStr">
        <is>
          <t>Ground</t>
        </is>
      </c>
      <c r="AD72" t="inlineStr"/>
      <c r="AE72" t="n">
        <v>1.6</v>
      </c>
      <c r="AF72" t="inlineStr">
        <is>
          <t>Medium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23</v>
      </c>
      <c r="AO72" t="n">
        <v>0</v>
      </c>
      <c r="AP72" t="inlineStr">
        <is>
          <t>T1</t>
        </is>
      </c>
      <c r="AQ72" t="inlineStr">
        <is>
          <t>flak_quad</t>
        </is>
      </c>
      <c r="AR72" t="inlineStr"/>
      <c r="AS72" t="inlineStr"/>
      <c r="AT72" t="inlineStr"/>
      <c r="AU72" t="n">
        <v>0</v>
      </c>
      <c r="AV72" t="inlineStr"/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0.1533333333333333</v>
      </c>
      <c r="BB72" t="n">
        <v>1000</v>
      </c>
      <c r="BC72" t="n">
        <v>400</v>
      </c>
      <c r="BD72" t="inlineStr">
        <is>
          <t>aa</t>
        </is>
      </c>
      <c r="BE72" t="inlineStr">
        <is>
          <t>Wikipedia 'ZSU-23-4 Shilka': 4 x 850-1,000 rpm</t>
        </is>
      </c>
      <c r="BG72" t="inlineStr">
        <is>
          <t>giong</t>
        </is>
      </c>
      <c r="DE72" t="n">
        <v>14</v>
      </c>
      <c r="DF72" t="inlineStr">
        <is>
          <t>Kinetic</t>
        </is>
      </c>
      <c r="DM72" t="inlineStr">
        <is>
          <t>ground</t>
        </is>
      </c>
      <c r="DN72" t="inlineStr">
        <is>
          <t>BeltedAutocannon</t>
        </is>
      </c>
      <c r="DT72" t="inlineStr">
        <is>
          <t>flak_quad</t>
        </is>
      </c>
      <c r="EB72" t="n">
        <v>2</v>
      </c>
      <c r="EE72" t="b">
        <v>1</v>
      </c>
      <c r="EQ72" t="inlineStr">
        <is>
          <t>ZSU-23-4 23 mm AP (quad)</t>
        </is>
      </c>
      <c r="ES72" t="inlineStr">
        <is>
          <t>ap</t>
        </is>
      </c>
      <c r="EU72" t="inlineStr">
        <is>
          <t>flak_quad</t>
        </is>
      </c>
      <c r="EY72" t="n">
        <v>0</v>
      </c>
      <c r="FW72" t="inlineStr">
        <is>
          <t>Ground</t>
        </is>
      </c>
      <c r="GA72" t="inlineStr"/>
      <c r="GD72" t="inlineStr">
        <is>
          <t>Assets/MachineBrigade/Resources/Data/balance.json: secondRounds.rounds[19]</t>
        </is>
      </c>
      <c r="GE72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flame_flamethrower</t>
        </is>
      </c>
      <c r="D73" t="inlineStr"/>
      <c r="E73" t="inlineStr"/>
      <c r="F73" t="inlineStr">
        <is>
          <t>flame</t>
        </is>
      </c>
      <c r="G73" t="inlineStr"/>
      <c r="H73" t="inlineStr"/>
      <c r="I73" t="inlineStr"/>
      <c r="J73" t="inlineStr"/>
      <c r="K73" t="inlineStr">
        <is>
          <t>Fire</t>
        </is>
      </c>
      <c r="L73" t="n">
        <v>1</v>
      </c>
      <c r="M73" t="inlineStr">
        <is>
          <t>Flame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0.25</v>
      </c>
      <c r="S73" t="n">
        <v>0</v>
      </c>
      <c r="T73" t="n">
        <v>0</v>
      </c>
      <c r="U73" t="n">
        <v>0</v>
      </c>
      <c r="V73" t="n">
        <v>0</v>
      </c>
      <c r="W73" t="n">
        <v>21</v>
      </c>
      <c r="X73" t="n">
        <v>2.5</v>
      </c>
      <c r="Y73" t="n">
        <v>0</v>
      </c>
      <c r="Z73" t="n">
        <v>36</v>
      </c>
      <c r="AA73" t="n">
        <v>13</v>
      </c>
      <c r="AB73" t="n">
        <v>0</v>
      </c>
      <c r="AC73" t="inlineStr">
        <is>
          <t>Ground</t>
        </is>
      </c>
      <c r="AD73" t="inlineStr"/>
      <c r="AE73" t="n">
        <v>1.2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1</v>
      </c>
      <c r="AO73" t="n">
        <v>0</v>
      </c>
      <c r="AP73" t="inlineStr">
        <is>
          <t>T1</t>
        </is>
      </c>
      <c r="AQ73" t="inlineStr"/>
      <c r="AR73" t="inlineStr"/>
      <c r="AS73" t="inlineStr">
        <is>
          <t>xe</t>
        </is>
      </c>
      <c r="AT73" t="inlineStr">
        <is>
          <t>flame_tank</t>
        </is>
      </c>
      <c r="AU73" t="n">
        <v>1</v>
      </c>
      <c r="AV73" t="inlineStr">
        <is>
          <t>flame_tank:0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0.3611111111111111</v>
      </c>
      <c r="BB73" t="inlineStr">
        <is>
          <t>NEED_SOURCE</t>
        </is>
      </c>
      <c r="BC73" t="inlineStr">
        <is>
          <t>NEED_SOURCE</t>
        </is>
      </c>
      <c r="BE73" t="inlineStr">
        <is>
          <t>NEED_SOURCE</t>
        </is>
      </c>
      <c r="BG73" t="inlineStr">
        <is>
          <t>giong</t>
        </is>
      </c>
      <c r="DD73" t="n">
        <v>0.25</v>
      </c>
      <c r="DE73" t="n">
        <v>21</v>
      </c>
      <c r="DF73" t="inlineStr">
        <is>
          <t>Fire</t>
        </is>
      </c>
      <c r="DJ73" t="inlineStr">
        <is>
          <t>flame</t>
        </is>
      </c>
      <c r="DS73" t="inlineStr">
        <is>
          <t>Small</t>
        </is>
      </c>
      <c r="EB73" t="n">
        <v>1</v>
      </c>
      <c r="EH73" t="inlineStr">
        <is>
          <t>Flame</t>
        </is>
      </c>
      <c r="EK73" t="n">
        <v>36</v>
      </c>
      <c r="EP73" t="n">
        <v>13</v>
      </c>
      <c r="EQ73" t="inlineStr">
        <is>
          <t>flamethrower</t>
        </is>
      </c>
      <c r="EX73" t="n">
        <v>1</v>
      </c>
      <c r="EY73" t="n">
        <v>2.5</v>
      </c>
      <c r="EZ73" t="n">
        <v>1.2</v>
      </c>
      <c r="GB73" t="inlineStr">
        <is>
          <t>flame_flamethrower</t>
        </is>
      </c>
      <c r="GD73" t="inlineStr">
        <is>
          <t>Assets/MachineBrigade/Resources/Data/balance.json: weapons[15]</t>
        </is>
      </c>
      <c r="GE73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74">
      <c r="A74" t="inlineStr">
        <is>
          <t>focus_laser</t>
        </is>
      </c>
      <c r="B74" t="inlineStr">
        <is>
          <t>focused laser (300 kW)</t>
        </is>
      </c>
      <c r="C74" t="inlineStr">
        <is>
          <t>laser_focused_laser</t>
        </is>
      </c>
      <c r="D74" t="inlineStr"/>
      <c r="E74" t="inlineStr"/>
      <c r="F74" t="inlineStr">
        <is>
          <t>laser</t>
        </is>
      </c>
      <c r="G74" t="inlineStr"/>
      <c r="H74" t="inlineStr"/>
      <c r="I74" t="n">
        <v>300</v>
      </c>
      <c r="J74" t="inlineStr"/>
      <c r="K74" t="inlineStr">
        <is>
          <t>Energy</t>
        </is>
      </c>
      <c r="L74" t="n">
        <v>4</v>
      </c>
      <c r="M74" t="inlineStr">
        <is>
          <t>Bullet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0.1</v>
      </c>
      <c r="S74" t="n">
        <v>80</v>
      </c>
      <c r="T74" t="n">
        <v>1.5</v>
      </c>
      <c r="U74" t="n">
        <v>0</v>
      </c>
      <c r="V74" t="n">
        <v>0</v>
      </c>
      <c r="W74" t="n">
        <v>12.5</v>
      </c>
      <c r="X74" t="n">
        <v>0</v>
      </c>
      <c r="Y74" t="n">
        <v>0</v>
      </c>
      <c r="Z74" t="n">
        <v>3000</v>
      </c>
      <c r="AA74" t="n">
        <v>40</v>
      </c>
      <c r="AB74" t="n">
        <v>0</v>
      </c>
      <c r="AC74" t="inlineStr">
        <is>
          <t>Ground</t>
        </is>
      </c>
      <c r="AD74" t="inlineStr"/>
      <c r="AE74" t="n">
        <v>0</v>
      </c>
      <c r="AF74" t="inlineStr">
        <is>
          <t>Small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1</v>
      </c>
      <c r="AM74" t="b">
        <v>0</v>
      </c>
      <c r="AN74" t="n">
        <v>300</v>
      </c>
      <c r="AO74" t="n">
        <v>0</v>
      </c>
      <c r="AP74" t="inlineStr">
        <is>
          <t>T1</t>
        </is>
      </c>
      <c r="AQ74" t="inlineStr"/>
      <c r="AR74" t="inlineStr"/>
      <c r="AS74" t="inlineStr">
        <is>
          <t>xe</t>
        </is>
      </c>
      <c r="AT74" t="inlineStr">
        <is>
          <t>laser_tank</t>
        </is>
      </c>
      <c r="AU74" t="n">
        <v>1</v>
      </c>
      <c r="AV74" t="inlineStr">
        <is>
          <t>laser_tank:0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0.01333333333333333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CP74" t="b">
        <v>1</v>
      </c>
      <c r="CW74" t="n">
        <v>80</v>
      </c>
      <c r="CX74" t="n">
        <v>1.5</v>
      </c>
      <c r="DD74" t="n">
        <v>0.1</v>
      </c>
      <c r="DE74" t="n">
        <v>12.5</v>
      </c>
      <c r="DF74" t="inlineStr">
        <is>
          <t>Energy</t>
        </is>
      </c>
      <c r="DJ74" t="inlineStr">
        <is>
          <t>laser</t>
        </is>
      </c>
      <c r="DS74" t="inlineStr">
        <is>
          <t>Small</t>
        </is>
      </c>
      <c r="EB74" t="n">
        <v>4</v>
      </c>
      <c r="EF74" t="n">
        <v>300</v>
      </c>
      <c r="EH74" t="inlineStr">
        <is>
          <t>Bullet</t>
        </is>
      </c>
      <c r="EK74" t="n">
        <v>3000</v>
      </c>
      <c r="EL74" t="n">
        <v>0.3</v>
      </c>
      <c r="EM74" t="n">
        <v>2</v>
      </c>
      <c r="EN74" t="n">
        <v>4</v>
      </c>
      <c r="EO74" t="n">
        <v>2</v>
      </c>
      <c r="EP74" t="n">
        <v>40</v>
      </c>
      <c r="EQ74" t="inlineStr">
        <is>
          <t>focused laser (300 kW)</t>
        </is>
      </c>
      <c r="EX74" t="n">
        <v>300</v>
      </c>
      <c r="GB74" t="inlineStr">
        <is>
          <t>laser_focused_laser</t>
        </is>
      </c>
      <c r="GD74" t="inlineStr">
        <is>
          <t>Assets/MachineBrigade/Resources/Data/balance.json: weapons[261]</t>
        </is>
      </c>
      <c r="GE74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75">
      <c r="A75" t="inlineStr">
        <is>
          <t>fpv_hangar</t>
        </is>
      </c>
      <c r="B75" t="inlineStr">
        <is>
          <t>FPV drone (1.5 kg)</t>
        </is>
      </c>
      <c r="C75" t="inlineStr">
        <is>
          <t>drone_fpv_drone</t>
        </is>
      </c>
      <c r="D75" t="inlineStr"/>
      <c r="E75" t="inlineStr">
        <is>
          <t>fpv_drone</t>
        </is>
      </c>
      <c r="F75" t="inlineStr">
        <is>
          <t>drone</t>
        </is>
      </c>
      <c r="G75" t="inlineStr"/>
      <c r="H75" t="n">
        <v>1.5</v>
      </c>
      <c r="I75" t="inlineStr"/>
      <c r="J75" t="inlineStr"/>
      <c r="K75" t="inlineStr">
        <is>
          <t>ShapedCharge</t>
        </is>
      </c>
      <c r="L75" t="n">
        <v>3</v>
      </c>
      <c r="M75" t="inlineStr">
        <is>
          <t>Drone</t>
        </is>
      </c>
      <c r="N75" t="n">
        <v>1</v>
      </c>
      <c r="O75" t="inlineStr">
        <is>
          <t>RIPPLE</t>
        </is>
      </c>
      <c r="P75" t="n">
        <v>4</v>
      </c>
      <c r="Q75" t="n">
        <v>1</v>
      </c>
      <c r="R75" t="n">
        <v>7.5</v>
      </c>
      <c r="S75" t="n">
        <v>0</v>
      </c>
      <c r="T75" t="n">
        <v>0</v>
      </c>
      <c r="U75" t="n">
        <v>0</v>
      </c>
      <c r="V75" t="n">
        <v>9</v>
      </c>
      <c r="W75" t="n">
        <v>140</v>
      </c>
      <c r="X75" t="n">
        <v>2.5</v>
      </c>
      <c r="Y75" t="n">
        <v>0</v>
      </c>
      <c r="Z75" t="n">
        <v>26</v>
      </c>
      <c r="AA75" t="n">
        <v>70</v>
      </c>
      <c r="AB75" t="n">
        <v>8</v>
      </c>
      <c r="AC75" t="inlineStr">
        <is>
          <t>Ground</t>
        </is>
      </c>
      <c r="AD75" t="inlineStr"/>
      <c r="AE75" t="n">
        <v>0</v>
      </c>
      <c r="AF75" t="inlineStr">
        <is>
          <t>Medium</t>
        </is>
      </c>
      <c r="AG75" t="b">
        <v>1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1.5</v>
      </c>
      <c r="AO75" t="n">
        <v>0</v>
      </c>
      <c r="AP75" t="inlineStr">
        <is>
          <t>T2</t>
        </is>
      </c>
      <c r="AQ75" t="inlineStr">
        <is>
          <t>fpv_swarm</t>
        </is>
      </c>
      <c r="AR75" t="inlineStr"/>
      <c r="AS75" t="inlineStr">
        <is>
          <t>thap</t>
        </is>
      </c>
      <c r="AT75" t="inlineStr">
        <is>
          <t>drone_hangar</t>
        </is>
      </c>
      <c r="AU75" t="n">
        <v>1</v>
      </c>
      <c r="AV75" t="inlineStr">
        <is>
          <t>drone_hangar:0</t>
        </is>
      </c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2.692307692307693</v>
      </c>
      <c r="BB75" t="inlineStr">
        <is>
          <t>NEED_SOURCE</t>
        </is>
      </c>
      <c r="BC75" t="inlineStr">
        <is>
          <t>NEED_SOURCE</t>
        </is>
      </c>
      <c r="BE75" t="inlineStr">
        <is>
          <t>NEED_SOURCE</t>
        </is>
      </c>
      <c r="BG75" t="inlineStr">
        <is>
          <t>giong</t>
        </is>
      </c>
      <c r="CN75" t="n">
        <v>0</v>
      </c>
      <c r="CR75" t="n">
        <v>4</v>
      </c>
      <c r="CS75" t="n">
        <v>1</v>
      </c>
      <c r="DD75" t="n">
        <v>7.5</v>
      </c>
      <c r="DJ75" t="inlineStr">
        <is>
          <t>drone</t>
        </is>
      </c>
      <c r="DT75" t="inlineStr">
        <is>
          <t>fpv_swarm</t>
        </is>
      </c>
      <c r="DZ75" t="n">
        <v>8</v>
      </c>
      <c r="EB75" t="n">
        <v>3</v>
      </c>
      <c r="EP75" t="n">
        <v>70</v>
      </c>
      <c r="EQ75" t="inlineStr">
        <is>
          <t>FPV drone (1.5 kg)</t>
        </is>
      </c>
      <c r="EX75" t="n">
        <v>1.5</v>
      </c>
      <c r="FY75" t="b">
        <v>1</v>
      </c>
      <c r="FZ75" t="n">
        <v>1.5</v>
      </c>
      <c r="GA75" t="inlineStr">
        <is>
          <t>fpv_drone</t>
        </is>
      </c>
      <c r="GD75" t="inlineStr">
        <is>
          <t>Assets/MachineBrigade/Resources/Data/balance.json: weapons[109]</t>
        </is>
      </c>
      <c r="GE75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76">
      <c r="A76" t="inlineStr">
        <is>
          <t>fpv_hangar_swarm</t>
        </is>
      </c>
      <c r="B76" t="inlineStr">
        <is>
          <t>FPV drone (1.5 kg)</t>
        </is>
      </c>
      <c r="C76" t="inlineStr">
        <is>
          <t>drone_fpv_drone</t>
        </is>
      </c>
      <c r="D76" t="inlineStr"/>
      <c r="E76" t="inlineStr">
        <is>
          <t>fpv_drone</t>
        </is>
      </c>
      <c r="F76" t="inlineStr">
        <is>
          <t>drone</t>
        </is>
      </c>
      <c r="G76" t="inlineStr"/>
      <c r="H76" t="n">
        <v>1.5</v>
      </c>
      <c r="I76" t="inlineStr"/>
      <c r="J76" t="inlineStr"/>
      <c r="K76" t="inlineStr">
        <is>
          <t>ShapedCharge</t>
        </is>
      </c>
      <c r="L76" t="n">
        <v>3</v>
      </c>
      <c r="M76" t="inlineStr">
        <is>
          <t>Drone</t>
        </is>
      </c>
      <c r="N76" t="n">
        <v>1</v>
      </c>
      <c r="O76" t="inlineStr">
        <is>
          <t>RIPPLE</t>
        </is>
      </c>
      <c r="P76" t="n">
        <v>4</v>
      </c>
      <c r="Q76" t="n">
        <v>0.6</v>
      </c>
      <c r="R76" t="n">
        <v>6.1</v>
      </c>
      <c r="S76" t="n">
        <v>0</v>
      </c>
      <c r="T76" t="n">
        <v>0</v>
      </c>
      <c r="U76" t="n">
        <v>0</v>
      </c>
      <c r="V76" t="n">
        <v>9</v>
      </c>
      <c r="W76" t="n">
        <v>140</v>
      </c>
      <c r="X76" t="n">
        <v>2.5</v>
      </c>
      <c r="Y76" t="n">
        <v>0</v>
      </c>
      <c r="Z76" t="n">
        <v>26</v>
      </c>
      <c r="AA76" t="n">
        <v>70</v>
      </c>
      <c r="AB76" t="n">
        <v>8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1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1.5</v>
      </c>
      <c r="AO76" t="n">
        <v>0</v>
      </c>
      <c r="AP76" t="inlineStr">
        <is>
          <t>T2</t>
        </is>
      </c>
      <c r="AQ76" t="inlineStr">
        <is>
          <t>fpv_hangar</t>
        </is>
      </c>
      <c r="AR76" t="inlineStr"/>
      <c r="AS76" t="inlineStr">
        <is>
          <t>thap</t>
        </is>
      </c>
      <c r="AT76" t="inlineStr">
        <is>
          <t>drone_hangar.swarm</t>
        </is>
      </c>
      <c r="AU76" t="n">
        <v>1</v>
      </c>
      <c r="AV76" t="inlineStr">
        <is>
          <t>drone_hangar.swarm:0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2.692307692307693</v>
      </c>
      <c r="BB76" t="inlineStr">
        <is>
          <t>NEED_SOURCE</t>
        </is>
      </c>
      <c r="BC76" t="inlineStr">
        <is>
          <t>NEED_SOURCE</t>
        </is>
      </c>
      <c r="BE76" t="inlineStr">
        <is>
          <t>NEED_SOURCE</t>
        </is>
      </c>
      <c r="BG76" t="inlineStr">
        <is>
          <t>giong</t>
        </is>
      </c>
      <c r="CR76" t="n">
        <v>4</v>
      </c>
      <c r="CS76" t="n">
        <v>0.6</v>
      </c>
      <c r="DD76" t="n">
        <v>6.1</v>
      </c>
      <c r="DJ76" t="inlineStr">
        <is>
          <t>drone</t>
        </is>
      </c>
      <c r="DT76" t="inlineStr">
        <is>
          <t>fpv_hangar</t>
        </is>
      </c>
      <c r="EB76" t="n">
        <v>3</v>
      </c>
      <c r="EQ76" t="inlineStr">
        <is>
          <t>FPV drone (1.5 kg)</t>
        </is>
      </c>
      <c r="EX76" t="n">
        <v>1.5</v>
      </c>
      <c r="FY76" t="b">
        <v>1</v>
      </c>
      <c r="FZ76" t="n">
        <v>1.5</v>
      </c>
      <c r="GA76" t="inlineStr">
        <is>
          <t>fpv_drone</t>
        </is>
      </c>
      <c r="GD76" t="inlineStr">
        <is>
          <t>Assets/MachineBrigade/Resources/Data/balance.json: weapons[128]</t>
        </is>
      </c>
      <c r="GE76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77">
      <c r="A77" t="inlineStr">
        <is>
          <t>fpv_swarm</t>
        </is>
      </c>
      <c r="B77" t="inlineStr">
        <is>
          <t>FPV drone (1.5 kg)</t>
        </is>
      </c>
      <c r="C77" t="inlineStr">
        <is>
          <t>drone_fpv_drone</t>
        </is>
      </c>
      <c r="D77" t="inlineStr"/>
      <c r="E77" t="inlineStr">
        <is>
          <t>fpv_drone</t>
        </is>
      </c>
      <c r="F77" t="inlineStr">
        <is>
          <t>drone</t>
        </is>
      </c>
      <c r="G77" t="inlineStr"/>
      <c r="H77" t="n">
        <v>1.5</v>
      </c>
      <c r="I77" t="inlineStr"/>
      <c r="J77" t="inlineStr"/>
      <c r="K77" t="inlineStr">
        <is>
          <t>ShapedCharge</t>
        </is>
      </c>
      <c r="L77" t="n">
        <v>3</v>
      </c>
      <c r="M77" t="inlineStr">
        <is>
          <t>Drone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2.8</v>
      </c>
      <c r="S77" t="n">
        <v>0</v>
      </c>
      <c r="T77" t="n">
        <v>0</v>
      </c>
      <c r="U77" t="n">
        <v>16</v>
      </c>
      <c r="V77" t="n">
        <v>9</v>
      </c>
      <c r="W77" t="n">
        <v>140</v>
      </c>
      <c r="X77" t="n">
        <v>2.5</v>
      </c>
      <c r="Y77" t="n">
        <v>0</v>
      </c>
      <c r="Z77" t="n">
        <v>26</v>
      </c>
      <c r="AA77" t="n">
        <v>75</v>
      </c>
      <c r="AB77" t="n">
        <v>12</v>
      </c>
      <c r="AC77" t="inlineStr">
        <is>
          <t>Ground</t>
        </is>
      </c>
      <c r="AD77" t="inlineStr"/>
      <c r="AE77" t="n">
        <v>0</v>
      </c>
      <c r="AF77" t="inlineStr">
        <is>
          <t>Medium</t>
        </is>
      </c>
      <c r="AG77" t="b">
        <v>1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1.5</v>
      </c>
      <c r="AO77" t="n">
        <v>0</v>
      </c>
      <c r="AP77" t="inlineStr">
        <is>
          <t>T2</t>
        </is>
      </c>
      <c r="AQ77" t="inlineStr"/>
      <c r="AR77" t="inlineStr"/>
      <c r="AS77" t="inlineStr">
        <is>
          <t>xe</t>
        </is>
      </c>
      <c r="AT77" t="inlineStr">
        <is>
          <t>elite_fpv_carrier;fpv_carrier</t>
        </is>
      </c>
      <c r="AU77" t="n">
        <v>2</v>
      </c>
      <c r="AV77" t="inlineStr">
        <is>
          <t>elite_fpv_carrier:0;fpv_carrier:0</t>
        </is>
      </c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2.884615384615385</v>
      </c>
      <c r="BB77" t="inlineStr">
        <is>
          <t>NEED_SOURCE</t>
        </is>
      </c>
      <c r="BC77" t="inlineStr">
        <is>
          <t>NEED_SOURCE</t>
        </is>
      </c>
      <c r="BE77" t="inlineStr">
        <is>
          <t>NEED_SOURCE</t>
        </is>
      </c>
      <c r="BG77" t="inlineStr">
        <is>
          <t>giong</t>
        </is>
      </c>
      <c r="CN77" t="n">
        <v>16</v>
      </c>
      <c r="DD77" t="n">
        <v>2.8</v>
      </c>
      <c r="DE77" t="n">
        <v>140</v>
      </c>
      <c r="DF77" t="inlineStr">
        <is>
          <t>ShapedCharge</t>
        </is>
      </c>
      <c r="DJ77" t="inlineStr">
        <is>
          <t>drone</t>
        </is>
      </c>
      <c r="DS77" t="inlineStr">
        <is>
          <t>Medium</t>
        </is>
      </c>
      <c r="DZ77" t="n">
        <v>12</v>
      </c>
      <c r="EB77" t="n">
        <v>3</v>
      </c>
      <c r="EE77" t="b">
        <v>1</v>
      </c>
      <c r="EH77" t="inlineStr">
        <is>
          <t>Drone</t>
        </is>
      </c>
      <c r="EP77" t="n">
        <v>75</v>
      </c>
      <c r="EQ77" t="inlineStr">
        <is>
          <t>FPV drone (1.5 kg)</t>
        </is>
      </c>
      <c r="ER77" t="n">
        <v>9</v>
      </c>
      <c r="EX77" t="n">
        <v>1.5</v>
      </c>
      <c r="FY77" t="b">
        <v>1</v>
      </c>
      <c r="FZ77" t="n">
        <v>1.5</v>
      </c>
      <c r="GA77" t="inlineStr">
        <is>
          <t>fpv_drone</t>
        </is>
      </c>
      <c r="GB77" t="inlineStr">
        <is>
          <t>drone_fpv_drone</t>
        </is>
      </c>
      <c r="GD77" t="inlineStr">
        <is>
          <t>Assets/MachineBrigade/Resources/Data/balance.json: weapons[61]</t>
        </is>
      </c>
      <c r="GE77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78">
      <c r="A78" t="inlineStr">
        <is>
          <t>gau_gatling</t>
        </is>
      </c>
      <c r="B78" t="inlineStr">
        <is>
          <t>GAU-8 Avenger 30 mm</t>
        </is>
      </c>
      <c r="C78" t="inlineStr">
        <is>
          <t>cal_30</t>
        </is>
      </c>
      <c r="D78" t="inlineStr"/>
      <c r="E78" t="inlineStr"/>
      <c r="F78" t="inlineStr">
        <is>
          <t>autocannon</t>
        </is>
      </c>
      <c r="G78" t="n">
        <v>30</v>
      </c>
      <c r="H78" t="inlineStr"/>
      <c r="I78" t="inlineStr"/>
      <c r="J78" t="inlineStr"/>
      <c r="K78" t="inlineStr">
        <is>
          <t>Kinetic</t>
        </is>
      </c>
      <c r="L78" t="n">
        <v>3</v>
      </c>
      <c r="M78" t="inlineStr">
        <is>
          <t>Bullet</t>
        </is>
      </c>
      <c r="N78" t="n">
        <v>1</v>
      </c>
      <c r="O78" t="inlineStr">
        <is>
          <t>RIPPLE</t>
        </is>
      </c>
      <c r="P78" t="n">
        <v>1</v>
      </c>
      <c r="Q78" t="n">
        <v>0.1</v>
      </c>
      <c r="R78" t="n">
        <v>0.0167</v>
      </c>
      <c r="S78" t="n">
        <v>113</v>
      </c>
      <c r="T78" t="n">
        <v>2.79</v>
      </c>
      <c r="U78" t="n">
        <v>0</v>
      </c>
      <c r="V78" t="n">
        <v>0</v>
      </c>
      <c r="W78" t="n">
        <v>22</v>
      </c>
      <c r="X78" t="n">
        <v>0</v>
      </c>
      <c r="Y78" t="n">
        <v>0</v>
      </c>
      <c r="Z78" t="n">
        <v>320</v>
      </c>
      <c r="AA78" t="n">
        <v>32</v>
      </c>
      <c r="AB78" t="n">
        <v>0</v>
      </c>
      <c r="AC78" t="inlineStr">
        <is>
          <t>Ground</t>
        </is>
      </c>
      <c r="AD78" t="inlineStr"/>
      <c r="AE78" t="n">
        <v>2.2</v>
      </c>
      <c r="AF78" t="inlineStr">
        <is>
          <t>Small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30</v>
      </c>
      <c r="AO78" t="n">
        <v>0</v>
      </c>
      <c r="AP78" t="inlineStr">
        <is>
          <t>T1</t>
        </is>
      </c>
      <c r="AQ78" t="inlineStr"/>
      <c r="AR78" t="inlineStr"/>
      <c r="AS78" t="inlineStr"/>
      <c r="AT78" t="inlineStr"/>
      <c r="AU78" t="n">
        <v>0</v>
      </c>
      <c r="AV78" t="inlineStr"/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0.1</v>
      </c>
      <c r="BB78" t="n">
        <v>3900</v>
      </c>
      <c r="BC78" t="inlineStr"/>
      <c r="BD78" t="inlineStr">
        <is>
          <t>ac</t>
        </is>
      </c>
      <c r="BE78" t="inlineStr">
        <is>
          <t>Wikipedia 'GAU-8 Avenger': 3,900 rpm</t>
        </is>
      </c>
      <c r="BG78" t="inlineStr">
        <is>
          <t>giong</t>
        </is>
      </c>
      <c r="CT78" t="n">
        <v>30</v>
      </c>
      <c r="CW78" t="n">
        <v>113</v>
      </c>
      <c r="CX78" t="n">
        <v>2.79</v>
      </c>
      <c r="DD78" t="n">
        <v>0.0167</v>
      </c>
      <c r="DE78" t="n">
        <v>22</v>
      </c>
      <c r="DF78" t="inlineStr">
        <is>
          <t>Kinetic</t>
        </is>
      </c>
      <c r="DJ78" t="inlineStr">
        <is>
          <t>autocannon</t>
        </is>
      </c>
      <c r="DS78" t="inlineStr">
        <is>
          <t>Small</t>
        </is>
      </c>
      <c r="EB78" t="n">
        <v>3</v>
      </c>
      <c r="EE78" t="b">
        <v>1</v>
      </c>
      <c r="EH78" t="inlineStr">
        <is>
          <t>Bullet</t>
        </is>
      </c>
      <c r="EK78" t="n">
        <v>320</v>
      </c>
      <c r="EP78" t="n">
        <v>32</v>
      </c>
      <c r="EQ78" t="inlineStr">
        <is>
          <t>GAU-8 Avenger 30 mm</t>
        </is>
      </c>
      <c r="EV78" t="n">
        <v>27</v>
      </c>
      <c r="EX78" t="n">
        <v>30</v>
      </c>
      <c r="EZ78" t="n">
        <v>2.2</v>
      </c>
      <c r="GB78" t="inlineStr">
        <is>
          <t>cal_30</t>
        </is>
      </c>
      <c r="GD78" t="inlineStr">
        <is>
          <t>Assets/MachineBrigade/Resources/Data/balance.json: weapons[81]</t>
        </is>
      </c>
      <c r="GE78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79">
      <c r="A79" t="inlineStr">
        <is>
          <t>grad_cluster</t>
        </is>
      </c>
      <c r="B79" t="inlineStr">
        <is>
          <t>BM-21 Grad 122 mm (cluster)</t>
        </is>
      </c>
      <c r="C79" t="inlineStr">
        <is>
          <t>rkt_grad_122</t>
        </is>
      </c>
      <c r="D79" t="inlineStr">
        <is>
          <t>cluster</t>
        </is>
      </c>
      <c r="E79" t="inlineStr">
        <is>
          <t>bm_21_grad_122_mm_2</t>
        </is>
      </c>
      <c r="F79" t="inlineStr">
        <is>
          <t>rocket</t>
        </is>
      </c>
      <c r="G79" t="n">
        <v>122</v>
      </c>
      <c r="H79" t="inlineStr"/>
      <c r="I79" t="inlineStr"/>
      <c r="J79" t="inlineStr"/>
      <c r="K79" t="inlineStr">
        <is>
          <t>HighExplosive</t>
        </is>
      </c>
      <c r="L79" t="n">
        <v>2</v>
      </c>
      <c r="M79" t="inlineStr">
        <is>
          <t>Rocket</t>
        </is>
      </c>
      <c r="N79" t="n">
        <v>1</v>
      </c>
      <c r="O79" t="inlineStr">
        <is>
          <t>RIPPLE</t>
        </is>
      </c>
      <c r="P79" t="n">
        <v>11</v>
      </c>
      <c r="Q79" t="n">
        <v>0.5</v>
      </c>
      <c r="R79" t="n">
        <v>8</v>
      </c>
      <c r="S79" t="n">
        <v>0</v>
      </c>
      <c r="T79" t="n">
        <v>0</v>
      </c>
      <c r="U79" t="n">
        <v>3</v>
      </c>
      <c r="V79" t="n">
        <v>13.67</v>
      </c>
      <c r="W79" t="n">
        <v>57</v>
      </c>
      <c r="X79" t="n">
        <v>4</v>
      </c>
      <c r="Y79" t="n">
        <v>0</v>
      </c>
      <c r="Z79" t="n">
        <v>80</v>
      </c>
      <c r="AA79" t="n">
        <v>78</v>
      </c>
      <c r="AB79" t="n">
        <v>18</v>
      </c>
      <c r="AC79" t="inlineStr">
        <is>
          <t>Ground</t>
        </is>
      </c>
      <c r="AD79" t="inlineStr"/>
      <c r="AE79" t="n">
        <v>8</v>
      </c>
      <c r="AF79" t="inlineStr">
        <is>
          <t>Medium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122</v>
      </c>
      <c r="AO79" t="n">
        <v>0</v>
      </c>
      <c r="AP79" t="inlineStr">
        <is>
          <t>T3</t>
        </is>
      </c>
      <c r="AQ79" t="inlineStr"/>
      <c r="AR79" t="inlineStr"/>
      <c r="AS79" t="inlineStr">
        <is>
          <t>xe</t>
        </is>
      </c>
      <c r="AT79" t="inlineStr">
        <is>
          <t>elite_grad</t>
        </is>
      </c>
      <c r="AU79" t="n">
        <v>1</v>
      </c>
      <c r="AV79" t="inlineStr">
        <is>
          <t>elite_grad:0</t>
        </is>
      </c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0.975</v>
      </c>
      <c r="BB79" t="n">
        <v>120</v>
      </c>
      <c r="BC79" t="inlineStr"/>
      <c r="BD79" t="inlineStr">
        <is>
          <t>rocket</t>
        </is>
      </c>
      <c r="BE79" t="inlineStr">
        <is>
          <t>Wikipedia 'BM-21 Grad': 40 rockets in 20 s</t>
        </is>
      </c>
      <c r="BG79" t="inlineStr">
        <is>
          <t>doi</t>
        </is>
      </c>
      <c r="BR79" t="n">
        <v>45</v>
      </c>
      <c r="BS79" t="n">
        <v>80</v>
      </c>
      <c r="CN79" t="n">
        <v>3</v>
      </c>
      <c r="CR79" t="n">
        <v>11</v>
      </c>
      <c r="CS79" t="n">
        <v>0.5</v>
      </c>
      <c r="CT79" t="n">
        <v>122</v>
      </c>
      <c r="CY79" t="n">
        <v>4</v>
      </c>
      <c r="CZ79" t="n">
        <v>15</v>
      </c>
      <c r="DA79" t="n">
        <v>5</v>
      </c>
      <c r="DB79" t="n">
        <v>2.2</v>
      </c>
      <c r="DC79" t="inlineStr">
        <is>
          <t>Small</t>
        </is>
      </c>
      <c r="DD79" t="n">
        <v>8</v>
      </c>
      <c r="DE79" t="n">
        <v>57</v>
      </c>
      <c r="DF79" t="inlineStr">
        <is>
          <t>HighExplosive</t>
        </is>
      </c>
      <c r="DJ79" t="inlineStr">
        <is>
          <t>rocket</t>
        </is>
      </c>
      <c r="DS79" t="inlineStr">
        <is>
          <t>Medium</t>
        </is>
      </c>
      <c r="DZ79" t="n">
        <v>18</v>
      </c>
      <c r="EB79" t="n">
        <v>2</v>
      </c>
      <c r="EH79" t="inlineStr">
        <is>
          <t>Rocket</t>
        </is>
      </c>
      <c r="EP79" t="n">
        <v>78</v>
      </c>
      <c r="EQ79" t="inlineStr">
        <is>
          <t>BM-21 Grad 122 mm (cluster)</t>
        </is>
      </c>
      <c r="ER79" t="n">
        <v>13.67</v>
      </c>
      <c r="EX79" t="n">
        <v>122</v>
      </c>
      <c r="EZ79" t="n">
        <v>8</v>
      </c>
      <c r="GA79" t="inlineStr">
        <is>
          <t>bm_21_grad_122_mm_2</t>
        </is>
      </c>
      <c r="GB79" t="inlineStr">
        <is>
          <t>rkt_grad_122</t>
        </is>
      </c>
      <c r="GC79" t="inlineStr">
        <is>
          <t>cluster</t>
        </is>
      </c>
      <c r="GD79" t="inlineStr">
        <is>
          <t>Assets/MachineBrigade/Resources/Data/balance.json: weapons[96]</t>
        </is>
      </c>
      <c r="GE79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,"damage":15,"splash":2.2,"tier":"Small"}}</t>
        </is>
      </c>
    </row>
    <row r="80">
      <c r="A80" t="inlineStr">
        <is>
          <t>grad_rockets</t>
        </is>
      </c>
      <c r="B80" t="inlineStr">
        <is>
          <t>BM-21 Grad 122 mm</t>
        </is>
      </c>
      <c r="C80" t="inlineStr">
        <is>
          <t>rkt_grad_122</t>
        </is>
      </c>
      <c r="D80" t="inlineStr"/>
      <c r="E80" t="inlineStr">
        <is>
          <t>bm_21_grad_122_mm</t>
        </is>
      </c>
      <c r="F80" t="inlineStr">
        <is>
          <t>rocket</t>
        </is>
      </c>
      <c r="G80" t="n">
        <v>122</v>
      </c>
      <c r="H80" t="inlineStr"/>
      <c r="I80" t="inlineStr"/>
      <c r="J80" t="inlineStr"/>
      <c r="K80" t="inlineStr">
        <is>
          <t>HighExplosive</t>
        </is>
      </c>
      <c r="L80" t="n">
        <v>2</v>
      </c>
      <c r="M80" t="inlineStr">
        <is>
          <t>Rocket</t>
        </is>
      </c>
      <c r="N80" t="n">
        <v>1</v>
      </c>
      <c r="O80" t="inlineStr">
        <is>
          <t>RIPPLE</t>
        </is>
      </c>
      <c r="P80" t="n">
        <v>9</v>
      </c>
      <c r="Q80" t="n">
        <v>0.5</v>
      </c>
      <c r="R80" t="n">
        <v>11.31</v>
      </c>
      <c r="S80" t="n">
        <v>0</v>
      </c>
      <c r="T80" t="n">
        <v>0</v>
      </c>
      <c r="U80" t="n">
        <v>3</v>
      </c>
      <c r="V80" t="n">
        <v>16.6</v>
      </c>
      <c r="W80" t="n">
        <v>57</v>
      </c>
      <c r="X80" t="n">
        <v>4.5</v>
      </c>
      <c r="Y80" t="n">
        <v>0</v>
      </c>
      <c r="Z80" t="n">
        <v>80</v>
      </c>
      <c r="AA80" t="n">
        <v>55</v>
      </c>
      <c r="AB80" t="n">
        <v>18</v>
      </c>
      <c r="AC80" t="inlineStr">
        <is>
          <t>Ground</t>
        </is>
      </c>
      <c r="AD80" t="inlineStr"/>
      <c r="AE80" t="n">
        <v>7</v>
      </c>
      <c r="AF80" t="inlineStr">
        <is>
          <t>Medium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122</v>
      </c>
      <c r="AO80" t="n">
        <v>0</v>
      </c>
      <c r="AP80" t="inlineStr">
        <is>
          <t>T3</t>
        </is>
      </c>
      <c r="AQ80" t="inlineStr"/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0.6875</v>
      </c>
      <c r="BB80" t="n">
        <v>120</v>
      </c>
      <c r="BC80" t="inlineStr"/>
      <c r="BD80" t="inlineStr">
        <is>
          <t>rocket</t>
        </is>
      </c>
      <c r="BE80" t="inlineStr">
        <is>
          <t>Wikipedia 'BM-21 Grad': 40 rockets in 20 s</t>
        </is>
      </c>
      <c r="BG80" t="inlineStr">
        <is>
          <t>doi</t>
        </is>
      </c>
      <c r="BR80" t="n">
        <v>45</v>
      </c>
      <c r="BS80" t="n">
        <v>80</v>
      </c>
      <c r="CN80" t="n">
        <v>3</v>
      </c>
      <c r="CR80" t="n">
        <v>9</v>
      </c>
      <c r="CS80" t="n">
        <v>0.5</v>
      </c>
      <c r="CT80" t="n">
        <v>122</v>
      </c>
      <c r="DD80" t="n">
        <v>11.31</v>
      </c>
      <c r="DE80" t="n">
        <v>57</v>
      </c>
      <c r="DF80" t="inlineStr">
        <is>
          <t>HighExplosive</t>
        </is>
      </c>
      <c r="DJ80" t="inlineStr">
        <is>
          <t>rocket</t>
        </is>
      </c>
      <c r="DS80" t="inlineStr">
        <is>
          <t>Medium</t>
        </is>
      </c>
      <c r="DZ80" t="n">
        <v>18</v>
      </c>
      <c r="EB80" t="n">
        <v>2</v>
      </c>
      <c r="EH80" t="inlineStr">
        <is>
          <t>Rocket</t>
        </is>
      </c>
      <c r="EP80" t="n">
        <v>55</v>
      </c>
      <c r="EQ80" t="inlineStr">
        <is>
          <t>BM-21 Grad 122 mm</t>
        </is>
      </c>
      <c r="ER80" t="n">
        <v>16.6</v>
      </c>
      <c r="EX80" t="n">
        <v>122</v>
      </c>
      <c r="EZ80" t="n">
        <v>7</v>
      </c>
      <c r="GA80" t="inlineStr">
        <is>
          <t>bm_21_grad_122_mm</t>
        </is>
      </c>
      <c r="GB80" t="inlineStr">
        <is>
          <t>rkt_grad_122</t>
        </is>
      </c>
      <c r="GD80" t="inlineStr">
        <is>
          <t>Assets/MachineBrigade/Resources/Data/balance.json: weapons[33]</t>
        </is>
      </c>
      <c r="GE80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81">
      <c r="A81" t="inlineStr">
        <is>
          <t>gsh_23v</t>
        </is>
      </c>
      <c r="B81" t="inlineStr">
        <is>
          <t>GSh-23V 23 mm</t>
        </is>
      </c>
      <c r="C81" t="inlineStr">
        <is>
          <t>cal_23</t>
        </is>
      </c>
      <c r="D81" t="inlineStr"/>
      <c r="E81" t="inlineStr"/>
      <c r="F81" t="inlineStr">
        <is>
          <t>autocannon</t>
        </is>
      </c>
      <c r="G81" t="n">
        <v>23</v>
      </c>
      <c r="H81" t="inlineStr"/>
      <c r="I81" t="inlineStr"/>
      <c r="J81" t="inlineStr"/>
      <c r="K81" t="inlineStr">
        <is>
          <t>Kinetic</t>
        </is>
      </c>
      <c r="L81" t="n">
        <v>2</v>
      </c>
      <c r="M81" t="inlineStr">
        <is>
          <t>Bullet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0.0182</v>
      </c>
      <c r="S81" t="n">
        <v>44</v>
      </c>
      <c r="T81" t="n">
        <v>5.6</v>
      </c>
      <c r="U81" t="n">
        <v>0</v>
      </c>
      <c r="V81" t="n">
        <v>0</v>
      </c>
      <c r="W81" t="n">
        <v>14</v>
      </c>
      <c r="X81" t="n">
        <v>0</v>
      </c>
      <c r="Y81" t="n">
        <v>0</v>
      </c>
      <c r="Z81" t="n">
        <v>240</v>
      </c>
      <c r="AA81" t="n">
        <v>26</v>
      </c>
      <c r="AB81" t="n">
        <v>0</v>
      </c>
      <c r="AC81" t="inlineStr">
        <is>
          <t>All</t>
        </is>
      </c>
      <c r="AD81" t="inlineStr"/>
      <c r="AE81" t="n">
        <v>1.3</v>
      </c>
      <c r="AF81" t="inlineStr">
        <is>
          <t>Small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23</v>
      </c>
      <c r="AO81" t="n">
        <v>0</v>
      </c>
      <c r="AP81" t="inlineStr">
        <is>
          <t>T1</t>
        </is>
      </c>
      <c r="AQ81" t="inlineStr"/>
      <c r="AR81" t="inlineStr"/>
      <c r="AS81" t="inlineStr"/>
      <c r="AT81" t="inlineStr"/>
      <c r="AU81" t="n">
        <v>0</v>
      </c>
      <c r="AV81" t="inlineStr"/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0.1083333333333333</v>
      </c>
      <c r="BB81" t="n">
        <v>3400</v>
      </c>
      <c r="BC81" t="inlineStr"/>
      <c r="BD81" t="inlineStr">
        <is>
          <t>ac</t>
        </is>
      </c>
      <c r="BE81" t="inlineStr">
        <is>
          <t>Wikipedia 'Gryazev-Shipunov GSh-23': 3,000-3,400 rpm (GSh-23V)</t>
        </is>
      </c>
      <c r="BG81" t="inlineStr">
        <is>
          <t>giong</t>
        </is>
      </c>
      <c r="CT81" t="n">
        <v>23</v>
      </c>
      <c r="CW81" t="n">
        <v>44</v>
      </c>
      <c r="CX81" t="n">
        <v>5.6</v>
      </c>
      <c r="DD81" t="n">
        <v>0.0182</v>
      </c>
      <c r="DE81" t="n">
        <v>14</v>
      </c>
      <c r="DF81" t="inlineStr">
        <is>
          <t>Kinetic</t>
        </is>
      </c>
      <c r="DJ81" t="inlineStr">
        <is>
          <t>autocannon</t>
        </is>
      </c>
      <c r="DS81" t="inlineStr">
        <is>
          <t>Small</t>
        </is>
      </c>
      <c r="EB81" t="n">
        <v>2</v>
      </c>
      <c r="EH81" t="inlineStr">
        <is>
          <t>Bullet</t>
        </is>
      </c>
      <c r="EK81" t="n">
        <v>240</v>
      </c>
      <c r="EP81" t="n">
        <v>26</v>
      </c>
      <c r="EQ81" t="inlineStr">
        <is>
          <t>GSh-23V 23 mm</t>
        </is>
      </c>
      <c r="EX81" t="n">
        <v>23</v>
      </c>
      <c r="EZ81" t="n">
        <v>1.3</v>
      </c>
      <c r="FW81" t="inlineStr">
        <is>
          <t>All</t>
        </is>
      </c>
      <c r="GB81" t="inlineStr">
        <is>
          <t>cal_23</t>
        </is>
      </c>
      <c r="GD81" t="inlineStr">
        <is>
          <t>Assets/MachineBrigade/Resources/Data/balance.json: weapons[71]</t>
        </is>
      </c>
      <c r="GE81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82">
      <c r="A82" t="inlineStr">
        <is>
          <t>guided_bomb</t>
        </is>
      </c>
      <c r="B82" t="inlineStr">
        <is>
          <t>GBU-39 SDB (110 kg)</t>
        </is>
      </c>
      <c r="C82" t="inlineStr">
        <is>
          <t>bomb_gbu_39_sdb</t>
        </is>
      </c>
      <c r="D82" t="inlineStr"/>
      <c r="E82" t="inlineStr"/>
      <c r="F82" t="inlineStr">
        <is>
          <t>bomb</t>
        </is>
      </c>
      <c r="G82" t="inlineStr"/>
      <c r="H82" t="n">
        <v>110</v>
      </c>
      <c r="I82" t="inlineStr"/>
      <c r="J82" t="inlineStr"/>
      <c r="K82" t="inlineStr">
        <is>
          <t>HighExplosive</t>
        </is>
      </c>
      <c r="L82" t="n">
        <v>3</v>
      </c>
      <c r="M82" t="inlineStr">
        <is>
          <t>Bomb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6.651</v>
      </c>
      <c r="S82" t="n">
        <v>0</v>
      </c>
      <c r="T82" t="n">
        <v>0</v>
      </c>
      <c r="U82" t="n">
        <v>0</v>
      </c>
      <c r="V82" t="n">
        <v>0</v>
      </c>
      <c r="W82" t="n">
        <v>250</v>
      </c>
      <c r="X82" t="n">
        <v>4</v>
      </c>
      <c r="Y82" t="n">
        <v>0</v>
      </c>
      <c r="Z82" t="n">
        <v>40</v>
      </c>
      <c r="AA82" t="n">
        <v>30</v>
      </c>
      <c r="AB82" t="n">
        <v>0</v>
      </c>
      <c r="AC82" t="inlineStr">
        <is>
          <t>Ground</t>
        </is>
      </c>
      <c r="AD82" t="inlineStr"/>
      <c r="AE82" t="n">
        <v>1</v>
      </c>
      <c r="AF82" t="inlineStr">
        <is>
          <t>Large</t>
        </is>
      </c>
      <c r="AG82" t="b">
        <v>1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110</v>
      </c>
      <c r="AO82" t="n">
        <v>2</v>
      </c>
      <c r="AP82" t="inlineStr">
        <is>
          <t>T2</t>
        </is>
      </c>
      <c r="AQ82" t="inlineStr"/>
      <c r="AR82" t="inlineStr"/>
      <c r="AS82" t="inlineStr">
        <is>
          <t>xe</t>
        </is>
      </c>
      <c r="AT82" t="inlineStr">
        <is>
          <t>stealth_fighter;strike_drone</t>
        </is>
      </c>
      <c r="AU82" t="n">
        <v>2</v>
      </c>
      <c r="AV82" t="inlineStr">
        <is>
          <t>stealth_fighter:1;strike_drone:1</t>
        </is>
      </c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0.75</v>
      </c>
      <c r="BB82" t="n">
        <v>600</v>
      </c>
      <c r="BC82" t="inlineStr"/>
      <c r="BD82" t="inlineStr">
        <is>
          <t>bomb</t>
        </is>
      </c>
      <c r="BE82" t="inlineStr">
        <is>
          <t>a stick's release, 0.1 s and up (est.)</t>
        </is>
      </c>
      <c r="BG82" t="inlineStr">
        <is>
          <t>doi</t>
        </is>
      </c>
      <c r="BH82" t="n">
        <v>210</v>
      </c>
      <c r="BI82" t="n">
        <v>250</v>
      </c>
      <c r="DD82" t="n">
        <v>6.651</v>
      </c>
      <c r="DE82" t="n">
        <v>250</v>
      </c>
      <c r="DF82" t="inlineStr">
        <is>
          <t>HighExplosive</t>
        </is>
      </c>
      <c r="DJ82" t="inlineStr">
        <is>
          <t>bomb</t>
        </is>
      </c>
      <c r="DN82" t="inlineStr">
        <is>
          <t>GuidedBomb</t>
        </is>
      </c>
      <c r="DS82" t="inlineStr">
        <is>
          <t>Large</t>
        </is>
      </c>
      <c r="DW82" t="n">
        <v>2</v>
      </c>
      <c r="EB82" t="n">
        <v>3</v>
      </c>
      <c r="EH82" t="inlineStr">
        <is>
          <t>Bomb</t>
        </is>
      </c>
      <c r="EI82" t="inlineStr">
        <is>
          <t>gbu39</t>
        </is>
      </c>
      <c r="EJ82" t="n">
        <v>0.4091</v>
      </c>
      <c r="EK82" t="n">
        <v>40</v>
      </c>
      <c r="EP82" t="n">
        <v>30</v>
      </c>
      <c r="EQ82" t="inlineStr">
        <is>
          <t>GBU-39 SDB (110 kg)</t>
        </is>
      </c>
      <c r="ET82" t="n">
        <v>0.9</v>
      </c>
      <c r="EV82" t="n">
        <v>297</v>
      </c>
      <c r="EX82" t="n">
        <v>110</v>
      </c>
      <c r="EY82" t="n">
        <v>4</v>
      </c>
      <c r="EZ82" t="n">
        <v>1</v>
      </c>
      <c r="FA82" t="inlineStr">
        <is>
          <t>CENTER</t>
        </is>
      </c>
      <c r="FB82" t="n">
        <v>0.5</v>
      </c>
      <c r="FC82" t="n">
        <v>1</v>
      </c>
      <c r="FD82" t="inlineStr">
        <is>
          <t>OVERFLY</t>
        </is>
      </c>
      <c r="FE82" t="n">
        <v>0</v>
      </c>
      <c r="FF82" t="n">
        <v>0</v>
      </c>
      <c r="FG82" t="inlineStr">
        <is>
          <t>APPROACH</t>
        </is>
      </c>
      <c r="FH82" t="n">
        <v>0.1</v>
      </c>
      <c r="FI82" t="n">
        <v>0</v>
      </c>
      <c r="FJ82" t="n">
        <v>0</v>
      </c>
      <c r="FK82" t="n">
        <v>0</v>
      </c>
      <c r="FL82" t="n">
        <v>0</v>
      </c>
      <c r="FM82" t="n">
        <v>0</v>
      </c>
      <c r="FN82" t="inlineStr">
        <is>
          <t>POINT</t>
        </is>
      </c>
      <c r="FO82" t="n">
        <v>0</v>
      </c>
      <c r="FP82" t="n">
        <v>0</v>
      </c>
      <c r="FQ82" t="n">
        <v>8</v>
      </c>
      <c r="FR82" t="n">
        <v>0</v>
      </c>
      <c r="FS82" t="n">
        <v>0</v>
      </c>
      <c r="FT82" t="inlineStr">
        <is>
          <t>NONE</t>
        </is>
      </c>
      <c r="FU82" t="n">
        <v>8</v>
      </c>
      <c r="FY82" t="b">
        <v>1</v>
      </c>
      <c r="FZ82" t="n">
        <v>110</v>
      </c>
      <c r="GB82" t="inlineStr">
        <is>
          <t>bomb_gbu_39_sdb</t>
        </is>
      </c>
      <c r="GD82" t="inlineStr">
        <is>
          <t>Assets/MachineBrigade/Resources/Data/balance.json: weapons[236]</t>
        </is>
      </c>
      <c r="GE82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250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83">
      <c r="A83" t="inlineStr">
        <is>
          <t>gun_57_air</t>
        </is>
      </c>
      <c r="B83" t="inlineStr">
        <is>
          <t>AU-220 57 mm (air burst)</t>
        </is>
      </c>
      <c r="C83" t="inlineStr">
        <is>
          <t>cal_57</t>
        </is>
      </c>
      <c r="D83" t="inlineStr">
        <is>
          <t>flak</t>
        </is>
      </c>
      <c r="E83" t="inlineStr"/>
      <c r="F83" t="inlineStr">
        <is>
          <t>autocannon</t>
        </is>
      </c>
      <c r="G83" t="n">
        <v>57</v>
      </c>
      <c r="H83" t="inlineStr"/>
      <c r="I83" t="inlineStr"/>
      <c r="J83" t="inlineStr"/>
      <c r="K83" t="inlineStr">
        <is>
          <t>Fragmentation</t>
        </is>
      </c>
      <c r="L83" t="n">
        <v>2</v>
      </c>
      <c r="M83" t="inlineStr">
        <is>
          <t>Bullet</t>
        </is>
      </c>
      <c r="N83" t="n">
        <v>1</v>
      </c>
      <c r="O83" t="inlineStr">
        <is>
          <t>RIPPLE</t>
        </is>
      </c>
      <c r="P83" t="n">
        <v>1</v>
      </c>
      <c r="Q83" t="n">
        <v>0.1</v>
      </c>
      <c r="R83" t="n">
        <v>0.5</v>
      </c>
      <c r="S83" t="n">
        <v>6</v>
      </c>
      <c r="T83" t="n">
        <v>2.4</v>
      </c>
      <c r="U83" t="n">
        <v>0</v>
      </c>
      <c r="V83" t="n">
        <v>0</v>
      </c>
      <c r="W83" t="n">
        <v>70</v>
      </c>
      <c r="X83" t="n">
        <v>3</v>
      </c>
      <c r="Y83" t="n">
        <v>0</v>
      </c>
      <c r="Z83" t="n">
        <v>260</v>
      </c>
      <c r="AA83" t="n">
        <v>40</v>
      </c>
      <c r="AB83" t="n">
        <v>0</v>
      </c>
      <c r="AC83" t="inlineStr">
        <is>
          <t>Air</t>
        </is>
      </c>
      <c r="AD83" t="inlineStr"/>
      <c r="AE83" t="n">
        <v>1.2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57</v>
      </c>
      <c r="AO83" t="n">
        <v>0</v>
      </c>
      <c r="AP83" t="inlineStr">
        <is>
          <t>T2</t>
        </is>
      </c>
      <c r="AQ83" t="inlineStr"/>
      <c r="AR83" t="inlineStr"/>
      <c r="AS83" t="inlineStr"/>
      <c r="AT83" t="inlineStr"/>
      <c r="AU83" t="n">
        <v>0</v>
      </c>
      <c r="AV83" t="inlineStr"/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0.1538461538461539</v>
      </c>
      <c r="BB83" t="n">
        <v>120</v>
      </c>
      <c r="BC83" t="n">
        <v>80</v>
      </c>
      <c r="BD83" t="inlineStr">
        <is>
          <t>ac</t>
        </is>
      </c>
      <c r="BE83" t="inlineStr">
        <is>
          <t>Wikipedia 'AU-220M': 80-120 rpm</t>
        </is>
      </c>
      <c r="BG83" t="inlineStr">
        <is>
          <t>giong</t>
        </is>
      </c>
      <c r="CT83" t="n">
        <v>57</v>
      </c>
      <c r="CW83" t="n">
        <v>6</v>
      </c>
      <c r="CX83" t="n">
        <v>2.4</v>
      </c>
      <c r="DD83" t="n">
        <v>0.5</v>
      </c>
      <c r="DE83" t="n">
        <v>70</v>
      </c>
      <c r="DF83" t="inlineStr">
        <is>
          <t>Fragmentation</t>
        </is>
      </c>
      <c r="DJ83" t="inlineStr">
        <is>
          <t>autocannon</t>
        </is>
      </c>
      <c r="DS83" t="inlineStr">
        <is>
          <t>Medium</t>
        </is>
      </c>
      <c r="EB83" t="n">
        <v>2</v>
      </c>
      <c r="EH83" t="inlineStr">
        <is>
          <t>Bullet</t>
        </is>
      </c>
      <c r="EK83" t="n">
        <v>260</v>
      </c>
      <c r="EP83" t="n">
        <v>40</v>
      </c>
      <c r="EQ83" t="inlineStr">
        <is>
          <t>AU-220 57 mm (air burst)</t>
        </is>
      </c>
      <c r="EV83" t="n">
        <v>70</v>
      </c>
      <c r="EX83" t="n">
        <v>57</v>
      </c>
      <c r="EY83" t="n">
        <v>3</v>
      </c>
      <c r="EZ83" t="n">
        <v>1.2</v>
      </c>
      <c r="FW83" t="inlineStr">
        <is>
          <t>Air</t>
        </is>
      </c>
      <c r="GB83" t="inlineStr">
        <is>
          <t>cal_57</t>
        </is>
      </c>
      <c r="GC83" t="inlineStr">
        <is>
          <t>flak</t>
        </is>
      </c>
      <c r="GD83" t="inlineStr">
        <is>
          <t>Assets/MachineBrigade/Resources/Data/balance.json: weapons[116]</t>
        </is>
      </c>
      <c r="GE83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84">
      <c r="A84" t="inlineStr">
        <is>
          <t>gun_57_auto</t>
        </is>
      </c>
      <c r="B84" t="inlineStr">
        <is>
          <t>AU-220 57 mm (tower, twin)</t>
        </is>
      </c>
      <c r="C84" t="inlineStr">
        <is>
          <t>cal_57</t>
        </is>
      </c>
      <c r="D84" t="inlineStr">
        <is>
          <t>ap</t>
        </is>
      </c>
      <c r="E84" t="inlineStr"/>
      <c r="F84" t="inlineStr">
        <is>
          <t>autocannon</t>
        </is>
      </c>
      <c r="G84" t="n">
        <v>57</v>
      </c>
      <c r="H84" t="inlineStr"/>
      <c r="I84" t="inlineStr"/>
      <c r="J84" t="inlineStr"/>
      <c r="K84" t="inlineStr">
        <is>
          <t>Kinetic</t>
        </is>
      </c>
      <c r="L84" t="n">
        <v>2</v>
      </c>
      <c r="M84" t="inlineStr">
        <is>
          <t>Bullet</t>
        </is>
      </c>
      <c r="N84" t="n">
        <v>2</v>
      </c>
      <c r="O84" t="inlineStr">
        <is>
          <t>RIPPLE</t>
        </is>
      </c>
      <c r="P84" t="n">
        <v>1</v>
      </c>
      <c r="Q84" t="n">
        <v>0.1</v>
      </c>
      <c r="R84" t="n">
        <v>0.25</v>
      </c>
      <c r="S84" t="n">
        <v>12</v>
      </c>
      <c r="T84" t="n">
        <v>2.65</v>
      </c>
      <c r="U84" t="n">
        <v>0</v>
      </c>
      <c r="V84" t="n">
        <v>0</v>
      </c>
      <c r="W84" t="n">
        <v>35</v>
      </c>
      <c r="X84" t="n">
        <v>1.5</v>
      </c>
      <c r="Y84" t="n">
        <v>0</v>
      </c>
      <c r="Z84" t="n">
        <v>260</v>
      </c>
      <c r="AA84" t="n">
        <v>40</v>
      </c>
      <c r="AB84" t="n">
        <v>0</v>
      </c>
      <c r="AC84" t="inlineStr">
        <is>
          <t>Ground</t>
        </is>
      </c>
      <c r="AD84" t="inlineStr"/>
      <c r="AE84" t="n">
        <v>0.9</v>
      </c>
      <c r="AF84" t="inlineStr">
        <is>
          <t>Medium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57</v>
      </c>
      <c r="AO84" t="n">
        <v>0</v>
      </c>
      <c r="AP84" t="inlineStr">
        <is>
          <t>T2</t>
        </is>
      </c>
      <c r="AQ84" t="inlineStr"/>
      <c r="AR84" t="inlineStr"/>
      <c r="AS84" t="inlineStr">
        <is>
          <t>thap</t>
        </is>
      </c>
      <c r="AT84" t="inlineStr">
        <is>
          <t>gun_turret.auto</t>
        </is>
      </c>
      <c r="AU84" t="n">
        <v>1</v>
      </c>
      <c r="AV84" t="inlineStr">
        <is>
          <t>gun_turret.auto:0</t>
        </is>
      </c>
      <c r="AW84" t="n">
        <v>0</v>
      </c>
      <c r="AX84" t="b">
        <v>0</v>
      </c>
      <c r="AY84" t="inlineStr">
        <is>
          <t>KHONG_AP_DUNG</t>
        </is>
      </c>
      <c r="AZ84">
        <f>IF(AND($AX$84,$AW$84&gt;$AA$84/$Z$84),$AW$84,$AA$84/$Z$84)</f>
        <v/>
      </c>
      <c r="BA84" t="n">
        <v>0.1538461538461539</v>
      </c>
      <c r="BB84" t="n">
        <v>120</v>
      </c>
      <c r="BC84" t="n">
        <v>80</v>
      </c>
      <c r="BD84" t="inlineStr">
        <is>
          <t>ac</t>
        </is>
      </c>
      <c r="BE84" t="inlineStr">
        <is>
          <t>Wikipedia 'AU-220M': 80-120 rpm</t>
        </is>
      </c>
      <c r="BG84" t="inlineStr">
        <is>
          <t>doi</t>
        </is>
      </c>
      <c r="BH84" t="n">
        <v>70</v>
      </c>
      <c r="BI84" t="n">
        <v>35</v>
      </c>
      <c r="BJ84" t="n">
        <v>0.5</v>
      </c>
      <c r="BK84" t="n">
        <v>0.25</v>
      </c>
      <c r="BX84" t="n">
        <v>1</v>
      </c>
      <c r="BY84" t="n">
        <v>2</v>
      </c>
      <c r="CF84" t="n">
        <v>6</v>
      </c>
      <c r="CG84" t="n">
        <v>12</v>
      </c>
      <c r="CH84" t="n">
        <v>2.9</v>
      </c>
      <c r="CI84" t="n">
        <v>2.65</v>
      </c>
      <c r="CL84" t="inlineStr">
        <is>
          <t>All</t>
        </is>
      </c>
      <c r="CM84" t="inlineStr">
        <is>
          <t>Ground</t>
        </is>
      </c>
      <c r="CO84" t="n">
        <v>2</v>
      </c>
      <c r="CT84" t="n">
        <v>57</v>
      </c>
      <c r="CW84" t="n">
        <v>12</v>
      </c>
      <c r="CX84" t="n">
        <v>2.65</v>
      </c>
      <c r="DD84" t="n">
        <v>0.25</v>
      </c>
      <c r="DE84" t="n">
        <v>35</v>
      </c>
      <c r="DF84" t="inlineStr">
        <is>
          <t>Kinetic</t>
        </is>
      </c>
      <c r="DJ84" t="inlineStr">
        <is>
          <t>autocannon</t>
        </is>
      </c>
      <c r="DS84" t="inlineStr">
        <is>
          <t>Medium</t>
        </is>
      </c>
      <c r="EB84" t="n">
        <v>2</v>
      </c>
      <c r="EG84" t="inlineStr">
        <is>
          <t>Light</t>
        </is>
      </c>
      <c r="EH84" t="inlineStr">
        <is>
          <t>Bullet</t>
        </is>
      </c>
      <c r="EK84" t="n">
        <v>260</v>
      </c>
      <c r="EP84" t="n">
        <v>40</v>
      </c>
      <c r="EQ84" t="inlineStr">
        <is>
          <t>AU-220 57 mm (tower, twin)</t>
        </is>
      </c>
      <c r="EV84" t="n">
        <v>70</v>
      </c>
      <c r="EX84" t="n">
        <v>57</v>
      </c>
      <c r="EY84" t="n">
        <v>1.5</v>
      </c>
      <c r="EZ84" t="n">
        <v>0.9</v>
      </c>
      <c r="FW84" t="inlineStr">
        <is>
          <t>Ground</t>
        </is>
      </c>
      <c r="GB84" t="inlineStr">
        <is>
          <t>cal_57</t>
        </is>
      </c>
      <c r="GC84" t="inlineStr">
        <is>
          <t>ap</t>
        </is>
      </c>
      <c r="GD84" t="inlineStr">
        <is>
          <t>Assets/MachineBrigade/Resources/Data/balance.json: weapons[115]</t>
        </is>
      </c>
      <c r="GE84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85">
      <c r="A85" t="inlineStr">
        <is>
          <t>gun_57mm</t>
        </is>
      </c>
      <c r="B85" t="inlineStr">
        <is>
          <t>S-60 57 mm (2A91)</t>
        </is>
      </c>
      <c r="C85" t="inlineStr">
        <is>
          <t>cal_57</t>
        </is>
      </c>
      <c r="D85" t="inlineStr">
        <is>
          <t>ap</t>
        </is>
      </c>
      <c r="E85" t="inlineStr"/>
      <c r="F85" t="inlineStr">
        <is>
          <t>tank_gun</t>
        </is>
      </c>
      <c r="G85" t="n">
        <v>57</v>
      </c>
      <c r="H85" t="inlineStr"/>
      <c r="I85" t="inlineStr"/>
      <c r="J85" t="inlineStr"/>
      <c r="K85" t="inlineStr">
        <is>
          <t>Kinetic</t>
        </is>
      </c>
      <c r="L85" t="n">
        <v>2</v>
      </c>
      <c r="M85" t="inlineStr">
        <is>
          <t>Shell</t>
        </is>
      </c>
      <c r="N85" t="n">
        <v>1</v>
      </c>
      <c r="O85" t="inlineStr">
        <is>
          <t>RIPPLE</t>
        </is>
      </c>
      <c r="P85" t="n">
        <v>2</v>
      </c>
      <c r="Q85" t="n">
        <v>0.5</v>
      </c>
      <c r="R85" t="n">
        <v>5.929</v>
      </c>
      <c r="S85" t="n">
        <v>0</v>
      </c>
      <c r="T85" t="n">
        <v>0</v>
      </c>
      <c r="U85" t="n">
        <v>0</v>
      </c>
      <c r="V85" t="n">
        <v>0</v>
      </c>
      <c r="W85" t="n">
        <v>110</v>
      </c>
      <c r="X85" t="n">
        <v>0</v>
      </c>
      <c r="Y85" t="n">
        <v>0</v>
      </c>
      <c r="Z85" t="n">
        <v>150</v>
      </c>
      <c r="AA85" t="n">
        <v>28</v>
      </c>
      <c r="AB85" t="n">
        <v>0</v>
      </c>
      <c r="AC85" t="inlineStr">
        <is>
          <t>Ground</t>
        </is>
      </c>
      <c r="AD85" t="inlineStr"/>
      <c r="AE85" t="n">
        <v>0.8</v>
      </c>
      <c r="AF85" t="inlineStr">
        <is>
          <t>Medium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57</v>
      </c>
      <c r="AO85" t="n">
        <v>0</v>
      </c>
      <c r="AP85" t="inlineStr">
        <is>
          <t>T2</t>
        </is>
      </c>
      <c r="AQ85" t="inlineStr"/>
      <c r="AR85" t="inlineStr">
        <is>
          <t>gun_57mm_he</t>
        </is>
      </c>
      <c r="AS85" t="inlineStr">
        <is>
          <t>xe</t>
        </is>
      </c>
      <c r="AT85" t="inlineStr">
        <is>
          <t>light_tank</t>
        </is>
      </c>
      <c r="AU85" t="n">
        <v>1</v>
      </c>
      <c r="AV85" t="inlineStr">
        <is>
          <t>light_tank:0</t>
        </is>
      </c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0.1866666666666667</v>
      </c>
      <c r="BB85" t="n">
        <v>120</v>
      </c>
      <c r="BC85" t="n">
        <v>80</v>
      </c>
      <c r="BD85" t="inlineStr">
        <is>
          <t>ac</t>
        </is>
      </c>
      <c r="BE85" t="inlineStr">
        <is>
          <t>Wikipedia 'AU-220M': 80-120 rpm</t>
        </is>
      </c>
      <c r="BG85" t="inlineStr">
        <is>
          <t>doi</t>
        </is>
      </c>
      <c r="BH85" t="n">
        <v>77</v>
      </c>
      <c r="BI85" t="n">
        <v>110</v>
      </c>
      <c r="BJ85" t="n">
        <v>4</v>
      </c>
      <c r="BK85" t="n">
        <v>5.929</v>
      </c>
      <c r="CR85" t="n">
        <v>2</v>
      </c>
      <c r="CS85" t="n">
        <v>0.5</v>
      </c>
      <c r="CT85" t="n">
        <v>57</v>
      </c>
      <c r="DD85" t="n">
        <v>5.929</v>
      </c>
      <c r="DE85" t="n">
        <v>110</v>
      </c>
      <c r="DF85" t="inlineStr">
        <is>
          <t>Kinetic</t>
        </is>
      </c>
      <c r="DJ85" t="inlineStr">
        <is>
          <t>tank_gun</t>
        </is>
      </c>
      <c r="DS85" t="inlineStr">
        <is>
          <t>Medium</t>
        </is>
      </c>
      <c r="EB85" t="n">
        <v>2</v>
      </c>
      <c r="EE85" t="b">
        <v>1</v>
      </c>
      <c r="EK85" t="n">
        <v>150</v>
      </c>
      <c r="EP85" t="n">
        <v>28</v>
      </c>
      <c r="EQ85" t="inlineStr">
        <is>
          <t>S-60 57 mm (2A91)</t>
        </is>
      </c>
      <c r="EV85" t="n">
        <v>79</v>
      </c>
      <c r="EX85" t="n">
        <v>57</v>
      </c>
      <c r="EZ85" t="n">
        <v>0.8</v>
      </c>
      <c r="GB85" t="inlineStr">
        <is>
          <t>cal_57</t>
        </is>
      </c>
      <c r="GC85" t="inlineStr">
        <is>
          <t>ap</t>
        </is>
      </c>
      <c r="GD85" t="inlineStr">
        <is>
          <t>Assets/MachineBrigade/Resources/Data/balance.json: weapons[10]</t>
        </is>
      </c>
      <c r="GE85" t="inlineStr">
        <is>
          <t>{"id":"gun_57mm","weaponFamilyId":"cal_57","weaponVariantId":"ap","burstInterval":0.5,"burst":2,"real":"S-60 57 mm (2A91)","family":"tank_gun","size":57,"caliberMm":57,"pen":2,"piercing":true,"damageType":"Kinetic","damage":110,"cooldown":5.929,"range":28,"projectileSpeed":150,"spread":0.8,"impactTier":"Medium","roundWeight":79}</t>
        </is>
      </c>
    </row>
    <row r="86">
      <c r="A86" t="inlineStr">
        <is>
          <t>gun_57mm_he</t>
        </is>
      </c>
      <c r="B86" t="inlineStr">
        <is>
          <t>S-60 57 mm HE (2A91)</t>
        </is>
      </c>
      <c r="C86" t="inlineStr">
        <is>
          <t>cal_57</t>
        </is>
      </c>
      <c r="D86" t="inlineStr"/>
      <c r="E86" t="inlineStr"/>
      <c r="F86" t="inlineStr">
        <is>
          <t>tank_gun</t>
        </is>
      </c>
      <c r="G86" t="n">
        <v>57</v>
      </c>
      <c r="H86" t="inlineStr"/>
      <c r="I86" t="inlineStr"/>
      <c r="J86" t="inlineStr"/>
      <c r="K86" t="inlineStr">
        <is>
          <t>HighExplosive</t>
        </is>
      </c>
      <c r="L86" t="n">
        <v>2</v>
      </c>
      <c r="M86" t="inlineStr">
        <is>
          <t>Shell</t>
        </is>
      </c>
      <c r="N86" t="n">
        <v>1</v>
      </c>
      <c r="O86" t="inlineStr">
        <is>
          <t>RIPPLE</t>
        </is>
      </c>
      <c r="P86" t="n">
        <v>2</v>
      </c>
      <c r="Q86" t="n">
        <v>0.5</v>
      </c>
      <c r="R86" t="n">
        <v>5.929</v>
      </c>
      <c r="S86" t="n">
        <v>0</v>
      </c>
      <c r="T86" t="n">
        <v>0</v>
      </c>
      <c r="U86" t="n">
        <v>0</v>
      </c>
      <c r="V86" t="n">
        <v>0</v>
      </c>
      <c r="W86" t="n">
        <v>110</v>
      </c>
      <c r="X86" t="n">
        <v>3</v>
      </c>
      <c r="Y86" t="n">
        <v>0</v>
      </c>
      <c r="Z86" t="n">
        <v>150</v>
      </c>
      <c r="AA86" t="n">
        <v>28</v>
      </c>
      <c r="AB86" t="n">
        <v>0</v>
      </c>
      <c r="AC86" t="inlineStr">
        <is>
          <t>Ground</t>
        </is>
      </c>
      <c r="AD86" t="inlineStr"/>
      <c r="AE86" t="n">
        <v>0.8</v>
      </c>
      <c r="AF86" t="inlineStr">
        <is>
          <t>Large</t>
        </is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57</v>
      </c>
      <c r="AO86" t="n">
        <v>0</v>
      </c>
      <c r="AP86" t="inlineStr">
        <is>
          <t>T2</t>
        </is>
      </c>
      <c r="AQ86" t="inlineStr">
        <is>
          <t>gun_57mm</t>
        </is>
      </c>
      <c r="AR86" t="inlineStr"/>
      <c r="AS86" t="inlineStr"/>
      <c r="AT86" t="inlineStr"/>
      <c r="AU86" t="n">
        <v>0</v>
      </c>
      <c r="AV86" t="inlineStr"/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0.1866666666666667</v>
      </c>
      <c r="BB86" t="n">
        <v>120</v>
      </c>
      <c r="BC86" t="n">
        <v>80</v>
      </c>
      <c r="BD86" t="inlineStr">
        <is>
          <t>ac</t>
        </is>
      </c>
      <c r="BE86" t="inlineStr">
        <is>
          <t>Wikipedia 'AU-220M': 80-120 rpm</t>
        </is>
      </c>
      <c r="BG86" t="inlineStr">
        <is>
          <t>doi</t>
        </is>
      </c>
      <c r="BH86" t="n">
        <v>77</v>
      </c>
      <c r="BI86" t="n">
        <v>110</v>
      </c>
      <c r="BJ86" t="n">
        <v>4</v>
      </c>
      <c r="BK86" t="n">
        <v>5.929</v>
      </c>
      <c r="DE86" t="n">
        <v>110</v>
      </c>
      <c r="DF86" t="inlineStr">
        <is>
          <t>HighExplosive</t>
        </is>
      </c>
      <c r="DM86" t="inlineStr">
        <is>
          <t>light;structure</t>
        </is>
      </c>
      <c r="DN86" t="inlineStr">
        <is>
          <t>HeShell</t>
        </is>
      </c>
      <c r="DS86" t="inlineStr">
        <is>
          <t>Large</t>
        </is>
      </c>
      <c r="DT86" t="inlineStr">
        <is>
          <t>gun_57mm</t>
        </is>
      </c>
      <c r="EB86" t="n">
        <v>2</v>
      </c>
      <c r="EE86" t="b">
        <v>0</v>
      </c>
      <c r="EQ86" t="inlineStr">
        <is>
          <t>S-60 57 mm HE (2A91)</t>
        </is>
      </c>
      <c r="ES86" t="inlineStr">
        <is>
          <t>he</t>
        </is>
      </c>
      <c r="EU86" t="inlineStr">
        <is>
          <t>gun_57mm</t>
        </is>
      </c>
      <c r="EY86" t="n">
        <v>3</v>
      </c>
      <c r="FW86" t="inlineStr">
        <is>
          <t>Ground</t>
        </is>
      </c>
      <c r="GA86" t="inlineStr"/>
      <c r="GC86" t="inlineStr"/>
      <c r="GD86" t="inlineStr">
        <is>
          <t>Assets/MachineBrigade/Resources/Data/balance.json: secondRounds.rounds[32]</t>
        </is>
      </c>
      <c r="GE86" t="inlineStr">
        <is>
          <t>{"id":"gun_57mm_he","roundOf":"gun_57mm","inherits":"gun_57mm","weaponVariantId":"","weaponFamily":"","round":"he","for":["light","structure"],"real":"S-60 57 mm HE (2A91)","damageType":"HighExplosive","pen":2,"damage":110,"splash":3,"form":"HeShell","piercing":false,"targets":"Ground","impactTier":"Large"}</t>
        </is>
      </c>
    </row>
    <row r="87">
      <c r="A87" t="inlineStr">
        <is>
          <t>gun_100_river</t>
        </is>
      </c>
      <c r="B87" t="inlineStr">
        <is>
          <t>A-190 100 mm (Buyan-class river gunboat)</t>
        </is>
      </c>
      <c r="C87" t="inlineStr">
        <is>
          <t>cal_100_105_he</t>
        </is>
      </c>
      <c r="D87" t="inlineStr"/>
      <c r="E87" t="inlineStr"/>
      <c r="F87" t="inlineStr">
        <is>
          <t>naval_gun</t>
        </is>
      </c>
      <c r="G87" t="n">
        <v>100</v>
      </c>
      <c r="H87" t="inlineStr"/>
      <c r="I87" t="inlineStr"/>
      <c r="J87" t="inlineStr"/>
      <c r="K87" t="inlineStr">
        <is>
          <t>HighExplosive</t>
        </is>
      </c>
      <c r="L87" t="n">
        <v>2</v>
      </c>
      <c r="M87" t="inlineStr">
        <is>
          <t>Shell</t>
        </is>
      </c>
      <c r="N87" t="n">
        <v>1</v>
      </c>
      <c r="O87" t="inlineStr">
        <is>
          <t>RIPPLE</t>
        </is>
      </c>
      <c r="P87" t="n">
        <v>1</v>
      </c>
      <c r="Q87" t="n">
        <v>0.1</v>
      </c>
      <c r="R87" t="n">
        <v>4.286</v>
      </c>
      <c r="S87" t="n">
        <v>0</v>
      </c>
      <c r="T87" t="n">
        <v>0</v>
      </c>
      <c r="U87" t="n">
        <v>0</v>
      </c>
      <c r="V87" t="n">
        <v>0</v>
      </c>
      <c r="W87" t="n">
        <v>229</v>
      </c>
      <c r="X87" t="n">
        <v>4</v>
      </c>
      <c r="Y87" t="n">
        <v>0</v>
      </c>
      <c r="Z87" t="n">
        <v>100</v>
      </c>
      <c r="AA87" t="n">
        <v>70</v>
      </c>
      <c r="AB87" t="n">
        <v>0</v>
      </c>
      <c r="AC87" t="inlineStr">
        <is>
          <t>Ground</t>
        </is>
      </c>
      <c r="AD87" t="inlineStr"/>
      <c r="AE87" t="n">
        <v>0</v>
      </c>
      <c r="AF87" t="inlineStr">
        <is>
          <t>Large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100</v>
      </c>
      <c r="AO87" t="n">
        <v>0</v>
      </c>
      <c r="AP87" t="inlineStr">
        <is>
          <t>T2</t>
        </is>
      </c>
      <c r="AQ87" t="inlineStr"/>
      <c r="AR87" t="inlineStr"/>
      <c r="AS87" t="inlineStr">
        <is>
          <t>xe</t>
        </is>
      </c>
      <c r="AT87" t="inlineStr">
        <is>
          <t>river_gunboat</t>
        </is>
      </c>
      <c r="AU87" t="n">
        <v>1</v>
      </c>
      <c r="AV87" t="inlineStr">
        <is>
          <t>river_gunboat:0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0.7</v>
      </c>
      <c r="BB87" t="n">
        <v>80</v>
      </c>
      <c r="BC87" t="n">
        <v>40</v>
      </c>
      <c r="BD87" t="inlineStr">
        <is>
          <t>gun</t>
        </is>
      </c>
      <c r="BE87" t="inlineStr">
        <is>
          <t>Wikipedia 'A-190': 80 rpm</t>
        </is>
      </c>
      <c r="BG87" t="inlineStr">
        <is>
          <t>doi</t>
        </is>
      </c>
      <c r="BH87" t="n">
        <v>160</v>
      </c>
      <c r="BI87" t="n">
        <v>229</v>
      </c>
      <c r="BJ87" t="n">
        <v>3</v>
      </c>
      <c r="BK87" t="n">
        <v>4.286</v>
      </c>
      <c r="BR87" t="n">
        <v>170</v>
      </c>
      <c r="BS87" t="n">
        <v>100</v>
      </c>
      <c r="CL87" t="inlineStr">
        <is>
          <t>All</t>
        </is>
      </c>
      <c r="CM87" t="inlineStr">
        <is>
          <t>Ground</t>
        </is>
      </c>
      <c r="CT87" t="n">
        <v>100</v>
      </c>
      <c r="DD87" t="n">
        <v>4.286</v>
      </c>
      <c r="DE87" t="n">
        <v>229</v>
      </c>
      <c r="DF87" t="inlineStr">
        <is>
          <t>HighExplosive</t>
        </is>
      </c>
      <c r="DJ87" t="inlineStr">
        <is>
          <t>naval_gun</t>
        </is>
      </c>
      <c r="DS87" t="inlineStr">
        <is>
          <t>Large</t>
        </is>
      </c>
      <c r="EB87" t="n">
        <v>2</v>
      </c>
      <c r="EH87" t="inlineStr">
        <is>
          <t>Shell</t>
        </is>
      </c>
      <c r="EK87" t="n">
        <v>100</v>
      </c>
      <c r="EP87" t="n">
        <v>70</v>
      </c>
      <c r="EQ87" t="inlineStr">
        <is>
          <t>A-190 100 mm (Buyan-class river gunboat)</t>
        </is>
      </c>
      <c r="EX87" t="n">
        <v>100</v>
      </c>
      <c r="EY87" t="n">
        <v>4</v>
      </c>
      <c r="FW87" t="inlineStr">
        <is>
          <t>Ground</t>
        </is>
      </c>
      <c r="GB87" t="inlineStr">
        <is>
          <t>cal_100_105_he</t>
        </is>
      </c>
      <c r="GD87" t="inlineStr">
        <is>
          <t>Assets/MachineBrigade/Resources/Data/balance.json: weapons[285]</t>
        </is>
      </c>
      <c r="GE87" t="inlineStr">
        <is>
          <t>{"id":"gun_100_river","weaponFamilyId":"cal_100_105_he","real":"A-190 100 mm (Buyan-class river gunboat)","family":"naval_gun","size":100,"caliberMm":100,"pen":2,"damageType":"HighExplosive","damage":229,"cooldown":4.286,"range":70,"projectileSpeed":100,"splash":4,"impactTier":"Large","projectile":"Shell","targets":"Ground"}</t>
        </is>
      </c>
    </row>
    <row r="88">
      <c r="A88" t="inlineStr">
        <is>
          <t>gun_105_apfsds</t>
        </is>
      </c>
      <c r="B88" t="inlineStr">
        <is>
          <t>2A75 125 mm APFSDS</t>
        </is>
      </c>
      <c r="C88" t="inlineStr">
        <is>
          <t>cal_125_ap</t>
        </is>
      </c>
      <c r="D88" t="inlineStr"/>
      <c r="E88" t="inlineStr"/>
      <c r="F88" t="inlineStr">
        <is>
          <t>tank_gun</t>
        </is>
      </c>
      <c r="G88" t="n">
        <v>125</v>
      </c>
      <c r="H88" t="inlineStr"/>
      <c r="I88" t="inlineStr"/>
      <c r="J88" t="inlineStr"/>
      <c r="K88" t="inlineStr">
        <is>
          <t>Kinetic</t>
        </is>
      </c>
      <c r="L88" t="n">
        <v>5</v>
      </c>
      <c r="M88" t="inlineStr">
        <is>
          <t>Shell</t>
        </is>
      </c>
      <c r="N88" t="n">
        <v>1</v>
      </c>
      <c r="O88" t="inlineStr">
        <is>
          <t>RIPPLE</t>
        </is>
      </c>
      <c r="P88" t="n">
        <v>1</v>
      </c>
      <c r="Q88" t="n">
        <v>0.1</v>
      </c>
      <c r="R88" t="n">
        <v>5.583</v>
      </c>
      <c r="S88" t="n">
        <v>0</v>
      </c>
      <c r="T88" t="n">
        <v>0</v>
      </c>
      <c r="U88" t="n">
        <v>0</v>
      </c>
      <c r="V88" t="n">
        <v>0</v>
      </c>
      <c r="W88" t="n">
        <v>371</v>
      </c>
      <c r="X88" t="n">
        <v>0</v>
      </c>
      <c r="Y88" t="n">
        <v>0</v>
      </c>
      <c r="Z88" t="n">
        <v>260</v>
      </c>
      <c r="AA88" t="n">
        <v>46</v>
      </c>
      <c r="AB88" t="n">
        <v>0</v>
      </c>
      <c r="AC88" t="inlineStr">
        <is>
          <t>Ground</t>
        </is>
      </c>
      <c r="AD88" t="inlineStr"/>
      <c r="AE88" t="n">
        <v>0.3</v>
      </c>
      <c r="AF88" t="inlineStr">
        <is>
          <t>Medium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125</v>
      </c>
      <c r="AO88" t="n">
        <v>0</v>
      </c>
      <c r="AP88" t="inlineStr">
        <is>
          <t>T3</t>
        </is>
      </c>
      <c r="AQ88" t="inlineStr"/>
      <c r="AR88" t="inlineStr">
        <is>
          <t>gun_105_apfsds_he</t>
        </is>
      </c>
      <c r="AS88" t="inlineStr">
        <is>
          <t>xe</t>
        </is>
      </c>
      <c r="AT88" t="inlineStr">
        <is>
          <t>elite_tank_destroyer</t>
        </is>
      </c>
      <c r="AU88" t="n">
        <v>1</v>
      </c>
      <c r="AV88" t="inlineStr">
        <is>
          <t>elite_tank_destroyer:0</t>
        </is>
      </c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0.1769230769230769</v>
      </c>
      <c r="BB88" t="n">
        <v>7</v>
      </c>
      <c r="BC88" t="n">
        <v>7</v>
      </c>
      <c r="BD88" t="inlineStr">
        <is>
          <t>gun</t>
        </is>
      </c>
      <c r="BE88" t="inlineStr">
        <is>
          <t>Wikipedia '2S25 Sprut-SD': ~7 rpm</t>
        </is>
      </c>
      <c r="BG88" t="inlineStr">
        <is>
          <t>doi</t>
        </is>
      </c>
      <c r="BH88" t="n">
        <v>260</v>
      </c>
      <c r="BI88" t="n">
        <v>371</v>
      </c>
      <c r="BJ88" t="n">
        <v>3.908</v>
      </c>
      <c r="BK88" t="n">
        <v>5.583</v>
      </c>
      <c r="CB88" t="n">
        <v>4</v>
      </c>
      <c r="CC88" t="n">
        <v>5</v>
      </c>
      <c r="CT88" t="n">
        <v>125</v>
      </c>
      <c r="DD88" t="n">
        <v>5.583</v>
      </c>
      <c r="DE88" t="n">
        <v>371</v>
      </c>
      <c r="DF88" t="inlineStr">
        <is>
          <t>Kinetic</t>
        </is>
      </c>
      <c r="DJ88" t="inlineStr">
        <is>
          <t>tank_gun</t>
        </is>
      </c>
      <c r="DS88" t="inlineStr">
        <is>
          <t>Medium</t>
        </is>
      </c>
      <c r="EB88" t="n">
        <v>5</v>
      </c>
      <c r="EE88" t="b">
        <v>1</v>
      </c>
      <c r="EK88" t="n">
        <v>260</v>
      </c>
      <c r="EP88" t="n">
        <v>46</v>
      </c>
      <c r="EQ88" t="inlineStr">
        <is>
          <t>2A75 125 mm APFSDS</t>
        </is>
      </c>
      <c r="EV88" t="n">
        <v>345</v>
      </c>
      <c r="EX88" t="n">
        <v>125</v>
      </c>
      <c r="EZ88" t="n">
        <v>0.3</v>
      </c>
      <c r="GB88" t="inlineStr">
        <is>
          <t>cal_125_ap</t>
        </is>
      </c>
      <c r="GD88" t="inlineStr">
        <is>
          <t>Assets/MachineBrigade/Resources/Data/balance.json: weapons[93]</t>
        </is>
      </c>
      <c r="GE88" t="inlineStr">
        <is>
          <t>{"id":"gun_105_apfsds","weaponFamilyId":"cal_125_ap","real":"2A75 125 mm APFSDS","family":"tank_gun","size":125,"caliberMm":125,"pen":5,"piercing":true,"damageType":"Kinetic","damage":371,"cooldown":5.583,"range":46,"projectileSpeed":260,"spread":0.3,"impactTier":"Medium","roundWeight":345}</t>
        </is>
      </c>
    </row>
    <row r="89">
      <c r="A89" t="inlineStr">
        <is>
          <t>gun_105_apfsds_he</t>
        </is>
      </c>
      <c r="B89" t="inlineStr">
        <is>
          <t>2A75 125 mm HE</t>
        </is>
      </c>
      <c r="C89" t="inlineStr">
        <is>
          <t>cal_125_he</t>
        </is>
      </c>
      <c r="D89" t="inlineStr"/>
      <c r="E89" t="inlineStr">
        <is>
          <t>2a75_125_mm_he</t>
        </is>
      </c>
      <c r="F89" t="inlineStr">
        <is>
          <t>tank_gun</t>
        </is>
      </c>
      <c r="G89" t="n">
        <v>125</v>
      </c>
      <c r="H89" t="inlineStr"/>
      <c r="I89" t="inlineStr"/>
      <c r="J89" t="inlineStr"/>
      <c r="K89" t="inlineStr">
        <is>
          <t>HighExplosive</t>
        </is>
      </c>
      <c r="L89" t="n">
        <v>2</v>
      </c>
      <c r="M89" t="inlineStr">
        <is>
          <t>Shell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5.583</v>
      </c>
      <c r="S89" t="n">
        <v>0</v>
      </c>
      <c r="T89" t="n">
        <v>0</v>
      </c>
      <c r="U89" t="n">
        <v>0</v>
      </c>
      <c r="V89" t="n">
        <v>0</v>
      </c>
      <c r="W89" t="n">
        <v>371</v>
      </c>
      <c r="X89" t="n">
        <v>3</v>
      </c>
      <c r="Y89" t="n">
        <v>0</v>
      </c>
      <c r="Z89" t="n">
        <v>260</v>
      </c>
      <c r="AA89" t="n">
        <v>46</v>
      </c>
      <c r="AB89" t="n">
        <v>0</v>
      </c>
      <c r="AC89" t="inlineStr">
        <is>
          <t>Ground</t>
        </is>
      </c>
      <c r="AD89" t="inlineStr"/>
      <c r="AE89" t="n">
        <v>0.3</v>
      </c>
      <c r="AF89" t="inlineStr">
        <is>
          <t>Large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125</v>
      </c>
      <c r="AO89" t="n">
        <v>0</v>
      </c>
      <c r="AP89" t="inlineStr">
        <is>
          <t>T3</t>
        </is>
      </c>
      <c r="AQ89" t="inlineStr">
        <is>
          <t>gun_105_apfsds</t>
        </is>
      </c>
      <c r="AR89" t="inlineStr"/>
      <c r="AS89" t="inlineStr"/>
      <c r="AT89" t="inlineStr"/>
      <c r="AU89" t="n">
        <v>0</v>
      </c>
      <c r="AV89" t="inlineStr"/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0.1769230769230769</v>
      </c>
      <c r="BB89" t="n">
        <v>7</v>
      </c>
      <c r="BC89" t="n">
        <v>7</v>
      </c>
      <c r="BD89" t="inlineStr">
        <is>
          <t>gun</t>
        </is>
      </c>
      <c r="BE89" t="inlineStr">
        <is>
          <t>Wikipedia '2S25 Sprut-SD': ~7 rpm</t>
        </is>
      </c>
      <c r="BG89" t="inlineStr">
        <is>
          <t>doi</t>
        </is>
      </c>
      <c r="BH89" t="n">
        <v>260</v>
      </c>
      <c r="BI89" t="n">
        <v>371</v>
      </c>
      <c r="BJ89" t="n">
        <v>3.908</v>
      </c>
      <c r="BK89" t="n">
        <v>5.583</v>
      </c>
      <c r="DE89" t="n">
        <v>371</v>
      </c>
      <c r="DF89" t="inlineStr">
        <is>
          <t>HighExplosive</t>
        </is>
      </c>
      <c r="DM89" t="inlineStr">
        <is>
          <t>light;structure</t>
        </is>
      </c>
      <c r="DN89" t="inlineStr">
        <is>
          <t>HeShell</t>
        </is>
      </c>
      <c r="DS89" t="inlineStr">
        <is>
          <t>Large</t>
        </is>
      </c>
      <c r="DT89" t="inlineStr">
        <is>
          <t>gun_105_apfsds</t>
        </is>
      </c>
      <c r="EB89" t="n">
        <v>2</v>
      </c>
      <c r="EE89" t="b">
        <v>0</v>
      </c>
      <c r="EQ89" t="inlineStr">
        <is>
          <t>2A75 125 mm HE</t>
        </is>
      </c>
      <c r="ES89" t="inlineStr">
        <is>
          <t>he</t>
        </is>
      </c>
      <c r="EU89" t="inlineStr">
        <is>
          <t>gun_105_apfsds</t>
        </is>
      </c>
      <c r="EY89" t="n">
        <v>3</v>
      </c>
      <c r="FW89" t="inlineStr">
        <is>
          <t>Ground</t>
        </is>
      </c>
      <c r="GA89" t="inlineStr">
        <is>
          <t>2a75_125_mm_he</t>
        </is>
      </c>
      <c r="GB89" t="inlineStr">
        <is>
          <t>cal_125_he</t>
        </is>
      </c>
      <c r="GD89" t="inlineStr">
        <is>
          <t>Assets/MachineBrigade/Resources/Data/balance.json: secondRounds.rounds[20]</t>
        </is>
      </c>
      <c r="GE89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HE","damageType":"HighExplosive","pen":2,"damage":371,"splash":3,"form":"HeShell","piercing":false,"targets":"Ground","impactTier":"Large"}</t>
        </is>
      </c>
    </row>
    <row r="90">
      <c r="A90" t="inlineStr">
        <is>
          <t>gun_105_bunker</t>
        </is>
      </c>
      <c r="B90" t="inlineStr">
        <is>
          <t>L7 105 mm</t>
        </is>
      </c>
      <c r="C90" t="inlineStr">
        <is>
          <t>cal_100_105_ap</t>
        </is>
      </c>
      <c r="D90" t="inlineStr"/>
      <c r="E90" t="inlineStr">
        <is>
          <t>l7_105_mm</t>
        </is>
      </c>
      <c r="F90" t="inlineStr">
        <is>
          <t>tank_gun</t>
        </is>
      </c>
      <c r="G90" t="n">
        <v>105</v>
      </c>
      <c r="H90" t="inlineStr"/>
      <c r="I90" t="inlineStr"/>
      <c r="J90" t="inlineStr"/>
      <c r="K90" t="inlineStr">
        <is>
          <t>Kinetic</t>
        </is>
      </c>
      <c r="L90" t="n">
        <v>3</v>
      </c>
      <c r="M90" t="inlineStr">
        <is>
          <t>Shell</t>
        </is>
      </c>
      <c r="N90" t="n">
        <v>1</v>
      </c>
      <c r="O90" t="inlineStr">
        <is>
          <t>RIPPLE</t>
        </is>
      </c>
      <c r="P90" t="n">
        <v>1</v>
      </c>
      <c r="Q90" t="n">
        <v>0.1</v>
      </c>
      <c r="R90" t="n">
        <v>4.536</v>
      </c>
      <c r="S90" t="n">
        <v>0</v>
      </c>
      <c r="T90" t="n">
        <v>0</v>
      </c>
      <c r="U90" t="n">
        <v>0</v>
      </c>
      <c r="V90" t="n">
        <v>0</v>
      </c>
      <c r="W90" t="n">
        <v>250</v>
      </c>
      <c r="X90" t="n">
        <v>1.5</v>
      </c>
      <c r="Y90" t="n">
        <v>0</v>
      </c>
      <c r="Z90" t="n">
        <v>190</v>
      </c>
      <c r="AA90" t="n">
        <v>34</v>
      </c>
      <c r="AB90" t="n">
        <v>0</v>
      </c>
      <c r="AC90" t="inlineStr">
        <is>
          <t>Ground</t>
        </is>
      </c>
      <c r="AD90" t="inlineStr"/>
      <c r="AE90" t="n">
        <v>0.6</v>
      </c>
      <c r="AF90" t="inlineStr">
        <is>
          <t>Medium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105</v>
      </c>
      <c r="AO90" t="n">
        <v>0</v>
      </c>
      <c r="AP90" t="inlineStr">
        <is>
          <t>T2</t>
        </is>
      </c>
      <c r="AQ90" t="inlineStr"/>
      <c r="AR90" t="inlineStr">
        <is>
          <t>gun_105_bunker_he</t>
        </is>
      </c>
      <c r="AS90" t="inlineStr"/>
      <c r="AT90" t="inlineStr"/>
      <c r="AU90" t="n">
        <v>0</v>
      </c>
      <c r="AV90" t="inlineStr"/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0.1789473684210526</v>
      </c>
      <c r="BB90" t="n">
        <v>10</v>
      </c>
      <c r="BC90" t="n">
        <v>6</v>
      </c>
      <c r="BD90" t="inlineStr">
        <is>
          <t>gun</t>
        </is>
      </c>
      <c r="BE90" t="inlineStr">
        <is>
          <t>Wikipedia 'Royal Ordnance L7': 6-10 rpm</t>
        </is>
      </c>
      <c r="BG90" t="inlineStr">
        <is>
          <t>doi</t>
        </is>
      </c>
      <c r="BH90" t="n">
        <v>212</v>
      </c>
      <c r="BI90" t="n">
        <v>250</v>
      </c>
      <c r="CT90" t="n">
        <v>105</v>
      </c>
      <c r="DD90" t="n">
        <v>4.536</v>
      </c>
      <c r="DE90" t="n">
        <v>250</v>
      </c>
      <c r="DF90" t="inlineStr">
        <is>
          <t>Kinetic</t>
        </is>
      </c>
      <c r="DJ90" t="inlineStr">
        <is>
          <t>tank_gun</t>
        </is>
      </c>
      <c r="DS90" t="inlineStr">
        <is>
          <t>Medium</t>
        </is>
      </c>
      <c r="EB90" t="n">
        <v>3</v>
      </c>
      <c r="EE90" t="b">
        <v>1</v>
      </c>
      <c r="EP90" t="n">
        <v>34</v>
      </c>
      <c r="EQ90" t="inlineStr">
        <is>
          <t>L7 105 mm</t>
        </is>
      </c>
      <c r="EX90" t="n">
        <v>105</v>
      </c>
      <c r="EZ90" t="n">
        <v>0.6</v>
      </c>
      <c r="GA90" t="inlineStr">
        <is>
          <t>l7_105_mm</t>
        </is>
      </c>
      <c r="GB90" t="inlineStr">
        <is>
          <t>cal_100_105_ap</t>
        </is>
      </c>
      <c r="GD90" t="inlineStr">
        <is>
          <t>Assets/MachineBrigade/Resources/Data/balance.json: weapons[263]</t>
        </is>
      </c>
      <c r="GE90" t="inlineStr">
        <is>
          <t>{"id":"gun_105_bunker","weaponFamilyId":"cal_100_105_ap","weaponFamily":"l7_105_mm","real":"L7 105 mm","family":"tank_gun","size":105,"caliberMm":105,"pen":3,"piercing":true,"damageType":"Kinetic","damage":250,"cooldown":4.536,"range":34,"spread":0.6,"impactTier":"Medium"}</t>
        </is>
      </c>
    </row>
    <row r="91">
      <c r="A91" t="inlineStr">
        <is>
          <t>gun_105_bunker_he</t>
        </is>
      </c>
      <c r="B91" t="inlineStr">
        <is>
          <t>L7 105 mm HE</t>
        </is>
      </c>
      <c r="C91" t="inlineStr">
        <is>
          <t>cal_100_105_he</t>
        </is>
      </c>
      <c r="D91" t="inlineStr"/>
      <c r="E91" t="inlineStr">
        <is>
          <t>l7_105_mm_he_bunker</t>
        </is>
      </c>
      <c r="F91" t="inlineStr">
        <is>
          <t>tank_gun</t>
        </is>
      </c>
      <c r="G91" t="n">
        <v>105</v>
      </c>
      <c r="H91" t="inlineStr"/>
      <c r="I91" t="inlineStr"/>
      <c r="J91" t="inlineStr"/>
      <c r="K91" t="inlineStr">
        <is>
          <t>HighExplosive</t>
        </is>
      </c>
      <c r="L91" t="n">
        <v>2</v>
      </c>
      <c r="M91" t="inlineStr">
        <is>
          <t>Shell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4.536</v>
      </c>
      <c r="S91" t="n">
        <v>0</v>
      </c>
      <c r="T91" t="n">
        <v>0</v>
      </c>
      <c r="U91" t="n">
        <v>0</v>
      </c>
      <c r="V91" t="n">
        <v>0</v>
      </c>
      <c r="W91" t="n">
        <v>300</v>
      </c>
      <c r="X91" t="n">
        <v>5.5</v>
      </c>
      <c r="Y91" t="n">
        <v>11</v>
      </c>
      <c r="Z91" t="n">
        <v>190</v>
      </c>
      <c r="AA91" t="n">
        <v>34</v>
      </c>
      <c r="AB91" t="n">
        <v>0</v>
      </c>
      <c r="AC91" t="inlineStr">
        <is>
          <t>Ground</t>
        </is>
      </c>
      <c r="AD91" t="inlineStr"/>
      <c r="AE91" t="n">
        <v>0.6</v>
      </c>
      <c r="AF91" t="inlineStr">
        <is>
          <t>Large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105</v>
      </c>
      <c r="AO91" t="n">
        <v>0</v>
      </c>
      <c r="AP91" t="inlineStr">
        <is>
          <t>T2</t>
        </is>
      </c>
      <c r="AQ91" t="inlineStr">
        <is>
          <t>gun_105_bunker</t>
        </is>
      </c>
      <c r="AR91" t="inlineStr"/>
      <c r="AS91" t="inlineStr"/>
      <c r="AT91" t="inlineStr"/>
      <c r="AU91" t="n">
        <v>0</v>
      </c>
      <c r="AV91" t="inlineStr"/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0.1789473684210526</v>
      </c>
      <c r="BB91" t="n">
        <v>10</v>
      </c>
      <c r="BC91" t="n">
        <v>6</v>
      </c>
      <c r="BD91" t="inlineStr">
        <is>
          <t>gun</t>
        </is>
      </c>
      <c r="BE91" t="inlineStr">
        <is>
          <t>Wikipedia 'Royal Ordnance L7': 6-10 rpm</t>
        </is>
      </c>
      <c r="BG91" t="inlineStr">
        <is>
          <t>doi</t>
        </is>
      </c>
      <c r="BH91" t="n">
        <v>212</v>
      </c>
      <c r="BI91" t="n">
        <v>300</v>
      </c>
      <c r="BN91" t="n">
        <v>3</v>
      </c>
      <c r="BO91" t="n">
        <v>5.5</v>
      </c>
      <c r="BP91" t="n">
        <v>0</v>
      </c>
      <c r="BQ91" t="n">
        <v>11</v>
      </c>
      <c r="DE91" t="n">
        <v>300</v>
      </c>
      <c r="DF91" t="inlineStr">
        <is>
          <t>HighExplosive</t>
        </is>
      </c>
      <c r="DG91" t="n">
        <v>11</v>
      </c>
      <c r="DM91" t="inlineStr">
        <is>
          <t>light;structure</t>
        </is>
      </c>
      <c r="DN91" t="inlineStr">
        <is>
          <t>HeShell</t>
        </is>
      </c>
      <c r="DS91" t="inlineStr">
        <is>
          <t>Large</t>
        </is>
      </c>
      <c r="DT91" t="inlineStr">
        <is>
          <t>gun_105_bunker</t>
        </is>
      </c>
      <c r="EB91" t="n">
        <v>2</v>
      </c>
      <c r="EE91" t="b">
        <v>0</v>
      </c>
      <c r="EQ91" t="inlineStr">
        <is>
          <t>L7 105 mm HE</t>
        </is>
      </c>
      <c r="ES91" t="inlineStr">
        <is>
          <t>he</t>
        </is>
      </c>
      <c r="EU91" t="inlineStr">
        <is>
          <t>gun_105_bunker</t>
        </is>
      </c>
      <c r="EY91" t="n">
        <v>3</v>
      </c>
      <c r="FW91" t="inlineStr">
        <is>
          <t>Ground</t>
        </is>
      </c>
      <c r="GA91" t="inlineStr">
        <is>
          <t>l7_105_mm_he_bunker</t>
        </is>
      </c>
      <c r="GB91" t="inlineStr">
        <is>
          <t>cal_100_105_he</t>
        </is>
      </c>
      <c r="GD91" t="inlineStr">
        <is>
          <t>Assets/MachineBrigade/Resources/Data/balance.json: secondRounds.rounds[21]</t>
        </is>
      </c>
      <c r="GE91" t="inlineStr">
        <is>
          <t>{"id":"gun_105_bunker_he","roundOf":"gun_105_bunker","inherits":"gun_105_bunker","weaponFamilyId":"cal_100_105_he","weaponFamily":"l7_105_mm_he_bunker","round":"he","for":["light","structure"],"real":"L7 105 mm HE","damageType":"HighExplosive","pen":2,"damage":300,"splash":3,"edge":11,"form":"HeShell","piercing":false,"targets":"Ground","impactTier":"Large"}</t>
        </is>
      </c>
    </row>
    <row r="92">
      <c r="A92" t="inlineStr">
        <is>
          <t>gun_105_long</t>
        </is>
      </c>
      <c r="B92" t="inlineStr">
        <is>
          <t>2A75 125 mm (2S25 Sprut)</t>
        </is>
      </c>
      <c r="C92" t="inlineStr">
        <is>
          <t>cal_125_ap</t>
        </is>
      </c>
      <c r="D92" t="inlineStr"/>
      <c r="E92" t="inlineStr"/>
      <c r="F92" t="inlineStr">
        <is>
          <t>tank_gun</t>
        </is>
      </c>
      <c r="G92" t="n">
        <v>125</v>
      </c>
      <c r="H92" t="inlineStr"/>
      <c r="I92" t="inlineStr"/>
      <c r="J92" t="inlineStr"/>
      <c r="K92" t="inlineStr">
        <is>
          <t>Kinetic</t>
        </is>
      </c>
      <c r="L92" t="n">
        <v>4</v>
      </c>
      <c r="M92" t="inlineStr">
        <is>
          <t>Shell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4.762</v>
      </c>
      <c r="S92" t="n">
        <v>0</v>
      </c>
      <c r="T92" t="n">
        <v>0</v>
      </c>
      <c r="U92" t="n">
        <v>0</v>
      </c>
      <c r="V92" t="n">
        <v>0</v>
      </c>
      <c r="W92" t="n">
        <v>371</v>
      </c>
      <c r="X92" t="n">
        <v>0</v>
      </c>
      <c r="Y92" t="n">
        <v>0</v>
      </c>
      <c r="Z92" t="n">
        <v>220</v>
      </c>
      <c r="AA92" t="n">
        <v>46</v>
      </c>
      <c r="AB92" t="n">
        <v>0</v>
      </c>
      <c r="AC92" t="inlineStr">
        <is>
          <t>Ground</t>
        </is>
      </c>
      <c r="AD92" t="inlineStr"/>
      <c r="AE92" t="n">
        <v>0.4</v>
      </c>
      <c r="AF92" t="inlineStr">
        <is>
          <t>Medium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125</v>
      </c>
      <c r="AO92" t="n">
        <v>0</v>
      </c>
      <c r="AP92" t="inlineStr">
        <is>
          <t>T3</t>
        </is>
      </c>
      <c r="AQ92" t="inlineStr"/>
      <c r="AR92" t="inlineStr">
        <is>
          <t>gun_105_long_he</t>
        </is>
      </c>
      <c r="AS92" t="inlineStr">
        <is>
          <t>xe</t>
        </is>
      </c>
      <c r="AT92" t="inlineStr">
        <is>
          <t>tank_destroyer</t>
        </is>
      </c>
      <c r="AU92" t="n">
        <v>1</v>
      </c>
      <c r="AV92" t="inlineStr">
        <is>
          <t>tank_destroyer:0</t>
        </is>
      </c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0.2090909090909091</v>
      </c>
      <c r="BB92" t="n">
        <v>7</v>
      </c>
      <c r="BC92" t="n">
        <v>7</v>
      </c>
      <c r="BD92" t="inlineStr">
        <is>
          <t>gun</t>
        </is>
      </c>
      <c r="BE92" t="inlineStr">
        <is>
          <t>Wikipedia '2S25 Sprut-SD': ~7 rpm</t>
        </is>
      </c>
      <c r="BG92" t="inlineStr">
        <is>
          <t>doi</t>
        </is>
      </c>
      <c r="BH92" t="n">
        <v>260</v>
      </c>
      <c r="BI92" t="n">
        <v>371</v>
      </c>
      <c r="BJ92" t="n">
        <v>3.3333</v>
      </c>
      <c r="BK92" t="n">
        <v>4.762</v>
      </c>
      <c r="CT92" t="n">
        <v>125</v>
      </c>
      <c r="DD92" t="n">
        <v>4.762</v>
      </c>
      <c r="DE92" t="n">
        <v>371</v>
      </c>
      <c r="DF92" t="inlineStr">
        <is>
          <t>Kinetic</t>
        </is>
      </c>
      <c r="DJ92" t="inlineStr">
        <is>
          <t>tank_gun</t>
        </is>
      </c>
      <c r="DS92" t="inlineStr">
        <is>
          <t>Medium</t>
        </is>
      </c>
      <c r="EB92" t="n">
        <v>4</v>
      </c>
      <c r="EE92" t="b">
        <v>1</v>
      </c>
      <c r="EK92" t="n">
        <v>220</v>
      </c>
      <c r="EP92" t="n">
        <v>46</v>
      </c>
      <c r="EQ92" t="inlineStr">
        <is>
          <t>2A75 125 mm (2S25 Sprut)</t>
        </is>
      </c>
      <c r="EV92" t="n">
        <v>357</v>
      </c>
      <c r="EX92" t="n">
        <v>125</v>
      </c>
      <c r="EZ92" t="n">
        <v>0.4</v>
      </c>
      <c r="GB92" t="inlineStr">
        <is>
          <t>cal_125_ap</t>
        </is>
      </c>
      <c r="GD92" t="inlineStr">
        <is>
          <t>Assets/MachineBrigade/Resources/Data/balance.json: weapons[27]</t>
        </is>
      </c>
      <c r="GE92" t="inlineStr">
        <is>
          <t>{"id":"gun_105_long","weaponFamilyId":"cal_125_ap","real":"2A75 125 mm (2S25 Sprut)","family":"tank_gun","size":125,"caliberMm":125,"pen":4,"piercing":true,"damageType":"Kinetic","damage":371,"cooldown":4.762,"range":46,"projectileSpeed":220,"spread":0.4,"impactTier":"Medium","roundWeight":357}</t>
        </is>
      </c>
    </row>
    <row r="93">
      <c r="A93" t="inlineStr">
        <is>
          <t>gun_105_long_he</t>
        </is>
      </c>
      <c r="B93" t="inlineStr">
        <is>
          <t>2A75 125 mm HE (2S25 Sprut)</t>
        </is>
      </c>
      <c r="C93" t="inlineStr">
        <is>
          <t>cal_125_he</t>
        </is>
      </c>
      <c r="D93" t="inlineStr"/>
      <c r="E93" t="inlineStr">
        <is>
          <t>2a75_125_mm_he</t>
        </is>
      </c>
      <c r="F93" t="inlineStr">
        <is>
          <t>tank_gun</t>
        </is>
      </c>
      <c r="G93" t="n">
        <v>125</v>
      </c>
      <c r="H93" t="inlineStr"/>
      <c r="I93" t="inlineStr"/>
      <c r="J93" t="inlineStr"/>
      <c r="K93" t="inlineStr">
        <is>
          <t>HighExplosive</t>
        </is>
      </c>
      <c r="L93" t="n">
        <v>2</v>
      </c>
      <c r="M93" t="inlineStr">
        <is>
          <t>Shell</t>
        </is>
      </c>
      <c r="N93" t="n">
        <v>1</v>
      </c>
      <c r="O93" t="inlineStr">
        <is>
          <t>RIPPLE</t>
        </is>
      </c>
      <c r="P93" t="n">
        <v>1</v>
      </c>
      <c r="Q93" t="n">
        <v>0.1</v>
      </c>
      <c r="R93" t="n">
        <v>4.762</v>
      </c>
      <c r="S93" t="n">
        <v>0</v>
      </c>
      <c r="T93" t="n">
        <v>0</v>
      </c>
      <c r="U93" t="n">
        <v>0</v>
      </c>
      <c r="V93" t="n">
        <v>0</v>
      </c>
      <c r="W93" t="n">
        <v>371</v>
      </c>
      <c r="X93" t="n">
        <v>3</v>
      </c>
      <c r="Y93" t="n">
        <v>0</v>
      </c>
      <c r="Z93" t="n">
        <v>260</v>
      </c>
      <c r="AA93" t="n">
        <v>46</v>
      </c>
      <c r="AB93" t="n">
        <v>0</v>
      </c>
      <c r="AC93" t="inlineStr">
        <is>
          <t>Ground</t>
        </is>
      </c>
      <c r="AD93" t="inlineStr"/>
      <c r="AE93" t="n">
        <v>0.4</v>
      </c>
      <c r="AF93" t="inlineStr">
        <is>
          <t>Large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125</v>
      </c>
      <c r="AO93" t="n">
        <v>0</v>
      </c>
      <c r="AP93" t="inlineStr">
        <is>
          <t>T3</t>
        </is>
      </c>
      <c r="AQ93" t="inlineStr">
        <is>
          <t>gun_105_long</t>
        </is>
      </c>
      <c r="AR93" t="inlineStr"/>
      <c r="AS93" t="inlineStr"/>
      <c r="AT93" t="inlineStr"/>
      <c r="AU93" t="n">
        <v>0</v>
      </c>
      <c r="AV93" t="inlineStr"/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0.1769230769230769</v>
      </c>
      <c r="BB93" t="n">
        <v>7</v>
      </c>
      <c r="BC93" t="n">
        <v>7</v>
      </c>
      <c r="BD93" t="inlineStr">
        <is>
          <t>gun</t>
        </is>
      </c>
      <c r="BE93" t="inlineStr">
        <is>
          <t>Wikipedia '2S25 Sprut-SD': ~7 rpm</t>
        </is>
      </c>
      <c r="BG93" t="inlineStr">
        <is>
          <t>doi</t>
        </is>
      </c>
      <c r="BH93" t="n">
        <v>260</v>
      </c>
      <c r="BI93" t="n">
        <v>371</v>
      </c>
      <c r="BJ93" t="n">
        <v>3.3333</v>
      </c>
      <c r="BK93" t="n">
        <v>4.762</v>
      </c>
      <c r="DE93" t="n">
        <v>371</v>
      </c>
      <c r="DF93" t="inlineStr">
        <is>
          <t>HighExplosive</t>
        </is>
      </c>
      <c r="DM93" t="inlineStr">
        <is>
          <t>light;structure</t>
        </is>
      </c>
      <c r="DN93" t="inlineStr">
        <is>
          <t>HeShell</t>
        </is>
      </c>
      <c r="DS93" t="inlineStr">
        <is>
          <t>Large</t>
        </is>
      </c>
      <c r="DT93" t="inlineStr">
        <is>
          <t>gun_105_long</t>
        </is>
      </c>
      <c r="EB93" t="n">
        <v>2</v>
      </c>
      <c r="EE93" t="b">
        <v>0</v>
      </c>
      <c r="EQ93" t="inlineStr">
        <is>
          <t>2A75 125 mm HE (2S25 Sprut)</t>
        </is>
      </c>
      <c r="ES93" t="inlineStr">
        <is>
          <t>he</t>
        </is>
      </c>
      <c r="EU93" t="inlineStr">
        <is>
          <t>gun_105_long</t>
        </is>
      </c>
      <c r="EY93" t="n">
        <v>3</v>
      </c>
      <c r="FW93" t="inlineStr">
        <is>
          <t>Ground</t>
        </is>
      </c>
      <c r="GA93" t="inlineStr">
        <is>
          <t>2a75_125_mm_he</t>
        </is>
      </c>
      <c r="GB93" t="inlineStr">
        <is>
          <t>cal_125_he</t>
        </is>
      </c>
      <c r="GD93" t="inlineStr">
        <is>
          <t>Assets/MachineBrigade/Resources/Data/balance.json: secondRounds.rounds[22]</t>
        </is>
      </c>
      <c r="GE93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Sprut)","damageType":"HighExplosive","pen":2,"damage":371,"splash":3,"form":"HeShell","piercing":false,"targets":"Ground","impactTier":"Large"}</t>
        </is>
      </c>
    </row>
    <row r="94">
      <c r="A94" t="inlineStr">
        <is>
          <t>gun_105_twin</t>
        </is>
      </c>
      <c r="B94" t="inlineStr">
        <is>
          <t>L7 105 mm (twin)</t>
        </is>
      </c>
      <c r="C94" t="inlineStr">
        <is>
          <t>cal_100_105_ap</t>
        </is>
      </c>
      <c r="D94" t="inlineStr"/>
      <c r="E94" t="inlineStr">
        <is>
          <t>l7_105_mm</t>
        </is>
      </c>
      <c r="F94" t="inlineStr">
        <is>
          <t>tank_gun</t>
        </is>
      </c>
      <c r="G94" t="n">
        <v>105</v>
      </c>
      <c r="H94" t="inlineStr"/>
      <c r="I94" t="inlineStr"/>
      <c r="J94" t="inlineStr"/>
      <c r="K94" t="inlineStr">
        <is>
          <t>Kinetic</t>
        </is>
      </c>
      <c r="L94" t="n">
        <v>3</v>
      </c>
      <c r="M94" t="inlineStr">
        <is>
          <t>Shell</t>
        </is>
      </c>
      <c r="N94" t="n">
        <v>1</v>
      </c>
      <c r="O94" t="inlineStr">
        <is>
          <t>RIPPLE</t>
        </is>
      </c>
      <c r="P94" t="n">
        <v>2</v>
      </c>
      <c r="Q94" t="n">
        <v>0.05</v>
      </c>
      <c r="R94" t="n">
        <v>5.69</v>
      </c>
      <c r="S94" t="n">
        <v>0</v>
      </c>
      <c r="T94" t="n">
        <v>0</v>
      </c>
      <c r="U94" t="n">
        <v>0</v>
      </c>
      <c r="V94" t="n">
        <v>0</v>
      </c>
      <c r="W94" t="n">
        <v>212</v>
      </c>
      <c r="X94" t="n">
        <v>1.5</v>
      </c>
      <c r="Y94" t="n">
        <v>0</v>
      </c>
      <c r="Z94" t="n">
        <v>190</v>
      </c>
      <c r="AA94" t="n">
        <v>34</v>
      </c>
      <c r="AB94" t="n">
        <v>0</v>
      </c>
      <c r="AC94" t="inlineStr">
        <is>
          <t>Ground</t>
        </is>
      </c>
      <c r="AD94" t="inlineStr"/>
      <c r="AE94" t="n">
        <v>0.6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105</v>
      </c>
      <c r="AO94" t="n">
        <v>0</v>
      </c>
      <c r="AP94" t="inlineStr">
        <is>
          <t>T2</t>
        </is>
      </c>
      <c r="AQ94" t="inlineStr"/>
      <c r="AR94" t="inlineStr"/>
      <c r="AS94" t="inlineStr"/>
      <c r="AT94" t="inlineStr"/>
      <c r="AU94" t="n">
        <v>0</v>
      </c>
      <c r="AV94" t="inlineStr"/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0.1789473684210526</v>
      </c>
      <c r="BB94" t="n">
        <v>10</v>
      </c>
      <c r="BC94" t="n">
        <v>6</v>
      </c>
      <c r="BD94" t="inlineStr">
        <is>
          <t>gun</t>
        </is>
      </c>
      <c r="BE94" t="inlineStr">
        <is>
          <t>Wikipedia 'Royal Ordnance L7': 6-10 rpm</t>
        </is>
      </c>
      <c r="BG94" t="inlineStr">
        <is>
          <t>giong</t>
        </is>
      </c>
      <c r="CR94" t="n">
        <v>2</v>
      </c>
      <c r="CS94" t="n">
        <v>0.05</v>
      </c>
      <c r="CT94" t="n">
        <v>105</v>
      </c>
      <c r="DD94" t="n">
        <v>5.69</v>
      </c>
      <c r="DE94" t="n">
        <v>212</v>
      </c>
      <c r="DF94" t="inlineStr">
        <is>
          <t>Kinetic</t>
        </is>
      </c>
      <c r="DJ94" t="inlineStr">
        <is>
          <t>tank_gun</t>
        </is>
      </c>
      <c r="DS94" t="inlineStr">
        <is>
          <t>Medium</t>
        </is>
      </c>
      <c r="EB94" t="n">
        <v>3</v>
      </c>
      <c r="EE94" t="b">
        <v>1</v>
      </c>
      <c r="EP94" t="n">
        <v>34</v>
      </c>
      <c r="EQ94" t="inlineStr">
        <is>
          <t>L7 105 mm (twin)</t>
        </is>
      </c>
      <c r="EX94" t="n">
        <v>105</v>
      </c>
      <c r="EZ94" t="n">
        <v>0.6</v>
      </c>
      <c r="GA94" t="inlineStr">
        <is>
          <t>l7_105_mm</t>
        </is>
      </c>
      <c r="GB94" t="inlineStr">
        <is>
          <t>cal_100_105_ap</t>
        </is>
      </c>
      <c r="GD94" t="inlineStr">
        <is>
          <t>Assets/MachineBrigade/Resources/Data/balance.json: weapons[54]</t>
        </is>
      </c>
      <c r="GE94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95">
      <c r="A95" t="inlineStr">
        <is>
          <t>gun_105_wheeled</t>
        </is>
      </c>
      <c r="B95" t="inlineStr">
        <is>
          <t>Centauro II 120 mm</t>
        </is>
      </c>
      <c r="C95" t="inlineStr">
        <is>
          <t>cal_120_ap</t>
        </is>
      </c>
      <c r="D95" t="inlineStr"/>
      <c r="E95" t="inlineStr"/>
      <c r="F95" t="inlineStr">
        <is>
          <t>tank_gun</t>
        </is>
      </c>
      <c r="G95" t="n">
        <v>120</v>
      </c>
      <c r="H95" t="inlineStr"/>
      <c r="I95" t="inlineStr"/>
      <c r="J95" t="inlineStr"/>
      <c r="K95" t="inlineStr">
        <is>
          <t>Kinetic</t>
        </is>
      </c>
      <c r="L95" t="n">
        <v>4</v>
      </c>
      <c r="M95" t="inlineStr">
        <is>
          <t>Shell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5.291</v>
      </c>
      <c r="S95" t="n">
        <v>0</v>
      </c>
      <c r="T95" t="n">
        <v>0</v>
      </c>
      <c r="U95" t="n">
        <v>0</v>
      </c>
      <c r="V95" t="n">
        <v>0</v>
      </c>
      <c r="W95" t="n">
        <v>369</v>
      </c>
      <c r="X95" t="n">
        <v>0</v>
      </c>
      <c r="Y95" t="n">
        <v>0</v>
      </c>
      <c r="Z95" t="n">
        <v>230</v>
      </c>
      <c r="AA95" t="n">
        <v>38</v>
      </c>
      <c r="AB95" t="n">
        <v>0</v>
      </c>
      <c r="AC95" t="inlineStr">
        <is>
          <t>Ground</t>
        </is>
      </c>
      <c r="AD95" t="inlineStr"/>
      <c r="AE95" t="n">
        <v>0.4</v>
      </c>
      <c r="AF95" t="inlineStr">
        <is>
          <t>Medium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120</v>
      </c>
      <c r="AO95" t="n">
        <v>0</v>
      </c>
      <c r="AP95" t="inlineStr">
        <is>
          <t>T3</t>
        </is>
      </c>
      <c r="AQ95" t="inlineStr"/>
      <c r="AR95" t="inlineStr">
        <is>
          <t>gun_105_wheeled_he</t>
        </is>
      </c>
      <c r="AS95" t="inlineStr">
        <is>
          <t>xe</t>
        </is>
      </c>
      <c r="AT95" t="inlineStr">
        <is>
          <t>wheeled_gun</t>
        </is>
      </c>
      <c r="AU95" t="n">
        <v>1</v>
      </c>
      <c r="AV95" t="inlineStr">
        <is>
          <t>wheeled_gun:0</t>
        </is>
      </c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0.1652173913043478</v>
      </c>
      <c r="BB95" t="n">
        <v>8</v>
      </c>
      <c r="BC95" t="n">
        <v>6</v>
      </c>
      <c r="BD95" t="inlineStr">
        <is>
          <t>gun</t>
        </is>
      </c>
      <c r="BE95" t="inlineStr">
        <is>
          <t>Centauro II 120 mm, manual: 6-8 rpm (the sheet)</t>
        </is>
      </c>
      <c r="BG95" t="inlineStr">
        <is>
          <t>doi</t>
        </is>
      </c>
      <c r="BH95" t="n">
        <v>258</v>
      </c>
      <c r="BI95" t="n">
        <v>369</v>
      </c>
      <c r="BJ95" t="n">
        <v>3.7037</v>
      </c>
      <c r="BK95" t="n">
        <v>5.291</v>
      </c>
      <c r="CT95" t="n">
        <v>120</v>
      </c>
      <c r="DD95" t="n">
        <v>5.291</v>
      </c>
      <c r="DE95" t="n">
        <v>369</v>
      </c>
      <c r="DF95" t="inlineStr">
        <is>
          <t>Kinetic</t>
        </is>
      </c>
      <c r="DJ95" t="inlineStr">
        <is>
          <t>tank_gun</t>
        </is>
      </c>
      <c r="DS95" t="inlineStr">
        <is>
          <t>Medium</t>
        </is>
      </c>
      <c r="EB95" t="n">
        <v>4</v>
      </c>
      <c r="EE95" t="b">
        <v>1</v>
      </c>
      <c r="EK95" t="n">
        <v>230</v>
      </c>
      <c r="EP95" t="n">
        <v>38</v>
      </c>
      <c r="EQ95" t="inlineStr">
        <is>
          <t>Centauro II 120 mm</t>
        </is>
      </c>
      <c r="EV95" t="n">
        <v>300</v>
      </c>
      <c r="EX95" t="n">
        <v>120</v>
      </c>
      <c r="EZ95" t="n">
        <v>0.4</v>
      </c>
      <c r="GB95" t="inlineStr">
        <is>
          <t>cal_120_ap</t>
        </is>
      </c>
      <c r="GD95" t="inlineStr">
        <is>
          <t>Assets/MachineBrigade/Resources/Data/balance.json: weapons[100]</t>
        </is>
      </c>
      <c r="GE95" t="inlineStr">
        <is>
          <t>{"id":"gun_105_wheeled","weaponFamilyId":"cal_120_ap","real":"Centauro II 120 mm","family":"tank_gun","size":120,"caliberMm":120,"pen":4,"piercing":true,"roundWeight":300,"damageType":"Kinetic","damage":369,"cooldown":5.291,"range":38,"projectileSpeed":230,"spread":0.4,"impactTier":"Medium","bonuses":[{"flank":true,"mult":1.25}]}</t>
        </is>
      </c>
    </row>
    <row r="96">
      <c r="A96" t="inlineStr">
        <is>
          <t>gun_105_wheeled_he</t>
        </is>
      </c>
      <c r="B96" t="inlineStr">
        <is>
          <t>Centauro II 120 mm HE</t>
        </is>
      </c>
      <c r="C96" t="inlineStr">
        <is>
          <t>cal_120_he</t>
        </is>
      </c>
      <c r="D96" t="inlineStr"/>
      <c r="E96" t="inlineStr"/>
      <c r="F96" t="inlineStr">
        <is>
          <t>tank_gun</t>
        </is>
      </c>
      <c r="G96" t="n">
        <v>120</v>
      </c>
      <c r="H96" t="inlineStr"/>
      <c r="I96" t="inlineStr"/>
      <c r="J96" t="inlineStr"/>
      <c r="K96" t="inlineStr">
        <is>
          <t>HighExplosive</t>
        </is>
      </c>
      <c r="L96" t="n">
        <v>2</v>
      </c>
      <c r="M96" t="inlineStr">
        <is>
          <t>Shell</t>
        </is>
      </c>
      <c r="N96" t="n">
        <v>1</v>
      </c>
      <c r="O96" t="inlineStr">
        <is>
          <t>RIPPLE</t>
        </is>
      </c>
      <c r="P96" t="n">
        <v>1</v>
      </c>
      <c r="Q96" t="n">
        <v>0.1</v>
      </c>
      <c r="R96" t="n">
        <v>5.291</v>
      </c>
      <c r="S96" t="n">
        <v>0</v>
      </c>
      <c r="T96" t="n">
        <v>0</v>
      </c>
      <c r="U96" t="n">
        <v>0</v>
      </c>
      <c r="V96" t="n">
        <v>0</v>
      </c>
      <c r="W96" t="n">
        <v>369</v>
      </c>
      <c r="X96" t="n">
        <v>3</v>
      </c>
      <c r="Y96" t="n">
        <v>0</v>
      </c>
      <c r="Z96" t="n">
        <v>230</v>
      </c>
      <c r="AA96" t="n">
        <v>38</v>
      </c>
      <c r="AB96" t="n">
        <v>0</v>
      </c>
      <c r="AC96" t="inlineStr">
        <is>
          <t>Ground</t>
        </is>
      </c>
      <c r="AD96" t="inlineStr"/>
      <c r="AE96" t="n">
        <v>0.4</v>
      </c>
      <c r="AF96" t="inlineStr">
        <is>
          <t>Large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120</v>
      </c>
      <c r="AO96" t="n">
        <v>0</v>
      </c>
      <c r="AP96" t="inlineStr">
        <is>
          <t>T3</t>
        </is>
      </c>
      <c r="AQ96" t="inlineStr">
        <is>
          <t>gun_105_wheeled</t>
        </is>
      </c>
      <c r="AR96" t="inlineStr"/>
      <c r="AS96" t="inlineStr"/>
      <c r="AT96" t="inlineStr"/>
      <c r="AU96" t="n">
        <v>0</v>
      </c>
      <c r="AV96" t="inlineStr"/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0.1652173913043478</v>
      </c>
      <c r="BB96" t="n">
        <v>8</v>
      </c>
      <c r="BC96" t="n">
        <v>6</v>
      </c>
      <c r="BD96" t="inlineStr">
        <is>
          <t>gun</t>
        </is>
      </c>
      <c r="BE96" t="inlineStr">
        <is>
          <t>Centauro II 120 mm, manual: 6-8 rpm (the sheet)</t>
        </is>
      </c>
      <c r="BG96" t="inlineStr">
        <is>
          <t>doi</t>
        </is>
      </c>
      <c r="BH96" t="n">
        <v>258</v>
      </c>
      <c r="BI96" t="n">
        <v>369</v>
      </c>
      <c r="BJ96" t="n">
        <v>3.7037</v>
      </c>
      <c r="BK96" t="n">
        <v>5.291</v>
      </c>
      <c r="CQ96" t="inlineStr"/>
      <c r="DE96" t="n">
        <v>369</v>
      </c>
      <c r="DF96" t="inlineStr">
        <is>
          <t>HighExplosive</t>
        </is>
      </c>
      <c r="DM96" t="inlineStr">
        <is>
          <t>light;structure</t>
        </is>
      </c>
      <c r="DN96" t="inlineStr">
        <is>
          <t>HeShell</t>
        </is>
      </c>
      <c r="DS96" t="inlineStr">
        <is>
          <t>Large</t>
        </is>
      </c>
      <c r="DT96" t="inlineStr">
        <is>
          <t>gun_105_wheeled</t>
        </is>
      </c>
      <c r="EB96" t="n">
        <v>2</v>
      </c>
      <c r="EE96" t="b">
        <v>0</v>
      </c>
      <c r="EQ96" t="inlineStr">
        <is>
          <t>Centauro II 120 mm HE</t>
        </is>
      </c>
      <c r="ES96" t="inlineStr">
        <is>
          <t>he</t>
        </is>
      </c>
      <c r="EU96" t="inlineStr">
        <is>
          <t>gun_105_wheeled</t>
        </is>
      </c>
      <c r="EY96" t="n">
        <v>3</v>
      </c>
      <c r="FW96" t="inlineStr">
        <is>
          <t>Ground</t>
        </is>
      </c>
      <c r="GA96" t="inlineStr"/>
      <c r="GB96" t="inlineStr">
        <is>
          <t>cal_120_he</t>
        </is>
      </c>
      <c r="GD96" t="inlineStr">
        <is>
          <t>Assets/MachineBrigade/Resources/Data/balance.json: secondRounds.rounds[23]</t>
        </is>
      </c>
      <c r="GE96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HE","damageType":"HighExplosive","pen":2,"damage":369,"splash":3,"form":"HeShell","piercing":false,"targets":"Ground","impactTier":"Large","bonuses":[]}</t>
        </is>
      </c>
    </row>
    <row r="97">
      <c r="A97" t="inlineStr">
        <is>
          <t>gun_120_twin</t>
        </is>
      </c>
      <c r="B97" t="inlineStr">
        <is>
          <t>Rh-120 L/44 120 mm (twin)</t>
        </is>
      </c>
      <c r="C97" t="inlineStr">
        <is>
          <t>cal_120_ap</t>
        </is>
      </c>
      <c r="D97" t="inlineStr"/>
      <c r="E97" t="inlineStr">
        <is>
          <t>rh_120_l_44_120_mm</t>
        </is>
      </c>
      <c r="F97" t="inlineStr">
        <is>
          <t>tank_gun</t>
        </is>
      </c>
      <c r="G97" t="n">
        <v>120</v>
      </c>
      <c r="H97" t="inlineStr"/>
      <c r="I97" t="inlineStr"/>
      <c r="J97" t="inlineStr"/>
      <c r="K97" t="inlineStr">
        <is>
          <t>Kinetic</t>
        </is>
      </c>
      <c r="L97" t="n">
        <v>4</v>
      </c>
      <c r="M97" t="inlineStr">
        <is>
          <t>Shell</t>
        </is>
      </c>
      <c r="N97" t="n">
        <v>1</v>
      </c>
      <c r="O97" t="inlineStr">
        <is>
          <t>RIPPLE</t>
        </is>
      </c>
      <c r="P97" t="n">
        <v>2</v>
      </c>
      <c r="Q97" t="n">
        <v>0.05</v>
      </c>
      <c r="R97" t="n">
        <v>7.326</v>
      </c>
      <c r="S97" t="n">
        <v>0</v>
      </c>
      <c r="T97" t="n">
        <v>0</v>
      </c>
      <c r="U97" t="n">
        <v>0</v>
      </c>
      <c r="V97" t="n">
        <v>0</v>
      </c>
      <c r="W97" t="n">
        <v>343</v>
      </c>
      <c r="X97" t="n">
        <v>1.5</v>
      </c>
      <c r="Y97" t="n">
        <v>0</v>
      </c>
      <c r="Z97" t="n">
        <v>170</v>
      </c>
      <c r="AA97" t="n">
        <v>34</v>
      </c>
      <c r="AB97" t="n">
        <v>0</v>
      </c>
      <c r="AC97" t="inlineStr">
        <is>
          <t>Ground</t>
        </is>
      </c>
      <c r="AD97" t="inlineStr"/>
      <c r="AE97" t="n">
        <v>0.5</v>
      </c>
      <c r="AF97" t="inlineStr">
        <is>
          <t>Medium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120</v>
      </c>
      <c r="AO97" t="n">
        <v>0</v>
      </c>
      <c r="AP97" t="inlineStr">
        <is>
          <t>T3</t>
        </is>
      </c>
      <c r="AQ97" t="inlineStr"/>
      <c r="AR97" t="inlineStr">
        <is>
          <t>gun_120_twin_he</t>
        </is>
      </c>
      <c r="AS97" t="inlineStr">
        <is>
          <t>xe</t>
        </is>
      </c>
      <c r="AT97" t="inlineStr">
        <is>
          <t>twin_tank</t>
        </is>
      </c>
      <c r="AU97" t="n">
        <v>1</v>
      </c>
      <c r="AV97" t="inlineStr">
        <is>
          <t>twin_tank:0</t>
        </is>
      </c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0.2</v>
      </c>
      <c r="BB97" t="n">
        <v>8</v>
      </c>
      <c r="BC97" t="n">
        <v>6</v>
      </c>
      <c r="BD97" t="inlineStr">
        <is>
          <t>gun</t>
        </is>
      </c>
      <c r="BE97" t="inlineStr">
        <is>
          <t>the sheet's 'Ngoài đời': Rh-120 6-8 rpm with a loader (Wikipedia 'Rheinmetall 120 mm gun')</t>
        </is>
      </c>
      <c r="BG97" t="inlineStr">
        <is>
          <t>doi</t>
        </is>
      </c>
      <c r="BH97" t="n">
        <v>240</v>
      </c>
      <c r="BI97" t="n">
        <v>343</v>
      </c>
      <c r="BJ97" t="n">
        <v>5.113</v>
      </c>
      <c r="BK97" t="n">
        <v>7.326</v>
      </c>
      <c r="CR97" t="n">
        <v>2</v>
      </c>
      <c r="CS97" t="n">
        <v>0.05</v>
      </c>
      <c r="CT97" t="n">
        <v>120</v>
      </c>
      <c r="DD97" t="n">
        <v>7.326</v>
      </c>
      <c r="DE97" t="n">
        <v>343</v>
      </c>
      <c r="DF97" t="inlineStr">
        <is>
          <t>Kinetic</t>
        </is>
      </c>
      <c r="DJ97" t="inlineStr">
        <is>
          <t>tank_gun</t>
        </is>
      </c>
      <c r="DS97" t="inlineStr">
        <is>
          <t>Medium</t>
        </is>
      </c>
      <c r="EB97" t="n">
        <v>4</v>
      </c>
      <c r="EE97" t="b">
        <v>1</v>
      </c>
      <c r="EP97" t="n">
        <v>34</v>
      </c>
      <c r="EQ97" t="inlineStr">
        <is>
          <t>Rh-120 L/44 120 mm (twin)</t>
        </is>
      </c>
      <c r="EX97" t="n">
        <v>120</v>
      </c>
      <c r="EZ97" t="n">
        <v>0.5</v>
      </c>
      <c r="GA97" t="inlineStr">
        <is>
          <t>rh_120_l_44_120_mm</t>
        </is>
      </c>
      <c r="GB97" t="inlineStr">
        <is>
          <t>cal_120_ap</t>
        </is>
      </c>
      <c r="GD97" t="inlineStr">
        <is>
          <t>Assets/MachineBrigade/Resources/Data/balance.json: weapons[265]</t>
        </is>
      </c>
      <c r="GE97" t="inlineStr">
        <is>
          <t>{"id":"gun_120_twin","weaponFamilyId":"cal_120_ap","weaponFamily":"rh_120_l_44_120_mm","real":"Rh-120 L/44 120 mm (twin)","family":"tank_gun","size":120,"caliberMm":120,"pen":4,"piercing":true,"damageType":"Kinetic","damage":343,"cooldown":7.326,"range":34,"spread":0.5,"impactTier":"Medium","burst":2,"burstInterval":0.05}</t>
        </is>
      </c>
    </row>
    <row r="98">
      <c r="A98" t="inlineStr">
        <is>
          <t>gun_120_twin_he</t>
        </is>
      </c>
      <c r="B98" t="inlineStr">
        <is>
          <t>Rh-120 L/44 120 mm HE (twin)</t>
        </is>
      </c>
      <c r="C98" t="inlineStr">
        <is>
          <t>cal_120_he</t>
        </is>
      </c>
      <c r="D98" t="inlineStr"/>
      <c r="E98" t="inlineStr">
        <is>
          <t>rh_120_l_44_120_mm_he</t>
        </is>
      </c>
      <c r="F98" t="inlineStr">
        <is>
          <t>tank_gun</t>
        </is>
      </c>
      <c r="G98" t="n">
        <v>120</v>
      </c>
      <c r="H98" t="inlineStr"/>
      <c r="I98" t="inlineStr"/>
      <c r="J98" t="inlineStr"/>
      <c r="K98" t="inlineStr">
        <is>
          <t>HighExplosive</t>
        </is>
      </c>
      <c r="L98" t="n">
        <v>2</v>
      </c>
      <c r="M98" t="inlineStr">
        <is>
          <t>Shell</t>
        </is>
      </c>
      <c r="N98" t="n">
        <v>1</v>
      </c>
      <c r="O98" t="inlineStr">
        <is>
          <t>RIPPLE</t>
        </is>
      </c>
      <c r="P98" t="n">
        <v>2</v>
      </c>
      <c r="Q98" t="n">
        <v>0.05</v>
      </c>
      <c r="R98" t="n">
        <v>7.326</v>
      </c>
      <c r="S98" t="n">
        <v>0</v>
      </c>
      <c r="T98" t="n">
        <v>0</v>
      </c>
      <c r="U98" t="n">
        <v>0</v>
      </c>
      <c r="V98" t="n">
        <v>0</v>
      </c>
      <c r="W98" t="n">
        <v>343</v>
      </c>
      <c r="X98" t="n">
        <v>3</v>
      </c>
      <c r="Y98" t="n">
        <v>0</v>
      </c>
      <c r="Z98" t="n">
        <v>170</v>
      </c>
      <c r="AA98" t="n">
        <v>34</v>
      </c>
      <c r="AB98" t="n">
        <v>0</v>
      </c>
      <c r="AC98" t="inlineStr">
        <is>
          <t>Ground</t>
        </is>
      </c>
      <c r="AD98" t="inlineStr"/>
      <c r="AE98" t="n">
        <v>0.5</v>
      </c>
      <c r="AF98" t="inlineStr">
        <is>
          <t>Large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120</v>
      </c>
      <c r="AO98" t="n">
        <v>0</v>
      </c>
      <c r="AP98" t="inlineStr">
        <is>
          <t>T3</t>
        </is>
      </c>
      <c r="AQ98" t="inlineStr">
        <is>
          <t>gun_120_twin</t>
        </is>
      </c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0.2</v>
      </c>
      <c r="BB98" t="n">
        <v>8</v>
      </c>
      <c r="BC98" t="n">
        <v>6</v>
      </c>
      <c r="BD98" t="inlineStr">
        <is>
          <t>gun</t>
        </is>
      </c>
      <c r="BE98" t="inlineStr">
        <is>
          <t>the sheet's 'Ngoài đời': Rh-120 6-8 rpm with a loader (Wikipedia 'Rheinmetall 120 mm gun')</t>
        </is>
      </c>
      <c r="BG98" t="inlineStr">
        <is>
          <t>doi</t>
        </is>
      </c>
      <c r="BH98" t="n">
        <v>240</v>
      </c>
      <c r="BI98" t="n">
        <v>343</v>
      </c>
      <c r="BJ98" t="n">
        <v>5.113</v>
      </c>
      <c r="BK98" t="n">
        <v>7.326</v>
      </c>
      <c r="DE98" t="n">
        <v>343</v>
      </c>
      <c r="DF98" t="inlineStr">
        <is>
          <t>HighExplosive</t>
        </is>
      </c>
      <c r="DM98" t="inlineStr">
        <is>
          <t>light;structure</t>
        </is>
      </c>
      <c r="DN98" t="inlineStr">
        <is>
          <t>HeShell</t>
        </is>
      </c>
      <c r="DS98" t="inlineStr">
        <is>
          <t>Large</t>
        </is>
      </c>
      <c r="DT98" t="inlineStr">
        <is>
          <t>gun_120_twin</t>
        </is>
      </c>
      <c r="EB98" t="n">
        <v>2</v>
      </c>
      <c r="EE98" t="b">
        <v>0</v>
      </c>
      <c r="EQ98" t="inlineStr">
        <is>
          <t>Rh-120 L/44 120 mm HE (twin)</t>
        </is>
      </c>
      <c r="ES98" t="inlineStr">
        <is>
          <t>he</t>
        </is>
      </c>
      <c r="EU98" t="inlineStr">
        <is>
          <t>gun_120_twin</t>
        </is>
      </c>
      <c r="EY98" t="n">
        <v>3</v>
      </c>
      <c r="FW98" t="inlineStr">
        <is>
          <t>Ground</t>
        </is>
      </c>
      <c r="GA98" t="inlineStr">
        <is>
          <t>rh_120_l_44_120_mm_he</t>
        </is>
      </c>
      <c r="GB98" t="inlineStr">
        <is>
          <t>cal_120_he</t>
        </is>
      </c>
      <c r="GD98" t="inlineStr">
        <is>
          <t>Assets/MachineBrigade/Resources/Data/balance.json: secondRounds.rounds[24]</t>
        </is>
      </c>
      <c r="GE98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(twin)","damageType":"HighExplosive","pen":2,"damage":343,"splash":3,"form":"HeShell","piercing":false,"targets":"Ground","impactTier":"Large"}</t>
        </is>
      </c>
    </row>
    <row r="99">
      <c r="A99" t="inlineStr">
        <is>
          <t>gun_120mm</t>
        </is>
      </c>
      <c r="B99" t="inlineStr">
        <is>
          <t>Rh-120 L/44 120 mm</t>
        </is>
      </c>
      <c r="C99" t="inlineStr">
        <is>
          <t>cal_120_ap</t>
        </is>
      </c>
      <c r="D99" t="inlineStr"/>
      <c r="E99" t="inlineStr">
        <is>
          <t>rh_120_l_44_120_mm</t>
        </is>
      </c>
      <c r="F99" t="inlineStr">
        <is>
          <t>tank_gun</t>
        </is>
      </c>
      <c r="G99" t="n">
        <v>120</v>
      </c>
      <c r="H99" t="inlineStr"/>
      <c r="I99" t="inlineStr"/>
      <c r="J99" t="inlineStr"/>
      <c r="K99" t="inlineStr">
        <is>
          <t>Kinetic</t>
        </is>
      </c>
      <c r="L99" t="n">
        <v>4</v>
      </c>
      <c r="M99" t="inlineStr">
        <is>
          <t>Shell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7.283</v>
      </c>
      <c r="S99" t="n">
        <v>0</v>
      </c>
      <c r="T99" t="n">
        <v>0</v>
      </c>
      <c r="U99" t="n">
        <v>0</v>
      </c>
      <c r="V99" t="n">
        <v>0</v>
      </c>
      <c r="W99" t="n">
        <v>343</v>
      </c>
      <c r="X99" t="n">
        <v>1.5</v>
      </c>
      <c r="Y99" t="n">
        <v>0</v>
      </c>
      <c r="Z99" t="n">
        <v>170</v>
      </c>
      <c r="AA99" t="n">
        <v>32</v>
      </c>
      <c r="AB99" t="n">
        <v>0</v>
      </c>
      <c r="AC99" t="inlineStr">
        <is>
          <t>Ground</t>
        </is>
      </c>
      <c r="AD99" t="inlineStr"/>
      <c r="AE99" t="n">
        <v>0.6</v>
      </c>
      <c r="AF99" t="inlineStr">
        <is>
          <t>Medium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120</v>
      </c>
      <c r="AO99" t="n">
        <v>0</v>
      </c>
      <c r="AP99" t="inlineStr">
        <is>
          <t>T3</t>
        </is>
      </c>
      <c r="AQ99" t="inlineStr"/>
      <c r="AR99" t="inlineStr">
        <is>
          <t>gun_120mm_he</t>
        </is>
      </c>
      <c r="AS99" t="inlineStr">
        <is>
          <t>boss_part;xe</t>
        </is>
      </c>
      <c r="AT99" t="inlineStr">
        <is>
          <t>main_battle_tank;mara_behemoth;side_gun_120;turret_120</t>
        </is>
      </c>
      <c r="AU99" t="n">
        <v>4</v>
      </c>
      <c r="AV99" t="inlineStr">
        <is>
          <t>main_battle_tank:0;mara_behemoth:1;side_gun_120:part;turret_120:part</t>
        </is>
      </c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0.1882352941176471</v>
      </c>
      <c r="BB99" t="n">
        <v>8</v>
      </c>
      <c r="BC99" t="n">
        <v>6</v>
      </c>
      <c r="BD99" t="inlineStr">
        <is>
          <t>gun</t>
        </is>
      </c>
      <c r="BE99" t="inlineStr">
        <is>
          <t>the sheet's 'Ngoài đời': Rh-120 6-8 rpm with a loader (Wikipedia 'Rheinmetall 120 mm gun')</t>
        </is>
      </c>
      <c r="BG99" t="inlineStr">
        <is>
          <t>doi</t>
        </is>
      </c>
      <c r="BH99" t="n">
        <v>240</v>
      </c>
      <c r="BI99" t="n">
        <v>343</v>
      </c>
      <c r="BJ99" t="n">
        <v>5.098</v>
      </c>
      <c r="BK99" t="n">
        <v>7.283</v>
      </c>
      <c r="CT99" t="n">
        <v>120</v>
      </c>
      <c r="DD99" t="n">
        <v>7.283</v>
      </c>
      <c r="DE99" t="n">
        <v>343</v>
      </c>
      <c r="DF99" t="inlineStr">
        <is>
          <t>Kinetic</t>
        </is>
      </c>
      <c r="DJ99" t="inlineStr">
        <is>
          <t>tank_gun</t>
        </is>
      </c>
      <c r="DS99" t="inlineStr">
        <is>
          <t>Medium</t>
        </is>
      </c>
      <c r="EB99" t="n">
        <v>4</v>
      </c>
      <c r="EE99" t="b">
        <v>1</v>
      </c>
      <c r="EP99" t="n">
        <v>32</v>
      </c>
      <c r="EQ99" t="inlineStr">
        <is>
          <t>Rh-120 L/44 120 mm</t>
        </is>
      </c>
      <c r="EX99" t="n">
        <v>120</v>
      </c>
      <c r="EZ99" t="n">
        <v>0.6</v>
      </c>
      <c r="GA99" t="inlineStr">
        <is>
          <t>rh_120_l_44_120_mm</t>
        </is>
      </c>
      <c r="GB99" t="inlineStr">
        <is>
          <t>cal_120_ap</t>
        </is>
      </c>
      <c r="GD99" t="inlineStr">
        <is>
          <t>Assets/MachineBrigade/Resources/Data/balance.json: weapons[11]</t>
        </is>
      </c>
      <c r="GE99" t="inlineStr">
        <is>
          <t>{"id":"gun_120mm","weaponFamilyId":"cal_120_ap","weaponFamily":"rh_120_l_44_120_mm","real":"Rh-120 L/44 120 mm","family":"tank_gun","size":120,"caliberMm":120,"pen":4,"piercing":true,"damageType":"Kinetic","damage":343,"cooldown":7.283,"range":32,"spread":0.6,"impactTier":"Medium"}</t>
        </is>
      </c>
    </row>
    <row r="100">
      <c r="A100" t="inlineStr">
        <is>
          <t>gun_120mm_he</t>
        </is>
      </c>
      <c r="B100" t="inlineStr">
        <is>
          <t>Rh-120 L/44 120 mm HE</t>
        </is>
      </c>
      <c r="C100" t="inlineStr">
        <is>
          <t>cal_120_he</t>
        </is>
      </c>
      <c r="D100" t="inlineStr"/>
      <c r="E100" t="inlineStr">
        <is>
          <t>rh_120_l_44_120_mm_he</t>
        </is>
      </c>
      <c r="F100" t="inlineStr">
        <is>
          <t>tank_gun</t>
        </is>
      </c>
      <c r="G100" t="n">
        <v>120</v>
      </c>
      <c r="H100" t="inlineStr"/>
      <c r="I100" t="inlineStr"/>
      <c r="J100" t="inlineStr"/>
      <c r="K100" t="inlineStr">
        <is>
          <t>HighExplosive</t>
        </is>
      </c>
      <c r="L100" t="n">
        <v>2</v>
      </c>
      <c r="M100" t="inlineStr">
        <is>
          <t>Shell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7.283</v>
      </c>
      <c r="S100" t="n">
        <v>0</v>
      </c>
      <c r="T100" t="n">
        <v>0</v>
      </c>
      <c r="U100" t="n">
        <v>0</v>
      </c>
      <c r="V100" t="n">
        <v>0</v>
      </c>
      <c r="W100" t="n">
        <v>343</v>
      </c>
      <c r="X100" t="n">
        <v>3</v>
      </c>
      <c r="Y100" t="n">
        <v>0</v>
      </c>
      <c r="Z100" t="n">
        <v>170</v>
      </c>
      <c r="AA100" t="n">
        <v>32</v>
      </c>
      <c r="AB100" t="n">
        <v>0</v>
      </c>
      <c r="AC100" t="inlineStr">
        <is>
          <t>Ground</t>
        </is>
      </c>
      <c r="AD100" t="inlineStr"/>
      <c r="AE100" t="n">
        <v>0.6</v>
      </c>
      <c r="AF100" t="inlineStr">
        <is>
          <t>Large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120</v>
      </c>
      <c r="AO100" t="n">
        <v>0</v>
      </c>
      <c r="AP100" t="inlineStr">
        <is>
          <t>T3</t>
        </is>
      </c>
      <c r="AQ100" t="inlineStr">
        <is>
          <t>gun_120mm</t>
        </is>
      </c>
      <c r="AR100" t="inlineStr"/>
      <c r="AS100" t="inlineStr"/>
      <c r="AT100" t="inlineStr"/>
      <c r="AU100" t="n">
        <v>0</v>
      </c>
      <c r="AV100" t="inlineStr"/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0.1882352941176471</v>
      </c>
      <c r="BB100" t="n">
        <v>8</v>
      </c>
      <c r="BC100" t="n">
        <v>6</v>
      </c>
      <c r="BD100" t="inlineStr">
        <is>
          <t>gun</t>
        </is>
      </c>
      <c r="BE100" t="inlineStr">
        <is>
          <t>the sheet's 'Ngoài đời': Rh-120 6-8 rpm with a loader (Wikipedia 'Rheinmetall 120 mm gun')</t>
        </is>
      </c>
      <c r="BG100" t="inlineStr">
        <is>
          <t>doi</t>
        </is>
      </c>
      <c r="BH100" t="n">
        <v>240</v>
      </c>
      <c r="BI100" t="n">
        <v>343</v>
      </c>
      <c r="BJ100" t="n">
        <v>5.098</v>
      </c>
      <c r="BK100" t="n">
        <v>7.283</v>
      </c>
      <c r="DE100" t="n">
        <v>343</v>
      </c>
      <c r="DF100" t="inlineStr">
        <is>
          <t>HighExplosive</t>
        </is>
      </c>
      <c r="DM100" t="inlineStr">
        <is>
          <t>light;structure</t>
        </is>
      </c>
      <c r="DN100" t="inlineStr">
        <is>
          <t>HeShell</t>
        </is>
      </c>
      <c r="DS100" t="inlineStr">
        <is>
          <t>Large</t>
        </is>
      </c>
      <c r="DT100" t="inlineStr">
        <is>
          <t>gun_120mm</t>
        </is>
      </c>
      <c r="EB100" t="n">
        <v>2</v>
      </c>
      <c r="EE100" t="b">
        <v>0</v>
      </c>
      <c r="EQ100" t="inlineStr">
        <is>
          <t>Rh-120 L/44 120 mm HE</t>
        </is>
      </c>
      <c r="ES100" t="inlineStr">
        <is>
          <t>he</t>
        </is>
      </c>
      <c r="EU100" t="inlineStr">
        <is>
          <t>gun_120mm</t>
        </is>
      </c>
      <c r="EY100" t="n">
        <v>3</v>
      </c>
      <c r="FW100" t="inlineStr">
        <is>
          <t>Ground</t>
        </is>
      </c>
      <c r="GA100" t="inlineStr">
        <is>
          <t>rh_120_l_44_120_mm_he</t>
        </is>
      </c>
      <c r="GB100" t="inlineStr">
        <is>
          <t>cal_120_he</t>
        </is>
      </c>
      <c r="GD100" t="inlineStr">
        <is>
          <t>Assets/MachineBrigade/Resources/Data/balance.json: secondRounds.rounds[25]</t>
        </is>
      </c>
      <c r="GE100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HE","damageType":"HighExplosive","pen":2,"damage":343,"splash":3,"form":"HeShell","piercing":false,"targets":"Ground","impactTier":"Large"}</t>
        </is>
      </c>
    </row>
    <row r="101">
      <c r="A101" t="inlineStr">
        <is>
          <t>gun_125_armata_ke</t>
        </is>
      </c>
      <c r="B101" t="inlineStr">
        <is>
          <t>125 mm smoothbore (T-14 Armata)</t>
        </is>
      </c>
      <c r="C101" t="inlineStr">
        <is>
          <t>cal_125_ap</t>
        </is>
      </c>
      <c r="D101" t="inlineStr"/>
      <c r="E101" t="inlineStr"/>
      <c r="F101" t="inlineStr">
        <is>
          <t>tank_gun</t>
        </is>
      </c>
      <c r="G101" t="n">
        <v>125</v>
      </c>
      <c r="H101" t="inlineStr"/>
      <c r="I101" t="inlineStr"/>
      <c r="J101" t="inlineStr"/>
      <c r="K101" t="inlineStr">
        <is>
          <t>Kinetic</t>
        </is>
      </c>
      <c r="L101" t="n">
        <v>5</v>
      </c>
      <c r="M101" t="inlineStr">
        <is>
          <t>Shell</t>
        </is>
      </c>
      <c r="N101" t="n">
        <v>1</v>
      </c>
      <c r="O101" t="inlineStr">
        <is>
          <t>RIPPLE</t>
        </is>
      </c>
      <c r="P101" t="n">
        <v>1</v>
      </c>
      <c r="Q101" t="n">
        <v>0.1</v>
      </c>
      <c r="R101" t="n">
        <v>7.143</v>
      </c>
      <c r="S101" t="n">
        <v>0</v>
      </c>
      <c r="T101" t="n">
        <v>0</v>
      </c>
      <c r="U101" t="n">
        <v>0</v>
      </c>
      <c r="V101" t="n">
        <v>0</v>
      </c>
      <c r="W101" t="n">
        <v>371</v>
      </c>
      <c r="X101" t="n">
        <v>0</v>
      </c>
      <c r="Y101" t="n">
        <v>0</v>
      </c>
      <c r="Z101" t="n">
        <v>210</v>
      </c>
      <c r="AA101" t="n">
        <v>34</v>
      </c>
      <c r="AB101" t="n">
        <v>0</v>
      </c>
      <c r="AC101" t="inlineStr">
        <is>
          <t>All</t>
        </is>
      </c>
      <c r="AD101" t="inlineStr"/>
      <c r="AE101" t="n">
        <v>0.8</v>
      </c>
      <c r="AF101" t="inlineStr">
        <is>
          <t>Large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125</v>
      </c>
      <c r="AO101" t="n">
        <v>0</v>
      </c>
      <c r="AP101" t="inlineStr">
        <is>
          <t>T3</t>
        </is>
      </c>
      <c r="AQ101" t="inlineStr"/>
      <c r="AR101" t="inlineStr"/>
      <c r="AS101" t="inlineStr">
        <is>
          <t>xe</t>
        </is>
      </c>
      <c r="AT101" t="inlineStr">
        <is>
          <t>next_gen_tank</t>
        </is>
      </c>
      <c r="AU101" t="n">
        <v>1</v>
      </c>
      <c r="AV101" t="inlineStr">
        <is>
          <t>next_gen_tank:0</t>
        </is>
      </c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0.1619047619047619</v>
      </c>
      <c r="BB101" t="n">
        <v>8</v>
      </c>
      <c r="BC101" t="n">
        <v>7</v>
      </c>
      <c r="BD101" t="inlineStr">
        <is>
          <t>gun</t>
        </is>
      </c>
      <c r="BE101" t="inlineStr">
        <is>
          <t>Wikipedia '2A46': 7-8 rpm with the autoloader</t>
        </is>
      </c>
      <c r="BG101" t="inlineStr">
        <is>
          <t>doi</t>
        </is>
      </c>
      <c r="BH101" t="n">
        <v>260</v>
      </c>
      <c r="BI101" t="n">
        <v>371</v>
      </c>
      <c r="BJ101" t="n">
        <v>5</v>
      </c>
      <c r="BK101" t="n">
        <v>7.143</v>
      </c>
      <c r="CB101" t="n">
        <v>4</v>
      </c>
      <c r="CC101" t="n">
        <v>5</v>
      </c>
      <c r="CT101" t="n">
        <v>125</v>
      </c>
      <c r="DD101" t="n">
        <v>7.143</v>
      </c>
      <c r="DE101" t="n">
        <v>371</v>
      </c>
      <c r="DF101" t="inlineStr">
        <is>
          <t>Kinetic</t>
        </is>
      </c>
      <c r="DJ101" t="inlineStr">
        <is>
          <t>tank_gun</t>
        </is>
      </c>
      <c r="DS101" t="inlineStr">
        <is>
          <t>Large</t>
        </is>
      </c>
      <c r="EB101" t="n">
        <v>5</v>
      </c>
      <c r="EH101" t="inlineStr">
        <is>
          <t>Shell</t>
        </is>
      </c>
      <c r="EK101" t="n">
        <v>210</v>
      </c>
      <c r="EP101" t="n">
        <v>34</v>
      </c>
      <c r="EQ101" t="inlineStr">
        <is>
          <t>125 mm smoothbore (T-14 Armata)</t>
        </is>
      </c>
      <c r="EX101" t="n">
        <v>125</v>
      </c>
      <c r="EZ101" t="n">
        <v>0.8</v>
      </c>
      <c r="FW101" t="inlineStr">
        <is>
          <t>All</t>
        </is>
      </c>
      <c r="GB101" t="inlineStr">
        <is>
          <t>cal_125_ap</t>
        </is>
      </c>
      <c r="GD101" t="inlineStr">
        <is>
          <t>Assets/MachineBrigade/Resources/Data/balance.json: weapons[284]</t>
        </is>
      </c>
      <c r="GE101" t="inlineStr">
        <is>
          <t>{"id":"gun_125_armata_ke","weaponFamilyId":"cal_125_ap","real":"125 mm smoothbore (T-14 Armata)","family":"tank_gun","size":125,"caliberMm":125,"pen":5,"damageType":"Kinetic","damage":371,"cooldown":7.143,"range":34,"projectileSpeed":210,"spread":0.8,"impactTier":"Large","projectile":"Shell","targets":"All"}</t>
        </is>
      </c>
    </row>
    <row r="102">
      <c r="A102" t="inlineStr">
        <is>
          <t>gun_125_elite</t>
        </is>
      </c>
      <c r="B102" t="inlineStr">
        <is>
          <t>2A46M-5 125 mm</t>
        </is>
      </c>
      <c r="C102" t="inlineStr">
        <is>
          <t>cal_125_ap</t>
        </is>
      </c>
      <c r="D102" t="inlineStr"/>
      <c r="E102" t="inlineStr"/>
      <c r="F102" t="inlineStr">
        <is>
          <t>tank_gun</t>
        </is>
      </c>
      <c r="G102" t="n">
        <v>125</v>
      </c>
      <c r="H102" t="inlineStr"/>
      <c r="I102" t="inlineStr"/>
      <c r="J102" t="inlineStr"/>
      <c r="K102" t="inlineStr">
        <is>
          <t>Kinetic</t>
        </is>
      </c>
      <c r="L102" t="n">
        <v>5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1</v>
      </c>
      <c r="Q102" t="n">
        <v>0.1</v>
      </c>
      <c r="R102" t="n">
        <v>8.086</v>
      </c>
      <c r="S102" t="n">
        <v>0</v>
      </c>
      <c r="T102" t="n">
        <v>0</v>
      </c>
      <c r="U102" t="n">
        <v>0</v>
      </c>
      <c r="V102" t="n">
        <v>0</v>
      </c>
      <c r="W102" t="n">
        <v>371</v>
      </c>
      <c r="X102" t="n">
        <v>1.5</v>
      </c>
      <c r="Y102" t="n">
        <v>0</v>
      </c>
      <c r="Z102" t="n">
        <v>190</v>
      </c>
      <c r="AA102" t="n">
        <v>34</v>
      </c>
      <c r="AB102" t="n">
        <v>0</v>
      </c>
      <c r="AC102" t="inlineStr">
        <is>
          <t>Ground</t>
        </is>
      </c>
      <c r="AD102" t="inlineStr"/>
      <c r="AE102" t="n">
        <v>0.5</v>
      </c>
      <c r="AF102" t="inlineStr">
        <is>
          <t>Large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125</v>
      </c>
      <c r="AO102" t="n">
        <v>0</v>
      </c>
      <c r="AP102" t="inlineStr">
        <is>
          <t>T3</t>
        </is>
      </c>
      <c r="AQ102" t="inlineStr"/>
      <c r="AR102" t="inlineStr">
        <is>
          <t>gun_125_elite_he</t>
        </is>
      </c>
      <c r="AS102" t="inlineStr">
        <is>
          <t>xe</t>
        </is>
      </c>
      <c r="AT102" t="inlineStr">
        <is>
          <t>elite_mbt</t>
        </is>
      </c>
      <c r="AU102" t="n">
        <v>1</v>
      </c>
      <c r="AV102" t="inlineStr">
        <is>
          <t>elite_mbt:0</t>
        </is>
      </c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0.1789473684210526</v>
      </c>
      <c r="BB102" t="n">
        <v>8</v>
      </c>
      <c r="BC102" t="n">
        <v>7</v>
      </c>
      <c r="BD102" t="inlineStr">
        <is>
          <t>gun</t>
        </is>
      </c>
      <c r="BE102" t="inlineStr">
        <is>
          <t>Wikipedia '2A46': 7-8 rpm with the autoloader</t>
        </is>
      </c>
      <c r="BG102" t="inlineStr">
        <is>
          <t>doi</t>
        </is>
      </c>
      <c r="BH102" t="n">
        <v>260</v>
      </c>
      <c r="BI102" t="n">
        <v>371</v>
      </c>
      <c r="BJ102" t="n">
        <v>5.66</v>
      </c>
      <c r="BK102" t="n">
        <v>8.086</v>
      </c>
      <c r="CB102" t="n">
        <v>4</v>
      </c>
      <c r="CC102" t="n">
        <v>5</v>
      </c>
      <c r="CT102" t="n">
        <v>125</v>
      </c>
      <c r="DD102" t="n">
        <v>8.086</v>
      </c>
      <c r="DE102" t="n">
        <v>371</v>
      </c>
      <c r="DF102" t="inlineStr">
        <is>
          <t>Kinetic</t>
        </is>
      </c>
      <c r="DJ102" t="inlineStr">
        <is>
          <t>tank_gun</t>
        </is>
      </c>
      <c r="DS102" t="inlineStr">
        <is>
          <t>Large</t>
        </is>
      </c>
      <c r="EB102" t="n">
        <v>5</v>
      </c>
      <c r="EE102" t="b">
        <v>1</v>
      </c>
      <c r="EK102" t="n">
        <v>190</v>
      </c>
      <c r="EP102" t="n">
        <v>34</v>
      </c>
      <c r="EQ102" t="inlineStr">
        <is>
          <t>2A46M-5 125 mm</t>
        </is>
      </c>
      <c r="EX102" t="n">
        <v>125</v>
      </c>
      <c r="EY102" t="n">
        <v>1.5</v>
      </c>
      <c r="EZ102" t="n">
        <v>0.5</v>
      </c>
      <c r="GB102" t="inlineStr">
        <is>
          <t>cal_125_ap</t>
        </is>
      </c>
      <c r="GD102" t="inlineStr">
        <is>
          <t>Assets/MachineBrigade/Resources/Data/balance.json: weapons[97]</t>
        </is>
      </c>
      <c r="GE102" t="inlineStr">
        <is>
          <t>{"id":"gun_125_elite","weaponFamilyId":"cal_125_ap","real":"2A46M-5 125 mm","family":"tank_gun","size":125,"caliberMm":125,"pen":5,"piercing":true,"damageType":"Kinetic","damage":371,"cooldown":8.086,"range":34,"projectileSpeed":190,"splash":1.5,"spread":0.5,"impactTier":"Large"}</t>
        </is>
      </c>
    </row>
    <row r="103">
      <c r="A103" t="inlineStr">
        <is>
          <t>gun_125_elite_he</t>
        </is>
      </c>
      <c r="B103" t="inlineStr">
        <is>
          <t>2A46M-5 125 mm HE</t>
        </is>
      </c>
      <c r="C103" t="inlineStr">
        <is>
          <t>cal_125_he</t>
        </is>
      </c>
      <c r="D103" t="inlineStr"/>
      <c r="E103" t="inlineStr"/>
      <c r="F103" t="inlineStr">
        <is>
          <t>tank_gun</t>
        </is>
      </c>
      <c r="G103" t="n">
        <v>125</v>
      </c>
      <c r="H103" t="inlineStr"/>
      <c r="I103" t="inlineStr"/>
      <c r="J103" t="inlineStr"/>
      <c r="K103" t="inlineStr">
        <is>
          <t>HighExplosive</t>
        </is>
      </c>
      <c r="L103" t="n">
        <v>2</v>
      </c>
      <c r="M103" t="inlineStr">
        <is>
          <t>Shell</t>
        </is>
      </c>
      <c r="N103" t="n">
        <v>1</v>
      </c>
      <c r="O103" t="inlineStr">
        <is>
          <t>RIPPLE</t>
        </is>
      </c>
      <c r="P103" t="n">
        <v>1</v>
      </c>
      <c r="Q103" t="n">
        <v>0.1</v>
      </c>
      <c r="R103" t="n">
        <v>8.086</v>
      </c>
      <c r="S103" t="n">
        <v>0</v>
      </c>
      <c r="T103" t="n">
        <v>0</v>
      </c>
      <c r="U103" t="n">
        <v>0</v>
      </c>
      <c r="V103" t="n">
        <v>0</v>
      </c>
      <c r="W103" t="n">
        <v>371</v>
      </c>
      <c r="X103" t="n">
        <v>3</v>
      </c>
      <c r="Y103" t="n">
        <v>0</v>
      </c>
      <c r="Z103" t="n">
        <v>190</v>
      </c>
      <c r="AA103" t="n">
        <v>34</v>
      </c>
      <c r="AB103" t="n">
        <v>0</v>
      </c>
      <c r="AC103" t="inlineStr">
        <is>
          <t>Ground</t>
        </is>
      </c>
      <c r="AD103" t="inlineStr"/>
      <c r="AE103" t="n">
        <v>0.5</v>
      </c>
      <c r="AF103" t="inlineStr">
        <is>
          <t>Huge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125</v>
      </c>
      <c r="AO103" t="n">
        <v>0</v>
      </c>
      <c r="AP103" t="inlineStr">
        <is>
          <t>T3</t>
        </is>
      </c>
      <c r="AQ103" t="inlineStr">
        <is>
          <t>gun_125_elite</t>
        </is>
      </c>
      <c r="AR103" t="inlineStr"/>
      <c r="AS103" t="inlineStr"/>
      <c r="AT103" t="inlineStr"/>
      <c r="AU103" t="n">
        <v>0</v>
      </c>
      <c r="AV103" t="inlineStr"/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0.1789473684210526</v>
      </c>
      <c r="BB103" t="n">
        <v>8</v>
      </c>
      <c r="BC103" t="n">
        <v>7</v>
      </c>
      <c r="BD103" t="inlineStr">
        <is>
          <t>gun</t>
        </is>
      </c>
      <c r="BE103" t="inlineStr">
        <is>
          <t>Wikipedia '2A46': 7-8 rpm with the autoloader</t>
        </is>
      </c>
      <c r="BG103" t="inlineStr">
        <is>
          <t>doi</t>
        </is>
      </c>
      <c r="BH103" t="n">
        <v>260</v>
      </c>
      <c r="BI103" t="n">
        <v>371</v>
      </c>
      <c r="BJ103" t="n">
        <v>5.66</v>
      </c>
      <c r="BK103" t="n">
        <v>8.086</v>
      </c>
      <c r="DE103" t="n">
        <v>371</v>
      </c>
      <c r="DF103" t="inlineStr">
        <is>
          <t>HighExplosive</t>
        </is>
      </c>
      <c r="DM103" t="inlineStr">
        <is>
          <t>light;structure</t>
        </is>
      </c>
      <c r="DN103" t="inlineStr">
        <is>
          <t>HeShell</t>
        </is>
      </c>
      <c r="DS103" t="inlineStr">
        <is>
          <t>Huge</t>
        </is>
      </c>
      <c r="DT103" t="inlineStr">
        <is>
          <t>gun_125_elite</t>
        </is>
      </c>
      <c r="EB103" t="n">
        <v>2</v>
      </c>
      <c r="EE103" t="b">
        <v>0</v>
      </c>
      <c r="EQ103" t="inlineStr">
        <is>
          <t>2A46M-5 125 mm HE</t>
        </is>
      </c>
      <c r="ES103" t="inlineStr">
        <is>
          <t>he</t>
        </is>
      </c>
      <c r="EU103" t="inlineStr">
        <is>
          <t>gun_125_elite</t>
        </is>
      </c>
      <c r="EY103" t="n">
        <v>3</v>
      </c>
      <c r="FW103" t="inlineStr">
        <is>
          <t>Ground</t>
        </is>
      </c>
      <c r="GA103" t="inlineStr"/>
      <c r="GB103" t="inlineStr">
        <is>
          <t>cal_125_he</t>
        </is>
      </c>
      <c r="GD103" t="inlineStr">
        <is>
          <t>Assets/MachineBrigade/Resources/Data/balance.json: secondRounds.rounds[26]</t>
        </is>
      </c>
      <c r="GE103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HE","damageType":"HighExplosive","pen":2,"damage":371,"splash":3,"form":"HeShell","piercing":false,"targets":"Ground","impactTier":"Huge"}</t>
        </is>
      </c>
    </row>
    <row r="104">
      <c r="A104" t="inlineStr">
        <is>
          <t>gun_140_twin</t>
        </is>
      </c>
      <c r="B104" t="inlineStr">
        <is>
          <t>NPzK 140 mm (twin)</t>
        </is>
      </c>
      <c r="C104" t="inlineStr">
        <is>
          <t>cal_140</t>
        </is>
      </c>
      <c r="D104" t="inlineStr"/>
      <c r="E104" t="inlineStr"/>
      <c r="F104" t="inlineStr">
        <is>
          <t>tank_gun</t>
        </is>
      </c>
      <c r="G104" t="n">
        <v>140</v>
      </c>
      <c r="H104" t="inlineStr"/>
      <c r="I104" t="inlineStr"/>
      <c r="J104" t="inlineStr"/>
      <c r="K104" t="inlineStr">
        <is>
          <t>Kinetic</t>
        </is>
      </c>
      <c r="L104" t="n">
        <v>5</v>
      </c>
      <c r="M104" t="inlineStr">
        <is>
          <t>Shell</t>
        </is>
      </c>
      <c r="N104" t="n">
        <v>2</v>
      </c>
      <c r="O104" t="inlineStr">
        <is>
          <t>SIMULTANEOUS</t>
        </is>
      </c>
      <c r="P104" t="n">
        <v>1</v>
      </c>
      <c r="Q104" t="n">
        <v>0.05</v>
      </c>
      <c r="R104" t="n">
        <v>6.481</v>
      </c>
      <c r="S104" t="n">
        <v>0</v>
      </c>
      <c r="T104" t="n">
        <v>0</v>
      </c>
      <c r="U104" t="n">
        <v>0</v>
      </c>
      <c r="V104" t="n">
        <v>0</v>
      </c>
      <c r="W104" t="n">
        <v>414</v>
      </c>
      <c r="X104" t="n">
        <v>2</v>
      </c>
      <c r="Y104" t="n">
        <v>0</v>
      </c>
      <c r="Z104" t="n">
        <v>200</v>
      </c>
      <c r="AA104" t="n">
        <v>40</v>
      </c>
      <c r="AB104" t="n">
        <v>0</v>
      </c>
      <c r="AC104" t="inlineStr">
        <is>
          <t>Ground</t>
        </is>
      </c>
      <c r="AD104" t="inlineStr"/>
      <c r="AE104" t="n">
        <v>0.5</v>
      </c>
      <c r="AF104" t="inlineStr">
        <is>
          <t>Large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140</v>
      </c>
      <c r="AO104" t="n">
        <v>0</v>
      </c>
      <c r="AP104" t="inlineStr">
        <is>
          <t>T3</t>
        </is>
      </c>
      <c r="AQ104" t="inlineStr"/>
      <c r="AR104" t="inlineStr">
        <is>
          <t>gun_140_twin_he</t>
        </is>
      </c>
      <c r="AS104" t="inlineStr">
        <is>
          <t>xe</t>
        </is>
      </c>
      <c r="AT104" t="inlineStr">
        <is>
          <t>titan_tank</t>
        </is>
      </c>
      <c r="AU104" t="n">
        <v>1</v>
      </c>
      <c r="AV104" t="inlineStr">
        <is>
          <t>titan_tank:0</t>
        </is>
      </c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0.2</v>
      </c>
      <c r="BB104" t="n">
        <v>10</v>
      </c>
      <c r="BC104" t="n">
        <v>8</v>
      </c>
      <c r="BD104" t="inlineStr">
        <is>
          <t>gun</t>
        </is>
      </c>
      <c r="BE104" t="inlineStr">
        <is>
          <t>NPzK 140 mm (experimental), est. 10 rpm with an autoloader (Leclerc-class)</t>
        </is>
      </c>
      <c r="BG104" t="inlineStr">
        <is>
          <t>doi</t>
        </is>
      </c>
      <c r="BH104" t="n">
        <v>290</v>
      </c>
      <c r="BI104" t="n">
        <v>414</v>
      </c>
      <c r="BJ104" t="n">
        <v>4.487</v>
      </c>
      <c r="BK104" t="n">
        <v>6.481</v>
      </c>
      <c r="BT104" t="n">
        <v>2</v>
      </c>
      <c r="BU104" t="n">
        <v>1</v>
      </c>
      <c r="BX104" t="n">
        <v>1</v>
      </c>
      <c r="BY104" t="n">
        <v>2</v>
      </c>
      <c r="BZ104" t="inlineStr">
        <is>
          <t>RIPPLE</t>
        </is>
      </c>
      <c r="CA104" t="inlineStr">
        <is>
          <t>SIMULTANEOUS</t>
        </is>
      </c>
      <c r="CB104" t="n">
        <v>4</v>
      </c>
      <c r="CC104" t="n">
        <v>5</v>
      </c>
      <c r="CO104" t="n">
        <v>2</v>
      </c>
      <c r="CR104" t="n">
        <v>1</v>
      </c>
      <c r="CS104" t="n">
        <v>0.05</v>
      </c>
      <c r="CT104" t="n">
        <v>140</v>
      </c>
      <c r="DD104" t="n">
        <v>6.481</v>
      </c>
      <c r="DE104" t="n">
        <v>414</v>
      </c>
      <c r="DF104" t="inlineStr">
        <is>
          <t>Kinetic</t>
        </is>
      </c>
      <c r="DJ104" t="inlineStr">
        <is>
          <t>tank_gun</t>
        </is>
      </c>
      <c r="DS104" t="inlineStr">
        <is>
          <t>Large</t>
        </is>
      </c>
      <c r="EB104" t="n">
        <v>5</v>
      </c>
      <c r="EE104" t="b">
        <v>1</v>
      </c>
      <c r="EK104" t="n">
        <v>200</v>
      </c>
      <c r="EP104" t="n">
        <v>40</v>
      </c>
      <c r="EQ104" t="inlineStr">
        <is>
          <t>NPzK 140 mm (twin)</t>
        </is>
      </c>
      <c r="EV104" t="n">
        <v>299</v>
      </c>
      <c r="EW104" t="inlineStr">
        <is>
          <t>SIMULTANEOUS</t>
        </is>
      </c>
      <c r="EX104" t="n">
        <v>140</v>
      </c>
      <c r="EY104" t="n">
        <v>2</v>
      </c>
      <c r="EZ104" t="n">
        <v>0.5</v>
      </c>
      <c r="GB104" t="inlineStr">
        <is>
          <t>cal_140</t>
        </is>
      </c>
      <c r="GD104" t="inlineStr">
        <is>
          <t>Assets/MachineBrigade/Resources/Data/balance.json: weapons[47]</t>
        </is>
      </c>
      <c r="GE104" t="inlineStr">
        <is>
          <t>{"id":"gun_140_twin","weaponFamilyId":"cal_140","salvoMode":"SIMULTANEOUS","barrels":2,"real":"NPzK 140 mm (twin)","family":"tank_gun","size":140,"caliberMm":140,"pen":5,"piercing":true,"damageType":"Kinetic","damage":414,"cooldown":6.481,"range":40,"projectileSpeed":200,"splash":2,"spread":0.5,"impactTier":"Large","burst":1,"burstInterval":0.05,"roundWeight":299}</t>
        </is>
      </c>
    </row>
    <row r="105">
      <c r="A105" t="inlineStr">
        <is>
          <t>gun_140_twin_he</t>
        </is>
      </c>
      <c r="B105" t="inlineStr">
        <is>
          <t>NPzK 140 mm HE (twin)</t>
        </is>
      </c>
      <c r="C105" t="inlineStr">
        <is>
          <t>cal_140</t>
        </is>
      </c>
      <c r="D105" t="inlineStr"/>
      <c r="E105" t="inlineStr"/>
      <c r="F105" t="inlineStr">
        <is>
          <t>tank_gun</t>
        </is>
      </c>
      <c r="G105" t="n">
        <v>140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Shell</t>
        </is>
      </c>
      <c r="N105" t="n">
        <v>2</v>
      </c>
      <c r="O105" t="inlineStr">
        <is>
          <t>SIMULTANEOUS</t>
        </is>
      </c>
      <c r="P105" t="n">
        <v>1</v>
      </c>
      <c r="Q105" t="n">
        <v>0.05</v>
      </c>
      <c r="R105" t="n">
        <v>6.481</v>
      </c>
      <c r="S105" t="n">
        <v>0</v>
      </c>
      <c r="T105" t="n">
        <v>0</v>
      </c>
      <c r="U105" t="n">
        <v>0</v>
      </c>
      <c r="V105" t="n">
        <v>0</v>
      </c>
      <c r="W105" t="n">
        <v>414</v>
      </c>
      <c r="X105" t="n">
        <v>3</v>
      </c>
      <c r="Y105" t="n">
        <v>0</v>
      </c>
      <c r="Z105" t="n">
        <v>200</v>
      </c>
      <c r="AA105" t="n">
        <v>40</v>
      </c>
      <c r="AB105" t="n">
        <v>0</v>
      </c>
      <c r="AC105" t="inlineStr">
        <is>
          <t>Ground</t>
        </is>
      </c>
      <c r="AD105" t="inlineStr"/>
      <c r="AE105" t="n">
        <v>0.5</v>
      </c>
      <c r="AF105" t="inlineStr">
        <is>
          <t>Huge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140</v>
      </c>
      <c r="AO105" t="n">
        <v>0</v>
      </c>
      <c r="AP105" t="inlineStr">
        <is>
          <t>T3</t>
        </is>
      </c>
      <c r="AQ105" t="inlineStr">
        <is>
          <t>gun_140_twin</t>
        </is>
      </c>
      <c r="AR105" t="inlineStr"/>
      <c r="AS105" t="inlineStr"/>
      <c r="AT105" t="inlineStr"/>
      <c r="AU105" t="n">
        <v>0</v>
      </c>
      <c r="AV105" t="inlineStr"/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</v>
      </c>
      <c r="BB105" t="n">
        <v>10</v>
      </c>
      <c r="BC105" t="n">
        <v>8</v>
      </c>
      <c r="BD105" t="inlineStr">
        <is>
          <t>gun</t>
        </is>
      </c>
      <c r="BE105" t="inlineStr">
        <is>
          <t>NPzK 140 mm (experimental), est. 10 rpm with an autoloader (Leclerc-class)</t>
        </is>
      </c>
      <c r="BG105" t="inlineStr">
        <is>
          <t>doi</t>
        </is>
      </c>
      <c r="BH105" t="n">
        <v>290</v>
      </c>
      <c r="BI105" t="n">
        <v>414</v>
      </c>
      <c r="BJ105" t="n">
        <v>4.487</v>
      </c>
      <c r="BK105" t="n">
        <v>6.481</v>
      </c>
      <c r="BT105" t="n">
        <v>2</v>
      </c>
      <c r="BU105" t="n">
        <v>1</v>
      </c>
      <c r="BX105" t="n">
        <v>1</v>
      </c>
      <c r="BY105" t="n">
        <v>2</v>
      </c>
      <c r="BZ105" t="inlineStr">
        <is>
          <t>RIPPLE</t>
        </is>
      </c>
      <c r="CA105" t="inlineStr">
        <is>
          <t>SIMULTANEOUS</t>
        </is>
      </c>
      <c r="DE105" t="n">
        <v>414</v>
      </c>
      <c r="DF105" t="inlineStr">
        <is>
          <t>HighExplosive</t>
        </is>
      </c>
      <c r="DM105" t="inlineStr">
        <is>
          <t>light;structure</t>
        </is>
      </c>
      <c r="DN105" t="inlineStr">
        <is>
          <t>HeShell</t>
        </is>
      </c>
      <c r="DS105" t="inlineStr">
        <is>
          <t>Huge</t>
        </is>
      </c>
      <c r="DT105" t="inlineStr">
        <is>
          <t>gun_140_twin</t>
        </is>
      </c>
      <c r="EB105" t="n">
        <v>2</v>
      </c>
      <c r="EE105" t="b">
        <v>0</v>
      </c>
      <c r="EQ105" t="inlineStr">
        <is>
          <t>NPzK 140 mm HE (twin)</t>
        </is>
      </c>
      <c r="ES105" t="inlineStr">
        <is>
          <t>he</t>
        </is>
      </c>
      <c r="EU105" t="inlineStr">
        <is>
          <t>gun_140_twin</t>
        </is>
      </c>
      <c r="EY105" t="n">
        <v>3</v>
      </c>
      <c r="FW105" t="inlineStr">
        <is>
          <t>Ground</t>
        </is>
      </c>
      <c r="GA105" t="inlineStr"/>
      <c r="GD105" t="inlineStr">
        <is>
          <t>Assets/MachineBrigade/Resources/Data/balance.json: secondRounds.rounds[27]</t>
        </is>
      </c>
      <c r="GE105" t="inlineStr">
        <is>
          <t>{"id":"gun_140_twin_he","roundOf":"gun_140_twin","inherits":"gun_140_twin","weaponFamily":"","round":"he","for":["light","structure"],"real":"NPzK 140 mm HE (twin)","damageType":"HighExplosive","pen":2,"damage":414,"splash":3,"form":"HeShell","piercing":false,"targets":"Ground","impactTier":"Huge"}</t>
        </is>
      </c>
    </row>
    <row r="106">
      <c r="A106" t="inlineStr">
        <is>
          <t>gun_152</t>
        </is>
      </c>
      <c r="B106" t="inlineStr">
        <is>
          <t>2A83 152 mm</t>
        </is>
      </c>
      <c r="C106" t="inlineStr">
        <is>
          <t>cal_152_155</t>
        </is>
      </c>
      <c r="D106" t="inlineStr">
        <is>
          <t>ap</t>
        </is>
      </c>
      <c r="E106" t="inlineStr">
        <is>
          <t>2a83_152_mm</t>
        </is>
      </c>
      <c r="F106" t="inlineStr">
        <is>
          <t>tank_gun</t>
        </is>
      </c>
      <c r="G106" t="n">
        <v>152</v>
      </c>
      <c r="H106" t="inlineStr"/>
      <c r="I106" t="inlineStr"/>
      <c r="J106" t="inlineStr"/>
      <c r="K106" t="inlineStr">
        <is>
          <t>Kinetic</t>
        </is>
      </c>
      <c r="L106" t="n">
        <v>5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8.163</v>
      </c>
      <c r="S106" t="n">
        <v>0</v>
      </c>
      <c r="T106" t="n">
        <v>0</v>
      </c>
      <c r="U106" t="n">
        <v>0</v>
      </c>
      <c r="V106" t="n">
        <v>0</v>
      </c>
      <c r="W106" t="n">
        <v>457</v>
      </c>
      <c r="X106" t="n">
        <v>2.5</v>
      </c>
      <c r="Y106" t="n">
        <v>0</v>
      </c>
      <c r="Z106" t="n">
        <v>160</v>
      </c>
      <c r="AA106" t="n">
        <v>34</v>
      </c>
      <c r="AB106" t="n">
        <v>0</v>
      </c>
      <c r="AC106" t="inlineStr">
        <is>
          <t>Ground</t>
        </is>
      </c>
      <c r="AD106" t="inlineStr"/>
      <c r="AE106" t="n">
        <v>0.7</v>
      </c>
      <c r="AF106" t="inlineStr">
        <is>
          <t>Large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152</v>
      </c>
      <c r="AO106" t="n">
        <v>0</v>
      </c>
      <c r="AP106" t="inlineStr">
        <is>
          <t>T3</t>
        </is>
      </c>
      <c r="AQ106" t="inlineStr"/>
      <c r="AR106" t="inlineStr">
        <is>
          <t>gun_152_he</t>
        </is>
      </c>
      <c r="AS106" t="inlineStr">
        <is>
          <t>xe</t>
        </is>
      </c>
      <c r="AT106" t="inlineStr">
        <is>
          <t>heavy_tank</t>
        </is>
      </c>
      <c r="AU106" t="n">
        <v>1</v>
      </c>
      <c r="AV106" t="inlineStr">
        <is>
          <t>heavy_tank:0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0.2125</v>
      </c>
      <c r="BB106" t="n">
        <v>10</v>
      </c>
      <c r="BC106" t="n">
        <v>8</v>
      </c>
      <c r="BD106" t="inlineStr">
        <is>
          <t>gun</t>
        </is>
      </c>
      <c r="BE106" t="inlineStr">
        <is>
          <t>Object 195 / T-14 152 mm, est. ~10 rpm (the sheet)</t>
        </is>
      </c>
      <c r="BG106" t="inlineStr">
        <is>
          <t>doi</t>
        </is>
      </c>
      <c r="BH106" t="n">
        <v>320</v>
      </c>
      <c r="BI106" t="n">
        <v>457</v>
      </c>
      <c r="BJ106" t="n">
        <v>5.714</v>
      </c>
      <c r="BK106" t="n">
        <v>8.163</v>
      </c>
      <c r="CB106" t="n">
        <v>4</v>
      </c>
      <c r="CC106" t="n">
        <v>5</v>
      </c>
      <c r="CT106" t="n">
        <v>152</v>
      </c>
      <c r="DD106" t="n">
        <v>8.163</v>
      </c>
      <c r="DE106" t="n">
        <v>457</v>
      </c>
      <c r="DF106" t="inlineStr">
        <is>
          <t>Kinetic</t>
        </is>
      </c>
      <c r="DJ106" t="inlineStr">
        <is>
          <t>tank_gun</t>
        </is>
      </c>
      <c r="DQ106" t="inlineStr">
        <is>
          <t>gun_152_he</t>
        </is>
      </c>
      <c r="DS106" t="inlineStr">
        <is>
          <t>Large</t>
        </is>
      </c>
      <c r="EB106" t="n">
        <v>5</v>
      </c>
      <c r="EE106" t="b">
        <v>1</v>
      </c>
      <c r="EP106" t="n">
        <v>34</v>
      </c>
      <c r="EQ106" t="inlineStr">
        <is>
          <t>2A83 152 mm</t>
        </is>
      </c>
      <c r="EX106" t="n">
        <v>152</v>
      </c>
      <c r="EZ106" t="n">
        <v>0.7</v>
      </c>
      <c r="GA106" t="inlineStr">
        <is>
          <t>2a83_152_mm</t>
        </is>
      </c>
      <c r="GB106" t="inlineStr">
        <is>
          <t>cal_152_155</t>
        </is>
      </c>
      <c r="GC106" t="inlineStr">
        <is>
          <t>ap</t>
        </is>
      </c>
      <c r="GD106" t="inlineStr">
        <is>
          <t>Assets/MachineBrigade/Resources/Data/balance.json: weapons[28]</t>
        </is>
      </c>
      <c r="GE106" t="inlineStr">
        <is>
          <t>{"id":"gun_152","weaponFamilyId":"cal_152_155","weaponVariantId":"ap","weaponFamily":"2a83_152_mm","real":"2A83 152 mm","family":"tank_gun","size":152,"caliberMm":152,"pen":5,"piercing":true,"he":"gun_152_he","damageType":"Kinetic","damage":457,"cooldown":8.163,"range":34,"spread":0.7,"impactTier":"Large"}</t>
        </is>
      </c>
    </row>
    <row r="107">
      <c r="A107" t="inlineStr">
        <is>
          <t>gun_152_he</t>
        </is>
      </c>
      <c r="B107" t="inlineStr">
        <is>
          <t>2A83 152 mm HE-FRAG</t>
        </is>
      </c>
      <c r="C107" t="inlineStr">
        <is>
          <t>cal_152_155</t>
        </is>
      </c>
      <c r="D107" t="inlineStr"/>
      <c r="E107" t="inlineStr">
        <is>
          <t>2a83_152_mm_he_frag</t>
        </is>
      </c>
      <c r="F107" t="inlineStr">
        <is>
          <t>tank_gun</t>
        </is>
      </c>
      <c r="G107" t="n">
        <v>152</v>
      </c>
      <c r="H107" t="inlineStr"/>
      <c r="I107" t="inlineStr"/>
      <c r="J107" t="inlineStr"/>
      <c r="K107" t="inlineStr">
        <is>
          <t>HighExplosive</t>
        </is>
      </c>
      <c r="L107" t="n">
        <v>3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8.571</v>
      </c>
      <c r="S107" t="n">
        <v>0</v>
      </c>
      <c r="T107" t="n">
        <v>0</v>
      </c>
      <c r="U107" t="n">
        <v>0</v>
      </c>
      <c r="V107" t="n">
        <v>0</v>
      </c>
      <c r="W107" t="n">
        <v>457</v>
      </c>
      <c r="X107" t="n">
        <v>6.5</v>
      </c>
      <c r="Y107" t="n">
        <v>0</v>
      </c>
      <c r="Z107" t="n">
        <v>150</v>
      </c>
      <c r="AA107" t="n">
        <v>34</v>
      </c>
      <c r="AB107" t="n">
        <v>0</v>
      </c>
      <c r="AC107" t="inlineStr">
        <is>
          <t>Ground</t>
        </is>
      </c>
      <c r="AD107" t="inlineStr"/>
      <c r="AE107" t="n">
        <v>0.7</v>
      </c>
      <c r="AF107" t="inlineStr">
        <is>
          <t>Huge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152</v>
      </c>
      <c r="AO107" t="n">
        <v>0</v>
      </c>
      <c r="AP107" t="inlineStr">
        <is>
          <t>T3</t>
        </is>
      </c>
      <c r="AQ107" t="inlineStr"/>
      <c r="AR107" t="inlineStr"/>
      <c r="AS107" t="inlineStr">
        <is>
          <t>boss_part</t>
        </is>
      </c>
      <c r="AT107" t="inlineStr">
        <is>
          <t>gun_152_car</t>
        </is>
      </c>
      <c r="AU107" t="n">
        <v>1</v>
      </c>
      <c r="AV107" t="inlineStr">
        <is>
          <t>gun_152_car:part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0.2266666666666667</v>
      </c>
      <c r="BB107" t="n">
        <v>10</v>
      </c>
      <c r="BC107" t="n">
        <v>8</v>
      </c>
      <c r="BD107" t="inlineStr">
        <is>
          <t>gun</t>
        </is>
      </c>
      <c r="BE107" t="inlineStr">
        <is>
          <t>Object 195 / T-14 152 mm, est. ~10 rpm (the sheet)</t>
        </is>
      </c>
      <c r="BG107" t="inlineStr">
        <is>
          <t>doi</t>
        </is>
      </c>
      <c r="BH107" t="n">
        <v>320</v>
      </c>
      <c r="BI107" t="n">
        <v>457</v>
      </c>
      <c r="BJ107" t="n">
        <v>6</v>
      </c>
      <c r="BK107" t="n">
        <v>8.571</v>
      </c>
      <c r="CT107" t="n">
        <v>152</v>
      </c>
      <c r="DD107" t="n">
        <v>8.571</v>
      </c>
      <c r="DE107" t="n">
        <v>457</v>
      </c>
      <c r="DF107" t="inlineStr">
        <is>
          <t>HighExplosive</t>
        </is>
      </c>
      <c r="DJ107" t="inlineStr">
        <is>
          <t>tank_gun</t>
        </is>
      </c>
      <c r="DS107" t="inlineStr">
        <is>
          <t>Huge</t>
        </is>
      </c>
      <c r="EB107" t="n">
        <v>3</v>
      </c>
      <c r="EK107" t="n">
        <v>150</v>
      </c>
      <c r="EP107" t="n">
        <v>34</v>
      </c>
      <c r="EQ107" t="inlineStr">
        <is>
          <t>2A83 152 mm HE-FRAG</t>
        </is>
      </c>
      <c r="EV107" t="n">
        <v>343</v>
      </c>
      <c r="EX107" t="n">
        <v>152</v>
      </c>
      <c r="EY107" t="n">
        <v>6.5</v>
      </c>
      <c r="EZ107" t="n">
        <v>0.7</v>
      </c>
      <c r="GA107" t="inlineStr">
        <is>
          <t>2a83_152_mm_he_frag</t>
        </is>
      </c>
      <c r="GB107" t="inlineStr">
        <is>
          <t>cal_152_155</t>
        </is>
      </c>
      <c r="GD107" t="inlineStr">
        <is>
          <t>Assets/MachineBrigade/Resources/Data/balance.json: weapons[264]</t>
        </is>
      </c>
      <c r="GE107" t="inlineStr">
        <is>
          <t>{"id":"gun_152_he","weaponFamilyId":"cal_152_155","weaponFamily":"2a83_152_mm_he_frag","real":"2A83 152 mm HE-FRAG","family":"tank_gun","size":152,"caliberMm":152,"pen":3,"damageType":"HighExplosive","damage":457,"cooldown":8.571,"range":34,"projectileSpeed":150,"splash":6.5,"spread":0.7,"impactTier":"Huge","roundWeight":343}</t>
        </is>
      </c>
    </row>
    <row r="108">
      <c r="A108" t="inlineStr">
        <is>
          <t>gun_152_heat</t>
        </is>
      </c>
      <c r="B108" t="inlineStr">
        <is>
          <t>2A83 152 mm HEAT</t>
        </is>
      </c>
      <c r="C108" t="inlineStr">
        <is>
          <t>cal_152_155</t>
        </is>
      </c>
      <c r="D108" t="inlineStr">
        <is>
          <t>heat</t>
        </is>
      </c>
      <c r="E108" t="inlineStr"/>
      <c r="F108" t="inlineStr">
        <is>
          <t>tank_gun</t>
        </is>
      </c>
      <c r="G108" t="n">
        <v>152</v>
      </c>
      <c r="H108" t="inlineStr"/>
      <c r="I108" t="inlineStr"/>
      <c r="J108" t="inlineStr"/>
      <c r="K108" t="inlineStr">
        <is>
          <t>ShapedCharge</t>
        </is>
      </c>
      <c r="L108" t="n">
        <v>5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9.042999999999999</v>
      </c>
      <c r="S108" t="n">
        <v>0</v>
      </c>
      <c r="T108" t="n">
        <v>0</v>
      </c>
      <c r="U108" t="n">
        <v>0</v>
      </c>
      <c r="V108" t="n">
        <v>0</v>
      </c>
      <c r="W108" t="n">
        <v>480</v>
      </c>
      <c r="X108" t="n">
        <v>3.5</v>
      </c>
      <c r="Y108" t="n">
        <v>0</v>
      </c>
      <c r="Z108" t="n">
        <v>170</v>
      </c>
      <c r="AA108" t="n">
        <v>36</v>
      </c>
      <c r="AB108" t="n">
        <v>0</v>
      </c>
      <c r="AC108" t="inlineStr">
        <is>
          <t>Ground</t>
        </is>
      </c>
      <c r="AD108" t="inlineStr"/>
      <c r="AE108" t="n">
        <v>0.6</v>
      </c>
      <c r="AF108" t="inlineStr">
        <is>
          <t>Large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152</v>
      </c>
      <c r="AO108" t="n">
        <v>0</v>
      </c>
      <c r="AP108" t="inlineStr">
        <is>
          <t>T3</t>
        </is>
      </c>
      <c r="AQ108" t="inlineStr"/>
      <c r="AR108" t="inlineStr">
        <is>
          <t>gun_152_heat_he</t>
        </is>
      </c>
      <c r="AS108" t="inlineStr">
        <is>
          <t>xe</t>
        </is>
      </c>
      <c r="AT108" t="inlineStr">
        <is>
          <t>elite_heavy_tank</t>
        </is>
      </c>
      <c r="AU108" t="n">
        <v>1</v>
      </c>
      <c r="AV108" t="inlineStr">
        <is>
          <t>elite_heavy_tank:0</t>
        </is>
      </c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0.2117647058823529</v>
      </c>
      <c r="BB108" t="n">
        <v>10</v>
      </c>
      <c r="BC108" t="n">
        <v>8</v>
      </c>
      <c r="BD108" t="inlineStr">
        <is>
          <t>gun</t>
        </is>
      </c>
      <c r="BE108" t="inlineStr">
        <is>
          <t>Object 195 / T-14 152 mm, est. ~10 rpm (the sheet)</t>
        </is>
      </c>
      <c r="BG108" t="inlineStr">
        <is>
          <t>doi</t>
        </is>
      </c>
      <c r="BH108" t="n">
        <v>336</v>
      </c>
      <c r="BI108" t="n">
        <v>480</v>
      </c>
      <c r="BJ108" t="n">
        <v>6.33</v>
      </c>
      <c r="BK108" t="n">
        <v>9.042999999999999</v>
      </c>
      <c r="CB108" t="n">
        <v>4</v>
      </c>
      <c r="CC108" t="n">
        <v>5</v>
      </c>
      <c r="CT108" t="n">
        <v>152</v>
      </c>
      <c r="DD108" t="n">
        <v>9.042999999999999</v>
      </c>
      <c r="DE108" t="n">
        <v>480</v>
      </c>
      <c r="DF108" t="inlineStr">
        <is>
          <t>ShapedCharge</t>
        </is>
      </c>
      <c r="DJ108" t="inlineStr">
        <is>
          <t>tank_gun</t>
        </is>
      </c>
      <c r="DN108" t="inlineStr">
        <is>
          <t>DoubleDart</t>
        </is>
      </c>
      <c r="DS108" t="inlineStr">
        <is>
          <t>Large</t>
        </is>
      </c>
      <c r="EB108" t="n">
        <v>5</v>
      </c>
      <c r="EE108" t="b">
        <v>1</v>
      </c>
      <c r="EK108" t="n">
        <v>170</v>
      </c>
      <c r="EP108" t="n">
        <v>36</v>
      </c>
      <c r="EQ108" t="inlineStr">
        <is>
          <t>2A83 152 mm HEAT</t>
        </is>
      </c>
      <c r="EV108" t="n">
        <v>325</v>
      </c>
      <c r="EX108" t="n">
        <v>152</v>
      </c>
      <c r="EY108" t="n">
        <v>3.5</v>
      </c>
      <c r="EZ108" t="n">
        <v>0.6</v>
      </c>
      <c r="GB108" t="inlineStr">
        <is>
          <t>cal_152_155</t>
        </is>
      </c>
      <c r="GC108" t="inlineStr">
        <is>
          <t>heat</t>
        </is>
      </c>
      <c r="GD108" t="inlineStr">
        <is>
          <t>Assets/MachineBrigade/Resources/Data/balance.json: weapons[92]</t>
        </is>
      </c>
      <c r="GE108" t="inlineStr">
        <is>
          <t>{"id":"gun_152_heat","weaponFamilyId":"cal_152_155","weaponVariantId":"heat","real":"2A83 152 mm HEAT","family":"tank_gun","size":152,"caliberMm":152,"pen":5,"form":"DoubleDart","piercing":true,"damageType":"ShapedCharge","damage":480,"cooldown":9.043,"range":36,"projectileSpeed":170,"splash":3.5,"spread":0.6,"impactTier":"Large","roundWeight":325}</t>
        </is>
      </c>
    </row>
    <row r="109">
      <c r="A109" t="inlineStr">
        <is>
          <t>gun_152_heat_he</t>
        </is>
      </c>
      <c r="B109" t="inlineStr">
        <is>
          <t>2A83 152 mm HE-FRAG</t>
        </is>
      </c>
      <c r="C109" t="inlineStr">
        <is>
          <t>cal_152_155</t>
        </is>
      </c>
      <c r="D109" t="inlineStr"/>
      <c r="E109" t="inlineStr">
        <is>
          <t>2a83_152_mm_he_frag</t>
        </is>
      </c>
      <c r="F109" t="inlineStr">
        <is>
          <t>tank_gun</t>
        </is>
      </c>
      <c r="G109" t="n">
        <v>152</v>
      </c>
      <c r="H109" t="inlineStr"/>
      <c r="I109" t="inlineStr"/>
      <c r="J109" t="inlineStr"/>
      <c r="K109" t="inlineStr">
        <is>
          <t>HighExplosive</t>
        </is>
      </c>
      <c r="L109" t="n">
        <v>3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1</v>
      </c>
      <c r="Q109" t="n">
        <v>0.1</v>
      </c>
      <c r="R109" t="n">
        <v>9.042999999999999</v>
      </c>
      <c r="S109" t="n">
        <v>0</v>
      </c>
      <c r="T109" t="n">
        <v>0</v>
      </c>
      <c r="U109" t="n">
        <v>0</v>
      </c>
      <c r="V109" t="n">
        <v>0</v>
      </c>
      <c r="W109" t="n">
        <v>457</v>
      </c>
      <c r="X109" t="n">
        <v>6.5</v>
      </c>
      <c r="Y109" t="n">
        <v>0</v>
      </c>
      <c r="Z109" t="n">
        <v>150</v>
      </c>
      <c r="AA109" t="n">
        <v>36</v>
      </c>
      <c r="AB109" t="n">
        <v>0</v>
      </c>
      <c r="AC109" t="inlineStr">
        <is>
          <t>Ground</t>
        </is>
      </c>
      <c r="AD109" t="inlineStr"/>
      <c r="AE109" t="n">
        <v>0.6</v>
      </c>
      <c r="AF109" t="inlineStr">
        <is>
          <t>Huge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152</v>
      </c>
      <c r="AO109" t="n">
        <v>0</v>
      </c>
      <c r="AP109" t="inlineStr">
        <is>
          <t>T3</t>
        </is>
      </c>
      <c r="AQ109" t="inlineStr">
        <is>
          <t>gun_152_heat</t>
        </is>
      </c>
      <c r="AR109" t="inlineStr"/>
      <c r="AS109" t="inlineStr"/>
      <c r="AT109" t="inlineStr"/>
      <c r="AU109" t="n">
        <v>0</v>
      </c>
      <c r="AV109" t="inlineStr"/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0.24</v>
      </c>
      <c r="BB109" t="n">
        <v>10</v>
      </c>
      <c r="BC109" t="n">
        <v>8</v>
      </c>
      <c r="BD109" t="inlineStr">
        <is>
          <t>gun</t>
        </is>
      </c>
      <c r="BE109" t="inlineStr">
        <is>
          <t>Object 195 / T-14 152 mm, est. ~10 rpm (the sheet)</t>
        </is>
      </c>
      <c r="BG109" t="inlineStr">
        <is>
          <t>doi</t>
        </is>
      </c>
      <c r="BH109" t="n">
        <v>320</v>
      </c>
      <c r="BI109" t="n">
        <v>457</v>
      </c>
      <c r="BJ109" t="n">
        <v>6.33</v>
      </c>
      <c r="BK109" t="n">
        <v>9.042999999999999</v>
      </c>
      <c r="DE109" t="n">
        <v>457</v>
      </c>
      <c r="DF109" t="inlineStr">
        <is>
          <t>HighExplosive</t>
        </is>
      </c>
      <c r="DM109" t="inlineStr">
        <is>
          <t>light;structure</t>
        </is>
      </c>
      <c r="DN109" t="inlineStr">
        <is>
          <t>HeShell</t>
        </is>
      </c>
      <c r="DS109" t="inlineStr">
        <is>
          <t>Huge</t>
        </is>
      </c>
      <c r="DT109" t="inlineStr">
        <is>
          <t>gun_152_heat</t>
        </is>
      </c>
      <c r="EB109" t="n">
        <v>3</v>
      </c>
      <c r="EE109" t="b">
        <v>0</v>
      </c>
      <c r="EK109" t="n">
        <v>150</v>
      </c>
      <c r="EQ109" t="inlineStr">
        <is>
          <t>2A83 152 mm HE-FRAG</t>
        </is>
      </c>
      <c r="ES109" t="inlineStr">
        <is>
          <t>he</t>
        </is>
      </c>
      <c r="EU109" t="inlineStr">
        <is>
          <t>gun_152_heat</t>
        </is>
      </c>
      <c r="EV109" t="n">
        <v>343</v>
      </c>
      <c r="EY109" t="n">
        <v>6.5</v>
      </c>
      <c r="FW109" t="inlineStr">
        <is>
          <t>Ground</t>
        </is>
      </c>
      <c r="GA109" t="inlineStr">
        <is>
          <t>2a83_152_mm_he_frag</t>
        </is>
      </c>
      <c r="GC109" t="inlineStr"/>
      <c r="GD109" t="inlineStr">
        <is>
          <t>Assets/MachineBrigade/Resources/Data/balance.json: secondRounds.rounds[28]</t>
        </is>
      </c>
      <c r="GE109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HE-FRAG","damageType":"HighExplosive","pen":3,"damage":457,"splash":6.5,"form":"HeShell","piercing":false,"targets":"Ground","projectileSpeed":150,"impactTier":"Huge","roundWeight":343}</t>
        </is>
      </c>
    </row>
    <row r="110">
      <c r="A110" t="inlineStr">
        <is>
          <t>gun_155_coastal</t>
        </is>
      </c>
      <c r="B110" t="inlineStr">
        <is>
          <t>M284 155 mm (coastal battery)</t>
        </is>
      </c>
      <c r="C110" t="inlineStr">
        <is>
          <t>cal_152_155</t>
        </is>
      </c>
      <c r="D110" t="inlineStr"/>
      <c r="E110" t="inlineStr">
        <is>
          <t>m284_155_mm_coastal</t>
        </is>
      </c>
      <c r="F110" t="inlineStr">
        <is>
          <t>howitzer</t>
        </is>
      </c>
      <c r="G110" t="n">
        <v>155</v>
      </c>
      <c r="H110" t="inlineStr"/>
      <c r="I110" t="inlineStr"/>
      <c r="J110" t="inlineStr"/>
      <c r="K110" t="inlineStr">
        <is>
          <t>HighExplosive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2</v>
      </c>
      <c r="Q110" t="n">
        <v>0.05</v>
      </c>
      <c r="R110" t="n">
        <v>12.579</v>
      </c>
      <c r="S110" t="n">
        <v>0</v>
      </c>
      <c r="T110" t="n">
        <v>0</v>
      </c>
      <c r="U110" t="n">
        <v>0</v>
      </c>
      <c r="V110" t="n">
        <v>0</v>
      </c>
      <c r="W110" t="n">
        <v>457</v>
      </c>
      <c r="X110" t="n">
        <v>7</v>
      </c>
      <c r="Y110" t="n">
        <v>0</v>
      </c>
      <c r="Z110" t="n">
        <v>70</v>
      </c>
      <c r="AA110" t="n">
        <v>135</v>
      </c>
      <c r="AB110" t="n">
        <v>0</v>
      </c>
      <c r="AC110" t="inlineStr">
        <is>
          <t>Ground</t>
        </is>
      </c>
      <c r="AD110" t="inlineStr"/>
      <c r="AE110" t="n">
        <v>0.9</v>
      </c>
      <c r="AF110" t="inlineStr">
        <is>
          <t>Huge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155</v>
      </c>
      <c r="AO110" t="n">
        <v>0</v>
      </c>
      <c r="AP110" t="inlineStr">
        <is>
          <t>T3</t>
        </is>
      </c>
      <c r="AQ110" t="inlineStr">
        <is>
          <t>gun_155_twin</t>
        </is>
      </c>
      <c r="AR110" t="inlineStr">
        <is>
          <t>gun_155_coastal_guided</t>
        </is>
      </c>
      <c r="AS110" t="inlineStr">
        <is>
          <t>thap</t>
        </is>
      </c>
      <c r="AT110" t="inlineStr">
        <is>
          <t>coastal_battery</t>
        </is>
      </c>
      <c r="AU110" t="n">
        <v>1</v>
      </c>
      <c r="AV110" t="inlineStr">
        <is>
          <t>coastal_battery:0</t>
        </is>
      </c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1.928571428571429</v>
      </c>
      <c r="BB110" t="n">
        <v>4</v>
      </c>
      <c r="BC110" t="n">
        <v>1</v>
      </c>
      <c r="BD110" t="inlineStr">
        <is>
          <t>gun</t>
        </is>
      </c>
      <c r="BE110" t="inlineStr">
        <is>
          <t>US Army M109A7 fact file: 4 rpm for 3 min, 1 rpm sustained</t>
        </is>
      </c>
      <c r="BG110" t="inlineStr">
        <is>
          <t>doi</t>
        </is>
      </c>
      <c r="BH110" t="n">
        <v>320</v>
      </c>
      <c r="BI110" t="n">
        <v>457</v>
      </c>
      <c r="BJ110" t="n">
        <v>8.789999999999999</v>
      </c>
      <c r="BK110" t="n">
        <v>12.579</v>
      </c>
      <c r="BR110" t="n">
        <v>150</v>
      </c>
      <c r="BS110" t="n">
        <v>70</v>
      </c>
      <c r="CT110" t="n">
        <v>155</v>
      </c>
      <c r="DD110" t="n">
        <v>12.579</v>
      </c>
      <c r="DE110" t="n">
        <v>457</v>
      </c>
      <c r="DJ110" t="inlineStr">
        <is>
          <t>howitzer</t>
        </is>
      </c>
      <c r="DT110" t="inlineStr">
        <is>
          <t>gun_155_twin</t>
        </is>
      </c>
      <c r="EB110" t="n">
        <v>3</v>
      </c>
      <c r="EP110" t="n">
        <v>135</v>
      </c>
      <c r="EQ110" t="inlineStr">
        <is>
          <t>M284 155 mm (coastal battery)</t>
        </is>
      </c>
      <c r="EX110" t="n">
        <v>155</v>
      </c>
      <c r="GA110" t="inlineStr">
        <is>
          <t>m284_155_mm_coastal</t>
        </is>
      </c>
      <c r="GD110" t="inlineStr">
        <is>
          <t>Assets/MachineBrigade/Resources/Data/balance.json: weapons[256]</t>
        </is>
      </c>
      <c r="GE110" t="inlineStr">
        <is>
          <t>{"id":"gun_155_coastal","weaponFamily":"m284_155_mm_coastal","real":"M284 155 mm (coastal battery)","family":"howitzer","size":155,"caliberMm":155,"pen":3,"cooldown":12.579,"damage":457,"inherits":"gun_155_twin","range":135}</t>
        </is>
      </c>
    </row>
    <row r="111">
      <c r="A111" t="inlineStr">
        <is>
          <t>gun_155_coastal_guided</t>
        </is>
      </c>
      <c r="B111" t="inlineStr">
        <is>
          <t>M284 155 mm guided (coastal battery)</t>
        </is>
      </c>
      <c r="C111" t="inlineStr">
        <is>
          <t>cal_152_155</t>
        </is>
      </c>
      <c r="D111" t="inlineStr">
        <is>
          <t>guided</t>
        </is>
      </c>
      <c r="E111" t="inlineStr">
        <is>
          <t>m284_155_mm_guided_coastal</t>
        </is>
      </c>
      <c r="F111" t="inlineStr">
        <is>
          <t>howitzer</t>
        </is>
      </c>
      <c r="G111" t="n">
        <v>155</v>
      </c>
      <c r="H111" t="inlineStr"/>
      <c r="I111" t="inlineStr"/>
      <c r="J111" t="inlineStr"/>
      <c r="K111" t="inlineStr">
        <is>
          <t>HighExplosive</t>
        </is>
      </c>
      <c r="L111" t="n">
        <v>3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0.05</v>
      </c>
      <c r="R111" t="n">
        <v>12.579</v>
      </c>
      <c r="S111" t="n">
        <v>0</v>
      </c>
      <c r="T111" t="n">
        <v>0</v>
      </c>
      <c r="U111" t="n">
        <v>0</v>
      </c>
      <c r="V111" t="n">
        <v>0</v>
      </c>
      <c r="W111" t="n">
        <v>457</v>
      </c>
      <c r="X111" t="n">
        <v>7</v>
      </c>
      <c r="Y111" t="n">
        <v>0</v>
      </c>
      <c r="Z111" t="n">
        <v>75</v>
      </c>
      <c r="AA111" t="n">
        <v>135</v>
      </c>
      <c r="AB111" t="n">
        <v>0</v>
      </c>
      <c r="AC111" t="inlineStr">
        <is>
          <t>Ground</t>
        </is>
      </c>
      <c r="AD111" t="inlineStr"/>
      <c r="AE111" t="n">
        <v>0</v>
      </c>
      <c r="AF111" t="inlineStr">
        <is>
          <t>Huge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1</v>
      </c>
      <c r="AN111" t="n">
        <v>155</v>
      </c>
      <c r="AO111" t="n">
        <v>0</v>
      </c>
      <c r="AP111" t="inlineStr">
        <is>
          <t>T3</t>
        </is>
      </c>
      <c r="AQ111" t="inlineStr">
        <is>
          <t>gun_155_coastal</t>
        </is>
      </c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1.8</v>
      </c>
      <c r="BB111" t="n">
        <v>4</v>
      </c>
      <c r="BC111" t="n">
        <v>1</v>
      </c>
      <c r="BD111" t="inlineStr">
        <is>
          <t>gun</t>
        </is>
      </c>
      <c r="BE111" t="inlineStr">
        <is>
          <t>US Army M109A7 fact file: 4 rpm for 3 min, 1 rpm sustained</t>
        </is>
      </c>
      <c r="BG111" t="inlineStr">
        <is>
          <t>doi</t>
        </is>
      </c>
      <c r="BH111" t="n">
        <v>320</v>
      </c>
      <c r="BI111" t="n">
        <v>457</v>
      </c>
      <c r="BJ111" t="n">
        <v>8.789999999999999</v>
      </c>
      <c r="BK111" t="n">
        <v>12.579</v>
      </c>
      <c r="BR111" t="n">
        <v>150</v>
      </c>
      <c r="BS111" t="n">
        <v>75</v>
      </c>
      <c r="CR111" t="n">
        <v>1</v>
      </c>
      <c r="DE111" t="n">
        <v>457</v>
      </c>
      <c r="DF111" t="inlineStr">
        <is>
          <t>HighExplosive</t>
        </is>
      </c>
      <c r="DH111" t="b">
        <v>1</v>
      </c>
      <c r="DM111" t="inlineStr">
        <is>
          <t>armour</t>
        </is>
      </c>
      <c r="DN111" t="inlineStr">
        <is>
          <t>HeShell</t>
        </is>
      </c>
      <c r="DP111" t="b">
        <v>1</v>
      </c>
      <c r="DT111" t="inlineStr">
        <is>
          <t>gun_155_coastal</t>
        </is>
      </c>
      <c r="EB111" t="n">
        <v>3</v>
      </c>
      <c r="EQ111" t="inlineStr">
        <is>
          <t>M284 155 mm guided (coastal battery)</t>
        </is>
      </c>
      <c r="ES111" t="inlineStr">
        <is>
          <t>guided</t>
        </is>
      </c>
      <c r="EU111" t="inlineStr">
        <is>
          <t>gun_155_coastal</t>
        </is>
      </c>
      <c r="EZ111" t="n">
        <v>0</v>
      </c>
      <c r="FW111" t="inlineStr">
        <is>
          <t>Ground</t>
        </is>
      </c>
      <c r="GA111" t="inlineStr">
        <is>
          <t>m284_155_mm_guided_coastal</t>
        </is>
      </c>
      <c r="GC111" t="inlineStr">
        <is>
          <t>guided</t>
        </is>
      </c>
      <c r="GD111" t="inlineStr">
        <is>
          <t>Assets/MachineBrigade/Resources/Data/balance.json: secondRounds.rounds[29]</t>
        </is>
      </c>
      <c r="GE111" t="inlineStr">
        <is>
          <t>{"id":"gun_155_coastal_guided","roundOf":"gun_155_coastal","inherits":"gun_155_coastal","weaponVariantId":"guided","weaponFamily":"m284_155_mm_guided_coastal","round":"guided","for":["armour"],"elite":true,"real":"M284 155 mm guided (coastal battery)","damageType":"HighExplosive","pen":3,"damage":457,"spread":0,"burst":1,"guided":true,"form":"HeShell","targets":"Ground"}</t>
        </is>
      </c>
    </row>
    <row r="112">
      <c r="A112" t="inlineStr">
        <is>
          <t>gun_155_sph</t>
        </is>
      </c>
      <c r="B112" t="inlineStr">
        <is>
          <t>M284 155 mm</t>
        </is>
      </c>
      <c r="C112" t="inlineStr">
        <is>
          <t>cal_152_155</t>
        </is>
      </c>
      <c r="D112" t="inlineStr"/>
      <c r="E112" t="inlineStr">
        <is>
          <t>m284_155_mm_2</t>
        </is>
      </c>
      <c r="F112" t="inlineStr">
        <is>
          <t>howitzer</t>
        </is>
      </c>
      <c r="G112" t="n">
        <v>155</v>
      </c>
      <c r="H112" t="inlineStr"/>
      <c r="I112" t="inlineStr"/>
      <c r="J112" t="inlineStr"/>
      <c r="K112" t="inlineStr">
        <is>
          <t>HighExplosive</t>
        </is>
      </c>
      <c r="L112" t="n">
        <v>3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1</v>
      </c>
      <c r="Q112" t="n">
        <v>0.1</v>
      </c>
      <c r="R112" t="n">
        <v>12.81</v>
      </c>
      <c r="S112" t="n">
        <v>0</v>
      </c>
      <c r="T112" t="n">
        <v>0</v>
      </c>
      <c r="U112" t="n">
        <v>16</v>
      </c>
      <c r="V112" t="n">
        <v>41.9</v>
      </c>
      <c r="W112" t="n">
        <v>320</v>
      </c>
      <c r="X112" t="n">
        <v>7</v>
      </c>
      <c r="Y112" t="n">
        <v>0</v>
      </c>
      <c r="Z112" t="n">
        <v>55</v>
      </c>
      <c r="AA112" t="n">
        <v>100</v>
      </c>
      <c r="AB112" t="n">
        <v>25</v>
      </c>
      <c r="AC112" t="inlineStr">
        <is>
          <t>Ground</t>
        </is>
      </c>
      <c r="AD112" t="inlineStr"/>
      <c r="AE112" t="n">
        <v>4.5</v>
      </c>
      <c r="AF112" t="inlineStr">
        <is>
          <t>Huge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155</v>
      </c>
      <c r="AO112" t="n">
        <v>0</v>
      </c>
      <c r="AP112" t="inlineStr">
        <is>
          <t>T3</t>
        </is>
      </c>
      <c r="AQ112" t="inlineStr"/>
      <c r="AR112" t="inlineStr"/>
      <c r="AS112" t="inlineStr"/>
      <c r="AT112" t="inlineStr"/>
      <c r="AU112" t="n">
        <v>0</v>
      </c>
      <c r="AV112" t="inlineStr"/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1.818181818181818</v>
      </c>
      <c r="BB112" t="n">
        <v>4</v>
      </c>
      <c r="BC112" t="n">
        <v>1</v>
      </c>
      <c r="BD112" t="inlineStr">
        <is>
          <t>gun</t>
        </is>
      </c>
      <c r="BE112" t="inlineStr">
        <is>
          <t>US Army M109A7 fact file: 4 rpm for 3 min, 1 rpm sustained</t>
        </is>
      </c>
      <c r="BG112" t="inlineStr">
        <is>
          <t>doi</t>
        </is>
      </c>
      <c r="BR112" t="n">
        <v>45</v>
      </c>
      <c r="BS112" t="n">
        <v>55</v>
      </c>
      <c r="CN112" t="n">
        <v>16</v>
      </c>
      <c r="CT112" t="n">
        <v>155</v>
      </c>
      <c r="DD112" t="n">
        <v>12.81</v>
      </c>
      <c r="DE112" t="n">
        <v>320</v>
      </c>
      <c r="DF112" t="inlineStr">
        <is>
          <t>HighExplosive</t>
        </is>
      </c>
      <c r="DJ112" t="inlineStr">
        <is>
          <t>howitzer</t>
        </is>
      </c>
      <c r="DS112" t="inlineStr">
        <is>
          <t>Huge</t>
        </is>
      </c>
      <c r="DZ112" t="n">
        <v>25</v>
      </c>
      <c r="EB112" t="n">
        <v>3</v>
      </c>
      <c r="EP112" t="n">
        <v>100</v>
      </c>
      <c r="EQ112" t="inlineStr">
        <is>
          <t>M284 155 mm</t>
        </is>
      </c>
      <c r="ER112" t="n">
        <v>41.9</v>
      </c>
      <c r="EX112" t="n">
        <v>155</v>
      </c>
      <c r="EZ112" t="n">
        <v>4.5</v>
      </c>
      <c r="GA112" t="inlineStr">
        <is>
          <t>m284_155_mm_2</t>
        </is>
      </c>
      <c r="GB112" t="inlineStr">
        <is>
          <t>cal_152_155</t>
        </is>
      </c>
      <c r="GD112" t="inlineStr">
        <is>
          <t>Assets/MachineBrigade/Resources/Data/balance.json: weapons[42]</t>
        </is>
      </c>
      <c r="GE112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13">
      <c r="A113" t="inlineStr">
        <is>
          <t>gun_155_twin</t>
        </is>
      </c>
      <c r="B113" t="inlineStr">
        <is>
          <t>M284 155 mm (twin)</t>
        </is>
      </c>
      <c r="C113" t="inlineStr">
        <is>
          <t>cal_152_155</t>
        </is>
      </c>
      <c r="D113" t="inlineStr"/>
      <c r="E113" t="inlineStr">
        <is>
          <t>m284_155_mm</t>
        </is>
      </c>
      <c r="F113" t="inlineStr">
        <is>
          <t>howitzer</t>
        </is>
      </c>
      <c r="G113" t="n">
        <v>155</v>
      </c>
      <c r="H113" t="inlineStr"/>
      <c r="I113" t="inlineStr"/>
      <c r="J113" t="inlineStr"/>
      <c r="K113" t="inlineStr">
        <is>
          <t>HighExplosive</t>
        </is>
      </c>
      <c r="L113" t="n">
        <v>3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2</v>
      </c>
      <c r="Q113" t="n">
        <v>0.05</v>
      </c>
      <c r="R113" t="n">
        <v>8.789999999999999</v>
      </c>
      <c r="S113" t="n">
        <v>0</v>
      </c>
      <c r="T113" t="n">
        <v>0</v>
      </c>
      <c r="U113" t="n">
        <v>0</v>
      </c>
      <c r="V113" t="n">
        <v>0</v>
      </c>
      <c r="W113" t="n">
        <v>320</v>
      </c>
      <c r="X113" t="n">
        <v>7</v>
      </c>
      <c r="Y113" t="n">
        <v>0</v>
      </c>
      <c r="Z113" t="n">
        <v>150</v>
      </c>
      <c r="AA113" t="n">
        <v>50</v>
      </c>
      <c r="AB113" t="n">
        <v>0</v>
      </c>
      <c r="AC113" t="inlineStr">
        <is>
          <t>Ground</t>
        </is>
      </c>
      <c r="AD113" t="inlineStr"/>
      <c r="AE113" t="n">
        <v>0.9</v>
      </c>
      <c r="AF113" t="inlineStr">
        <is>
          <t>Huge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155</v>
      </c>
      <c r="AO113" t="n">
        <v>0</v>
      </c>
      <c r="AP113" t="inlineStr">
        <is>
          <t>T3</t>
        </is>
      </c>
      <c r="AQ113" t="inlineStr"/>
      <c r="AR113" t="inlineStr"/>
      <c r="AS113" t="inlineStr"/>
      <c r="AT113" t="inlineStr"/>
      <c r="AU113" t="n">
        <v>0</v>
      </c>
      <c r="AV113" t="inlineStr"/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0.3333333333333333</v>
      </c>
      <c r="BB113" t="n">
        <v>4</v>
      </c>
      <c r="BC113" t="n">
        <v>1</v>
      </c>
      <c r="BD113" t="inlineStr">
        <is>
          <t>gun</t>
        </is>
      </c>
      <c r="BE113" t="inlineStr">
        <is>
          <t>US Army M109A7 fact file: 4 rpm for 3 min, 1 rpm sustained</t>
        </is>
      </c>
      <c r="BG113" t="inlineStr">
        <is>
          <t>giong</t>
        </is>
      </c>
      <c r="CR113" t="n">
        <v>2</v>
      </c>
      <c r="CS113" t="n">
        <v>0.05</v>
      </c>
      <c r="CT113" t="n">
        <v>155</v>
      </c>
      <c r="DD113" t="n">
        <v>8.789999999999999</v>
      </c>
      <c r="DE113" t="n">
        <v>320</v>
      </c>
      <c r="DF113" t="inlineStr">
        <is>
          <t>HighExplosive</t>
        </is>
      </c>
      <c r="DJ113" t="inlineStr">
        <is>
          <t>howitzer</t>
        </is>
      </c>
      <c r="DR113" t="n">
        <v>1.3</v>
      </c>
      <c r="DS113" t="inlineStr">
        <is>
          <t>Huge</t>
        </is>
      </c>
      <c r="EB113" t="n">
        <v>3</v>
      </c>
      <c r="EP113" t="n">
        <v>50</v>
      </c>
      <c r="EQ113" t="inlineStr">
        <is>
          <t>M284 155 mm (twin)</t>
        </is>
      </c>
      <c r="EX113" t="n">
        <v>155</v>
      </c>
      <c r="EZ113" t="n">
        <v>0.9</v>
      </c>
      <c r="GA113" t="inlineStr">
        <is>
          <t>m284_155_mm</t>
        </is>
      </c>
      <c r="GB113" t="inlineStr">
        <is>
          <t>cal_152_155</t>
        </is>
      </c>
      <c r="GD113" t="inlineStr">
        <is>
          <t>Assets/MachineBrigade/Resources/Data/balance.json: weapons[85]</t>
        </is>
      </c>
      <c r="GE113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14">
      <c r="A114" t="inlineStr">
        <is>
          <t>gun_155_twin_ap</t>
        </is>
      </c>
      <c r="B114" t="inlineStr">
        <is>
          <t>M284 155 mm (twin) AP</t>
        </is>
      </c>
      <c r="C114" t="inlineStr">
        <is>
          <t>cal_152_155</t>
        </is>
      </c>
      <c r="D114" t="inlineStr">
        <is>
          <t>ap</t>
        </is>
      </c>
      <c r="E114" t="inlineStr"/>
      <c r="F114" t="inlineStr">
        <is>
          <t>howitzer</t>
        </is>
      </c>
      <c r="G114" t="n">
        <v>155</v>
      </c>
      <c r="H114" t="inlineStr"/>
      <c r="I114" t="inlineStr"/>
      <c r="J114" t="inlineStr"/>
      <c r="K114" t="inlineStr">
        <is>
          <t>Kinetic</t>
        </is>
      </c>
      <c r="L114" t="n">
        <v>5</v>
      </c>
      <c r="M114" t="inlineStr">
        <is>
          <t>Shell</t>
        </is>
      </c>
      <c r="N114" t="n">
        <v>2</v>
      </c>
      <c r="O114" t="inlineStr">
        <is>
          <t>SIMULTANEOUS</t>
        </is>
      </c>
      <c r="P114" t="n">
        <v>1</v>
      </c>
      <c r="Q114" t="n">
        <v>0.05</v>
      </c>
      <c r="R114" t="n">
        <v>7.929</v>
      </c>
      <c r="S114" t="n">
        <v>0</v>
      </c>
      <c r="T114" t="n">
        <v>0</v>
      </c>
      <c r="U114" t="n">
        <v>0</v>
      </c>
      <c r="V114" t="n">
        <v>0</v>
      </c>
      <c r="W114" t="n">
        <v>429</v>
      </c>
      <c r="X114" t="n">
        <v>0</v>
      </c>
      <c r="Y114" t="n">
        <v>0</v>
      </c>
      <c r="Z114" t="n">
        <v>150</v>
      </c>
      <c r="AA114" t="n">
        <v>50</v>
      </c>
      <c r="AB114" t="n">
        <v>0</v>
      </c>
      <c r="AC114" t="inlineStr">
        <is>
          <t>Ground</t>
        </is>
      </c>
      <c r="AD114" t="inlineStr"/>
      <c r="AE114" t="n">
        <v>0.9</v>
      </c>
      <c r="AF114" t="inlineStr">
        <is>
          <t>Huge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155</v>
      </c>
      <c r="AO114" t="n">
        <v>0</v>
      </c>
      <c r="AP114" t="inlineStr">
        <is>
          <t>T3</t>
        </is>
      </c>
      <c r="AQ114" t="inlineStr">
        <is>
          <t>gun_155_twin_fort</t>
        </is>
      </c>
      <c r="AR114" t="inlineStr">
        <is>
          <t>gun_155_twin_fort</t>
        </is>
      </c>
      <c r="AS114" t="inlineStr">
        <is>
          <t>thap</t>
        </is>
      </c>
      <c r="AT114" t="inlineStr">
        <is>
          <t>heavy_turret;heavy_turret.bastion</t>
        </is>
      </c>
      <c r="AU114" t="n">
        <v>2</v>
      </c>
      <c r="AV114" t="inlineStr">
        <is>
          <t>heavy_turret:0;heavy_turret.bastion:0</t>
        </is>
      </c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0.3333333333333333</v>
      </c>
      <c r="BB114" t="n">
        <v>4</v>
      </c>
      <c r="BC114" t="n">
        <v>1</v>
      </c>
      <c r="BD114" t="inlineStr">
        <is>
          <t>gun</t>
        </is>
      </c>
      <c r="BE114" t="inlineStr">
        <is>
          <t>US Army M109A7 fact file: 4 rpm for 3 min, 1 rpm sustained</t>
        </is>
      </c>
      <c r="BG114" t="inlineStr">
        <is>
          <t>doi</t>
        </is>
      </c>
      <c r="BH114" t="n">
        <v>300</v>
      </c>
      <c r="BI114" t="n">
        <v>429</v>
      </c>
      <c r="BJ114" t="n">
        <v>5.5</v>
      </c>
      <c r="BK114" t="n">
        <v>7.929</v>
      </c>
      <c r="BT114" t="n">
        <v>2</v>
      </c>
      <c r="BU114" t="n">
        <v>1</v>
      </c>
      <c r="BX114" t="n">
        <v>1</v>
      </c>
      <c r="BY114" t="n">
        <v>2</v>
      </c>
      <c r="BZ114" t="inlineStr">
        <is>
          <t>RIPPLE</t>
        </is>
      </c>
      <c r="CA114" t="inlineStr">
        <is>
          <t>SIMULTANEOUS</t>
        </is>
      </c>
      <c r="CB114" t="n">
        <v>4</v>
      </c>
      <c r="CC114" t="n">
        <v>5</v>
      </c>
      <c r="CO114" t="n">
        <v>2</v>
      </c>
      <c r="CR114" t="n">
        <v>1</v>
      </c>
      <c r="DD114" t="n">
        <v>7.929</v>
      </c>
      <c r="DE114" t="n">
        <v>429</v>
      </c>
      <c r="DF114" t="inlineStr">
        <is>
          <t>Kinetic</t>
        </is>
      </c>
      <c r="DQ114" t="inlineStr">
        <is>
          <t>gun_155_twin_fort</t>
        </is>
      </c>
      <c r="DT114" t="inlineStr">
        <is>
          <t>gun_155_twin_fort</t>
        </is>
      </c>
      <c r="EB114" t="n">
        <v>5</v>
      </c>
      <c r="EE114" t="b">
        <v>1</v>
      </c>
      <c r="EQ114" t="inlineStr">
        <is>
          <t>M284 155 mm (twin) AP</t>
        </is>
      </c>
      <c r="EW114" t="inlineStr">
        <is>
          <t>SIMULTANEOUS</t>
        </is>
      </c>
      <c r="EY114" t="n">
        <v>0</v>
      </c>
      <c r="GA114" t="inlineStr"/>
      <c r="GC114" t="inlineStr">
        <is>
          <t>ap</t>
        </is>
      </c>
      <c r="GD114" t="inlineStr">
        <is>
          <t>Assets/MachineBrigade/Resources/Data/balance.json: weapons[90]</t>
        </is>
      </c>
      <c r="GE114" t="inlineStr">
        <is>
          <t>{"id":"gun_155_twin_ap","weaponFamily":"","inherits":"gun_155_twin_fort","weaponVariantId":"ap","cooldown":7.929,"burst":1,"salvoMode":"SIMULTANEOUS","barrels":2,"real":"M284 155 mm (twin) AP","damageType":"Kinetic","damage":429,"pen":5,"splash":0,"piercing":true,"he":"gun_155_twin_fort"}</t>
        </is>
      </c>
    </row>
    <row r="115">
      <c r="A115" t="inlineStr">
        <is>
          <t>gun_155_twin_coastlr</t>
        </is>
      </c>
      <c r="B115" t="inlineStr">
        <is>
          <t>M284 155 mm (twin, long-range coastal)</t>
        </is>
      </c>
      <c r="C115" t="inlineStr">
        <is>
          <t>cal_152_155</t>
        </is>
      </c>
      <c r="D115" t="inlineStr"/>
      <c r="E115" t="inlineStr">
        <is>
          <t>m284_155_mm_coastal</t>
        </is>
      </c>
      <c r="F115" t="inlineStr">
        <is>
          <t>howitzer</t>
        </is>
      </c>
      <c r="G115" t="n">
        <v>155</v>
      </c>
      <c r="H115" t="inlineStr"/>
      <c r="I115" t="inlineStr"/>
      <c r="J115" t="inlineStr"/>
      <c r="K115" t="inlineStr">
        <is>
          <t>HighExplosive</t>
        </is>
      </c>
      <c r="L115" t="n">
        <v>3</v>
      </c>
      <c r="M115" t="inlineStr">
        <is>
          <t>Shell</t>
        </is>
      </c>
      <c r="N115" t="n">
        <v>2</v>
      </c>
      <c r="O115" t="inlineStr">
        <is>
          <t>SIMULTANEOUS</t>
        </is>
      </c>
      <c r="P115" t="n">
        <v>1</v>
      </c>
      <c r="Q115" t="n">
        <v>0.05</v>
      </c>
      <c r="R115" t="n">
        <v>7.929</v>
      </c>
      <c r="S115" t="n">
        <v>0</v>
      </c>
      <c r="T115" t="n">
        <v>0</v>
      </c>
      <c r="U115" t="n">
        <v>0</v>
      </c>
      <c r="V115" t="n">
        <v>0</v>
      </c>
      <c r="W115" t="n">
        <v>457</v>
      </c>
      <c r="X115" t="n">
        <v>7</v>
      </c>
      <c r="Y115" t="n">
        <v>0</v>
      </c>
      <c r="Z115" t="n">
        <v>70</v>
      </c>
      <c r="AA115" t="n">
        <v>72</v>
      </c>
      <c r="AB115" t="n">
        <v>0</v>
      </c>
      <c r="AC115" t="inlineStr">
        <is>
          <t>Ground</t>
        </is>
      </c>
      <c r="AD115" t="inlineStr"/>
      <c r="AE115" t="n">
        <v>0.9</v>
      </c>
      <c r="AF115" t="inlineStr">
        <is>
          <t>Huge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155</v>
      </c>
      <c r="AO115" t="n">
        <v>0</v>
      </c>
      <c r="AP115" t="inlineStr">
        <is>
          <t>T3</t>
        </is>
      </c>
      <c r="AQ115" t="inlineStr">
        <is>
          <t>gun_155_twin_fort</t>
        </is>
      </c>
      <c r="AR115" t="inlineStr">
        <is>
          <t>gun_155_twin_coastlr_guided</t>
        </is>
      </c>
      <c r="AS115" t="inlineStr">
        <is>
          <t>thap</t>
        </is>
      </c>
      <c r="AT115" t="inlineStr">
        <is>
          <t>heavy_turret.coastal</t>
        </is>
      </c>
      <c r="AU115" t="n">
        <v>1</v>
      </c>
      <c r="AV115" t="inlineStr">
        <is>
          <t>heavy_turret.coastal:0</t>
        </is>
      </c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1.028571428571428</v>
      </c>
      <c r="BB115" t="n">
        <v>4</v>
      </c>
      <c r="BC115" t="n">
        <v>1</v>
      </c>
      <c r="BD115" t="inlineStr">
        <is>
          <t>gun</t>
        </is>
      </c>
      <c r="BE115" t="inlineStr">
        <is>
          <t>US Army M109A7 fact file: 4 rpm for 3 min, 1 rpm sustained</t>
        </is>
      </c>
      <c r="BG115" t="inlineStr">
        <is>
          <t>doi</t>
        </is>
      </c>
      <c r="BH115" t="n">
        <v>320</v>
      </c>
      <c r="BI115" t="n">
        <v>457</v>
      </c>
      <c r="BJ115" t="n">
        <v>5.5</v>
      </c>
      <c r="BK115" t="n">
        <v>7.929</v>
      </c>
      <c r="BR115" t="n">
        <v>150</v>
      </c>
      <c r="BS115" t="n">
        <v>70</v>
      </c>
      <c r="BT115" t="n">
        <v>2</v>
      </c>
      <c r="BU115" t="n">
        <v>1</v>
      </c>
      <c r="BX115" t="n">
        <v>1</v>
      </c>
      <c r="BY115" t="n">
        <v>2</v>
      </c>
      <c r="BZ115" t="inlineStr">
        <is>
          <t>RIPPLE</t>
        </is>
      </c>
      <c r="CA115" t="inlineStr">
        <is>
          <t>SIMULTANEOUS</t>
        </is>
      </c>
      <c r="CO115" t="n">
        <v>2</v>
      </c>
      <c r="CR115" t="n">
        <v>1</v>
      </c>
      <c r="CT115" t="n">
        <v>155</v>
      </c>
      <c r="DD115" t="n">
        <v>7.929</v>
      </c>
      <c r="DE115" t="n">
        <v>457</v>
      </c>
      <c r="DJ115" t="inlineStr">
        <is>
          <t>howitzer</t>
        </is>
      </c>
      <c r="DT115" t="inlineStr">
        <is>
          <t>gun_155_twin_fort</t>
        </is>
      </c>
      <c r="EB115" t="n">
        <v>3</v>
      </c>
      <c r="EP115" t="n">
        <v>72</v>
      </c>
      <c r="EQ115" t="inlineStr">
        <is>
          <t>M284 155 mm (twin, long-range coastal)</t>
        </is>
      </c>
      <c r="EW115" t="inlineStr">
        <is>
          <t>SIMULTANEOUS</t>
        </is>
      </c>
      <c r="EX115" t="n">
        <v>155</v>
      </c>
      <c r="GA115" t="inlineStr">
        <is>
          <t>m284_155_mm_coastal</t>
        </is>
      </c>
      <c r="GD115" t="inlineStr">
        <is>
          <t>Assets/MachineBrigade/Resources/Data/balance.json: weapons[257]</t>
        </is>
      </c>
      <c r="GE115" t="inlineStr">
        <is>
          <t>{"id":"gun_155_twin_coastlr","weaponFamily":"m284_155_mm_coastal","real":"M284 155 mm (twin, long-range coastal)","family":"howitzer","size":155,"caliberMm":155,"pen":3,"inherits":"gun_155_twin_fort","cooldown":7.929,"damage":457,"burst":1,"salvoMode":"SIMULTANEOUS","barrels":2,"range":72}</t>
        </is>
      </c>
    </row>
    <row r="116">
      <c r="A116" t="inlineStr">
        <is>
          <t>gun_155_twin_coastlr_guided</t>
        </is>
      </c>
      <c r="B116" t="inlineStr">
        <is>
          <t>M284 155 mm guided (twin, long-range coastal)</t>
        </is>
      </c>
      <c r="C116" t="inlineStr">
        <is>
          <t>cal_152_155</t>
        </is>
      </c>
      <c r="D116" t="inlineStr">
        <is>
          <t>guided</t>
        </is>
      </c>
      <c r="E116" t="inlineStr">
        <is>
          <t>m284_155_mm_guided_coastal</t>
        </is>
      </c>
      <c r="F116" t="inlineStr">
        <is>
          <t>howitzer</t>
        </is>
      </c>
      <c r="G116" t="n">
        <v>155</v>
      </c>
      <c r="H116" t="inlineStr"/>
      <c r="I116" t="inlineStr"/>
      <c r="J116" t="inlineStr"/>
      <c r="K116" t="inlineStr">
        <is>
          <t>HighExplosive</t>
        </is>
      </c>
      <c r="L116" t="n">
        <v>3</v>
      </c>
      <c r="M116" t="inlineStr">
        <is>
          <t>Shell</t>
        </is>
      </c>
      <c r="N116" t="n">
        <v>1</v>
      </c>
      <c r="O116" t="inlineStr">
        <is>
          <t>RIPPLE</t>
        </is>
      </c>
      <c r="P116" t="n">
        <v>1</v>
      </c>
      <c r="Q116" t="n">
        <v>0.05</v>
      </c>
      <c r="R116" t="n">
        <v>7.929</v>
      </c>
      <c r="S116" t="n">
        <v>0</v>
      </c>
      <c r="T116" t="n">
        <v>0</v>
      </c>
      <c r="U116" t="n">
        <v>0</v>
      </c>
      <c r="V116" t="n">
        <v>0</v>
      </c>
      <c r="W116" t="n">
        <v>457</v>
      </c>
      <c r="X116" t="n">
        <v>7</v>
      </c>
      <c r="Y116" t="n">
        <v>0</v>
      </c>
      <c r="Z116" t="n">
        <v>75</v>
      </c>
      <c r="AA116" t="n">
        <v>72</v>
      </c>
      <c r="AB116" t="n">
        <v>0</v>
      </c>
      <c r="AC116" t="inlineStr">
        <is>
          <t>Ground</t>
        </is>
      </c>
      <c r="AD116" t="inlineStr"/>
      <c r="AE116" t="n">
        <v>0</v>
      </c>
      <c r="AF116" t="inlineStr">
        <is>
          <t>Huge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1</v>
      </c>
      <c r="AN116" t="n">
        <v>155</v>
      </c>
      <c r="AO116" t="n">
        <v>0</v>
      </c>
      <c r="AP116" t="inlineStr">
        <is>
          <t>T3</t>
        </is>
      </c>
      <c r="AQ116" t="inlineStr">
        <is>
          <t>gun_155_twin_coastlr</t>
        </is>
      </c>
      <c r="AR116" t="inlineStr"/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0.96</v>
      </c>
      <c r="BB116" t="n">
        <v>4</v>
      </c>
      <c r="BC116" t="n">
        <v>1</v>
      </c>
      <c r="BD116" t="inlineStr">
        <is>
          <t>gun</t>
        </is>
      </c>
      <c r="BE116" t="inlineStr">
        <is>
          <t>US Army M109A7 fact file: 4 rpm for 3 min, 1 rpm sustained</t>
        </is>
      </c>
      <c r="BG116" t="inlineStr">
        <is>
          <t>doi</t>
        </is>
      </c>
      <c r="BH116" t="n">
        <v>320</v>
      </c>
      <c r="BI116" t="n">
        <v>457</v>
      </c>
      <c r="BJ116" t="n">
        <v>5.5</v>
      </c>
      <c r="BK116" t="n">
        <v>7.929</v>
      </c>
      <c r="BR116" t="n">
        <v>150</v>
      </c>
      <c r="BS116" t="n">
        <v>75</v>
      </c>
      <c r="CO116" t="n">
        <v>1</v>
      </c>
      <c r="CR116" t="n">
        <v>1</v>
      </c>
      <c r="DE116" t="n">
        <v>457</v>
      </c>
      <c r="DF116" t="inlineStr">
        <is>
          <t>HighExplosive</t>
        </is>
      </c>
      <c r="DH116" t="b">
        <v>1</v>
      </c>
      <c r="DM116" t="inlineStr">
        <is>
          <t>armour</t>
        </is>
      </c>
      <c r="DN116" t="inlineStr">
        <is>
          <t>HeShell</t>
        </is>
      </c>
      <c r="DP116" t="b">
        <v>1</v>
      </c>
      <c r="DT116" t="inlineStr">
        <is>
          <t>gun_155_twin_coastlr</t>
        </is>
      </c>
      <c r="EB116" t="n">
        <v>3</v>
      </c>
      <c r="EQ116" t="inlineStr">
        <is>
          <t>M284 155 mm guided (twin, long-range coastal)</t>
        </is>
      </c>
      <c r="ES116" t="inlineStr">
        <is>
          <t>guided</t>
        </is>
      </c>
      <c r="EU116" t="inlineStr">
        <is>
          <t>gun_155_twin_coastlr</t>
        </is>
      </c>
      <c r="EW116" t="inlineStr">
        <is>
          <t>RIPPLE</t>
        </is>
      </c>
      <c r="EZ116" t="n">
        <v>0</v>
      </c>
      <c r="FW116" t="inlineStr">
        <is>
          <t>Ground</t>
        </is>
      </c>
      <c r="GA116" t="inlineStr">
        <is>
          <t>m284_155_mm_guided_coastal</t>
        </is>
      </c>
      <c r="GC116" t="inlineStr">
        <is>
          <t>guided</t>
        </is>
      </c>
      <c r="GD116" t="inlineStr">
        <is>
          <t>Assets/MachineBrigade/Resources/Data/balance.json: secondRounds.rounds[30]</t>
        </is>
      </c>
      <c r="GE116" t="inlineStr">
        <is>
          <t>{"id":"gun_155_twin_coastlr_guided","roundOf":"gun_155_twin_coastlr","inherits":"gun_155_twin_coastlr","weaponVariantId":"guided","salvoMode":"RIPPLE","barrels":1,"weaponFamily":"m284_155_mm_guided_coastal","round":"guided","for":["armour"],"elite":true,"real":"M284 155 mm guided (twin, long-range coastal)","damageType":"HighExplosive","pen":3,"damage":457,"spread":0,"burst":1,"guided":true,"form":"HeShell","targets":"Ground"}</t>
        </is>
      </c>
    </row>
    <row r="117">
      <c r="A117" t="inlineStr">
        <is>
          <t>gun_155_twin_fort</t>
        </is>
      </c>
      <c r="B117" t="inlineStr">
        <is>
          <t>M284 155 mm (twin)</t>
        </is>
      </c>
      <c r="C117" t="inlineStr">
        <is>
          <t>cal_152_155</t>
        </is>
      </c>
      <c r="D117" t="inlineStr"/>
      <c r="E117" t="inlineStr">
        <is>
          <t>m284_155_mm</t>
        </is>
      </c>
      <c r="F117" t="inlineStr">
        <is>
          <t>howitzer</t>
        </is>
      </c>
      <c r="G117" t="n">
        <v>155</v>
      </c>
      <c r="H117" t="inlineStr"/>
      <c r="I117" t="inlineStr"/>
      <c r="J117" t="inlineStr"/>
      <c r="K117" t="inlineStr">
        <is>
          <t>HighExplosive</t>
        </is>
      </c>
      <c r="L117" t="n">
        <v>3</v>
      </c>
      <c r="M117" t="inlineStr">
        <is>
          <t>Shell</t>
        </is>
      </c>
      <c r="N117" t="n">
        <v>2</v>
      </c>
      <c r="O117" t="inlineStr">
        <is>
          <t>SIMULTANEOUS</t>
        </is>
      </c>
      <c r="P117" t="n">
        <v>1</v>
      </c>
      <c r="Q117" t="n">
        <v>0.05</v>
      </c>
      <c r="R117" t="n">
        <v>7.929</v>
      </c>
      <c r="S117" t="n">
        <v>0</v>
      </c>
      <c r="T117" t="n">
        <v>0</v>
      </c>
      <c r="U117" t="n">
        <v>0</v>
      </c>
      <c r="V117" t="n">
        <v>0</v>
      </c>
      <c r="W117" t="n">
        <v>457</v>
      </c>
      <c r="X117" t="n">
        <v>7</v>
      </c>
      <c r="Y117" t="n">
        <v>0</v>
      </c>
      <c r="Z117" t="n">
        <v>150</v>
      </c>
      <c r="AA117" t="n">
        <v>50</v>
      </c>
      <c r="AB117" t="n">
        <v>0</v>
      </c>
      <c r="AC117" t="inlineStr">
        <is>
          <t>Ground</t>
        </is>
      </c>
      <c r="AD117" t="inlineStr"/>
      <c r="AE117" t="n">
        <v>0.9</v>
      </c>
      <c r="AF117" t="inlineStr">
        <is>
          <t>Huge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155</v>
      </c>
      <c r="AO117" t="n">
        <v>0</v>
      </c>
      <c r="AP117" t="inlineStr">
        <is>
          <t>T3</t>
        </is>
      </c>
      <c r="AQ117" t="inlineStr">
        <is>
          <t>gun_155_twin</t>
        </is>
      </c>
      <c r="AR117" t="inlineStr">
        <is>
          <t>gun_155_twin_fort_guided</t>
        </is>
      </c>
      <c r="AS117" t="inlineStr"/>
      <c r="AT117" t="inlineStr"/>
      <c r="AU117" t="n">
        <v>0</v>
      </c>
      <c r="AV117" t="inlineStr"/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0.3333333333333333</v>
      </c>
      <c r="BB117" t="n">
        <v>4</v>
      </c>
      <c r="BC117" t="n">
        <v>1</v>
      </c>
      <c r="BD117" t="inlineStr">
        <is>
          <t>gun</t>
        </is>
      </c>
      <c r="BE117" t="inlineStr">
        <is>
          <t>US Army M109A7 fact file: 4 rpm for 3 min, 1 rpm sustained</t>
        </is>
      </c>
      <c r="BG117" t="inlineStr">
        <is>
          <t>doi</t>
        </is>
      </c>
      <c r="BH117" t="n">
        <v>320</v>
      </c>
      <c r="BI117" t="n">
        <v>457</v>
      </c>
      <c r="BJ117" t="n">
        <v>5.5</v>
      </c>
      <c r="BK117" t="n">
        <v>7.929</v>
      </c>
      <c r="BT117" t="n">
        <v>2</v>
      </c>
      <c r="BU117" t="n">
        <v>1</v>
      </c>
      <c r="BX117" t="n">
        <v>1</v>
      </c>
      <c r="BY117" t="n">
        <v>2</v>
      </c>
      <c r="BZ117" t="inlineStr">
        <is>
          <t>RIPPLE</t>
        </is>
      </c>
      <c r="CA117" t="inlineStr">
        <is>
          <t>SIMULTANEOUS</t>
        </is>
      </c>
      <c r="CO117" t="n">
        <v>2</v>
      </c>
      <c r="CR117" t="n">
        <v>1</v>
      </c>
      <c r="CT117" t="n">
        <v>155</v>
      </c>
      <c r="DD117" t="n">
        <v>7.929</v>
      </c>
      <c r="DE117" t="n">
        <v>457</v>
      </c>
      <c r="DJ117" t="inlineStr">
        <is>
          <t>howitzer</t>
        </is>
      </c>
      <c r="DT117" t="inlineStr">
        <is>
          <t>gun_155_twin</t>
        </is>
      </c>
      <c r="EB117" t="n">
        <v>3</v>
      </c>
      <c r="EQ117" t="inlineStr">
        <is>
          <t>M284 155 mm (twin)</t>
        </is>
      </c>
      <c r="EW117" t="inlineStr">
        <is>
          <t>SIMULTANEOUS</t>
        </is>
      </c>
      <c r="EX117" t="n">
        <v>155</v>
      </c>
      <c r="GA117" t="inlineStr">
        <is>
          <t>m284_155_mm</t>
        </is>
      </c>
      <c r="GD117" t="inlineStr">
        <is>
          <t>Assets/MachineBrigade/Resources/Data/balance.json: weapons[89]</t>
        </is>
      </c>
      <c r="GE117" t="inlineStr">
        <is>
          <t>{"id":"gun_155_twin_fort","weaponFamily":"m284_155_mm","real":"M284 155 mm (twin)","family":"howitzer","size":155,"caliberMm":155,"pen":3,"inherits":"gun_155_twin","burst":1,"salvoMode":"SIMULTANEOUS","barrels":2,"cooldown":7.929,"damage":457}</t>
        </is>
      </c>
    </row>
    <row r="118">
      <c r="A118" t="inlineStr">
        <is>
          <t>gun_155_twin_fort_guided</t>
        </is>
      </c>
      <c r="B118" t="inlineStr">
        <is>
          <t>M284 155 mm guided (twin)</t>
        </is>
      </c>
      <c r="C118" t="inlineStr">
        <is>
          <t>cal_152_155</t>
        </is>
      </c>
      <c r="D118" t="inlineStr">
        <is>
          <t>guided</t>
        </is>
      </c>
      <c r="E118" t="inlineStr">
        <is>
          <t>m284_155_mm_guided_direct</t>
        </is>
      </c>
      <c r="F118" t="inlineStr">
        <is>
          <t>howitzer</t>
        </is>
      </c>
      <c r="G118" t="n">
        <v>155</v>
      </c>
      <c r="H118" t="inlineStr"/>
      <c r="I118" t="inlineStr"/>
      <c r="J118" t="inlineStr"/>
      <c r="K118" t="inlineStr">
        <is>
          <t>HighExplosive</t>
        </is>
      </c>
      <c r="L118" t="n">
        <v>3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1</v>
      </c>
      <c r="Q118" t="n">
        <v>0.05</v>
      </c>
      <c r="R118" t="n">
        <v>7.929</v>
      </c>
      <c r="S118" t="n">
        <v>0</v>
      </c>
      <c r="T118" t="n">
        <v>0</v>
      </c>
      <c r="U118" t="n">
        <v>0</v>
      </c>
      <c r="V118" t="n">
        <v>0</v>
      </c>
      <c r="W118" t="n">
        <v>457</v>
      </c>
      <c r="X118" t="n">
        <v>7</v>
      </c>
      <c r="Y118" t="n">
        <v>0</v>
      </c>
      <c r="Z118" t="n">
        <v>150</v>
      </c>
      <c r="AA118" t="n">
        <v>50</v>
      </c>
      <c r="AB118" t="n">
        <v>0</v>
      </c>
      <c r="AC118" t="inlineStr">
        <is>
          <t>Ground</t>
        </is>
      </c>
      <c r="AD118" t="inlineStr"/>
      <c r="AE118" t="n">
        <v>0</v>
      </c>
      <c r="AF118" t="inlineStr">
        <is>
          <t>Huge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1</v>
      </c>
      <c r="AN118" t="n">
        <v>155</v>
      </c>
      <c r="AO118" t="n">
        <v>0</v>
      </c>
      <c r="AP118" t="inlineStr">
        <is>
          <t>T3</t>
        </is>
      </c>
      <c r="AQ118" t="inlineStr">
        <is>
          <t>gun_155_twin_fort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0.3333333333333333</v>
      </c>
      <c r="BB118" t="n">
        <v>4</v>
      </c>
      <c r="BC118" t="n">
        <v>1</v>
      </c>
      <c r="BD118" t="inlineStr">
        <is>
          <t>gun</t>
        </is>
      </c>
      <c r="BE118" t="inlineStr">
        <is>
          <t>US Army M109A7 fact file: 4 rpm for 3 min, 1 rpm sustained</t>
        </is>
      </c>
      <c r="BG118" t="inlineStr">
        <is>
          <t>doi</t>
        </is>
      </c>
      <c r="BH118" t="n">
        <v>320</v>
      </c>
      <c r="BI118" t="n">
        <v>457</v>
      </c>
      <c r="BJ118" t="n">
        <v>5.5</v>
      </c>
      <c r="BK118" t="n">
        <v>7.929</v>
      </c>
      <c r="CO118" t="n">
        <v>1</v>
      </c>
      <c r="CR118" t="n">
        <v>1</v>
      </c>
      <c r="DE118" t="n">
        <v>457</v>
      </c>
      <c r="DF118" t="inlineStr">
        <is>
          <t>HighExplosive</t>
        </is>
      </c>
      <c r="DH118" t="b">
        <v>1</v>
      </c>
      <c r="DM118" t="inlineStr">
        <is>
          <t>armour</t>
        </is>
      </c>
      <c r="DN118" t="inlineStr">
        <is>
          <t>HeShell</t>
        </is>
      </c>
      <c r="DP118" t="b">
        <v>1</v>
      </c>
      <c r="DT118" t="inlineStr">
        <is>
          <t>gun_155_twin_fort</t>
        </is>
      </c>
      <c r="EB118" t="n">
        <v>3</v>
      </c>
      <c r="EQ118" t="inlineStr">
        <is>
          <t>M284 155 mm guided (twin)</t>
        </is>
      </c>
      <c r="ES118" t="inlineStr">
        <is>
          <t>guided</t>
        </is>
      </c>
      <c r="EU118" t="inlineStr">
        <is>
          <t>gun_155_twin_fort</t>
        </is>
      </c>
      <c r="EW118" t="inlineStr">
        <is>
          <t>RIPPLE</t>
        </is>
      </c>
      <c r="EZ118" t="n">
        <v>0</v>
      </c>
      <c r="FW118" t="inlineStr">
        <is>
          <t>Ground</t>
        </is>
      </c>
      <c r="GA118" t="inlineStr">
        <is>
          <t>m284_155_mm_guided_direct</t>
        </is>
      </c>
      <c r="GC118" t="inlineStr">
        <is>
          <t>guided</t>
        </is>
      </c>
      <c r="GD118" t="inlineStr">
        <is>
          <t>Assets/MachineBrigade/Resources/Data/balance.json: secondRounds.rounds[31]</t>
        </is>
      </c>
      <c r="GE118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(twin)","damageType":"HighExplosive","pen":3,"damage":457,"spread":0,"burst":1,"guided":true,"form":"HeShell","targets":"Ground"}</t>
        </is>
      </c>
    </row>
    <row r="119">
      <c r="A119" t="inlineStr">
        <is>
          <t>gun_155_twin_long</t>
        </is>
      </c>
      <c r="B119" t="inlineStr">
        <is>
          <t>M284 155 mm (twin, long)</t>
        </is>
      </c>
      <c r="C119" t="inlineStr">
        <is>
          <t>cal_152_155</t>
        </is>
      </c>
      <c r="D119" t="inlineStr"/>
      <c r="E119" t="inlineStr">
        <is>
          <t>m284_155_mm</t>
        </is>
      </c>
      <c r="F119" t="inlineStr">
        <is>
          <t>howitzer</t>
        </is>
      </c>
      <c r="G119" t="n">
        <v>155</v>
      </c>
      <c r="H119" t="inlineStr"/>
      <c r="I119" t="inlineStr"/>
      <c r="J119" t="inlineStr"/>
      <c r="K119" t="inlineStr">
        <is>
          <t>HighExplosive</t>
        </is>
      </c>
      <c r="L119" t="n">
        <v>3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2</v>
      </c>
      <c r="Q119" t="n">
        <v>0.05</v>
      </c>
      <c r="R119" t="n">
        <v>8.789999999999999</v>
      </c>
      <c r="S119" t="n">
        <v>0</v>
      </c>
      <c r="T119" t="n">
        <v>0</v>
      </c>
      <c r="U119" t="n">
        <v>0</v>
      </c>
      <c r="V119" t="n">
        <v>0</v>
      </c>
      <c r="W119" t="n">
        <v>320</v>
      </c>
      <c r="X119" t="n">
        <v>7</v>
      </c>
      <c r="Y119" t="n">
        <v>0</v>
      </c>
      <c r="Z119" t="n">
        <v>150</v>
      </c>
      <c r="AA119" t="n">
        <v>60</v>
      </c>
      <c r="AB119" t="n">
        <v>0</v>
      </c>
      <c r="AC119" t="inlineStr">
        <is>
          <t>Ground</t>
        </is>
      </c>
      <c r="AD119" t="inlineStr"/>
      <c r="AE119" t="n">
        <v>0.9</v>
      </c>
      <c r="AF119" t="inlineStr">
        <is>
          <t>Huge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155</v>
      </c>
      <c r="AO119" t="n">
        <v>0</v>
      </c>
      <c r="AP119" t="inlineStr">
        <is>
          <t>T3</t>
        </is>
      </c>
      <c r="AQ119" t="inlineStr">
        <is>
          <t>gun_155_twin</t>
        </is>
      </c>
      <c r="AR119" t="inlineStr"/>
      <c r="AS119" t="inlineStr"/>
      <c r="AT119" t="inlineStr"/>
      <c r="AU119" t="n">
        <v>0</v>
      </c>
      <c r="AV119" t="inlineStr"/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0.4</v>
      </c>
      <c r="BB119" t="n">
        <v>4</v>
      </c>
      <c r="BC119" t="n">
        <v>1</v>
      </c>
      <c r="BD119" t="inlineStr">
        <is>
          <t>gun</t>
        </is>
      </c>
      <c r="BE119" t="inlineStr">
        <is>
          <t>US Army M109A7 fact file: 4 rpm for 3 min, 1 rpm sustained</t>
        </is>
      </c>
      <c r="BG119" t="inlineStr">
        <is>
          <t>giong</t>
        </is>
      </c>
      <c r="CT119" t="n">
        <v>155</v>
      </c>
      <c r="DJ119" t="inlineStr">
        <is>
          <t>howitzer</t>
        </is>
      </c>
      <c r="DT119" t="inlineStr">
        <is>
          <t>gun_155_twin</t>
        </is>
      </c>
      <c r="EB119" t="n">
        <v>3</v>
      </c>
      <c r="EP119" t="n">
        <v>60</v>
      </c>
      <c r="EQ119" t="inlineStr">
        <is>
          <t>M284 155 mm (twin, long)</t>
        </is>
      </c>
      <c r="EX119" t="n">
        <v>155</v>
      </c>
      <c r="GA119" t="inlineStr">
        <is>
          <t>m284_155_mm</t>
        </is>
      </c>
      <c r="GD119" t="inlineStr">
        <is>
          <t>Assets/MachineBrigade/Resources/Data/balance.json: weapons[129]</t>
        </is>
      </c>
      <c r="GE119" t="inlineStr">
        <is>
          <t>{"id":"gun_155_twin_long","weaponFamily":"m284_155_mm","real":"M284 155 mm (twin, long)","family":"howitzer","size":155,"caliberMm":155,"pen":3,"inherits":"gun_155_twin","range":60}</t>
        </is>
      </c>
    </row>
    <row r="120">
      <c r="A120" t="inlineStr">
        <is>
          <t>gun_203_siege</t>
        </is>
      </c>
      <c r="B120" t="inlineStr">
        <is>
          <t>M110 203 mm</t>
        </is>
      </c>
      <c r="C120" t="inlineStr">
        <is>
          <t>cal_203</t>
        </is>
      </c>
      <c r="D120" t="inlineStr"/>
      <c r="E120" t="inlineStr"/>
      <c r="F120" t="inlineStr">
        <is>
          <t>howitzer</t>
        </is>
      </c>
      <c r="G120" t="n">
        <v>203</v>
      </c>
      <c r="H120" t="inlineStr"/>
      <c r="I120" t="inlineStr"/>
      <c r="J120" t="inlineStr"/>
      <c r="K120" t="inlineStr">
        <is>
          <t>HighExplosive</t>
        </is>
      </c>
      <c r="L120" t="n">
        <v>4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1</v>
      </c>
      <c r="Q120" t="n">
        <v>0.1</v>
      </c>
      <c r="R120" t="n">
        <v>9.75</v>
      </c>
      <c r="S120" t="n">
        <v>0</v>
      </c>
      <c r="T120" t="n">
        <v>0</v>
      </c>
      <c r="U120" t="n">
        <v>12</v>
      </c>
      <c r="V120" t="n">
        <v>29.4</v>
      </c>
      <c r="W120" t="n">
        <v>420</v>
      </c>
      <c r="X120" t="n">
        <v>8</v>
      </c>
      <c r="Y120" t="n">
        <v>0</v>
      </c>
      <c r="Z120" t="n">
        <v>65</v>
      </c>
      <c r="AA120" t="n">
        <v>62</v>
      </c>
      <c r="AB120" t="n">
        <v>10</v>
      </c>
      <c r="AC120" t="inlineStr">
        <is>
          <t>Ground</t>
        </is>
      </c>
      <c r="AD120" t="inlineStr"/>
      <c r="AE120" t="n">
        <v>2.5</v>
      </c>
      <c r="AF120" t="inlineStr">
        <is>
          <t>Huge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203</v>
      </c>
      <c r="AO120" t="n">
        <v>0</v>
      </c>
      <c r="AP120" t="inlineStr">
        <is>
          <t>T4</t>
        </is>
      </c>
      <c r="AQ120" t="inlineStr"/>
      <c r="AR120" t="inlineStr"/>
      <c r="AS120" t="inlineStr"/>
      <c r="AT120" t="inlineStr"/>
      <c r="AU120" t="n">
        <v>0</v>
      </c>
      <c r="AV120" t="inlineStr"/>
      <c r="AW120" t="n">
        <v>2.5</v>
      </c>
      <c r="AX120" t="b">
        <v>1</v>
      </c>
      <c r="AY120" t="inlineStr"/>
      <c r="AZ120">
        <f>IF(AND($AX$120,$AW$120&gt;$AA$120/$Z$120),$AW$120,$AA$120/$Z$120)</f>
        <v/>
      </c>
      <c r="BA120" t="n">
        <v>2.5</v>
      </c>
      <c r="BB120" t="n">
        <v>2</v>
      </c>
      <c r="BC120" t="n">
        <v>1</v>
      </c>
      <c r="BD120" t="inlineStr">
        <is>
          <t>gun</t>
        </is>
      </c>
      <c r="BE120" t="inlineStr">
        <is>
          <t>Wikipedia 'M110 howitzer': 1.5-2 rpm</t>
        </is>
      </c>
      <c r="BG120" t="inlineStr">
        <is>
          <t>doi</t>
        </is>
      </c>
      <c r="BR120" t="n">
        <v>110</v>
      </c>
      <c r="BS120" t="n">
        <v>65</v>
      </c>
      <c r="CN120" t="n">
        <v>12</v>
      </c>
      <c r="CT120" t="n">
        <v>203</v>
      </c>
      <c r="DD120" t="n">
        <v>9.75</v>
      </c>
      <c r="DE120" t="n">
        <v>420</v>
      </c>
      <c r="DF120" t="inlineStr">
        <is>
          <t>HighExplosive</t>
        </is>
      </c>
      <c r="DJ120" t="inlineStr">
        <is>
          <t>howitzer</t>
        </is>
      </c>
      <c r="DS120" t="inlineStr">
        <is>
          <t>Huge</t>
        </is>
      </c>
      <c r="DZ120" t="n">
        <v>10</v>
      </c>
      <c r="EB120" t="n">
        <v>4</v>
      </c>
      <c r="EI120" t="inlineStr">
        <is>
          <t>shell_155</t>
        </is>
      </c>
      <c r="EJ120" t="n">
        <v>0.9455</v>
      </c>
      <c r="EK120" t="n">
        <v>65</v>
      </c>
      <c r="EP120" t="n">
        <v>62</v>
      </c>
      <c r="EQ120" t="inlineStr">
        <is>
          <t>M110 203 mm</t>
        </is>
      </c>
      <c r="ER120" t="n">
        <v>29.4</v>
      </c>
      <c r="ET120" t="n">
        <v>1.04</v>
      </c>
      <c r="EX120" t="n">
        <v>203</v>
      </c>
      <c r="EY120" t="n">
        <v>8</v>
      </c>
      <c r="EZ120" t="n">
        <v>2.5</v>
      </c>
      <c r="GB120" t="inlineStr">
        <is>
          <t>cal_203</t>
        </is>
      </c>
      <c r="GD120" t="inlineStr">
        <is>
          <t>Assets/MachineBrigade/Resources/Data/balance.json: weapons[55]</t>
        </is>
      </c>
      <c r="GE120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65,"splash":8,"spread":2.5,"impactTier":"Huge","bonuses":[{"armor":"Structure","mult":2.4}],"ammo":12,"reload":29.4}</t>
        </is>
      </c>
    </row>
    <row r="121">
      <c r="A121" t="inlineStr">
        <is>
          <t>gun_behemoth</t>
        </is>
      </c>
      <c r="B121" t="inlineStr">
        <is>
          <t>2A65 152 mm (twin)</t>
        </is>
      </c>
      <c r="C121" t="inlineStr">
        <is>
          <t>cal_152_155</t>
        </is>
      </c>
      <c r="D121" t="inlineStr"/>
      <c r="E121" t="inlineStr"/>
      <c r="F121" t="inlineStr">
        <is>
          <t>howitzer</t>
        </is>
      </c>
      <c r="G121" t="n">
        <v>152</v>
      </c>
      <c r="H121" t="inlineStr"/>
      <c r="I121" t="inlineStr"/>
      <c r="J121" t="inlineStr"/>
      <c r="K121" t="inlineStr">
        <is>
          <t>HighExplosive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2</v>
      </c>
      <c r="Q121" t="n">
        <v>0.05</v>
      </c>
      <c r="R121" t="n">
        <v>8.93</v>
      </c>
      <c r="S121" t="n">
        <v>0</v>
      </c>
      <c r="T121" t="n">
        <v>0</v>
      </c>
      <c r="U121" t="n">
        <v>0</v>
      </c>
      <c r="V121" t="n">
        <v>0</v>
      </c>
      <c r="W121" t="n">
        <v>320</v>
      </c>
      <c r="X121" t="n">
        <v>6.5</v>
      </c>
      <c r="Y121" t="n">
        <v>0</v>
      </c>
      <c r="Z121" t="n">
        <v>150</v>
      </c>
      <c r="AA121" t="n">
        <v>40</v>
      </c>
      <c r="AB121" t="n">
        <v>0</v>
      </c>
      <c r="AC121" t="inlineStr">
        <is>
          <t>Ground</t>
        </is>
      </c>
      <c r="AD121" t="inlineStr"/>
      <c r="AE121" t="n">
        <v>0.8</v>
      </c>
      <c r="AF121" t="inlineStr">
        <is>
          <t>Huge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0</v>
      </c>
      <c r="AN121" t="n">
        <v>152</v>
      </c>
      <c r="AO121" t="n">
        <v>0</v>
      </c>
      <c r="AP121" t="inlineStr">
        <is>
          <t>T3</t>
        </is>
      </c>
      <c r="AQ121" t="inlineStr"/>
      <c r="AR121" t="inlineStr">
        <is>
          <t>gun_behemoth_guided</t>
        </is>
      </c>
      <c r="AS121" t="inlineStr">
        <is>
          <t>xe</t>
        </is>
      </c>
      <c r="AT121" t="inlineStr">
        <is>
          <t>mara_behemoth</t>
        </is>
      </c>
      <c r="AU121" t="n">
        <v>1</v>
      </c>
      <c r="AV121" t="inlineStr">
        <is>
          <t>mara_behemoth:0</t>
        </is>
      </c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0.2666666666666667</v>
      </c>
      <c r="BB121" t="n">
        <v>8</v>
      </c>
      <c r="BC121" t="n">
        <v>6</v>
      </c>
      <c r="BD121" t="inlineStr">
        <is>
          <t>gun</t>
        </is>
      </c>
      <c r="BE121" t="inlineStr">
        <is>
          <t>Wikipedia '2A65 Msta-B': 7-8 rpm</t>
        </is>
      </c>
      <c r="BG121" t="inlineStr">
        <is>
          <t>giong</t>
        </is>
      </c>
      <c r="CR121" t="n">
        <v>2</v>
      </c>
      <c r="CS121" t="n">
        <v>0.05</v>
      </c>
      <c r="CT121" t="n">
        <v>152</v>
      </c>
      <c r="DD121" t="n">
        <v>8.93</v>
      </c>
      <c r="DE121" t="n">
        <v>320</v>
      </c>
      <c r="DF121" t="inlineStr">
        <is>
          <t>HighExplosive</t>
        </is>
      </c>
      <c r="DJ121" t="inlineStr">
        <is>
          <t>howitzer</t>
        </is>
      </c>
      <c r="DS121" t="inlineStr">
        <is>
          <t>Huge</t>
        </is>
      </c>
      <c r="EB121" t="n">
        <v>3</v>
      </c>
      <c r="EK121" t="n">
        <v>150</v>
      </c>
      <c r="EP121" t="n">
        <v>40</v>
      </c>
      <c r="EQ121" t="inlineStr">
        <is>
          <t>2A65 152 mm (twin)</t>
        </is>
      </c>
      <c r="EX121" t="n">
        <v>152</v>
      </c>
      <c r="EY121" t="n">
        <v>6.5</v>
      </c>
      <c r="EZ121" t="n">
        <v>0.8</v>
      </c>
      <c r="GB121" t="inlineStr">
        <is>
          <t>cal_152_155</t>
        </is>
      </c>
      <c r="GD121" t="inlineStr">
        <is>
          <t>Assets/MachineBrigade/Resources/Data/balance.json: weapons[136]</t>
        </is>
      </c>
      <c r="GE121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22">
      <c r="A122" t="inlineStr">
        <is>
          <t>gun_behemoth_guided</t>
        </is>
      </c>
      <c r="B122" t="inlineStr">
        <is>
          <t>2A65 152 mm guided (twin)</t>
        </is>
      </c>
      <c r="C122" t="inlineStr">
        <is>
          <t>cal_152_155</t>
        </is>
      </c>
      <c r="D122" t="inlineStr">
        <is>
          <t>guided</t>
        </is>
      </c>
      <c r="E122" t="inlineStr"/>
      <c r="F122" t="inlineStr">
        <is>
          <t>howitzer</t>
        </is>
      </c>
      <c r="G122" t="n">
        <v>152</v>
      </c>
      <c r="H122" t="inlineStr"/>
      <c r="I122" t="inlineStr"/>
      <c r="J122" t="inlineStr"/>
      <c r="K122" t="inlineStr">
        <is>
          <t>HighExplosive</t>
        </is>
      </c>
      <c r="L122" t="n">
        <v>3</v>
      </c>
      <c r="M122" t="inlineStr">
        <is>
          <t>Shell</t>
        </is>
      </c>
      <c r="N122" t="n">
        <v>1</v>
      </c>
      <c r="O122" t="inlineStr">
        <is>
          <t>RIPPLE</t>
        </is>
      </c>
      <c r="P122" t="n">
        <v>1</v>
      </c>
      <c r="Q122" t="n">
        <v>0.05</v>
      </c>
      <c r="R122" t="n">
        <v>8.93</v>
      </c>
      <c r="S122" t="n">
        <v>0</v>
      </c>
      <c r="T122" t="n">
        <v>0</v>
      </c>
      <c r="U122" t="n">
        <v>0</v>
      </c>
      <c r="V122" t="n">
        <v>0</v>
      </c>
      <c r="W122" t="n">
        <v>320</v>
      </c>
      <c r="X122" t="n">
        <v>6.5</v>
      </c>
      <c r="Y122" t="n">
        <v>0</v>
      </c>
      <c r="Z122" t="n">
        <v>150</v>
      </c>
      <c r="AA122" t="n">
        <v>40</v>
      </c>
      <c r="AB122" t="n">
        <v>0</v>
      </c>
      <c r="AC122" t="inlineStr">
        <is>
          <t>Ground</t>
        </is>
      </c>
      <c r="AD122" t="inlineStr"/>
      <c r="AE122" t="n">
        <v>0</v>
      </c>
      <c r="AF122" t="inlineStr">
        <is>
          <t>Huge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1</v>
      </c>
      <c r="AN122" t="n">
        <v>152</v>
      </c>
      <c r="AO122" t="n">
        <v>0</v>
      </c>
      <c r="AP122" t="inlineStr">
        <is>
          <t>T3</t>
        </is>
      </c>
      <c r="AQ122" t="inlineStr">
        <is>
          <t>gun_behemoth</t>
        </is>
      </c>
      <c r="AR122" t="inlineStr"/>
      <c r="AS122" t="inlineStr"/>
      <c r="AT122" t="inlineStr"/>
      <c r="AU122" t="n">
        <v>0</v>
      </c>
      <c r="AV122" t="inlineStr"/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0.2666666666666667</v>
      </c>
      <c r="BB122" t="n">
        <v>8</v>
      </c>
      <c r="BC122" t="n">
        <v>6</v>
      </c>
      <c r="BD122" t="inlineStr">
        <is>
          <t>gun</t>
        </is>
      </c>
      <c r="BE122" t="inlineStr">
        <is>
          <t>Wikipedia '2A65 Msta-B': 7-8 rpm</t>
        </is>
      </c>
      <c r="BG122" t="inlineStr">
        <is>
          <t>giong</t>
        </is>
      </c>
      <c r="CR122" t="n">
        <v>1</v>
      </c>
      <c r="DE122" t="n">
        <v>320</v>
      </c>
      <c r="DF122" t="inlineStr">
        <is>
          <t>HighExplosive</t>
        </is>
      </c>
      <c r="DH122" t="b">
        <v>1</v>
      </c>
      <c r="DM122" t="inlineStr">
        <is>
          <t>armour</t>
        </is>
      </c>
      <c r="DN122" t="inlineStr">
        <is>
          <t>HeShell</t>
        </is>
      </c>
      <c r="DP122" t="b">
        <v>1</v>
      </c>
      <c r="DT122" t="inlineStr">
        <is>
          <t>gun_behemoth</t>
        </is>
      </c>
      <c r="EB122" t="n">
        <v>3</v>
      </c>
      <c r="EQ122" t="inlineStr">
        <is>
          <t>2A65 152 mm guided (twin)</t>
        </is>
      </c>
      <c r="ES122" t="inlineStr">
        <is>
          <t>guided</t>
        </is>
      </c>
      <c r="EU122" t="inlineStr">
        <is>
          <t>gun_behemoth</t>
        </is>
      </c>
      <c r="EZ122" t="n">
        <v>0</v>
      </c>
      <c r="FW122" t="inlineStr">
        <is>
          <t>Ground</t>
        </is>
      </c>
      <c r="GA122" t="inlineStr"/>
      <c r="GC122" t="inlineStr">
        <is>
          <t>guided</t>
        </is>
      </c>
      <c r="GD122" t="inlineStr">
        <is>
          <t>Assets/MachineBrigade/Resources/Data/balance.json: secondRounds.rounds[33]</t>
        </is>
      </c>
      <c r="GE122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23">
      <c r="A123" t="inlineStr">
        <is>
          <t>gun_launched_atgm</t>
        </is>
      </c>
      <c r="B123" t="inlineStr">
        <is>
          <t>gun-launched ATGM (9M117 class)</t>
        </is>
      </c>
      <c r="C123" t="inlineStr">
        <is>
          <t>atgm_gun_launched_atgm</t>
        </is>
      </c>
      <c r="D123" t="inlineStr"/>
      <c r="E123" t="inlineStr"/>
      <c r="F123" t="inlineStr">
        <is>
          <t>atgm</t>
        </is>
      </c>
      <c r="G123" t="inlineStr"/>
      <c r="H123" t="n">
        <v>4.5</v>
      </c>
      <c r="I123" t="inlineStr"/>
      <c r="J123" t="inlineStr"/>
      <c r="K123" t="inlineStr">
        <is>
          <t>ShapedCharge</t>
        </is>
      </c>
      <c r="L123" t="n">
        <v>4</v>
      </c>
      <c r="M123" t="inlineStr">
        <is>
          <t>Missile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20</v>
      </c>
      <c r="S123" t="n">
        <v>0</v>
      </c>
      <c r="T123" t="n">
        <v>0</v>
      </c>
      <c r="U123" t="n">
        <v>0</v>
      </c>
      <c r="V123" t="n">
        <v>0</v>
      </c>
      <c r="W123" t="n">
        <v>230</v>
      </c>
      <c r="X123" t="n">
        <v>0</v>
      </c>
      <c r="Y123" t="n">
        <v>0</v>
      </c>
      <c r="Z123" t="n">
        <v>75</v>
      </c>
      <c r="AA123" t="n">
        <v>34</v>
      </c>
      <c r="AB123" t="n">
        <v>0</v>
      </c>
      <c r="AC123" t="inlineStr">
        <is>
          <t>Ground</t>
        </is>
      </c>
      <c r="AD123" t="inlineStr"/>
      <c r="AE123" t="n">
        <v>0</v>
      </c>
      <c r="AF123" t="inlineStr">
        <is>
          <t>Medium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24</v>
      </c>
      <c r="AO123" t="n">
        <v>0</v>
      </c>
      <c r="AP123" t="inlineStr">
        <is>
          <t>T2</t>
        </is>
      </c>
      <c r="AQ123" t="inlineStr"/>
      <c r="AR123" t="inlineStr"/>
      <c r="AS123" t="inlineStr">
        <is>
          <t>xe</t>
        </is>
      </c>
      <c r="AT123" t="inlineStr">
        <is>
          <t>light_tank</t>
        </is>
      </c>
      <c r="AU123" t="n">
        <v>1</v>
      </c>
      <c r="AV123" t="inlineStr">
        <is>
          <t>light_tank:2</t>
        </is>
      </c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0.4533333333333333</v>
      </c>
      <c r="BB123" t="n">
        <v>4</v>
      </c>
      <c r="BC123" t="n">
        <v>3</v>
      </c>
      <c r="BD123" t="inlineStr">
        <is>
          <t>atgm</t>
        </is>
      </c>
      <c r="BE123" t="inlineStr">
        <is>
          <t>the gun's own rate with a loaded missile, est. 4 rpm</t>
        </is>
      </c>
      <c r="BG123" t="inlineStr">
        <is>
          <t>doi</t>
        </is>
      </c>
      <c r="BH123" t="n">
        <v>200</v>
      </c>
      <c r="BI123" t="n">
        <v>230</v>
      </c>
      <c r="BR123" t="n">
        <v>22</v>
      </c>
      <c r="BS123" t="n">
        <v>75</v>
      </c>
      <c r="CB123" t="n">
        <v>3</v>
      </c>
      <c r="CC123" t="n">
        <v>4</v>
      </c>
      <c r="DD123" t="n">
        <v>20</v>
      </c>
      <c r="DE123" t="n">
        <v>230</v>
      </c>
      <c r="DF123" t="inlineStr">
        <is>
          <t>ShapedCharge</t>
        </is>
      </c>
      <c r="DJ123" t="inlineStr">
        <is>
          <t>atgm</t>
        </is>
      </c>
      <c r="DS123" t="inlineStr">
        <is>
          <t>Medium</t>
        </is>
      </c>
      <c r="EB123" t="n">
        <v>4</v>
      </c>
      <c r="EE123" t="b">
        <v>1</v>
      </c>
      <c r="EH123" t="inlineStr">
        <is>
          <t>Missile</t>
        </is>
      </c>
      <c r="EI123" t="inlineStr">
        <is>
          <t>atgm_kornet</t>
        </is>
      </c>
      <c r="EJ123" t="n">
        <v>0.7</v>
      </c>
      <c r="EK123" t="n">
        <v>75</v>
      </c>
      <c r="EP123" t="n">
        <v>34</v>
      </c>
      <c r="EQ123" t="inlineStr">
        <is>
          <t>gun-launched ATGM (9M117 class)</t>
        </is>
      </c>
      <c r="EX123" t="n">
        <v>24</v>
      </c>
      <c r="FZ123" t="n">
        <v>4.5</v>
      </c>
      <c r="GB123" t="inlineStr">
        <is>
          <t>atgm_gun_launched_atgm</t>
        </is>
      </c>
      <c r="GD123" t="inlineStr">
        <is>
          <t>Assets/MachineBrigade/Resources/Data/balance.json: weapons[14]</t>
        </is>
      </c>
      <c r="GE123" t="inlineStr">
        <is>
          <t>{"id":"gun_launched_atgm","weaponFamilyId":"atgm_gun_launched_atgm","real":"gun-launched ATGM (9M117 class)","family":"atgm","size":24,"warheadKg":4.5,"pen":4,"piercing":true,"projectileModel":"atgm_kornet","projectileScale":0.7,"damageType":"ShapedCharge","damage":230,"cooldown":20,"range":34,"projectileSpeed":75,"impactTier":"Medium","projectile":"Missile"}</t>
        </is>
      </c>
    </row>
    <row r="124">
      <c r="A124" t="inlineStr">
        <is>
          <t>gun_pit_105</t>
        </is>
      </c>
      <c r="B124" t="inlineStr">
        <is>
          <t>Rh-120 L/44 120 mm (dug in)</t>
        </is>
      </c>
      <c r="C124" t="inlineStr">
        <is>
          <t>cal_120_ap</t>
        </is>
      </c>
      <c r="D124" t="inlineStr"/>
      <c r="E124" t="inlineStr">
        <is>
          <t>rh_120_l_44_120_mm</t>
        </is>
      </c>
      <c r="F124" t="inlineStr">
        <is>
          <t>tank_gun</t>
        </is>
      </c>
      <c r="G124" t="n">
        <v>120</v>
      </c>
      <c r="H124" t="inlineStr"/>
      <c r="I124" t="inlineStr"/>
      <c r="J124" t="inlineStr"/>
      <c r="K124" t="inlineStr">
        <is>
          <t>Kinetic</t>
        </is>
      </c>
      <c r="L124" t="n">
        <v>4</v>
      </c>
      <c r="M124" t="inlineStr">
        <is>
          <t>Shell</t>
        </is>
      </c>
      <c r="N124" t="n">
        <v>1</v>
      </c>
      <c r="O124" t="inlineStr">
        <is>
          <t>RIPPLE</t>
        </is>
      </c>
      <c r="P124" t="n">
        <v>1</v>
      </c>
      <c r="Q124" t="n">
        <v>0.1</v>
      </c>
      <c r="R124" t="n">
        <v>4.63</v>
      </c>
      <c r="S124" t="n">
        <v>0</v>
      </c>
      <c r="T124" t="n">
        <v>0</v>
      </c>
      <c r="U124" t="n">
        <v>0</v>
      </c>
      <c r="V124" t="n">
        <v>0</v>
      </c>
      <c r="W124" t="n">
        <v>240</v>
      </c>
      <c r="X124" t="n">
        <v>1.5</v>
      </c>
      <c r="Y124" t="n">
        <v>0</v>
      </c>
      <c r="Z124" t="n">
        <v>170</v>
      </c>
      <c r="AA124" t="n">
        <v>36</v>
      </c>
      <c r="AB124" t="n">
        <v>0</v>
      </c>
      <c r="AC124" t="inlineStr">
        <is>
          <t>Ground</t>
        </is>
      </c>
      <c r="AD124" t="inlineStr"/>
      <c r="AE124" t="n">
        <v>0.4</v>
      </c>
      <c r="AF124" t="inlineStr">
        <is>
          <t>Medium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120</v>
      </c>
      <c r="AO124" t="n">
        <v>0</v>
      </c>
      <c r="AP124" t="inlineStr">
        <is>
          <t>T3</t>
        </is>
      </c>
      <c r="AQ124" t="inlineStr"/>
      <c r="AR124" t="inlineStr"/>
      <c r="AS124" t="inlineStr"/>
      <c r="AT124" t="inlineStr"/>
      <c r="AU124" t="n">
        <v>0</v>
      </c>
      <c r="AV124" t="inlineStr"/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0.2117647058823529</v>
      </c>
      <c r="BB124" t="n">
        <v>8</v>
      </c>
      <c r="BC124" t="n">
        <v>6</v>
      </c>
      <c r="BD124" t="inlineStr">
        <is>
          <t>gun</t>
        </is>
      </c>
      <c r="BE124" t="inlineStr">
        <is>
          <t>the sheet's 'Ngoài đời': Rh-120 6-8 rpm with a loader (Wikipedia 'Rheinmetall 120 mm gun')</t>
        </is>
      </c>
      <c r="BG124" t="inlineStr">
        <is>
          <t>giong</t>
        </is>
      </c>
      <c r="CT124" t="n">
        <v>120</v>
      </c>
      <c r="DD124" t="n">
        <v>4.63</v>
      </c>
      <c r="DE124" t="n">
        <v>240</v>
      </c>
      <c r="DF124" t="inlineStr">
        <is>
          <t>Kinetic</t>
        </is>
      </c>
      <c r="DJ124" t="inlineStr">
        <is>
          <t>tank_gun</t>
        </is>
      </c>
      <c r="DS124" t="inlineStr">
        <is>
          <t>Medium</t>
        </is>
      </c>
      <c r="EB124" t="n">
        <v>4</v>
      </c>
      <c r="EE124" t="b">
        <v>1</v>
      </c>
      <c r="EP124" t="n">
        <v>36</v>
      </c>
      <c r="EQ124" t="inlineStr">
        <is>
          <t>Rh-120 L/44 120 mm (dug in)</t>
        </is>
      </c>
      <c r="EX124" t="n">
        <v>120</v>
      </c>
      <c r="EZ124" t="n">
        <v>0.4</v>
      </c>
      <c r="GA124" t="inlineStr">
        <is>
          <t>rh_120_l_44_120_mm</t>
        </is>
      </c>
      <c r="GB124" t="inlineStr">
        <is>
          <t>cal_120_ap</t>
        </is>
      </c>
      <c r="GD124" t="inlineStr">
        <is>
          <t>Assets/MachineBrigade/Resources/Data/balance.json: weapons[108]</t>
        </is>
      </c>
      <c r="GE124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25">
      <c r="A125" t="inlineStr">
        <is>
          <t>gunship_25mm</t>
        </is>
      </c>
      <c r="B125" t="inlineStr">
        <is>
          <t>GAU-12 Equalizer 25 mm</t>
        </is>
      </c>
      <c r="C125" t="inlineStr">
        <is>
          <t>cal_25</t>
        </is>
      </c>
      <c r="D125" t="inlineStr"/>
      <c r="E125" t="inlineStr"/>
      <c r="F125" t="inlineStr">
        <is>
          <t>autocannon</t>
        </is>
      </c>
      <c r="G125" t="n">
        <v>25</v>
      </c>
      <c r="H125" t="inlineStr"/>
      <c r="I125" t="inlineStr"/>
      <c r="J125" t="inlineStr"/>
      <c r="K125" t="inlineStr">
        <is>
          <t>Kinetic</t>
        </is>
      </c>
      <c r="L125" t="n">
        <v>2</v>
      </c>
      <c r="M125" t="inlineStr">
        <is>
          <t>Bullet</t>
        </is>
      </c>
      <c r="N125" t="n">
        <v>1</v>
      </c>
      <c r="O125" t="inlineStr">
        <is>
          <t>RIPPLE</t>
        </is>
      </c>
      <c r="P125" t="n">
        <v>1</v>
      </c>
      <c r="Q125" t="n">
        <v>0.1</v>
      </c>
      <c r="R125" t="n">
        <v>0.0911</v>
      </c>
      <c r="S125" t="n">
        <v>56</v>
      </c>
      <c r="T125" t="n">
        <v>1</v>
      </c>
      <c r="U125" t="n">
        <v>0</v>
      </c>
      <c r="V125" t="n">
        <v>0</v>
      </c>
      <c r="W125" t="n">
        <v>17</v>
      </c>
      <c r="X125" t="n">
        <v>0</v>
      </c>
      <c r="Y125" t="n">
        <v>0</v>
      </c>
      <c r="Z125" t="n">
        <v>280</v>
      </c>
      <c r="AA125" t="n">
        <v>50</v>
      </c>
      <c r="AB125" t="n">
        <v>0</v>
      </c>
      <c r="AC125" t="inlineStr">
        <is>
          <t>Ground</t>
        </is>
      </c>
      <c r="AD125" t="inlineStr"/>
      <c r="AE125" t="n">
        <v>2.2</v>
      </c>
      <c r="AF125" t="inlineStr">
        <is>
          <t>Small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25</v>
      </c>
      <c r="AO125" t="n">
        <v>0</v>
      </c>
      <c r="AP125" t="inlineStr">
        <is>
          <t>T1</t>
        </is>
      </c>
      <c r="AQ125" t="inlineStr"/>
      <c r="AR125" t="inlineStr">
        <is>
          <t>gunship_25mm_flak</t>
        </is>
      </c>
      <c r="AS125" t="inlineStr">
        <is>
          <t>xe</t>
        </is>
      </c>
      <c r="AT125" t="inlineStr">
        <is>
          <t>sky_gunship</t>
        </is>
      </c>
      <c r="AU125" t="n">
        <v>1</v>
      </c>
      <c r="AV125" t="inlineStr">
        <is>
          <t>sky_gunship:2</t>
        </is>
      </c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0.1785714285714286</v>
      </c>
      <c r="BB125" t="n">
        <v>4200</v>
      </c>
      <c r="BC125" t="inlineStr"/>
      <c r="BD125" t="inlineStr">
        <is>
          <t>ac</t>
        </is>
      </c>
      <c r="BE125" t="inlineStr">
        <is>
          <t>Wikipedia 'GAU-12 Equalizer': 3,600-4,200 rpm (1,800 on the AC-130U)</t>
        </is>
      </c>
      <c r="BG125" t="inlineStr">
        <is>
          <t>giong</t>
        </is>
      </c>
      <c r="CT125" t="n">
        <v>25</v>
      </c>
      <c r="CW125" t="n">
        <v>56</v>
      </c>
      <c r="CX125" t="n">
        <v>1</v>
      </c>
      <c r="DD125" t="n">
        <v>0.0911</v>
      </c>
      <c r="DE125" t="n">
        <v>17</v>
      </c>
      <c r="DF125" t="inlineStr">
        <is>
          <t>Kinetic</t>
        </is>
      </c>
      <c r="DJ125" t="inlineStr">
        <is>
          <t>autocannon</t>
        </is>
      </c>
      <c r="DS125" t="inlineStr">
        <is>
          <t>Small</t>
        </is>
      </c>
      <c r="EB125" t="n">
        <v>2</v>
      </c>
      <c r="EH125" t="inlineStr">
        <is>
          <t>Bullet</t>
        </is>
      </c>
      <c r="EK125" t="n">
        <v>280</v>
      </c>
      <c r="EP125" t="n">
        <v>50</v>
      </c>
      <c r="EQ125" t="inlineStr">
        <is>
          <t>GAU-12 Equalizer 25 mm</t>
        </is>
      </c>
      <c r="EV125" t="n">
        <v>19</v>
      </c>
      <c r="EX125" t="n">
        <v>25</v>
      </c>
      <c r="EZ125" t="n">
        <v>2.2</v>
      </c>
      <c r="GB125" t="inlineStr">
        <is>
          <t>cal_25</t>
        </is>
      </c>
      <c r="GD125" t="inlineStr">
        <is>
          <t>Assets/MachineBrigade/Resources/Data/balance.json: weapons[53]</t>
        </is>
      </c>
      <c r="GE125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26">
      <c r="A126" t="inlineStr">
        <is>
          <t>gunship_25mm_flak</t>
        </is>
      </c>
      <c r="B126" t="inlineStr">
        <is>
          <t>GAU-12 Equalizer 25 mm air-burst</t>
        </is>
      </c>
      <c r="C126" t="inlineStr">
        <is>
          <t>cal_25</t>
        </is>
      </c>
      <c r="D126" t="inlineStr">
        <is>
          <t>flak</t>
        </is>
      </c>
      <c r="E126" t="inlineStr"/>
      <c r="F126" t="inlineStr">
        <is>
          <t>autocannon</t>
        </is>
      </c>
      <c r="G126" t="n">
        <v>25</v>
      </c>
      <c r="H126" t="inlineStr"/>
      <c r="I126" t="inlineStr"/>
      <c r="J126" t="inlineStr"/>
      <c r="K126" t="inlineStr">
        <is>
          <t>Fragmentation</t>
        </is>
      </c>
      <c r="L126" t="n">
        <v>1</v>
      </c>
      <c r="M126" t="inlineStr">
        <is>
          <t>Bullet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0.0911</v>
      </c>
      <c r="S126" t="n">
        <v>56</v>
      </c>
      <c r="T126" t="n">
        <v>1</v>
      </c>
      <c r="U126" t="n">
        <v>0</v>
      </c>
      <c r="V126" t="n">
        <v>0</v>
      </c>
      <c r="W126" t="n">
        <v>17</v>
      </c>
      <c r="X126" t="n">
        <v>2</v>
      </c>
      <c r="Y126" t="n">
        <v>0</v>
      </c>
      <c r="Z126" t="n">
        <v>280</v>
      </c>
      <c r="AA126" t="n">
        <v>50</v>
      </c>
      <c r="AB126" t="n">
        <v>0</v>
      </c>
      <c r="AC126" t="inlineStr">
        <is>
          <t>Air</t>
        </is>
      </c>
      <c r="AD126" t="inlineStr"/>
      <c r="AE126" t="n">
        <v>2.2</v>
      </c>
      <c r="AF126" t="inlineStr">
        <is>
          <t>Small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25</v>
      </c>
      <c r="AO126" t="n">
        <v>0</v>
      </c>
      <c r="AP126" t="inlineStr">
        <is>
          <t>T1</t>
        </is>
      </c>
      <c r="AQ126" t="inlineStr">
        <is>
          <t>gunship_25mm</t>
        </is>
      </c>
      <c r="AR126" t="inlineStr"/>
      <c r="AS126" t="inlineStr"/>
      <c r="AT126" t="inlineStr"/>
      <c r="AU126" t="n">
        <v>0</v>
      </c>
      <c r="AV126" t="inlineStr"/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0.1785714285714286</v>
      </c>
      <c r="BB126" t="n">
        <v>4200</v>
      </c>
      <c r="BC126" t="inlineStr"/>
      <c r="BD126" t="inlineStr">
        <is>
          <t>ac</t>
        </is>
      </c>
      <c r="BE126" t="inlineStr">
        <is>
          <t>Wikipedia 'GAU-12 Equalizer': 3,600-4,200 rpm (1,800 on the AC-130U)</t>
        </is>
      </c>
      <c r="BG126" t="inlineStr">
        <is>
          <t>giong</t>
        </is>
      </c>
      <c r="DE126" t="n">
        <v>17</v>
      </c>
      <c r="DF126" t="inlineStr">
        <is>
          <t>Fragmentation</t>
        </is>
      </c>
      <c r="DM126" t="inlineStr">
        <is>
          <t>air</t>
        </is>
      </c>
      <c r="DN126" t="inlineStr">
        <is>
          <t>Airburst</t>
        </is>
      </c>
      <c r="DT126" t="inlineStr">
        <is>
          <t>gunship_25mm</t>
        </is>
      </c>
      <c r="EB126" t="n">
        <v>1</v>
      </c>
      <c r="EE126" t="b">
        <v>0</v>
      </c>
      <c r="EQ126" t="inlineStr">
        <is>
          <t>GAU-12 Equalizer 25 mm air-burst</t>
        </is>
      </c>
      <c r="ES126" t="inlineStr">
        <is>
          <t>flak</t>
        </is>
      </c>
      <c r="EU126" t="inlineStr">
        <is>
          <t>gunship_25mm</t>
        </is>
      </c>
      <c r="EY126" t="n">
        <v>2</v>
      </c>
      <c r="FW126" t="inlineStr">
        <is>
          <t>Air</t>
        </is>
      </c>
      <c r="GA126" t="inlineStr"/>
      <c r="GC126" t="inlineStr">
        <is>
          <t>flak</t>
        </is>
      </c>
      <c r="GD126" t="inlineStr">
        <is>
          <t>Assets/MachineBrigade/Resources/Data/balance.json: secondRounds.rounds[35]</t>
        </is>
      </c>
      <c r="GE126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27">
      <c r="A127" t="inlineStr">
        <is>
          <t>gunship_40mm</t>
        </is>
      </c>
      <c r="B127" t="inlineStr">
        <is>
          <t>Bofors L/60 40 mm</t>
        </is>
      </c>
      <c r="C127" t="inlineStr">
        <is>
          <t>cal_40</t>
        </is>
      </c>
      <c r="D127" t="inlineStr">
        <is>
          <t>he</t>
        </is>
      </c>
      <c r="E127" t="inlineStr"/>
      <c r="F127" t="inlineStr">
        <is>
          <t>autocannon</t>
        </is>
      </c>
      <c r="G127" t="n">
        <v>40</v>
      </c>
      <c r="H127" t="inlineStr"/>
      <c r="I127" t="inlineStr"/>
      <c r="J127" t="inlineStr"/>
      <c r="K127" t="inlineStr">
        <is>
          <t>HighExplosive</t>
        </is>
      </c>
      <c r="L127" t="n">
        <v>2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0.1783</v>
      </c>
      <c r="S127" t="n">
        <v>29</v>
      </c>
      <c r="T127" t="n">
        <v>1</v>
      </c>
      <c r="U127" t="n">
        <v>0</v>
      </c>
      <c r="V127" t="n">
        <v>0</v>
      </c>
      <c r="W127" t="n">
        <v>30</v>
      </c>
      <c r="X127" t="n">
        <v>3</v>
      </c>
      <c r="Y127" t="n">
        <v>0</v>
      </c>
      <c r="Z127" t="n">
        <v>200</v>
      </c>
      <c r="AA127" t="n">
        <v>55</v>
      </c>
      <c r="AB127" t="n">
        <v>0</v>
      </c>
      <c r="AC127" t="inlineStr">
        <is>
          <t>Ground</t>
        </is>
      </c>
      <c r="AD127" t="inlineStr"/>
      <c r="AE127" t="n">
        <v>2.5</v>
      </c>
      <c r="AF127" t="inlineStr">
        <is>
          <t>Medium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40</v>
      </c>
      <c r="AO127" t="n">
        <v>0</v>
      </c>
      <c r="AP127" t="inlineStr">
        <is>
          <t>T1</t>
        </is>
      </c>
      <c r="AQ127" t="inlineStr"/>
      <c r="AR127" t="inlineStr">
        <is>
          <t>gunship_40mm_ap;gunship_40mm_flak</t>
        </is>
      </c>
      <c r="AS127" t="inlineStr">
        <is>
          <t>xe</t>
        </is>
      </c>
      <c r="AT127" t="inlineStr">
        <is>
          <t>sky_gunship</t>
        </is>
      </c>
      <c r="AU127" t="n">
        <v>1</v>
      </c>
      <c r="AV127" t="inlineStr">
        <is>
          <t>sky_gunship:1</t>
        </is>
      </c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0.275</v>
      </c>
      <c r="BB127" t="n">
        <v>120</v>
      </c>
      <c r="BC127" t="n">
        <v>80</v>
      </c>
      <c r="BD127" t="inlineStr">
        <is>
          <t>aa</t>
        </is>
      </c>
      <c r="BE127" t="inlineStr">
        <is>
          <t>Wikipedia 'Bofors 40 mm L/60': 120 rpm</t>
        </is>
      </c>
      <c r="BG127" t="inlineStr">
        <is>
          <t>giong</t>
        </is>
      </c>
      <c r="CT127" t="n">
        <v>40</v>
      </c>
      <c r="CW127" t="n">
        <v>29</v>
      </c>
      <c r="CX127" t="n">
        <v>1</v>
      </c>
      <c r="DD127" t="n">
        <v>0.1783</v>
      </c>
      <c r="DE127" t="n">
        <v>30</v>
      </c>
      <c r="DF127" t="inlineStr">
        <is>
          <t>HighExplosive</t>
        </is>
      </c>
      <c r="DJ127" t="inlineStr">
        <is>
          <t>autocannon</t>
        </is>
      </c>
      <c r="DN127" t="inlineStr">
        <is>
          <t>BeltedAutocannon</t>
        </is>
      </c>
      <c r="DS127" t="inlineStr">
        <is>
          <t>Medium</t>
        </is>
      </c>
      <c r="EB127" t="n">
        <v>2</v>
      </c>
      <c r="EK127" t="n">
        <v>200</v>
      </c>
      <c r="EP127" t="n">
        <v>55</v>
      </c>
      <c r="EQ127" t="inlineStr">
        <is>
          <t>Bofors L/60 40 mm</t>
        </is>
      </c>
      <c r="EV127" t="n">
        <v>79</v>
      </c>
      <c r="EX127" t="n">
        <v>40</v>
      </c>
      <c r="EY127" t="n">
        <v>3</v>
      </c>
      <c r="EZ127" t="n">
        <v>2.5</v>
      </c>
      <c r="GB127" t="inlineStr">
        <is>
          <t>cal_40</t>
        </is>
      </c>
      <c r="GC127" t="inlineStr">
        <is>
          <t>he</t>
        </is>
      </c>
      <c r="GD127" t="inlineStr">
        <is>
          <t>Assets/MachineBrigade/Resources/Data/balance.json: weapons[52]</t>
        </is>
      </c>
      <c r="GE127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28">
      <c r="A128" t="inlineStr">
        <is>
          <t>gunship_40mm_ap</t>
        </is>
      </c>
      <c r="B128" t="inlineStr">
        <is>
          <t>Bofors L/60 40 mm AP</t>
        </is>
      </c>
      <c r="C128" t="inlineStr">
        <is>
          <t>cal_40</t>
        </is>
      </c>
      <c r="D128" t="inlineStr"/>
      <c r="E128" t="inlineStr"/>
      <c r="F128" t="inlineStr">
        <is>
          <t>autocannon</t>
        </is>
      </c>
      <c r="G128" t="n">
        <v>40</v>
      </c>
      <c r="H128" t="inlineStr"/>
      <c r="I128" t="inlineStr"/>
      <c r="J128" t="inlineStr"/>
      <c r="K128" t="inlineStr">
        <is>
          <t>Kinetic</t>
        </is>
      </c>
      <c r="L128" t="n">
        <v>2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0.1783</v>
      </c>
      <c r="S128" t="n">
        <v>29</v>
      </c>
      <c r="T128" t="n">
        <v>1</v>
      </c>
      <c r="U128" t="n">
        <v>0</v>
      </c>
      <c r="V128" t="n">
        <v>0</v>
      </c>
      <c r="W128" t="n">
        <v>30</v>
      </c>
      <c r="X128" t="n">
        <v>0</v>
      </c>
      <c r="Y128" t="n">
        <v>0</v>
      </c>
      <c r="Z128" t="n">
        <v>200</v>
      </c>
      <c r="AA128" t="n">
        <v>55</v>
      </c>
      <c r="AB128" t="n">
        <v>0</v>
      </c>
      <c r="AC128" t="inlineStr">
        <is>
          <t>Ground</t>
        </is>
      </c>
      <c r="AD128" t="inlineStr"/>
      <c r="AE128" t="n">
        <v>2.5</v>
      </c>
      <c r="AF128" t="inlineStr">
        <is>
          <t>Medium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40</v>
      </c>
      <c r="AO128" t="n">
        <v>0</v>
      </c>
      <c r="AP128" t="inlineStr">
        <is>
          <t>T1</t>
        </is>
      </c>
      <c r="AQ128" t="inlineStr">
        <is>
          <t>gunship_40mm</t>
        </is>
      </c>
      <c r="AR128" t="inlineStr"/>
      <c r="AS128" t="inlineStr"/>
      <c r="AT128" t="inlineStr"/>
      <c r="AU128" t="n">
        <v>0</v>
      </c>
      <c r="AV128" t="inlineStr"/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0.275</v>
      </c>
      <c r="BB128" t="n">
        <v>120</v>
      </c>
      <c r="BC128" t="n">
        <v>80</v>
      </c>
      <c r="BD128" t="inlineStr">
        <is>
          <t>aa</t>
        </is>
      </c>
      <c r="BE128" t="inlineStr">
        <is>
          <t>Wikipedia 'Bofors 40 mm L/60': 120 rpm</t>
        </is>
      </c>
      <c r="BG128" t="inlineStr">
        <is>
          <t>giong</t>
        </is>
      </c>
      <c r="DE128" t="n">
        <v>30</v>
      </c>
      <c r="DF128" t="inlineStr">
        <is>
          <t>Kinetic</t>
        </is>
      </c>
      <c r="DM128" t="inlineStr">
        <is>
          <t>armour</t>
        </is>
      </c>
      <c r="DN128" t="inlineStr">
        <is>
          <t>BeltedAutocannon</t>
        </is>
      </c>
      <c r="DT128" t="inlineStr">
        <is>
          <t>gunship_40mm</t>
        </is>
      </c>
      <c r="EB128" t="n">
        <v>2</v>
      </c>
      <c r="EE128" t="b">
        <v>1</v>
      </c>
      <c r="EQ128" t="inlineStr">
        <is>
          <t>Bofors L/60 40 mm AP</t>
        </is>
      </c>
      <c r="ES128" t="inlineStr">
        <is>
          <t>ap</t>
        </is>
      </c>
      <c r="EU128" t="inlineStr">
        <is>
          <t>gunship_40mm</t>
        </is>
      </c>
      <c r="EY128" t="n">
        <v>0</v>
      </c>
      <c r="FW128" t="inlineStr">
        <is>
          <t>Ground</t>
        </is>
      </c>
      <c r="GA128" t="inlineStr"/>
      <c r="GC128" t="inlineStr"/>
      <c r="GD128" t="inlineStr">
        <is>
          <t>Assets/MachineBrigade/Resources/Data/balance.json: secondRounds.rounds[36]</t>
        </is>
      </c>
      <c r="GE128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29">
      <c r="A129" t="inlineStr">
        <is>
          <t>gunship_40mm_flak</t>
        </is>
      </c>
      <c r="B129" t="inlineStr">
        <is>
          <t>Bofors L/60 40 mm air-burst</t>
        </is>
      </c>
      <c r="C129" t="inlineStr">
        <is>
          <t>cal_40</t>
        </is>
      </c>
      <c r="D129" t="inlineStr">
        <is>
          <t>flak</t>
        </is>
      </c>
      <c r="E129" t="inlineStr"/>
      <c r="F129" t="inlineStr">
        <is>
          <t>autocannon</t>
        </is>
      </c>
      <c r="G129" t="n">
        <v>40</v>
      </c>
      <c r="H129" t="inlineStr"/>
      <c r="I129" t="inlineStr"/>
      <c r="J129" t="inlineStr"/>
      <c r="K129" t="inlineStr">
        <is>
          <t>Fragmentation</t>
        </is>
      </c>
      <c r="L129" t="n">
        <v>2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0.1783</v>
      </c>
      <c r="S129" t="n">
        <v>29</v>
      </c>
      <c r="T129" t="n">
        <v>1</v>
      </c>
      <c r="U129" t="n">
        <v>0</v>
      </c>
      <c r="V129" t="n">
        <v>0</v>
      </c>
      <c r="W129" t="n">
        <v>30</v>
      </c>
      <c r="X129" t="n">
        <v>3.5</v>
      </c>
      <c r="Y129" t="n">
        <v>0</v>
      </c>
      <c r="Z129" t="n">
        <v>200</v>
      </c>
      <c r="AA129" t="n">
        <v>55</v>
      </c>
      <c r="AB129" t="n">
        <v>0</v>
      </c>
      <c r="AC129" t="inlineStr">
        <is>
          <t>Air</t>
        </is>
      </c>
      <c r="AD129" t="inlineStr"/>
      <c r="AE129" t="n">
        <v>2.5</v>
      </c>
      <c r="AF129" t="inlineStr">
        <is>
          <t>Medium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40</v>
      </c>
      <c r="AO129" t="n">
        <v>0</v>
      </c>
      <c r="AP129" t="inlineStr">
        <is>
          <t>T1</t>
        </is>
      </c>
      <c r="AQ129" t="inlineStr">
        <is>
          <t>gunship_40mm</t>
        </is>
      </c>
      <c r="AR129" t="inlineStr"/>
      <c r="AS129" t="inlineStr"/>
      <c r="AT129" t="inlineStr"/>
      <c r="AU129" t="n">
        <v>0</v>
      </c>
      <c r="AV129" t="inlineStr"/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0.275</v>
      </c>
      <c r="BB129" t="n">
        <v>120</v>
      </c>
      <c r="BC129" t="n">
        <v>80</v>
      </c>
      <c r="BD129" t="inlineStr">
        <is>
          <t>aa</t>
        </is>
      </c>
      <c r="BE129" t="inlineStr">
        <is>
          <t>Wikipedia 'Bofors 40 mm L/60': 120 rpm</t>
        </is>
      </c>
      <c r="BG129" t="inlineStr">
        <is>
          <t>giong</t>
        </is>
      </c>
      <c r="DE129" t="n">
        <v>30</v>
      </c>
      <c r="DF129" t="inlineStr">
        <is>
          <t>Fragmentation</t>
        </is>
      </c>
      <c r="DM129" t="inlineStr">
        <is>
          <t>air</t>
        </is>
      </c>
      <c r="DN129" t="inlineStr">
        <is>
          <t>Airburst</t>
        </is>
      </c>
      <c r="DT129" t="inlineStr">
        <is>
          <t>gunship_40mm</t>
        </is>
      </c>
      <c r="EB129" t="n">
        <v>2</v>
      </c>
      <c r="EE129" t="b">
        <v>0</v>
      </c>
      <c r="EQ129" t="inlineStr">
        <is>
          <t>Bofors L/60 40 mm air-burst</t>
        </is>
      </c>
      <c r="ES129" t="inlineStr">
        <is>
          <t>flak</t>
        </is>
      </c>
      <c r="EU129" t="inlineStr">
        <is>
          <t>gunship_40mm</t>
        </is>
      </c>
      <c r="EY129" t="n">
        <v>3.5</v>
      </c>
      <c r="FW129" t="inlineStr">
        <is>
          <t>Air</t>
        </is>
      </c>
      <c r="GA129" t="inlineStr"/>
      <c r="GC129" t="inlineStr">
        <is>
          <t>flak</t>
        </is>
      </c>
      <c r="GD129" t="inlineStr">
        <is>
          <t>Assets/MachineBrigade/Resources/Data/balance.json: secondRounds.rounds[37]</t>
        </is>
      </c>
      <c r="GE129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30">
      <c r="A130" t="inlineStr">
        <is>
          <t>gunship_105</t>
        </is>
      </c>
      <c r="B130" t="inlineStr">
        <is>
          <t>M102 105 mm</t>
        </is>
      </c>
      <c r="C130" t="inlineStr">
        <is>
          <t>cal_100_105_he</t>
        </is>
      </c>
      <c r="D130" t="inlineStr"/>
      <c r="E130" t="inlineStr"/>
      <c r="F130" t="inlineStr">
        <is>
          <t>howitzer</t>
        </is>
      </c>
      <c r="G130" t="n">
        <v>105</v>
      </c>
      <c r="H130" t="inlineStr"/>
      <c r="I130" t="inlineStr"/>
      <c r="J130" t="inlineStr"/>
      <c r="K130" t="inlineStr">
        <is>
          <t>HighExplosive</t>
        </is>
      </c>
      <c r="L130" t="n">
        <v>2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3.919</v>
      </c>
      <c r="S130" t="n">
        <v>0</v>
      </c>
      <c r="T130" t="n">
        <v>0</v>
      </c>
      <c r="U130" t="n">
        <v>0</v>
      </c>
      <c r="V130" t="n">
        <v>0</v>
      </c>
      <c r="W130" t="n">
        <v>286</v>
      </c>
      <c r="X130" t="n">
        <v>5.5</v>
      </c>
      <c r="Y130" t="n">
        <v>0</v>
      </c>
      <c r="Z130" t="n">
        <v>120</v>
      </c>
      <c r="AA130" t="n">
        <v>58</v>
      </c>
      <c r="AB130" t="n">
        <v>0</v>
      </c>
      <c r="AC130" t="inlineStr">
        <is>
          <t>Ground</t>
        </is>
      </c>
      <c r="AD130" t="inlineStr"/>
      <c r="AE130" t="n">
        <v>3</v>
      </c>
      <c r="AF130" t="inlineStr">
        <is>
          <t>Large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105</v>
      </c>
      <c r="AO130" t="n">
        <v>0</v>
      </c>
      <c r="AP130" t="inlineStr">
        <is>
          <t>T2</t>
        </is>
      </c>
      <c r="AQ130" t="inlineStr"/>
      <c r="AR130" t="inlineStr">
        <is>
          <t>gunship_105_guided</t>
        </is>
      </c>
      <c r="AS130" t="inlineStr">
        <is>
          <t>boss_part;xe</t>
        </is>
      </c>
      <c r="AT130" t="inlineStr">
        <is>
          <t>pod_105;sky_gunship</t>
        </is>
      </c>
      <c r="AU130" t="n">
        <v>2</v>
      </c>
      <c r="AV130" t="inlineStr">
        <is>
          <t>pod_105:part;sky_gunship:0</t>
        </is>
      </c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0.4833333333333333</v>
      </c>
      <c r="BB130" t="n">
        <v>10</v>
      </c>
      <c r="BC130" t="n">
        <v>3</v>
      </c>
      <c r="BD130" t="inlineStr">
        <is>
          <t>gun</t>
        </is>
      </c>
      <c r="BE130" t="inlineStr">
        <is>
          <t>the sheet's 'Ngoài đời': M102 10 rpm (Wikipedia 'M102 howitzer')</t>
        </is>
      </c>
      <c r="BF130" t="inlineStr">
        <is>
          <t>shared with the player's AC-130: the player rule (Docs/balance/player_weapon_waitlist.md)</t>
        </is>
      </c>
      <c r="BG130" t="inlineStr">
        <is>
          <t>doi</t>
        </is>
      </c>
      <c r="BH130" t="n">
        <v>200</v>
      </c>
      <c r="BI130" t="n">
        <v>286</v>
      </c>
      <c r="BJ130" t="n">
        <v>2.743</v>
      </c>
      <c r="BK130" t="n">
        <v>3.919</v>
      </c>
      <c r="CT130" t="n">
        <v>105</v>
      </c>
      <c r="DD130" t="n">
        <v>3.919</v>
      </c>
      <c r="DE130" t="n">
        <v>286</v>
      </c>
      <c r="DF130" t="inlineStr">
        <is>
          <t>HighExplosive</t>
        </is>
      </c>
      <c r="DJ130" t="inlineStr">
        <is>
          <t>howitzer</t>
        </is>
      </c>
      <c r="DS130" t="inlineStr">
        <is>
          <t>Large</t>
        </is>
      </c>
      <c r="EB130" t="n">
        <v>2</v>
      </c>
      <c r="EK130" t="n">
        <v>120</v>
      </c>
      <c r="EP130" t="n">
        <v>58</v>
      </c>
      <c r="EQ130" t="inlineStr">
        <is>
          <t>M102 105 mm</t>
        </is>
      </c>
      <c r="EV130" t="n">
        <v>347</v>
      </c>
      <c r="EX130" t="n">
        <v>105</v>
      </c>
      <c r="EY130" t="n">
        <v>5.5</v>
      </c>
      <c r="EZ130" t="n">
        <v>3</v>
      </c>
      <c r="GB130" t="inlineStr">
        <is>
          <t>cal_100_105_he</t>
        </is>
      </c>
      <c r="GD130" t="inlineStr">
        <is>
          <t>Assets/MachineBrigade/Resources/Data/balance.json: weapons[51]</t>
        </is>
      </c>
      <c r="GE130" t="inlineStr">
        <is>
          <t>{"id":"gunship_105","weaponFamilyId":"cal_100_105_he","real":"M102 105 mm","family":"howitzer","size":105,"caliberMm":105,"pen":2,"damageType":"HighExplosive","damage":286,"cooldown":3.919,"range":58,"projectileSpeed":120,"splash":5.5,"spread":3,"impactTier":"Large","roundWeight":347}</t>
        </is>
      </c>
    </row>
    <row r="131">
      <c r="A131" t="inlineStr">
        <is>
          <t>gunship_105_guided</t>
        </is>
      </c>
      <c r="B131" t="inlineStr">
        <is>
          <t>M102 105 mm guided</t>
        </is>
      </c>
      <c r="C131" t="inlineStr">
        <is>
          <t>cal_100_105_he</t>
        </is>
      </c>
      <c r="D131" t="inlineStr"/>
      <c r="E131" t="inlineStr"/>
      <c r="F131" t="inlineStr">
        <is>
          <t>howitzer</t>
        </is>
      </c>
      <c r="G131" t="n">
        <v>105</v>
      </c>
      <c r="H131" t="inlineStr"/>
      <c r="I131" t="inlineStr"/>
      <c r="J131" t="inlineStr"/>
      <c r="K131" t="inlineStr">
        <is>
          <t>HighExplosive</t>
        </is>
      </c>
      <c r="L131" t="n">
        <v>2</v>
      </c>
      <c r="M131" t="inlineStr">
        <is>
          <t>Shell</t>
        </is>
      </c>
      <c r="N131" t="n">
        <v>1</v>
      </c>
      <c r="O131" t="inlineStr">
        <is>
          <t>RIPPLE</t>
        </is>
      </c>
      <c r="P131" t="n">
        <v>1</v>
      </c>
      <c r="Q131" t="n">
        <v>0.1</v>
      </c>
      <c r="R131" t="n">
        <v>3.919</v>
      </c>
      <c r="S131" t="n">
        <v>0</v>
      </c>
      <c r="T131" t="n">
        <v>0</v>
      </c>
      <c r="U131" t="n">
        <v>0</v>
      </c>
      <c r="V131" t="n">
        <v>0</v>
      </c>
      <c r="W131" t="n">
        <v>286</v>
      </c>
      <c r="X131" t="n">
        <v>5.5</v>
      </c>
      <c r="Y131" t="n">
        <v>0</v>
      </c>
      <c r="Z131" t="n">
        <v>120</v>
      </c>
      <c r="AA131" t="n">
        <v>58</v>
      </c>
      <c r="AB131" t="n">
        <v>0</v>
      </c>
      <c r="AC131" t="inlineStr">
        <is>
          <t>Ground</t>
        </is>
      </c>
      <c r="AD131" t="inlineStr"/>
      <c r="AE131" t="n">
        <v>0</v>
      </c>
      <c r="AF131" t="inlineStr">
        <is>
          <t>Large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1</v>
      </c>
      <c r="AN131" t="n">
        <v>105</v>
      </c>
      <c r="AO131" t="n">
        <v>0</v>
      </c>
      <c r="AP131" t="inlineStr">
        <is>
          <t>T2</t>
        </is>
      </c>
      <c r="AQ131" t="inlineStr">
        <is>
          <t>gunship_105</t>
        </is>
      </c>
      <c r="AR131" t="inlineStr"/>
      <c r="AS131" t="inlineStr"/>
      <c r="AT131" t="inlineStr"/>
      <c r="AU131" t="n">
        <v>0</v>
      </c>
      <c r="AV131" t="inlineStr"/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0.4833333333333333</v>
      </c>
      <c r="BB131" t="n">
        <v>10</v>
      </c>
      <c r="BC131" t="n">
        <v>3</v>
      </c>
      <c r="BD131" t="inlineStr">
        <is>
          <t>gun</t>
        </is>
      </c>
      <c r="BE131" t="inlineStr">
        <is>
          <t>the sheet's 'Ngoài đời': M102 10 rpm (Wikipedia 'M102 howitzer')</t>
        </is>
      </c>
      <c r="BG131" t="inlineStr">
        <is>
          <t>doi</t>
        </is>
      </c>
      <c r="BH131" t="n">
        <v>200</v>
      </c>
      <c r="BI131" t="n">
        <v>286</v>
      </c>
      <c r="BJ131" t="n">
        <v>2.743</v>
      </c>
      <c r="BK131" t="n">
        <v>3.919</v>
      </c>
      <c r="CR131" t="n">
        <v>1</v>
      </c>
      <c r="DE131" t="n">
        <v>286</v>
      </c>
      <c r="DF131" t="inlineStr">
        <is>
          <t>HighExplosive</t>
        </is>
      </c>
      <c r="DH131" t="b">
        <v>1</v>
      </c>
      <c r="DM131" t="inlineStr">
        <is>
          <t>armour</t>
        </is>
      </c>
      <c r="DN131" t="inlineStr">
        <is>
          <t>HeShell</t>
        </is>
      </c>
      <c r="DP131" t="b">
        <v>1</v>
      </c>
      <c r="DT131" t="inlineStr">
        <is>
          <t>gunship_105</t>
        </is>
      </c>
      <c r="EB131" t="n">
        <v>2</v>
      </c>
      <c r="EQ131" t="inlineStr">
        <is>
          <t>M102 105 mm guided</t>
        </is>
      </c>
      <c r="ES131" t="inlineStr">
        <is>
          <t>guided</t>
        </is>
      </c>
      <c r="EU131" t="inlineStr">
        <is>
          <t>gunship_105</t>
        </is>
      </c>
      <c r="EZ131" t="n">
        <v>0</v>
      </c>
      <c r="FW131" t="inlineStr">
        <is>
          <t>Ground</t>
        </is>
      </c>
      <c r="GA131" t="inlineStr"/>
      <c r="GD131" t="inlineStr">
        <is>
          <t>Assets/MachineBrigade/Resources/Data/balance.json: secondRounds.rounds[34]</t>
        </is>
      </c>
      <c r="GE131" t="inlineStr">
        <is>
          <t>{"id":"gunship_105_guided","roundOf":"gunship_105","inherits":"gunship_105","weaponFamily":"","round":"guided","for":["armour"],"elite":true,"real":"M102 105 mm guided","damageType":"HighExplosive","pen":2,"damage":286,"spread":0,"burst":1,"guided":true,"form":"HeShell","targets":"Ground"}</t>
        </is>
      </c>
    </row>
    <row r="132">
      <c r="A132" t="inlineStr">
        <is>
          <t>gunship_rockets</t>
        </is>
      </c>
      <c r="B132" t="inlineStr">
        <is>
          <t>S-8 80 mm</t>
        </is>
      </c>
      <c r="C132" t="inlineStr">
        <is>
          <t>rkt_70_80</t>
        </is>
      </c>
      <c r="D132" t="inlineStr"/>
      <c r="E132" t="inlineStr">
        <is>
          <t>s_8_80_mm</t>
        </is>
      </c>
      <c r="F132" t="inlineStr">
        <is>
          <t>rocket</t>
        </is>
      </c>
      <c r="G132" t="n">
        <v>80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Rocket</t>
        </is>
      </c>
      <c r="N132" t="n">
        <v>1</v>
      </c>
      <c r="O132" t="inlineStr">
        <is>
          <t>RIPPLE</t>
        </is>
      </c>
      <c r="P132" t="n">
        <v>16</v>
      </c>
      <c r="Q132" t="n">
        <v>0.1</v>
      </c>
      <c r="R132" t="n">
        <v>8.271000000000001</v>
      </c>
      <c r="S132" t="n">
        <v>0</v>
      </c>
      <c r="T132" t="n">
        <v>0</v>
      </c>
      <c r="U132" t="n">
        <v>0</v>
      </c>
      <c r="V132" t="n">
        <v>0</v>
      </c>
      <c r="W132" t="n">
        <v>32</v>
      </c>
      <c r="X132" t="n">
        <v>3</v>
      </c>
      <c r="Y132" t="n">
        <v>0</v>
      </c>
      <c r="Z132" t="n">
        <v>95</v>
      </c>
      <c r="AA132" t="n">
        <v>34</v>
      </c>
      <c r="AB132" t="n">
        <v>0</v>
      </c>
      <c r="AC132" t="inlineStr">
        <is>
          <t>Ground</t>
        </is>
      </c>
      <c r="AD132" t="inlineStr"/>
      <c r="AE132" t="n">
        <v>3.5</v>
      </c>
      <c r="AF132" t="inlineStr">
        <is>
          <t>Medium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80</v>
      </c>
      <c r="AO132" t="n">
        <v>32</v>
      </c>
      <c r="AP132" t="inlineStr">
        <is>
          <t>T2</t>
        </is>
      </c>
      <c r="AQ132" t="inlineStr"/>
      <c r="AR132" t="inlineStr"/>
      <c r="AS132" t="inlineStr">
        <is>
          <t>boss</t>
        </is>
      </c>
      <c r="AT132" t="inlineStr">
        <is>
          <t>mega_gunship</t>
        </is>
      </c>
      <c r="AU132" t="n">
        <v>1</v>
      </c>
      <c r="AV132" t="inlineStr">
        <is>
          <t>mega_gunship:0;mega_gunship:4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0.3578947368421053</v>
      </c>
      <c r="BB132" t="n">
        <v>900</v>
      </c>
      <c r="BC132" t="inlineStr"/>
      <c r="BD132" t="inlineStr">
        <is>
          <t>rocket</t>
        </is>
      </c>
      <c r="BE132" t="inlineStr">
        <is>
          <t>rocket pods: ripples of 0.05-0.12 s (DECISIONS 19R)</t>
        </is>
      </c>
      <c r="BG132" t="inlineStr">
        <is>
          <t>doi</t>
        </is>
      </c>
      <c r="BR132" t="n">
        <v>40</v>
      </c>
      <c r="BS132" t="n">
        <v>95</v>
      </c>
      <c r="CR132" t="n">
        <v>16</v>
      </c>
      <c r="CS132" t="n">
        <v>0.1</v>
      </c>
      <c r="CT132" t="n">
        <v>80</v>
      </c>
      <c r="DD132" t="n">
        <v>8.271000000000001</v>
      </c>
      <c r="DE132" t="n">
        <v>32</v>
      </c>
      <c r="DF132" t="inlineStr">
        <is>
          <t>HighExplosive</t>
        </is>
      </c>
      <c r="DJ132" t="inlineStr">
        <is>
          <t>rocket</t>
        </is>
      </c>
      <c r="DO132" t="n">
        <v>9</v>
      </c>
      <c r="DS132" t="inlineStr">
        <is>
          <t>Medium</t>
        </is>
      </c>
      <c r="DW132" t="n">
        <v>32</v>
      </c>
      <c r="EB132" t="n">
        <v>2</v>
      </c>
      <c r="EH132" t="inlineStr">
        <is>
          <t>Rocket</t>
        </is>
      </c>
      <c r="EJ132" t="n">
        <v>0.9</v>
      </c>
      <c r="EP132" t="n">
        <v>34</v>
      </c>
      <c r="EQ132" t="inlineStr">
        <is>
          <t>S-8 80 mm</t>
        </is>
      </c>
      <c r="EX132" t="n">
        <v>80</v>
      </c>
      <c r="EZ132" t="n">
        <v>3.5</v>
      </c>
      <c r="GA132" t="inlineStr">
        <is>
          <t>s_8_80_mm</t>
        </is>
      </c>
      <c r="GB132" t="inlineStr">
        <is>
          <t>rkt_70_80</t>
        </is>
      </c>
      <c r="GD132" t="inlineStr">
        <is>
          <t>Assets/MachineBrigade/Resources/Data/balance.json: weapons[35]</t>
        </is>
      </c>
      <c r="GE132" t="inlineStr">
        <is>
          <t>{"id":"gunship_rockets","groundMinReach":9,"weaponFamilyId":"rkt_70_80","weaponFamily":"s_8_80_mm","load":32,"real":"S-8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33">
      <c r="A133" t="inlineStr">
        <is>
          <t>hel_beam</t>
        </is>
      </c>
      <c r="B133" t="inlineStr">
        <is>
          <t>Iron Beam laser (100 kW)</t>
        </is>
      </c>
      <c r="C133" t="inlineStr">
        <is>
          <t>laser_iron_beam_laser</t>
        </is>
      </c>
      <c r="D133" t="inlineStr"/>
      <c r="E133" t="inlineStr"/>
      <c r="F133" t="inlineStr">
        <is>
          <t>laser</t>
        </is>
      </c>
      <c r="G133" t="inlineStr"/>
      <c r="H133" t="inlineStr"/>
      <c r="I133" t="n">
        <v>100</v>
      </c>
      <c r="J133" t="inlineStr"/>
      <c r="K133" t="inlineStr">
        <is>
          <t>Energy</t>
        </is>
      </c>
      <c r="L133" t="n">
        <v>2</v>
      </c>
      <c r="M133" t="inlineStr">
        <is>
          <t>Bullet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0.0525</v>
      </c>
      <c r="S133" t="n">
        <v>0</v>
      </c>
      <c r="T133" t="n">
        <v>0</v>
      </c>
      <c r="U133" t="n">
        <v>0</v>
      </c>
      <c r="V133" t="n">
        <v>0</v>
      </c>
      <c r="W133" t="n">
        <v>10</v>
      </c>
      <c r="X133" t="n">
        <v>0</v>
      </c>
      <c r="Y133" t="n">
        <v>0</v>
      </c>
      <c r="Z133" t="n">
        <v>3000</v>
      </c>
      <c r="AA133" t="n">
        <v>45</v>
      </c>
      <c r="AB133" t="n">
        <v>0</v>
      </c>
      <c r="AC133" t="inlineStr">
        <is>
          <t>Air</t>
        </is>
      </c>
      <c r="AD133" t="inlineStr"/>
      <c r="AE133" t="n">
        <v>0</v>
      </c>
      <c r="AF133" t="inlineStr">
        <is>
          <t>Small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1</v>
      </c>
      <c r="AM133" t="b">
        <v>0</v>
      </c>
      <c r="AN133" t="n">
        <v>100</v>
      </c>
      <c r="AO133" t="n">
        <v>0</v>
      </c>
      <c r="AP133" t="inlineStr">
        <is>
          <t>T1</t>
        </is>
      </c>
      <c r="AQ133" t="inlineStr"/>
      <c r="AR133" t="inlineStr"/>
      <c r="AS133" t="inlineStr">
        <is>
          <t>xe</t>
        </is>
      </c>
      <c r="AT133" t="inlineStr">
        <is>
          <t>iron_beam</t>
        </is>
      </c>
      <c r="AU133" t="n">
        <v>1</v>
      </c>
      <c r="AV133" t="inlineStr">
        <is>
          <t>iron_beam:0</t>
        </is>
      </c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0.015</v>
      </c>
      <c r="BB133" t="inlineStr">
        <is>
          <t>NEED_SOURCE</t>
        </is>
      </c>
      <c r="BC133" t="inlineStr">
        <is>
          <t>NEED_SOURCE</t>
        </is>
      </c>
      <c r="BE133" t="inlineStr">
        <is>
          <t>NEED_SOURCE</t>
        </is>
      </c>
      <c r="BG133" t="inlineStr">
        <is>
          <t>giong</t>
        </is>
      </c>
      <c r="CP133" t="b">
        <v>1</v>
      </c>
      <c r="DD133" t="n">
        <v>0.0525</v>
      </c>
      <c r="DE133" t="n">
        <v>10</v>
      </c>
      <c r="DF133" t="inlineStr">
        <is>
          <t>Energy</t>
        </is>
      </c>
      <c r="DJ133" t="inlineStr">
        <is>
          <t>laser</t>
        </is>
      </c>
      <c r="DS133" t="inlineStr">
        <is>
          <t>Small</t>
        </is>
      </c>
      <c r="EB133" t="n">
        <v>2</v>
      </c>
      <c r="EF133" t="n">
        <v>100</v>
      </c>
      <c r="EH133" t="inlineStr">
        <is>
          <t>Bullet</t>
        </is>
      </c>
      <c r="EK133" t="n">
        <v>3000</v>
      </c>
      <c r="EP133" t="n">
        <v>45</v>
      </c>
      <c r="EQ133" t="inlineStr">
        <is>
          <t>Iron Beam laser (100 kW)</t>
        </is>
      </c>
      <c r="EX133" t="n">
        <v>100</v>
      </c>
      <c r="FW133" t="inlineStr">
        <is>
          <t>Air</t>
        </is>
      </c>
      <c r="GB133" t="inlineStr">
        <is>
          <t>laser_iron_beam_laser</t>
        </is>
      </c>
      <c r="GD133" t="inlineStr">
        <is>
          <t>Assets/MachineBrigade/Resources/Data/balance.json: weapons[76]</t>
        </is>
      </c>
      <c r="GE133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34">
      <c r="A134" t="inlineStr">
        <is>
          <t>heli_gun</t>
        </is>
      </c>
      <c r="B134" t="inlineStr">
        <is>
          <t>M230 30 mm</t>
        </is>
      </c>
      <c r="C134" t="inlineStr">
        <is>
          <t>cal_30</t>
        </is>
      </c>
      <c r="D134" t="inlineStr"/>
      <c r="E134" t="inlineStr">
        <is>
          <t>m230_30_mm</t>
        </is>
      </c>
      <c r="F134" t="inlineStr">
        <is>
          <t>autocannon</t>
        </is>
      </c>
      <c r="G134" t="n">
        <v>30</v>
      </c>
      <c r="H134" t="inlineStr"/>
      <c r="I134" t="inlineStr"/>
      <c r="J134" t="inlineStr"/>
      <c r="K134" t="inlineStr">
        <is>
          <t>Kinetic</t>
        </is>
      </c>
      <c r="L134" t="n">
        <v>2</v>
      </c>
      <c r="M134" t="inlineStr">
        <is>
          <t>Bullet</t>
        </is>
      </c>
      <c r="N134" t="n">
        <v>1</v>
      </c>
      <c r="O134" t="inlineStr">
        <is>
          <t>RIPPLE</t>
        </is>
      </c>
      <c r="P134" t="n">
        <v>1</v>
      </c>
      <c r="Q134" t="n">
        <v>0.1</v>
      </c>
      <c r="R134" t="n">
        <v>0.1667</v>
      </c>
      <c r="S134" t="n">
        <v>40</v>
      </c>
      <c r="T134" t="n">
        <v>3.1667</v>
      </c>
      <c r="U134" t="n">
        <v>0</v>
      </c>
      <c r="V134" t="n">
        <v>0</v>
      </c>
      <c r="W134" t="n">
        <v>22</v>
      </c>
      <c r="X134" t="n">
        <v>0</v>
      </c>
      <c r="Y134" t="n">
        <v>0</v>
      </c>
      <c r="Z134" t="n">
        <v>220</v>
      </c>
      <c r="AA134" t="n">
        <v>26</v>
      </c>
      <c r="AB134" t="n">
        <v>0</v>
      </c>
      <c r="AC134" t="inlineStr">
        <is>
          <t>All</t>
        </is>
      </c>
      <c r="AD134" t="inlineStr"/>
      <c r="AE134" t="n">
        <v>1.3</v>
      </c>
      <c r="AF134" t="inlineStr">
        <is>
          <t>Small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30</v>
      </c>
      <c r="AO134" t="n">
        <v>0</v>
      </c>
      <c r="AP134" t="inlineStr">
        <is>
          <t>T1</t>
        </is>
      </c>
      <c r="AQ134" t="inlineStr"/>
      <c r="AR134" t="inlineStr">
        <is>
          <t>heli_gun_flak</t>
        </is>
      </c>
      <c r="AS134" t="inlineStr">
        <is>
          <t>xe</t>
        </is>
      </c>
      <c r="AT134" t="inlineStr">
        <is>
          <t>attack_helicopter;elite_attack_helicopter;twin_rotor_gunship</t>
        </is>
      </c>
      <c r="AU134" t="n">
        <v>3</v>
      </c>
      <c r="AV134" t="inlineStr">
        <is>
          <t>attack_helicopter:1;elite_attack_helicopter:1;twin_rotor_gunship:0</t>
        </is>
      </c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0.1181818181818182</v>
      </c>
      <c r="BB134" t="n">
        <v>625</v>
      </c>
      <c r="BC134" t="n">
        <v>300</v>
      </c>
      <c r="BD134" t="inlineStr">
        <is>
          <t>ac</t>
        </is>
      </c>
      <c r="BE134" t="inlineStr">
        <is>
          <t>Wikipedia 'M230 chain gun': 625 rpm</t>
        </is>
      </c>
      <c r="BG134" t="inlineStr">
        <is>
          <t>giong</t>
        </is>
      </c>
      <c r="CT134" t="n">
        <v>30</v>
      </c>
      <c r="CW134" t="n">
        <v>40</v>
      </c>
      <c r="CX134" t="n">
        <v>3.1667</v>
      </c>
      <c r="DD134" t="n">
        <v>0.1667</v>
      </c>
      <c r="DE134" t="n">
        <v>22</v>
      </c>
      <c r="DF134" t="inlineStr">
        <is>
          <t>Kinetic</t>
        </is>
      </c>
      <c r="DJ134" t="inlineStr">
        <is>
          <t>autocannon</t>
        </is>
      </c>
      <c r="DS134" t="inlineStr">
        <is>
          <t>Small</t>
        </is>
      </c>
      <c r="EB134" t="n">
        <v>2</v>
      </c>
      <c r="EH134" t="inlineStr">
        <is>
          <t>Bullet</t>
        </is>
      </c>
      <c r="EP134" t="n">
        <v>26</v>
      </c>
      <c r="EQ134" t="inlineStr">
        <is>
          <t>M230 30 mm</t>
        </is>
      </c>
      <c r="EX134" t="n">
        <v>30</v>
      </c>
      <c r="EZ134" t="n">
        <v>1.3</v>
      </c>
      <c r="FW134" t="inlineStr">
        <is>
          <t>All</t>
        </is>
      </c>
      <c r="GA134" t="inlineStr">
        <is>
          <t>m230_30_mm</t>
        </is>
      </c>
      <c r="GB134" t="inlineStr">
        <is>
          <t>cal_30</t>
        </is>
      </c>
      <c r="GD134" t="inlineStr">
        <is>
          <t>Assets/MachineBrigade/Resources/Data/balance.json: weapons[23]</t>
        </is>
      </c>
      <c r="GE134" t="inlineStr">
        <is>
          <t>{"id":"heli_gun","weaponFamilyId":"cal_30","weaponFamily":"m230_30_mm","real":"M230 30 mm","family":"autocannon","size":30,"caliberMm":30,"pen":2,"damageType":"Kinetic","damage":22,"cooldown":0.1667,"range":26,"spread":1.3,"impactTier":"Small","projectile":"Bullet","targets":"All","clip":40,"clipReload":3.1667}</t>
        </is>
      </c>
    </row>
    <row r="135">
      <c r="A135" t="inlineStr">
        <is>
          <t>heli_gun_flak</t>
        </is>
      </c>
      <c r="B135" t="inlineStr">
        <is>
          <t>M230 30 mm air-burst</t>
        </is>
      </c>
      <c r="C135" t="inlineStr">
        <is>
          <t>cal_30</t>
        </is>
      </c>
      <c r="D135" t="inlineStr">
        <is>
          <t>flak</t>
        </is>
      </c>
      <c r="E135" t="inlineStr">
        <is>
          <t>m230_30_mm_air_burst</t>
        </is>
      </c>
      <c r="F135" t="inlineStr">
        <is>
          <t>autocannon</t>
        </is>
      </c>
      <c r="G135" t="n">
        <v>30</v>
      </c>
      <c r="H135" t="inlineStr"/>
      <c r="I135" t="inlineStr"/>
      <c r="J135" t="inlineStr"/>
      <c r="K135" t="inlineStr">
        <is>
          <t>Fragmentation</t>
        </is>
      </c>
      <c r="L135" t="n">
        <v>2</v>
      </c>
      <c r="M135" t="inlineStr">
        <is>
          <t>Bullet</t>
        </is>
      </c>
      <c r="N135" t="n">
        <v>1</v>
      </c>
      <c r="O135" t="inlineStr">
        <is>
          <t>RIPPLE</t>
        </is>
      </c>
      <c r="P135" t="n">
        <v>1</v>
      </c>
      <c r="Q135" t="n">
        <v>0.1</v>
      </c>
      <c r="R135" t="n">
        <v>0.1667</v>
      </c>
      <c r="S135" t="n">
        <v>40</v>
      </c>
      <c r="T135" t="n">
        <v>3.1667</v>
      </c>
      <c r="U135" t="n">
        <v>0</v>
      </c>
      <c r="V135" t="n">
        <v>0</v>
      </c>
      <c r="W135" t="n">
        <v>22</v>
      </c>
      <c r="X135" t="n">
        <v>2.5</v>
      </c>
      <c r="Y135" t="n">
        <v>0</v>
      </c>
      <c r="Z135" t="n">
        <v>220</v>
      </c>
      <c r="AA135" t="n">
        <v>26</v>
      </c>
      <c r="AB135" t="n">
        <v>0</v>
      </c>
      <c r="AC135" t="inlineStr">
        <is>
          <t>Air</t>
        </is>
      </c>
      <c r="AD135" t="inlineStr"/>
      <c r="AE135" t="n">
        <v>1.3</v>
      </c>
      <c r="AF135" t="inlineStr">
        <is>
          <t>Small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30</v>
      </c>
      <c r="AO135" t="n">
        <v>0</v>
      </c>
      <c r="AP135" t="inlineStr">
        <is>
          <t>T1</t>
        </is>
      </c>
      <c r="AQ135" t="inlineStr">
        <is>
          <t>heli_gun</t>
        </is>
      </c>
      <c r="AR135" t="inlineStr"/>
      <c r="AS135" t="inlineStr"/>
      <c r="AT135" t="inlineStr"/>
      <c r="AU135" t="n">
        <v>0</v>
      </c>
      <c r="AV135" t="inlineStr"/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0.1181818181818182</v>
      </c>
      <c r="BB135" t="n">
        <v>625</v>
      </c>
      <c r="BC135" t="n">
        <v>300</v>
      </c>
      <c r="BD135" t="inlineStr">
        <is>
          <t>ac</t>
        </is>
      </c>
      <c r="BE135" t="inlineStr">
        <is>
          <t>Wikipedia 'M230 chain gun': 625 rpm</t>
        </is>
      </c>
      <c r="BG135" t="inlineStr">
        <is>
          <t>giong</t>
        </is>
      </c>
      <c r="DE135" t="n">
        <v>22</v>
      </c>
      <c r="DF135" t="inlineStr">
        <is>
          <t>Fragmentation</t>
        </is>
      </c>
      <c r="DM135" t="inlineStr">
        <is>
          <t>air</t>
        </is>
      </c>
      <c r="DN135" t="inlineStr">
        <is>
          <t>Airburst</t>
        </is>
      </c>
      <c r="DT135" t="inlineStr">
        <is>
          <t>heli_gun</t>
        </is>
      </c>
      <c r="EB135" t="n">
        <v>2</v>
      </c>
      <c r="EE135" t="b">
        <v>0</v>
      </c>
      <c r="EQ135" t="inlineStr">
        <is>
          <t>M230 30 mm air-burst</t>
        </is>
      </c>
      <c r="ES135" t="inlineStr">
        <is>
          <t>flak</t>
        </is>
      </c>
      <c r="EU135" t="inlineStr">
        <is>
          <t>heli_gun</t>
        </is>
      </c>
      <c r="EY135" t="n">
        <v>2.5</v>
      </c>
      <c r="FW135" t="inlineStr">
        <is>
          <t>Air</t>
        </is>
      </c>
      <c r="GA135" t="inlineStr">
        <is>
          <t>m230_30_mm_air_burst</t>
        </is>
      </c>
      <c r="GC135" t="inlineStr">
        <is>
          <t>flak</t>
        </is>
      </c>
      <c r="GD135" t="inlineStr">
        <is>
          <t>Assets/MachineBrigade/Resources/Data/balance.json: secondRounds.rounds[38]</t>
        </is>
      </c>
      <c r="GE135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36">
      <c r="A136" t="inlineStr">
        <is>
          <t>heli_rockets</t>
        </is>
      </c>
      <c r="B136" t="inlineStr">
        <is>
          <t>Hydra 70 mm</t>
        </is>
      </c>
      <c r="C136" t="inlineStr">
        <is>
          <t>rkt_70_80</t>
        </is>
      </c>
      <c r="D136" t="inlineStr"/>
      <c r="E136" t="inlineStr">
        <is>
          <t>hydra_70_mm</t>
        </is>
      </c>
      <c r="F136" t="inlineStr">
        <is>
          <t>rocket</t>
        </is>
      </c>
      <c r="G136" t="n">
        <v>70</v>
      </c>
      <c r="H136" t="inlineStr"/>
      <c r="I136" t="inlineStr"/>
      <c r="J136" t="inlineStr"/>
      <c r="K136" t="inlineStr">
        <is>
          <t>HighExplosive</t>
        </is>
      </c>
      <c r="L136" t="n">
        <v>2</v>
      </c>
      <c r="M136" t="inlineStr">
        <is>
          <t>Rocket</t>
        </is>
      </c>
      <c r="N136" t="n">
        <v>1</v>
      </c>
      <c r="O136" t="inlineStr">
        <is>
          <t>RIPPLE</t>
        </is>
      </c>
      <c r="P136" t="n">
        <v>11</v>
      </c>
      <c r="Q136" t="n">
        <v>0.12</v>
      </c>
      <c r="R136" t="n">
        <v>7.31</v>
      </c>
      <c r="S136" t="n">
        <v>0</v>
      </c>
      <c r="T136" t="n">
        <v>0</v>
      </c>
      <c r="U136" t="n">
        <v>0</v>
      </c>
      <c r="V136" t="n">
        <v>0</v>
      </c>
      <c r="W136" t="n">
        <v>30</v>
      </c>
      <c r="X136" t="n">
        <v>3</v>
      </c>
      <c r="Y136" t="n">
        <v>0</v>
      </c>
      <c r="Z136" t="n">
        <v>95</v>
      </c>
      <c r="AA136" t="n">
        <v>30</v>
      </c>
      <c r="AB136" t="n">
        <v>0</v>
      </c>
      <c r="AC136" t="inlineStr">
        <is>
          <t>Ground</t>
        </is>
      </c>
      <c r="AD136" t="inlineStr"/>
      <c r="AE136" t="n">
        <v>3</v>
      </c>
      <c r="AF136" t="inlineStr">
        <is>
          <t>Medium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70</v>
      </c>
      <c r="AO136" t="n">
        <v>22</v>
      </c>
      <c r="AP136" t="inlineStr">
        <is>
          <t>T2</t>
        </is>
      </c>
      <c r="AQ136" t="inlineStr"/>
      <c r="AR136" t="inlineStr"/>
      <c r="AS136" t="inlineStr">
        <is>
          <t>xe</t>
        </is>
      </c>
      <c r="AT136" t="inlineStr">
        <is>
          <t>attack_helicopter;elite_attack_helicopter</t>
        </is>
      </c>
      <c r="AU136" t="n">
        <v>2</v>
      </c>
      <c r="AV136" t="inlineStr">
        <is>
          <t>attack_helicopter:2;elite_attack_helicopter:2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0.3157894736842105</v>
      </c>
      <c r="BB136" t="n">
        <v>900</v>
      </c>
      <c r="BC136" t="inlineStr"/>
      <c r="BD136" t="inlineStr">
        <is>
          <t>rocket</t>
        </is>
      </c>
      <c r="BE136" t="inlineStr">
        <is>
          <t>rocket pods: ripples of 0.05-0.12 s (DECISIONS 19R)</t>
        </is>
      </c>
      <c r="BG136" t="inlineStr">
        <is>
          <t>doi</t>
        </is>
      </c>
      <c r="BR136" t="n">
        <v>40</v>
      </c>
      <c r="BS136" t="n">
        <v>95</v>
      </c>
      <c r="CR136" t="n">
        <v>11</v>
      </c>
      <c r="CS136" t="n">
        <v>0.12</v>
      </c>
      <c r="CT136" t="n">
        <v>70</v>
      </c>
      <c r="DD136" t="n">
        <v>7.31</v>
      </c>
      <c r="DE136" t="n">
        <v>30</v>
      </c>
      <c r="DF136" t="inlineStr">
        <is>
          <t>HighExplosive</t>
        </is>
      </c>
      <c r="DJ136" t="inlineStr">
        <is>
          <t>rocket</t>
        </is>
      </c>
      <c r="DS136" t="inlineStr">
        <is>
          <t>Medium</t>
        </is>
      </c>
      <c r="DW136" t="n">
        <v>22</v>
      </c>
      <c r="EB136" t="n">
        <v>2</v>
      </c>
      <c r="EH136" t="inlineStr">
        <is>
          <t>Rocket</t>
        </is>
      </c>
      <c r="EP136" t="n">
        <v>30</v>
      </c>
      <c r="EQ136" t="inlineStr">
        <is>
          <t>Hydra 70 mm</t>
        </is>
      </c>
      <c r="EX136" t="n">
        <v>70</v>
      </c>
      <c r="EZ136" t="n">
        <v>3</v>
      </c>
      <c r="GA136" t="inlineStr">
        <is>
          <t>hydra_70_mm</t>
        </is>
      </c>
      <c r="GB136" t="inlineStr">
        <is>
          <t>rkt_70_80</t>
        </is>
      </c>
      <c r="GD136" t="inlineStr">
        <is>
          <t>Assets/MachineBrigade/Resources/Data/balance.json: weapons[24]</t>
        </is>
      </c>
      <c r="GE136" t="inlineStr">
        <is>
          <t>{"id":"heli_rockets","weaponFamilyId":"rkt_70_80","weaponFamily":"hydra_70_mm","load":22,"real":"Hydra 70 mm","family":"rocket","size":70,"caliberMm":70,"pen":2,"damageType":"HighExplosive","damage":30,"cooldown":7.31,"range":30,"spread":3,"impactTier":"Medium","projectile":"Rocket","burst":11,"burstInterval":0.12}</t>
        </is>
      </c>
    </row>
    <row r="137">
      <c r="A137" t="inlineStr">
        <is>
          <t>hellfire_standoff</t>
        </is>
      </c>
      <c r="B137" t="inlineStr">
        <is>
          <t>AGM-114L Hellfire Longbow</t>
        </is>
      </c>
      <c r="C137" t="inlineStr">
        <is>
          <t>atgm_agm_114l_hellfire_longbow</t>
        </is>
      </c>
      <c r="D137" t="inlineStr"/>
      <c r="E137" t="inlineStr">
        <is>
          <t>agm_114_hellfire</t>
        </is>
      </c>
      <c r="F137" t="inlineStr">
        <is>
          <t>atgm</t>
        </is>
      </c>
      <c r="G137" t="inlineStr"/>
      <c r="H137" t="n">
        <v>9</v>
      </c>
      <c r="I137" t="inlineStr"/>
      <c r="J137" t="inlineStr"/>
      <c r="K137" t="inlineStr">
        <is>
          <t>ShapedCharge</t>
        </is>
      </c>
      <c r="L137" t="n">
        <v>4</v>
      </c>
      <c r="M137" t="inlineStr">
        <is>
          <t>Missile</t>
        </is>
      </c>
      <c r="N137" t="n">
        <v>1</v>
      </c>
      <c r="O137" t="inlineStr">
        <is>
          <t>RIPPLE</t>
        </is>
      </c>
      <c r="P137" t="n">
        <v>2</v>
      </c>
      <c r="Q137" t="n">
        <v>0.45</v>
      </c>
      <c r="R137" t="n">
        <v>7.55</v>
      </c>
      <c r="S137" t="n">
        <v>0</v>
      </c>
      <c r="T137" t="n">
        <v>0</v>
      </c>
      <c r="U137" t="n">
        <v>0</v>
      </c>
      <c r="V137" t="n">
        <v>0</v>
      </c>
      <c r="W137" t="n">
        <v>260</v>
      </c>
      <c r="X137" t="n">
        <v>0</v>
      </c>
      <c r="Y137" t="n">
        <v>0</v>
      </c>
      <c r="Z137" t="n">
        <v>80</v>
      </c>
      <c r="AA137" t="n">
        <v>55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Medium</t>
        </is>
      </c>
      <c r="AG137" t="b">
        <v>1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49</v>
      </c>
      <c r="AO137" t="n">
        <v>8</v>
      </c>
      <c r="AP137" t="inlineStr">
        <is>
          <t>T2</t>
        </is>
      </c>
      <c r="AQ137" t="inlineStr"/>
      <c r="AR137" t="inlineStr"/>
      <c r="AS137" t="inlineStr">
        <is>
          <t>xe</t>
        </is>
      </c>
      <c r="AT137" t="inlineStr">
        <is>
          <t>attack_helicopter</t>
        </is>
      </c>
      <c r="AU137" t="n">
        <v>1</v>
      </c>
      <c r="AV137" t="inlineStr">
        <is>
          <t>attack_helicopter:0</t>
        </is>
      </c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0.6875</v>
      </c>
      <c r="BB137" t="n">
        <v>60</v>
      </c>
      <c r="BC137" t="n">
        <v>10</v>
      </c>
      <c r="BD137" t="inlineStr">
        <is>
          <t>atgm</t>
        </is>
      </c>
      <c r="BE137" t="inlineStr">
        <is>
          <t>air-launched: ripples ~1 s apart, est. 6 s an aimed shot</t>
        </is>
      </c>
      <c r="BG137" t="inlineStr">
        <is>
          <t>doi</t>
        </is>
      </c>
      <c r="BR137" t="n">
        <v>26</v>
      </c>
      <c r="BS137" t="n">
        <v>80</v>
      </c>
      <c r="CR137" t="n">
        <v>2</v>
      </c>
      <c r="CS137" t="n">
        <v>0.45</v>
      </c>
      <c r="DD137" t="n">
        <v>7.55</v>
      </c>
      <c r="DE137" t="n">
        <v>260</v>
      </c>
      <c r="DF137" t="inlineStr">
        <is>
          <t>ShapedCharge</t>
        </is>
      </c>
      <c r="DJ137" t="inlineStr">
        <is>
          <t>atgm</t>
        </is>
      </c>
      <c r="DS137" t="inlineStr">
        <is>
          <t>Medium</t>
        </is>
      </c>
      <c r="DW137" t="n">
        <v>8</v>
      </c>
      <c r="EB137" t="n">
        <v>4</v>
      </c>
      <c r="EE137" t="b">
        <v>1</v>
      </c>
      <c r="EH137" t="inlineStr">
        <is>
          <t>Missile</t>
        </is>
      </c>
      <c r="EJ137" t="n">
        <v>0.65</v>
      </c>
      <c r="EP137" t="n">
        <v>55</v>
      </c>
      <c r="EQ137" t="inlineStr">
        <is>
          <t>AGM-114L Hellfire Longbow</t>
        </is>
      </c>
      <c r="EX137" t="n">
        <v>49</v>
      </c>
      <c r="FW137" t="inlineStr">
        <is>
          <t>Ground</t>
        </is>
      </c>
      <c r="FY137" t="b">
        <v>1</v>
      </c>
      <c r="FZ137" t="n">
        <v>9</v>
      </c>
      <c r="GA137" t="inlineStr">
        <is>
          <t>agm_114_hellfire</t>
        </is>
      </c>
      <c r="GB137" t="inlineStr">
        <is>
          <t>atgm_agm_114l_hellfire_longbow</t>
        </is>
      </c>
      <c r="GD137" t="inlineStr">
        <is>
          <t>Assets/MachineBrigade/Resources/Data/balance.json: weapons[266]</t>
        </is>
      </c>
      <c r="GE137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Longbow","family":"atgm","size":49,"warheadKg":9,"pen":4,"piercing":true,"projectileScale":0.65,"damageType":"ShapedCharge","damage":260,"cooldown":7.55,"range":55,"impactTier":"Medium","projectile":"Missile","topAttack":true,"targets":"Ground","burst":2,"burstInterval":0.45}</t>
        </is>
      </c>
    </row>
    <row r="138">
      <c r="A138" t="inlineStr">
        <is>
          <t>hellfire_volley</t>
        </is>
      </c>
      <c r="B138" t="inlineStr">
        <is>
          <t>AGM-114L Hellfire Longbow</t>
        </is>
      </c>
      <c r="C138" t="inlineStr">
        <is>
          <t>atgm_agm_114l_hellfire_longbow</t>
        </is>
      </c>
      <c r="D138" t="inlineStr"/>
      <c r="E138" t="inlineStr">
        <is>
          <t>agm_114_hellfire</t>
        </is>
      </c>
      <c r="F138" t="inlineStr">
        <is>
          <t>atgm</t>
        </is>
      </c>
      <c r="G138" t="inlineStr"/>
      <c r="H138" t="n">
        <v>9</v>
      </c>
      <c r="I138" t="inlineStr"/>
      <c r="J138" t="inlineStr"/>
      <c r="K138" t="inlineStr">
        <is>
          <t>ShapedCharge</t>
        </is>
      </c>
      <c r="L138" t="n">
        <v>4</v>
      </c>
      <c r="M138" t="inlineStr">
        <is>
          <t>Missile</t>
        </is>
      </c>
      <c r="N138" t="n">
        <v>1</v>
      </c>
      <c r="O138" t="inlineStr">
        <is>
          <t>RIPPLE</t>
        </is>
      </c>
      <c r="P138" t="n">
        <v>2</v>
      </c>
      <c r="Q138" t="n">
        <v>0.45</v>
      </c>
      <c r="R138" t="n">
        <v>10.64</v>
      </c>
      <c r="S138" t="n">
        <v>0</v>
      </c>
      <c r="T138" t="n">
        <v>0</v>
      </c>
      <c r="U138" t="n">
        <v>0</v>
      </c>
      <c r="V138" t="n">
        <v>0</v>
      </c>
      <c r="W138" t="n">
        <v>260</v>
      </c>
      <c r="X138" t="n">
        <v>0</v>
      </c>
      <c r="Y138" t="n">
        <v>0</v>
      </c>
      <c r="Z138" t="n">
        <v>80</v>
      </c>
      <c r="AA138" t="n">
        <v>45</v>
      </c>
      <c r="AB138" t="n">
        <v>0</v>
      </c>
      <c r="AC138" t="inlineStr">
        <is>
          <t>Ground</t>
        </is>
      </c>
      <c r="AD138" t="inlineStr"/>
      <c r="AE138" t="n">
        <v>0</v>
      </c>
      <c r="AF138" t="inlineStr">
        <is>
          <t>Medium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49</v>
      </c>
      <c r="AO138" t="n">
        <v>8</v>
      </c>
      <c r="AP138" t="inlineStr">
        <is>
          <t>T2</t>
        </is>
      </c>
      <c r="AQ138" t="inlineStr"/>
      <c r="AR138" t="inlineStr"/>
      <c r="AS138" t="inlineStr">
        <is>
          <t>xe</t>
        </is>
      </c>
      <c r="AT138" t="inlineStr">
        <is>
          <t>elite_attack_helicopter</t>
        </is>
      </c>
      <c r="AU138" t="n">
        <v>1</v>
      </c>
      <c r="AV138" t="inlineStr">
        <is>
          <t>elite_attack_helicopter:0</t>
        </is>
      </c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0.5625</v>
      </c>
      <c r="BB138" t="n">
        <v>60</v>
      </c>
      <c r="BC138" t="n">
        <v>10</v>
      </c>
      <c r="BD138" t="inlineStr">
        <is>
          <t>atgm</t>
        </is>
      </c>
      <c r="BE138" t="inlineStr">
        <is>
          <t>air-launched: ripples ~1 s apart, est. 6 s an aimed shot</t>
        </is>
      </c>
      <c r="BG138" t="inlineStr">
        <is>
          <t>doi</t>
        </is>
      </c>
      <c r="BR138" t="n">
        <v>26</v>
      </c>
      <c r="BS138" t="n">
        <v>80</v>
      </c>
      <c r="CR138" t="n">
        <v>2</v>
      </c>
      <c r="CS138" t="n">
        <v>0.45</v>
      </c>
      <c r="DD138" t="n">
        <v>10.64</v>
      </c>
      <c r="DE138" t="n">
        <v>260</v>
      </c>
      <c r="DF138" t="inlineStr">
        <is>
          <t>ShapedCharge</t>
        </is>
      </c>
      <c r="DJ138" t="inlineStr">
        <is>
          <t>atgm</t>
        </is>
      </c>
      <c r="DS138" t="inlineStr">
        <is>
          <t>Medium</t>
        </is>
      </c>
      <c r="DW138" t="n">
        <v>8</v>
      </c>
      <c r="EB138" t="n">
        <v>4</v>
      </c>
      <c r="EE138" t="b">
        <v>1</v>
      </c>
      <c r="EH138" t="inlineStr">
        <is>
          <t>Missile</t>
        </is>
      </c>
      <c r="EJ138" t="n">
        <v>0.65</v>
      </c>
      <c r="EP138" t="n">
        <v>45</v>
      </c>
      <c r="EQ138" t="inlineStr">
        <is>
          <t>AGM-114L Hellfire Longbow</t>
        </is>
      </c>
      <c r="EX138" t="n">
        <v>49</v>
      </c>
      <c r="FZ138" t="n">
        <v>9</v>
      </c>
      <c r="GA138" t="inlineStr">
        <is>
          <t>agm_114_hellfire</t>
        </is>
      </c>
      <c r="GB138" t="inlineStr">
        <is>
          <t>atgm_agm_114l_hellfire_longbow</t>
        </is>
      </c>
      <c r="GD138" t="inlineStr">
        <is>
          <t>Assets/MachineBrigade/Resources/Data/balance.json: weapons[94]</t>
        </is>
      </c>
      <c r="GE138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Longbow","family":"atgm","size":49,"warheadKg":9,"pen":4,"piercing":true,"projectileScale":0.65,"damageType":"ShapedCharge","damage":260,"cooldown":10.64,"range":45,"impactTier":"Medium","projectile":"Missile","burst":2,"burstInterval":0.45}</t>
        </is>
      </c>
    </row>
    <row r="139">
      <c r="A139" t="inlineStr">
        <is>
          <t>hind_rockets</t>
        </is>
      </c>
      <c r="B139" t="inlineStr">
        <is>
          <t>S-8 80 mm</t>
        </is>
      </c>
      <c r="C139" t="inlineStr">
        <is>
          <t>rkt_70_80</t>
        </is>
      </c>
      <c r="D139" t="inlineStr"/>
      <c r="E139" t="inlineStr">
        <is>
          <t>s_8_80_mm</t>
        </is>
      </c>
      <c r="F139" t="inlineStr">
        <is>
          <t>rocket</t>
        </is>
      </c>
      <c r="G139" t="n">
        <v>80</v>
      </c>
      <c r="H139" t="inlineStr"/>
      <c r="I139" t="inlineStr"/>
      <c r="J139" t="inlineStr"/>
      <c r="K139" t="inlineStr">
        <is>
          <t>HighExplosive</t>
        </is>
      </c>
      <c r="L139" t="n">
        <v>2</v>
      </c>
      <c r="M139" t="inlineStr">
        <is>
          <t>Rocket</t>
        </is>
      </c>
      <c r="N139" t="n">
        <v>1</v>
      </c>
      <c r="O139" t="inlineStr">
        <is>
          <t>RIPPLE</t>
        </is>
      </c>
      <c r="P139" t="n">
        <v>38</v>
      </c>
      <c r="Q139" t="n">
        <v>0.07000000000000001</v>
      </c>
      <c r="R139" t="n">
        <v>6.86</v>
      </c>
      <c r="S139" t="n">
        <v>0</v>
      </c>
      <c r="T139" t="n">
        <v>0</v>
      </c>
      <c r="U139" t="n">
        <v>0</v>
      </c>
      <c r="V139" t="n">
        <v>0</v>
      </c>
      <c r="W139" t="n">
        <v>32</v>
      </c>
      <c r="X139" t="n">
        <v>3</v>
      </c>
      <c r="Y139" t="n">
        <v>0</v>
      </c>
      <c r="Z139" t="n">
        <v>95</v>
      </c>
      <c r="AA139" t="n">
        <v>36</v>
      </c>
      <c r="AB139" t="n">
        <v>0</v>
      </c>
      <c r="AC139" t="inlineStr">
        <is>
          <t>Ground</t>
        </is>
      </c>
      <c r="AD139" t="inlineStr"/>
      <c r="AE139" t="n">
        <v>3.5</v>
      </c>
      <c r="AF139" t="inlineStr">
        <is>
          <t>Medium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80</v>
      </c>
      <c r="AO139" t="n">
        <v>0</v>
      </c>
      <c r="AP139" t="inlineStr">
        <is>
          <t>T2</t>
        </is>
      </c>
      <c r="AQ139" t="inlineStr"/>
      <c r="AR139" t="inlineStr"/>
      <c r="AS139" t="inlineStr"/>
      <c r="AT139" t="inlineStr"/>
      <c r="AU139" t="n">
        <v>0</v>
      </c>
      <c r="AV139" t="inlineStr"/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0.3789473684210526</v>
      </c>
      <c r="BB139" t="n">
        <v>900</v>
      </c>
      <c r="BC139" t="inlineStr"/>
      <c r="BD139" t="inlineStr">
        <is>
          <t>rocket</t>
        </is>
      </c>
      <c r="BE139" t="inlineStr">
        <is>
          <t>rocket pods: ripples of 0.05-0.12 s (DECISIONS 19R)</t>
        </is>
      </c>
      <c r="BG139" t="inlineStr">
        <is>
          <t>doi</t>
        </is>
      </c>
      <c r="BR139" t="n">
        <v>40</v>
      </c>
      <c r="BS139" t="n">
        <v>95</v>
      </c>
      <c r="CR139" t="n">
        <v>38</v>
      </c>
      <c r="CS139" t="n">
        <v>0.07000000000000001</v>
      </c>
      <c r="CT139" t="n">
        <v>80</v>
      </c>
      <c r="DD139" t="n">
        <v>6.86</v>
      </c>
      <c r="DE139" t="n">
        <v>32</v>
      </c>
      <c r="DF139" t="inlineStr">
        <is>
          <t>HighExplosive</t>
        </is>
      </c>
      <c r="DJ139" t="inlineStr">
        <is>
          <t>rocket</t>
        </is>
      </c>
      <c r="DS139" t="inlineStr">
        <is>
          <t>Medium</t>
        </is>
      </c>
      <c r="EB139" t="n">
        <v>2</v>
      </c>
      <c r="EH139" t="inlineStr">
        <is>
          <t>Rocket</t>
        </is>
      </c>
      <c r="EJ139" t="n">
        <v>0.9</v>
      </c>
      <c r="EP139" t="n">
        <v>36</v>
      </c>
      <c r="EQ139" t="inlineStr">
        <is>
          <t>S-8 80 mm</t>
        </is>
      </c>
      <c r="EX139" t="n">
        <v>80</v>
      </c>
      <c r="EZ139" t="n">
        <v>3.5</v>
      </c>
      <c r="GA139" t="inlineStr">
        <is>
          <t>s_8_80_mm</t>
        </is>
      </c>
      <c r="GB139" t="inlineStr">
        <is>
          <t>rkt_70_80</t>
        </is>
      </c>
      <c r="GD139" t="inlineStr">
        <is>
          <t>Assets/MachineBrigade/Resources/Data/balance.json: weapons[84]</t>
        </is>
      </c>
      <c r="GE139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40">
      <c r="A140" t="inlineStr">
        <is>
          <t>hmg_roof</t>
        </is>
      </c>
      <c r="B140" t="inlineStr">
        <is>
          <t>M2 Browning 12.7 mm</t>
        </is>
      </c>
      <c r="C140" t="inlineStr">
        <is>
          <t>cal_12_7</t>
        </is>
      </c>
      <c r="D140" t="inlineStr"/>
      <c r="E140" t="inlineStr">
        <is>
          <t>m2_browning_12_7_mm</t>
        </is>
      </c>
      <c r="F140" t="inlineStr">
        <is>
          <t>mg</t>
        </is>
      </c>
      <c r="G140" t="n">
        <v>12.7</v>
      </c>
      <c r="H140" t="inlineStr"/>
      <c r="I140" t="inlineStr"/>
      <c r="J140" t="inlineStr"/>
      <c r="K140" t="inlineStr">
        <is>
          <t>Kinetic</t>
        </is>
      </c>
      <c r="L140" t="n">
        <v>1</v>
      </c>
      <c r="M140" t="inlineStr">
        <is>
          <t>Bullet</t>
        </is>
      </c>
      <c r="N140" t="n">
        <v>1</v>
      </c>
      <c r="O140" t="inlineStr">
        <is>
          <t>RIPPLE</t>
        </is>
      </c>
      <c r="P140" t="n">
        <v>1</v>
      </c>
      <c r="Q140" t="n">
        <v>0.1</v>
      </c>
      <c r="R140" t="n">
        <v>0.1111</v>
      </c>
      <c r="S140" t="n">
        <v>100</v>
      </c>
      <c r="T140" t="n">
        <v>5.1111</v>
      </c>
      <c r="U140" t="n">
        <v>0</v>
      </c>
      <c r="V140" t="n">
        <v>0</v>
      </c>
      <c r="W140" t="n">
        <v>9.5</v>
      </c>
      <c r="X140" t="n">
        <v>0</v>
      </c>
      <c r="Y140" t="n">
        <v>0</v>
      </c>
      <c r="Z140" t="n">
        <v>230</v>
      </c>
      <c r="AA140" t="n">
        <v>30</v>
      </c>
      <c r="AB140" t="n">
        <v>0</v>
      </c>
      <c r="AC140" t="inlineStr">
        <is>
          <t>All</t>
        </is>
      </c>
      <c r="AD140" t="inlineStr"/>
      <c r="AE140" t="n">
        <v>1.3</v>
      </c>
      <c r="AF140" t="inlineStr">
        <is>
          <t>Small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12.7</v>
      </c>
      <c r="AO140" t="n">
        <v>0</v>
      </c>
      <c r="AP140" t="inlineStr">
        <is>
          <t>T0</t>
        </is>
      </c>
      <c r="AQ140" t="inlineStr"/>
      <c r="AR140" t="inlineStr">
        <is>
          <t>hmg_roof_api</t>
        </is>
      </c>
      <c r="AS140" t="inlineStr">
        <is>
          <t>thap;xe</t>
        </is>
      </c>
      <c r="AT140" t="inlineStr">
        <is>
          <t>armored_bulldozer;elite_heavy_tank;elite_mbt;elite_tank_destroyer;heavy_tank;heavy_turret.bastion;landing_craft;main_battle_tank;missile_boat;tank_destroyer;titan_tank;twin_tank;wheeled_gun</t>
        </is>
      </c>
      <c r="AU140" t="n">
        <v>13</v>
      </c>
      <c r="AV140" t="inlineStr">
        <is>
          <t>armored_bulldozer:1;elite_heavy_tank:2;elite_mbt:2;elite_tank_destroyer:1;heavy_tank:2;heavy_turret.bastion:1;heavy_turret.bastion:2;landing_craft:0;main_battle_tank:2;missile_boat:1;tank_destroyer:1;titan_tank:2;twin_tank:2;wheeled_gun:2</t>
        </is>
      </c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0.1304347826086956</v>
      </c>
      <c r="BB140" t="n">
        <v>600</v>
      </c>
      <c r="BC140" t="n">
        <v>40</v>
      </c>
      <c r="BD140" t="inlineStr">
        <is>
          <t>mg</t>
        </is>
      </c>
      <c r="BE140" t="inlineStr">
        <is>
          <t>US Army FM 3-22.65: cyclic 450-600, rapid 40 rpm</t>
        </is>
      </c>
      <c r="BG140" t="inlineStr">
        <is>
          <t>giong</t>
        </is>
      </c>
      <c r="CT140" t="n">
        <v>12.7</v>
      </c>
      <c r="CW140" t="n">
        <v>100</v>
      </c>
      <c r="CX140" t="n">
        <v>5.1111</v>
      </c>
      <c r="DD140" t="n">
        <v>0.1111</v>
      </c>
      <c r="DE140" t="n">
        <v>9.5</v>
      </c>
      <c r="DF140" t="inlineStr">
        <is>
          <t>Kinetic</t>
        </is>
      </c>
      <c r="DJ140" t="inlineStr">
        <is>
          <t>mg</t>
        </is>
      </c>
      <c r="DS140" t="inlineStr">
        <is>
          <t>Small</t>
        </is>
      </c>
      <c r="EB140" t="n">
        <v>1</v>
      </c>
      <c r="EH140" t="inlineStr">
        <is>
          <t>Bullet</t>
        </is>
      </c>
      <c r="EP140" t="n">
        <v>30</v>
      </c>
      <c r="EQ140" t="inlineStr">
        <is>
          <t>M2 Browning 12.7 mm</t>
        </is>
      </c>
      <c r="EX140" t="n">
        <v>12.7</v>
      </c>
      <c r="EZ140" t="n">
        <v>1.3</v>
      </c>
      <c r="FW140" t="inlineStr">
        <is>
          <t>All</t>
        </is>
      </c>
      <c r="GA140" t="inlineStr">
        <is>
          <t>m2_browning_12_7_mm</t>
        </is>
      </c>
      <c r="GB140" t="inlineStr">
        <is>
          <t>cal_12_7</t>
        </is>
      </c>
      <c r="GD140" t="inlineStr">
        <is>
          <t>Assets/MachineBrigade/Resources/Data/balance.json: weapons[2]</t>
        </is>
      </c>
      <c r="GE140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41">
      <c r="A141" t="inlineStr">
        <is>
          <t>hmg_roof_api</t>
        </is>
      </c>
      <c r="B141" t="inlineStr">
        <is>
          <t>M2 Browning 12.7 mm API</t>
        </is>
      </c>
      <c r="C141" t="inlineStr">
        <is>
          <t>cal_12_7</t>
        </is>
      </c>
      <c r="D141" t="inlineStr"/>
      <c r="E141" t="inlineStr">
        <is>
          <t>m2_browning_12_7_mm_api</t>
        </is>
      </c>
      <c r="F141" t="inlineStr">
        <is>
          <t>mg</t>
        </is>
      </c>
      <c r="G141" t="n">
        <v>12.7</v>
      </c>
      <c r="H141" t="inlineStr"/>
      <c r="I141" t="inlineStr"/>
      <c r="J141" t="inlineStr"/>
      <c r="K141" t="inlineStr">
        <is>
          <t>Kinetic</t>
        </is>
      </c>
      <c r="L141" t="n">
        <v>2</v>
      </c>
      <c r="M141" t="inlineStr">
        <is>
          <t>Bullet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0.1111</v>
      </c>
      <c r="S141" t="n">
        <v>100</v>
      </c>
      <c r="T141" t="n">
        <v>5.1111</v>
      </c>
      <c r="U141" t="n">
        <v>0</v>
      </c>
      <c r="V141" t="n">
        <v>0</v>
      </c>
      <c r="W141" t="n">
        <v>9.5</v>
      </c>
      <c r="X141" t="n">
        <v>0</v>
      </c>
      <c r="Y141" t="n">
        <v>0</v>
      </c>
      <c r="Z141" t="n">
        <v>230</v>
      </c>
      <c r="AA141" t="n">
        <v>30</v>
      </c>
      <c r="AB141" t="n">
        <v>0</v>
      </c>
      <c r="AC141" t="inlineStr">
        <is>
          <t>All</t>
        </is>
      </c>
      <c r="AD141" t="inlineStr"/>
      <c r="AE141" t="n">
        <v>1.3</v>
      </c>
      <c r="AF141" t="inlineStr">
        <is>
          <t>Small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12.7</v>
      </c>
      <c r="AO141" t="n">
        <v>0</v>
      </c>
      <c r="AP141" t="inlineStr">
        <is>
          <t>T0</t>
        </is>
      </c>
      <c r="AQ141" t="inlineStr">
        <is>
          <t>hmg_roof</t>
        </is>
      </c>
      <c r="AR141" t="inlineStr"/>
      <c r="AS141" t="inlineStr"/>
      <c r="AT141" t="inlineStr"/>
      <c r="AU141" t="n">
        <v>0</v>
      </c>
      <c r="AV141" t="inlineStr"/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0.1304347826086956</v>
      </c>
      <c r="BB141" t="n">
        <v>600</v>
      </c>
      <c r="BC141" t="n">
        <v>40</v>
      </c>
      <c r="BD141" t="inlineStr">
        <is>
          <t>mg</t>
        </is>
      </c>
      <c r="BE141" t="inlineStr">
        <is>
          <t>US Army FM 3-22.65: cyclic 450-600, rapid 40 rpm</t>
        </is>
      </c>
      <c r="BG141" t="inlineStr">
        <is>
          <t>giong</t>
        </is>
      </c>
      <c r="DE141" t="n">
        <v>9.5</v>
      </c>
      <c r="DF141" t="inlineStr">
        <is>
          <t>Kinetic</t>
        </is>
      </c>
      <c r="DH141" t="b">
        <v>1</v>
      </c>
      <c r="DM141" t="inlineStr">
        <is>
          <t>any</t>
        </is>
      </c>
      <c r="DN141" t="inlineStr">
        <is>
          <t>BulletBig</t>
        </is>
      </c>
      <c r="DT141" t="inlineStr">
        <is>
          <t>hmg_roof</t>
        </is>
      </c>
      <c r="EB141" t="n">
        <v>2</v>
      </c>
      <c r="EE141" t="b">
        <v>1</v>
      </c>
      <c r="EQ141" t="inlineStr">
        <is>
          <t>M2 Browning 12.7 mm API</t>
        </is>
      </c>
      <c r="ES141" t="inlineStr">
        <is>
          <t>api</t>
        </is>
      </c>
      <c r="EU141" t="inlineStr">
        <is>
          <t>hmg_roof</t>
        </is>
      </c>
      <c r="GA141" t="inlineStr">
        <is>
          <t>m2_browning_12_7_mm_api</t>
        </is>
      </c>
      <c r="GD141" t="inlineStr">
        <is>
          <t>Assets/MachineBrigade/Resources/Data/balance.json: secondRounds.rounds[39]</t>
        </is>
      </c>
      <c r="GE141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42">
      <c r="A142" t="inlineStr">
        <is>
          <t>hmg_selfdef_15</t>
        </is>
      </c>
      <c r="B142" t="inlineStr">
        <is>
          <t>M2 Browning 12.7 mm</t>
        </is>
      </c>
      <c r="C142" t="inlineStr">
        <is>
          <t>cal_12_7</t>
        </is>
      </c>
      <c r="D142" t="inlineStr"/>
      <c r="E142" t="inlineStr">
        <is>
          <t>m2_browning_12_7_mm</t>
        </is>
      </c>
      <c r="F142" t="inlineStr">
        <is>
          <t>mg</t>
        </is>
      </c>
      <c r="G142" t="n">
        <v>12.7</v>
      </c>
      <c r="H142" t="inlineStr"/>
      <c r="I142" t="inlineStr"/>
      <c r="J142" t="inlineStr"/>
      <c r="K142" t="inlineStr">
        <is>
          <t>Kinetic</t>
        </is>
      </c>
      <c r="L142" t="n">
        <v>1</v>
      </c>
      <c r="M142" t="inlineStr">
        <is>
          <t>Bullet</t>
        </is>
      </c>
      <c r="N142" t="n">
        <v>1</v>
      </c>
      <c r="O142" t="inlineStr">
        <is>
          <t>RIPPLE</t>
        </is>
      </c>
      <c r="P142" t="n">
        <v>1</v>
      </c>
      <c r="Q142" t="n">
        <v>0.1</v>
      </c>
      <c r="R142" t="n">
        <v>0.1111</v>
      </c>
      <c r="S142" t="n">
        <v>100</v>
      </c>
      <c r="T142" t="n">
        <v>5.1111</v>
      </c>
      <c r="U142" t="n">
        <v>0</v>
      </c>
      <c r="V142" t="n">
        <v>0</v>
      </c>
      <c r="W142" t="n">
        <v>9.5</v>
      </c>
      <c r="X142" t="n">
        <v>0</v>
      </c>
      <c r="Y142" t="n">
        <v>0</v>
      </c>
      <c r="Z142" t="n">
        <v>230</v>
      </c>
      <c r="AA142" t="n">
        <v>15</v>
      </c>
      <c r="AB142" t="n">
        <v>0</v>
      </c>
      <c r="AC142" t="inlineStr">
        <is>
          <t>All</t>
        </is>
      </c>
      <c r="AD142" t="inlineStr"/>
      <c r="AE142" t="n">
        <v>1.3</v>
      </c>
      <c r="AF142" t="inlineStr">
        <is>
          <t>Small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12.7</v>
      </c>
      <c r="AO142" t="n">
        <v>0</v>
      </c>
      <c r="AP142" t="inlineStr">
        <is>
          <t>T0</t>
        </is>
      </c>
      <c r="AQ142" t="inlineStr">
        <is>
          <t>hmg_roof</t>
        </is>
      </c>
      <c r="AR142" t="inlineStr">
        <is>
          <t>hmg_selfdef_15_api</t>
        </is>
      </c>
      <c r="AS142" t="inlineStr">
        <is>
          <t>xe</t>
        </is>
      </c>
      <c r="AT142" t="inlineStr">
        <is>
          <t>ammo_carrier;artillery;command_vehicle;demolition_line_vehicle;elite_artillery;elite_grad;elite_mlrs;engineer_vehicle;ew_jammer;gps_jammer_vehicle;mine_layer;shahed_truck;shield_carrier</t>
        </is>
      </c>
      <c r="AU142" t="n">
        <v>13</v>
      </c>
      <c r="AV142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0.06521739130434782</v>
      </c>
      <c r="BB142" t="n">
        <v>600</v>
      </c>
      <c r="BC142" t="n">
        <v>40</v>
      </c>
      <c r="BD142" t="inlineStr">
        <is>
          <t>mg</t>
        </is>
      </c>
      <c r="BE142" t="inlineStr">
        <is>
          <t>US Army FM 3-22.65: cyclic 450-600, rapid 40 rpm</t>
        </is>
      </c>
      <c r="BG142" t="inlineStr">
        <is>
          <t>giong</t>
        </is>
      </c>
      <c r="DT142" t="inlineStr">
        <is>
          <t>hmg_roof</t>
        </is>
      </c>
      <c r="EP142" t="n">
        <v>15</v>
      </c>
      <c r="GA142" t="inlineStr">
        <is>
          <t>m2_browning_12_7_mm</t>
        </is>
      </c>
      <c r="GD142" t="inlineStr">
        <is>
          <t>Assets/MachineBrigade/Resources/Data/balance.json: weapons[5]</t>
        </is>
      </c>
      <c r="GE142" t="inlineStr">
        <is>
          <t>{"id":"hmg_selfdef_15","weaponFamily":"m2_browning_12_7_mm","inherits":"hmg_roof","range":15}</t>
        </is>
      </c>
    </row>
    <row r="143">
      <c r="A143" t="inlineStr">
        <is>
          <t>hmg_selfdef_15_api</t>
        </is>
      </c>
      <c r="B143" t="inlineStr">
        <is>
          <t>M2 Browning 12.7 mm API</t>
        </is>
      </c>
      <c r="C143" t="inlineStr">
        <is>
          <t>cal_12_7</t>
        </is>
      </c>
      <c r="D143" t="inlineStr"/>
      <c r="E143" t="inlineStr">
        <is>
          <t>m2_browning_12_7_mm_api</t>
        </is>
      </c>
      <c r="F143" t="inlineStr">
        <is>
          <t>mg</t>
        </is>
      </c>
      <c r="G143" t="n">
        <v>12.7</v>
      </c>
      <c r="H143" t="inlineStr"/>
      <c r="I143" t="inlineStr"/>
      <c r="J143" t="inlineStr"/>
      <c r="K143" t="inlineStr">
        <is>
          <t>Kinetic</t>
        </is>
      </c>
      <c r="L143" t="n">
        <v>2</v>
      </c>
      <c r="M143" t="inlineStr">
        <is>
          <t>Bullet</t>
        </is>
      </c>
      <c r="N143" t="n">
        <v>1</v>
      </c>
      <c r="O143" t="inlineStr">
        <is>
          <t>RIPPLE</t>
        </is>
      </c>
      <c r="P143" t="n">
        <v>1</v>
      </c>
      <c r="Q143" t="n">
        <v>0.1</v>
      </c>
      <c r="R143" t="n">
        <v>0.1111</v>
      </c>
      <c r="S143" t="n">
        <v>100</v>
      </c>
      <c r="T143" t="n">
        <v>5.1111</v>
      </c>
      <c r="U143" t="n">
        <v>0</v>
      </c>
      <c r="V143" t="n">
        <v>0</v>
      </c>
      <c r="W143" t="n">
        <v>9.5</v>
      </c>
      <c r="X143" t="n">
        <v>0</v>
      </c>
      <c r="Y143" t="n">
        <v>0</v>
      </c>
      <c r="Z143" t="n">
        <v>230</v>
      </c>
      <c r="AA143" t="n">
        <v>15</v>
      </c>
      <c r="AB143" t="n">
        <v>0</v>
      </c>
      <c r="AC143" t="inlineStr">
        <is>
          <t>All</t>
        </is>
      </c>
      <c r="AD143" t="inlineStr"/>
      <c r="AE143" t="n">
        <v>1.3</v>
      </c>
      <c r="AF143" t="inlineStr">
        <is>
          <t>Small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0</v>
      </c>
      <c r="AN143" t="n">
        <v>12.7</v>
      </c>
      <c r="AO143" t="n">
        <v>0</v>
      </c>
      <c r="AP143" t="inlineStr">
        <is>
          <t>T0</t>
        </is>
      </c>
      <c r="AQ143" t="inlineStr">
        <is>
          <t>hmg_selfdef_15</t>
        </is>
      </c>
      <c r="AR143" t="inlineStr"/>
      <c r="AS143" t="inlineStr"/>
      <c r="AT143" t="inlineStr"/>
      <c r="AU143" t="n">
        <v>0</v>
      </c>
      <c r="AV143" t="inlineStr"/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0.06521739130434782</v>
      </c>
      <c r="BB143" t="n">
        <v>600</v>
      </c>
      <c r="BC143" t="n">
        <v>40</v>
      </c>
      <c r="BD143" t="inlineStr">
        <is>
          <t>mg</t>
        </is>
      </c>
      <c r="BE143" t="inlineStr">
        <is>
          <t>US Army FM 3-22.65: cyclic 450-600, rapid 40 rpm</t>
        </is>
      </c>
      <c r="BG143" t="inlineStr">
        <is>
          <t>giong</t>
        </is>
      </c>
      <c r="DE143" t="n">
        <v>9.5</v>
      </c>
      <c r="DF143" t="inlineStr">
        <is>
          <t>Kinetic</t>
        </is>
      </c>
      <c r="DH143" t="b">
        <v>1</v>
      </c>
      <c r="DM143" t="inlineStr">
        <is>
          <t>any</t>
        </is>
      </c>
      <c r="DN143" t="inlineStr">
        <is>
          <t>BulletBig</t>
        </is>
      </c>
      <c r="DT143" t="inlineStr">
        <is>
          <t>hmg_selfdef_15</t>
        </is>
      </c>
      <c r="EB143" t="n">
        <v>2</v>
      </c>
      <c r="EE143" t="b">
        <v>1</v>
      </c>
      <c r="EQ143" t="inlineStr">
        <is>
          <t>M2 Browning 12.7 mm API</t>
        </is>
      </c>
      <c r="ES143" t="inlineStr">
        <is>
          <t>api</t>
        </is>
      </c>
      <c r="EU143" t="inlineStr">
        <is>
          <t>hmg_selfdef_15</t>
        </is>
      </c>
      <c r="GA143" t="inlineStr">
        <is>
          <t>m2_browning_12_7_mm_api</t>
        </is>
      </c>
      <c r="GD143" t="inlineStr">
        <is>
          <t>Assets/MachineBrigade/Resources/Data/balance.json: secondRounds.rounds[40]</t>
        </is>
      </c>
      <c r="GE143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44">
      <c r="A144" t="inlineStr">
        <is>
          <t>hmg_selfdef_18</t>
        </is>
      </c>
      <c r="B144" t="inlineStr">
        <is>
          <t>M2 Browning 12.7 mm</t>
        </is>
      </c>
      <c r="C144" t="inlineStr">
        <is>
          <t>cal_12_7</t>
        </is>
      </c>
      <c r="D144" t="inlineStr"/>
      <c r="E144" t="inlineStr">
        <is>
          <t>m2_browning_12_7_mm</t>
        </is>
      </c>
      <c r="F144" t="inlineStr">
        <is>
          <t>mg</t>
        </is>
      </c>
      <c r="G144" t="n">
        <v>12.7</v>
      </c>
      <c r="H144" t="inlineStr"/>
      <c r="I144" t="inlineStr"/>
      <c r="J144" t="inlineStr"/>
      <c r="K144" t="inlineStr">
        <is>
          <t>Kinetic</t>
        </is>
      </c>
      <c r="L144" t="n">
        <v>1</v>
      </c>
      <c r="M144" t="inlineStr">
        <is>
          <t>Bullet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0.1111</v>
      </c>
      <c r="S144" t="n">
        <v>100</v>
      </c>
      <c r="T144" t="n">
        <v>5.1111</v>
      </c>
      <c r="U144" t="n">
        <v>0</v>
      </c>
      <c r="V144" t="n">
        <v>0</v>
      </c>
      <c r="W144" t="n">
        <v>9.5</v>
      </c>
      <c r="X144" t="n">
        <v>0</v>
      </c>
      <c r="Y144" t="n">
        <v>0</v>
      </c>
      <c r="Z144" t="n">
        <v>230</v>
      </c>
      <c r="AA144" t="n">
        <v>18</v>
      </c>
      <c r="AB144" t="n">
        <v>0</v>
      </c>
      <c r="AC144" t="inlineStr">
        <is>
          <t>All</t>
        </is>
      </c>
      <c r="AD144" t="inlineStr"/>
      <c r="AE144" t="n">
        <v>1.3</v>
      </c>
      <c r="AF144" t="inlineStr">
        <is>
          <t>Small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12.7</v>
      </c>
      <c r="AO144" t="n">
        <v>0</v>
      </c>
      <c r="AP144" t="inlineStr">
        <is>
          <t>T0</t>
        </is>
      </c>
      <c r="AQ144" t="inlineStr">
        <is>
          <t>hmg_roof</t>
        </is>
      </c>
      <c r="AR144" t="inlineStr">
        <is>
          <t>hmg_selfdef_18_api</t>
        </is>
      </c>
      <c r="AS144" t="inlineStr">
        <is>
          <t>xe</t>
        </is>
      </c>
      <c r="AT144" t="inlineStr">
        <is>
          <t>elite_fpv_carrier;fpv_carrier;mortar_carrier;sp_mortar;thermobaric_launcher</t>
        </is>
      </c>
      <c r="AU144" t="n">
        <v>5</v>
      </c>
      <c r="AV144" t="inlineStr">
        <is>
          <t>elite_fpv_carrier:1;fpv_carrier:1;mortar_carrier:1;sp_mortar:1;thermobaric_launcher:1</t>
        </is>
      </c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0.0782608695652174</v>
      </c>
      <c r="BB144" t="n">
        <v>600</v>
      </c>
      <c r="BC144" t="n">
        <v>40</v>
      </c>
      <c r="BD144" t="inlineStr">
        <is>
          <t>mg</t>
        </is>
      </c>
      <c r="BE144" t="inlineStr">
        <is>
          <t>US Army FM 3-22.65: cyclic 450-600, rapid 40 rpm</t>
        </is>
      </c>
      <c r="BG144" t="inlineStr">
        <is>
          <t>giong</t>
        </is>
      </c>
      <c r="DT144" t="inlineStr">
        <is>
          <t>hmg_roof</t>
        </is>
      </c>
      <c r="EP144" t="n">
        <v>18</v>
      </c>
      <c r="GA144" t="inlineStr">
        <is>
          <t>m2_browning_12_7_mm</t>
        </is>
      </c>
      <c r="GD144" t="inlineStr">
        <is>
          <t>Assets/MachineBrigade/Resources/Data/balance.json: weapons[4]</t>
        </is>
      </c>
      <c r="GE144" t="inlineStr">
        <is>
          <t>{"id":"hmg_selfdef_18","weaponFamily":"m2_browning_12_7_mm","inherits":"hmg_roof","range":18}</t>
        </is>
      </c>
    </row>
    <row r="145">
      <c r="A145" t="inlineStr">
        <is>
          <t>hmg_selfdef_18_api</t>
        </is>
      </c>
      <c r="B145" t="inlineStr">
        <is>
          <t>M2 Browning 12.7 mm API</t>
        </is>
      </c>
      <c r="C145" t="inlineStr">
        <is>
          <t>cal_12_7</t>
        </is>
      </c>
      <c r="D145" t="inlineStr"/>
      <c r="E145" t="inlineStr">
        <is>
          <t>m2_browning_12_7_mm_api</t>
        </is>
      </c>
      <c r="F145" t="inlineStr">
        <is>
          <t>mg</t>
        </is>
      </c>
      <c r="G145" t="n">
        <v>12.7</v>
      </c>
      <c r="H145" t="inlineStr"/>
      <c r="I145" t="inlineStr"/>
      <c r="J145" t="inlineStr"/>
      <c r="K145" t="inlineStr">
        <is>
          <t>Kinetic</t>
        </is>
      </c>
      <c r="L145" t="n">
        <v>2</v>
      </c>
      <c r="M145" t="inlineStr">
        <is>
          <t>Bullet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0.1111</v>
      </c>
      <c r="S145" t="n">
        <v>100</v>
      </c>
      <c r="T145" t="n">
        <v>5.1111</v>
      </c>
      <c r="U145" t="n">
        <v>0</v>
      </c>
      <c r="V145" t="n">
        <v>0</v>
      </c>
      <c r="W145" t="n">
        <v>9.5</v>
      </c>
      <c r="X145" t="n">
        <v>0</v>
      </c>
      <c r="Y145" t="n">
        <v>0</v>
      </c>
      <c r="Z145" t="n">
        <v>230</v>
      </c>
      <c r="AA145" t="n">
        <v>18</v>
      </c>
      <c r="AB145" t="n">
        <v>0</v>
      </c>
      <c r="AC145" t="inlineStr">
        <is>
          <t>All</t>
        </is>
      </c>
      <c r="AD145" t="inlineStr"/>
      <c r="AE145" t="n">
        <v>1.3</v>
      </c>
      <c r="AF145" t="inlineStr">
        <is>
          <t>Small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12.7</v>
      </c>
      <c r="AO145" t="n">
        <v>0</v>
      </c>
      <c r="AP145" t="inlineStr">
        <is>
          <t>T0</t>
        </is>
      </c>
      <c r="AQ145" t="inlineStr">
        <is>
          <t>hmg_selfdef_18</t>
        </is>
      </c>
      <c r="AR145" t="inlineStr"/>
      <c r="AS145" t="inlineStr"/>
      <c r="AT145" t="inlineStr"/>
      <c r="AU145" t="n">
        <v>0</v>
      </c>
      <c r="AV145" t="inlineStr"/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0.0782608695652174</v>
      </c>
      <c r="BB145" t="n">
        <v>600</v>
      </c>
      <c r="BC145" t="n">
        <v>40</v>
      </c>
      <c r="BD145" t="inlineStr">
        <is>
          <t>mg</t>
        </is>
      </c>
      <c r="BE145" t="inlineStr">
        <is>
          <t>US Army FM 3-22.65: cyclic 450-600, rapid 40 rpm</t>
        </is>
      </c>
      <c r="BG145" t="inlineStr">
        <is>
          <t>giong</t>
        </is>
      </c>
      <c r="DE145" t="n">
        <v>9.5</v>
      </c>
      <c r="DF145" t="inlineStr">
        <is>
          <t>Kinetic</t>
        </is>
      </c>
      <c r="DH145" t="b">
        <v>1</v>
      </c>
      <c r="DM145" t="inlineStr">
        <is>
          <t>any</t>
        </is>
      </c>
      <c r="DN145" t="inlineStr">
        <is>
          <t>BulletBig</t>
        </is>
      </c>
      <c r="DT145" t="inlineStr">
        <is>
          <t>hmg_selfdef_18</t>
        </is>
      </c>
      <c r="EB145" t="n">
        <v>2</v>
      </c>
      <c r="EE145" t="b">
        <v>1</v>
      </c>
      <c r="EQ145" t="inlineStr">
        <is>
          <t>M2 Browning 12.7 mm API</t>
        </is>
      </c>
      <c r="ES145" t="inlineStr">
        <is>
          <t>api</t>
        </is>
      </c>
      <c r="EU145" t="inlineStr">
        <is>
          <t>hmg_selfdef_18</t>
        </is>
      </c>
      <c r="GA145" t="inlineStr">
        <is>
          <t>m2_browning_12_7_mm_api</t>
        </is>
      </c>
      <c r="GD145" t="inlineStr">
        <is>
          <t>Assets/MachineBrigade/Resources/Data/balance.json: secondRounds.rounds[41]</t>
        </is>
      </c>
      <c r="GE145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46">
      <c r="A146" t="inlineStr">
        <is>
          <t>hmg_selfdef_21</t>
        </is>
      </c>
      <c r="B146" t="inlineStr">
        <is>
          <t>M2 Browning 12.7 mm</t>
        </is>
      </c>
      <c r="C146" t="inlineStr">
        <is>
          <t>cal_12_7</t>
        </is>
      </c>
      <c r="D146" t="inlineStr"/>
      <c r="E146" t="inlineStr">
        <is>
          <t>m2_browning_12_7_mm</t>
        </is>
      </c>
      <c r="F146" t="inlineStr">
        <is>
          <t>mg</t>
        </is>
      </c>
      <c r="G146" t="n">
        <v>12.7</v>
      </c>
      <c r="H146" t="inlineStr"/>
      <c r="I146" t="inlineStr"/>
      <c r="J146" t="inlineStr"/>
      <c r="K146" t="inlineStr">
        <is>
          <t>Kinetic</t>
        </is>
      </c>
      <c r="L146" t="n">
        <v>1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0.1111</v>
      </c>
      <c r="S146" t="n">
        <v>100</v>
      </c>
      <c r="T146" t="n">
        <v>5.1111</v>
      </c>
      <c r="U146" t="n">
        <v>0</v>
      </c>
      <c r="V146" t="n">
        <v>0</v>
      </c>
      <c r="W146" t="n">
        <v>9.5</v>
      </c>
      <c r="X146" t="n">
        <v>0</v>
      </c>
      <c r="Y146" t="n">
        <v>0</v>
      </c>
      <c r="Z146" t="n">
        <v>230</v>
      </c>
      <c r="AA146" t="n">
        <v>21</v>
      </c>
      <c r="AB146" t="n">
        <v>0</v>
      </c>
      <c r="AC146" t="inlineStr">
        <is>
          <t>All</t>
        </is>
      </c>
      <c r="AD146" t="inlineStr"/>
      <c r="AE146" t="n">
        <v>1.3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12.7</v>
      </c>
      <c r="AO146" t="n">
        <v>0</v>
      </c>
      <c r="AP146" t="inlineStr">
        <is>
          <t>T0</t>
        </is>
      </c>
      <c r="AQ146" t="inlineStr">
        <is>
          <t>hmg_roof</t>
        </is>
      </c>
      <c r="AR146" t="inlineStr">
        <is>
          <t>hmg_selfdef_21_api</t>
        </is>
      </c>
      <c r="AS146" t="inlineStr">
        <is>
          <t>xe</t>
        </is>
      </c>
      <c r="AT146" t="inlineStr">
        <is>
          <t>siege_tank</t>
        </is>
      </c>
      <c r="AU146" t="n">
        <v>1</v>
      </c>
      <c r="AV146" t="inlineStr">
        <is>
          <t>siege_tank:2</t>
        </is>
      </c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0.09130434782608696</v>
      </c>
      <c r="BB146" t="n">
        <v>600</v>
      </c>
      <c r="BC146" t="n">
        <v>40</v>
      </c>
      <c r="BD146" t="inlineStr">
        <is>
          <t>mg</t>
        </is>
      </c>
      <c r="BE146" t="inlineStr">
        <is>
          <t>US Army FM 3-22.65: cyclic 450-600, rapid 40 rpm</t>
        </is>
      </c>
      <c r="BG146" t="inlineStr">
        <is>
          <t>giong</t>
        </is>
      </c>
      <c r="DT146" t="inlineStr">
        <is>
          <t>hmg_roof</t>
        </is>
      </c>
      <c r="EP146" t="n">
        <v>21</v>
      </c>
      <c r="GA146" t="inlineStr">
        <is>
          <t>m2_browning_12_7_mm</t>
        </is>
      </c>
      <c r="GD146" t="inlineStr">
        <is>
          <t>Assets/MachineBrigade/Resources/Data/balance.json: weapons[3]</t>
        </is>
      </c>
      <c r="GE146" t="inlineStr">
        <is>
          <t>{"id":"hmg_selfdef_21","weaponFamily":"m2_browning_12_7_mm","inherits":"hmg_roof","range":21}</t>
        </is>
      </c>
    </row>
    <row r="147">
      <c r="A147" t="inlineStr">
        <is>
          <t>hmg_selfdef_21_api</t>
        </is>
      </c>
      <c r="B147" t="inlineStr">
        <is>
          <t>M2 Browning 12.7 mm API</t>
        </is>
      </c>
      <c r="C147" t="inlineStr">
        <is>
          <t>cal_12_7</t>
        </is>
      </c>
      <c r="D147" t="inlineStr"/>
      <c r="E147" t="inlineStr">
        <is>
          <t>m2_browning_12_7_mm_api</t>
        </is>
      </c>
      <c r="F147" t="inlineStr">
        <is>
          <t>mg</t>
        </is>
      </c>
      <c r="G147" t="n">
        <v>12.7</v>
      </c>
      <c r="H147" t="inlineStr"/>
      <c r="I147" t="inlineStr"/>
      <c r="J147" t="inlineStr"/>
      <c r="K147" t="inlineStr">
        <is>
          <t>Kinetic</t>
        </is>
      </c>
      <c r="L147" t="n">
        <v>2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0.1111</v>
      </c>
      <c r="S147" t="n">
        <v>100</v>
      </c>
      <c r="T147" t="n">
        <v>5.1111</v>
      </c>
      <c r="U147" t="n">
        <v>0</v>
      </c>
      <c r="V147" t="n">
        <v>0</v>
      </c>
      <c r="W147" t="n">
        <v>9.5</v>
      </c>
      <c r="X147" t="n">
        <v>0</v>
      </c>
      <c r="Y147" t="n">
        <v>0</v>
      </c>
      <c r="Z147" t="n">
        <v>230</v>
      </c>
      <c r="AA147" t="n">
        <v>21</v>
      </c>
      <c r="AB147" t="n">
        <v>0</v>
      </c>
      <c r="AC147" t="inlineStr">
        <is>
          <t>All</t>
        </is>
      </c>
      <c r="AD147" t="inlineStr"/>
      <c r="AE147" t="n">
        <v>1.3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12.7</v>
      </c>
      <c r="AO147" t="n">
        <v>0</v>
      </c>
      <c r="AP147" t="inlineStr">
        <is>
          <t>T0</t>
        </is>
      </c>
      <c r="AQ147" t="inlineStr">
        <is>
          <t>hmg_selfdef_21</t>
        </is>
      </c>
      <c r="AR147" t="inlineStr"/>
      <c r="AS147" t="inlineStr"/>
      <c r="AT147" t="inlineStr"/>
      <c r="AU147" t="n">
        <v>0</v>
      </c>
      <c r="AV147" t="inlineStr"/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0.09130434782608696</v>
      </c>
      <c r="BB147" t="n">
        <v>600</v>
      </c>
      <c r="BC147" t="n">
        <v>40</v>
      </c>
      <c r="BD147" t="inlineStr">
        <is>
          <t>mg</t>
        </is>
      </c>
      <c r="BE147" t="inlineStr">
        <is>
          <t>US Army FM 3-22.65: cyclic 450-600, rapid 40 rpm</t>
        </is>
      </c>
      <c r="BG147" t="inlineStr">
        <is>
          <t>giong</t>
        </is>
      </c>
      <c r="DE147" t="n">
        <v>9.5</v>
      </c>
      <c r="DF147" t="inlineStr">
        <is>
          <t>Kinetic</t>
        </is>
      </c>
      <c r="DH147" t="b">
        <v>1</v>
      </c>
      <c r="DM147" t="inlineStr">
        <is>
          <t>any</t>
        </is>
      </c>
      <c r="DN147" t="inlineStr">
        <is>
          <t>BulletBig</t>
        </is>
      </c>
      <c r="DT147" t="inlineStr">
        <is>
          <t>hmg_selfdef_21</t>
        </is>
      </c>
      <c r="EB147" t="n">
        <v>2</v>
      </c>
      <c r="EE147" t="b">
        <v>1</v>
      </c>
      <c r="EQ147" t="inlineStr">
        <is>
          <t>M2 Browning 12.7 mm API</t>
        </is>
      </c>
      <c r="ES147" t="inlineStr">
        <is>
          <t>api</t>
        </is>
      </c>
      <c r="EU147" t="inlineStr">
        <is>
          <t>hmg_selfdef_21</t>
        </is>
      </c>
      <c r="GA147" t="inlineStr">
        <is>
          <t>m2_browning_12_7_mm_api</t>
        </is>
      </c>
      <c r="GD147" t="inlineStr">
        <is>
          <t>Assets/MachineBrigade/Resources/Data/balance.json: secondRounds.rounds[42]</t>
        </is>
      </c>
      <c r="GE147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48">
      <c r="A148" t="inlineStr">
        <is>
          <t>hover_ciws</t>
        </is>
      </c>
      <c r="B148" t="inlineStr">
        <is>
          <t>AK-630 30 mm</t>
        </is>
      </c>
      <c r="C148" t="inlineStr">
        <is>
          <t>cal_30</t>
        </is>
      </c>
      <c r="D148" t="inlineStr">
        <is>
          <t>ciws</t>
        </is>
      </c>
      <c r="E148" t="inlineStr">
        <is>
          <t>ak_630_30_mm</t>
        </is>
      </c>
      <c r="F148" t="inlineStr">
        <is>
          <t>autocannon</t>
        </is>
      </c>
      <c r="G148" t="n">
        <v>30</v>
      </c>
      <c r="H148" t="inlineStr"/>
      <c r="I148" t="inlineStr"/>
      <c r="J148" t="inlineStr"/>
      <c r="K148" t="inlineStr">
        <is>
          <t>Kinetic</t>
        </is>
      </c>
      <c r="L148" t="n">
        <v>2</v>
      </c>
      <c r="M148" t="inlineStr">
        <is>
          <t>Bullet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0.0167</v>
      </c>
      <c r="S148" t="n">
        <v>60</v>
      </c>
      <c r="T148" t="n">
        <v>5.0167</v>
      </c>
      <c r="U148" t="n">
        <v>0</v>
      </c>
      <c r="V148" t="n">
        <v>0</v>
      </c>
      <c r="W148" t="n">
        <v>12</v>
      </c>
      <c r="X148" t="n">
        <v>0</v>
      </c>
      <c r="Y148" t="n">
        <v>0</v>
      </c>
      <c r="Z148" t="n">
        <v>300</v>
      </c>
      <c r="AA148" t="n">
        <v>34</v>
      </c>
      <c r="AB148" t="n">
        <v>0</v>
      </c>
      <c r="AC148" t="inlineStr">
        <is>
          <t>All</t>
        </is>
      </c>
      <c r="AD148" t="inlineStr"/>
      <c r="AE148" t="n">
        <v>1.3</v>
      </c>
      <c r="AF148" t="inlineStr">
        <is>
          <t>Small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30</v>
      </c>
      <c r="AO148" t="n">
        <v>0</v>
      </c>
      <c r="AP148" t="inlineStr">
        <is>
          <t>T1</t>
        </is>
      </c>
      <c r="AQ148" t="inlineStr"/>
      <c r="AR148" t="inlineStr">
        <is>
          <t>hover_ciws_flak</t>
        </is>
      </c>
      <c r="AS148" t="inlineStr">
        <is>
          <t>boss;xe</t>
        </is>
      </c>
      <c r="AT148" t="inlineStr">
        <is>
          <t>hover_gunboat;landing_hovercraft;sea_corvette;sea_cruiser</t>
        </is>
      </c>
      <c r="AU148" t="n">
        <v>4</v>
      </c>
      <c r="AV148" t="inlineStr">
        <is>
          <t>hover_gunboat:0;landing_hovercraft:0;landing_hovercraft:1;sea_corvette:1;sea_cruiser:2;sea_cruiser:3</t>
        </is>
      </c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0.1133333333333333</v>
      </c>
      <c r="BB148" t="n">
        <v>5000</v>
      </c>
      <c r="BC148" t="n">
        <v>1000</v>
      </c>
      <c r="BD148" t="inlineStr">
        <is>
          <t>aa</t>
        </is>
      </c>
      <c r="BE148" t="inlineStr">
        <is>
          <t>Wikipedia 'AK-630': 4,000-5,000 rpm, 2,000-round belt</t>
        </is>
      </c>
      <c r="BG148" t="inlineStr">
        <is>
          <t>giong</t>
        </is>
      </c>
      <c r="CT148" t="n">
        <v>30</v>
      </c>
      <c r="CW148" t="n">
        <v>60</v>
      </c>
      <c r="CX148" t="n">
        <v>5.0167</v>
      </c>
      <c r="DD148" t="n">
        <v>0.0167</v>
      </c>
      <c r="DE148" t="n">
        <v>12</v>
      </c>
      <c r="DF148" t="inlineStr">
        <is>
          <t>Kinetic</t>
        </is>
      </c>
      <c r="DJ148" t="inlineStr">
        <is>
          <t>autocannon</t>
        </is>
      </c>
      <c r="DS148" t="inlineStr">
        <is>
          <t>Small</t>
        </is>
      </c>
      <c r="EB148" t="n">
        <v>2</v>
      </c>
      <c r="EH148" t="inlineStr">
        <is>
          <t>Bullet</t>
        </is>
      </c>
      <c r="EP148" t="n">
        <v>34</v>
      </c>
      <c r="EQ148" t="inlineStr">
        <is>
          <t>AK-630 30 mm</t>
        </is>
      </c>
      <c r="EX148" t="n">
        <v>30</v>
      </c>
      <c r="EZ148" t="n">
        <v>1.3</v>
      </c>
      <c r="FW148" t="inlineStr">
        <is>
          <t>All</t>
        </is>
      </c>
      <c r="GA148" t="inlineStr">
        <is>
          <t>ak_630_30_mm</t>
        </is>
      </c>
      <c r="GB148" t="inlineStr">
        <is>
          <t>cal_30</t>
        </is>
      </c>
      <c r="GC148" t="inlineStr">
        <is>
          <t>ciws</t>
        </is>
      </c>
      <c r="GD148" t="inlineStr">
        <is>
          <t>Assets/MachineBrigade/Resources/Data/balance.json: weapons[250]</t>
        </is>
      </c>
      <c r="GE148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49">
      <c r="A149" t="inlineStr">
        <is>
          <t>hover_ciws_flak</t>
        </is>
      </c>
      <c r="B149" t="inlineStr">
        <is>
          <t>AK-630 30 mm air-burst</t>
        </is>
      </c>
      <c r="C149" t="inlineStr">
        <is>
          <t>cal_30</t>
        </is>
      </c>
      <c r="D149" t="inlineStr">
        <is>
          <t>flak</t>
        </is>
      </c>
      <c r="E149" t="inlineStr">
        <is>
          <t>ak_630_30_mm_air_burst</t>
        </is>
      </c>
      <c r="F149" t="inlineStr">
        <is>
          <t>autocannon</t>
        </is>
      </c>
      <c r="G149" t="n">
        <v>30</v>
      </c>
      <c r="H149" t="inlineStr"/>
      <c r="I149" t="inlineStr"/>
      <c r="J149" t="inlineStr"/>
      <c r="K149" t="inlineStr">
        <is>
          <t>Fragmentation</t>
        </is>
      </c>
      <c r="L149" t="n">
        <v>2</v>
      </c>
      <c r="M149" t="inlineStr">
        <is>
          <t>Bullet</t>
        </is>
      </c>
      <c r="N149" t="n">
        <v>1</v>
      </c>
      <c r="O149" t="inlineStr">
        <is>
          <t>RIPPLE</t>
        </is>
      </c>
      <c r="P149" t="n">
        <v>1</v>
      </c>
      <c r="Q149" t="n">
        <v>0.1</v>
      </c>
      <c r="R149" t="n">
        <v>0.0167</v>
      </c>
      <c r="S149" t="n">
        <v>60</v>
      </c>
      <c r="T149" t="n">
        <v>5.0167</v>
      </c>
      <c r="U149" t="n">
        <v>0</v>
      </c>
      <c r="V149" t="n">
        <v>0</v>
      </c>
      <c r="W149" t="n">
        <v>12</v>
      </c>
      <c r="X149" t="n">
        <v>2.5</v>
      </c>
      <c r="Y149" t="n">
        <v>0</v>
      </c>
      <c r="Z149" t="n">
        <v>300</v>
      </c>
      <c r="AA149" t="n">
        <v>34</v>
      </c>
      <c r="AB149" t="n">
        <v>0</v>
      </c>
      <c r="AC149" t="inlineStr">
        <is>
          <t>Air</t>
        </is>
      </c>
      <c r="AD149" t="inlineStr"/>
      <c r="AE149" t="n">
        <v>1.3</v>
      </c>
      <c r="AF149" t="inlineStr">
        <is>
          <t>Small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30</v>
      </c>
      <c r="AO149" t="n">
        <v>0</v>
      </c>
      <c r="AP149" t="inlineStr">
        <is>
          <t>T1</t>
        </is>
      </c>
      <c r="AQ149" t="inlineStr">
        <is>
          <t>hover_ciws</t>
        </is>
      </c>
      <c r="AR149" t="inlineStr"/>
      <c r="AS149" t="inlineStr"/>
      <c r="AT149" t="inlineStr"/>
      <c r="AU149" t="n">
        <v>0</v>
      </c>
      <c r="AV149" t="inlineStr"/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0.1133333333333333</v>
      </c>
      <c r="BB149" t="n">
        <v>5000</v>
      </c>
      <c r="BC149" t="n">
        <v>1000</v>
      </c>
      <c r="BD149" t="inlineStr">
        <is>
          <t>aa</t>
        </is>
      </c>
      <c r="BE149" t="inlineStr">
        <is>
          <t>Wikipedia 'AK-630': 4,000-5,000 rpm, 2,000-round belt</t>
        </is>
      </c>
      <c r="BG149" t="inlineStr">
        <is>
          <t>giong</t>
        </is>
      </c>
      <c r="DE149" t="n">
        <v>12</v>
      </c>
      <c r="DF149" t="inlineStr">
        <is>
          <t>Fragmentation</t>
        </is>
      </c>
      <c r="DM149" t="inlineStr">
        <is>
          <t>air</t>
        </is>
      </c>
      <c r="DN149" t="inlineStr">
        <is>
          <t>Airburst</t>
        </is>
      </c>
      <c r="DT149" t="inlineStr">
        <is>
          <t>hover_ciws</t>
        </is>
      </c>
      <c r="EB149" t="n">
        <v>2</v>
      </c>
      <c r="EE149" t="b">
        <v>0</v>
      </c>
      <c r="EQ149" t="inlineStr">
        <is>
          <t>AK-630 30 mm air-burst</t>
        </is>
      </c>
      <c r="ES149" t="inlineStr">
        <is>
          <t>flak</t>
        </is>
      </c>
      <c r="EU149" t="inlineStr">
        <is>
          <t>hover_ciws</t>
        </is>
      </c>
      <c r="EY149" t="n">
        <v>2.5</v>
      </c>
      <c r="FW149" t="inlineStr">
        <is>
          <t>Air</t>
        </is>
      </c>
      <c r="GA149" t="inlineStr">
        <is>
          <t>ak_630_30_mm_air_burst</t>
        </is>
      </c>
      <c r="GC149" t="inlineStr">
        <is>
          <t>flak</t>
        </is>
      </c>
      <c r="GD149" t="inlineStr">
        <is>
          <t>Assets/MachineBrigade/Resources/Data/balance.json: secondRounds.rounds[43]</t>
        </is>
      </c>
      <c r="GE149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50">
      <c r="A150" t="inlineStr">
        <is>
          <t>hover_rockets</t>
        </is>
      </c>
      <c r="B150" t="inlineStr">
        <is>
          <t>A-22 Ogon 140 mm</t>
        </is>
      </c>
      <c r="C150" t="inlineStr">
        <is>
          <t>rkt_140</t>
        </is>
      </c>
      <c r="D150" t="inlineStr"/>
      <c r="E150" t="inlineStr"/>
      <c r="F150" t="inlineStr">
        <is>
          <t>rocket</t>
        </is>
      </c>
      <c r="G150" t="n">
        <v>140</v>
      </c>
      <c r="H150" t="inlineStr"/>
      <c r="I150" t="inlineStr"/>
      <c r="J150" t="inlineStr"/>
      <c r="K150" t="inlineStr">
        <is>
          <t>HighExplosive</t>
        </is>
      </c>
      <c r="L150" t="n">
        <v>2</v>
      </c>
      <c r="M150" t="inlineStr">
        <is>
          <t>Rocket</t>
        </is>
      </c>
      <c r="N150" t="n">
        <v>1</v>
      </c>
      <c r="O150" t="inlineStr">
        <is>
          <t>RIPPLE</t>
        </is>
      </c>
      <c r="P150" t="n">
        <v>11</v>
      </c>
      <c r="Q150" t="n">
        <v>0.5</v>
      </c>
      <c r="R150" t="n">
        <v>22</v>
      </c>
      <c r="S150" t="n">
        <v>0</v>
      </c>
      <c r="T150" t="n">
        <v>0</v>
      </c>
      <c r="U150" t="n">
        <v>0</v>
      </c>
      <c r="V150" t="n">
        <v>0</v>
      </c>
      <c r="W150" t="n">
        <v>65</v>
      </c>
      <c r="X150" t="n">
        <v>4</v>
      </c>
      <c r="Y150" t="n">
        <v>0</v>
      </c>
      <c r="Z150" t="n">
        <v>85</v>
      </c>
      <c r="AA150" t="n">
        <v>55</v>
      </c>
      <c r="AB150" t="n">
        <v>12</v>
      </c>
      <c r="AC150" t="inlineStr">
        <is>
          <t>Ground</t>
        </is>
      </c>
      <c r="AD150" t="inlineStr"/>
      <c r="AE150" t="n">
        <v>5.5</v>
      </c>
      <c r="AF150" t="inlineStr">
        <is>
          <t>Medium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140</v>
      </c>
      <c r="AO150" t="n">
        <v>0</v>
      </c>
      <c r="AP150" t="inlineStr">
        <is>
          <t>T3</t>
        </is>
      </c>
      <c r="AQ150" t="inlineStr"/>
      <c r="AR150" t="inlineStr"/>
      <c r="AS150" t="inlineStr">
        <is>
          <t>boss</t>
        </is>
      </c>
      <c r="AT150" t="inlineStr">
        <is>
          <t>landing_hovercraft</t>
        </is>
      </c>
      <c r="AU150" t="n">
        <v>1</v>
      </c>
      <c r="AV150" t="inlineStr">
        <is>
          <t>landing_hovercraft:3;landing_hovercraft:4</t>
        </is>
      </c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0.6470588235294118</v>
      </c>
      <c r="BB150" t="n">
        <v>120</v>
      </c>
      <c r="BC150" t="inlineStr"/>
      <c r="BD150" t="inlineStr">
        <is>
          <t>rocket</t>
        </is>
      </c>
      <c r="BE150" t="inlineStr">
        <is>
          <t>A-22 Ogon 140 mm (Zubr hovercraft), est. 0.5 s a rocket</t>
        </is>
      </c>
      <c r="BF150" t="inlineStr">
        <is>
          <t>A-22 Ogon 140 mm: est. 0.5 s a rocket (0.1 s was too fast), the 22 s pause kept</t>
        </is>
      </c>
      <c r="BG150" t="inlineStr">
        <is>
          <t>doi</t>
        </is>
      </c>
      <c r="BR150" t="n">
        <v>50</v>
      </c>
      <c r="BS150" t="n">
        <v>85</v>
      </c>
      <c r="BV150" t="n">
        <v>0.1</v>
      </c>
      <c r="BW150" t="n">
        <v>0.5</v>
      </c>
      <c r="CR150" t="n">
        <v>11</v>
      </c>
      <c r="CS150" t="n">
        <v>0.5</v>
      </c>
      <c r="CT150" t="n">
        <v>140</v>
      </c>
      <c r="DD150" t="n">
        <v>22</v>
      </c>
      <c r="DE150" t="n">
        <v>65</v>
      </c>
      <c r="DF150" t="inlineStr">
        <is>
          <t>HighExplosive</t>
        </is>
      </c>
      <c r="DJ150" t="inlineStr">
        <is>
          <t>rocket</t>
        </is>
      </c>
      <c r="DS150" t="inlineStr">
        <is>
          <t>Medium</t>
        </is>
      </c>
      <c r="DZ150" t="n">
        <v>12</v>
      </c>
      <c r="EB150" t="n">
        <v>2</v>
      </c>
      <c r="EH150" t="inlineStr">
        <is>
          <t>Rocket</t>
        </is>
      </c>
      <c r="EI150" t="inlineStr">
        <is>
          <t>grad</t>
        </is>
      </c>
      <c r="EK150" t="n">
        <v>85</v>
      </c>
      <c r="EP150" t="n">
        <v>55</v>
      </c>
      <c r="EQ150" t="inlineStr">
        <is>
          <t>A-22 Ogon 140 mm</t>
        </is>
      </c>
      <c r="EX150" t="n">
        <v>140</v>
      </c>
      <c r="EY150" t="n">
        <v>4</v>
      </c>
      <c r="EZ150" t="n">
        <v>5.5</v>
      </c>
      <c r="GB150" t="inlineStr">
        <is>
          <t>rkt_140</t>
        </is>
      </c>
      <c r="GD150" t="inlineStr">
        <is>
          <t>Assets/MachineBrigade/Resources/Data/balance.json: weapons[260]</t>
        </is>
      </c>
      <c r="GE150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85,"splash":4,"spread":5.5,"impactTier":"Medium","projectile":"Rocket","burst":11,"burstInterval":0.5}</t>
        </is>
      </c>
    </row>
    <row r="151">
      <c r="A151" t="inlineStr">
        <is>
          <t>howitzer</t>
        </is>
      </c>
      <c r="B151" t="inlineStr">
        <is>
          <t>M284 155 mm</t>
        </is>
      </c>
      <c r="C151" t="inlineStr">
        <is>
          <t>cal_152_155</t>
        </is>
      </c>
      <c r="D151" t="inlineStr"/>
      <c r="E151" t="inlineStr">
        <is>
          <t>m284_155_mm_2</t>
        </is>
      </c>
      <c r="F151" t="inlineStr">
        <is>
          <t>howitzer</t>
        </is>
      </c>
      <c r="G151" t="n">
        <v>155</v>
      </c>
      <c r="H151" t="inlineStr"/>
      <c r="I151" t="inlineStr"/>
      <c r="J151" t="inlineStr"/>
      <c r="K151" t="inlineStr">
        <is>
          <t>HighExplosive</t>
        </is>
      </c>
      <c r="L151" t="n">
        <v>3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10.204</v>
      </c>
      <c r="S151" t="n">
        <v>0</v>
      </c>
      <c r="T151" t="n">
        <v>0</v>
      </c>
      <c r="U151" t="n">
        <v>20</v>
      </c>
      <c r="V151" t="n">
        <v>33.49</v>
      </c>
      <c r="W151" t="n">
        <v>457</v>
      </c>
      <c r="X151" t="n">
        <v>7</v>
      </c>
      <c r="Y151" t="n">
        <v>0</v>
      </c>
      <c r="Z151" t="n">
        <v>55</v>
      </c>
      <c r="AA151" t="n">
        <v>90</v>
      </c>
      <c r="AB151" t="n">
        <v>25</v>
      </c>
      <c r="AC151" t="inlineStr">
        <is>
          <t>Ground</t>
        </is>
      </c>
      <c r="AD151" t="inlineStr"/>
      <c r="AE151" t="n">
        <v>5</v>
      </c>
      <c r="AF151" t="inlineStr">
        <is>
          <t>Large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155</v>
      </c>
      <c r="AO151" t="n">
        <v>0</v>
      </c>
      <c r="AP151" t="inlineStr">
        <is>
          <t>T3</t>
        </is>
      </c>
      <c r="AQ151" t="inlineStr"/>
      <c r="AR151" t="inlineStr">
        <is>
          <t>howitzer_guided</t>
        </is>
      </c>
      <c r="AS151" t="inlineStr">
        <is>
          <t>boss;xe</t>
        </is>
      </c>
      <c r="AT151" t="inlineStr">
        <is>
          <t>artillery;elite_artillery;mobile_fortress</t>
        </is>
      </c>
      <c r="AU151" t="n">
        <v>3</v>
      </c>
      <c r="AV151" t="inlineStr">
        <is>
          <t>artillery:0;elite_artillery:0;mobile_fortress:other</t>
        </is>
      </c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1.636363636363636</v>
      </c>
      <c r="BB151" t="n">
        <v>4</v>
      </c>
      <c r="BC151" t="n">
        <v>1</v>
      </c>
      <c r="BD151" t="inlineStr">
        <is>
          <t>gun</t>
        </is>
      </c>
      <c r="BE151" t="inlineStr">
        <is>
          <t>US Army M109A7 fact file: 4 rpm for 3 min, 1 rpm sustained</t>
        </is>
      </c>
      <c r="BG151" t="inlineStr">
        <is>
          <t>doi</t>
        </is>
      </c>
      <c r="BH151" t="n">
        <v>320</v>
      </c>
      <c r="BI151" t="n">
        <v>457</v>
      </c>
      <c r="BJ151" t="n">
        <v>7.1429</v>
      </c>
      <c r="BK151" t="n">
        <v>10.204</v>
      </c>
      <c r="BR151" t="n">
        <v>45</v>
      </c>
      <c r="BS151" t="n">
        <v>55</v>
      </c>
      <c r="CN151" t="n">
        <v>20</v>
      </c>
      <c r="CT151" t="n">
        <v>155</v>
      </c>
      <c r="DD151" t="n">
        <v>10.204</v>
      </c>
      <c r="DE151" t="n">
        <v>457</v>
      </c>
      <c r="DF151" t="inlineStr">
        <is>
          <t>HighExplosive</t>
        </is>
      </c>
      <c r="DJ151" t="inlineStr">
        <is>
          <t>howitzer</t>
        </is>
      </c>
      <c r="DS151" t="inlineStr">
        <is>
          <t>Large</t>
        </is>
      </c>
      <c r="DZ151" t="n">
        <v>25</v>
      </c>
      <c r="EB151" t="n">
        <v>3</v>
      </c>
      <c r="EP151" t="n">
        <v>90</v>
      </c>
      <c r="EQ151" t="inlineStr">
        <is>
          <t>M284 155 mm</t>
        </is>
      </c>
      <c r="ER151" t="n">
        <v>33.49</v>
      </c>
      <c r="EX151" t="n">
        <v>155</v>
      </c>
      <c r="EZ151" t="n">
        <v>5</v>
      </c>
      <c r="GA151" t="inlineStr">
        <is>
          <t>m284_155_mm_2</t>
        </is>
      </c>
      <c r="GB151" t="inlineStr">
        <is>
          <t>cal_152_155</t>
        </is>
      </c>
      <c r="GD151" t="inlineStr">
        <is>
          <t>Assets/MachineBrigade/Resources/Data/balance.json: weapons[16]</t>
        </is>
      </c>
      <c r="GE151" t="inlineStr">
        <is>
          <t>{"id":"howitzer","weaponFamilyId":"cal_152_155","weaponFamily":"m284_155_mm_2","real":"M284 155 mm","family":"howitzer","size":155,"caliberMm":155,"pen":3,"damageType":"HighExplosive","damage":457,"cooldown":10.204,"range":90,"minRange":25,"spread":5,"impactTier":"Large","ammo":20,"reload":33.49}</t>
        </is>
      </c>
    </row>
    <row r="152">
      <c r="A152" t="inlineStr">
        <is>
          <t>howitzer_ext</t>
        </is>
      </c>
      <c r="B152" t="inlineStr">
        <is>
          <t>M284 155 mm (base bleed)</t>
        </is>
      </c>
      <c r="C152" t="inlineStr">
        <is>
          <t>cal_152_155</t>
        </is>
      </c>
      <c r="D152" t="inlineStr"/>
      <c r="E152" t="inlineStr">
        <is>
          <t>m284_155_mm_ext</t>
        </is>
      </c>
      <c r="F152" t="inlineStr">
        <is>
          <t>howitzer</t>
        </is>
      </c>
      <c r="G152" t="n">
        <v>155</v>
      </c>
      <c r="H152" t="inlineStr"/>
      <c r="I152" t="inlineStr"/>
      <c r="J152" t="inlineStr"/>
      <c r="K152" t="inlineStr">
        <is>
          <t>HighExplosive</t>
        </is>
      </c>
      <c r="L152" t="n">
        <v>3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7.571</v>
      </c>
      <c r="S152" t="n">
        <v>0</v>
      </c>
      <c r="T152" t="n">
        <v>0</v>
      </c>
      <c r="U152" t="n">
        <v>20</v>
      </c>
      <c r="V152" t="n">
        <v>21</v>
      </c>
      <c r="W152" t="n">
        <v>457</v>
      </c>
      <c r="X152" t="n">
        <v>7</v>
      </c>
      <c r="Y152" t="n">
        <v>14</v>
      </c>
      <c r="Z152" t="n">
        <v>60</v>
      </c>
      <c r="AA152" t="n">
        <v>112</v>
      </c>
      <c r="AB152" t="n">
        <v>25</v>
      </c>
      <c r="AC152" t="inlineStr">
        <is>
          <t>Ground</t>
        </is>
      </c>
      <c r="AD152" t="inlineStr"/>
      <c r="AE152" t="n">
        <v>5</v>
      </c>
      <c r="AF152" t="inlineStr">
        <is>
          <t>Large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155</v>
      </c>
      <c r="AO152" t="n">
        <v>0</v>
      </c>
      <c r="AP152" t="inlineStr">
        <is>
          <t>T3</t>
        </is>
      </c>
      <c r="AQ152" t="inlineStr">
        <is>
          <t>howitzer_fixed</t>
        </is>
      </c>
      <c r="AR152" t="inlineStr"/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1.866666666666667</v>
      </c>
      <c r="BB152" t="n">
        <v>4</v>
      </c>
      <c r="BC152" t="n">
        <v>1</v>
      </c>
      <c r="BD152" t="inlineStr">
        <is>
          <t>gun</t>
        </is>
      </c>
      <c r="BE152" t="inlineStr">
        <is>
          <t>US Army M109A7 fact file: 4 rpm for 3 min, 1 rpm sustained</t>
        </is>
      </c>
      <c r="BG152" t="inlineStr">
        <is>
          <t>doi</t>
        </is>
      </c>
      <c r="BH152" t="n">
        <v>320</v>
      </c>
      <c r="BI152" t="n">
        <v>457</v>
      </c>
      <c r="BJ152" t="n">
        <v>5.3</v>
      </c>
      <c r="BK152" t="n">
        <v>7.571</v>
      </c>
      <c r="BP152" t="n">
        <v>0</v>
      </c>
      <c r="BQ152" t="n">
        <v>14</v>
      </c>
      <c r="BR152" t="n">
        <v>45</v>
      </c>
      <c r="BS152" t="n">
        <v>60</v>
      </c>
      <c r="CT152" t="n">
        <v>155</v>
      </c>
      <c r="DD152" t="n">
        <v>7.571</v>
      </c>
      <c r="DE152" t="n">
        <v>457</v>
      </c>
      <c r="DJ152" t="inlineStr">
        <is>
          <t>howitzer</t>
        </is>
      </c>
      <c r="DT152" t="inlineStr">
        <is>
          <t>howitzer_fixed</t>
        </is>
      </c>
      <c r="EB152" t="n">
        <v>3</v>
      </c>
      <c r="EP152" t="n">
        <v>112</v>
      </c>
      <c r="EQ152" t="inlineStr">
        <is>
          <t>M284 155 mm (base bleed)</t>
        </is>
      </c>
      <c r="ER152" t="n">
        <v>21</v>
      </c>
      <c r="EX152" t="n">
        <v>155</v>
      </c>
      <c r="GA152" t="inlineStr">
        <is>
          <t>m284_155_mm_ext</t>
        </is>
      </c>
      <c r="GD152" t="inlineStr">
        <is>
          <t>Assets/MachineBrigade/Resources/Data/balance.json: weapons[124]</t>
        </is>
      </c>
      <c r="GE152" t="inlineStr">
        <is>
          <t>{"id":"howitzer_ext","weaponFamily":"m284_155_mm_ext","real":"M284 155 mm (base bleed)","family":"howitzer","size":155,"caliberMm":155,"pen":3,"inherits":"howitzer_fixed","range":112,"cooldown":7.571,"damage":457,"reload":21}</t>
        </is>
      </c>
    </row>
    <row r="153">
      <c r="A153" t="inlineStr">
        <is>
          <t>howitzer_fixed</t>
        </is>
      </c>
      <c r="B153" t="inlineStr">
        <is>
          <t>M284 155 mm</t>
        </is>
      </c>
      <c r="C153" t="inlineStr">
        <is>
          <t>cal_152_155</t>
        </is>
      </c>
      <c r="D153" t="inlineStr"/>
      <c r="E153" t="inlineStr">
        <is>
          <t>m284_155_mm_fixed</t>
        </is>
      </c>
      <c r="F153" t="inlineStr">
        <is>
          <t>howitzer</t>
        </is>
      </c>
      <c r="G153" t="n">
        <v>155</v>
      </c>
      <c r="H153" t="inlineStr"/>
      <c r="I153" t="inlineStr"/>
      <c r="J153" t="inlineStr"/>
      <c r="K153" t="inlineStr">
        <is>
          <t>HighExplosive</t>
        </is>
      </c>
      <c r="L153" t="n">
        <v>3</v>
      </c>
      <c r="M153" t="inlineStr">
        <is>
          <t>Shell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10</v>
      </c>
      <c r="S153" t="n">
        <v>0</v>
      </c>
      <c r="T153" t="n">
        <v>0</v>
      </c>
      <c r="U153" t="n">
        <v>20</v>
      </c>
      <c r="V153" t="n">
        <v>13</v>
      </c>
      <c r="W153" t="n">
        <v>520</v>
      </c>
      <c r="X153" t="n">
        <v>7</v>
      </c>
      <c r="Y153" t="n">
        <v>14</v>
      </c>
      <c r="Z153" t="n">
        <v>65</v>
      </c>
      <c r="AA153" t="n">
        <v>90</v>
      </c>
      <c r="AB153" t="n">
        <v>25</v>
      </c>
      <c r="AC153" t="inlineStr">
        <is>
          <t>Ground</t>
        </is>
      </c>
      <c r="AD153" t="inlineStr"/>
      <c r="AE153" t="n">
        <v>5</v>
      </c>
      <c r="AF153" t="inlineStr">
        <is>
          <t>Large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155</v>
      </c>
      <c r="AO153" t="n">
        <v>0</v>
      </c>
      <c r="AP153" t="inlineStr">
        <is>
          <t>T3</t>
        </is>
      </c>
      <c r="AQ153" t="inlineStr">
        <is>
          <t>howitzer</t>
        </is>
      </c>
      <c r="AR153" t="inlineStr">
        <is>
          <t>howitzer_fixed_guided</t>
        </is>
      </c>
      <c r="AS153" t="inlineStr"/>
      <c r="AT153" t="inlineStr"/>
      <c r="AU153" t="n">
        <v>0</v>
      </c>
      <c r="AV153" t="inlineStr"/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1.384615384615385</v>
      </c>
      <c r="BB153" t="n">
        <v>4</v>
      </c>
      <c r="BC153" t="n">
        <v>1</v>
      </c>
      <c r="BD153" t="inlineStr">
        <is>
          <t>gun</t>
        </is>
      </c>
      <c r="BE153" t="inlineStr">
        <is>
          <t>US Army M109A7 fact file: 4 rpm for 3 min, 1 rpm sustained</t>
        </is>
      </c>
      <c r="BG153" t="inlineStr">
        <is>
          <t>doi</t>
        </is>
      </c>
      <c r="BH153" t="n">
        <v>320</v>
      </c>
      <c r="BI153" t="n">
        <v>520</v>
      </c>
      <c r="BJ153" t="n">
        <v>3.9</v>
      </c>
      <c r="BK153" t="n">
        <v>10</v>
      </c>
      <c r="BP153" t="n">
        <v>0</v>
      </c>
      <c r="BQ153" t="n">
        <v>14</v>
      </c>
      <c r="BR153" t="n">
        <v>45</v>
      </c>
      <c r="BS153" t="n">
        <v>65</v>
      </c>
      <c r="CT153" t="n">
        <v>155</v>
      </c>
      <c r="DD153" t="n">
        <v>10</v>
      </c>
      <c r="DE153" t="n">
        <v>520</v>
      </c>
      <c r="DG153" t="n">
        <v>14</v>
      </c>
      <c r="DJ153" t="inlineStr">
        <is>
          <t>howitzer</t>
        </is>
      </c>
      <c r="DT153" t="inlineStr">
        <is>
          <t>howitzer</t>
        </is>
      </c>
      <c r="EB153" t="n">
        <v>3</v>
      </c>
      <c r="EQ153" t="inlineStr">
        <is>
          <t>M284 155 mm</t>
        </is>
      </c>
      <c r="ER153" t="n">
        <v>13</v>
      </c>
      <c r="EX153" t="n">
        <v>155</v>
      </c>
      <c r="GA153" t="inlineStr">
        <is>
          <t>m284_155_mm_fixed</t>
        </is>
      </c>
      <c r="GD153" t="inlineStr">
        <is>
          <t>Assets/MachineBrigade/Resources/Data/balance.json: weapons[17]</t>
        </is>
      </c>
      <c r="GE153" t="inlineStr">
        <is>
          <t>{"id":"howitzer_fixed","weaponFamily":"m284_155_mm_fixed","real":"M284 155 mm","family":"howitzer","size":155,"caliberMm":155,"pen":3,"inherits":"howitzer","cooldown":10,"edge":14,"damage":520,"reload":13}</t>
        </is>
      </c>
    </row>
    <row r="154">
      <c r="A154" t="inlineStr">
        <is>
          <t>howitzer_fixed_guided</t>
        </is>
      </c>
      <c r="B154" t="inlineStr">
        <is>
          <t>M284 155 mm guided</t>
        </is>
      </c>
      <c r="C154" t="inlineStr">
        <is>
          <t>cal_152_155</t>
        </is>
      </c>
      <c r="D154" t="inlineStr">
        <is>
          <t>guided</t>
        </is>
      </c>
      <c r="E154" t="inlineStr">
        <is>
          <t>m284_155_mm_guided_fixed</t>
        </is>
      </c>
      <c r="F154" t="inlineStr">
        <is>
          <t>howitzer</t>
        </is>
      </c>
      <c r="G154" t="n">
        <v>155</v>
      </c>
      <c r="H154" t="inlineStr"/>
      <c r="I154" t="inlineStr"/>
      <c r="J154" t="inlineStr"/>
      <c r="K154" t="inlineStr">
        <is>
          <t>HighExplosive</t>
        </is>
      </c>
      <c r="L154" t="n">
        <v>3</v>
      </c>
      <c r="M154" t="inlineStr">
        <is>
          <t>Shell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10</v>
      </c>
      <c r="S154" t="n">
        <v>0</v>
      </c>
      <c r="T154" t="n">
        <v>0</v>
      </c>
      <c r="U154" t="n">
        <v>20</v>
      </c>
      <c r="V154" t="n">
        <v>13</v>
      </c>
      <c r="W154" t="n">
        <v>520</v>
      </c>
      <c r="X154" t="n">
        <v>7</v>
      </c>
      <c r="Y154" t="n">
        <v>14</v>
      </c>
      <c r="Z154" t="n">
        <v>70</v>
      </c>
      <c r="AA154" t="n">
        <v>90</v>
      </c>
      <c r="AB154" t="n">
        <v>25</v>
      </c>
      <c r="AC154" t="inlineStr">
        <is>
          <t>Ground</t>
        </is>
      </c>
      <c r="AD154" t="inlineStr"/>
      <c r="AE154" t="n">
        <v>0</v>
      </c>
      <c r="AF154" t="inlineStr">
        <is>
          <t>Large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1</v>
      </c>
      <c r="AN154" t="n">
        <v>155</v>
      </c>
      <c r="AO154" t="n">
        <v>0</v>
      </c>
      <c r="AP154" t="inlineStr">
        <is>
          <t>T3</t>
        </is>
      </c>
      <c r="AQ154" t="inlineStr">
        <is>
          <t>howitzer_fixed</t>
        </is>
      </c>
      <c r="AR154" t="inlineStr"/>
      <c r="AS154" t="inlineStr"/>
      <c r="AT154" t="inlineStr"/>
      <c r="AU154" t="n">
        <v>0</v>
      </c>
      <c r="AV154" t="inlineStr"/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1.285714285714286</v>
      </c>
      <c r="BB154" t="n">
        <v>4</v>
      </c>
      <c r="BC154" t="n">
        <v>1</v>
      </c>
      <c r="BD154" t="inlineStr">
        <is>
          <t>gun</t>
        </is>
      </c>
      <c r="BE154" t="inlineStr">
        <is>
          <t>US Army M109A7 fact file: 4 rpm for 3 min, 1 rpm sustained</t>
        </is>
      </c>
      <c r="BG154" t="inlineStr">
        <is>
          <t>doi</t>
        </is>
      </c>
      <c r="BH154" t="n">
        <v>320</v>
      </c>
      <c r="BI154" t="n">
        <v>520</v>
      </c>
      <c r="BJ154" t="n">
        <v>3.9</v>
      </c>
      <c r="BK154" t="n">
        <v>10</v>
      </c>
      <c r="BP154" t="n">
        <v>0</v>
      </c>
      <c r="BQ154" t="n">
        <v>14</v>
      </c>
      <c r="BR154" t="n">
        <v>45</v>
      </c>
      <c r="BS154" t="n">
        <v>70</v>
      </c>
      <c r="CR154" t="n">
        <v>1</v>
      </c>
      <c r="DE154" t="n">
        <v>520</v>
      </c>
      <c r="DF154" t="inlineStr">
        <is>
          <t>HighExplosive</t>
        </is>
      </c>
      <c r="DH154" t="b">
        <v>1</v>
      </c>
      <c r="DM154" t="inlineStr">
        <is>
          <t>armour</t>
        </is>
      </c>
      <c r="DN154" t="inlineStr">
        <is>
          <t>HeShell</t>
        </is>
      </c>
      <c r="DP154" t="b">
        <v>1</v>
      </c>
      <c r="DT154" t="inlineStr">
        <is>
          <t>howitzer_fixed</t>
        </is>
      </c>
      <c r="EB154" t="n">
        <v>3</v>
      </c>
      <c r="EQ154" t="inlineStr">
        <is>
          <t>M284 155 mm guided</t>
        </is>
      </c>
      <c r="ES154" t="inlineStr">
        <is>
          <t>guided</t>
        </is>
      </c>
      <c r="EU154" t="inlineStr">
        <is>
          <t>howitzer_fixed</t>
        </is>
      </c>
      <c r="EZ154" t="n">
        <v>0</v>
      </c>
      <c r="FW154" t="inlineStr">
        <is>
          <t>Ground</t>
        </is>
      </c>
      <c r="GA154" t="inlineStr">
        <is>
          <t>m284_155_mm_guided_fixed</t>
        </is>
      </c>
      <c r="GC154" t="inlineStr">
        <is>
          <t>guided</t>
        </is>
      </c>
      <c r="GD154" t="inlineStr">
        <is>
          <t>Assets/MachineBrigade/Resources/Data/balance.json: secondRounds.rounds[45]</t>
        </is>
      </c>
      <c r="GE154" t="inlineStr">
        <is>
          <t>{"id":"howitzer_fixed_guided","roundOf":"howitzer_fixed","inherits":"howitzer_fixed","weaponVariantId":"guided","weaponFamily":"m284_155_mm_guided_fixed","round":"guided","for":["armour"],"elite":true,"real":"M284 155 mm guided","damageType":"HighExplosive","pen":3,"damage":520,"spread":0,"burst":1,"guided":true,"form":"HeShell","targets":"Ground"}</t>
        </is>
      </c>
    </row>
    <row r="155">
      <c r="A155" t="inlineStr">
        <is>
          <t>howitzer_guided</t>
        </is>
      </c>
      <c r="B155" t="inlineStr">
        <is>
          <t>M284 155 mm guided</t>
        </is>
      </c>
      <c r="C155" t="inlineStr">
        <is>
          <t>cal_152_155</t>
        </is>
      </c>
      <c r="D155" t="inlineStr">
        <is>
          <t>guided</t>
        </is>
      </c>
      <c r="E155" t="inlineStr">
        <is>
          <t>m284_155_mm_guided</t>
        </is>
      </c>
      <c r="F155" t="inlineStr">
        <is>
          <t>howitzer</t>
        </is>
      </c>
      <c r="G155" t="n">
        <v>155</v>
      </c>
      <c r="H155" t="inlineStr"/>
      <c r="I155" t="inlineStr"/>
      <c r="J155" t="inlineStr"/>
      <c r="K155" t="inlineStr">
        <is>
          <t>HighExplosive</t>
        </is>
      </c>
      <c r="L155" t="n">
        <v>3</v>
      </c>
      <c r="M155" t="inlineStr">
        <is>
          <t>Shell</t>
        </is>
      </c>
      <c r="N155" t="n">
        <v>1</v>
      </c>
      <c r="O155" t="inlineStr">
        <is>
          <t>RIPPLE</t>
        </is>
      </c>
      <c r="P155" t="n">
        <v>1</v>
      </c>
      <c r="Q155" t="n">
        <v>0.1</v>
      </c>
      <c r="R155" t="n">
        <v>10.204</v>
      </c>
      <c r="S155" t="n">
        <v>0</v>
      </c>
      <c r="T155" t="n">
        <v>0</v>
      </c>
      <c r="U155" t="n">
        <v>20</v>
      </c>
      <c r="V155" t="n">
        <v>33.49</v>
      </c>
      <c r="W155" t="n">
        <v>457</v>
      </c>
      <c r="X155" t="n">
        <v>7</v>
      </c>
      <c r="Y155" t="n">
        <v>0</v>
      </c>
      <c r="Z155" t="n">
        <v>60</v>
      </c>
      <c r="AA155" t="n">
        <v>90</v>
      </c>
      <c r="AB155" t="n">
        <v>25</v>
      </c>
      <c r="AC155" t="inlineStr">
        <is>
          <t>Ground</t>
        </is>
      </c>
      <c r="AD155" t="inlineStr"/>
      <c r="AE155" t="n">
        <v>0</v>
      </c>
      <c r="AF155" t="inlineStr">
        <is>
          <t>Large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1</v>
      </c>
      <c r="AN155" t="n">
        <v>155</v>
      </c>
      <c r="AO155" t="n">
        <v>0</v>
      </c>
      <c r="AP155" t="inlineStr">
        <is>
          <t>T3</t>
        </is>
      </c>
      <c r="AQ155" t="inlineStr">
        <is>
          <t>howitzer</t>
        </is>
      </c>
      <c r="AR155" t="inlineStr"/>
      <c r="AS155" t="inlineStr"/>
      <c r="AT155" t="inlineStr"/>
      <c r="AU155" t="n">
        <v>0</v>
      </c>
      <c r="AV155" t="inlineStr"/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1.5</v>
      </c>
      <c r="BB155" t="n">
        <v>4</v>
      </c>
      <c r="BC155" t="n">
        <v>1</v>
      </c>
      <c r="BD155" t="inlineStr">
        <is>
          <t>gun</t>
        </is>
      </c>
      <c r="BE155" t="inlineStr">
        <is>
          <t>US Army M109A7 fact file: 4 rpm for 3 min, 1 rpm sustained</t>
        </is>
      </c>
      <c r="BG155" t="inlineStr">
        <is>
          <t>doi</t>
        </is>
      </c>
      <c r="BH155" t="n">
        <v>320</v>
      </c>
      <c r="BI155" t="n">
        <v>457</v>
      </c>
      <c r="BJ155" t="n">
        <v>7.1429</v>
      </c>
      <c r="BK155" t="n">
        <v>10.204</v>
      </c>
      <c r="BR155" t="n">
        <v>45</v>
      </c>
      <c r="BS155" t="n">
        <v>60</v>
      </c>
      <c r="CR155" t="n">
        <v>1</v>
      </c>
      <c r="DE155" t="n">
        <v>457</v>
      </c>
      <c r="DF155" t="inlineStr">
        <is>
          <t>HighExplosive</t>
        </is>
      </c>
      <c r="DH155" t="b">
        <v>1</v>
      </c>
      <c r="DM155" t="inlineStr">
        <is>
          <t>armour</t>
        </is>
      </c>
      <c r="DN155" t="inlineStr">
        <is>
          <t>HeShell</t>
        </is>
      </c>
      <c r="DP155" t="b">
        <v>1</v>
      </c>
      <c r="DT155" t="inlineStr">
        <is>
          <t>howitzer</t>
        </is>
      </c>
      <c r="EB155" t="n">
        <v>3</v>
      </c>
      <c r="EQ155" t="inlineStr">
        <is>
          <t>M284 155 mm guided</t>
        </is>
      </c>
      <c r="ES155" t="inlineStr">
        <is>
          <t>guided</t>
        </is>
      </c>
      <c r="EU155" t="inlineStr">
        <is>
          <t>howitzer</t>
        </is>
      </c>
      <c r="EZ155" t="n">
        <v>0</v>
      </c>
      <c r="FW155" t="inlineStr">
        <is>
          <t>Ground</t>
        </is>
      </c>
      <c r="GA155" t="inlineStr">
        <is>
          <t>m284_155_mm_guided</t>
        </is>
      </c>
      <c r="GC155" t="inlineStr">
        <is>
          <t>guided</t>
        </is>
      </c>
      <c r="GD155" t="inlineStr">
        <is>
          <t>Assets/MachineBrigade/Resources/Data/balance.json: secondRounds.rounds[44]</t>
        </is>
      </c>
      <c r="GE155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guided","damageType":"HighExplosive","pen":3,"damage":457,"spread":0,"burst":1,"guided":true,"form":"HeShell","targets":"Ground"}</t>
        </is>
      </c>
    </row>
    <row r="156">
      <c r="A156" t="inlineStr">
        <is>
          <t>hq_flak</t>
        </is>
      </c>
      <c r="B156" t="inlineStr">
        <is>
          <t>2A38 30 mm (twin)</t>
        </is>
      </c>
      <c r="C156" t="inlineStr">
        <is>
          <t>cal_30</t>
        </is>
      </c>
      <c r="D156" t="inlineStr">
        <is>
          <t>flak</t>
        </is>
      </c>
      <c r="E156" t="inlineStr">
        <is>
          <t>2a38_30_mm</t>
        </is>
      </c>
      <c r="F156" t="inlineStr">
        <is>
          <t>autocannon</t>
        </is>
      </c>
      <c r="G156" t="n">
        <v>30</v>
      </c>
      <c r="H156" t="inlineStr"/>
      <c r="I156" t="inlineStr"/>
      <c r="J156" t="inlineStr"/>
      <c r="K156" t="inlineStr">
        <is>
          <t>Fragmentation</t>
        </is>
      </c>
      <c r="L156" t="n">
        <v>2</v>
      </c>
      <c r="M156" t="inlineStr">
        <is>
          <t>Bullet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0.0286</v>
      </c>
      <c r="S156" t="n">
        <v>120</v>
      </c>
      <c r="T156" t="n">
        <v>3.0286</v>
      </c>
      <c r="U156" t="n">
        <v>0</v>
      </c>
      <c r="V156" t="n">
        <v>0</v>
      </c>
      <c r="W156" t="n">
        <v>7.5</v>
      </c>
      <c r="X156" t="n">
        <v>2.5</v>
      </c>
      <c r="Y156" t="n">
        <v>0</v>
      </c>
      <c r="Z156" t="n">
        <v>280</v>
      </c>
      <c r="AA156" t="n">
        <v>42</v>
      </c>
      <c r="AB156" t="n">
        <v>0</v>
      </c>
      <c r="AC156" t="inlineStr">
        <is>
          <t>All</t>
        </is>
      </c>
      <c r="AD156" t="inlineStr"/>
      <c r="AE156" t="n">
        <v>1.4</v>
      </c>
      <c r="AF156" t="inlineStr">
        <is>
          <t>Small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30</v>
      </c>
      <c r="AO156" t="n">
        <v>0</v>
      </c>
      <c r="AP156" t="inlineStr">
        <is>
          <t>T1</t>
        </is>
      </c>
      <c r="AQ156" t="inlineStr">
        <is>
          <t>twin_30_flak</t>
        </is>
      </c>
      <c r="AR156" t="inlineStr">
        <is>
          <t>hq_flak_ap</t>
        </is>
      </c>
      <c r="AS156" t="inlineStr">
        <is>
          <t>cong_trinh</t>
        </is>
      </c>
      <c r="AT156" t="inlineStr">
        <is>
          <t>headquarters;headquarters.fortress_air;headquarters.fortress_ground;headquarters.shield</t>
        </is>
      </c>
      <c r="AU156" t="n">
        <v>4</v>
      </c>
      <c r="AV156" t="inlineStr">
        <is>
          <t>headquarters:1;headquarters:2;headquarters.fortress_air:1;headquarters.fortress_air:2;headquarters.fortress_ground:1;headquarters.fortress_ground:2;headquarters.shield:1;headquarters.shield:2</t>
        </is>
      </c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0.15</v>
      </c>
      <c r="BB156" t="n">
        <v>2500</v>
      </c>
      <c r="BC156" t="n">
        <v>1000</v>
      </c>
      <c r="BD156" t="inlineStr">
        <is>
          <t>aa</t>
        </is>
      </c>
      <c r="BE156" t="inlineStr">
        <is>
          <t>Wikipedia '2A38': 4,060-5,000 rpm the twin mount</t>
        </is>
      </c>
      <c r="BG156" t="inlineStr">
        <is>
          <t>giong</t>
        </is>
      </c>
      <c r="CQ156" t="inlineStr"/>
      <c r="CT156" t="n">
        <v>30</v>
      </c>
      <c r="CW156" t="n">
        <v>120</v>
      </c>
      <c r="CX156" t="n">
        <v>3.0286</v>
      </c>
      <c r="DD156" t="n">
        <v>0.0286</v>
      </c>
      <c r="DJ156" t="inlineStr">
        <is>
          <t>autocannon</t>
        </is>
      </c>
      <c r="DT156" t="inlineStr">
        <is>
          <t>twin_30_flak</t>
        </is>
      </c>
      <c r="EB156" t="n">
        <v>2</v>
      </c>
      <c r="EQ156" t="inlineStr">
        <is>
          <t>2A38 30 mm (twin)</t>
        </is>
      </c>
      <c r="EX156" t="n">
        <v>30</v>
      </c>
      <c r="GA156" t="inlineStr">
        <is>
          <t>2a38_30_mm</t>
        </is>
      </c>
      <c r="GD156" t="inlineStr">
        <is>
          <t>Assets/MachineBrigade/Resources/Data/balance.json: weapons[46]</t>
        </is>
      </c>
      <c r="GE156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57">
      <c r="A157" t="inlineStr">
        <is>
          <t>hq_flak_ap</t>
        </is>
      </c>
      <c r="B157" t="inlineStr">
        <is>
          <t>2A38 30 mm AP (twin)</t>
        </is>
      </c>
      <c r="C157" t="inlineStr">
        <is>
          <t>cal_30</t>
        </is>
      </c>
      <c r="D157" t="inlineStr"/>
      <c r="E157" t="inlineStr">
        <is>
          <t>2a38_30_mm_ap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0.0286</v>
      </c>
      <c r="S157" t="n">
        <v>120</v>
      </c>
      <c r="T157" t="n">
        <v>3.0286</v>
      </c>
      <c r="U157" t="n">
        <v>0</v>
      </c>
      <c r="V157" t="n">
        <v>0</v>
      </c>
      <c r="W157" t="n">
        <v>7.5</v>
      </c>
      <c r="X157" t="n">
        <v>0</v>
      </c>
      <c r="Y157" t="n">
        <v>0</v>
      </c>
      <c r="Z157" t="n">
        <v>280</v>
      </c>
      <c r="AA157" t="n">
        <v>42</v>
      </c>
      <c r="AB157" t="n">
        <v>0</v>
      </c>
      <c r="AC157" t="inlineStr">
        <is>
          <t>Ground</t>
        </is>
      </c>
      <c r="AD157" t="inlineStr"/>
      <c r="AE157" t="n">
        <v>1.4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>
        <is>
          <t>hq_flak</t>
        </is>
      </c>
      <c r="AR157" t="inlineStr"/>
      <c r="AS157" t="inlineStr"/>
      <c r="AT157" t="inlineStr"/>
      <c r="AU157" t="n">
        <v>0</v>
      </c>
      <c r="AV157" t="inlineStr"/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0.15</v>
      </c>
      <c r="BB157" t="n">
        <v>2500</v>
      </c>
      <c r="BC157" t="n">
        <v>1000</v>
      </c>
      <c r="BD157" t="inlineStr">
        <is>
          <t>aa</t>
        </is>
      </c>
      <c r="BE157" t="inlineStr">
        <is>
          <t>Wikipedia '2A38': 4,060-5,000 rpm the twin mount</t>
        </is>
      </c>
      <c r="BG157" t="inlineStr">
        <is>
          <t>giong</t>
        </is>
      </c>
      <c r="DE157" t="n">
        <v>7.5</v>
      </c>
      <c r="DF157" t="inlineStr">
        <is>
          <t>Kinetic</t>
        </is>
      </c>
      <c r="DM157" t="inlineStr">
        <is>
          <t>ground</t>
        </is>
      </c>
      <c r="DN157" t="inlineStr">
        <is>
          <t>BeltedAutocannon</t>
        </is>
      </c>
      <c r="DT157" t="inlineStr">
        <is>
          <t>hq_flak</t>
        </is>
      </c>
      <c r="EB157" t="n">
        <v>2</v>
      </c>
      <c r="EE157" t="b">
        <v>1</v>
      </c>
      <c r="EQ157" t="inlineStr">
        <is>
          <t>2A38 30 mm AP (twin)</t>
        </is>
      </c>
      <c r="ES157" t="inlineStr">
        <is>
          <t>ap</t>
        </is>
      </c>
      <c r="EU157" t="inlineStr">
        <is>
          <t>hq_flak</t>
        </is>
      </c>
      <c r="EY157" t="n">
        <v>0</v>
      </c>
      <c r="FW157" t="inlineStr">
        <is>
          <t>Ground</t>
        </is>
      </c>
      <c r="GA157" t="inlineStr">
        <is>
          <t>2a38_30_mm_ap</t>
        </is>
      </c>
      <c r="GC157" t="inlineStr"/>
      <c r="GD157" t="inlineStr">
        <is>
          <t>Assets/MachineBrigade/Resources/Data/balance.json: secondRounds.rounds[46]</t>
        </is>
      </c>
      <c r="GE157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58">
      <c r="A158" t="inlineStr">
        <is>
          <t>hydra_club_s</t>
        </is>
      </c>
      <c r="B158" t="inlineStr">
        <is>
          <t>3M-54 Club-S (submarine-launched, vertical tubes)</t>
        </is>
      </c>
      <c r="C158" t="inlineStr">
        <is>
          <t>cruise_3m_54_kalibr</t>
        </is>
      </c>
      <c r="D158" t="inlineStr"/>
      <c r="E158" t="inlineStr"/>
      <c r="F158" t="inlineStr">
        <is>
          <t>cruise</t>
        </is>
      </c>
      <c r="G158" t="inlineStr"/>
      <c r="H158" t="n">
        <v>200</v>
      </c>
      <c r="I158" t="inlineStr"/>
      <c r="J158" t="inlineStr"/>
      <c r="K158" t="inlineStr">
        <is>
          <t>HighExplosive</t>
        </is>
      </c>
      <c r="L158" t="n">
        <v>3</v>
      </c>
      <c r="M158" t="inlineStr">
        <is>
          <t>Missile</t>
        </is>
      </c>
      <c r="N158" t="n">
        <v>1</v>
      </c>
      <c r="O158" t="inlineStr">
        <is>
          <t>RIPPLE</t>
        </is>
      </c>
      <c r="P158" t="n">
        <v>1</v>
      </c>
      <c r="Q158" t="n">
        <v>0.1</v>
      </c>
      <c r="R158" t="n">
        <v>50</v>
      </c>
      <c r="S158" t="n">
        <v>0</v>
      </c>
      <c r="T158" t="n">
        <v>0</v>
      </c>
      <c r="U158" t="n">
        <v>0</v>
      </c>
      <c r="V158" t="n">
        <v>0</v>
      </c>
      <c r="W158" t="n">
        <v>520</v>
      </c>
      <c r="X158" t="n">
        <v>6.5</v>
      </c>
      <c r="Y158" t="n">
        <v>0</v>
      </c>
      <c r="Z158" t="n">
        <v>70</v>
      </c>
      <c r="AA158" t="n">
        <v>400</v>
      </c>
      <c r="AB158" t="n">
        <v>0</v>
      </c>
      <c r="AC158" t="inlineStr">
        <is>
          <t>Ground</t>
        </is>
      </c>
      <c r="AD158" t="inlineStr"/>
      <c r="AE158" t="n">
        <v>0</v>
      </c>
      <c r="AF158" t="inlineStr">
        <is>
          <t>Large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1</v>
      </c>
      <c r="AL158" t="b">
        <v>0</v>
      </c>
      <c r="AM158" t="b">
        <v>0</v>
      </c>
      <c r="AN158" t="n">
        <v>500</v>
      </c>
      <c r="AO158" t="n">
        <v>0</v>
      </c>
      <c r="AP158" t="inlineStr">
        <is>
          <t>T4</t>
        </is>
      </c>
      <c r="AQ158" t="inlineStr">
        <is>
          <t>leviathan_cruise</t>
        </is>
      </c>
      <c r="AR158" t="inlineStr"/>
      <c r="AS158" t="inlineStr">
        <is>
          <t>boss</t>
        </is>
      </c>
      <c r="AT158" t="inlineStr">
        <is>
          <t>hydra</t>
        </is>
      </c>
      <c r="AU158" t="n">
        <v>1</v>
      </c>
      <c r="AV158" t="inlineStr">
        <is>
          <t>hydra:other</t>
        </is>
      </c>
      <c r="AW158" t="n">
        <v>2.5</v>
      </c>
      <c r="AX158" t="b">
        <v>0</v>
      </c>
      <c r="AY158" t="inlineStr"/>
      <c r="AZ158">
        <f>IF(AND($AX$158,$AW$158&gt;$AA$158/$Z$158),$AW$158,$AA$158/$Z$158)</f>
        <v/>
      </c>
      <c r="BA158" t="n">
        <v>5.714285714285714</v>
      </c>
      <c r="BB158" t="inlineStr">
        <is>
          <t>NEED_SOURCE</t>
        </is>
      </c>
      <c r="BC158" t="inlineStr">
        <is>
          <t>NEED_SOURCE</t>
        </is>
      </c>
      <c r="BE158" t="inlineStr">
        <is>
          <t>NEED_SOURCE</t>
        </is>
      </c>
      <c r="BG158" t="inlineStr">
        <is>
          <t>moi</t>
        </is>
      </c>
      <c r="DS158" t="inlineStr">
        <is>
          <t>Large</t>
        </is>
      </c>
      <c r="DT158" t="inlineStr">
        <is>
          <t>leviathan_cruise</t>
        </is>
      </c>
      <c r="EQ158" t="inlineStr">
        <is>
          <t>3M-54 Club-S (submarine-launched, vertical tubes)</t>
        </is>
      </c>
      <c r="EY158" t="n">
        <v>6.5</v>
      </c>
      <c r="GD158" t="inlineStr">
        <is>
          <t>Assets/MachineBrigade/Resources/Data/balance.json: weapons[278]</t>
        </is>
      </c>
      <c r="GE158" t="inlineStr">
        <is>
          <t>{"id":"hydra_club_s","inherits":"leviathan_cruise","real":"3M-54 Club-S (submarine-launched, vertical tubes)","splash":6.5,"impactTier":"Large"}</t>
        </is>
      </c>
    </row>
    <row r="159">
      <c r="A159" t="inlineStr">
        <is>
          <t>ifv_30</t>
        </is>
      </c>
      <c r="B159" t="inlineStr">
        <is>
          <t>2A42 30 mm</t>
        </is>
      </c>
      <c r="C159" t="inlineStr">
        <is>
          <t>cal_30</t>
        </is>
      </c>
      <c r="D159" t="inlineStr"/>
      <c r="E159" t="inlineStr">
        <is>
          <t>2a42_30_mm</t>
        </is>
      </c>
      <c r="F159" t="inlineStr">
        <is>
          <t>autocannon</t>
        </is>
      </c>
      <c r="G159" t="n">
        <v>30</v>
      </c>
      <c r="H159" t="inlineStr"/>
      <c r="I159" t="inlineStr"/>
      <c r="J159" t="inlineStr"/>
      <c r="K159" t="inlineStr">
        <is>
          <t>Kinetic</t>
        </is>
      </c>
      <c r="L159" t="n">
        <v>2</v>
      </c>
      <c r="M159" t="inlineStr">
        <is>
          <t>Bullet</t>
        </is>
      </c>
      <c r="N159" t="n">
        <v>1</v>
      </c>
      <c r="O159" t="inlineStr">
        <is>
          <t>RIPPLE</t>
        </is>
      </c>
      <c r="P159" t="n">
        <v>10</v>
      </c>
      <c r="Q159" t="n">
        <v>0.1111</v>
      </c>
      <c r="R159" t="n">
        <v>1.6111</v>
      </c>
      <c r="S159" t="n">
        <v>0</v>
      </c>
      <c r="T159" t="n">
        <v>0</v>
      </c>
      <c r="U159" t="n">
        <v>0</v>
      </c>
      <c r="V159" t="n">
        <v>0</v>
      </c>
      <c r="W159" t="n">
        <v>22</v>
      </c>
      <c r="X159" t="n">
        <v>0</v>
      </c>
      <c r="Y159" t="n">
        <v>0</v>
      </c>
      <c r="Z159" t="n">
        <v>200</v>
      </c>
      <c r="AA159" t="n">
        <v>30</v>
      </c>
      <c r="AB159" t="n">
        <v>0</v>
      </c>
      <c r="AC159" t="inlineStr">
        <is>
          <t>Ground</t>
        </is>
      </c>
      <c r="AD159" t="inlineStr"/>
      <c r="AE159" t="n">
        <v>0.8</v>
      </c>
      <c r="AF159" t="inlineStr">
        <is>
          <t>Small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30</v>
      </c>
      <c r="AO159" t="n">
        <v>0</v>
      </c>
      <c r="AP159" t="inlineStr">
        <is>
          <t>T1</t>
        </is>
      </c>
      <c r="AQ159" t="inlineStr">
        <is>
          <t>autocannon_30</t>
        </is>
      </c>
      <c r="AR159" t="inlineStr">
        <is>
          <t>ifv_30_flak</t>
        </is>
      </c>
      <c r="AS159" t="inlineStr">
        <is>
          <t>xe</t>
        </is>
      </c>
      <c r="AT159" t="inlineStr">
        <is>
          <t>ifv</t>
        </is>
      </c>
      <c r="AU159" t="n">
        <v>1</v>
      </c>
      <c r="AV159" t="inlineStr">
        <is>
          <t>ifv:0</t>
        </is>
      </c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0.15</v>
      </c>
      <c r="BB159" t="n">
        <v>800</v>
      </c>
      <c r="BC159" t="n">
        <v>300</v>
      </c>
      <c r="BD159" t="inlineStr">
        <is>
          <t>ac</t>
        </is>
      </c>
      <c r="BE159" t="inlineStr">
        <is>
          <t>Wikipedia '2A42': 550-800 high, 200-300 low rpm</t>
        </is>
      </c>
      <c r="BG159" t="inlineStr">
        <is>
          <t>giong</t>
        </is>
      </c>
      <c r="CR159" t="n">
        <v>10</v>
      </c>
      <c r="CS159" t="n">
        <v>0.1111</v>
      </c>
      <c r="CT159" t="n">
        <v>30</v>
      </c>
      <c r="CW159" t="n">
        <v>0</v>
      </c>
      <c r="CX159" t="n">
        <v>0</v>
      </c>
      <c r="DD159" t="n">
        <v>1.6111</v>
      </c>
      <c r="DJ159" t="inlineStr">
        <is>
          <t>autocannon</t>
        </is>
      </c>
      <c r="DT159" t="inlineStr">
        <is>
          <t>autocannon_30</t>
        </is>
      </c>
      <c r="EB159" t="n">
        <v>2</v>
      </c>
      <c r="EQ159" t="inlineStr">
        <is>
          <t>2A42 30 mm</t>
        </is>
      </c>
      <c r="EX159" t="n">
        <v>30</v>
      </c>
      <c r="GA159" t="inlineStr">
        <is>
          <t>2a42_30_mm</t>
        </is>
      </c>
      <c r="GD159" t="inlineStr">
        <is>
          <t>Assets/MachineBrigade/Resources/Data/balance.json: weapons[9]</t>
        </is>
      </c>
      <c r="GE159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60">
      <c r="A160" t="inlineStr">
        <is>
          <t>ifv_30_flak</t>
        </is>
      </c>
      <c r="B160" t="inlineStr">
        <is>
          <t>2A42 30 mm air-burst</t>
        </is>
      </c>
      <c r="C160" t="inlineStr">
        <is>
          <t>cal_30</t>
        </is>
      </c>
      <c r="D160" t="inlineStr">
        <is>
          <t>flak</t>
        </is>
      </c>
      <c r="E160" t="inlineStr">
        <is>
          <t>2a42_30_mm_air_burst</t>
        </is>
      </c>
      <c r="F160" t="inlineStr">
        <is>
          <t>autocannon</t>
        </is>
      </c>
      <c r="G160" t="n">
        <v>30</v>
      </c>
      <c r="H160" t="inlineStr"/>
      <c r="I160" t="inlineStr"/>
      <c r="J160" t="inlineStr"/>
      <c r="K160" t="inlineStr">
        <is>
          <t>Fragmentation</t>
        </is>
      </c>
      <c r="L160" t="n">
        <v>2</v>
      </c>
      <c r="M160" t="inlineStr">
        <is>
          <t>Bullet</t>
        </is>
      </c>
      <c r="N160" t="n">
        <v>1</v>
      </c>
      <c r="O160" t="inlineStr">
        <is>
          <t>RIPPLE</t>
        </is>
      </c>
      <c r="P160" t="n">
        <v>10</v>
      </c>
      <c r="Q160" t="n">
        <v>0.1111</v>
      </c>
      <c r="R160" t="n">
        <v>1.6111</v>
      </c>
      <c r="S160" t="n">
        <v>0</v>
      </c>
      <c r="T160" t="n">
        <v>0</v>
      </c>
      <c r="U160" t="n">
        <v>0</v>
      </c>
      <c r="V160" t="n">
        <v>0</v>
      </c>
      <c r="W160" t="n">
        <v>22</v>
      </c>
      <c r="X160" t="n">
        <v>2.5</v>
      </c>
      <c r="Y160" t="n">
        <v>0</v>
      </c>
      <c r="Z160" t="n">
        <v>200</v>
      </c>
      <c r="AA160" t="n">
        <v>30</v>
      </c>
      <c r="AB160" t="n">
        <v>0</v>
      </c>
      <c r="AC160" t="inlineStr">
        <is>
          <t>Air</t>
        </is>
      </c>
      <c r="AD160" t="inlineStr"/>
      <c r="AE160" t="n">
        <v>0.8</v>
      </c>
      <c r="AF160" t="inlineStr">
        <is>
          <t>Small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30</v>
      </c>
      <c r="AO160" t="n">
        <v>0</v>
      </c>
      <c r="AP160" t="inlineStr">
        <is>
          <t>T1</t>
        </is>
      </c>
      <c r="AQ160" t="inlineStr">
        <is>
          <t>ifv_30</t>
        </is>
      </c>
      <c r="AR160" t="inlineStr"/>
      <c r="AS160" t="inlineStr"/>
      <c r="AT160" t="inlineStr"/>
      <c r="AU160" t="n">
        <v>0</v>
      </c>
      <c r="AV160" t="inlineStr"/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0.15</v>
      </c>
      <c r="BB160" t="n">
        <v>800</v>
      </c>
      <c r="BC160" t="n">
        <v>300</v>
      </c>
      <c r="BD160" t="inlineStr">
        <is>
          <t>ac</t>
        </is>
      </c>
      <c r="BE160" t="inlineStr">
        <is>
          <t>Wikipedia '2A42': 550-800 high, 200-300 low rpm</t>
        </is>
      </c>
      <c r="BG160" t="inlineStr">
        <is>
          <t>giong</t>
        </is>
      </c>
      <c r="DE160" t="n">
        <v>22</v>
      </c>
      <c r="DF160" t="inlineStr">
        <is>
          <t>Fragmentation</t>
        </is>
      </c>
      <c r="DM160" t="inlineStr">
        <is>
          <t>air</t>
        </is>
      </c>
      <c r="DN160" t="inlineStr">
        <is>
          <t>Airburst</t>
        </is>
      </c>
      <c r="DT160" t="inlineStr">
        <is>
          <t>ifv_30</t>
        </is>
      </c>
      <c r="EB160" t="n">
        <v>2</v>
      </c>
      <c r="EE160" t="b">
        <v>0</v>
      </c>
      <c r="EQ160" t="inlineStr">
        <is>
          <t>2A42 30 mm air-burst</t>
        </is>
      </c>
      <c r="ES160" t="inlineStr">
        <is>
          <t>flak</t>
        </is>
      </c>
      <c r="EU160" t="inlineStr">
        <is>
          <t>ifv_30</t>
        </is>
      </c>
      <c r="EY160" t="n">
        <v>2.5</v>
      </c>
      <c r="FW160" t="inlineStr">
        <is>
          <t>Air</t>
        </is>
      </c>
      <c r="GA160" t="inlineStr">
        <is>
          <t>2a42_30_mm_air_burst</t>
        </is>
      </c>
      <c r="GC160" t="inlineStr">
        <is>
          <t>flak</t>
        </is>
      </c>
      <c r="GD160" t="inlineStr">
        <is>
          <t>Assets/MachineBrigade/Resources/Data/balance.json: secondRounds.rounds[47]</t>
        </is>
      </c>
      <c r="GE160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61">
      <c r="A161" t="inlineStr">
        <is>
          <t>igla_v</t>
        </is>
      </c>
      <c r="B161" t="inlineStr">
        <is>
          <t>9K38 Igla-V</t>
        </is>
      </c>
      <c r="C161" t="inlineStr">
        <is>
          <t>sam_9k38_igla_v</t>
        </is>
      </c>
      <c r="D161" t="inlineStr"/>
      <c r="E161" t="inlineStr"/>
      <c r="F161" t="inlineStr">
        <is>
          <t>aa_missile</t>
        </is>
      </c>
      <c r="G161" t="inlineStr"/>
      <c r="H161" t="n">
        <v>1.2</v>
      </c>
      <c r="I161" t="inlineStr"/>
      <c r="J161" t="inlineStr"/>
      <c r="K161" t="inlineStr">
        <is>
          <t>Fragmentation</t>
        </is>
      </c>
      <c r="L161" t="n">
        <v>2</v>
      </c>
      <c r="M161" t="inlineStr">
        <is>
          <t>Missile</t>
        </is>
      </c>
      <c r="N161" t="n">
        <v>1</v>
      </c>
      <c r="O161" t="inlineStr">
        <is>
          <t>RIPPLE</t>
        </is>
      </c>
      <c r="P161" t="n">
        <v>1</v>
      </c>
      <c r="Q161" t="n">
        <v>0.1</v>
      </c>
      <c r="R161" t="n">
        <v>8.33</v>
      </c>
      <c r="S161" t="n">
        <v>0</v>
      </c>
      <c r="T161" t="n">
        <v>0</v>
      </c>
      <c r="U161" t="n">
        <v>0</v>
      </c>
      <c r="V161" t="n">
        <v>0</v>
      </c>
      <c r="W161" t="n">
        <v>150</v>
      </c>
      <c r="X161" t="n">
        <v>1.5</v>
      </c>
      <c r="Y161" t="n">
        <v>0</v>
      </c>
      <c r="Z161" t="n">
        <v>105</v>
      </c>
      <c r="AA161" t="n">
        <v>32</v>
      </c>
      <c r="AB161" t="n">
        <v>0</v>
      </c>
      <c r="AC161" t="inlineStr">
        <is>
          <t>Air</t>
        </is>
      </c>
      <c r="AD161" t="inlineStr"/>
      <c r="AE161" t="n">
        <v>0</v>
      </c>
      <c r="AF161" t="inlineStr">
        <is>
          <t>Medium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1.2</v>
      </c>
      <c r="AO161" t="n">
        <v>2</v>
      </c>
      <c r="AP161" t="inlineStr">
        <is>
          <t>T2</t>
        </is>
      </c>
      <c r="AQ161" t="inlineStr"/>
      <c r="AR161" t="inlineStr"/>
      <c r="AS161" t="inlineStr"/>
      <c r="AT161" t="inlineStr"/>
      <c r="AU161" t="n">
        <v>0</v>
      </c>
      <c r="AV161" t="inlineStr"/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0.3047619047619048</v>
      </c>
      <c r="BB161" t="n">
        <v>20</v>
      </c>
      <c r="BC161" t="n">
        <v>10</v>
      </c>
      <c r="BD161" t="inlineStr">
        <is>
          <t>missile</t>
        </is>
      </c>
      <c r="BE161" t="inlineStr">
        <is>
          <t>air-launched Igla-V pairs, est. 3 s</t>
        </is>
      </c>
      <c r="BG161" t="inlineStr">
        <is>
          <t>doi</t>
        </is>
      </c>
      <c r="BR161" t="n">
        <v>24</v>
      </c>
      <c r="BS161" t="n">
        <v>105</v>
      </c>
      <c r="DD161" t="n">
        <v>8.33</v>
      </c>
      <c r="DE161" t="n">
        <v>150</v>
      </c>
      <c r="DF161" t="inlineStr">
        <is>
          <t>Fragmentation</t>
        </is>
      </c>
      <c r="DJ161" t="inlineStr">
        <is>
          <t>aa_missile</t>
        </is>
      </c>
      <c r="DS161" t="inlineStr">
        <is>
          <t>Medium</t>
        </is>
      </c>
      <c r="DW161" t="n">
        <v>2</v>
      </c>
      <c r="EB161" t="n">
        <v>2</v>
      </c>
      <c r="EH161" t="inlineStr">
        <is>
          <t>Missile</t>
        </is>
      </c>
      <c r="EI161" t="inlineStr">
        <is>
          <t>igla</t>
        </is>
      </c>
      <c r="EJ161" t="n">
        <v>0.78</v>
      </c>
      <c r="EK161" t="n">
        <v>105</v>
      </c>
      <c r="EP161" t="n">
        <v>32</v>
      </c>
      <c r="EQ161" t="inlineStr">
        <is>
          <t>9K38 Igla-V</t>
        </is>
      </c>
      <c r="EV161" t="n">
        <v>180</v>
      </c>
      <c r="EX161" t="n">
        <v>1.2</v>
      </c>
      <c r="EY161" t="n">
        <v>1.5</v>
      </c>
      <c r="FW161" t="inlineStr">
        <is>
          <t>Air</t>
        </is>
      </c>
      <c r="FZ161" t="n">
        <v>1.2</v>
      </c>
      <c r="GB161" t="inlineStr">
        <is>
          <t>sam_9k38_igla_v</t>
        </is>
      </c>
      <c r="GD161" t="inlineStr">
        <is>
          <t>Assets/MachineBrigade/Resources/Data/balance.json: weapons[65]</t>
        </is>
      </c>
      <c r="GE161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105,"splash":1.5,"impactTier":"Medium","projectile":"Missile","targets":"Air","roundWeight":180}</t>
        </is>
      </c>
    </row>
    <row r="162">
      <c r="A162" t="inlineStr">
        <is>
          <t>illum_flare</t>
        </is>
      </c>
      <c r="B162" t="inlineStr">
        <is>
          <t>Illumination flare</t>
        </is>
      </c>
      <c r="C162" t="inlineStr">
        <is>
          <t>special_illumination_flare</t>
        </is>
      </c>
      <c r="D162" t="inlineStr"/>
      <c r="E162" t="inlineStr"/>
      <c r="F162" t="inlineStr">
        <is>
          <t>special</t>
        </is>
      </c>
      <c r="G162" t="inlineStr"/>
      <c r="H162" t="inlineStr"/>
      <c r="I162" t="inlineStr"/>
      <c r="J162" t="inlineStr"/>
      <c r="K162" t="inlineStr">
        <is>
          <t>HighExplosive</t>
        </is>
      </c>
      <c r="L162" t="n">
        <v>0</v>
      </c>
      <c r="M162" t="inlineStr">
        <is>
          <t>Shell</t>
        </is>
      </c>
      <c r="N162" t="n">
        <v>1</v>
      </c>
      <c r="O162" t="inlineStr">
        <is>
          <t>RIPPLE</t>
        </is>
      </c>
      <c r="P162" t="n">
        <v>1</v>
      </c>
      <c r="Q162" t="n">
        <v>0.1</v>
      </c>
      <c r="R162" t="n">
        <v>15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35</v>
      </c>
      <c r="AA162" t="n">
        <v>40</v>
      </c>
      <c r="AB162" t="n">
        <v>0</v>
      </c>
      <c r="AC162" t="inlineStr">
        <is>
          <t>Ground</t>
        </is>
      </c>
      <c r="AD162" t="inlineStr"/>
      <c r="AE162" t="n">
        <v>0</v>
      </c>
      <c r="AF162" t="inlineStr">
        <is>
          <t>Small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81</v>
      </c>
      <c r="AO162" t="n">
        <v>0</v>
      </c>
      <c r="AP162" t="inlineStr">
        <is>
          <t>T0</t>
        </is>
      </c>
      <c r="AQ162" t="inlineStr"/>
      <c r="AR162" t="inlineStr"/>
      <c r="AS162" t="inlineStr">
        <is>
          <t>thap</t>
        </is>
      </c>
      <c r="AT162" t="inlineStr">
        <is>
          <t>flare_searchlight_tower;flare_tower</t>
        </is>
      </c>
      <c r="AU162" t="n">
        <v>2</v>
      </c>
      <c r="AV162" t="inlineStr">
        <is>
          <t>flare_searchlight_tower:0;flare_tower:0</t>
        </is>
      </c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1.142857142857143</v>
      </c>
      <c r="BB162" t="inlineStr">
        <is>
          <t>NEED_SOURCE</t>
        </is>
      </c>
      <c r="BC162" t="inlineStr">
        <is>
          <t>NEED_SOURCE</t>
        </is>
      </c>
      <c r="BE162" t="inlineStr">
        <is>
          <t>NEED_SOURCE</t>
        </is>
      </c>
      <c r="BG162" t="inlineStr">
        <is>
          <t>giong</t>
        </is>
      </c>
      <c r="DD162" t="n">
        <v>15</v>
      </c>
      <c r="DE162" t="n">
        <v>0</v>
      </c>
      <c r="DF162" t="inlineStr">
        <is>
          <t>HighExplosive</t>
        </is>
      </c>
      <c r="DJ162" t="inlineStr">
        <is>
          <t>special</t>
        </is>
      </c>
      <c r="DN162" t="inlineStr">
        <is>
          <t>None</t>
        </is>
      </c>
      <c r="DS162" t="inlineStr">
        <is>
          <t>Small</t>
        </is>
      </c>
      <c r="EB162" t="n">
        <v>0</v>
      </c>
      <c r="EH162" t="inlineStr">
        <is>
          <t>Shell</t>
        </is>
      </c>
      <c r="EK162" t="n">
        <v>35</v>
      </c>
      <c r="EP162" t="n">
        <v>40</v>
      </c>
      <c r="EQ162" t="inlineStr">
        <is>
          <t>Illumination flare</t>
        </is>
      </c>
      <c r="EX162" t="n">
        <v>81</v>
      </c>
      <c r="GB162" t="inlineStr">
        <is>
          <t>special_illumination_flare</t>
        </is>
      </c>
      <c r="GD162" t="inlineStr">
        <is>
          <t>Assets/MachineBrigade/Resources/Data/balance.json: weapons[282]</t>
        </is>
      </c>
      <c r="GE162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63">
      <c r="A163" t="inlineStr">
        <is>
          <t>jassm</t>
        </is>
      </c>
      <c r="B163" t="inlineStr">
        <is>
          <t>AGM-158 JASSM (450 kg)</t>
        </is>
      </c>
      <c r="C163" t="inlineStr">
        <is>
          <t>cruise_agm_158_jassm</t>
        </is>
      </c>
      <c r="D163" t="inlineStr"/>
      <c r="E163" t="inlineStr"/>
      <c r="F163" t="inlineStr">
        <is>
          <t>cruise</t>
        </is>
      </c>
      <c r="G163" t="inlineStr"/>
      <c r="H163" t="n">
        <v>450</v>
      </c>
      <c r="I163" t="inlineStr"/>
      <c r="J163" t="inlineStr"/>
      <c r="K163" t="inlineStr">
        <is>
          <t>HighExplosive</t>
        </is>
      </c>
      <c r="L163" t="n">
        <v>3</v>
      </c>
      <c r="M163" t="inlineStr">
        <is>
          <t>Missile</t>
        </is>
      </c>
      <c r="N163" t="n">
        <v>1</v>
      </c>
      <c r="O163" t="inlineStr">
        <is>
          <t>RIPPLE</t>
        </is>
      </c>
      <c r="P163" t="n">
        <v>2</v>
      </c>
      <c r="Q163" t="n">
        <v>0.6</v>
      </c>
      <c r="R163" t="n">
        <v>9.84</v>
      </c>
      <c r="S163" t="n">
        <v>0</v>
      </c>
      <c r="T163" t="n">
        <v>0</v>
      </c>
      <c r="U163" t="n">
        <v>0</v>
      </c>
      <c r="V163" t="n">
        <v>0</v>
      </c>
      <c r="W163" t="n">
        <v>410</v>
      </c>
      <c r="X163" t="n">
        <v>9</v>
      </c>
      <c r="Y163" t="n">
        <v>0</v>
      </c>
      <c r="Z163" t="n">
        <v>70</v>
      </c>
      <c r="AA163" t="n">
        <v>90</v>
      </c>
      <c r="AB163" t="n">
        <v>0</v>
      </c>
      <c r="AC163" t="inlineStr">
        <is>
          <t>Ground</t>
        </is>
      </c>
      <c r="AD163" t="inlineStr"/>
      <c r="AE163" t="n">
        <v>0</v>
      </c>
      <c r="AF163" t="inlineStr">
        <is>
          <t>Huge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450</v>
      </c>
      <c r="AO163" t="n">
        <v>4</v>
      </c>
      <c r="AP163" t="inlineStr">
        <is>
          <t>T4</t>
        </is>
      </c>
      <c r="AQ163" t="inlineStr"/>
      <c r="AR163" t="inlineStr"/>
      <c r="AS163" t="inlineStr">
        <is>
          <t>xe</t>
        </is>
      </c>
      <c r="AT163" t="inlineStr">
        <is>
          <t>stealth_bomber;swarm_carrier</t>
        </is>
      </c>
      <c r="AU163" t="n">
        <v>2</v>
      </c>
      <c r="AV163" t="inlineStr">
        <is>
          <t>stealth_bomber:1;swarm_carrier:1</t>
        </is>
      </c>
      <c r="AW163" t="n">
        <v>2.5</v>
      </c>
      <c r="AX163" t="b">
        <v>0</v>
      </c>
      <c r="AY163" t="inlineStr"/>
      <c r="AZ163">
        <f>IF(AND($AX$163,$AW$163&gt;$AA$163/$Z$163),$AW$163,$AA$163/$Z$163)</f>
        <v/>
      </c>
      <c r="BA163" t="n">
        <v>1.285714285714286</v>
      </c>
      <c r="BB163" t="n">
        <v>20</v>
      </c>
      <c r="BC163" t="n">
        <v>6</v>
      </c>
      <c r="BD163" t="inlineStr">
        <is>
          <t>missile</t>
        </is>
      </c>
      <c r="BE163" t="inlineStr">
        <is>
          <t>cruise missiles: ~3 s between launches (est.)</t>
        </is>
      </c>
      <c r="BG163" t="inlineStr">
        <is>
          <t>doi</t>
        </is>
      </c>
      <c r="BR163" t="n">
        <v>20</v>
      </c>
      <c r="BS163" t="n">
        <v>70</v>
      </c>
      <c r="CR163" t="n">
        <v>2</v>
      </c>
      <c r="CS163" t="n">
        <v>0.6</v>
      </c>
      <c r="DD163" t="n">
        <v>9.84</v>
      </c>
      <c r="DE163" t="n">
        <v>410</v>
      </c>
      <c r="DF163" t="inlineStr">
        <is>
          <t>HighExplosive</t>
        </is>
      </c>
      <c r="DJ163" t="inlineStr">
        <is>
          <t>cruise</t>
        </is>
      </c>
      <c r="DS163" t="inlineStr">
        <is>
          <t>Huge</t>
        </is>
      </c>
      <c r="DW163" t="n">
        <v>4</v>
      </c>
      <c r="EB163" t="n">
        <v>3</v>
      </c>
      <c r="EH163" t="inlineStr">
        <is>
          <t>Missile</t>
        </is>
      </c>
      <c r="EI163" t="inlineStr">
        <is>
          <t>jassm</t>
        </is>
      </c>
      <c r="EJ163" t="n">
        <v>0.7091</v>
      </c>
      <c r="EK163" t="n">
        <v>70</v>
      </c>
      <c r="EP163" t="n">
        <v>90</v>
      </c>
      <c r="EQ163" t="inlineStr">
        <is>
          <t>AGM-158 JASSM (450 kg)</t>
        </is>
      </c>
      <c r="ET163" t="n">
        <v>2.135</v>
      </c>
      <c r="EV163" t="n">
        <v>420</v>
      </c>
      <c r="EX163" t="n">
        <v>450</v>
      </c>
      <c r="EY163" t="n">
        <v>9</v>
      </c>
      <c r="FZ163" t="n">
        <v>450</v>
      </c>
      <c r="GB163" t="inlineStr">
        <is>
          <t>cruise_agm_158_jassm</t>
        </is>
      </c>
      <c r="GD163" t="inlineStr">
        <is>
          <t>Assets/MachineBrigade/Resources/Data/balance.json: weapons[67]</t>
        </is>
      </c>
      <c r="GE163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9,"impactTier":"Huge","projectile":"Missile","burst":2,"burstInterval":0.6,"roundWeight":420}</t>
        </is>
      </c>
    </row>
    <row r="164">
      <c r="A164" t="inlineStr">
        <is>
          <t>jet_bombs</t>
        </is>
      </c>
      <c r="B164" t="inlineStr">
        <is>
          <t>FAB-250 (250 kg)</t>
        </is>
      </c>
      <c r="C164" t="inlineStr">
        <is>
          <t>bomb_fab_250</t>
        </is>
      </c>
      <c r="D164" t="inlineStr"/>
      <c r="E164" t="inlineStr"/>
      <c r="F164" t="inlineStr">
        <is>
          <t>bomb</t>
        </is>
      </c>
      <c r="G164" t="inlineStr"/>
      <c r="H164" t="n">
        <v>250</v>
      </c>
      <c r="I164" t="inlineStr"/>
      <c r="J164" t="inlineStr"/>
      <c r="K164" t="inlineStr">
        <is>
          <t>HighExplosive</t>
        </is>
      </c>
      <c r="L164" t="n">
        <v>2</v>
      </c>
      <c r="M164" t="inlineStr">
        <is>
          <t>Bomb</t>
        </is>
      </c>
      <c r="N164" t="n">
        <v>1</v>
      </c>
      <c r="O164" t="inlineStr">
        <is>
          <t>RIPPLE</t>
        </is>
      </c>
      <c r="P164" t="n">
        <v>2</v>
      </c>
      <c r="Q164" t="n">
        <v>0.25</v>
      </c>
      <c r="R164" t="n">
        <v>10.05</v>
      </c>
      <c r="S164" t="n">
        <v>0</v>
      </c>
      <c r="T164" t="n">
        <v>0</v>
      </c>
      <c r="U164" t="n">
        <v>0</v>
      </c>
      <c r="V164" t="n">
        <v>0</v>
      </c>
      <c r="W164" t="n">
        <v>310</v>
      </c>
      <c r="X164" t="n">
        <v>8</v>
      </c>
      <c r="Y164" t="n">
        <v>0</v>
      </c>
      <c r="Z164" t="n">
        <v>35</v>
      </c>
      <c r="AA164" t="n">
        <v>26</v>
      </c>
      <c r="AB164" t="n">
        <v>0</v>
      </c>
      <c r="AC164" t="inlineStr">
        <is>
          <t>Ground</t>
        </is>
      </c>
      <c r="AD164" t="inlineStr"/>
      <c r="AE164" t="n">
        <v>3</v>
      </c>
      <c r="AF164" t="inlineStr">
        <is>
          <t>Huge</t>
        </is>
      </c>
      <c r="AG164" t="b">
        <v>1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250</v>
      </c>
      <c r="AO164" t="n">
        <v>3</v>
      </c>
      <c r="AP164" t="inlineStr">
        <is>
          <t>T3</t>
        </is>
      </c>
      <c r="AQ164" t="inlineStr"/>
      <c r="AR164" t="inlineStr"/>
      <c r="AS164" t="inlineStr">
        <is>
          <t>xe</t>
        </is>
      </c>
      <c r="AT164" t="inlineStr">
        <is>
          <t>attack_jet;elite_attack_jet;stealth_naval_strike</t>
        </is>
      </c>
      <c r="AU164" t="n">
        <v>3</v>
      </c>
      <c r="AV164" t="inlineStr">
        <is>
          <t>attack_jet:2;elite_attack_jet:2;stealth_naval_strike:1</t>
        </is>
      </c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0.7429</v>
      </c>
      <c r="BB164" t="n">
        <v>600</v>
      </c>
      <c r="BC164" t="inlineStr"/>
      <c r="BD164" t="inlineStr">
        <is>
          <t>bomb</t>
        </is>
      </c>
      <c r="BE164" t="inlineStr">
        <is>
          <t>a stick's release, 0.1 s and up (est.)</t>
        </is>
      </c>
      <c r="BG164" t="inlineStr">
        <is>
          <t>giong</t>
        </is>
      </c>
      <c r="CR164" t="n">
        <v>2</v>
      </c>
      <c r="CS164" t="n">
        <v>0.25</v>
      </c>
      <c r="DD164" t="n">
        <v>10.05</v>
      </c>
      <c r="DE164" t="n">
        <v>310</v>
      </c>
      <c r="DF164" t="inlineStr">
        <is>
          <t>HighExplosive</t>
        </is>
      </c>
      <c r="DJ164" t="inlineStr">
        <is>
          <t>bomb</t>
        </is>
      </c>
      <c r="DS164" t="inlineStr">
        <is>
          <t>Huge</t>
        </is>
      </c>
      <c r="DW164" t="n">
        <v>3</v>
      </c>
      <c r="EB164" t="n">
        <v>2</v>
      </c>
      <c r="EH164" t="inlineStr">
        <is>
          <t>Bomb</t>
        </is>
      </c>
      <c r="EI164" t="inlineStr">
        <is>
          <t>bomb_fab</t>
        </is>
      </c>
      <c r="EJ164" t="n">
        <v>0.5444</v>
      </c>
      <c r="EK164" t="n">
        <v>35</v>
      </c>
      <c r="EP164" t="n">
        <v>26</v>
      </c>
      <c r="EQ164" t="inlineStr">
        <is>
          <t>FAB-250 (250 kg)</t>
        </is>
      </c>
      <c r="ET164" t="n">
        <v>0.98</v>
      </c>
      <c r="EV164" t="n">
        <v>351</v>
      </c>
      <c r="EX164" t="n">
        <v>250</v>
      </c>
      <c r="EY164" t="n">
        <v>8</v>
      </c>
      <c r="EZ164" t="n">
        <v>3</v>
      </c>
      <c r="FA164" t="inlineStr">
        <is>
          <t>CENTER</t>
        </is>
      </c>
      <c r="FB164" t="n">
        <v>1</v>
      </c>
      <c r="FC164" t="n">
        <v>2</v>
      </c>
      <c r="FD164" t="inlineStr">
        <is>
          <t>OVERFLY</t>
        </is>
      </c>
      <c r="FE164" t="n">
        <v>40</v>
      </c>
      <c r="FF164" t="n">
        <v>1.225</v>
      </c>
      <c r="FG164" t="inlineStr">
        <is>
          <t>APPROACH</t>
        </is>
      </c>
      <c r="FH164" t="n">
        <v>0.3438</v>
      </c>
      <c r="FI164" t="n">
        <v>2</v>
      </c>
      <c r="FJ164" t="n">
        <v>1.32</v>
      </c>
      <c r="FK164" t="n">
        <v>31.4</v>
      </c>
      <c r="FL164" t="n">
        <v>8.800000000000001</v>
      </c>
      <c r="FM164" t="n">
        <v>3</v>
      </c>
      <c r="FN164" t="inlineStr">
        <is>
          <t>STICK</t>
        </is>
      </c>
      <c r="FO164" t="n">
        <v>0.909</v>
      </c>
      <c r="FP164" t="n">
        <v>25.6</v>
      </c>
      <c r="FQ164" t="n">
        <v>8</v>
      </c>
      <c r="FR164" t="n">
        <v>8.800000000000001</v>
      </c>
      <c r="FS164" t="n">
        <v>2.57</v>
      </c>
      <c r="FT164" t="inlineStr">
        <is>
          <t>NONE</t>
        </is>
      </c>
      <c r="FU164" t="n">
        <v>20</v>
      </c>
      <c r="FY164" t="b">
        <v>1</v>
      </c>
      <c r="FZ164" t="n">
        <v>250</v>
      </c>
      <c r="GB164" t="inlineStr">
        <is>
          <t>bomb_fab_250</t>
        </is>
      </c>
      <c r="GD164" t="inlineStr">
        <is>
          <t>Assets/MachineBrigade/Resources/Data/balance.json: weapons[40]</t>
        </is>
      </c>
      <c r="GE164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5">
      <c r="A165" t="inlineStr">
        <is>
          <t>jet_cannon</t>
        </is>
      </c>
      <c r="B165" t="inlineStr">
        <is>
          <t>GSh-30-2 30 mm</t>
        </is>
      </c>
      <c r="C165" t="inlineStr">
        <is>
          <t>cal_30</t>
        </is>
      </c>
      <c r="D165" t="inlineStr"/>
      <c r="E165" t="inlineStr"/>
      <c r="F165" t="inlineStr">
        <is>
          <t>autocannon</t>
        </is>
      </c>
      <c r="G165" t="n">
        <v>30</v>
      </c>
      <c r="H165" t="inlineStr"/>
      <c r="I165" t="inlineStr"/>
      <c r="J165" t="inlineStr"/>
      <c r="K165" t="inlineStr">
        <is>
          <t>Kinetic</t>
        </is>
      </c>
      <c r="L165" t="n">
        <v>2</v>
      </c>
      <c r="M165" t="inlineStr">
        <is>
          <t>Bullet</t>
        </is>
      </c>
      <c r="N165" t="n">
        <v>1</v>
      </c>
      <c r="O165" t="inlineStr">
        <is>
          <t>RIPPLE</t>
        </is>
      </c>
      <c r="P165" t="n">
        <v>1</v>
      </c>
      <c r="Q165" t="n">
        <v>0.1</v>
      </c>
      <c r="R165" t="n">
        <v>0.0526</v>
      </c>
      <c r="S165" t="n">
        <v>70</v>
      </c>
      <c r="T165" t="n">
        <v>1.5526</v>
      </c>
      <c r="U165" t="n">
        <v>0</v>
      </c>
      <c r="V165" t="n">
        <v>0</v>
      </c>
      <c r="W165" t="n">
        <v>23</v>
      </c>
      <c r="X165" t="n">
        <v>0</v>
      </c>
      <c r="Y165" t="n">
        <v>0</v>
      </c>
      <c r="Z165" t="n">
        <v>300</v>
      </c>
      <c r="AA165" t="n">
        <v>30</v>
      </c>
      <c r="AB165" t="n">
        <v>0</v>
      </c>
      <c r="AC165" t="inlineStr">
        <is>
          <t>Ground</t>
        </is>
      </c>
      <c r="AD165" t="inlineStr"/>
      <c r="AE165" t="n">
        <v>2.5</v>
      </c>
      <c r="AF165" t="inlineStr">
        <is>
          <t>Small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30</v>
      </c>
      <c r="AO165" t="n">
        <v>0</v>
      </c>
      <c r="AP165" t="inlineStr">
        <is>
          <t>T1</t>
        </is>
      </c>
      <c r="AQ165" t="inlineStr"/>
      <c r="AR165" t="inlineStr">
        <is>
          <t>jet_cannon_flak</t>
        </is>
      </c>
      <c r="AS165" t="inlineStr">
        <is>
          <t>xe</t>
        </is>
      </c>
      <c r="AT165" t="inlineStr">
        <is>
          <t>attack_jet;elite_attack_jet</t>
        </is>
      </c>
      <c r="AU165" t="n">
        <v>2</v>
      </c>
      <c r="AV165" t="inlineStr">
        <is>
          <t>attack_jet:0;elite_attack_jet:0</t>
        </is>
      </c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0.1</v>
      </c>
      <c r="BB165" t="n">
        <v>3000</v>
      </c>
      <c r="BC165" t="inlineStr"/>
      <c r="BD165" t="inlineStr">
        <is>
          <t>ac</t>
        </is>
      </c>
      <c r="BE165" t="inlineStr">
        <is>
          <t>Wikipedia 'GSh-30-2': 3,000 rpm</t>
        </is>
      </c>
      <c r="BG165" t="inlineStr">
        <is>
          <t>giong</t>
        </is>
      </c>
      <c r="CT165" t="n">
        <v>30</v>
      </c>
      <c r="CW165" t="n">
        <v>70</v>
      </c>
      <c r="CX165" t="n">
        <v>1.5526</v>
      </c>
      <c r="DD165" t="n">
        <v>0.0526</v>
      </c>
      <c r="DE165" t="n">
        <v>23</v>
      </c>
      <c r="DF165" t="inlineStr">
        <is>
          <t>Kinetic</t>
        </is>
      </c>
      <c r="DJ165" t="inlineStr">
        <is>
          <t>autocannon</t>
        </is>
      </c>
      <c r="DS165" t="inlineStr">
        <is>
          <t>Small</t>
        </is>
      </c>
      <c r="EB165" t="n">
        <v>2</v>
      </c>
      <c r="EE165" t="b">
        <v>1</v>
      </c>
      <c r="EH165" t="inlineStr">
        <is>
          <t>Bullet</t>
        </is>
      </c>
      <c r="EK165" t="n">
        <v>300</v>
      </c>
      <c r="EP165" t="n">
        <v>30</v>
      </c>
      <c r="EQ165" t="inlineStr">
        <is>
          <t>GSh-30-2 30 mm</t>
        </is>
      </c>
      <c r="EX165" t="n">
        <v>30</v>
      </c>
      <c r="EZ165" t="n">
        <v>2.5</v>
      </c>
      <c r="GB165" t="inlineStr">
        <is>
          <t>cal_30</t>
        </is>
      </c>
      <c r="GD165" t="inlineStr">
        <is>
          <t>Assets/MachineBrigade/Resources/Data/balance.json: weapons[38]</t>
        </is>
      </c>
      <c r="GE165" t="inlineStr">
        <is>
          <t>{"id":"jet_cannon","weaponFamilyId":"cal_30","real":"GSh-30-2 30 mm","family":"autocannon","size":30,"caliberMm":30,"pen":2,"piercing":true,"damageType":"Kinetic","damage":23,"cooldown":0.0526,"range":30,"projectileSpeed":300,"spread":2.5,"impactTier":"Small","projectile":"Bullet","clip":70,"clipReload":1.5526}</t>
        </is>
      </c>
    </row>
    <row r="166">
      <c r="A166" t="inlineStr">
        <is>
          <t>jet_cannon_flak</t>
        </is>
      </c>
      <c r="B166" t="inlineStr">
        <is>
          <t>GSh-30-2 30 mm air-burst</t>
        </is>
      </c>
      <c r="C166" t="inlineStr">
        <is>
          <t>cal_30</t>
        </is>
      </c>
      <c r="D166" t="inlineStr">
        <is>
          <t>flak</t>
        </is>
      </c>
      <c r="E166" t="inlineStr"/>
      <c r="F166" t="inlineStr">
        <is>
          <t>autocannon</t>
        </is>
      </c>
      <c r="G166" t="n">
        <v>30</v>
      </c>
      <c r="H166" t="inlineStr"/>
      <c r="I166" t="inlineStr"/>
      <c r="J166" t="inlineStr"/>
      <c r="K166" t="inlineStr">
        <is>
          <t>Fragmentation</t>
        </is>
      </c>
      <c r="L166" t="n">
        <v>2</v>
      </c>
      <c r="M166" t="inlineStr">
        <is>
          <t>Bullet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0.0526</v>
      </c>
      <c r="S166" t="n">
        <v>70</v>
      </c>
      <c r="T166" t="n">
        <v>1.5526</v>
      </c>
      <c r="U166" t="n">
        <v>0</v>
      </c>
      <c r="V166" t="n">
        <v>0</v>
      </c>
      <c r="W166" t="n">
        <v>23</v>
      </c>
      <c r="X166" t="n">
        <v>2.5</v>
      </c>
      <c r="Y166" t="n">
        <v>0</v>
      </c>
      <c r="Z166" t="n">
        <v>300</v>
      </c>
      <c r="AA166" t="n">
        <v>30</v>
      </c>
      <c r="AB166" t="n">
        <v>0</v>
      </c>
      <c r="AC166" t="inlineStr">
        <is>
          <t>Air</t>
        </is>
      </c>
      <c r="AD166" t="inlineStr"/>
      <c r="AE166" t="n">
        <v>2.5</v>
      </c>
      <c r="AF166" t="inlineStr">
        <is>
          <t>Small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30</v>
      </c>
      <c r="AO166" t="n">
        <v>0</v>
      </c>
      <c r="AP166" t="inlineStr">
        <is>
          <t>T1</t>
        </is>
      </c>
      <c r="AQ166" t="inlineStr">
        <is>
          <t>jet_cannon</t>
        </is>
      </c>
      <c r="AR166" t="inlineStr"/>
      <c r="AS166" t="inlineStr"/>
      <c r="AT166" t="inlineStr"/>
      <c r="AU166" t="n">
        <v>0</v>
      </c>
      <c r="AV166" t="inlineStr"/>
      <c r="AW166" t="n">
        <v>0</v>
      </c>
      <c r="AX166" t="b">
        <v>0</v>
      </c>
      <c r="AY166" t="inlineStr"/>
      <c r="AZ166">
        <f>IF(AND($AX$166,$AW$166&gt;$AA$166/$Z$166),$AW$166,$AA$166/$Z$166)</f>
        <v/>
      </c>
      <c r="BA166" t="n">
        <v>0.1</v>
      </c>
      <c r="BB166" t="n">
        <v>3000</v>
      </c>
      <c r="BC166" t="inlineStr"/>
      <c r="BD166" t="inlineStr">
        <is>
          <t>ac</t>
        </is>
      </c>
      <c r="BE166" t="inlineStr">
        <is>
          <t>Wikipedia 'GSh-30-2': 3,000 rpm</t>
        </is>
      </c>
      <c r="BG166" t="inlineStr">
        <is>
          <t>giong</t>
        </is>
      </c>
      <c r="DE166" t="n">
        <v>23</v>
      </c>
      <c r="DF166" t="inlineStr">
        <is>
          <t>Fragmentation</t>
        </is>
      </c>
      <c r="DM166" t="inlineStr">
        <is>
          <t>air</t>
        </is>
      </c>
      <c r="DN166" t="inlineStr">
        <is>
          <t>Airburst</t>
        </is>
      </c>
      <c r="DT166" t="inlineStr">
        <is>
          <t>jet_cannon</t>
        </is>
      </c>
      <c r="EB166" t="n">
        <v>2</v>
      </c>
      <c r="EE166" t="b">
        <v>0</v>
      </c>
      <c r="EQ166" t="inlineStr">
        <is>
          <t>GSh-30-2 30 mm air-burst</t>
        </is>
      </c>
      <c r="ES166" t="inlineStr">
        <is>
          <t>flak</t>
        </is>
      </c>
      <c r="EU166" t="inlineStr">
        <is>
          <t>jet_cannon</t>
        </is>
      </c>
      <c r="EY166" t="n">
        <v>2.5</v>
      </c>
      <c r="FW166" t="inlineStr">
        <is>
          <t>Air</t>
        </is>
      </c>
      <c r="GA166" t="inlineStr"/>
      <c r="GC166" t="inlineStr">
        <is>
          <t>flak</t>
        </is>
      </c>
      <c r="GD166" t="inlineStr">
        <is>
          <t>Assets/MachineBrigade/Resources/Data/balance.json: secondRounds.rounds[48]</t>
        </is>
      </c>
      <c r="GE166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67">
      <c r="A167" t="inlineStr">
        <is>
          <t>jet_rockets</t>
        </is>
      </c>
      <c r="B167" t="inlineStr">
        <is>
          <t>Hydra 70 mm</t>
        </is>
      </c>
      <c r="C167" t="inlineStr">
        <is>
          <t>rkt_70_80</t>
        </is>
      </c>
      <c r="D167" t="inlineStr"/>
      <c r="E167" t="inlineStr">
        <is>
          <t>hydra_70_mm_jet</t>
        </is>
      </c>
      <c r="F167" t="inlineStr">
        <is>
          <t>rocket</t>
        </is>
      </c>
      <c r="G167" t="n">
        <v>70</v>
      </c>
      <c r="H167" t="inlineStr"/>
      <c r="I167" t="inlineStr"/>
      <c r="J167" t="inlineStr"/>
      <c r="K167" t="inlineStr">
        <is>
          <t>HighExplosive</t>
        </is>
      </c>
      <c r="L167" t="n">
        <v>2</v>
      </c>
      <c r="M167" t="inlineStr">
        <is>
          <t>Rocket</t>
        </is>
      </c>
      <c r="N167" t="n">
        <v>1</v>
      </c>
      <c r="O167" t="inlineStr">
        <is>
          <t>RIPPLE</t>
        </is>
      </c>
      <c r="P167" t="n">
        <v>7</v>
      </c>
      <c r="Q167" t="n">
        <v>0.08</v>
      </c>
      <c r="R167" t="n">
        <v>2.55</v>
      </c>
      <c r="S167" t="n">
        <v>0</v>
      </c>
      <c r="T167" t="n">
        <v>0</v>
      </c>
      <c r="U167" t="n">
        <v>0</v>
      </c>
      <c r="V167" t="n">
        <v>0</v>
      </c>
      <c r="W167" t="n">
        <v>30</v>
      </c>
      <c r="X167" t="n">
        <v>3</v>
      </c>
      <c r="Y167" t="n">
        <v>0</v>
      </c>
      <c r="Z167" t="n">
        <v>100</v>
      </c>
      <c r="AA167" t="n">
        <v>36</v>
      </c>
      <c r="AB167" t="n">
        <v>0</v>
      </c>
      <c r="AC167" t="inlineStr">
        <is>
          <t>Ground</t>
        </is>
      </c>
      <c r="AD167" t="inlineStr"/>
      <c r="AE167" t="n">
        <v>4</v>
      </c>
      <c r="AF167" t="inlineStr">
        <is>
          <t>Medium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70</v>
      </c>
      <c r="AO167" t="n">
        <v>14</v>
      </c>
      <c r="AP167" t="inlineStr">
        <is>
          <t>T2</t>
        </is>
      </c>
      <c r="AQ167" t="inlineStr"/>
      <c r="AR167" t="inlineStr"/>
      <c r="AS167" t="inlineStr"/>
      <c r="AT167" t="inlineStr"/>
      <c r="AU167" t="n">
        <v>0</v>
      </c>
      <c r="AV167" t="inlineStr"/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0.36</v>
      </c>
      <c r="BB167" t="n">
        <v>900</v>
      </c>
      <c r="BC167" t="inlineStr"/>
      <c r="BD167" t="inlineStr">
        <is>
          <t>rocket</t>
        </is>
      </c>
      <c r="BE167" t="inlineStr">
        <is>
          <t>rocket pods: ripples of 0.05-0.12 s (DECISIONS 19R)</t>
        </is>
      </c>
      <c r="BG167" t="inlineStr">
        <is>
          <t>doi</t>
        </is>
      </c>
      <c r="BR167" t="n">
        <v>40</v>
      </c>
      <c r="BS167" t="n">
        <v>100</v>
      </c>
      <c r="CR167" t="n">
        <v>7</v>
      </c>
      <c r="CS167" t="n">
        <v>0.08</v>
      </c>
      <c r="CT167" t="n">
        <v>70</v>
      </c>
      <c r="DD167" t="n">
        <v>2.55</v>
      </c>
      <c r="DE167" t="n">
        <v>30</v>
      </c>
      <c r="DF167" t="inlineStr">
        <is>
          <t>HighExplosive</t>
        </is>
      </c>
      <c r="DJ167" t="inlineStr">
        <is>
          <t>rocket</t>
        </is>
      </c>
      <c r="DS167" t="inlineStr">
        <is>
          <t>Medium</t>
        </is>
      </c>
      <c r="DW167" t="n">
        <v>14</v>
      </c>
      <c r="EB167" t="n">
        <v>2</v>
      </c>
      <c r="EH167" t="inlineStr">
        <is>
          <t>Rocket</t>
        </is>
      </c>
      <c r="EP167" t="n">
        <v>36</v>
      </c>
      <c r="EQ167" t="inlineStr">
        <is>
          <t>Hydra 70 mm</t>
        </is>
      </c>
      <c r="EX167" t="n">
        <v>70</v>
      </c>
      <c r="EZ167" t="n">
        <v>4</v>
      </c>
      <c r="GA167" t="inlineStr">
        <is>
          <t>hydra_70_mm_jet</t>
        </is>
      </c>
      <c r="GB167" t="inlineStr">
        <is>
          <t>rkt_70_80</t>
        </is>
      </c>
      <c r="GD167" t="inlineStr">
        <is>
          <t>Assets/MachineBrigade/Resources/Data/balance.json: weapons[39]</t>
        </is>
      </c>
      <c r="GE167" t="inlineStr">
        <is>
          <t>{"id":"jet_rockets","weaponFamilyId":"rkt_70_80","weaponFamily":"hydra_70_mm_jet","load":14,"real":"Hydra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68">
      <c r="A168" t="inlineStr">
        <is>
          <t>kh29</t>
        </is>
      </c>
      <c r="B168" t="inlineStr">
        <is>
          <t>Kh-29L</t>
        </is>
      </c>
      <c r="C168" t="inlineStr">
        <is>
          <t>atgm_kh_29l</t>
        </is>
      </c>
      <c r="D168" t="inlineStr"/>
      <c r="E168" t="inlineStr"/>
      <c r="F168" t="inlineStr">
        <is>
          <t>atgm</t>
        </is>
      </c>
      <c r="G168" t="inlineStr"/>
      <c r="H168" t="n">
        <v>320</v>
      </c>
      <c r="I168" t="inlineStr"/>
      <c r="J168" t="inlineStr"/>
      <c r="K168" t="inlineStr">
        <is>
          <t>ShapedCharge</t>
        </is>
      </c>
      <c r="L168" t="n">
        <v>4</v>
      </c>
      <c r="M168" t="inlineStr">
        <is>
          <t>Missile</t>
        </is>
      </c>
      <c r="N168" t="n">
        <v>1</v>
      </c>
      <c r="O168" t="inlineStr">
        <is>
          <t>RIPPLE</t>
        </is>
      </c>
      <c r="P168" t="n">
        <v>1</v>
      </c>
      <c r="Q168" t="n">
        <v>0.1</v>
      </c>
      <c r="R168" t="n">
        <v>7.86</v>
      </c>
      <c r="S168" t="n">
        <v>0</v>
      </c>
      <c r="T168" t="n">
        <v>0</v>
      </c>
      <c r="U168" t="n">
        <v>0</v>
      </c>
      <c r="V168" t="n">
        <v>0</v>
      </c>
      <c r="W168" t="n">
        <v>378</v>
      </c>
      <c r="X168" t="n">
        <v>7</v>
      </c>
      <c r="Y168" t="n">
        <v>14</v>
      </c>
      <c r="Z168" t="n">
        <v>80</v>
      </c>
      <c r="AA168" t="n">
        <v>40</v>
      </c>
      <c r="AB168" t="n">
        <v>0</v>
      </c>
      <c r="AC168" t="inlineStr">
        <is>
          <t>Ground</t>
        </is>
      </c>
      <c r="AD168" t="inlineStr"/>
      <c r="AE168" t="n">
        <v>0</v>
      </c>
      <c r="AF168" t="inlineStr">
        <is>
          <t>Large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680</v>
      </c>
      <c r="AO168" t="n">
        <v>2</v>
      </c>
      <c r="AP168" t="inlineStr">
        <is>
          <t>T4</t>
        </is>
      </c>
      <c r="AQ168" t="inlineStr"/>
      <c r="AR168" t="inlineStr"/>
      <c r="AS168" t="inlineStr">
        <is>
          <t>xe</t>
        </is>
      </c>
      <c r="AT168" t="inlineStr">
        <is>
          <t>attack_jet;elite_attack_jet</t>
        </is>
      </c>
      <c r="AU168" t="n">
        <v>2</v>
      </c>
      <c r="AV168" t="inlineStr">
        <is>
          <t>attack_jet:3;elite_attack_jet:3</t>
        </is>
      </c>
      <c r="AW168" t="n">
        <v>2.5</v>
      </c>
      <c r="AX168" t="b">
        <v>0</v>
      </c>
      <c r="AY168" t="inlineStr"/>
      <c r="AZ168">
        <f>IF(AND($AX$168,$AW$168&gt;$AA$168/$Z$168),$AW$168,$AA$168/$Z$168)</f>
        <v/>
      </c>
      <c r="BA168" t="n">
        <v>0.5</v>
      </c>
      <c r="BB168" t="n">
        <v>60</v>
      </c>
      <c r="BC168" t="n">
        <v>10</v>
      </c>
      <c r="BD168" t="inlineStr">
        <is>
          <t>atgm</t>
        </is>
      </c>
      <c r="BE168" t="inlineStr">
        <is>
          <t>air-launched: ripples ~1 s apart, est. 6 s an aimed shot</t>
        </is>
      </c>
      <c r="BG168" t="inlineStr">
        <is>
          <t>doi</t>
        </is>
      </c>
      <c r="BN168" t="n">
        <v>0</v>
      </c>
      <c r="BO168" t="n">
        <v>7</v>
      </c>
      <c r="BP168" t="n">
        <v>0</v>
      </c>
      <c r="BQ168" t="n">
        <v>14</v>
      </c>
      <c r="BR168" t="n">
        <v>32</v>
      </c>
      <c r="BS168" t="n">
        <v>80</v>
      </c>
      <c r="DD168" t="n">
        <v>7.86</v>
      </c>
      <c r="DE168" t="n">
        <v>378</v>
      </c>
      <c r="DF168" t="inlineStr">
        <is>
          <t>ShapedCharge</t>
        </is>
      </c>
      <c r="DG168" t="n">
        <v>14</v>
      </c>
      <c r="DJ168" t="inlineStr">
        <is>
          <t>atgm</t>
        </is>
      </c>
      <c r="DS168" t="inlineStr">
        <is>
          <t>Large</t>
        </is>
      </c>
      <c r="DW168" t="n">
        <v>2</v>
      </c>
      <c r="EB168" t="n">
        <v>4</v>
      </c>
      <c r="EE168" t="b">
        <v>1</v>
      </c>
      <c r="EH168" t="inlineStr">
        <is>
          <t>Missile</t>
        </is>
      </c>
      <c r="EI168" t="inlineStr">
        <is>
          <t>kh29l</t>
        </is>
      </c>
      <c r="EJ168" t="n">
        <v>0.975</v>
      </c>
      <c r="EK168" t="n">
        <v>80</v>
      </c>
      <c r="EP168" t="n">
        <v>40</v>
      </c>
      <c r="EQ168" t="inlineStr">
        <is>
          <t>Kh-29L</t>
        </is>
      </c>
      <c r="ET168" t="n">
        <v>1.95</v>
      </c>
      <c r="EV168" t="n">
        <v>690</v>
      </c>
      <c r="EX168" t="n">
        <v>680</v>
      </c>
      <c r="EY168" t="n">
        <v>7</v>
      </c>
      <c r="FZ168" t="n">
        <v>320</v>
      </c>
      <c r="GB168" t="inlineStr">
        <is>
          <t>atgm_kh_29l</t>
        </is>
      </c>
      <c r="GD168" t="inlineStr">
        <is>
          <t>Assets/MachineBrigade/Resources/Data/balance.json: weapons[69]</t>
        </is>
      </c>
      <c r="GE168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378,"cooldown":7.86,"range":40,"projectileSpeed":80,"splash":7,"edge":14,"impactTier":"Large","projectile":"Missile","roundWeight":690}</t>
        </is>
      </c>
    </row>
    <row r="169">
      <c r="A169" t="inlineStr">
        <is>
          <t>kornet_multi</t>
        </is>
      </c>
      <c r="B169" t="inlineStr">
        <is>
          <t>9M133 Kornet</t>
        </is>
      </c>
      <c r="C169" t="inlineStr">
        <is>
          <t>atgm_kornet</t>
        </is>
      </c>
      <c r="D169" t="inlineStr"/>
      <c r="E169" t="inlineStr">
        <is>
          <t>9m133_kornet</t>
        </is>
      </c>
      <c r="F169" t="inlineStr">
        <is>
          <t>atgm</t>
        </is>
      </c>
      <c r="G169" t="inlineStr"/>
      <c r="H169" t="n">
        <v>7</v>
      </c>
      <c r="I169" t="inlineStr"/>
      <c r="J169" t="inlineStr"/>
      <c r="K169" t="inlineStr">
        <is>
          <t>ShapedCharge</t>
        </is>
      </c>
      <c r="L169" t="n">
        <v>4</v>
      </c>
      <c r="M169" t="inlineStr">
        <is>
          <t>Missile</t>
        </is>
      </c>
      <c r="N169" t="n">
        <v>1</v>
      </c>
      <c r="O169" t="inlineStr">
        <is>
          <t>RIPPLE</t>
        </is>
      </c>
      <c r="P169" t="n">
        <v>2</v>
      </c>
      <c r="Q169" t="n">
        <v>0.6</v>
      </c>
      <c r="R169" t="n">
        <v>4.95</v>
      </c>
      <c r="S169" t="n">
        <v>0</v>
      </c>
      <c r="T169" t="n">
        <v>0</v>
      </c>
      <c r="U169" t="n">
        <v>0</v>
      </c>
      <c r="V169" t="n">
        <v>0</v>
      </c>
      <c r="W169" t="n">
        <v>230</v>
      </c>
      <c r="X169" t="n">
        <v>0</v>
      </c>
      <c r="Y169" t="n">
        <v>0</v>
      </c>
      <c r="Z169" t="n">
        <v>80</v>
      </c>
      <c r="AA169" t="n">
        <v>50</v>
      </c>
      <c r="AB169" t="n">
        <v>0</v>
      </c>
      <c r="AC169" t="inlineStr">
        <is>
          <t>All</t>
        </is>
      </c>
      <c r="AD169" t="inlineStr"/>
      <c r="AE169" t="n">
        <v>0</v>
      </c>
      <c r="AF169" t="inlineStr">
        <is>
          <t>Medium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29</v>
      </c>
      <c r="AO169" t="n">
        <v>0</v>
      </c>
      <c r="AP169" t="inlineStr">
        <is>
          <t>T2</t>
        </is>
      </c>
      <c r="AQ169" t="inlineStr">
        <is>
          <t>tower_kornet</t>
        </is>
      </c>
      <c r="AR169" t="inlineStr"/>
      <c r="AS169" t="inlineStr">
        <is>
          <t>thap</t>
        </is>
      </c>
      <c r="AT169" t="inlineStr">
        <is>
          <t>atgm_tower.multi</t>
        </is>
      </c>
      <c r="AU169" t="n">
        <v>1</v>
      </c>
      <c r="AV169" t="inlineStr">
        <is>
          <t>atgm_tower.multi:0</t>
        </is>
      </c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0.625</v>
      </c>
      <c r="BB169" t="n">
        <v>3</v>
      </c>
      <c r="BC169" t="n">
        <v>3</v>
      </c>
      <c r="BD169" t="inlineStr">
        <is>
          <t>atgm</t>
        </is>
      </c>
      <c r="BE169" t="inlineStr">
        <is>
          <t>Wikipedia '9M133 Kornet': 2-3 rpm</t>
        </is>
      </c>
      <c r="BG169" t="inlineStr">
        <is>
          <t>doi</t>
        </is>
      </c>
      <c r="BR169" t="n">
        <v>22</v>
      </c>
      <c r="BS169" t="n">
        <v>80</v>
      </c>
      <c r="DD169" t="n">
        <v>4.95</v>
      </c>
      <c r="DJ169" t="inlineStr">
        <is>
          <t>atgm</t>
        </is>
      </c>
      <c r="DT169" t="inlineStr">
        <is>
          <t>tower_kornet</t>
        </is>
      </c>
      <c r="EB169" t="n">
        <v>4</v>
      </c>
      <c r="EQ169" t="inlineStr">
        <is>
          <t>9M133 Kornet</t>
        </is>
      </c>
      <c r="EX169" t="n">
        <v>29</v>
      </c>
      <c r="FW169" t="inlineStr">
        <is>
          <t>All</t>
        </is>
      </c>
      <c r="FZ169" t="n">
        <v>7</v>
      </c>
      <c r="GA169" t="inlineStr">
        <is>
          <t>9m133_kornet</t>
        </is>
      </c>
      <c r="GD169" t="inlineStr">
        <is>
          <t>Assets/MachineBrigade/Resources/Data/balance.json: weapons[118]</t>
        </is>
      </c>
      <c r="GE169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70">
      <c r="A170" t="inlineStr">
        <is>
          <t>kornet_top</t>
        </is>
      </c>
      <c r="B170" t="inlineStr">
        <is>
          <t>9M133 Kornet</t>
        </is>
      </c>
      <c r="C170" t="inlineStr">
        <is>
          <t>atgm_kornet</t>
        </is>
      </c>
      <c r="D170" t="inlineStr"/>
      <c r="E170" t="inlineStr">
        <is>
          <t>9m133_kornet</t>
        </is>
      </c>
      <c r="F170" t="inlineStr">
        <is>
          <t>atgm</t>
        </is>
      </c>
      <c r="G170" t="inlineStr"/>
      <c r="H170" t="n">
        <v>7</v>
      </c>
      <c r="I170" t="inlineStr"/>
      <c r="J170" t="inlineStr"/>
      <c r="K170" t="inlineStr">
        <is>
          <t>ShapedCharge</t>
        </is>
      </c>
      <c r="L170" t="n">
        <v>4</v>
      </c>
      <c r="M170" t="inlineStr">
        <is>
          <t>Missile</t>
        </is>
      </c>
      <c r="N170" t="n">
        <v>1</v>
      </c>
      <c r="O170" t="inlineStr">
        <is>
          <t>RIPPLE</t>
        </is>
      </c>
      <c r="P170" t="n">
        <v>2</v>
      </c>
      <c r="Q170" t="n">
        <v>0.6</v>
      </c>
      <c r="R170" t="n">
        <v>4.6</v>
      </c>
      <c r="S170" t="n">
        <v>0</v>
      </c>
      <c r="T170" t="n">
        <v>0</v>
      </c>
      <c r="U170" t="n">
        <v>0</v>
      </c>
      <c r="V170" t="n">
        <v>0</v>
      </c>
      <c r="W170" t="n">
        <v>230</v>
      </c>
      <c r="X170" t="n">
        <v>0</v>
      </c>
      <c r="Y170" t="n">
        <v>0</v>
      </c>
      <c r="Z170" t="n">
        <v>80</v>
      </c>
      <c r="AA170" t="n">
        <v>50</v>
      </c>
      <c r="AB170" t="n">
        <v>0</v>
      </c>
      <c r="AC170" t="inlineStr">
        <is>
          <t>Ground</t>
        </is>
      </c>
      <c r="AD170" t="inlineStr"/>
      <c r="AE170" t="n">
        <v>0</v>
      </c>
      <c r="AF170" t="inlineStr">
        <is>
          <t>Medium</t>
        </is>
      </c>
      <c r="AG170" t="b">
        <v>1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29</v>
      </c>
      <c r="AO170" t="n">
        <v>0</v>
      </c>
      <c r="AP170" t="inlineStr">
        <is>
          <t>T2</t>
        </is>
      </c>
      <c r="AQ170" t="inlineStr">
        <is>
          <t>tower_kornet</t>
        </is>
      </c>
      <c r="AR170" t="inlineStr"/>
      <c r="AS170" t="inlineStr">
        <is>
          <t>thap</t>
        </is>
      </c>
      <c r="AT170" t="inlineStr">
        <is>
          <t>atgm_tower.top</t>
        </is>
      </c>
      <c r="AU170" t="n">
        <v>1</v>
      </c>
      <c r="AV170" t="inlineStr">
        <is>
          <t>atgm_tower.top:0</t>
        </is>
      </c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0.625</v>
      </c>
      <c r="BB170" t="n">
        <v>3</v>
      </c>
      <c r="BC170" t="n">
        <v>3</v>
      </c>
      <c r="BD170" t="inlineStr">
        <is>
          <t>atgm</t>
        </is>
      </c>
      <c r="BE170" t="inlineStr">
        <is>
          <t>Wikipedia '9M133 Kornet': 2-3 rpm</t>
        </is>
      </c>
      <c r="BG170" t="inlineStr">
        <is>
          <t>doi</t>
        </is>
      </c>
      <c r="BR170" t="n">
        <v>22</v>
      </c>
      <c r="BS170" t="n">
        <v>80</v>
      </c>
      <c r="DD170" t="n">
        <v>4.6</v>
      </c>
      <c r="DJ170" t="inlineStr">
        <is>
          <t>atgm</t>
        </is>
      </c>
      <c r="DT170" t="inlineStr">
        <is>
          <t>tower_kornet</t>
        </is>
      </c>
      <c r="EB170" t="n">
        <v>4</v>
      </c>
      <c r="EQ170" t="inlineStr">
        <is>
          <t>9M133 Kornet</t>
        </is>
      </c>
      <c r="EX170" t="n">
        <v>29</v>
      </c>
      <c r="FY170" t="b">
        <v>1</v>
      </c>
      <c r="FZ170" t="n">
        <v>7</v>
      </c>
      <c r="GA170" t="inlineStr">
        <is>
          <t>9m133_kornet</t>
        </is>
      </c>
      <c r="GD170" t="inlineStr">
        <is>
          <t>Assets/MachineBrigade/Resources/Data/balance.json: weapons[117]</t>
        </is>
      </c>
      <c r="GE170" t="inlineStr">
        <is>
          <t>{"id":"kornet_top","weaponFamily":"9m133_kornet","cooldown":4.6,"real":"9M133 Kornet","family":"atgm","size":29,"warheadKg":7,"pen":4,"topAttack":true,"inherits":"tower_kornet"}</t>
        </is>
      </c>
    </row>
    <row r="171">
      <c r="A171" t="inlineStr">
        <is>
          <t>kornet_twin</t>
        </is>
      </c>
      <c r="B171" t="inlineStr">
        <is>
          <t>9M133 Kornet</t>
        </is>
      </c>
      <c r="C171" t="inlineStr">
        <is>
          <t>atgm_kornet</t>
        </is>
      </c>
      <c r="D171" t="inlineStr"/>
      <c r="E171" t="inlineStr">
        <is>
          <t>9m133_kornet</t>
        </is>
      </c>
      <c r="F171" t="inlineStr">
        <is>
          <t>atgm</t>
        </is>
      </c>
      <c r="G171" t="inlineStr"/>
      <c r="H171" t="n">
        <v>7</v>
      </c>
      <c r="I171" t="inlineStr"/>
      <c r="J171" t="inlineStr"/>
      <c r="K171" t="inlineStr">
        <is>
          <t>ShapedCharge</t>
        </is>
      </c>
      <c r="L171" t="n">
        <v>4</v>
      </c>
      <c r="M171" t="inlineStr">
        <is>
          <t>Missile</t>
        </is>
      </c>
      <c r="N171" t="n">
        <v>1</v>
      </c>
      <c r="O171" t="inlineStr">
        <is>
          <t>RIPPLE</t>
        </is>
      </c>
      <c r="P171" t="n">
        <v>2</v>
      </c>
      <c r="Q171" t="n">
        <v>0.6</v>
      </c>
      <c r="R171" t="n">
        <v>10.51</v>
      </c>
      <c r="S171" t="n">
        <v>0</v>
      </c>
      <c r="T171" t="n">
        <v>0</v>
      </c>
      <c r="U171" t="n">
        <v>0</v>
      </c>
      <c r="V171" t="n">
        <v>0</v>
      </c>
      <c r="W171" t="n">
        <v>230</v>
      </c>
      <c r="X171" t="n">
        <v>0</v>
      </c>
      <c r="Y171" t="n">
        <v>0</v>
      </c>
      <c r="Z171" t="n">
        <v>80</v>
      </c>
      <c r="AA171" t="n">
        <v>50</v>
      </c>
      <c r="AB171" t="n">
        <v>0</v>
      </c>
      <c r="AC171" t="inlineStr">
        <is>
          <t>Ground</t>
        </is>
      </c>
      <c r="AD171" t="inlineStr"/>
      <c r="AE171" t="n">
        <v>0</v>
      </c>
      <c r="AF171" t="inlineStr">
        <is>
          <t>Medium</t>
        </is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29</v>
      </c>
      <c r="AO171" t="n">
        <v>0</v>
      </c>
      <c r="AP171" t="inlineStr">
        <is>
          <t>T2</t>
        </is>
      </c>
      <c r="AQ171" t="inlineStr"/>
      <c r="AR171" t="inlineStr"/>
      <c r="AS171" t="inlineStr"/>
      <c r="AT171" t="inlineStr"/>
      <c r="AU171" t="n">
        <v>0</v>
      </c>
      <c r="AV171" t="inlineStr"/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0.625</v>
      </c>
      <c r="BB171" t="n">
        <v>3</v>
      </c>
      <c r="BC171" t="n">
        <v>3</v>
      </c>
      <c r="BD171" t="inlineStr">
        <is>
          <t>atgm</t>
        </is>
      </c>
      <c r="BE171" t="inlineStr">
        <is>
          <t>Wikipedia '9M133 Kornet': 2-3 rpm</t>
        </is>
      </c>
      <c r="BG171" t="inlineStr">
        <is>
          <t>doi</t>
        </is>
      </c>
      <c r="BR171" t="n">
        <v>22</v>
      </c>
      <c r="BS171" t="n">
        <v>80</v>
      </c>
      <c r="CR171" t="n">
        <v>2</v>
      </c>
      <c r="CS171" t="n">
        <v>0.6</v>
      </c>
      <c r="DD171" t="n">
        <v>10.51</v>
      </c>
      <c r="DE171" t="n">
        <v>230</v>
      </c>
      <c r="DF171" t="inlineStr">
        <is>
          <t>ShapedCharge</t>
        </is>
      </c>
      <c r="DJ171" t="inlineStr">
        <is>
          <t>atgm</t>
        </is>
      </c>
      <c r="DS171" t="inlineStr">
        <is>
          <t>Medium</t>
        </is>
      </c>
      <c r="EB171" t="n">
        <v>4</v>
      </c>
      <c r="EE171" t="b">
        <v>1</v>
      </c>
      <c r="EH171" t="inlineStr">
        <is>
          <t>Missile</t>
        </is>
      </c>
      <c r="EP171" t="n">
        <v>50</v>
      </c>
      <c r="EQ171" t="inlineStr">
        <is>
          <t>9M133 Kornet</t>
        </is>
      </c>
      <c r="EX171" t="n">
        <v>29</v>
      </c>
      <c r="FZ171" t="n">
        <v>7</v>
      </c>
      <c r="GA171" t="inlineStr">
        <is>
          <t>9m133_kornet</t>
        </is>
      </c>
      <c r="GB171" t="inlineStr">
        <is>
          <t>atgm_kornet</t>
        </is>
      </c>
      <c r="GD171" t="inlineStr">
        <is>
          <t>Assets/MachineBrigade/Resources/Data/balance.json: weapons[102]</t>
        </is>
      </c>
      <c r="GE171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72">
      <c r="A172" t="inlineStr">
        <is>
          <t>lancet</t>
        </is>
      </c>
      <c r="B172" t="inlineStr">
        <is>
          <t>ZALA Lancet-3 (3 kg)</t>
        </is>
      </c>
      <c r="C172" t="inlineStr">
        <is>
          <t>drone_zala_lancet_3</t>
        </is>
      </c>
      <c r="D172" t="inlineStr"/>
      <c r="E172" t="inlineStr">
        <is>
          <t>zala_lancet_3</t>
        </is>
      </c>
      <c r="F172" t="inlineStr">
        <is>
          <t>drone</t>
        </is>
      </c>
      <c r="G172" t="inlineStr"/>
      <c r="H172" t="n">
        <v>3</v>
      </c>
      <c r="I172" t="inlineStr"/>
      <c r="J172" t="inlineStr"/>
      <c r="K172" t="inlineStr">
        <is>
          <t>ShapedCharge</t>
        </is>
      </c>
      <c r="L172" t="n">
        <v>4</v>
      </c>
      <c r="M172" t="inlineStr">
        <is>
          <t>Drone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8.372</v>
      </c>
      <c r="S172" t="n">
        <v>0</v>
      </c>
      <c r="T172" t="n">
        <v>0</v>
      </c>
      <c r="U172" t="n">
        <v>8</v>
      </c>
      <c r="V172" t="n">
        <v>0</v>
      </c>
      <c r="W172" t="n">
        <v>240</v>
      </c>
      <c r="X172" t="n">
        <v>3</v>
      </c>
      <c r="Y172" t="n">
        <v>0</v>
      </c>
      <c r="Z172" t="n">
        <v>28</v>
      </c>
      <c r="AA172" t="n">
        <v>100</v>
      </c>
      <c r="AB172" t="n">
        <v>0</v>
      </c>
      <c r="AC172" t="inlineStr">
        <is>
          <t>Ground</t>
        </is>
      </c>
      <c r="AD172" t="inlineStr"/>
      <c r="AE172" t="n">
        <v>0</v>
      </c>
      <c r="AF172" t="inlineStr">
        <is>
          <t>Medium</t>
        </is>
      </c>
      <c r="AG172" t="b">
        <v>1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3</v>
      </c>
      <c r="AO172" t="n">
        <v>0</v>
      </c>
      <c r="AP172" t="inlineStr">
        <is>
          <t>T2</t>
        </is>
      </c>
      <c r="AQ172" t="inlineStr"/>
      <c r="AR172" t="inlineStr"/>
      <c r="AS172" t="inlineStr"/>
      <c r="AT172" t="inlineStr"/>
      <c r="AU172" t="n">
        <v>0</v>
      </c>
      <c r="AV172" t="inlineStr"/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3.571428571428572</v>
      </c>
      <c r="BB172" t="inlineStr">
        <is>
          <t>NEED_SOURCE</t>
        </is>
      </c>
      <c r="BC172" t="inlineStr">
        <is>
          <t>NEED_SOURCE</t>
        </is>
      </c>
      <c r="BE172" t="inlineStr">
        <is>
          <t>NEED_SOURCE</t>
        </is>
      </c>
      <c r="BG172" t="inlineStr">
        <is>
          <t>giong</t>
        </is>
      </c>
      <c r="CN172" t="n">
        <v>8</v>
      </c>
      <c r="DD172" t="n">
        <v>8.372</v>
      </c>
      <c r="DE172" t="n">
        <v>240</v>
      </c>
      <c r="DF172" t="inlineStr">
        <is>
          <t>ShapedCharge</t>
        </is>
      </c>
      <c r="DJ172" t="inlineStr">
        <is>
          <t>drone</t>
        </is>
      </c>
      <c r="DR172" t="n">
        <v>1.2</v>
      </c>
      <c r="DS172" t="inlineStr">
        <is>
          <t>Medium</t>
        </is>
      </c>
      <c r="EB172" t="n">
        <v>4</v>
      </c>
      <c r="EE172" t="b">
        <v>1</v>
      </c>
      <c r="EH172" t="inlineStr">
        <is>
          <t>Drone</t>
        </is>
      </c>
      <c r="EP172" t="n">
        <v>100</v>
      </c>
      <c r="EQ172" t="inlineStr">
        <is>
          <t>ZALA Lancet-3 (3 kg)</t>
        </is>
      </c>
      <c r="EX172" t="n">
        <v>3</v>
      </c>
      <c r="FY172" t="b">
        <v>1</v>
      </c>
      <c r="FZ172" t="n">
        <v>3</v>
      </c>
      <c r="GA172" t="inlineStr">
        <is>
          <t>zala_lancet_3</t>
        </is>
      </c>
      <c r="GB172" t="inlineStr">
        <is>
          <t>drone_zala_lancet_3</t>
        </is>
      </c>
      <c r="GD172" t="inlineStr">
        <is>
          <t>Assets/MachineBrigade/Resources/Data/balance.json: weapons[74]</t>
        </is>
      </c>
      <c r="GE172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73">
      <c r="A173" t="inlineStr">
        <is>
          <t>lancet_hangar</t>
        </is>
      </c>
      <c r="B173" t="inlineStr">
        <is>
          <t>ZALA Lancet-3 (3 kg)</t>
        </is>
      </c>
      <c r="C173" t="inlineStr">
        <is>
          <t>drone_zala_lancet_3</t>
        </is>
      </c>
      <c r="D173" t="inlineStr"/>
      <c r="E173" t="inlineStr">
        <is>
          <t>zala_lancet_3</t>
        </is>
      </c>
      <c r="F173" t="inlineStr">
        <is>
          <t>drone</t>
        </is>
      </c>
      <c r="G173" t="inlineStr"/>
      <c r="H173" t="n">
        <v>3</v>
      </c>
      <c r="I173" t="inlineStr"/>
      <c r="J173" t="inlineStr"/>
      <c r="K173" t="inlineStr">
        <is>
          <t>ShapedCharge</t>
        </is>
      </c>
      <c r="L173" t="n">
        <v>4</v>
      </c>
      <c r="M173" t="inlineStr">
        <is>
          <t>Drone</t>
        </is>
      </c>
      <c r="N173" t="n">
        <v>1</v>
      </c>
      <c r="O173" t="inlineStr">
        <is>
          <t>RIPPLE</t>
        </is>
      </c>
      <c r="P173" t="n">
        <v>1</v>
      </c>
      <c r="Q173" t="n">
        <v>0.1</v>
      </c>
      <c r="R173" t="n">
        <v>3.6</v>
      </c>
      <c r="S173" t="n">
        <v>0</v>
      </c>
      <c r="T173" t="n">
        <v>0</v>
      </c>
      <c r="U173" t="n">
        <v>0</v>
      </c>
      <c r="V173" t="n">
        <v>0</v>
      </c>
      <c r="W173" t="n">
        <v>240</v>
      </c>
      <c r="X173" t="n">
        <v>3</v>
      </c>
      <c r="Y173" t="n">
        <v>0</v>
      </c>
      <c r="Z173" t="n">
        <v>28</v>
      </c>
      <c r="AA173" t="n">
        <v>100</v>
      </c>
      <c r="AB173" t="n">
        <v>0</v>
      </c>
      <c r="AC173" t="inlineStr">
        <is>
          <t>Ground</t>
        </is>
      </c>
      <c r="AD173" t="inlineStr"/>
      <c r="AE173" t="n">
        <v>0</v>
      </c>
      <c r="AF173" t="inlineStr">
        <is>
          <t>Medium</t>
        </is>
      </c>
      <c r="AG173" t="b">
        <v>1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  <c r="AM173" t="b">
        <v>0</v>
      </c>
      <c r="AN173" t="n">
        <v>3</v>
      </c>
      <c r="AO173" t="n">
        <v>0</v>
      </c>
      <c r="AP173" t="inlineStr">
        <is>
          <t>T2</t>
        </is>
      </c>
      <c r="AQ173" t="inlineStr">
        <is>
          <t>lancet</t>
        </is>
      </c>
      <c r="AR173" t="inlineStr"/>
      <c r="AS173" t="inlineStr">
        <is>
          <t>thap</t>
        </is>
      </c>
      <c r="AT173" t="inlineStr">
        <is>
          <t>drone_hangar.lancet</t>
        </is>
      </c>
      <c r="AU173" t="n">
        <v>1</v>
      </c>
      <c r="AV173" t="inlineStr">
        <is>
          <t>drone_hangar.lancet:0</t>
        </is>
      </c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3.571428571428572</v>
      </c>
      <c r="BB173" t="inlineStr">
        <is>
          <t>NEED_SOURCE</t>
        </is>
      </c>
      <c r="BC173" t="inlineStr">
        <is>
          <t>NEED_SOURCE</t>
        </is>
      </c>
      <c r="BE173" t="inlineStr">
        <is>
          <t>NEED_SOURCE</t>
        </is>
      </c>
      <c r="BG173" t="inlineStr">
        <is>
          <t>giong</t>
        </is>
      </c>
      <c r="CN173" t="n">
        <v>0</v>
      </c>
      <c r="DD173" t="n">
        <v>3.6</v>
      </c>
      <c r="DJ173" t="inlineStr">
        <is>
          <t>drone</t>
        </is>
      </c>
      <c r="DT173" t="inlineStr">
        <is>
          <t>lancet</t>
        </is>
      </c>
      <c r="EB173" t="n">
        <v>4</v>
      </c>
      <c r="EQ173" t="inlineStr">
        <is>
          <t>ZALA Lancet-3 (3 kg)</t>
        </is>
      </c>
      <c r="EX173" t="n">
        <v>3</v>
      </c>
      <c r="FY173" t="b">
        <v>1</v>
      </c>
      <c r="FZ173" t="n">
        <v>3</v>
      </c>
      <c r="GA173" t="inlineStr">
        <is>
          <t>zala_lancet_3</t>
        </is>
      </c>
      <c r="GD173" t="inlineStr">
        <is>
          <t>Assets/MachineBrigade/Resources/Data/balance.json: weapons[127]</t>
        </is>
      </c>
      <c r="GE173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174">
      <c r="A174" t="inlineStr">
        <is>
          <t>laser_50kw</t>
        </is>
      </c>
      <c r="B174" t="inlineStr">
        <is>
          <t>50 kW laser (Iron Beam fixed site)</t>
        </is>
      </c>
      <c r="C174" t="inlineStr">
        <is>
          <t>laser_50_kw_laser</t>
        </is>
      </c>
      <c r="D174" t="inlineStr"/>
      <c r="E174" t="inlineStr"/>
      <c r="F174" t="inlineStr">
        <is>
          <t>laser</t>
        </is>
      </c>
      <c r="G174" t="inlineStr"/>
      <c r="H174" t="inlineStr"/>
      <c r="I174" t="n">
        <v>50</v>
      </c>
      <c r="J174" t="inlineStr"/>
      <c r="K174" t="inlineStr">
        <is>
          <t>Energy</t>
        </is>
      </c>
      <c r="L174" t="n">
        <v>2</v>
      </c>
      <c r="M174" t="inlineStr">
        <is>
          <t>Bullet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0.0667</v>
      </c>
      <c r="S174" t="n">
        <v>0</v>
      </c>
      <c r="T174" t="n">
        <v>0</v>
      </c>
      <c r="U174" t="n">
        <v>0</v>
      </c>
      <c r="V174" t="n">
        <v>0</v>
      </c>
      <c r="W174" t="n">
        <v>6</v>
      </c>
      <c r="X174" t="n">
        <v>0</v>
      </c>
      <c r="Y174" t="n">
        <v>0</v>
      </c>
      <c r="Z174" t="n">
        <v>3000</v>
      </c>
      <c r="AA174" t="n">
        <v>40</v>
      </c>
      <c r="AB174" t="n">
        <v>0</v>
      </c>
      <c r="AC174" t="inlineStr">
        <is>
          <t>Air</t>
        </is>
      </c>
      <c r="AD174" t="inlineStr"/>
      <c r="AE174" t="n">
        <v>0</v>
      </c>
      <c r="AF174" t="inlineStr">
        <is>
          <t>Small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1</v>
      </c>
      <c r="AM174" t="b">
        <v>0</v>
      </c>
      <c r="AN174" t="n">
        <v>50</v>
      </c>
      <c r="AO174" t="n">
        <v>0</v>
      </c>
      <c r="AP174" t="inlineStr">
        <is>
          <t>T1</t>
        </is>
      </c>
      <c r="AQ174" t="inlineStr"/>
      <c r="AR174" t="inlineStr"/>
      <c r="AS174" t="inlineStr">
        <is>
          <t>thap</t>
        </is>
      </c>
      <c r="AT174" t="inlineStr">
        <is>
          <t>laser_ad_station;laser_ad_station.laser</t>
        </is>
      </c>
      <c r="AU174" t="n">
        <v>2</v>
      </c>
      <c r="AV174" t="inlineStr">
        <is>
          <t>laser_ad_station:0;laser_ad_station.laser:0</t>
        </is>
      </c>
      <c r="AW174" t="n">
        <v>0</v>
      </c>
      <c r="AX174" t="b">
        <v>0</v>
      </c>
      <c r="AY174" t="inlineStr"/>
      <c r="AZ174">
        <f>IF(AND($AX$174,$AW$174&gt;$AA$174/$Z$174),$AW$174,$AA$174/$Z$174)</f>
        <v/>
      </c>
      <c r="BA174" t="n">
        <v>0.01333333333333333</v>
      </c>
      <c r="BB174" t="inlineStr">
        <is>
          <t>NEED_SOURCE</t>
        </is>
      </c>
      <c r="BC174" t="inlineStr">
        <is>
          <t>NEED_SOURCE</t>
        </is>
      </c>
      <c r="BE174" t="inlineStr">
        <is>
          <t>NEED_SOURCE</t>
        </is>
      </c>
      <c r="BG174" t="inlineStr">
        <is>
          <t>giong</t>
        </is>
      </c>
      <c r="CP174" t="b">
        <v>1</v>
      </c>
      <c r="DD174" t="n">
        <v>0.0667</v>
      </c>
      <c r="DE174" t="n">
        <v>6</v>
      </c>
      <c r="DF174" t="inlineStr">
        <is>
          <t>Energy</t>
        </is>
      </c>
      <c r="DJ174" t="inlineStr">
        <is>
          <t>laser</t>
        </is>
      </c>
      <c r="DS174" t="inlineStr">
        <is>
          <t>Small</t>
        </is>
      </c>
      <c r="EB174" t="n">
        <v>2</v>
      </c>
      <c r="EF174" t="n">
        <v>50</v>
      </c>
      <c r="EG174" t="inlineStr">
        <is>
          <t>Drones</t>
        </is>
      </c>
      <c r="EH174" t="inlineStr">
        <is>
          <t>Bullet</t>
        </is>
      </c>
      <c r="EK174" t="n">
        <v>3000</v>
      </c>
      <c r="EP174" t="n">
        <v>40</v>
      </c>
      <c r="EQ174" t="inlineStr">
        <is>
          <t>50 kW laser (Iron Beam fixed site)</t>
        </is>
      </c>
      <c r="EX174" t="n">
        <v>50</v>
      </c>
      <c r="FW174" t="inlineStr">
        <is>
          <t>Air</t>
        </is>
      </c>
      <c r="GB174" t="inlineStr">
        <is>
          <t>laser_50_kw_laser</t>
        </is>
      </c>
      <c r="GD174" t="inlineStr">
        <is>
          <t>Assets/MachineBrigade/Resources/Data/balance.json: weapons[283]</t>
        </is>
      </c>
      <c r="GE174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175">
      <c r="A175" t="inlineStr">
        <is>
          <t>leviathan_460</t>
        </is>
      </c>
      <c r="B175" t="inlineStr">
        <is>
          <t>Mk 7 406 mm/50 (Iowa, triple)</t>
        </is>
      </c>
      <c r="C175" t="inlineStr">
        <is>
          <t>cal_406</t>
        </is>
      </c>
      <c r="D175" t="inlineStr"/>
      <c r="E175" t="inlineStr"/>
      <c r="F175" t="inlineStr">
        <is>
          <t>howitzer</t>
        </is>
      </c>
      <c r="G175" t="n">
        <v>406</v>
      </c>
      <c r="H175" t="inlineStr"/>
      <c r="I175" t="inlineStr"/>
      <c r="J175" t="inlineStr"/>
      <c r="K175" t="inlineStr">
        <is>
          <t>HighExplosive</t>
        </is>
      </c>
      <c r="L175" t="n">
        <v>4</v>
      </c>
      <c r="M175" t="inlineStr">
        <is>
          <t>Shell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14</v>
      </c>
      <c r="S175" t="n">
        <v>0</v>
      </c>
      <c r="T175" t="n">
        <v>0</v>
      </c>
      <c r="U175" t="n">
        <v>0</v>
      </c>
      <c r="V175" t="n">
        <v>0</v>
      </c>
      <c r="W175" t="n">
        <v>950</v>
      </c>
      <c r="X175" t="n">
        <v>13</v>
      </c>
      <c r="Y175" t="n">
        <v>0</v>
      </c>
      <c r="Z175" t="n">
        <v>85</v>
      </c>
      <c r="AA175" t="n">
        <v>160</v>
      </c>
      <c r="AB175" t="n">
        <v>0</v>
      </c>
      <c r="AC175" t="inlineStr">
        <is>
          <t>Ground</t>
        </is>
      </c>
      <c r="AD175" t="inlineStr"/>
      <c r="AE175" t="n">
        <v>3</v>
      </c>
      <c r="AF175" t="inlineStr">
        <is>
          <t>Ultimate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1</v>
      </c>
      <c r="AL175" t="b">
        <v>0</v>
      </c>
      <c r="AM175" t="b">
        <v>0</v>
      </c>
      <c r="AN175" t="n">
        <v>406</v>
      </c>
      <c r="AO175" t="n">
        <v>0</v>
      </c>
      <c r="AP175" t="inlineStr">
        <is>
          <t>T5</t>
        </is>
      </c>
      <c r="AQ175" t="inlineStr"/>
      <c r="AR175" t="inlineStr">
        <is>
          <t>leviathan_460_guided</t>
        </is>
      </c>
      <c r="AS175" t="inlineStr"/>
      <c r="AT175" t="inlineStr"/>
      <c r="AU175" t="n">
        <v>0</v>
      </c>
      <c r="AV175" t="inlineStr"/>
      <c r="AW175" t="n">
        <v>3.5</v>
      </c>
      <c r="AX175" t="b">
        <v>0</v>
      </c>
      <c r="AY175" t="inlineStr"/>
      <c r="AZ175">
        <f>IF(AND($AX$175,$AW$175&gt;$AA$175/$Z$175),$AW$175,$AA$175/$Z$175)</f>
        <v/>
      </c>
      <c r="BA175" t="n">
        <v>1.882352941176471</v>
      </c>
      <c r="BB175" t="n">
        <v>2</v>
      </c>
      <c r="BC175" t="n">
        <v>2</v>
      </c>
      <c r="BD175" t="inlineStr">
        <is>
          <t>gun</t>
        </is>
      </c>
      <c r="BE175" t="inlineStr">
        <is>
          <t>Wikipedia '16"/50 caliber Mark 7': 2 rpm a gun</t>
        </is>
      </c>
      <c r="BG175" t="inlineStr">
        <is>
          <t>doi</t>
        </is>
      </c>
      <c r="BR175" t="n">
        <v>60</v>
      </c>
      <c r="BS175" t="n">
        <v>85</v>
      </c>
      <c r="CT175" t="n">
        <v>406</v>
      </c>
      <c r="DD175" t="n">
        <v>14</v>
      </c>
      <c r="DE175" t="n">
        <v>950</v>
      </c>
      <c r="DF175" t="inlineStr">
        <is>
          <t>HighExplosive</t>
        </is>
      </c>
      <c r="DJ175" t="inlineStr">
        <is>
          <t>howitzer</t>
        </is>
      </c>
      <c r="DS175" t="inlineStr">
        <is>
          <t>Ultimate</t>
        </is>
      </c>
      <c r="DV175" t="b">
        <v>1</v>
      </c>
      <c r="EB175" t="n">
        <v>4</v>
      </c>
      <c r="EI175" t="inlineStr">
        <is>
          <t>shell_155</t>
        </is>
      </c>
      <c r="EJ175" t="n">
        <v>1.4182</v>
      </c>
      <c r="EK175" t="n">
        <v>85</v>
      </c>
      <c r="EP175" t="n">
        <v>160</v>
      </c>
      <c r="EQ175" t="inlineStr">
        <is>
          <t>Mk 7 406 mm/50 (Iowa, triple)</t>
        </is>
      </c>
      <c r="ET175" t="n">
        <v>1.56</v>
      </c>
      <c r="EX175" t="n">
        <v>406</v>
      </c>
      <c r="EY175" t="n">
        <v>13</v>
      </c>
      <c r="EZ175" t="n">
        <v>3</v>
      </c>
      <c r="GB175" t="inlineStr">
        <is>
          <t>cal_406</t>
        </is>
      </c>
      <c r="GD175" t="inlineStr">
        <is>
          <t>Assets/MachineBrigade/Resources/Data/balance.json: weapons[251]</t>
        </is>
      </c>
      <c r="GE175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85,"splash":13,"spread":3,"impactTier":"Ultimate","laid":true}</t>
        </is>
      </c>
    </row>
    <row r="176">
      <c r="A176" t="inlineStr">
        <is>
          <t>leviathan_460_guided</t>
        </is>
      </c>
      <c r="B176" t="inlineStr">
        <is>
          <t>Mk 7 406 mm/50 guided (Iowa, triple)</t>
        </is>
      </c>
      <c r="C176" t="inlineStr">
        <is>
          <t>cal_406</t>
        </is>
      </c>
      <c r="D176" t="inlineStr"/>
      <c r="E176" t="inlineStr"/>
      <c r="F176" t="inlineStr">
        <is>
          <t>howitzer</t>
        </is>
      </c>
      <c r="G176" t="n">
        <v>406</v>
      </c>
      <c r="H176" t="inlineStr"/>
      <c r="I176" t="inlineStr"/>
      <c r="J176" t="inlineStr"/>
      <c r="K176" t="inlineStr">
        <is>
          <t>HighExplosive</t>
        </is>
      </c>
      <c r="L176" t="n">
        <v>4</v>
      </c>
      <c r="M176" t="inlineStr">
        <is>
          <t>Shell</t>
        </is>
      </c>
      <c r="N176" t="n">
        <v>1</v>
      </c>
      <c r="O176" t="inlineStr">
        <is>
          <t>RIPPLE</t>
        </is>
      </c>
      <c r="P176" t="n">
        <v>1</v>
      </c>
      <c r="Q176" t="n">
        <v>0.1</v>
      </c>
      <c r="R176" t="n">
        <v>14</v>
      </c>
      <c r="S176" t="n">
        <v>0</v>
      </c>
      <c r="T176" t="n">
        <v>0</v>
      </c>
      <c r="U176" t="n">
        <v>0</v>
      </c>
      <c r="V176" t="n">
        <v>0</v>
      </c>
      <c r="W176" t="n">
        <v>950</v>
      </c>
      <c r="X176" t="n">
        <v>13</v>
      </c>
      <c r="Y176" t="n">
        <v>0</v>
      </c>
      <c r="Z176" t="n">
        <v>85</v>
      </c>
      <c r="AA176" t="n">
        <v>160</v>
      </c>
      <c r="AB176" t="n">
        <v>0</v>
      </c>
      <c r="AC176" t="inlineStr">
        <is>
          <t>Ground</t>
        </is>
      </c>
      <c r="AD176" t="inlineStr"/>
      <c r="AE176" t="n">
        <v>0</v>
      </c>
      <c r="AF176" t="inlineStr">
        <is>
          <t>Ultimate</t>
        </is>
      </c>
      <c r="AG176" t="b">
        <v>0</v>
      </c>
      <c r="AH176" t="b">
        <v>0</v>
      </c>
      <c r="AI176" t="b">
        <v>0</v>
      </c>
      <c r="AJ176" t="b">
        <v>0</v>
      </c>
      <c r="AK176" t="b">
        <v>1</v>
      </c>
      <c r="AL176" t="b">
        <v>0</v>
      </c>
      <c r="AM176" t="b">
        <v>1</v>
      </c>
      <c r="AN176" t="n">
        <v>406</v>
      </c>
      <c r="AO176" t="n">
        <v>0</v>
      </c>
      <c r="AP176" t="inlineStr">
        <is>
          <t>T5</t>
        </is>
      </c>
      <c r="AQ176" t="inlineStr">
        <is>
          <t>leviathan_460</t>
        </is>
      </c>
      <c r="AR176" t="inlineStr"/>
      <c r="AS176" t="inlineStr"/>
      <c r="AT176" t="inlineStr"/>
      <c r="AU176" t="n">
        <v>0</v>
      </c>
      <c r="AV176" t="inlineStr"/>
      <c r="AW176" t="n">
        <v>3.5</v>
      </c>
      <c r="AX176" t="b">
        <v>0</v>
      </c>
      <c r="AY176" t="inlineStr"/>
      <c r="AZ176">
        <f>IF(AND($AX$176,$AW$176&gt;$AA$176/$Z$176),$AW$176,$AA$176/$Z$176)</f>
        <v/>
      </c>
      <c r="BA176" t="n">
        <v>1.882352941176471</v>
      </c>
      <c r="BB176" t="n">
        <v>2</v>
      </c>
      <c r="BC176" t="n">
        <v>2</v>
      </c>
      <c r="BD176" t="inlineStr">
        <is>
          <t>gun</t>
        </is>
      </c>
      <c r="BE176" t="inlineStr">
        <is>
          <t>Wikipedia '16"/50 caliber Mark 7': 2 rpm a gun</t>
        </is>
      </c>
      <c r="BG176" t="inlineStr">
        <is>
          <t>doi</t>
        </is>
      </c>
      <c r="BR176" t="n">
        <v>60</v>
      </c>
      <c r="BS176" t="n">
        <v>85</v>
      </c>
      <c r="CR176" t="n">
        <v>1</v>
      </c>
      <c r="DE176" t="n">
        <v>950</v>
      </c>
      <c r="DF176" t="inlineStr">
        <is>
          <t>HighExplosive</t>
        </is>
      </c>
      <c r="DH176" t="b">
        <v>1</v>
      </c>
      <c r="DM176" t="inlineStr">
        <is>
          <t>armour</t>
        </is>
      </c>
      <c r="DN176" t="inlineStr">
        <is>
          <t>HeShell</t>
        </is>
      </c>
      <c r="DP176" t="b">
        <v>1</v>
      </c>
      <c r="DT176" t="inlineStr">
        <is>
          <t>leviathan_460</t>
        </is>
      </c>
      <c r="EB176" t="n">
        <v>4</v>
      </c>
      <c r="EQ176" t="inlineStr">
        <is>
          <t>Mk 7 406 mm/50 guided (Iowa, triple)</t>
        </is>
      </c>
      <c r="ES176" t="inlineStr">
        <is>
          <t>guided</t>
        </is>
      </c>
      <c r="EU176" t="inlineStr">
        <is>
          <t>leviathan_460</t>
        </is>
      </c>
      <c r="EZ176" t="n">
        <v>0</v>
      </c>
      <c r="FW176" t="inlineStr">
        <is>
          <t>Ground</t>
        </is>
      </c>
      <c r="GA176" t="inlineStr"/>
      <c r="GD176" t="inlineStr">
        <is>
          <t>Assets/MachineBrigade/Resources/Data/balance.json: secondRounds.rounds[49]</t>
        </is>
      </c>
      <c r="GE176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177">
      <c r="A177" t="inlineStr">
        <is>
          <t>leviathan_cruise</t>
        </is>
      </c>
      <c r="B177" t="inlineStr">
        <is>
          <t>3M-54 Kalibr</t>
        </is>
      </c>
      <c r="C177" t="inlineStr">
        <is>
          <t>cruise_3m_54_kalibr</t>
        </is>
      </c>
      <c r="D177" t="inlineStr"/>
      <c r="E177" t="inlineStr"/>
      <c r="F177" t="inlineStr">
        <is>
          <t>cruise</t>
        </is>
      </c>
      <c r="G177" t="inlineStr"/>
      <c r="H177" t="n">
        <v>200</v>
      </c>
      <c r="I177" t="inlineStr"/>
      <c r="J177" t="inlineStr"/>
      <c r="K177" t="inlineStr">
        <is>
          <t>HighExplosive</t>
        </is>
      </c>
      <c r="L177" t="n">
        <v>3</v>
      </c>
      <c r="M177" t="inlineStr">
        <is>
          <t>Missile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50</v>
      </c>
      <c r="S177" t="n">
        <v>0</v>
      </c>
      <c r="T177" t="n">
        <v>0</v>
      </c>
      <c r="U177" t="n">
        <v>0</v>
      </c>
      <c r="V177" t="n">
        <v>0</v>
      </c>
      <c r="W177" t="n">
        <v>520</v>
      </c>
      <c r="X177" t="n">
        <v>10</v>
      </c>
      <c r="Y177" t="n">
        <v>0</v>
      </c>
      <c r="Z177" t="n">
        <v>70</v>
      </c>
      <c r="AA177" t="n">
        <v>400</v>
      </c>
      <c r="AB177" t="n">
        <v>0</v>
      </c>
      <c r="AC177" t="inlineStr">
        <is>
          <t>Ground</t>
        </is>
      </c>
      <c r="AD177" t="inlineStr"/>
      <c r="AE177" t="n">
        <v>0</v>
      </c>
      <c r="AF177" t="inlineStr">
        <is>
          <t>Ultimate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1</v>
      </c>
      <c r="AL177" t="b">
        <v>0</v>
      </c>
      <c r="AM177" t="b">
        <v>0</v>
      </c>
      <c r="AN177" t="n">
        <v>500</v>
      </c>
      <c r="AO177" t="n">
        <v>0</v>
      </c>
      <c r="AP177" t="inlineStr">
        <is>
          <t>T4</t>
        </is>
      </c>
      <c r="AQ177" t="inlineStr"/>
      <c r="AR177" t="inlineStr"/>
      <c r="AS177" t="inlineStr">
        <is>
          <t>boss</t>
        </is>
      </c>
      <c r="AT177" t="inlineStr">
        <is>
          <t>kraken;leviathan;nyx;scylla;typhon</t>
        </is>
      </c>
      <c r="AU177" t="n">
        <v>5</v>
      </c>
      <c r="AV177" t="inlineStr">
        <is>
          <t>kraken:other;leviathan:other;nyx:other;scylla:other;typhon:other</t>
        </is>
      </c>
      <c r="AW177" t="n">
        <v>2.722222222222222</v>
      </c>
      <c r="AX177" t="b">
        <v>0</v>
      </c>
      <c r="AY177" t="inlineStr"/>
      <c r="AZ177">
        <f>IF(AND($AX$177,$AW$177&gt;$AA$177/$Z$177),$AW$177,$AA$177/$Z$177)</f>
        <v/>
      </c>
      <c r="BA177" t="n">
        <v>5.714285714285714</v>
      </c>
      <c r="BB177" t="n">
        <v>20</v>
      </c>
      <c r="BC177" t="n">
        <v>6</v>
      </c>
      <c r="BD177" t="inlineStr">
        <is>
          <t>missile</t>
        </is>
      </c>
      <c r="BE177" t="inlineStr">
        <is>
          <t>cruise missiles: ~3 s between launches (est.)</t>
        </is>
      </c>
      <c r="BG177" t="inlineStr">
        <is>
          <t>doi</t>
        </is>
      </c>
      <c r="BR177" t="n">
        <v>24</v>
      </c>
      <c r="BS177" t="n">
        <v>70</v>
      </c>
      <c r="DD177" t="n">
        <v>50</v>
      </c>
      <c r="DE177" t="n">
        <v>520</v>
      </c>
      <c r="DF177" t="inlineStr">
        <is>
          <t>HighExplosive</t>
        </is>
      </c>
      <c r="DJ177" t="inlineStr">
        <is>
          <t>cruise</t>
        </is>
      </c>
      <c r="DL177" t="inlineStr">
        <is>
          <t>Loft</t>
        </is>
      </c>
      <c r="DS177" t="inlineStr">
        <is>
          <t>Ultimate</t>
        </is>
      </c>
      <c r="DV177" t="b">
        <v>1</v>
      </c>
      <c r="EB177" t="n">
        <v>3</v>
      </c>
      <c r="EH177" t="inlineStr">
        <is>
          <t>Missile</t>
        </is>
      </c>
      <c r="EI177" t="inlineStr">
        <is>
          <t>cruise_missile</t>
        </is>
      </c>
      <c r="EK177" t="n">
        <v>70</v>
      </c>
      <c r="EP177" t="n">
        <v>400</v>
      </c>
      <c r="EQ177" t="inlineStr">
        <is>
          <t>3M-54 Kalibr</t>
        </is>
      </c>
      <c r="EX177" t="n">
        <v>500</v>
      </c>
      <c r="EY177" t="n">
        <v>10</v>
      </c>
      <c r="FZ177" t="n">
        <v>200</v>
      </c>
      <c r="GB177" t="inlineStr">
        <is>
          <t>cruise_3m_54_kalibr</t>
        </is>
      </c>
      <c r="GD177" t="inlineStr">
        <is>
          <t>Assets/MachineBrigade/Resources/Data/balance.json: weapons[253]</t>
        </is>
      </c>
      <c r="GE177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Kalibr","family":"cruise","size":500,"warheadKg":200,"pen":3,"projectileModel":"cruise_missile","damageType":"HighExplosive","damage":520,"cooldown":50,"range":400,"projectileSpeed":70,"splash":10,"impactTier":"Ultimate","projectile":"Missile","laid":true}</t>
        </is>
      </c>
    </row>
    <row r="178">
      <c r="A178" t="inlineStr">
        <is>
          <t>locust_drones</t>
        </is>
      </c>
      <c r="B178" t="inlineStr">
        <is>
          <t>ZALA Lancet-3 swarm</t>
        </is>
      </c>
      <c r="C178" t="inlineStr">
        <is>
          <t>drone_zala_lancet_3_swarm</t>
        </is>
      </c>
      <c r="D178" t="inlineStr"/>
      <c r="E178" t="inlineStr"/>
      <c r="F178" t="inlineStr">
        <is>
          <t>drone</t>
        </is>
      </c>
      <c r="G178" t="inlineStr"/>
      <c r="H178" t="n">
        <v>3</v>
      </c>
      <c r="I178" t="inlineStr"/>
      <c r="J178" t="inlineStr"/>
      <c r="K178" t="inlineStr">
        <is>
          <t>ShapedCharge</t>
        </is>
      </c>
      <c r="L178" t="n">
        <v>4</v>
      </c>
      <c r="M178" t="inlineStr">
        <is>
          <t>Drone</t>
        </is>
      </c>
      <c r="N178" t="n">
        <v>1</v>
      </c>
      <c r="O178" t="inlineStr">
        <is>
          <t>RIPPLE</t>
        </is>
      </c>
      <c r="P178" t="n">
        <v>1</v>
      </c>
      <c r="Q178" t="n">
        <v>0.2</v>
      </c>
      <c r="R178" t="n">
        <v>2</v>
      </c>
      <c r="S178" t="n">
        <v>0</v>
      </c>
      <c r="T178" t="n">
        <v>0</v>
      </c>
      <c r="U178" t="n">
        <v>0</v>
      </c>
      <c r="V178" t="n">
        <v>0</v>
      </c>
      <c r="W178" t="n">
        <v>320</v>
      </c>
      <c r="X178" t="n">
        <v>3</v>
      </c>
      <c r="Y178" t="n">
        <v>6</v>
      </c>
      <c r="Z178" t="n">
        <v>28</v>
      </c>
      <c r="AA178" t="n">
        <v>70</v>
      </c>
      <c r="AB178" t="n">
        <v>0</v>
      </c>
      <c r="AC178" t="inlineStr">
        <is>
          <t>Ground</t>
        </is>
      </c>
      <c r="AD178" t="inlineStr"/>
      <c r="AE178" t="n">
        <v>0</v>
      </c>
      <c r="AF178" t="inlineStr">
        <is>
          <t>Large</t>
        </is>
      </c>
      <c r="AG178" t="b">
        <v>1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3</v>
      </c>
      <c r="AO178" t="n">
        <v>0</v>
      </c>
      <c r="AP178" t="inlineStr">
        <is>
          <t>T2</t>
        </is>
      </c>
      <c r="AQ178" t="inlineStr">
        <is>
          <t>p26_matriarch_ma_drones</t>
        </is>
      </c>
      <c r="AR178" t="inlineStr"/>
      <c r="AS178" t="inlineStr">
        <is>
          <t>boss</t>
        </is>
      </c>
      <c r="AT178" t="inlineStr">
        <is>
          <t>locust</t>
        </is>
      </c>
      <c r="AU178" t="n">
        <v>1</v>
      </c>
      <c r="AV178" t="inlineStr">
        <is>
          <t>locust:0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2.5</v>
      </c>
      <c r="BB178" t="inlineStr">
        <is>
          <t>NEED_SOURCE</t>
        </is>
      </c>
      <c r="BC178" t="inlineStr">
        <is>
          <t>NEED_SOURCE</t>
        </is>
      </c>
      <c r="BE178" t="inlineStr">
        <is>
          <t>NEED_SOURCE</t>
        </is>
      </c>
      <c r="BG178" t="inlineStr">
        <is>
          <t>moi</t>
        </is>
      </c>
      <c r="CR178" t="n">
        <v>1</v>
      </c>
      <c r="DD178" t="n">
        <v>2</v>
      </c>
      <c r="DO178" t="n">
        <v>1</v>
      </c>
      <c r="DT178" t="inlineStr">
        <is>
          <t>p26_matriarch_ma_drones</t>
        </is>
      </c>
      <c r="GD178" t="inlineStr">
        <is>
          <t>Assets/MachineBrigade/Resources/Data/balance.json: weapons[178]</t>
        </is>
      </c>
      <c r="GE178" t="inlineStr">
        <is>
          <t>{"id":"locust_drones","groundMinReach":1,"inherits":"p26_matriarch_ma_drones","burst":1,"cooldown":2}</t>
        </is>
      </c>
    </row>
    <row r="179">
      <c r="A179" t="inlineStr">
        <is>
          <t>maverick</t>
        </is>
      </c>
      <c r="B179" t="inlineStr">
        <is>
          <t>AGM-65 Maverick</t>
        </is>
      </c>
      <c r="C179" t="inlineStr">
        <is>
          <t>atgm_agm_65_maverick</t>
        </is>
      </c>
      <c r="D179" t="inlineStr"/>
      <c r="E179" t="inlineStr"/>
      <c r="F179" t="inlineStr">
        <is>
          <t>atgm</t>
        </is>
      </c>
      <c r="G179" t="inlineStr"/>
      <c r="H179" t="n">
        <v>57</v>
      </c>
      <c r="I179" t="inlineStr"/>
      <c r="J179" t="inlineStr"/>
      <c r="K179" t="inlineStr">
        <is>
          <t>ShapedCharge</t>
        </is>
      </c>
      <c r="L179" t="n">
        <v>4</v>
      </c>
      <c r="M179" t="inlineStr">
        <is>
          <t>Missile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7.86</v>
      </c>
      <c r="S179" t="n">
        <v>0</v>
      </c>
      <c r="T179" t="n">
        <v>0</v>
      </c>
      <c r="U179" t="n">
        <v>0</v>
      </c>
      <c r="V179" t="n">
        <v>0</v>
      </c>
      <c r="W179" t="n">
        <v>345</v>
      </c>
      <c r="X179" t="n">
        <v>3.5</v>
      </c>
      <c r="Y179" t="n">
        <v>0</v>
      </c>
      <c r="Z179" t="n">
        <v>80</v>
      </c>
      <c r="AA179" t="n">
        <v>40</v>
      </c>
      <c r="AB179" t="n">
        <v>0</v>
      </c>
      <c r="AC179" t="inlineStr">
        <is>
          <t>Ground</t>
        </is>
      </c>
      <c r="AD179" t="inlineStr"/>
      <c r="AE179" t="n">
        <v>0</v>
      </c>
      <c r="AF179" t="inlineStr">
        <is>
          <t>Medium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0</v>
      </c>
      <c r="AN179" t="n">
        <v>300</v>
      </c>
      <c r="AO179" t="n">
        <v>2</v>
      </c>
      <c r="AP179" t="inlineStr">
        <is>
          <t>T3</t>
        </is>
      </c>
      <c r="AQ179" t="inlineStr"/>
      <c r="AR179" t="inlineStr"/>
      <c r="AS179" t="inlineStr"/>
      <c r="AT179" t="inlineStr"/>
      <c r="AU179" t="n">
        <v>0</v>
      </c>
      <c r="AV179" t="inlineStr"/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0.5</v>
      </c>
      <c r="BB179" t="n">
        <v>60</v>
      </c>
      <c r="BC179" t="n">
        <v>10</v>
      </c>
      <c r="BD179" t="inlineStr">
        <is>
          <t>atgm</t>
        </is>
      </c>
      <c r="BE179" t="inlineStr">
        <is>
          <t>air-launched: ripples ~1 s apart, est. 6 s an aimed shot</t>
        </is>
      </c>
      <c r="BG179" t="inlineStr">
        <is>
          <t>doi</t>
        </is>
      </c>
      <c r="BN179" t="n">
        <v>0</v>
      </c>
      <c r="BO179" t="n">
        <v>3.5</v>
      </c>
      <c r="BR179" t="n">
        <v>23</v>
      </c>
      <c r="BS179" t="n">
        <v>80</v>
      </c>
      <c r="DD179" t="n">
        <v>7.86</v>
      </c>
      <c r="DE179" t="n">
        <v>345</v>
      </c>
      <c r="DF179" t="inlineStr">
        <is>
          <t>ShapedCharge</t>
        </is>
      </c>
      <c r="DJ179" t="inlineStr">
        <is>
          <t>atgm</t>
        </is>
      </c>
      <c r="DS179" t="inlineStr">
        <is>
          <t>Medium</t>
        </is>
      </c>
      <c r="DW179" t="n">
        <v>2</v>
      </c>
      <c r="EB179" t="n">
        <v>4</v>
      </c>
      <c r="EE179" t="b">
        <v>1</v>
      </c>
      <c r="EH179" t="inlineStr">
        <is>
          <t>Missile</t>
        </is>
      </c>
      <c r="EI179" t="inlineStr">
        <is>
          <t>maverick</t>
        </is>
      </c>
      <c r="EJ179" t="n">
        <v>0.58</v>
      </c>
      <c r="EK179" t="n">
        <v>80</v>
      </c>
      <c r="EP179" t="n">
        <v>40</v>
      </c>
      <c r="EQ179" t="inlineStr">
        <is>
          <t>AGM-65 Maverick</t>
        </is>
      </c>
      <c r="EV179" t="n">
        <v>351</v>
      </c>
      <c r="EX179" t="n">
        <v>300</v>
      </c>
      <c r="EY179" t="n">
        <v>3.5</v>
      </c>
      <c r="FZ179" t="n">
        <v>57</v>
      </c>
      <c r="GB179" t="inlineStr">
        <is>
          <t>atgm_agm_65_maverick</t>
        </is>
      </c>
      <c r="GD179" t="inlineStr">
        <is>
          <t>Assets/MachineBrigade/Resources/Data/balance.json: weapons[82]</t>
        </is>
      </c>
      <c r="GE179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80,"splash":3.5,"impactTier":"Medium","projectile":"Missile","roundWeight":351}</t>
        </is>
      </c>
    </row>
    <row r="180">
      <c r="A180" t="inlineStr">
        <is>
          <t>mg_coax</t>
        </is>
      </c>
      <c r="B180" t="inlineStr">
        <is>
          <t>PKT / M240 7.62 mm</t>
        </is>
      </c>
      <c r="C180" t="inlineStr">
        <is>
          <t>cal_7_62</t>
        </is>
      </c>
      <c r="D180" t="inlineStr"/>
      <c r="E180" t="inlineStr">
        <is>
          <t>pkt_m240_7_62_mm</t>
        </is>
      </c>
      <c r="F180" t="inlineStr">
        <is>
          <t>mg</t>
        </is>
      </c>
      <c r="G180" t="n">
        <v>7.62</v>
      </c>
      <c r="H180" t="inlineStr"/>
      <c r="I180" t="inlineStr"/>
      <c r="J180" t="inlineStr"/>
      <c r="K180" t="inlineStr">
        <is>
          <t>Kinetic</t>
        </is>
      </c>
      <c r="L180" t="n">
        <v>0</v>
      </c>
      <c r="M180" t="inlineStr">
        <is>
          <t>Bullet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0.0833</v>
      </c>
      <c r="S180" t="n">
        <v>100</v>
      </c>
      <c r="T180" t="n">
        <v>4.0833</v>
      </c>
      <c r="U180" t="n">
        <v>0</v>
      </c>
      <c r="V180" t="n">
        <v>0</v>
      </c>
      <c r="W180" t="n">
        <v>5.5</v>
      </c>
      <c r="X180" t="n">
        <v>0</v>
      </c>
      <c r="Y180" t="n">
        <v>0</v>
      </c>
      <c r="Z180" t="n">
        <v>240</v>
      </c>
      <c r="AA180" t="n">
        <v>20</v>
      </c>
      <c r="AB180" t="n">
        <v>0</v>
      </c>
      <c r="AC180" t="inlineStr">
        <is>
          <t>All</t>
        </is>
      </c>
      <c r="AD180" t="inlineStr"/>
      <c r="AE180" t="n">
        <v>1</v>
      </c>
      <c r="AF180" t="inlineStr">
        <is>
          <t>Small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0</v>
      </c>
      <c r="AN180" t="n">
        <v>7.62</v>
      </c>
      <c r="AO180" t="n">
        <v>0</v>
      </c>
      <c r="AP180" t="inlineStr">
        <is>
          <t>T0</t>
        </is>
      </c>
      <c r="AQ180" t="inlineStr"/>
      <c r="AR180" t="inlineStr"/>
      <c r="AS180" t="inlineStr">
        <is>
          <t>cong_trinh;xe</t>
        </is>
      </c>
      <c r="AT180" t="inlineStr">
        <is>
          <t>elite_apc;elite_mbt;flame_tank;headquarters;headquarters.fortress_air;headquarters.fortress_ground;headquarters.shield;ifv;light_tank;main_battle_tank;titan_tank;twin_tank;wheeled_gun</t>
        </is>
      </c>
      <c r="AU180" t="n">
        <v>13</v>
      </c>
      <c r="AV180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0.08333333333333333</v>
      </c>
      <c r="BB180" t="n">
        <v>800</v>
      </c>
      <c r="BC180" t="n">
        <v>250</v>
      </c>
      <c r="BD180" t="inlineStr">
        <is>
          <t>mg</t>
        </is>
      </c>
      <c r="BE180" t="inlineStr">
        <is>
          <t>Wikipedia 'PK machine gun' (PKT 700-800, practical 250); M240 650-950</t>
        </is>
      </c>
      <c r="BG180" t="inlineStr">
        <is>
          <t>giong</t>
        </is>
      </c>
      <c r="CT180" t="n">
        <v>7.62</v>
      </c>
      <c r="CW180" t="n">
        <v>100</v>
      </c>
      <c r="CX180" t="n">
        <v>4.0833</v>
      </c>
      <c r="DD180" t="n">
        <v>0.0833</v>
      </c>
      <c r="DE180" t="n">
        <v>5.5</v>
      </c>
      <c r="DF180" t="inlineStr">
        <is>
          <t>Kinetic</t>
        </is>
      </c>
      <c r="DJ180" t="inlineStr">
        <is>
          <t>mg</t>
        </is>
      </c>
      <c r="DS180" t="inlineStr">
        <is>
          <t>Small</t>
        </is>
      </c>
      <c r="EB180" t="n">
        <v>0</v>
      </c>
      <c r="EH180" t="inlineStr">
        <is>
          <t>Bullet</t>
        </is>
      </c>
      <c r="EP180" t="n">
        <v>20</v>
      </c>
      <c r="EQ180" t="inlineStr">
        <is>
          <t>PKT / M240 7.62 mm</t>
        </is>
      </c>
      <c r="EV180" t="n">
        <v>6</v>
      </c>
      <c r="EX180" t="n">
        <v>7.62</v>
      </c>
      <c r="EZ180" t="n">
        <v>1</v>
      </c>
      <c r="FW180" t="inlineStr">
        <is>
          <t>All</t>
        </is>
      </c>
      <c r="GA180" t="inlineStr">
        <is>
          <t>pkt_m240_7_62_mm</t>
        </is>
      </c>
      <c r="GB180" t="inlineStr">
        <is>
          <t>cal_7_62</t>
        </is>
      </c>
      <c r="GD180" t="inlineStr">
        <is>
          <t>Assets/MachineBrigade/Resources/Data/balance.json: weapons[1]</t>
        </is>
      </c>
      <c r="GE180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181">
      <c r="A181" t="inlineStr">
        <is>
          <t>mg_coax_long</t>
        </is>
      </c>
      <c r="B181" t="inlineStr">
        <is>
          <t>PKT / M240 7.62 mm</t>
        </is>
      </c>
      <c r="C181" t="inlineStr">
        <is>
          <t>cal_7_62</t>
        </is>
      </c>
      <c r="D181" t="inlineStr"/>
      <c r="E181" t="inlineStr">
        <is>
          <t>pkt_m240_7_62_mm</t>
        </is>
      </c>
      <c r="F181" t="inlineStr">
        <is>
          <t>mg</t>
        </is>
      </c>
      <c r="G181" t="n">
        <v>7.62</v>
      </c>
      <c r="H181" t="inlineStr"/>
      <c r="I181" t="inlineStr"/>
      <c r="J181" t="inlineStr"/>
      <c r="K181" t="inlineStr">
        <is>
          <t>Kinetic</t>
        </is>
      </c>
      <c r="L181" t="n">
        <v>0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0.0833</v>
      </c>
      <c r="S181" t="n">
        <v>100</v>
      </c>
      <c r="T181" t="n">
        <v>4.0833</v>
      </c>
      <c r="U181" t="n">
        <v>0</v>
      </c>
      <c r="V181" t="n">
        <v>0</v>
      </c>
      <c r="W181" t="n">
        <v>5.5</v>
      </c>
      <c r="X181" t="n">
        <v>0</v>
      </c>
      <c r="Y181" t="n">
        <v>0</v>
      </c>
      <c r="Z181" t="n">
        <v>240</v>
      </c>
      <c r="AA181" t="n">
        <v>30</v>
      </c>
      <c r="AB181" t="n">
        <v>0</v>
      </c>
      <c r="AC181" t="inlineStr">
        <is>
          <t>All</t>
        </is>
      </c>
      <c r="AD181" t="inlineStr"/>
      <c r="AE181" t="n">
        <v>1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7.62</v>
      </c>
      <c r="AO181" t="n">
        <v>0</v>
      </c>
      <c r="AP181" t="inlineStr">
        <is>
          <t>T0</t>
        </is>
      </c>
      <c r="AQ181" t="inlineStr">
        <is>
          <t>mg_coax</t>
        </is>
      </c>
      <c r="AR181" t="inlineStr"/>
      <c r="AS181" t="inlineStr">
        <is>
          <t>xe</t>
        </is>
      </c>
      <c r="AT181" t="inlineStr">
        <is>
          <t>armored_car</t>
        </is>
      </c>
      <c r="AU181" t="n">
        <v>1</v>
      </c>
      <c r="AV181" t="inlineStr">
        <is>
          <t>armored_car:1</t>
        </is>
      </c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0.125</v>
      </c>
      <c r="BB181" t="n">
        <v>800</v>
      </c>
      <c r="BC181" t="n">
        <v>250</v>
      </c>
      <c r="BD181" t="inlineStr">
        <is>
          <t>mg</t>
        </is>
      </c>
      <c r="BE181" t="inlineStr">
        <is>
          <t>Wikipedia 'PK machine gun' (PKT 700-800, practical 250); M240 650-950</t>
        </is>
      </c>
      <c r="BG181" t="inlineStr">
        <is>
          <t>moi</t>
        </is>
      </c>
      <c r="CT181" t="n">
        <v>7.62</v>
      </c>
      <c r="DJ181" t="inlineStr">
        <is>
          <t>mg</t>
        </is>
      </c>
      <c r="DT181" t="inlineStr">
        <is>
          <t>mg_coax</t>
        </is>
      </c>
      <c r="EB181" t="n">
        <v>0</v>
      </c>
      <c r="EP181" t="n">
        <v>30</v>
      </c>
      <c r="EQ181" t="inlineStr">
        <is>
          <t>PKT / M240 7.62 mm</t>
        </is>
      </c>
      <c r="EX181" t="n">
        <v>7.62</v>
      </c>
      <c r="GA181" t="inlineStr">
        <is>
          <t>pkt_m240_7_62_mm</t>
        </is>
      </c>
      <c r="GD181" t="inlineStr">
        <is>
          <t>Assets/MachineBrigade/Resources/Data/balance.json: weapons[106]</t>
        </is>
      </c>
      <c r="GE181" t="inlineStr">
        <is>
          <t>{"id":"mg_coax_long","weaponFamily":"pkt_m240_7_62_mm","real":"PKT / M240 7.62 mm","family":"mg","size":7.62,"caliberMm":7.62,"pen":0,"inherits":"mg_coax","range":30}</t>
        </is>
      </c>
    </row>
    <row r="182">
      <c r="A182" t="inlineStr">
        <is>
          <t>mg_jeep</t>
        </is>
      </c>
      <c r="B182" t="inlineStr">
        <is>
          <t>M2 Browning 12.7 mm</t>
        </is>
      </c>
      <c r="C182" t="inlineStr">
        <is>
          <t>cal_12_7</t>
        </is>
      </c>
      <c r="D182" t="inlineStr"/>
      <c r="E182" t="inlineStr">
        <is>
          <t>m2_browning_12_7_mm</t>
        </is>
      </c>
      <c r="F182" t="inlineStr">
        <is>
          <t>mg</t>
        </is>
      </c>
      <c r="G182" t="n">
        <v>12.7</v>
      </c>
      <c r="H182" t="inlineStr"/>
      <c r="I182" t="inlineStr"/>
      <c r="J182" t="inlineStr"/>
      <c r="K182" t="inlineStr">
        <is>
          <t>Kinetic</t>
        </is>
      </c>
      <c r="L182" t="n">
        <v>1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0.1111</v>
      </c>
      <c r="S182" t="n">
        <v>100</v>
      </c>
      <c r="T182" t="n">
        <v>5.1111</v>
      </c>
      <c r="U182" t="n">
        <v>0</v>
      </c>
      <c r="V182" t="n">
        <v>0</v>
      </c>
      <c r="W182" t="n">
        <v>9.5</v>
      </c>
      <c r="X182" t="n">
        <v>0</v>
      </c>
      <c r="Y182" t="n">
        <v>0</v>
      </c>
      <c r="Z182" t="n">
        <v>230</v>
      </c>
      <c r="AA182" t="n">
        <v>22</v>
      </c>
      <c r="AB182" t="n">
        <v>0</v>
      </c>
      <c r="AC182" t="inlineStr">
        <is>
          <t>All</t>
        </is>
      </c>
      <c r="AD182" t="inlineStr"/>
      <c r="AE182" t="n">
        <v>1.2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12.7</v>
      </c>
      <c r="AO182" t="n">
        <v>0</v>
      </c>
      <c r="AP182" t="inlineStr">
        <is>
          <t>T0</t>
        </is>
      </c>
      <c r="AQ182" t="inlineStr"/>
      <c r="AR182" t="inlineStr">
        <is>
          <t>mg_jeep_api</t>
        </is>
      </c>
      <c r="AS182" t="inlineStr">
        <is>
          <t>xe</t>
        </is>
      </c>
      <c r="AT182" t="inlineStr">
        <is>
          <t>river_patrol_boat;scout_jeep;supply_truck</t>
        </is>
      </c>
      <c r="AU182" t="n">
        <v>3</v>
      </c>
      <c r="AV182" t="inlineStr">
        <is>
          <t>river_patrol_boat:0;scout_jeep:0;supply_truck:0</t>
        </is>
      </c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0.09565217391304348</v>
      </c>
      <c r="BB182" t="n">
        <v>600</v>
      </c>
      <c r="BC182" t="n">
        <v>40</v>
      </c>
      <c r="BD182" t="inlineStr">
        <is>
          <t>mg</t>
        </is>
      </c>
      <c r="BE182" t="inlineStr">
        <is>
          <t>US Army FM 3-22.65: cyclic 450-600, rapid 40 rpm</t>
        </is>
      </c>
      <c r="BG182" t="inlineStr">
        <is>
          <t>giong</t>
        </is>
      </c>
      <c r="CT182" t="n">
        <v>12.7</v>
      </c>
      <c r="CW182" t="n">
        <v>100</v>
      </c>
      <c r="CX182" t="n">
        <v>5.1111</v>
      </c>
      <c r="DD182" t="n">
        <v>0.1111</v>
      </c>
      <c r="DE182" t="n">
        <v>9.5</v>
      </c>
      <c r="DF182" t="inlineStr">
        <is>
          <t>Kinetic</t>
        </is>
      </c>
      <c r="DJ182" t="inlineStr">
        <is>
          <t>mg</t>
        </is>
      </c>
      <c r="DS182" t="inlineStr">
        <is>
          <t>Small</t>
        </is>
      </c>
      <c r="EB182" t="n">
        <v>1</v>
      </c>
      <c r="EH182" t="inlineStr">
        <is>
          <t>Bullet</t>
        </is>
      </c>
      <c r="EP182" t="n">
        <v>22</v>
      </c>
      <c r="EQ182" t="inlineStr">
        <is>
          <t>M2 Browning 12.7 mm</t>
        </is>
      </c>
      <c r="EX182" t="n">
        <v>12.7</v>
      </c>
      <c r="EZ182" t="n">
        <v>1.2</v>
      </c>
      <c r="FW182" t="inlineStr">
        <is>
          <t>All</t>
        </is>
      </c>
      <c r="GA182" t="inlineStr">
        <is>
          <t>m2_browning_12_7_mm</t>
        </is>
      </c>
      <c r="GB182" t="inlineStr">
        <is>
          <t>cal_12_7</t>
        </is>
      </c>
      <c r="GD182" t="inlineStr">
        <is>
          <t>Assets/MachineBrigade/Resources/Data/balance.json: weapons[0]</t>
        </is>
      </c>
      <c r="GE182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183">
      <c r="A183" t="inlineStr">
        <is>
          <t>mg_jeep_api</t>
        </is>
      </c>
      <c r="B183" t="inlineStr">
        <is>
          <t>M2 Browning 12.7 mm API</t>
        </is>
      </c>
      <c r="C183" t="inlineStr">
        <is>
          <t>cal_12_7</t>
        </is>
      </c>
      <c r="D183" t="inlineStr"/>
      <c r="E183" t="inlineStr">
        <is>
          <t>m2_browning_12_7_mm_api</t>
        </is>
      </c>
      <c r="F183" t="inlineStr">
        <is>
          <t>mg</t>
        </is>
      </c>
      <c r="G183" t="n">
        <v>12.7</v>
      </c>
      <c r="H183" t="inlineStr"/>
      <c r="I183" t="inlineStr"/>
      <c r="J183" t="inlineStr"/>
      <c r="K183" t="inlineStr">
        <is>
          <t>Kinetic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0.1111</v>
      </c>
      <c r="S183" t="n">
        <v>100</v>
      </c>
      <c r="T183" t="n">
        <v>5.1111</v>
      </c>
      <c r="U183" t="n">
        <v>0</v>
      </c>
      <c r="V183" t="n">
        <v>0</v>
      </c>
      <c r="W183" t="n">
        <v>9.5</v>
      </c>
      <c r="X183" t="n">
        <v>0</v>
      </c>
      <c r="Y183" t="n">
        <v>0</v>
      </c>
      <c r="Z183" t="n">
        <v>230</v>
      </c>
      <c r="AA183" t="n">
        <v>22</v>
      </c>
      <c r="AB183" t="n">
        <v>0</v>
      </c>
      <c r="AC183" t="inlineStr">
        <is>
          <t>All</t>
        </is>
      </c>
      <c r="AD183" t="inlineStr"/>
      <c r="AE183" t="n">
        <v>1.2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12.7</v>
      </c>
      <c r="AO183" t="n">
        <v>0</v>
      </c>
      <c r="AP183" t="inlineStr">
        <is>
          <t>T0</t>
        </is>
      </c>
      <c r="AQ183" t="inlineStr">
        <is>
          <t>mg_jeep</t>
        </is>
      </c>
      <c r="AR183" t="inlineStr"/>
      <c r="AS183" t="inlineStr"/>
      <c r="AT183" t="inlineStr"/>
      <c r="AU183" t="n">
        <v>0</v>
      </c>
      <c r="AV183" t="inlineStr"/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0.09565217391304348</v>
      </c>
      <c r="BB183" t="n">
        <v>600</v>
      </c>
      <c r="BC183" t="n">
        <v>40</v>
      </c>
      <c r="BD183" t="inlineStr">
        <is>
          <t>mg</t>
        </is>
      </c>
      <c r="BE183" t="inlineStr">
        <is>
          <t>US Army FM 3-22.65: cyclic 450-600, rapid 40 rpm</t>
        </is>
      </c>
      <c r="BG183" t="inlineStr">
        <is>
          <t>giong</t>
        </is>
      </c>
      <c r="DE183" t="n">
        <v>9.5</v>
      </c>
      <c r="DF183" t="inlineStr">
        <is>
          <t>Kinetic</t>
        </is>
      </c>
      <c r="DH183" t="b">
        <v>1</v>
      </c>
      <c r="DM183" t="inlineStr">
        <is>
          <t>any</t>
        </is>
      </c>
      <c r="DN183" t="inlineStr">
        <is>
          <t>BulletBig</t>
        </is>
      </c>
      <c r="DT183" t="inlineStr">
        <is>
          <t>mg_jeep</t>
        </is>
      </c>
      <c r="EB183" t="n">
        <v>2</v>
      </c>
      <c r="EE183" t="b">
        <v>1</v>
      </c>
      <c r="EQ183" t="inlineStr">
        <is>
          <t>M2 Browning 12.7 mm API</t>
        </is>
      </c>
      <c r="ES183" t="inlineStr">
        <is>
          <t>api</t>
        </is>
      </c>
      <c r="EU183" t="inlineStr">
        <is>
          <t>mg_jeep</t>
        </is>
      </c>
      <c r="GA183" t="inlineStr">
        <is>
          <t>m2_browning_12_7_mm_api</t>
        </is>
      </c>
      <c r="GD183" t="inlineStr">
        <is>
          <t>Assets/MachineBrigade/Resources/Data/balance.json: secondRounds.rounds[50]</t>
        </is>
      </c>
      <c r="GE183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184">
      <c r="A184" t="inlineStr">
        <is>
          <t>mg_jeep_selfdef</t>
        </is>
      </c>
      <c r="B184" t="inlineStr">
        <is>
          <t>M2 Browning 12.7 mm</t>
        </is>
      </c>
      <c r="C184" t="inlineStr">
        <is>
          <t>cal_12_7</t>
        </is>
      </c>
      <c r="D184" t="inlineStr"/>
      <c r="E184" t="inlineStr">
        <is>
          <t>m2_browning_12_7_mm</t>
        </is>
      </c>
      <c r="F184" t="inlineStr">
        <is>
          <t>mg</t>
        </is>
      </c>
      <c r="G184" t="n">
        <v>12.7</v>
      </c>
      <c r="H184" t="inlineStr"/>
      <c r="I184" t="inlineStr"/>
      <c r="J184" t="inlineStr"/>
      <c r="K184" t="inlineStr">
        <is>
          <t>Kinetic</t>
        </is>
      </c>
      <c r="L184" t="n">
        <v>1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</v>
      </c>
      <c r="Q184" t="n">
        <v>0.1</v>
      </c>
      <c r="R184" t="n">
        <v>0.1111</v>
      </c>
      <c r="S184" t="n">
        <v>100</v>
      </c>
      <c r="T184" t="n">
        <v>5.1111</v>
      </c>
      <c r="U184" t="n">
        <v>0</v>
      </c>
      <c r="V184" t="n">
        <v>0</v>
      </c>
      <c r="W184" t="n">
        <v>9.5</v>
      </c>
      <c r="X184" t="n">
        <v>0</v>
      </c>
      <c r="Y184" t="n">
        <v>0</v>
      </c>
      <c r="Z184" t="n">
        <v>230</v>
      </c>
      <c r="AA184" t="n">
        <v>13</v>
      </c>
      <c r="AB184" t="n">
        <v>0</v>
      </c>
      <c r="AC184" t="inlineStr">
        <is>
          <t>All</t>
        </is>
      </c>
      <c r="AD184" t="inlineStr"/>
      <c r="AE184" t="n">
        <v>1.2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12.7</v>
      </c>
      <c r="AO184" t="n">
        <v>0</v>
      </c>
      <c r="AP184" t="inlineStr">
        <is>
          <t>T0</t>
        </is>
      </c>
      <c r="AQ184" t="inlineStr">
        <is>
          <t>mg_jeep</t>
        </is>
      </c>
      <c r="AR184" t="inlineStr">
        <is>
          <t>mg_jeep_selfdef_api</t>
        </is>
      </c>
      <c r="AS184" t="inlineStr">
        <is>
          <t>xe</t>
        </is>
      </c>
      <c r="AT184" t="inlineStr">
        <is>
          <t>rocket_technical</t>
        </is>
      </c>
      <c r="AU184" t="n">
        <v>1</v>
      </c>
      <c r="AV184" t="inlineStr">
        <is>
          <t>rocket_technical:1</t>
        </is>
      </c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0.05652173913043478</v>
      </c>
      <c r="BB184" t="n">
        <v>600</v>
      </c>
      <c r="BC184" t="n">
        <v>40</v>
      </c>
      <c r="BD184" t="inlineStr">
        <is>
          <t>mg</t>
        </is>
      </c>
      <c r="BE184" t="inlineStr">
        <is>
          <t>US Army FM 3-22.65: cyclic 450-600, rapid 40 rpm</t>
        </is>
      </c>
      <c r="BG184" t="inlineStr">
        <is>
          <t>giong</t>
        </is>
      </c>
      <c r="DT184" t="inlineStr">
        <is>
          <t>mg_jeep</t>
        </is>
      </c>
      <c r="EP184" t="n">
        <v>13</v>
      </c>
      <c r="GA184" t="inlineStr">
        <is>
          <t>m2_browning_12_7_mm</t>
        </is>
      </c>
      <c r="GD184" t="inlineStr">
        <is>
          <t>Assets/MachineBrigade/Resources/Data/balance.json: weapons[6]</t>
        </is>
      </c>
      <c r="GE184" t="inlineStr">
        <is>
          <t>{"id":"mg_jeep_selfdef","weaponFamily":"m2_browning_12_7_mm","inherits":"mg_jeep","range":13}</t>
        </is>
      </c>
    </row>
    <row r="185">
      <c r="A185" t="inlineStr">
        <is>
          <t>mg_jeep_selfdef_api</t>
        </is>
      </c>
      <c r="B185" t="inlineStr">
        <is>
          <t>M2 Browning 12.7 mm API</t>
        </is>
      </c>
      <c r="C185" t="inlineStr">
        <is>
          <t>cal_12_7</t>
        </is>
      </c>
      <c r="D185" t="inlineStr"/>
      <c r="E185" t="inlineStr">
        <is>
          <t>m2_browning_12_7_mm_api</t>
        </is>
      </c>
      <c r="F185" t="inlineStr">
        <is>
          <t>mg</t>
        </is>
      </c>
      <c r="G185" t="n">
        <v>12.7</v>
      </c>
      <c r="H185" t="inlineStr"/>
      <c r="I185" t="inlineStr"/>
      <c r="J185" t="inlineStr"/>
      <c r="K185" t="inlineStr">
        <is>
          <t>Kinetic</t>
        </is>
      </c>
      <c r="L185" t="n">
        <v>2</v>
      </c>
      <c r="M185" t="inlineStr">
        <is>
          <t>Bullet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0.1111</v>
      </c>
      <c r="S185" t="n">
        <v>100</v>
      </c>
      <c r="T185" t="n">
        <v>5.1111</v>
      </c>
      <c r="U185" t="n">
        <v>0</v>
      </c>
      <c r="V185" t="n">
        <v>0</v>
      </c>
      <c r="W185" t="n">
        <v>9.5</v>
      </c>
      <c r="X185" t="n">
        <v>0</v>
      </c>
      <c r="Y185" t="n">
        <v>0</v>
      </c>
      <c r="Z185" t="n">
        <v>230</v>
      </c>
      <c r="AA185" t="n">
        <v>13</v>
      </c>
      <c r="AB185" t="n">
        <v>0</v>
      </c>
      <c r="AC185" t="inlineStr">
        <is>
          <t>All</t>
        </is>
      </c>
      <c r="AD185" t="inlineStr"/>
      <c r="AE185" t="n">
        <v>1.2</v>
      </c>
      <c r="AF185" t="inlineStr">
        <is>
          <t>Small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12.7</v>
      </c>
      <c r="AO185" t="n">
        <v>0</v>
      </c>
      <c r="AP185" t="inlineStr">
        <is>
          <t>T0</t>
        </is>
      </c>
      <c r="AQ185" t="inlineStr">
        <is>
          <t>mg_jeep_selfdef</t>
        </is>
      </c>
      <c r="AR185" t="inlineStr"/>
      <c r="AS185" t="inlineStr"/>
      <c r="AT185" t="inlineStr"/>
      <c r="AU185" t="n">
        <v>0</v>
      </c>
      <c r="AV185" t="inlineStr"/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0.05652173913043478</v>
      </c>
      <c r="BB185" t="n">
        <v>600</v>
      </c>
      <c r="BC185" t="n">
        <v>40</v>
      </c>
      <c r="BD185" t="inlineStr">
        <is>
          <t>mg</t>
        </is>
      </c>
      <c r="BE185" t="inlineStr">
        <is>
          <t>US Army FM 3-22.65: cyclic 450-600, rapid 40 rpm</t>
        </is>
      </c>
      <c r="BG185" t="inlineStr">
        <is>
          <t>giong</t>
        </is>
      </c>
      <c r="DE185" t="n">
        <v>9.5</v>
      </c>
      <c r="DF185" t="inlineStr">
        <is>
          <t>Kinetic</t>
        </is>
      </c>
      <c r="DH185" t="b">
        <v>1</v>
      </c>
      <c r="DM185" t="inlineStr">
        <is>
          <t>any</t>
        </is>
      </c>
      <c r="DN185" t="inlineStr">
        <is>
          <t>BulletBig</t>
        </is>
      </c>
      <c r="DT185" t="inlineStr">
        <is>
          <t>mg_jeep_selfdef</t>
        </is>
      </c>
      <c r="EB185" t="n">
        <v>2</v>
      </c>
      <c r="EE185" t="b">
        <v>1</v>
      </c>
      <c r="EQ185" t="inlineStr">
        <is>
          <t>M2 Browning 12.7 mm API</t>
        </is>
      </c>
      <c r="ES185" t="inlineStr">
        <is>
          <t>api</t>
        </is>
      </c>
      <c r="EU185" t="inlineStr">
        <is>
          <t>mg_jeep_selfdef</t>
        </is>
      </c>
      <c r="GA185" t="inlineStr">
        <is>
          <t>m2_browning_12_7_mm_api</t>
        </is>
      </c>
      <c r="GD185" t="inlineStr">
        <is>
          <t>Assets/MachineBrigade/Resources/Data/balance.json: secondRounds.rounds[51]</t>
        </is>
      </c>
      <c r="GE185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186">
      <c r="A186" t="inlineStr">
        <is>
          <t>minigun</t>
        </is>
      </c>
      <c r="B186" t="inlineStr">
        <is>
          <t>M134 Minigun 7.62 mm</t>
        </is>
      </c>
      <c r="C186" t="inlineStr">
        <is>
          <t>cal_7_62</t>
        </is>
      </c>
      <c r="D186" t="inlineStr"/>
      <c r="E186" t="inlineStr"/>
      <c r="F186" t="inlineStr">
        <is>
          <t>mg</t>
        </is>
      </c>
      <c r="G186" t="n">
        <v>7.62</v>
      </c>
      <c r="H186" t="inlineStr"/>
      <c r="I186" t="inlineStr"/>
      <c r="J186" t="inlineStr"/>
      <c r="K186" t="inlineStr">
        <is>
          <t>Kinetic</t>
        </is>
      </c>
      <c r="L186" t="n">
        <v>0</v>
      </c>
      <c r="M186" t="inlineStr">
        <is>
          <t>Bullet</t>
        </is>
      </c>
      <c r="N186" t="n">
        <v>1</v>
      </c>
      <c r="O186" t="inlineStr">
        <is>
          <t>RIPPLE</t>
        </is>
      </c>
      <c r="P186" t="n">
        <v>1</v>
      </c>
      <c r="Q186" t="n">
        <v>0.1</v>
      </c>
      <c r="R186" t="n">
        <v>0.02</v>
      </c>
      <c r="S186" t="n">
        <v>200</v>
      </c>
      <c r="T186" t="n">
        <v>4.02</v>
      </c>
      <c r="U186" t="n">
        <v>0</v>
      </c>
      <c r="V186" t="n">
        <v>0</v>
      </c>
      <c r="W186" t="n">
        <v>5.5</v>
      </c>
      <c r="X186" t="n">
        <v>0</v>
      </c>
      <c r="Y186" t="n">
        <v>0</v>
      </c>
      <c r="Z186" t="n">
        <v>240</v>
      </c>
      <c r="AA186" t="n">
        <v>24</v>
      </c>
      <c r="AB186" t="n">
        <v>0</v>
      </c>
      <c r="AC186" t="inlineStr">
        <is>
          <t>All</t>
        </is>
      </c>
      <c r="AD186" t="inlineStr"/>
      <c r="AE186" t="n">
        <v>1.4</v>
      </c>
      <c r="AF186" t="inlineStr">
        <is>
          <t>Small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7.62</v>
      </c>
      <c r="AO186" t="n">
        <v>0</v>
      </c>
      <c r="AP186" t="inlineStr">
        <is>
          <t>T0</t>
        </is>
      </c>
      <c r="AQ186" t="inlineStr"/>
      <c r="AR186" t="inlineStr"/>
      <c r="AS186" t="inlineStr">
        <is>
          <t>boss;xe</t>
        </is>
      </c>
      <c r="AT186" t="inlineStr">
        <is>
          <t>mega_gunship;scout_heli</t>
        </is>
      </c>
      <c r="AU186" t="n">
        <v>2</v>
      </c>
      <c r="AV186" t="inlineStr">
        <is>
          <t>mega_gunship:other;scout_heli:0</t>
        </is>
      </c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0.1</v>
      </c>
      <c r="BB186" t="n">
        <v>6000</v>
      </c>
      <c r="BC186" t="inlineStr"/>
      <c r="BD186" t="inlineStr">
        <is>
          <t>mg</t>
        </is>
      </c>
      <c r="BE186" t="inlineStr">
        <is>
          <t>Wikipedia 'M134 Minigun': 2,000-6,000 rpm (3,000 on helicopters)</t>
        </is>
      </c>
      <c r="BG186" t="inlineStr">
        <is>
          <t>giong</t>
        </is>
      </c>
      <c r="CT186" t="n">
        <v>7.62</v>
      </c>
      <c r="CW186" t="n">
        <v>200</v>
      </c>
      <c r="CX186" t="n">
        <v>4.02</v>
      </c>
      <c r="DD186" t="n">
        <v>0.02</v>
      </c>
      <c r="DE186" t="n">
        <v>5.5</v>
      </c>
      <c r="DF186" t="inlineStr">
        <is>
          <t>Kinetic</t>
        </is>
      </c>
      <c r="DJ186" t="inlineStr">
        <is>
          <t>mg</t>
        </is>
      </c>
      <c r="DS186" t="inlineStr">
        <is>
          <t>Small</t>
        </is>
      </c>
      <c r="EB186" t="n">
        <v>0</v>
      </c>
      <c r="EH186" t="inlineStr">
        <is>
          <t>Bullet</t>
        </is>
      </c>
      <c r="EK186" t="n">
        <v>240</v>
      </c>
      <c r="EP186" t="n">
        <v>24</v>
      </c>
      <c r="EQ186" t="inlineStr">
        <is>
          <t>M134 Minigun 7.62 mm</t>
        </is>
      </c>
      <c r="EV186" t="n">
        <v>7</v>
      </c>
      <c r="EX186" t="n">
        <v>7.62</v>
      </c>
      <c r="EZ186" t="n">
        <v>1.4</v>
      </c>
      <c r="FW186" t="inlineStr">
        <is>
          <t>All</t>
        </is>
      </c>
      <c r="GB186" t="inlineStr">
        <is>
          <t>cal_7_62</t>
        </is>
      </c>
      <c r="GD186" t="inlineStr">
        <is>
          <t>Assets/MachineBrigade/Resources/Data/balance.json: weapons[36]</t>
        </is>
      </c>
      <c r="GE186" t="inlineStr">
        <is>
          <t>{"id":"minigun","weaponFamilyId":"cal_7_62","real":"M134 Minigun 7.62 mm","family":"mg","size":7.62,"caliberMm":7.62,"pen":0,"damageType":"Kinetic","damage":5.5,"cooldown":0.02,"range":24,"projectileSpeed":240,"spread":1.4,"impactTier":"Small","projectile":"Bullet","targets":"All","roundWeight":7,"clip":200,"clipReload":4.02}</t>
        </is>
      </c>
    </row>
    <row r="187">
      <c r="A187" t="inlineStr">
        <is>
          <t>missile_57e6</t>
        </is>
      </c>
      <c r="B187" t="inlineStr">
        <is>
          <t>57E6 (Pantsir)</t>
        </is>
      </c>
      <c r="C187" t="inlineStr">
        <is>
          <t>sam_57e6</t>
        </is>
      </c>
      <c r="D187" t="inlineStr"/>
      <c r="E187" t="inlineStr"/>
      <c r="F187" t="inlineStr">
        <is>
          <t>aa_missile</t>
        </is>
      </c>
      <c r="G187" t="inlineStr"/>
      <c r="H187" t="n">
        <v>20</v>
      </c>
      <c r="I187" t="inlineStr"/>
      <c r="J187" t="inlineStr"/>
      <c r="K187" t="inlineStr">
        <is>
          <t>Fragmentation</t>
        </is>
      </c>
      <c r="L187" t="n">
        <v>3</v>
      </c>
      <c r="M187" t="inlineStr">
        <is>
          <t>Missile</t>
        </is>
      </c>
      <c r="N187" t="n">
        <v>1</v>
      </c>
      <c r="O187" t="inlineStr">
        <is>
          <t>RIPPLE</t>
        </is>
      </c>
      <c r="P187" t="n">
        <v>1</v>
      </c>
      <c r="Q187" t="n">
        <v>0.1</v>
      </c>
      <c r="R187" t="n">
        <v>4.452</v>
      </c>
      <c r="S187" t="n">
        <v>0</v>
      </c>
      <c r="T187" t="n">
        <v>0</v>
      </c>
      <c r="U187" t="n">
        <v>0</v>
      </c>
      <c r="V187" t="n">
        <v>0</v>
      </c>
      <c r="W187" t="n">
        <v>220</v>
      </c>
      <c r="X187" t="n">
        <v>2.5</v>
      </c>
      <c r="Y187" t="n">
        <v>0</v>
      </c>
      <c r="Z187" t="n">
        <v>130</v>
      </c>
      <c r="AA187" t="n">
        <v>55</v>
      </c>
      <c r="AB187" t="n">
        <v>0</v>
      </c>
      <c r="AC187" t="inlineStr">
        <is>
          <t>Air</t>
        </is>
      </c>
      <c r="AD187" t="inlineStr"/>
      <c r="AE187" t="n">
        <v>0</v>
      </c>
      <c r="AF187" t="inlineStr">
        <is>
          <t>Medium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7</v>
      </c>
      <c r="AO187" t="n">
        <v>0</v>
      </c>
      <c r="AP187" t="inlineStr">
        <is>
          <t>T2</t>
        </is>
      </c>
      <c r="AQ187" t="inlineStr"/>
      <c r="AR187" t="inlineStr"/>
      <c r="AS187" t="inlineStr">
        <is>
          <t>xe</t>
        </is>
      </c>
      <c r="AT187" t="inlineStr">
        <is>
          <t>heavy_aa</t>
        </is>
      </c>
      <c r="AU187" t="n">
        <v>1</v>
      </c>
      <c r="AV187" t="inlineStr">
        <is>
          <t>heavy_aa:1</t>
        </is>
      </c>
      <c r="AW187" t="n">
        <v>0</v>
      </c>
      <c r="AX187" t="b">
        <v>0</v>
      </c>
      <c r="AY187" t="inlineStr"/>
      <c r="AZ187">
        <f>IF(AND($AX$187,$AW$187&gt;$AA$187/$Z$187),$AW$187,$AA$187/$Z$187)</f>
        <v/>
      </c>
      <c r="BA187" t="n">
        <v>0.4230769230769231</v>
      </c>
      <c r="BB187" t="n">
        <v>40</v>
      </c>
      <c r="BC187" t="n">
        <v>12</v>
      </c>
      <c r="BD187" t="inlineStr">
        <is>
          <t>missile</t>
        </is>
      </c>
      <c r="BE187" t="inlineStr">
        <is>
          <t>Wikipedia 'Pantsir': 2 missiles ~1.5 s apart (est.)</t>
        </is>
      </c>
      <c r="BG187" t="inlineStr">
        <is>
          <t>doi</t>
        </is>
      </c>
      <c r="BR187" t="n">
        <v>55</v>
      </c>
      <c r="BS187" t="n">
        <v>130</v>
      </c>
      <c r="DD187" t="n">
        <v>4.452</v>
      </c>
      <c r="DE187" t="n">
        <v>220</v>
      </c>
      <c r="DF187" t="inlineStr">
        <is>
          <t>Fragmentation</t>
        </is>
      </c>
      <c r="DJ187" t="inlineStr">
        <is>
          <t>aa_missile</t>
        </is>
      </c>
      <c r="DK187" t="n">
        <v>0.8</v>
      </c>
      <c r="DS187" t="inlineStr">
        <is>
          <t>Medium</t>
        </is>
      </c>
      <c r="EB187" t="n">
        <v>3</v>
      </c>
      <c r="EH187" t="inlineStr">
        <is>
          <t>Missile</t>
        </is>
      </c>
      <c r="EI187" t="inlineStr">
        <is>
          <t>shorad_dart</t>
        </is>
      </c>
      <c r="EJ187" t="n">
        <v>0.85</v>
      </c>
      <c r="EK187" t="n">
        <v>130</v>
      </c>
      <c r="EP187" t="n">
        <v>55</v>
      </c>
      <c r="EQ187" t="inlineStr">
        <is>
          <t>57E6 (Pantsir)</t>
        </is>
      </c>
      <c r="EX187" t="n">
        <v>7</v>
      </c>
      <c r="EY187" t="n">
        <v>2.5</v>
      </c>
      <c r="FW187" t="inlineStr">
        <is>
          <t>Air</t>
        </is>
      </c>
      <c r="FZ187" t="n">
        <v>20</v>
      </c>
      <c r="GB187" t="inlineStr">
        <is>
          <t>sam_57e6</t>
        </is>
      </c>
      <c r="GD187" t="inlineStr">
        <is>
          <t>Assets/MachineBrigade/Resources/Data/balance.json: weapons[22]</t>
        </is>
      </c>
      <c r="GE187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130,"splash":2.5,"impactTier":"Medium","projectile":"Missile","targets":"Air","flareResist":0.8}</t>
        </is>
      </c>
    </row>
    <row r="188">
      <c r="A188" t="inlineStr">
        <is>
          <t>mlrs_elite</t>
        </is>
      </c>
      <c r="B188" t="inlineStr">
        <is>
          <t>M30 GMLRS 227 mm (cluster)</t>
        </is>
      </c>
      <c r="C188" t="inlineStr">
        <is>
          <t>rkt_gmlrs_227</t>
        </is>
      </c>
      <c r="D188" t="inlineStr">
        <is>
          <t>cluster</t>
        </is>
      </c>
      <c r="E188" t="inlineStr"/>
      <c r="F188" t="inlineStr">
        <is>
          <t>rocket</t>
        </is>
      </c>
      <c r="G188" t="n">
        <v>227</v>
      </c>
      <c r="H188" t="inlineStr"/>
      <c r="I188" t="inlineStr"/>
      <c r="J188" t="inlineStr"/>
      <c r="K188" t="inlineStr">
        <is>
          <t>HighExplosive</t>
        </is>
      </c>
      <c r="L188" t="n">
        <v>3</v>
      </c>
      <c r="M188" t="inlineStr">
        <is>
          <t>Rocket</t>
        </is>
      </c>
      <c r="N188" t="n">
        <v>1</v>
      </c>
      <c r="O188" t="inlineStr">
        <is>
          <t>RIPPLE</t>
        </is>
      </c>
      <c r="P188" t="n">
        <v>5</v>
      </c>
      <c r="Q188" t="n">
        <v>0.14</v>
      </c>
      <c r="R188" t="n">
        <v>9.686</v>
      </c>
      <c r="S188" t="n">
        <v>0</v>
      </c>
      <c r="T188" t="n">
        <v>0</v>
      </c>
      <c r="U188" t="n">
        <v>6</v>
      </c>
      <c r="V188" t="n">
        <v>19.93</v>
      </c>
      <c r="W188" t="n">
        <v>105</v>
      </c>
      <c r="X188" t="n">
        <v>5</v>
      </c>
      <c r="Y188" t="n">
        <v>0</v>
      </c>
      <c r="Z188" t="n">
        <v>85</v>
      </c>
      <c r="AA188" t="n">
        <v>75</v>
      </c>
      <c r="AB188" t="n">
        <v>20</v>
      </c>
      <c r="AC188" t="inlineStr">
        <is>
          <t>Ground</t>
        </is>
      </c>
      <c r="AD188" t="inlineStr"/>
      <c r="AE188" t="n">
        <v>5</v>
      </c>
      <c r="AF188" t="inlineStr">
        <is>
          <t>Large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227</v>
      </c>
      <c r="AO188" t="n">
        <v>0</v>
      </c>
      <c r="AP188" t="inlineStr">
        <is>
          <t>T4</t>
        </is>
      </c>
      <c r="AQ188" t="inlineStr"/>
      <c r="AR188" t="inlineStr"/>
      <c r="AS188" t="inlineStr">
        <is>
          <t>xe</t>
        </is>
      </c>
      <c r="AT188" t="inlineStr">
        <is>
          <t>elite_mlrs</t>
        </is>
      </c>
      <c r="AU188" t="n">
        <v>1</v>
      </c>
      <c r="AV188" t="inlineStr">
        <is>
          <t>elite_mlrs:0</t>
        </is>
      </c>
      <c r="AW188" t="n">
        <v>2.5</v>
      </c>
      <c r="AX188" t="b">
        <v>1</v>
      </c>
      <c r="AY188" t="inlineStr"/>
      <c r="AZ188">
        <f>IF(AND($AX$188,$AW$188&gt;$AA$188/$Z$188),$AW$188,$AA$188/$Z$188)</f>
        <v/>
      </c>
      <c r="BA188" t="n">
        <v>2.5</v>
      </c>
      <c r="BB188" t="n">
        <v>12</v>
      </c>
      <c r="BC188" t="inlineStr"/>
      <c r="BD188" t="inlineStr">
        <is>
          <t>rocket</t>
        </is>
      </c>
      <c r="BE188" t="inlineStr">
        <is>
          <t>Wikipedia 'M270 MLRS': 12 rockets in under a minute</t>
        </is>
      </c>
      <c r="BG188" t="inlineStr">
        <is>
          <t>doi</t>
        </is>
      </c>
      <c r="BR188" t="n">
        <v>50</v>
      </c>
      <c r="BS188" t="n">
        <v>85</v>
      </c>
      <c r="CN188" t="n">
        <v>6</v>
      </c>
      <c r="CR188" t="n">
        <v>5</v>
      </c>
      <c r="CS188" t="n">
        <v>0.14</v>
      </c>
      <c r="CT188" t="n">
        <v>227</v>
      </c>
      <c r="CY188" t="n">
        <v>5</v>
      </c>
      <c r="CZ188" t="n">
        <v>6</v>
      </c>
      <c r="DA188" t="n">
        <v>6</v>
      </c>
      <c r="DB188" t="n">
        <v>2.6</v>
      </c>
      <c r="DC188" t="inlineStr">
        <is>
          <t>Small</t>
        </is>
      </c>
      <c r="DD188" t="n">
        <v>9.686</v>
      </c>
      <c r="DE188" t="n">
        <v>105</v>
      </c>
      <c r="DF188" t="inlineStr">
        <is>
          <t>HighExplosive</t>
        </is>
      </c>
      <c r="DJ188" t="inlineStr">
        <is>
          <t>rocket</t>
        </is>
      </c>
      <c r="DS188" t="inlineStr">
        <is>
          <t>Large</t>
        </is>
      </c>
      <c r="DZ188" t="n">
        <v>20</v>
      </c>
      <c r="EB188" t="n">
        <v>3</v>
      </c>
      <c r="EH188" t="inlineStr">
        <is>
          <t>Rocket</t>
        </is>
      </c>
      <c r="EI188" t="inlineStr">
        <is>
          <t>gmlrs</t>
        </is>
      </c>
      <c r="EK188" t="n">
        <v>85</v>
      </c>
      <c r="EP188" t="n">
        <v>75</v>
      </c>
      <c r="EQ188" t="inlineStr">
        <is>
          <t>M30 GMLRS 227 mm (cluster)</t>
        </is>
      </c>
      <c r="ER188" t="n">
        <v>19.93</v>
      </c>
      <c r="EX188" t="n">
        <v>227</v>
      </c>
      <c r="EY188" t="n">
        <v>5</v>
      </c>
      <c r="EZ188" t="n">
        <v>5</v>
      </c>
      <c r="GB188" t="inlineStr">
        <is>
          <t>rkt_gmlrs_227</t>
        </is>
      </c>
      <c r="GC188" t="inlineStr">
        <is>
          <t>cluster</t>
        </is>
      </c>
      <c r="GD188" t="inlineStr">
        <is>
          <t>Assets/MachineBrigade/Resources/Data/balance.json: weapons[98]</t>
        </is>
      </c>
      <c r="GE188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85,"splash":5,"spread":5,"impactTier":"Large","projectile":"Rocket","burst":5,"burstInterval":0.14,"ammo":6,"cluster":{"count":5,"radius":6,"damage":6,"splash":2.6,"tier":"Small"}}</t>
        </is>
      </c>
    </row>
    <row r="189">
      <c r="A189" t="inlineStr">
        <is>
          <t>mlrs_rockets</t>
        </is>
      </c>
      <c r="B189" t="inlineStr">
        <is>
          <t>M31 GMLRS 227 mm</t>
        </is>
      </c>
      <c r="C189" t="inlineStr">
        <is>
          <t>rkt_gmlrs_227</t>
        </is>
      </c>
      <c r="D189" t="inlineStr"/>
      <c r="E189" t="inlineStr">
        <is>
          <t>m31_gmlrs_227_mm</t>
        </is>
      </c>
      <c r="F189" t="inlineStr">
        <is>
          <t>rocket</t>
        </is>
      </c>
      <c r="G189" t="n">
        <v>227</v>
      </c>
      <c r="H189" t="inlineStr"/>
      <c r="I189" t="inlineStr"/>
      <c r="J189" t="inlineStr"/>
      <c r="K189" t="inlineStr">
        <is>
          <t>HighExplosive</t>
        </is>
      </c>
      <c r="L189" t="n">
        <v>3</v>
      </c>
      <c r="M189" t="inlineStr">
        <is>
          <t>Rocket</t>
        </is>
      </c>
      <c r="N189" t="n">
        <v>1</v>
      </c>
      <c r="O189" t="inlineStr">
        <is>
          <t>RIPPLE</t>
        </is>
      </c>
      <c r="P189" t="n">
        <v>5</v>
      </c>
      <c r="Q189" t="n">
        <v>0.3</v>
      </c>
      <c r="R189" t="n">
        <v>9.944000000000001</v>
      </c>
      <c r="S189" t="n">
        <v>0</v>
      </c>
      <c r="T189" t="n">
        <v>0</v>
      </c>
      <c r="U189" t="n">
        <v>4</v>
      </c>
      <c r="V189" t="n">
        <v>15.53</v>
      </c>
      <c r="W189" t="n">
        <v>100</v>
      </c>
      <c r="X189" t="n">
        <v>4.5</v>
      </c>
      <c r="Y189" t="n">
        <v>0</v>
      </c>
      <c r="Z189" t="n">
        <v>85</v>
      </c>
      <c r="AA189" t="n">
        <v>110</v>
      </c>
      <c r="AB189" t="n">
        <v>20</v>
      </c>
      <c r="AC189" t="inlineStr">
        <is>
          <t>Ground</t>
        </is>
      </c>
      <c r="AD189" t="inlineStr"/>
      <c r="AE189" t="n">
        <v>2.2</v>
      </c>
      <c r="AF189" t="inlineStr">
        <is>
          <t>Large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227</v>
      </c>
      <c r="AO189" t="n">
        <v>0</v>
      </c>
      <c r="AP189" t="inlineStr">
        <is>
          <t>T4</t>
        </is>
      </c>
      <c r="AQ189" t="inlineStr"/>
      <c r="AR189" t="inlineStr"/>
      <c r="AS189" t="inlineStr">
        <is>
          <t>xe</t>
        </is>
      </c>
      <c r="AT189" t="inlineStr">
        <is>
          <t>mlrs</t>
        </is>
      </c>
      <c r="AU189" t="n">
        <v>1</v>
      </c>
      <c r="AV189" t="inlineStr">
        <is>
          <t>mlrs:0</t>
        </is>
      </c>
      <c r="AW189" t="n">
        <v>2.5</v>
      </c>
      <c r="AX189" t="b">
        <v>1</v>
      </c>
      <c r="AY189" t="inlineStr"/>
      <c r="AZ189">
        <f>IF(AND($AX$189,$AW$189&gt;$AA$189/$Z$189),$AW$189,$AA$189/$Z$189)</f>
        <v/>
      </c>
      <c r="BA189" t="n">
        <v>2.5</v>
      </c>
      <c r="BB189" t="n">
        <v>12</v>
      </c>
      <c r="BC189" t="inlineStr"/>
      <c r="BD189" t="inlineStr">
        <is>
          <t>rocket</t>
        </is>
      </c>
      <c r="BE189" t="inlineStr">
        <is>
          <t>Wikipedia 'M270 MLRS': 12 rockets in under a minute</t>
        </is>
      </c>
      <c r="BG189" t="inlineStr">
        <is>
          <t>doi</t>
        </is>
      </c>
      <c r="BR189" t="n">
        <v>50</v>
      </c>
      <c r="BS189" t="n">
        <v>85</v>
      </c>
      <c r="CN189" t="n">
        <v>4</v>
      </c>
      <c r="CR189" t="n">
        <v>5</v>
      </c>
      <c r="CS189" t="n">
        <v>0.3</v>
      </c>
      <c r="CT189" t="n">
        <v>227</v>
      </c>
      <c r="DD189" t="n">
        <v>9.944000000000001</v>
      </c>
      <c r="DE189" t="n">
        <v>100</v>
      </c>
      <c r="DF189" t="inlineStr">
        <is>
          <t>HighExplosive</t>
        </is>
      </c>
      <c r="DJ189" t="inlineStr">
        <is>
          <t>rocket</t>
        </is>
      </c>
      <c r="DS189" t="inlineStr">
        <is>
          <t>Large</t>
        </is>
      </c>
      <c r="DZ189" t="n">
        <v>20</v>
      </c>
      <c r="EB189" t="n">
        <v>3</v>
      </c>
      <c r="EH189" t="inlineStr">
        <is>
          <t>Rocket</t>
        </is>
      </c>
      <c r="EP189" t="n">
        <v>110</v>
      </c>
      <c r="EQ189" t="inlineStr">
        <is>
          <t>M31 GMLRS 227 mm</t>
        </is>
      </c>
      <c r="ER189" t="n">
        <v>15.53</v>
      </c>
      <c r="EX189" t="n">
        <v>227</v>
      </c>
      <c r="EZ189" t="n">
        <v>2.2</v>
      </c>
      <c r="GA189" t="inlineStr">
        <is>
          <t>m31_gmlrs_227_mm</t>
        </is>
      </c>
      <c r="GB189" t="inlineStr">
        <is>
          <t>rkt_gmlrs_227</t>
        </is>
      </c>
      <c r="GD189" t="inlineStr">
        <is>
          <t>Assets/MachineBrigade/Resources/Data/balance.json: weapons[18]</t>
        </is>
      </c>
      <c r="GE189" t="inlineStr">
        <is>
          <t>{"id":"mlrs_rockets","weaponFamilyId":"rkt_gmlrs_227","weaponFamily":"m31_gmlrs_227_mm","real":"M31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190">
      <c r="A190" t="inlineStr">
        <is>
          <t>mortar_120</t>
        </is>
      </c>
      <c r="B190" t="inlineStr">
        <is>
          <t>2B11 120 mm</t>
        </is>
      </c>
      <c r="C190" t="inlineStr">
        <is>
          <t>cal_120_he</t>
        </is>
      </c>
      <c r="D190" t="inlineStr">
        <is>
          <t>mortar</t>
        </is>
      </c>
      <c r="E190" t="inlineStr">
        <is>
          <t>2b11_120_mm</t>
        </is>
      </c>
      <c r="F190" t="inlineStr">
        <is>
          <t>mortar</t>
        </is>
      </c>
      <c r="G190" t="n">
        <v>120</v>
      </c>
      <c r="H190" t="inlineStr"/>
      <c r="I190" t="inlineStr"/>
      <c r="J190" t="inlineStr"/>
      <c r="K190" t="inlineStr">
        <is>
          <t>HighExplosive</t>
        </is>
      </c>
      <c r="L190" t="n">
        <v>2</v>
      </c>
      <c r="M190" t="inlineStr">
        <is>
          <t>Shell</t>
        </is>
      </c>
      <c r="N190" t="n">
        <v>1</v>
      </c>
      <c r="O190" t="inlineStr">
        <is>
          <t>RIPPLE</t>
        </is>
      </c>
      <c r="P190" t="n">
        <v>1</v>
      </c>
      <c r="Q190" t="n">
        <v>0.1</v>
      </c>
      <c r="R190" t="n">
        <v>7.143</v>
      </c>
      <c r="S190" t="n">
        <v>0</v>
      </c>
      <c r="T190" t="n">
        <v>0</v>
      </c>
      <c r="U190" t="n">
        <v>18</v>
      </c>
      <c r="V190" t="n">
        <v>35.73</v>
      </c>
      <c r="W190" t="n">
        <v>214</v>
      </c>
      <c r="X190" t="n">
        <v>5</v>
      </c>
      <c r="Y190" t="n">
        <v>0</v>
      </c>
      <c r="Z190" t="n">
        <v>45</v>
      </c>
      <c r="AA190" t="n">
        <v>55</v>
      </c>
      <c r="AB190" t="n">
        <v>10</v>
      </c>
      <c r="AC190" t="inlineStr">
        <is>
          <t>Ground</t>
        </is>
      </c>
      <c r="AD190" t="inlineStr"/>
      <c r="AE190" t="n">
        <v>4.5</v>
      </c>
      <c r="AF190" t="inlineStr">
        <is>
          <t>Large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120</v>
      </c>
      <c r="AO190" t="n">
        <v>0</v>
      </c>
      <c r="AP190" t="inlineStr">
        <is>
          <t>T3</t>
        </is>
      </c>
      <c r="AQ190" t="inlineStr"/>
      <c r="AR190" t="inlineStr"/>
      <c r="AS190" t="inlineStr">
        <is>
          <t>xe</t>
        </is>
      </c>
      <c r="AT190" t="inlineStr">
        <is>
          <t>mortar_carrier</t>
        </is>
      </c>
      <c r="AU190" t="n">
        <v>1</v>
      </c>
      <c r="AV190" t="inlineStr">
        <is>
          <t>mortar_carrier:0</t>
        </is>
      </c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1.222222222222222</v>
      </c>
      <c r="BB190" t="n">
        <v>15</v>
      </c>
      <c r="BC190" t="n">
        <v>10</v>
      </c>
      <c r="BD190" t="inlineStr">
        <is>
          <t>gun</t>
        </is>
      </c>
      <c r="BE190" t="inlineStr">
        <is>
          <t>Wikipedia '2B11': 15 rpm</t>
        </is>
      </c>
      <c r="BG190" t="inlineStr">
        <is>
          <t>doi</t>
        </is>
      </c>
      <c r="BH190" t="n">
        <v>150</v>
      </c>
      <c r="BI190" t="n">
        <v>214</v>
      </c>
      <c r="BJ190" t="n">
        <v>5</v>
      </c>
      <c r="BK190" t="n">
        <v>7.143</v>
      </c>
      <c r="BR190" t="n">
        <v>32</v>
      </c>
      <c r="BS190" t="n">
        <v>45</v>
      </c>
      <c r="CN190" t="n">
        <v>18</v>
      </c>
      <c r="CT190" t="n">
        <v>120</v>
      </c>
      <c r="DD190" t="n">
        <v>7.143</v>
      </c>
      <c r="DE190" t="n">
        <v>214</v>
      </c>
      <c r="DF190" t="inlineStr">
        <is>
          <t>HighExplosive</t>
        </is>
      </c>
      <c r="DJ190" t="inlineStr">
        <is>
          <t>mortar</t>
        </is>
      </c>
      <c r="DS190" t="inlineStr">
        <is>
          <t>Large</t>
        </is>
      </c>
      <c r="DZ190" t="n">
        <v>10</v>
      </c>
      <c r="EB190" t="n">
        <v>2</v>
      </c>
      <c r="EP190" t="n">
        <v>55</v>
      </c>
      <c r="EQ190" t="inlineStr">
        <is>
          <t>2B11 120 mm</t>
        </is>
      </c>
      <c r="ER190" t="n">
        <v>35.73</v>
      </c>
      <c r="EX190" t="n">
        <v>120</v>
      </c>
      <c r="EZ190" t="n">
        <v>4.5</v>
      </c>
      <c r="GA190" t="inlineStr">
        <is>
          <t>2b11_120_mm</t>
        </is>
      </c>
      <c r="GB190" t="inlineStr">
        <is>
          <t>cal_120_he</t>
        </is>
      </c>
      <c r="GC190" t="inlineStr">
        <is>
          <t>mortar</t>
        </is>
      </c>
      <c r="GD190" t="inlineStr">
        <is>
          <t>Assets/MachineBrigade/Resources/Data/balance.json: weapons[31]</t>
        </is>
      </c>
      <c r="GE190" t="inlineStr">
        <is>
          <t>{"id":"mortar_120","weaponFamilyId":"cal_120_he","weaponVariantId":"mortar","weaponFamily":"2b11_120_mm","real":"2B11 120 mm","family":"mortar","size":120,"caliberMm":120,"pen":2,"damageType":"HighExplosive","damage":214,"cooldown":7.143,"range":55,"minRange":10,"spread":4.5,"impactTier":"Large","ammo":18,"reload":35.73}</t>
        </is>
      </c>
    </row>
    <row r="191">
      <c r="A191" t="inlineStr">
        <is>
          <t>mortar_240</t>
        </is>
      </c>
      <c r="B191" t="inlineStr">
        <is>
          <t>2B8 240 mm</t>
        </is>
      </c>
      <c r="C191" t="inlineStr">
        <is>
          <t>cal_240</t>
        </is>
      </c>
      <c r="D191" t="inlineStr"/>
      <c r="E191" t="inlineStr">
        <is>
          <t>2b8_240_mm</t>
        </is>
      </c>
      <c r="F191" t="inlineStr">
        <is>
          <t>mortar</t>
        </is>
      </c>
      <c r="G191" t="n">
        <v>240</v>
      </c>
      <c r="H191" t="inlineStr"/>
      <c r="I191" t="inlineStr"/>
      <c r="J191" t="inlineStr"/>
      <c r="K191" t="inlineStr">
        <is>
          <t>HighExplosive</t>
        </is>
      </c>
      <c r="L191" t="n">
        <v>4</v>
      </c>
      <c r="M191" t="inlineStr">
        <is>
          <t>Shell</t>
        </is>
      </c>
      <c r="N191" t="n">
        <v>1</v>
      </c>
      <c r="O191" t="inlineStr">
        <is>
          <t>RIPPLE</t>
        </is>
      </c>
      <c r="P191" t="n">
        <v>1</v>
      </c>
      <c r="Q191" t="n">
        <v>0.1</v>
      </c>
      <c r="R191" t="n">
        <v>14.2</v>
      </c>
      <c r="S191" t="n">
        <v>0</v>
      </c>
      <c r="T191" t="n">
        <v>0</v>
      </c>
      <c r="U191" t="n">
        <v>8</v>
      </c>
      <c r="V191" t="n">
        <v>23.2</v>
      </c>
      <c r="W191" t="n">
        <v>450</v>
      </c>
      <c r="X191" t="n">
        <v>9</v>
      </c>
      <c r="Y191" t="n">
        <v>0</v>
      </c>
      <c r="Z191" t="n">
        <v>40</v>
      </c>
      <c r="AA191" t="n">
        <v>85</v>
      </c>
      <c r="AB191" t="n">
        <v>20</v>
      </c>
      <c r="AC191" t="inlineStr">
        <is>
          <t>Ground</t>
        </is>
      </c>
      <c r="AD191" t="inlineStr"/>
      <c r="AE191" t="n">
        <v>5</v>
      </c>
      <c r="AF191" t="inlineStr">
        <is>
          <t>Ultimate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240</v>
      </c>
      <c r="AO191" t="n">
        <v>0</v>
      </c>
      <c r="AP191" t="inlineStr">
        <is>
          <t>T4</t>
        </is>
      </c>
      <c r="AQ191" t="inlineStr"/>
      <c r="AR191" t="inlineStr"/>
      <c r="AS191" t="inlineStr"/>
      <c r="AT191" t="inlineStr"/>
      <c r="AU191" t="n">
        <v>0</v>
      </c>
      <c r="AV191" t="inlineStr"/>
      <c r="AW191" t="n">
        <v>2.5</v>
      </c>
      <c r="AX191" t="b">
        <v>1</v>
      </c>
      <c r="AY191" t="inlineStr"/>
      <c r="AZ191">
        <f>IF(AND($AX$191,$AW$191&gt;$AA$191/$Z$191),$AW$191,$AA$191/$Z$191)</f>
        <v/>
      </c>
      <c r="BA191" t="n">
        <v>2.5</v>
      </c>
      <c r="BB191" t="n">
        <v>1</v>
      </c>
      <c r="BC191" t="n">
        <v>1</v>
      </c>
      <c r="BD191" t="inlineStr">
        <is>
          <t>gun</t>
        </is>
      </c>
      <c r="BE191" t="inlineStr">
        <is>
          <t>Wikipedia '2S4 Tyulpan': ~1 rpm</t>
        </is>
      </c>
      <c r="BG191" t="inlineStr">
        <is>
          <t>doi</t>
        </is>
      </c>
      <c r="BR191" t="n">
        <v>38</v>
      </c>
      <c r="BS191" t="n">
        <v>40</v>
      </c>
      <c r="CN191" t="n">
        <v>8</v>
      </c>
      <c r="CT191" t="n">
        <v>240</v>
      </c>
      <c r="DD191" t="n">
        <v>14.2</v>
      </c>
      <c r="DE191" t="n">
        <v>450</v>
      </c>
      <c r="DF191" t="inlineStr">
        <is>
          <t>HighExplosive</t>
        </is>
      </c>
      <c r="DJ191" t="inlineStr">
        <is>
          <t>mortar</t>
        </is>
      </c>
      <c r="DS191" t="inlineStr">
        <is>
          <t>Ultimate</t>
        </is>
      </c>
      <c r="DZ191" t="n">
        <v>20</v>
      </c>
      <c r="EB191" t="n">
        <v>4</v>
      </c>
      <c r="EP191" t="n">
        <v>85</v>
      </c>
      <c r="EQ191" t="inlineStr">
        <is>
          <t>2B8 240 mm</t>
        </is>
      </c>
      <c r="ER191" t="n">
        <v>23.2</v>
      </c>
      <c r="EX191" t="n">
        <v>240</v>
      </c>
      <c r="EZ191" t="n">
        <v>5</v>
      </c>
      <c r="GA191" t="inlineStr">
        <is>
          <t>2b8_240_mm</t>
        </is>
      </c>
      <c r="GB191" t="inlineStr">
        <is>
          <t>cal_240</t>
        </is>
      </c>
      <c r="GD191" t="inlineStr">
        <is>
          <t>Assets/MachineBrigade/Resources/Data/balance.json: weapons[60]</t>
        </is>
      </c>
      <c r="GE191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192">
      <c r="A192" t="inlineStr">
        <is>
          <t>mothership_cannon</t>
        </is>
      </c>
      <c r="B192" t="inlineStr">
        <is>
          <t>AU-220 57 mm</t>
        </is>
      </c>
      <c r="C192" t="inlineStr">
        <is>
          <t>cal_57</t>
        </is>
      </c>
      <c r="D192" t="inlineStr"/>
      <c r="E192" t="inlineStr"/>
      <c r="F192" t="inlineStr">
        <is>
          <t>autocannon</t>
        </is>
      </c>
      <c r="G192" t="n">
        <v>57</v>
      </c>
      <c r="H192" t="inlineStr"/>
      <c r="I192" t="inlineStr"/>
      <c r="J192" t="inlineStr"/>
      <c r="K192" t="inlineStr">
        <is>
          <t>HighExplosive</t>
        </is>
      </c>
      <c r="L192" t="n">
        <v>2</v>
      </c>
      <c r="M192" t="inlineStr">
        <is>
          <t>Shell</t>
        </is>
      </c>
      <c r="N192" t="n">
        <v>1</v>
      </c>
      <c r="O192" t="inlineStr">
        <is>
          <t>RIPPLE</t>
        </is>
      </c>
      <c r="P192" t="n">
        <v>4</v>
      </c>
      <c r="Q192" t="n">
        <v>0.5</v>
      </c>
      <c r="R192" t="n">
        <v>3.29</v>
      </c>
      <c r="S192" t="n">
        <v>0</v>
      </c>
      <c r="T192" t="n">
        <v>0</v>
      </c>
      <c r="U192" t="n">
        <v>0</v>
      </c>
      <c r="V192" t="n">
        <v>0</v>
      </c>
      <c r="W192" t="n">
        <v>70</v>
      </c>
      <c r="X192" t="n">
        <v>3.5</v>
      </c>
      <c r="Y192" t="n">
        <v>0</v>
      </c>
      <c r="Z192" t="n">
        <v>150</v>
      </c>
      <c r="AA192" t="n">
        <v>45</v>
      </c>
      <c r="AB192" t="n">
        <v>0</v>
      </c>
      <c r="AC192" t="inlineStr">
        <is>
          <t>Ground</t>
        </is>
      </c>
      <c r="AD192" t="inlineStr"/>
      <c r="AE192" t="n">
        <v>2.5</v>
      </c>
      <c r="AF192" t="inlineStr">
        <is>
          <t>Large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57</v>
      </c>
      <c r="AO192" t="n">
        <v>0</v>
      </c>
      <c r="AP192" t="inlineStr">
        <is>
          <t>T2</t>
        </is>
      </c>
      <c r="AQ192" t="inlineStr"/>
      <c r="AR192" t="inlineStr"/>
      <c r="AS192" t="inlineStr"/>
      <c r="AT192" t="inlineStr"/>
      <c r="AU192" t="n">
        <v>0</v>
      </c>
      <c r="AV192" t="inlineStr"/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0.3</v>
      </c>
      <c r="BB192" t="n">
        <v>120</v>
      </c>
      <c r="BC192" t="n">
        <v>80</v>
      </c>
      <c r="BD192" t="inlineStr">
        <is>
          <t>ac</t>
        </is>
      </c>
      <c r="BE192" t="inlineStr">
        <is>
          <t>Wikipedia 'AU-220M': 80-120 rpm</t>
        </is>
      </c>
      <c r="BG192" t="inlineStr">
        <is>
          <t>giong</t>
        </is>
      </c>
      <c r="CR192" t="n">
        <v>4</v>
      </c>
      <c r="CS192" t="n">
        <v>0.5</v>
      </c>
      <c r="CT192" t="n">
        <v>57</v>
      </c>
      <c r="DD192" t="n">
        <v>3.29</v>
      </c>
      <c r="DE192" t="n">
        <v>70</v>
      </c>
      <c r="DF192" t="inlineStr">
        <is>
          <t>HighExplosive</t>
        </is>
      </c>
      <c r="DJ192" t="inlineStr">
        <is>
          <t>autocannon</t>
        </is>
      </c>
      <c r="DN192" t="inlineStr">
        <is>
          <t>BeltedAutocannon</t>
        </is>
      </c>
      <c r="DS192" t="inlineStr">
        <is>
          <t>Large</t>
        </is>
      </c>
      <c r="EB192" t="n">
        <v>2</v>
      </c>
      <c r="EK192" t="n">
        <v>150</v>
      </c>
      <c r="EP192" t="n">
        <v>45</v>
      </c>
      <c r="EQ192" t="inlineStr">
        <is>
          <t>AU-220 57 mm</t>
        </is>
      </c>
      <c r="EX192" t="n">
        <v>57</v>
      </c>
      <c r="EY192" t="n">
        <v>3.5</v>
      </c>
      <c r="EZ192" t="n">
        <v>2.5</v>
      </c>
      <c r="GB192" t="inlineStr">
        <is>
          <t>cal_57</t>
        </is>
      </c>
      <c r="GD192" t="inlineStr">
        <is>
          <t>Assets/MachineBrigade/Resources/Data/balance.json: weapons[134]</t>
        </is>
      </c>
      <c r="GE192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193">
      <c r="A193" t="inlineStr">
        <is>
          <t>mothership_drones</t>
        </is>
      </c>
      <c r="B193" t="inlineStr">
        <is>
          <t>ZALA Lancet-3 (3 kg)</t>
        </is>
      </c>
      <c r="C193" t="inlineStr">
        <is>
          <t>drone_zala_lancet_3</t>
        </is>
      </c>
      <c r="D193" t="inlineStr"/>
      <c r="E193" t="inlineStr">
        <is>
          <t>zala_lancet_3</t>
        </is>
      </c>
      <c r="F193" t="inlineStr">
        <is>
          <t>drone</t>
        </is>
      </c>
      <c r="G193" t="inlineStr"/>
      <c r="H193" t="n">
        <v>3</v>
      </c>
      <c r="I193" t="inlineStr"/>
      <c r="J193" t="inlineStr"/>
      <c r="K193" t="inlineStr">
        <is>
          <t>ShapedCharge</t>
        </is>
      </c>
      <c r="L193" t="n">
        <v>4</v>
      </c>
      <c r="M193" t="inlineStr">
        <is>
          <t>Drone</t>
        </is>
      </c>
      <c r="N193" t="n">
        <v>1</v>
      </c>
      <c r="O193" t="inlineStr">
        <is>
          <t>RIPPLE</t>
        </is>
      </c>
      <c r="P193" t="n">
        <v>4</v>
      </c>
      <c r="Q193" t="n">
        <v>0.3</v>
      </c>
      <c r="R193" t="n">
        <v>8.470000000000001</v>
      </c>
      <c r="S193" t="n">
        <v>0</v>
      </c>
      <c r="T193" t="n">
        <v>0</v>
      </c>
      <c r="U193" t="n">
        <v>0</v>
      </c>
      <c r="V193" t="n">
        <v>0</v>
      </c>
      <c r="W193" t="n">
        <v>240</v>
      </c>
      <c r="X193" t="n">
        <v>3</v>
      </c>
      <c r="Y193" t="n">
        <v>0</v>
      </c>
      <c r="Z193" t="n">
        <v>28</v>
      </c>
      <c r="AA193" t="n">
        <v>70</v>
      </c>
      <c r="AB193" t="n">
        <v>0</v>
      </c>
      <c r="AC193" t="inlineStr">
        <is>
          <t>Ground</t>
        </is>
      </c>
      <c r="AD193" t="inlineStr"/>
      <c r="AE193" t="n">
        <v>0</v>
      </c>
      <c r="AF193" t="inlineStr">
        <is>
          <t>Large</t>
        </is>
      </c>
      <c r="AG193" t="b">
        <v>1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3</v>
      </c>
      <c r="AO193" t="n">
        <v>0</v>
      </c>
      <c r="AP193" t="inlineStr">
        <is>
          <t>T2</t>
        </is>
      </c>
      <c r="AQ193" t="inlineStr"/>
      <c r="AR193" t="inlineStr"/>
      <c r="AS193" t="inlineStr">
        <is>
          <t>boss_part</t>
        </is>
      </c>
      <c r="AT193" t="inlineStr">
        <is>
          <t>drone_bay</t>
        </is>
      </c>
      <c r="AU193" t="n">
        <v>1</v>
      </c>
      <c r="AV193" t="inlineStr">
        <is>
          <t>drone_bay:part</t>
        </is>
      </c>
      <c r="AW193" t="n">
        <v>0</v>
      </c>
      <c r="AX193" t="b">
        <v>0</v>
      </c>
      <c r="AY193" t="inlineStr"/>
      <c r="AZ193">
        <f>IF(AND($AX$193,$AW$193&gt;$AA$193/$Z$193),$AW$193,$AA$193/$Z$193)</f>
        <v/>
      </c>
      <c r="BA193" t="n">
        <v>2.5</v>
      </c>
      <c r="BB193" t="inlineStr">
        <is>
          <t>NEED_SOURCE</t>
        </is>
      </c>
      <c r="BC193" t="inlineStr">
        <is>
          <t>NEED_SOURCE</t>
        </is>
      </c>
      <c r="BE193" t="inlineStr">
        <is>
          <t>NEED_SOURCE</t>
        </is>
      </c>
      <c r="BG193" t="inlineStr">
        <is>
          <t>giong</t>
        </is>
      </c>
      <c r="CR193" t="n">
        <v>4</v>
      </c>
      <c r="CS193" t="n">
        <v>0.3</v>
      </c>
      <c r="DD193" t="n">
        <v>8.470000000000001</v>
      </c>
      <c r="DE193" t="n">
        <v>240</v>
      </c>
      <c r="DF193" t="inlineStr">
        <is>
          <t>ShapedCharge</t>
        </is>
      </c>
      <c r="DJ193" t="inlineStr">
        <is>
          <t>drone</t>
        </is>
      </c>
      <c r="DS193" t="inlineStr">
        <is>
          <t>Large</t>
        </is>
      </c>
      <c r="EB193" t="n">
        <v>4</v>
      </c>
      <c r="EE193" t="b">
        <v>1</v>
      </c>
      <c r="EH193" t="inlineStr">
        <is>
          <t>Drone</t>
        </is>
      </c>
      <c r="EP193" t="n">
        <v>70</v>
      </c>
      <c r="EQ193" t="inlineStr">
        <is>
          <t>ZALA Lancet-3 (3 kg)</t>
        </is>
      </c>
      <c r="EX193" t="n">
        <v>3</v>
      </c>
      <c r="FY193" t="b">
        <v>1</v>
      </c>
      <c r="FZ193" t="n">
        <v>3</v>
      </c>
      <c r="GA193" t="inlineStr">
        <is>
          <t>zala_lancet_3</t>
        </is>
      </c>
      <c r="GB193" t="inlineStr">
        <is>
          <t>drone_zala_lancet_3</t>
        </is>
      </c>
      <c r="GD193" t="inlineStr">
        <is>
          <t>Assets/MachineBrigade/Resources/Data/balance.json: weapons[135]</t>
        </is>
      </c>
      <c r="GE193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194">
      <c r="A194" t="inlineStr">
        <is>
          <t>naval_76</t>
        </is>
      </c>
      <c r="B194" t="inlineStr">
        <is>
          <t>OTO Melara 76/62</t>
        </is>
      </c>
      <c r="C194" t="inlineStr">
        <is>
          <t>cal_76</t>
        </is>
      </c>
      <c r="D194" t="inlineStr"/>
      <c r="E194" t="inlineStr"/>
      <c r="F194" t="inlineStr">
        <is>
          <t>howitzer</t>
        </is>
      </c>
      <c r="G194" t="n">
        <v>76</v>
      </c>
      <c r="H194" t="inlineStr"/>
      <c r="I194" t="inlineStr"/>
      <c r="J194" t="inlineStr"/>
      <c r="K194" t="inlineStr">
        <is>
          <t>HighExplosive</t>
        </is>
      </c>
      <c r="L194" t="n">
        <v>3</v>
      </c>
      <c r="M194" t="inlineStr">
        <is>
          <t>Shell</t>
        </is>
      </c>
      <c r="N194" t="n">
        <v>1</v>
      </c>
      <c r="O194" t="inlineStr">
        <is>
          <t>RIPPLE</t>
        </is>
      </c>
      <c r="P194" t="n">
        <v>2</v>
      </c>
      <c r="Q194" t="n">
        <v>0.5</v>
      </c>
      <c r="R194" t="n">
        <v>4.643</v>
      </c>
      <c r="S194" t="n">
        <v>0</v>
      </c>
      <c r="T194" t="n">
        <v>0</v>
      </c>
      <c r="U194" t="n">
        <v>0</v>
      </c>
      <c r="V194" t="n">
        <v>0</v>
      </c>
      <c r="W194" t="n">
        <v>171</v>
      </c>
      <c r="X194" t="n">
        <v>3</v>
      </c>
      <c r="Y194" t="n">
        <v>0</v>
      </c>
      <c r="Z194" t="n">
        <v>95</v>
      </c>
      <c r="AA194" t="n">
        <v>95</v>
      </c>
      <c r="AB194" t="n">
        <v>0</v>
      </c>
      <c r="AC194" t="inlineStr">
        <is>
          <t>Ground</t>
        </is>
      </c>
      <c r="AD194" t="inlineStr"/>
      <c r="AE194" t="n">
        <v>2.2</v>
      </c>
      <c r="AF194" t="inlineStr">
        <is>
          <t>Medium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76</v>
      </c>
      <c r="AO194" t="n">
        <v>0</v>
      </c>
      <c r="AP194" t="inlineStr">
        <is>
          <t>T2</t>
        </is>
      </c>
      <c r="AQ194" t="inlineStr"/>
      <c r="AR194" t="inlineStr">
        <is>
          <t>naval_76_guided</t>
        </is>
      </c>
      <c r="AS194" t="inlineStr">
        <is>
          <t>xe</t>
        </is>
      </c>
      <c r="AT194" t="inlineStr">
        <is>
          <t>sea_corvette</t>
        </is>
      </c>
      <c r="AU194" t="n">
        <v>1</v>
      </c>
      <c r="AV194" t="inlineStr">
        <is>
          <t>sea_corvette:0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1</v>
      </c>
      <c r="BB194" t="n">
        <v>120</v>
      </c>
      <c r="BC194" t="n">
        <v>80</v>
      </c>
      <c r="BD194" t="inlineStr">
        <is>
          <t>gun</t>
        </is>
      </c>
      <c r="BE194" t="inlineStr">
        <is>
          <t>Wikipedia 'OTO Melara 76 mm': 80-120 rpm (Super Rapid)</t>
        </is>
      </c>
      <c r="BG194" t="inlineStr">
        <is>
          <t>doi</t>
        </is>
      </c>
      <c r="BH194" t="n">
        <v>120</v>
      </c>
      <c r="BI194" t="n">
        <v>171</v>
      </c>
      <c r="BJ194" t="n">
        <v>3.1</v>
      </c>
      <c r="BK194" t="n">
        <v>4.643</v>
      </c>
      <c r="BR194" t="n">
        <v>110</v>
      </c>
      <c r="BS194" t="n">
        <v>95</v>
      </c>
      <c r="CR194" t="n">
        <v>2</v>
      </c>
      <c r="CS194" t="n">
        <v>0.5</v>
      </c>
      <c r="CT194" t="n">
        <v>76</v>
      </c>
      <c r="DD194" t="n">
        <v>4.643</v>
      </c>
      <c r="DE194" t="n">
        <v>171</v>
      </c>
      <c r="DF194" t="inlineStr">
        <is>
          <t>HighExplosive</t>
        </is>
      </c>
      <c r="DJ194" t="inlineStr">
        <is>
          <t>howitzer</t>
        </is>
      </c>
      <c r="DS194" t="inlineStr">
        <is>
          <t>Medium</t>
        </is>
      </c>
      <c r="EB194" t="n">
        <v>3</v>
      </c>
      <c r="EK194" t="n">
        <v>95</v>
      </c>
      <c r="EP194" t="n">
        <v>95</v>
      </c>
      <c r="EQ194" t="inlineStr">
        <is>
          <t>OTO Melara 76/62</t>
        </is>
      </c>
      <c r="EX194" t="n">
        <v>76</v>
      </c>
      <c r="EY194" t="n">
        <v>3</v>
      </c>
      <c r="EZ194" t="n">
        <v>2.2</v>
      </c>
      <c r="GB194" t="inlineStr">
        <is>
          <t>cal_76</t>
        </is>
      </c>
      <c r="GD194" t="inlineStr">
        <is>
          <t>Assets/MachineBrigade/Resources/Data/balance.json: weapons[254]</t>
        </is>
      </c>
      <c r="GE194" t="inlineStr">
        <is>
          <t>{"id":"naval_76","weaponFamilyId":"cal_76","real":"OTO Melara 76/62","family":"howitzer","size":76,"caliberMm":76,"pen":3,"damageType":"HighExplosive","damage":171,"cooldown":4.643,"range":95,"projectileSpeed":95,"splash":3,"spread":2.2,"impactTier":"Medium","burst":2,"burstInterval":0.5}</t>
        </is>
      </c>
    </row>
    <row r="195">
      <c r="A195" t="inlineStr">
        <is>
          <t>naval_76_guided</t>
        </is>
      </c>
      <c r="B195" t="inlineStr">
        <is>
          <t>OTO Melara 76/62 guided</t>
        </is>
      </c>
      <c r="C195" t="inlineStr">
        <is>
          <t>cal_76</t>
        </is>
      </c>
      <c r="D195" t="inlineStr"/>
      <c r="E195" t="inlineStr"/>
      <c r="F195" t="inlineStr">
        <is>
          <t>howitzer</t>
        </is>
      </c>
      <c r="G195" t="n">
        <v>76</v>
      </c>
      <c r="H195" t="inlineStr"/>
      <c r="I195" t="inlineStr"/>
      <c r="J195" t="inlineStr"/>
      <c r="K195" t="inlineStr">
        <is>
          <t>HighExplosive</t>
        </is>
      </c>
      <c r="L195" t="n">
        <v>3</v>
      </c>
      <c r="M195" t="inlineStr">
        <is>
          <t>Shell</t>
        </is>
      </c>
      <c r="N195" t="n">
        <v>1</v>
      </c>
      <c r="O195" t="inlineStr">
        <is>
          <t>RIPPLE</t>
        </is>
      </c>
      <c r="P195" t="n">
        <v>1</v>
      </c>
      <c r="Q195" t="n">
        <v>0.5</v>
      </c>
      <c r="R195" t="n">
        <v>4.643</v>
      </c>
      <c r="S195" t="n">
        <v>0</v>
      </c>
      <c r="T195" t="n">
        <v>0</v>
      </c>
      <c r="U195" t="n">
        <v>0</v>
      </c>
      <c r="V195" t="n">
        <v>0</v>
      </c>
      <c r="W195" t="n">
        <v>171</v>
      </c>
      <c r="X195" t="n">
        <v>3</v>
      </c>
      <c r="Y195" t="n">
        <v>0</v>
      </c>
      <c r="Z195" t="n">
        <v>95</v>
      </c>
      <c r="AA195" t="n">
        <v>95</v>
      </c>
      <c r="AB195" t="n">
        <v>0</v>
      </c>
      <c r="AC195" t="inlineStr">
        <is>
          <t>Ground</t>
        </is>
      </c>
      <c r="AD195" t="inlineStr"/>
      <c r="AE195" t="n">
        <v>0</v>
      </c>
      <c r="AF195" t="inlineStr">
        <is>
          <t>Medium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1</v>
      </c>
      <c r="AN195" t="n">
        <v>76</v>
      </c>
      <c r="AO195" t="n">
        <v>0</v>
      </c>
      <c r="AP195" t="inlineStr">
        <is>
          <t>T2</t>
        </is>
      </c>
      <c r="AQ195" t="inlineStr">
        <is>
          <t>naval_76</t>
        </is>
      </c>
      <c r="AR195" t="inlineStr"/>
      <c r="AS195" t="inlineStr"/>
      <c r="AT195" t="inlineStr"/>
      <c r="AU195" t="n">
        <v>0</v>
      </c>
      <c r="AV195" t="inlineStr"/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1</v>
      </c>
      <c r="BB195" t="n">
        <v>120</v>
      </c>
      <c r="BC195" t="n">
        <v>80</v>
      </c>
      <c r="BD195" t="inlineStr">
        <is>
          <t>gun</t>
        </is>
      </c>
      <c r="BE195" t="inlineStr">
        <is>
          <t>Wikipedia 'OTO Melara 76 mm': 80-120 rpm (Super Rapid)</t>
        </is>
      </c>
      <c r="BG195" t="inlineStr">
        <is>
          <t>doi</t>
        </is>
      </c>
      <c r="BH195" t="n">
        <v>120</v>
      </c>
      <c r="BI195" t="n">
        <v>171</v>
      </c>
      <c r="BJ195" t="n">
        <v>3.1</v>
      </c>
      <c r="BK195" t="n">
        <v>4.643</v>
      </c>
      <c r="BR195" t="n">
        <v>110</v>
      </c>
      <c r="BS195" t="n">
        <v>95</v>
      </c>
      <c r="CR195" t="n">
        <v>1</v>
      </c>
      <c r="DE195" t="n">
        <v>171</v>
      </c>
      <c r="DF195" t="inlineStr">
        <is>
          <t>HighExplosive</t>
        </is>
      </c>
      <c r="DH195" t="b">
        <v>1</v>
      </c>
      <c r="DM195" t="inlineStr">
        <is>
          <t>armour</t>
        </is>
      </c>
      <c r="DN195" t="inlineStr">
        <is>
          <t>HeShell</t>
        </is>
      </c>
      <c r="DP195" t="b">
        <v>1</v>
      </c>
      <c r="DT195" t="inlineStr">
        <is>
          <t>naval_76</t>
        </is>
      </c>
      <c r="EB195" t="n">
        <v>3</v>
      </c>
      <c r="EQ195" t="inlineStr">
        <is>
          <t>OTO Melara 76/62 guided</t>
        </is>
      </c>
      <c r="ES195" t="inlineStr">
        <is>
          <t>guided</t>
        </is>
      </c>
      <c r="EU195" t="inlineStr">
        <is>
          <t>naval_76</t>
        </is>
      </c>
      <c r="EZ195" t="n">
        <v>0</v>
      </c>
      <c r="FW195" t="inlineStr">
        <is>
          <t>Ground</t>
        </is>
      </c>
      <c r="GA195" t="inlineStr"/>
      <c r="GD195" t="inlineStr">
        <is>
          <t>Assets/MachineBrigade/Resources/Data/balance.json: secondRounds.rounds[54]</t>
        </is>
      </c>
      <c r="GE195" t="inlineStr">
        <is>
          <t>{"id":"naval_76_guided","roundOf":"naval_76","inherits":"naval_76","weaponFamily":"","round":"guided","for":["armour"],"elite":true,"real":"OTO Melara 76/62 guided","damageType":"HighExplosive","pen":3,"damage":171,"spread":0,"burst":1,"guided":true,"form":"HeShell","targets":"Ground"}</t>
        </is>
      </c>
    </row>
    <row r="196">
      <c r="A196" t="inlineStr">
        <is>
          <t>naval_100</t>
        </is>
      </c>
      <c r="B196" t="inlineStr">
        <is>
          <t>AK-100 100 mm</t>
        </is>
      </c>
      <c r="C196" t="inlineStr">
        <is>
          <t>cal_100_105_he</t>
        </is>
      </c>
      <c r="D196" t="inlineStr"/>
      <c r="E196" t="inlineStr"/>
      <c r="F196" t="inlineStr">
        <is>
          <t>howitzer</t>
        </is>
      </c>
      <c r="G196" t="n">
        <v>100</v>
      </c>
      <c r="H196" t="inlineStr"/>
      <c r="I196" t="inlineStr"/>
      <c r="J196" t="inlineStr"/>
      <c r="K196" t="inlineStr">
        <is>
          <t>HighExplosive</t>
        </is>
      </c>
      <c r="L196" t="n">
        <v>3</v>
      </c>
      <c r="M196" t="inlineStr">
        <is>
          <t>Shell</t>
        </is>
      </c>
      <c r="N196" t="n">
        <v>1</v>
      </c>
      <c r="O196" t="inlineStr">
        <is>
          <t>RIPPLE</t>
        </is>
      </c>
      <c r="P196" t="n">
        <v>2</v>
      </c>
      <c r="Q196" t="n">
        <v>0.5</v>
      </c>
      <c r="R196" t="n">
        <v>5</v>
      </c>
      <c r="S196" t="n">
        <v>0</v>
      </c>
      <c r="T196" t="n">
        <v>0</v>
      </c>
      <c r="U196" t="n">
        <v>0</v>
      </c>
      <c r="V196" t="n">
        <v>0</v>
      </c>
      <c r="W196" t="n">
        <v>229</v>
      </c>
      <c r="X196" t="n">
        <v>3.5</v>
      </c>
      <c r="Y196" t="n">
        <v>0</v>
      </c>
      <c r="Z196" t="n">
        <v>100</v>
      </c>
      <c r="AA196" t="n">
        <v>90</v>
      </c>
      <c r="AB196" t="n">
        <v>0</v>
      </c>
      <c r="AC196" t="inlineStr">
        <is>
          <t>Ground</t>
        </is>
      </c>
      <c r="AD196" t="inlineStr"/>
      <c r="AE196" t="n">
        <v>2.2</v>
      </c>
      <c r="AF196" t="inlineStr">
        <is>
          <t>Large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100</v>
      </c>
      <c r="AO196" t="n">
        <v>0</v>
      </c>
      <c r="AP196" t="inlineStr">
        <is>
          <t>T2</t>
        </is>
      </c>
      <c r="AQ196" t="inlineStr">
        <is>
          <t>naval_76</t>
        </is>
      </c>
      <c r="AR196" t="inlineStr">
        <is>
          <t>naval_100_guided</t>
        </is>
      </c>
      <c r="AS196" t="inlineStr">
        <is>
          <t>boss_part</t>
        </is>
      </c>
      <c r="AT196" t="inlineStr">
        <is>
          <t>deck_gun_100</t>
        </is>
      </c>
      <c r="AU196" t="n">
        <v>1</v>
      </c>
      <c r="AV196" t="inlineStr">
        <is>
          <t>deck_gun_100:part</t>
        </is>
      </c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0.9</v>
      </c>
      <c r="BB196" t="n">
        <v>60</v>
      </c>
      <c r="BC196" t="n">
        <v>30</v>
      </c>
      <c r="BD196" t="inlineStr">
        <is>
          <t>gun</t>
        </is>
      </c>
      <c r="BE196" t="inlineStr">
        <is>
          <t>Wikipedia 'AK-100 (naval gun)': 60 rpm</t>
        </is>
      </c>
      <c r="BG196" t="inlineStr">
        <is>
          <t>doi</t>
        </is>
      </c>
      <c r="BH196" t="n">
        <v>160</v>
      </c>
      <c r="BI196" t="n">
        <v>229</v>
      </c>
      <c r="BJ196" t="n">
        <v>3.5</v>
      </c>
      <c r="BK196" t="n">
        <v>5</v>
      </c>
      <c r="BR196" t="n">
        <v>110</v>
      </c>
      <c r="BS196" t="n">
        <v>100</v>
      </c>
      <c r="CT196" t="n">
        <v>100</v>
      </c>
      <c r="DD196" t="n">
        <v>5</v>
      </c>
      <c r="DE196" t="n">
        <v>229</v>
      </c>
      <c r="DJ196" t="inlineStr">
        <is>
          <t>howitzer</t>
        </is>
      </c>
      <c r="DS196" t="inlineStr">
        <is>
          <t>Large</t>
        </is>
      </c>
      <c r="DT196" t="inlineStr">
        <is>
          <t>naval_76</t>
        </is>
      </c>
      <c r="EB196" t="n">
        <v>3</v>
      </c>
      <c r="EK196" t="n">
        <v>100</v>
      </c>
      <c r="EP196" t="n">
        <v>90</v>
      </c>
      <c r="EQ196" t="inlineStr">
        <is>
          <t>AK-100 100 mm</t>
        </is>
      </c>
      <c r="EX196" t="n">
        <v>100</v>
      </c>
      <c r="EY196" t="n">
        <v>3.5</v>
      </c>
      <c r="GB196" t="inlineStr">
        <is>
          <t>cal_100_105_he</t>
        </is>
      </c>
      <c r="GD196" t="inlineStr">
        <is>
          <t>Assets/MachineBrigade/Resources/Data/balance.json: weapons[269]</t>
        </is>
      </c>
      <c r="GE196" t="inlineStr">
        <is>
          <t>{"id":"naval_100","projectileSpeed":100,"inherits":"naval_76","weaponFamilyId":"cal_100_105_he","real":"AK-100 100 mm","family":"howitzer","size":100,"caliberMm":100,"pen":3,"damage":229,"cooldown":5,"range":90,"splash":3.5,"impactTier":"Large"}</t>
        </is>
      </c>
    </row>
    <row r="197">
      <c r="A197" t="inlineStr">
        <is>
          <t>naval_100_guided</t>
        </is>
      </c>
      <c r="B197" t="inlineStr">
        <is>
          <t>AK-100 100 mm guided</t>
        </is>
      </c>
      <c r="C197" t="inlineStr">
        <is>
          <t>cal_100_105_he</t>
        </is>
      </c>
      <c r="D197" t="inlineStr"/>
      <c r="E197" t="inlineStr"/>
      <c r="F197" t="inlineStr">
        <is>
          <t>howitzer</t>
        </is>
      </c>
      <c r="G197" t="n">
        <v>100</v>
      </c>
      <c r="H197" t="inlineStr"/>
      <c r="I197" t="inlineStr"/>
      <c r="J197" t="inlineStr"/>
      <c r="K197" t="inlineStr">
        <is>
          <t>HighExplosive</t>
        </is>
      </c>
      <c r="L197" t="n">
        <v>3</v>
      </c>
      <c r="M197" t="inlineStr">
        <is>
          <t>Shell</t>
        </is>
      </c>
      <c r="N197" t="n">
        <v>1</v>
      </c>
      <c r="O197" t="inlineStr">
        <is>
          <t>RIPPLE</t>
        </is>
      </c>
      <c r="P197" t="n">
        <v>1</v>
      </c>
      <c r="Q197" t="n">
        <v>0.5</v>
      </c>
      <c r="R197" t="n">
        <v>5</v>
      </c>
      <c r="S197" t="n">
        <v>0</v>
      </c>
      <c r="T197" t="n">
        <v>0</v>
      </c>
      <c r="U197" t="n">
        <v>0</v>
      </c>
      <c r="V197" t="n">
        <v>0</v>
      </c>
      <c r="W197" t="n">
        <v>229</v>
      </c>
      <c r="X197" t="n">
        <v>3.5</v>
      </c>
      <c r="Y197" t="n">
        <v>0</v>
      </c>
      <c r="Z197" t="n">
        <v>100</v>
      </c>
      <c r="AA197" t="n">
        <v>90</v>
      </c>
      <c r="AB197" t="n">
        <v>0</v>
      </c>
      <c r="AC197" t="inlineStr">
        <is>
          <t>Ground</t>
        </is>
      </c>
      <c r="AD197" t="inlineStr"/>
      <c r="AE197" t="n">
        <v>0</v>
      </c>
      <c r="AF197" t="inlineStr">
        <is>
          <t>Large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1</v>
      </c>
      <c r="AN197" t="n">
        <v>100</v>
      </c>
      <c r="AO197" t="n">
        <v>0</v>
      </c>
      <c r="AP197" t="inlineStr">
        <is>
          <t>T2</t>
        </is>
      </c>
      <c r="AQ197" t="inlineStr">
        <is>
          <t>naval_100</t>
        </is>
      </c>
      <c r="AR197" t="inlineStr"/>
      <c r="AS197" t="inlineStr"/>
      <c r="AT197" t="inlineStr"/>
      <c r="AU197" t="n">
        <v>0</v>
      </c>
      <c r="AV197" t="inlineStr"/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0.9</v>
      </c>
      <c r="BB197" t="n">
        <v>60</v>
      </c>
      <c r="BC197" t="n">
        <v>30</v>
      </c>
      <c r="BD197" t="inlineStr">
        <is>
          <t>gun</t>
        </is>
      </c>
      <c r="BE197" t="inlineStr">
        <is>
          <t>Wikipedia 'AK-100 (naval gun)': 60 rpm</t>
        </is>
      </c>
      <c r="BG197" t="inlineStr">
        <is>
          <t>doi</t>
        </is>
      </c>
      <c r="BH197" t="n">
        <v>160</v>
      </c>
      <c r="BI197" t="n">
        <v>229</v>
      </c>
      <c r="BJ197" t="n">
        <v>3.5</v>
      </c>
      <c r="BK197" t="n">
        <v>5</v>
      </c>
      <c r="BR197" t="n">
        <v>110</v>
      </c>
      <c r="BS197" t="n">
        <v>100</v>
      </c>
      <c r="CR197" t="n">
        <v>1</v>
      </c>
      <c r="DE197" t="n">
        <v>229</v>
      </c>
      <c r="DF197" t="inlineStr">
        <is>
          <t>HighExplosive</t>
        </is>
      </c>
      <c r="DH197" t="b">
        <v>1</v>
      </c>
      <c r="DM197" t="inlineStr">
        <is>
          <t>armour</t>
        </is>
      </c>
      <c r="DN197" t="inlineStr">
        <is>
          <t>HeShell</t>
        </is>
      </c>
      <c r="DP197" t="b">
        <v>1</v>
      </c>
      <c r="DT197" t="inlineStr">
        <is>
          <t>naval_100</t>
        </is>
      </c>
      <c r="EB197" t="n">
        <v>3</v>
      </c>
      <c r="EQ197" t="inlineStr">
        <is>
          <t>AK-100 100 mm guided</t>
        </is>
      </c>
      <c r="ES197" t="inlineStr">
        <is>
          <t>guided</t>
        </is>
      </c>
      <c r="EU197" t="inlineStr">
        <is>
          <t>naval_100</t>
        </is>
      </c>
      <c r="EZ197" t="n">
        <v>0</v>
      </c>
      <c r="FW197" t="inlineStr">
        <is>
          <t>Ground</t>
        </is>
      </c>
      <c r="GA197" t="inlineStr"/>
      <c r="GD197" t="inlineStr">
        <is>
          <t>Assets/MachineBrigade/Resources/Data/balance.json: secondRounds.rounds[52]</t>
        </is>
      </c>
      <c r="GE197" t="inlineStr">
        <is>
          <t>{"id":"naval_100_guided","roundOf":"naval_100","inherits":"naval_100","weaponFamily":"","round":"guided","for":["armour"],"elite":true,"real":"AK-100 100 mm guided","damageType":"HighExplosive","pen":3,"damage":229,"spread":0,"burst":1,"guided":true,"form":"HeShell","targets":"Ground"}</t>
        </is>
      </c>
    </row>
    <row r="198">
      <c r="A198" t="inlineStr">
        <is>
          <t>naval_127</t>
        </is>
      </c>
      <c r="B198" t="inlineStr">
        <is>
          <t>Mk 45 127 mm</t>
        </is>
      </c>
      <c r="C198" t="inlineStr">
        <is>
          <t>cal_127_130</t>
        </is>
      </c>
      <c r="D198" t="inlineStr"/>
      <c r="E198" t="inlineStr"/>
      <c r="F198" t="inlineStr">
        <is>
          <t>howitzer</t>
        </is>
      </c>
      <c r="G198" t="n">
        <v>127</v>
      </c>
      <c r="H198" t="inlineStr"/>
      <c r="I198" t="inlineStr"/>
      <c r="J198" t="inlineStr"/>
      <c r="K198" t="inlineStr">
        <is>
          <t>HighExplosive</t>
        </is>
      </c>
      <c r="L198" t="n">
        <v>3</v>
      </c>
      <c r="M198" t="inlineStr">
        <is>
          <t>Shell</t>
        </is>
      </c>
      <c r="N198" t="n">
        <v>1</v>
      </c>
      <c r="O198" t="inlineStr">
        <is>
          <t>RIPPLE</t>
        </is>
      </c>
      <c r="P198" t="n">
        <v>2</v>
      </c>
      <c r="Q198" t="n">
        <v>0.5</v>
      </c>
      <c r="R198" t="n">
        <v>5.143</v>
      </c>
      <c r="S198" t="n">
        <v>0</v>
      </c>
      <c r="T198" t="n">
        <v>0</v>
      </c>
      <c r="U198" t="n">
        <v>0</v>
      </c>
      <c r="V198" t="n">
        <v>0</v>
      </c>
      <c r="W198" t="n">
        <v>286</v>
      </c>
      <c r="X198" t="n">
        <v>6</v>
      </c>
      <c r="Y198" t="n">
        <v>0</v>
      </c>
      <c r="Z198" t="n">
        <v>90</v>
      </c>
      <c r="AA198" t="n">
        <v>110</v>
      </c>
      <c r="AB198" t="n">
        <v>0</v>
      </c>
      <c r="AC198" t="inlineStr">
        <is>
          <t>Ground</t>
        </is>
      </c>
      <c r="AD198" t="inlineStr"/>
      <c r="AE198" t="n">
        <v>2.2</v>
      </c>
      <c r="AF198" t="inlineStr">
        <is>
          <t>Large</t>
        </is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127</v>
      </c>
      <c r="AO198" t="n">
        <v>0</v>
      </c>
      <c r="AP198" t="inlineStr">
        <is>
          <t>T3</t>
        </is>
      </c>
      <c r="AQ198" t="inlineStr">
        <is>
          <t>naval_76</t>
        </is>
      </c>
      <c r="AR198" t="inlineStr"/>
      <c r="AS198" t="inlineStr">
        <is>
          <t>boss_part</t>
        </is>
      </c>
      <c r="AT198" t="inlineStr">
        <is>
          <t>naval_127</t>
        </is>
      </c>
      <c r="AU198" t="n">
        <v>1</v>
      </c>
      <c r="AV198" t="inlineStr">
        <is>
          <t>naval_127:part</t>
        </is>
      </c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1.222222222222222</v>
      </c>
      <c r="BB198" t="n">
        <v>20</v>
      </c>
      <c r="BC198" t="n">
        <v>16</v>
      </c>
      <c r="BD198" t="inlineStr">
        <is>
          <t>gun</t>
        </is>
      </c>
      <c r="BE198" t="inlineStr">
        <is>
          <t>Wikipedia '5"/54 caliber Mark 45': 16-20 rpm</t>
        </is>
      </c>
      <c r="BG198" t="inlineStr">
        <is>
          <t>doi</t>
        </is>
      </c>
      <c r="BH198" t="n">
        <v>200</v>
      </c>
      <c r="BI198" t="n">
        <v>286</v>
      </c>
      <c r="BJ198" t="n">
        <v>3.6</v>
      </c>
      <c r="BK198" t="n">
        <v>5.143</v>
      </c>
      <c r="BR198" t="n">
        <v>110</v>
      </c>
      <c r="BS198" t="n">
        <v>90</v>
      </c>
      <c r="CT198" t="n">
        <v>127</v>
      </c>
      <c r="DD198" t="n">
        <v>5.143</v>
      </c>
      <c r="DE198" t="n">
        <v>286</v>
      </c>
      <c r="DJ198" t="inlineStr">
        <is>
          <t>howitzer</t>
        </is>
      </c>
      <c r="DS198" t="inlineStr">
        <is>
          <t>Large</t>
        </is>
      </c>
      <c r="DT198" t="inlineStr">
        <is>
          <t>naval_76</t>
        </is>
      </c>
      <c r="EB198" t="n">
        <v>3</v>
      </c>
      <c r="EK198" t="n">
        <v>90</v>
      </c>
      <c r="EP198" t="n">
        <v>110</v>
      </c>
      <c r="EQ198" t="inlineStr">
        <is>
          <t>Mk 45 127 mm</t>
        </is>
      </c>
      <c r="EX198" t="n">
        <v>127</v>
      </c>
      <c r="EY198" t="n">
        <v>6</v>
      </c>
      <c r="GB198" t="inlineStr">
        <is>
          <t>cal_127_130</t>
        </is>
      </c>
      <c r="GD198" t="inlineStr">
        <is>
          <t>Assets/MachineBrigade/Resources/Data/balance.json: weapons[268]</t>
        </is>
      </c>
      <c r="GE198" t="inlineStr">
        <is>
          <t>{"id":"naval_127","projectileSpeed":90,"inherits":"naval_76","weaponFamilyId":"cal_127_130","real":"Mk 45 127 mm","family":"howitzer","size":127,"caliberMm":127,"pen":3,"damage":286,"cooldown":5.143,"range":110,"splash":6,"impactTier":"Large"}</t>
        </is>
      </c>
    </row>
    <row r="199">
      <c r="A199" t="inlineStr">
        <is>
          <t>naval_130_twin</t>
        </is>
      </c>
      <c r="B199" t="inlineStr">
        <is>
          <t>AK-130 130 mm (twin)</t>
        </is>
      </c>
      <c r="C199" t="inlineStr">
        <is>
          <t>cal_127_130</t>
        </is>
      </c>
      <c r="D199" t="inlineStr"/>
      <c r="E199" t="inlineStr"/>
      <c r="F199" t="inlineStr">
        <is>
          <t>howitzer</t>
        </is>
      </c>
      <c r="G199" t="n">
        <v>130</v>
      </c>
      <c r="H199" t="inlineStr"/>
      <c r="I199" t="inlineStr"/>
      <c r="J199" t="inlineStr"/>
      <c r="K199" t="inlineStr">
        <is>
          <t>HighExplosive</t>
        </is>
      </c>
      <c r="L199" t="n">
        <v>3</v>
      </c>
      <c r="M199" t="inlineStr">
        <is>
          <t>Shell</t>
        </is>
      </c>
      <c r="N199" t="n">
        <v>2</v>
      </c>
      <c r="O199" t="inlineStr">
        <is>
          <t>SIMULTANEOUS</t>
        </is>
      </c>
      <c r="P199" t="n">
        <v>1</v>
      </c>
      <c r="Q199" t="n">
        <v>1</v>
      </c>
      <c r="R199" t="n">
        <v>4.286</v>
      </c>
      <c r="S199" t="n">
        <v>0</v>
      </c>
      <c r="T199" t="n">
        <v>0</v>
      </c>
      <c r="U199" t="n">
        <v>0</v>
      </c>
      <c r="V199" t="n">
        <v>0</v>
      </c>
      <c r="W199" t="n">
        <v>543</v>
      </c>
      <c r="X199" t="n">
        <v>5</v>
      </c>
      <c r="Y199" t="n">
        <v>10</v>
      </c>
      <c r="Z199" t="n">
        <v>90</v>
      </c>
      <c r="AA199" t="n">
        <v>90</v>
      </c>
      <c r="AB199" t="n">
        <v>0</v>
      </c>
      <c r="AC199" t="inlineStr">
        <is>
          <t>Ground</t>
        </is>
      </c>
      <c r="AD199" t="inlineStr"/>
      <c r="AE199" t="n">
        <v>2.2</v>
      </c>
      <c r="AF199" t="inlineStr">
        <is>
          <t>Large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0</v>
      </c>
      <c r="AN199" t="n">
        <v>130</v>
      </c>
      <c r="AO199" t="n">
        <v>0</v>
      </c>
      <c r="AP199" t="inlineStr">
        <is>
          <t>T3</t>
        </is>
      </c>
      <c r="AQ199" t="inlineStr">
        <is>
          <t>naval_100</t>
        </is>
      </c>
      <c r="AR199" t="inlineStr"/>
      <c r="AS199" t="inlineStr">
        <is>
          <t>boss</t>
        </is>
      </c>
      <c r="AT199" t="inlineStr">
        <is>
          <t>scylla</t>
        </is>
      </c>
      <c r="AU199" t="n">
        <v>1</v>
      </c>
      <c r="AV199" t="inlineStr">
        <is>
          <t>scylla:0</t>
        </is>
      </c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1</v>
      </c>
      <c r="BB199" t="n">
        <v>40</v>
      </c>
      <c r="BC199" t="n">
        <v>20</v>
      </c>
      <c r="BD199" t="inlineStr">
        <is>
          <t>gun</t>
        </is>
      </c>
      <c r="BE199" t="inlineStr">
        <is>
          <t>Wikipedia 'AK-130': 10-40 rpm a barrel</t>
        </is>
      </c>
      <c r="BF199" t="inlineStr">
        <is>
          <t>real AK-130 10-40 rpm a barrel: 20 rpm (3 s), practical; 4.75 s was too slow</t>
        </is>
      </c>
      <c r="BG199" t="inlineStr">
        <is>
          <t>doi</t>
        </is>
      </c>
      <c r="BH199" t="n">
        <v>160</v>
      </c>
      <c r="BI199" t="n">
        <v>543</v>
      </c>
      <c r="BJ199" t="n">
        <v>1</v>
      </c>
      <c r="BK199" t="n">
        <v>4.286</v>
      </c>
      <c r="BP199" t="n">
        <v>0</v>
      </c>
      <c r="BQ199" t="n">
        <v>10</v>
      </c>
      <c r="BR199" t="n">
        <v>110</v>
      </c>
      <c r="BS199" t="n">
        <v>90</v>
      </c>
      <c r="BT199" t="n">
        <v>2</v>
      </c>
      <c r="BU199" t="n">
        <v>1</v>
      </c>
      <c r="BX199" t="n">
        <v>1</v>
      </c>
      <c r="BY199" t="n">
        <v>2</v>
      </c>
      <c r="BZ199" t="inlineStr">
        <is>
          <t>RIPPLE</t>
        </is>
      </c>
      <c r="CA199" t="inlineStr">
        <is>
          <t>SIMULTANEOUS</t>
        </is>
      </c>
      <c r="CO199" t="n">
        <v>2</v>
      </c>
      <c r="CR199" t="n">
        <v>1</v>
      </c>
      <c r="CS199" t="n">
        <v>1</v>
      </c>
      <c r="CT199" t="n">
        <v>130</v>
      </c>
      <c r="DD199" t="n">
        <v>4.286</v>
      </c>
      <c r="DE199" t="n">
        <v>543</v>
      </c>
      <c r="DG199" t="n">
        <v>10</v>
      </c>
      <c r="DO199" t="n">
        <v>41</v>
      </c>
      <c r="DS199" t="inlineStr">
        <is>
          <t>Large</t>
        </is>
      </c>
      <c r="DT199" t="inlineStr">
        <is>
          <t>naval_100</t>
        </is>
      </c>
      <c r="EB199" t="n">
        <v>3</v>
      </c>
      <c r="EK199" t="n">
        <v>90</v>
      </c>
      <c r="EP199" t="n">
        <v>90</v>
      </c>
      <c r="EQ199" t="inlineStr">
        <is>
          <t>AK-130 130 mm (twin)</t>
        </is>
      </c>
      <c r="EW199" t="inlineStr">
        <is>
          <t>SIMULTANEOUS</t>
        </is>
      </c>
      <c r="EX199" t="n">
        <v>130</v>
      </c>
      <c r="EY199" t="n">
        <v>5</v>
      </c>
      <c r="GB199" t="inlineStr">
        <is>
          <t>cal_127_130</t>
        </is>
      </c>
      <c r="GD199" t="inlineStr">
        <is>
          <t>Assets/MachineBrigade/Resources/Data/balance.json: weapons[270]</t>
        </is>
      </c>
      <c r="GE199" t="inlineStr">
        <is>
          <t>{"id":"naval_130_twin","projectileSpeed":90,"groundMinReach":41,"inherits":"naval_100","weaponFamilyId":"cal_127_130","salvoMode":"SIMULTANEOUS","barrels":2,"edge":10,"real":"AK-130 130 mm (twin)","size":130,"caliberMm":130,"pen":3,"damage":543,"burst":1,"burstInterval":1,"cooldown":4.286,"range":90,"splash":5,"impactTier":"Large"}</t>
        </is>
      </c>
    </row>
    <row r="200">
      <c r="A200" t="inlineStr">
        <is>
          <t>naval_155_triple</t>
        </is>
      </c>
      <c r="B200" t="inlineStr">
        <is>
          <t>155 mm/60 (triple)</t>
        </is>
      </c>
      <c r="C200" t="inlineStr">
        <is>
          <t>cal_152_155</t>
        </is>
      </c>
      <c r="D200" t="inlineStr"/>
      <c r="E200" t="inlineStr"/>
      <c r="F200" t="inlineStr">
        <is>
          <t>howitzer</t>
        </is>
      </c>
      <c r="G200" t="n">
        <v>155</v>
      </c>
      <c r="H200" t="inlineStr"/>
      <c r="I200" t="inlineStr"/>
      <c r="J200" t="inlineStr"/>
      <c r="K200" t="inlineStr">
        <is>
          <t>HighExplosive</t>
        </is>
      </c>
      <c r="L200" t="n">
        <v>3</v>
      </c>
      <c r="M200" t="inlineStr">
        <is>
          <t>Shell</t>
        </is>
      </c>
      <c r="N200" t="n">
        <v>1</v>
      </c>
      <c r="O200" t="inlineStr">
        <is>
          <t>RIPPLE</t>
        </is>
      </c>
      <c r="P200" t="n">
        <v>3</v>
      </c>
      <c r="Q200" t="n">
        <v>0.25</v>
      </c>
      <c r="R200" t="n">
        <v>10</v>
      </c>
      <c r="S200" t="n">
        <v>0</v>
      </c>
      <c r="T200" t="n">
        <v>0</v>
      </c>
      <c r="U200" t="n">
        <v>0</v>
      </c>
      <c r="V200" t="n">
        <v>0</v>
      </c>
      <c r="W200" t="n">
        <v>320</v>
      </c>
      <c r="X200" t="n">
        <v>4.5</v>
      </c>
      <c r="Y200" t="n">
        <v>0</v>
      </c>
      <c r="Z200" t="n">
        <v>88</v>
      </c>
      <c r="AA200" t="n">
        <v>110</v>
      </c>
      <c r="AB200" t="n">
        <v>0</v>
      </c>
      <c r="AC200" t="inlineStr">
        <is>
          <t>Ground</t>
        </is>
      </c>
      <c r="AD200" t="inlineStr"/>
      <c r="AE200" t="n">
        <v>2.4</v>
      </c>
      <c r="AF200" t="inlineStr">
        <is>
          <t>Large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0</v>
      </c>
      <c r="AN200" t="n">
        <v>155</v>
      </c>
      <c r="AO200" t="n">
        <v>0</v>
      </c>
      <c r="AP200" t="inlineStr">
        <is>
          <t>T3</t>
        </is>
      </c>
      <c r="AQ200" t="inlineStr">
        <is>
          <t>naval_76</t>
        </is>
      </c>
      <c r="AR200" t="inlineStr">
        <is>
          <t>naval_155_triple_guided</t>
        </is>
      </c>
      <c r="AS200" t="inlineStr"/>
      <c r="AT200" t="inlineStr"/>
      <c r="AU200" t="n">
        <v>0</v>
      </c>
      <c r="AV200" t="inlineStr"/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1.25</v>
      </c>
      <c r="BB200" t="n">
        <v>5</v>
      </c>
      <c r="BC200" t="n">
        <v>4</v>
      </c>
      <c r="BD200" t="inlineStr">
        <is>
          <t>gun</t>
        </is>
      </c>
      <c r="BE200" t="inlineStr">
        <is>
          <t>Wikipedia '15.5 cm/60 3rd Year Type' (Mogami): ~5 rpm a gun</t>
        </is>
      </c>
      <c r="BG200" t="inlineStr">
        <is>
          <t>doi</t>
        </is>
      </c>
      <c r="BR200" t="n">
        <v>110</v>
      </c>
      <c r="BS200" t="n">
        <v>88</v>
      </c>
      <c r="CR200" t="n">
        <v>3</v>
      </c>
      <c r="CS200" t="n">
        <v>0.25</v>
      </c>
      <c r="CT200" t="n">
        <v>155</v>
      </c>
      <c r="DD200" t="n">
        <v>10</v>
      </c>
      <c r="DE200" t="n">
        <v>320</v>
      </c>
      <c r="DJ200" t="inlineStr">
        <is>
          <t>howitzer</t>
        </is>
      </c>
      <c r="DS200" t="inlineStr">
        <is>
          <t>Large</t>
        </is>
      </c>
      <c r="DT200" t="inlineStr">
        <is>
          <t>naval_76</t>
        </is>
      </c>
      <c r="EB200" t="n">
        <v>3</v>
      </c>
      <c r="EI200" t="inlineStr">
        <is>
          <t>shell_155</t>
        </is>
      </c>
      <c r="EJ200" t="n">
        <v>0.7272999999999999</v>
      </c>
      <c r="EK200" t="n">
        <v>88</v>
      </c>
      <c r="EP200" t="n">
        <v>110</v>
      </c>
      <c r="EQ200" t="inlineStr">
        <is>
          <t>155 mm/60 (triple)</t>
        </is>
      </c>
      <c r="ET200" t="n">
        <v>0.8</v>
      </c>
      <c r="EX200" t="n">
        <v>155</v>
      </c>
      <c r="EY200" t="n">
        <v>4.5</v>
      </c>
      <c r="EZ200" t="n">
        <v>2.4</v>
      </c>
      <c r="GB200" t="inlineStr">
        <is>
          <t>cal_152_155</t>
        </is>
      </c>
      <c r="GD200" t="inlineStr">
        <is>
          <t>Assets/MachineBrigade/Resources/Data/balance.json: weapons[271]</t>
        </is>
      </c>
      <c r="GE200" t="inlineStr">
        <is>
          <t>{"id":"naval_155_triple","projectileSpeed":88,"inherits":"naval_76","weaponFamilyId":"cal_152_155","real":"155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01">
      <c r="A201" t="inlineStr">
        <is>
          <t>naval_155_triple_guided</t>
        </is>
      </c>
      <c r="B201" t="inlineStr">
        <is>
          <t>155 mm/60 guided (triple)</t>
        </is>
      </c>
      <c r="C201" t="inlineStr">
        <is>
          <t>cal_152_155</t>
        </is>
      </c>
      <c r="D201" t="inlineStr">
        <is>
          <t>guided</t>
        </is>
      </c>
      <c r="E201" t="inlineStr"/>
      <c r="F201" t="inlineStr">
        <is>
          <t>howitzer</t>
        </is>
      </c>
      <c r="G201" t="n">
        <v>155</v>
      </c>
      <c r="H201" t="inlineStr"/>
      <c r="I201" t="inlineStr"/>
      <c r="J201" t="inlineStr"/>
      <c r="K201" t="inlineStr">
        <is>
          <t>HighExplosive</t>
        </is>
      </c>
      <c r="L201" t="n">
        <v>3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0.25</v>
      </c>
      <c r="R201" t="n">
        <v>10</v>
      </c>
      <c r="S201" t="n">
        <v>0</v>
      </c>
      <c r="T201" t="n">
        <v>0</v>
      </c>
      <c r="U201" t="n">
        <v>0</v>
      </c>
      <c r="V201" t="n">
        <v>0</v>
      </c>
      <c r="W201" t="n">
        <v>320</v>
      </c>
      <c r="X201" t="n">
        <v>4.5</v>
      </c>
      <c r="Y201" t="n">
        <v>0</v>
      </c>
      <c r="Z201" t="n">
        <v>88</v>
      </c>
      <c r="AA201" t="n">
        <v>110</v>
      </c>
      <c r="AB201" t="n">
        <v>0</v>
      </c>
      <c r="AC201" t="inlineStr">
        <is>
          <t>Ground</t>
        </is>
      </c>
      <c r="AD201" t="inlineStr"/>
      <c r="AE201" t="n">
        <v>0</v>
      </c>
      <c r="AF201" t="inlineStr">
        <is>
          <t>Large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1</v>
      </c>
      <c r="AN201" t="n">
        <v>155</v>
      </c>
      <c r="AO201" t="n">
        <v>0</v>
      </c>
      <c r="AP201" t="inlineStr">
        <is>
          <t>T3</t>
        </is>
      </c>
      <c r="AQ201" t="inlineStr">
        <is>
          <t>naval_155_triple</t>
        </is>
      </c>
      <c r="AR201" t="inlineStr"/>
      <c r="AS201" t="inlineStr"/>
      <c r="AT201" t="inlineStr"/>
      <c r="AU201" t="n">
        <v>0</v>
      </c>
      <c r="AV201" t="inlineStr"/>
      <c r="AW201" t="n">
        <v>0</v>
      </c>
      <c r="AX201" t="b">
        <v>0</v>
      </c>
      <c r="AY201" t="inlineStr"/>
      <c r="AZ201">
        <f>IF(AND($AX$201,$AW$201&gt;$AA$201/$Z$201),$AW$201,$AA$201/$Z$201)</f>
        <v/>
      </c>
      <c r="BA201" t="n">
        <v>1.25</v>
      </c>
      <c r="BB201" t="n">
        <v>5</v>
      </c>
      <c r="BC201" t="n">
        <v>4</v>
      </c>
      <c r="BD201" t="inlineStr">
        <is>
          <t>gun</t>
        </is>
      </c>
      <c r="BE201" t="inlineStr">
        <is>
          <t>Wikipedia '15.5 cm/60 3rd Year Type' (Mogami): ~5 rpm a gun</t>
        </is>
      </c>
      <c r="BG201" t="inlineStr">
        <is>
          <t>doi</t>
        </is>
      </c>
      <c r="BR201" t="n">
        <v>110</v>
      </c>
      <c r="BS201" t="n">
        <v>88</v>
      </c>
      <c r="CR201" t="n">
        <v>1</v>
      </c>
      <c r="DE201" t="n">
        <v>320</v>
      </c>
      <c r="DF201" t="inlineStr">
        <is>
          <t>HighExplosive</t>
        </is>
      </c>
      <c r="DH201" t="b">
        <v>1</v>
      </c>
      <c r="DM201" t="inlineStr">
        <is>
          <t>armour</t>
        </is>
      </c>
      <c r="DN201" t="inlineStr">
        <is>
          <t>HeShell</t>
        </is>
      </c>
      <c r="DP201" t="b">
        <v>1</v>
      </c>
      <c r="DT201" t="inlineStr">
        <is>
          <t>naval_155_triple</t>
        </is>
      </c>
      <c r="EB201" t="n">
        <v>3</v>
      </c>
      <c r="EQ201" t="inlineStr">
        <is>
          <t>155 mm/60 guided (triple)</t>
        </is>
      </c>
      <c r="ES201" t="inlineStr">
        <is>
          <t>guided</t>
        </is>
      </c>
      <c r="EU201" t="inlineStr">
        <is>
          <t>naval_155_triple</t>
        </is>
      </c>
      <c r="EZ201" t="n">
        <v>0</v>
      </c>
      <c r="FW201" t="inlineStr">
        <is>
          <t>Ground</t>
        </is>
      </c>
      <c r="GA201" t="inlineStr"/>
      <c r="GC201" t="inlineStr">
        <is>
          <t>guided</t>
        </is>
      </c>
      <c r="GD201" t="inlineStr">
        <is>
          <t>Assets/MachineBrigade/Resources/Data/balance.json: secondRounds.rounds[53]</t>
        </is>
      </c>
      <c r="GE201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02">
      <c r="A202" t="inlineStr">
        <is>
          <t>net_zap</t>
        </is>
      </c>
      <c r="B202" t="inlineStr">
        <is>
          <t>Anti-drone net corridor</t>
        </is>
      </c>
      <c r="C202" t="inlineStr">
        <is>
          <t>special_anti_drone_net_corridor</t>
        </is>
      </c>
      <c r="D202" t="inlineStr"/>
      <c r="E202" t="inlineStr"/>
      <c r="F202" t="inlineStr">
        <is>
          <t>special</t>
        </is>
      </c>
      <c r="G202" t="inlineStr"/>
      <c r="H202" t="inlineStr"/>
      <c r="I202" t="inlineStr"/>
      <c r="J202" t="inlineStr"/>
      <c r="K202" t="inlineStr">
        <is>
          <t>Energy</t>
        </is>
      </c>
      <c r="L202" t="n">
        <v>1</v>
      </c>
      <c r="M202" t="inlineStr">
        <is>
          <t>Bullet</t>
        </is>
      </c>
      <c r="N202" t="n">
        <v>1</v>
      </c>
      <c r="O202" t="inlineStr">
        <is>
          <t>RIPPLE</t>
        </is>
      </c>
      <c r="P202" t="n">
        <v>1</v>
      </c>
      <c r="Q202" t="n">
        <v>0.1</v>
      </c>
      <c r="R202" t="n">
        <v>0.5</v>
      </c>
      <c r="S202" t="n">
        <v>0</v>
      </c>
      <c r="T202" t="n">
        <v>0</v>
      </c>
      <c r="U202" t="n">
        <v>0</v>
      </c>
      <c r="V202" t="n">
        <v>0</v>
      </c>
      <c r="W202" t="n">
        <v>999</v>
      </c>
      <c r="X202" t="n">
        <v>0</v>
      </c>
      <c r="Y202" t="n">
        <v>0</v>
      </c>
      <c r="Z202" t="n">
        <v>200</v>
      </c>
      <c r="AA202" t="n">
        <v>15</v>
      </c>
      <c r="AB202" t="n">
        <v>0</v>
      </c>
      <c r="AC202" t="inlineStr">
        <is>
          <t>Air</t>
        </is>
      </c>
      <c r="AD202" t="inlineStr"/>
      <c r="AE202" t="n">
        <v>0</v>
      </c>
      <c r="AF202" t="inlineStr">
        <is>
          <t>Small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n">
        <v>1</v>
      </c>
      <c r="AO202" t="n">
        <v>0</v>
      </c>
      <c r="AP202" t="inlineStr">
        <is>
          <t>T0</t>
        </is>
      </c>
      <c r="AQ202" t="inlineStr"/>
      <c r="AR202" t="inlineStr"/>
      <c r="AS202" t="inlineStr">
        <is>
          <t>thap</t>
        </is>
      </c>
      <c r="AT202" t="inlineStr">
        <is>
          <t>drone_net_tower</t>
        </is>
      </c>
      <c r="AU202" t="n">
        <v>1</v>
      </c>
      <c r="AV202" t="inlineStr">
        <is>
          <t>drone_net_tower:0</t>
        </is>
      </c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0.075</v>
      </c>
      <c r="BB202" t="inlineStr">
        <is>
          <t>NEED_SOURCE</t>
        </is>
      </c>
      <c r="BC202" t="inlineStr">
        <is>
          <t>NEED_SOURCE</t>
        </is>
      </c>
      <c r="BE202" t="inlineStr">
        <is>
          <t>NEED_SOURCE</t>
        </is>
      </c>
      <c r="BG202" t="inlineStr">
        <is>
          <t>giong</t>
        </is>
      </c>
      <c r="DD202" t="n">
        <v>0.5</v>
      </c>
      <c r="DE202" t="n">
        <v>999</v>
      </c>
      <c r="DF202" t="inlineStr">
        <is>
          <t>Energy</t>
        </is>
      </c>
      <c r="DJ202" t="inlineStr">
        <is>
          <t>special</t>
        </is>
      </c>
      <c r="DS202" t="inlineStr">
        <is>
          <t>Small</t>
        </is>
      </c>
      <c r="EB202" t="n">
        <v>1</v>
      </c>
      <c r="EG202" t="inlineStr">
        <is>
          <t>Drones</t>
        </is>
      </c>
      <c r="EH202" t="inlineStr">
        <is>
          <t>Bullet</t>
        </is>
      </c>
      <c r="EK202" t="n">
        <v>200</v>
      </c>
      <c r="EP202" t="n">
        <v>15</v>
      </c>
      <c r="EQ202" t="inlineStr">
        <is>
          <t>Anti-drone net corridor</t>
        </is>
      </c>
      <c r="EX202" t="n">
        <v>1</v>
      </c>
      <c r="FW202" t="inlineStr">
        <is>
          <t>Air</t>
        </is>
      </c>
      <c r="GB202" t="inlineStr">
        <is>
          <t>special_anti_drone_net_corridor</t>
        </is>
      </c>
      <c r="GD202" t="inlineStr">
        <is>
          <t>Assets/MachineBrigade/Resources/Data/balance.json: weapons[288]</t>
        </is>
      </c>
      <c r="GE202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03">
      <c r="A203" t="inlineStr">
        <is>
          <t>none</t>
        </is>
      </c>
      <c r="B203" t="inlineStr"/>
      <c r="C203" t="inlineStr">
        <is>
          <t>wpn_none</t>
        </is>
      </c>
      <c r="D203" t="inlineStr"/>
      <c r="E203" t="inlineStr"/>
      <c r="F203" t="inlineStr"/>
      <c r="G203" t="inlineStr"/>
      <c r="H203" t="inlineStr"/>
      <c r="I203" t="inlineStr"/>
      <c r="J203" t="inlineStr"/>
      <c r="K203" t="inlineStr">
        <is>
          <t>Kinetic</t>
        </is>
      </c>
      <c r="L203" t="n">
        <v>0</v>
      </c>
      <c r="M203" t="inlineStr">
        <is>
          <t>Shell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1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100</v>
      </c>
      <c r="AA203" t="n">
        <v>1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Small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0</v>
      </c>
      <c r="AL203" t="b">
        <v>0</v>
      </c>
      <c r="AM203" t="b">
        <v>0</v>
      </c>
      <c r="AN203" t="n">
        <v>0</v>
      </c>
      <c r="AO203" t="n">
        <v>0</v>
      </c>
      <c r="AP203" t="inlineStr">
        <is>
          <t>T0</t>
        </is>
      </c>
      <c r="AQ203" t="inlineStr"/>
      <c r="AR203" t="inlineStr"/>
      <c r="AS203" t="inlineStr">
        <is>
          <t>cong_trinh;thap;xe</t>
        </is>
      </c>
      <c r="AT203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03" t="n">
        <v>23</v>
      </c>
      <c r="AV203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03" t="n">
        <v>0</v>
      </c>
      <c r="AX203" t="b">
        <v>0</v>
      </c>
      <c r="AY203" t="inlineStr"/>
      <c r="AZ203">
        <f>IF(AND($AX$203,$AW$203&gt;$AA$203/$Z$203),$AW$203,$AA$203/$Z$203)</f>
        <v/>
      </c>
      <c r="BA203" t="n">
        <v>0.01</v>
      </c>
      <c r="BB203" t="inlineStr">
        <is>
          <t>NEED_SOURCE</t>
        </is>
      </c>
      <c r="BC203" t="inlineStr">
        <is>
          <t>NEED_SOURCE</t>
        </is>
      </c>
      <c r="BE203" t="inlineStr">
        <is>
          <t>NEED_SOURCE</t>
        </is>
      </c>
      <c r="BG203" t="inlineStr">
        <is>
          <t>giong</t>
        </is>
      </c>
      <c r="DD203" t="n">
        <v>1</v>
      </c>
      <c r="DE203" t="n">
        <v>0</v>
      </c>
      <c r="DF203" t="inlineStr">
        <is>
          <t>Kinetic</t>
        </is>
      </c>
      <c r="DN203" t="inlineStr">
        <is>
          <t>None</t>
        </is>
      </c>
      <c r="DS203" t="inlineStr">
        <is>
          <t>Small</t>
        </is>
      </c>
      <c r="EB203" t="n">
        <v>0</v>
      </c>
      <c r="EK203" t="n">
        <v>100</v>
      </c>
      <c r="EP203" t="n">
        <v>1</v>
      </c>
      <c r="GB203" t="inlineStr">
        <is>
          <t>wpn_none</t>
        </is>
      </c>
      <c r="GD203" t="inlineStr">
        <is>
          <t>Assets/MachineBrigade/Resources/Data/balance.json: weapons[105]</t>
        </is>
      </c>
      <c r="GE203" t="inlineStr">
        <is>
          <t>{"id":"none","weaponFamilyId":"wpn_none","pen":0,"form":"None","damageType":"Kinetic","damage":0,"cooldown":1,"range":1,"projectileSpeed":100,"impactTier":"Small"}</t>
        </is>
      </c>
    </row>
    <row r="204">
      <c r="A204" t="inlineStr">
        <is>
          <t>nyx_ags_155</t>
        </is>
      </c>
      <c r="B204" t="inlineStr">
        <is>
          <t>155 mm/62 AGS (Zumwalt-class, single)</t>
        </is>
      </c>
      <c r="C204" t="inlineStr">
        <is>
          <t>cal_152_155</t>
        </is>
      </c>
      <c r="D204" t="inlineStr"/>
      <c r="E204" t="inlineStr"/>
      <c r="F204" t="inlineStr">
        <is>
          <t>howitzer</t>
        </is>
      </c>
      <c r="G204" t="n">
        <v>155</v>
      </c>
      <c r="H204" t="inlineStr"/>
      <c r="I204" t="inlineStr"/>
      <c r="J204" t="inlineStr"/>
      <c r="K204" t="inlineStr">
        <is>
          <t>HighExplosive</t>
        </is>
      </c>
      <c r="L204" t="n">
        <v>3</v>
      </c>
      <c r="M204" t="inlineStr">
        <is>
          <t>Shell</t>
        </is>
      </c>
      <c r="N204" t="n">
        <v>1</v>
      </c>
      <c r="O204" t="inlineStr">
        <is>
          <t>RIPPLE</t>
        </is>
      </c>
      <c r="P204" t="n">
        <v>2</v>
      </c>
      <c r="Q204" t="n">
        <v>0.6</v>
      </c>
      <c r="R204" t="n">
        <v>8</v>
      </c>
      <c r="S204" t="n">
        <v>0</v>
      </c>
      <c r="T204" t="n">
        <v>0</v>
      </c>
      <c r="U204" t="n">
        <v>0</v>
      </c>
      <c r="V204" t="n">
        <v>0</v>
      </c>
      <c r="W204" t="n">
        <v>360</v>
      </c>
      <c r="X204" t="n">
        <v>7</v>
      </c>
      <c r="Y204" t="n">
        <v>14</v>
      </c>
      <c r="Z204" t="n">
        <v>88</v>
      </c>
      <c r="AA204" t="n">
        <v>80</v>
      </c>
      <c r="AB204" t="n">
        <v>0</v>
      </c>
      <c r="AC204" t="inlineStr">
        <is>
          <t>Ground</t>
        </is>
      </c>
      <c r="AD204" t="inlineStr"/>
      <c r="AE204" t="n">
        <v>2</v>
      </c>
      <c r="AF204" t="inlineStr">
        <is>
          <t>Large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155</v>
      </c>
      <c r="AO204" t="n">
        <v>0</v>
      </c>
      <c r="AP204" t="inlineStr">
        <is>
          <t>T3</t>
        </is>
      </c>
      <c r="AQ204" t="inlineStr">
        <is>
          <t>naval_155_triple</t>
        </is>
      </c>
      <c r="AR204" t="inlineStr"/>
      <c r="AS204" t="inlineStr">
        <is>
          <t>boss</t>
        </is>
      </c>
      <c r="AT204" t="inlineStr">
        <is>
          <t>nyx</t>
        </is>
      </c>
      <c r="AU204" t="n">
        <v>1</v>
      </c>
      <c r="AV204" t="inlineStr">
        <is>
          <t>nyx:0</t>
        </is>
      </c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0.9090909090909091</v>
      </c>
      <c r="BB204" t="inlineStr">
        <is>
          <t>NEED_SOURCE</t>
        </is>
      </c>
      <c r="BC204" t="inlineStr">
        <is>
          <t>NEED_SOURCE</t>
        </is>
      </c>
      <c r="BE204" t="inlineStr">
        <is>
          <t>NEED_SOURCE</t>
        </is>
      </c>
      <c r="BG204" t="inlineStr">
        <is>
          <t>moi</t>
        </is>
      </c>
      <c r="CR204" t="n">
        <v>2</v>
      </c>
      <c r="CS204" t="n">
        <v>0.6</v>
      </c>
      <c r="DD204" t="n">
        <v>8</v>
      </c>
      <c r="DE204" t="n">
        <v>360</v>
      </c>
      <c r="DG204" t="n">
        <v>14</v>
      </c>
      <c r="DO204" t="n">
        <v>33</v>
      </c>
      <c r="DS204" t="inlineStr">
        <is>
          <t>Large</t>
        </is>
      </c>
      <c r="DT204" t="inlineStr">
        <is>
          <t>naval_155_triple</t>
        </is>
      </c>
      <c r="EB204" t="n">
        <v>3</v>
      </c>
      <c r="EK204" t="n">
        <v>88</v>
      </c>
      <c r="EP204" t="n">
        <v>80</v>
      </c>
      <c r="EQ204" t="inlineStr">
        <is>
          <t>155 mm/62 AGS (Zumwalt-class, single)</t>
        </is>
      </c>
      <c r="EY204" t="n">
        <v>7</v>
      </c>
      <c r="EZ204" t="n">
        <v>2</v>
      </c>
      <c r="GA204" t="inlineStr"/>
      <c r="GD204" t="inlineStr">
        <is>
          <t>Assets/MachineBrigade/Resources/Data/balance.json: weapons[272]</t>
        </is>
      </c>
      <c r="GE204" t="inlineStr">
        <is>
          <t>{"id":"nyx_ags_155","groundMinReach":33,"inherits":"naval_155_triple","weaponFamily":"","real":"155 mm/62 AGS (Zumwalt-class, single)","damage":360,"burst":2,"burstInterval":0.6,"cooldown":8,"range":80,"projectileSpeed":88,"splash":7,"edge":14,"pen":3,"spread":2,"impactTier":"Large"}</t>
        </is>
      </c>
    </row>
    <row r="205">
      <c r="A205" t="inlineStr">
        <is>
          <t>nyx_millennium</t>
        </is>
      </c>
      <c r="B205" t="inlineStr">
        <is>
          <t>Oerlikon Millennium 35 mm (AHEAD, stealth turret)</t>
        </is>
      </c>
      <c r="C205" t="inlineStr">
        <is>
          <t>cal_35</t>
        </is>
      </c>
      <c r="D205" t="inlineStr"/>
      <c r="E205" t="inlineStr">
        <is>
          <t>oerlikon_35_mm</t>
        </is>
      </c>
      <c r="F205" t="inlineStr">
        <is>
          <t>autocannon</t>
        </is>
      </c>
      <c r="G205" t="n">
        <v>35</v>
      </c>
      <c r="H205" t="inlineStr"/>
      <c r="I205" t="inlineStr"/>
      <c r="J205" t="inlineStr"/>
      <c r="K205" t="inlineStr">
        <is>
          <t>Fragmentation</t>
        </is>
      </c>
      <c r="L205" t="n">
        <v>2</v>
      </c>
      <c r="M205" t="inlineStr">
        <is>
          <t>Bullet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0.06</v>
      </c>
      <c r="S205" t="n">
        <v>24</v>
      </c>
      <c r="T205" t="n">
        <v>2.8</v>
      </c>
      <c r="U205" t="n">
        <v>0</v>
      </c>
      <c r="V205" t="n">
        <v>0</v>
      </c>
      <c r="W205" t="n">
        <v>24</v>
      </c>
      <c r="X205" t="n">
        <v>2.5</v>
      </c>
      <c r="Y205" t="n">
        <v>0</v>
      </c>
      <c r="Z205" t="n">
        <v>260</v>
      </c>
      <c r="AA205" t="n">
        <v>46</v>
      </c>
      <c r="AB205" t="n">
        <v>0</v>
      </c>
      <c r="AC205" t="inlineStr">
        <is>
          <t>Air</t>
        </is>
      </c>
      <c r="AD205" t="inlineStr"/>
      <c r="AE205" t="n">
        <v>1.5</v>
      </c>
      <c r="AF205" t="inlineStr">
        <is>
          <t>Small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35</v>
      </c>
      <c r="AO205" t="n">
        <v>0</v>
      </c>
      <c r="AP205" t="inlineStr">
        <is>
          <t>T1</t>
        </is>
      </c>
      <c r="AQ205" t="inlineStr">
        <is>
          <t>boss_flak</t>
        </is>
      </c>
      <c r="AR205" t="inlineStr"/>
      <c r="AS205" t="inlineStr">
        <is>
          <t>boss</t>
        </is>
      </c>
      <c r="AT205" t="inlineStr">
        <is>
          <t>nyx</t>
        </is>
      </c>
      <c r="AU205" t="n">
        <v>1</v>
      </c>
      <c r="AV205" t="inlineStr">
        <is>
          <t>nyx:3;nyx:4</t>
        </is>
      </c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0.1769230769230769</v>
      </c>
      <c r="BB205" t="inlineStr">
        <is>
          <t>NEED_SOURCE</t>
        </is>
      </c>
      <c r="BC205" t="inlineStr">
        <is>
          <t>NEED_SOURCE</t>
        </is>
      </c>
      <c r="BE205" t="inlineStr">
        <is>
          <t>NEED_SOURCE</t>
        </is>
      </c>
      <c r="BG205" t="inlineStr">
        <is>
          <t>moi</t>
        </is>
      </c>
      <c r="CO205" t="n">
        <v>1</v>
      </c>
      <c r="CW205" t="n">
        <v>24</v>
      </c>
      <c r="CX205" t="n">
        <v>2.8</v>
      </c>
      <c r="DD205" t="n">
        <v>0.06</v>
      </c>
      <c r="DE205" t="n">
        <v>24</v>
      </c>
      <c r="DT205" t="inlineStr">
        <is>
          <t>boss_flak</t>
        </is>
      </c>
      <c r="EP205" t="n">
        <v>46</v>
      </c>
      <c r="EQ205" t="inlineStr">
        <is>
          <t>Oerlikon Millennium 35 mm (AHEAD, stealth turret)</t>
        </is>
      </c>
      <c r="FW205" t="inlineStr">
        <is>
          <t>Air</t>
        </is>
      </c>
      <c r="GB205" t="inlineStr">
        <is>
          <t>cal_35</t>
        </is>
      </c>
      <c r="GD205" t="inlineStr">
        <is>
          <t>Assets/MachineBrigade/Resources/Data/balance.json: weapons[276]</t>
        </is>
      </c>
      <c r="GE205" t="inlineStr">
        <is>
          <t>{"id":"nyx_millennium","inherits":"boss_flak","weaponFamilyId":"cal_35","real":"Oerlikon Millennium 35 mm (AHEAD, stealth turret)","barrels":1,"damage":24,"cooldown":0.06,"range":46,"clip":24,"clipReload":2.8,"targets":"Air"}</t>
        </is>
      </c>
    </row>
    <row r="206">
      <c r="A206" t="inlineStr">
        <is>
          <t>nyx_tomahawk</t>
        </is>
      </c>
      <c r="B206" t="inlineStr">
        <is>
          <t>RGM-109E Tomahawk (Mk 41-type 8-cell VLS)</t>
        </is>
      </c>
      <c r="C206" t="inlineStr">
        <is>
          <t>cruise_typhon_mrc</t>
        </is>
      </c>
      <c r="D206" t="inlineStr"/>
      <c r="E206" t="inlineStr"/>
      <c r="F206" t="inlineStr">
        <is>
          <t>cruise_missile</t>
        </is>
      </c>
      <c r="G206" t="inlineStr"/>
      <c r="H206" t="n">
        <v>450</v>
      </c>
      <c r="I206" t="inlineStr"/>
      <c r="J206" t="inlineStr"/>
      <c r="K206" t="inlineStr">
        <is>
          <t>HighExplosive</t>
        </is>
      </c>
      <c r="L206" t="n">
        <v>3</v>
      </c>
      <c r="M206" t="inlineStr">
        <is>
          <t>Missile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24</v>
      </c>
      <c r="S206" t="n">
        <v>2</v>
      </c>
      <c r="T206" t="n">
        <v>30</v>
      </c>
      <c r="U206" t="n">
        <v>0</v>
      </c>
      <c r="V206" t="n">
        <v>0</v>
      </c>
      <c r="W206" t="n">
        <v>340</v>
      </c>
      <c r="X206" t="n">
        <v>8</v>
      </c>
      <c r="Y206" t="n">
        <v>16</v>
      </c>
      <c r="Z206" t="n">
        <v>70</v>
      </c>
      <c r="AA206" t="n">
        <v>120</v>
      </c>
      <c r="AB206" t="n">
        <v>0</v>
      </c>
      <c r="AC206" t="inlineStr">
        <is>
          <t>All</t>
        </is>
      </c>
      <c r="AD206" t="inlineStr"/>
      <c r="AE206" t="n">
        <v>0</v>
      </c>
      <c r="AF206" t="inlineStr">
        <is>
          <t>Large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450</v>
      </c>
      <c r="AO206" t="n">
        <v>0</v>
      </c>
      <c r="AP206" t="inlineStr">
        <is>
          <t>T4</t>
        </is>
      </c>
      <c r="AQ206" t="inlineStr">
        <is>
          <t>cruise_missile_ground</t>
        </is>
      </c>
      <c r="AR206" t="inlineStr"/>
      <c r="AS206" t="inlineStr">
        <is>
          <t>boss</t>
        </is>
      </c>
      <c r="AT206" t="inlineStr">
        <is>
          <t>nyx</t>
        </is>
      </c>
      <c r="AU206" t="n">
        <v>1</v>
      </c>
      <c r="AV206" t="inlineStr">
        <is>
          <t>nyx:5</t>
        </is>
      </c>
      <c r="AW206" t="n">
        <v>2.5</v>
      </c>
      <c r="AX206" t="b">
        <v>0</v>
      </c>
      <c r="AY206" t="inlineStr"/>
      <c r="AZ206">
        <f>IF(AND($AX$206,$AW$206&gt;$AA$206/$Z$206),$AW$206,$AA$206/$Z$206)</f>
        <v/>
      </c>
      <c r="BA206" t="n">
        <v>1.714285714285714</v>
      </c>
      <c r="BB206" t="n">
        <v>20</v>
      </c>
      <c r="BC206" t="n">
        <v>6</v>
      </c>
      <c r="BD206" t="inlineStr">
        <is>
          <t>missile</t>
        </is>
      </c>
      <c r="BE206" t="inlineStr">
        <is>
          <t>cruise missiles: ~3 s between launches (est.)</t>
        </is>
      </c>
      <c r="BG206" t="inlineStr">
        <is>
          <t>moi</t>
        </is>
      </c>
      <c r="DD206" t="n">
        <v>24</v>
      </c>
      <c r="DE206" t="n">
        <v>340</v>
      </c>
      <c r="DF206" t="inlineStr">
        <is>
          <t>HighExplosive</t>
        </is>
      </c>
      <c r="DL206" t="inlineStr">
        <is>
          <t>Loft</t>
        </is>
      </c>
      <c r="DS206" t="inlineStr">
        <is>
          <t>Large</t>
        </is>
      </c>
      <c r="DT206" t="inlineStr">
        <is>
          <t>cruise_missile_ground</t>
        </is>
      </c>
      <c r="EB206" t="n">
        <v>3</v>
      </c>
      <c r="EK206" t="n">
        <v>70</v>
      </c>
      <c r="EP206" t="n">
        <v>120</v>
      </c>
      <c r="EQ206" t="inlineStr">
        <is>
          <t>RGM-109E Tomahawk (Mk 41-type 8-cell VLS)</t>
        </is>
      </c>
      <c r="EY206" t="n">
        <v>8</v>
      </c>
      <c r="GA206" t="inlineStr"/>
      <c r="GD206" t="inlineStr">
        <is>
          <t>Assets/MachineBrigade/Resources/Data/balance.json: weapons[277]</t>
        </is>
      </c>
      <c r="GE206" t="inlineStr">
        <is>
          <t>{"id":"nyx_tomahawk","inherits":"cruise_missile_ground","weaponFamily":"","real":"RGM-109E Tomahawk (Mk 41-type 8-cell VLS)","flightProfile":"Loft","damageType":"HighExplosive","pen":3,"damage":340,"cooldown":24,"range":120,"projectileSpeed":70,"splash":8,"impactTier":"Large"}</t>
        </is>
      </c>
    </row>
    <row r="207">
      <c r="A207" t="inlineStr">
        <is>
          <t>one_shot_kornet</t>
        </is>
      </c>
      <c r="B207" t="inlineStr">
        <is>
          <t>9M133 Kornet</t>
        </is>
      </c>
      <c r="C207" t="inlineStr">
        <is>
          <t>atgm_kornet</t>
        </is>
      </c>
      <c r="D207" t="inlineStr"/>
      <c r="E207" t="inlineStr">
        <is>
          <t>9m133_kornet</t>
        </is>
      </c>
      <c r="F207" t="inlineStr">
        <is>
          <t>atgm</t>
        </is>
      </c>
      <c r="G207" t="inlineStr"/>
      <c r="H207" t="n">
        <v>7</v>
      </c>
      <c r="I207" t="inlineStr"/>
      <c r="J207" t="inlineStr"/>
      <c r="K207" t="inlineStr">
        <is>
          <t>ShapedCharge</t>
        </is>
      </c>
      <c r="L207" t="n">
        <v>4</v>
      </c>
      <c r="M207" t="inlineStr">
        <is>
          <t>Missile</t>
        </is>
      </c>
      <c r="N207" t="n">
        <v>1</v>
      </c>
      <c r="O207" t="inlineStr">
        <is>
          <t>RIPPLE</t>
        </is>
      </c>
      <c r="P207" t="n">
        <v>1</v>
      </c>
      <c r="Q207" t="n">
        <v>0.6</v>
      </c>
      <c r="R207" t="n">
        <v>1.2</v>
      </c>
      <c r="S207" t="n">
        <v>8</v>
      </c>
      <c r="T207" t="n">
        <v>999999</v>
      </c>
      <c r="U207" t="n">
        <v>0</v>
      </c>
      <c r="V207" t="n">
        <v>0</v>
      </c>
      <c r="W207" t="n">
        <v>230</v>
      </c>
      <c r="X207" t="n">
        <v>0</v>
      </c>
      <c r="Y207" t="n">
        <v>0</v>
      </c>
      <c r="Z207" t="n">
        <v>80</v>
      </c>
      <c r="AA207" t="n">
        <v>50</v>
      </c>
      <c r="AB207" t="n">
        <v>0</v>
      </c>
      <c r="AC207" t="inlineStr">
        <is>
          <t>Ground</t>
        </is>
      </c>
      <c r="AD207" t="inlineStr"/>
      <c r="AE207" t="n">
        <v>0</v>
      </c>
      <c r="AF207" t="inlineStr">
        <is>
          <t>Medium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29</v>
      </c>
      <c r="AO207" t="n">
        <v>0</v>
      </c>
      <c r="AP207" t="inlineStr">
        <is>
          <t>T2</t>
        </is>
      </c>
      <c r="AQ207" t="inlineStr">
        <is>
          <t>tower_kornet</t>
        </is>
      </c>
      <c r="AR207" t="inlineStr"/>
      <c r="AS207" t="inlineStr">
        <is>
          <t>thap</t>
        </is>
      </c>
      <c r="AT207" t="inlineStr">
        <is>
          <t>one_shot_atgm_tower</t>
        </is>
      </c>
      <c r="AU207" t="n">
        <v>1</v>
      </c>
      <c r="AV207" t="inlineStr">
        <is>
          <t>one_shot_atgm_tower:0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0.625</v>
      </c>
      <c r="BB207" t="n">
        <v>3</v>
      </c>
      <c r="BC207" t="n">
        <v>3</v>
      </c>
      <c r="BD207" t="inlineStr">
        <is>
          <t>atgm</t>
        </is>
      </c>
      <c r="BE207" t="inlineStr">
        <is>
          <t>Wikipedia '9M133 Kornet': 2-3 rpm</t>
        </is>
      </c>
      <c r="BG207" t="inlineStr">
        <is>
          <t>doi</t>
        </is>
      </c>
      <c r="BR207" t="n">
        <v>22</v>
      </c>
      <c r="BS207" t="n">
        <v>80</v>
      </c>
      <c r="CR207" t="n">
        <v>1</v>
      </c>
      <c r="CW207" t="n">
        <v>8</v>
      </c>
      <c r="CX207" t="n">
        <v>999999</v>
      </c>
      <c r="DD207" t="n">
        <v>1.2</v>
      </c>
      <c r="DT207" t="inlineStr">
        <is>
          <t>tower_kornet</t>
        </is>
      </c>
      <c r="EQ207" t="inlineStr">
        <is>
          <t>9M133 Kornet</t>
        </is>
      </c>
      <c r="GD207" t="inlineStr">
        <is>
          <t>Assets/MachineBrigade/Resources/Data/balance.json: weapons[289]</t>
        </is>
      </c>
      <c r="GE207" t="inlineStr">
        <is>
          <t>{"id":"one_shot_kornet","inherits":"tower_kornet","real":"9M133 Kornet","burst":1,"cooldown":1.2,"clip":8,"clipReload":999999}</t>
        </is>
      </c>
    </row>
    <row r="208">
      <c r="A208" t="inlineStr">
        <is>
          <t>orbital_laser</t>
        </is>
      </c>
      <c r="B208" t="inlineStr">
        <is>
          <t>laser (150 kW)</t>
        </is>
      </c>
      <c r="C208" t="inlineStr">
        <is>
          <t>laser_laser</t>
        </is>
      </c>
      <c r="D208" t="inlineStr"/>
      <c r="E208" t="inlineStr"/>
      <c r="F208" t="inlineStr">
        <is>
          <t>laser</t>
        </is>
      </c>
      <c r="G208" t="inlineStr"/>
      <c r="H208" t="inlineStr"/>
      <c r="I208" t="n">
        <v>150</v>
      </c>
      <c r="J208" t="inlineStr"/>
      <c r="K208" t="inlineStr">
        <is>
          <t>Energy</t>
        </is>
      </c>
      <c r="L208" t="n">
        <v>4</v>
      </c>
      <c r="M208" t="inlineStr">
        <is>
          <t>Bullet</t>
        </is>
      </c>
      <c r="N208" t="n">
        <v>1</v>
      </c>
      <c r="O208" t="inlineStr">
        <is>
          <t>RIPPLE</t>
        </is>
      </c>
      <c r="P208" t="n">
        <v>1</v>
      </c>
      <c r="Q208" t="n">
        <v>0.1</v>
      </c>
      <c r="R208" t="n">
        <v>0.1</v>
      </c>
      <c r="S208" t="n">
        <v>0</v>
      </c>
      <c r="T208" t="n">
        <v>0</v>
      </c>
      <c r="U208" t="n">
        <v>0</v>
      </c>
      <c r="V208" t="n">
        <v>0</v>
      </c>
      <c r="W208" t="n">
        <v>9</v>
      </c>
      <c r="X208" t="n">
        <v>1.5</v>
      </c>
      <c r="Y208" t="n">
        <v>0</v>
      </c>
      <c r="Z208" t="n">
        <v>3000</v>
      </c>
      <c r="AA208" t="n">
        <v>36</v>
      </c>
      <c r="AB208" t="n">
        <v>0</v>
      </c>
      <c r="AC208" t="inlineStr">
        <is>
          <t>Ground</t>
        </is>
      </c>
      <c r="AD208" t="inlineStr"/>
      <c r="AE208" t="n">
        <v>0</v>
      </c>
      <c r="AF208" t="inlineStr">
        <is>
          <t>Small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1</v>
      </c>
      <c r="AM208" t="b">
        <v>0</v>
      </c>
      <c r="AN208" t="n">
        <v>150</v>
      </c>
      <c r="AO208" t="n">
        <v>0</v>
      </c>
      <c r="AP208" t="inlineStr">
        <is>
          <t>T1</t>
        </is>
      </c>
      <c r="AQ208" t="inlineStr"/>
      <c r="AR208" t="inlineStr"/>
      <c r="AS208" t="inlineStr"/>
      <c r="AT208" t="inlineStr"/>
      <c r="AU208" t="n">
        <v>0</v>
      </c>
      <c r="AV208" t="inlineStr"/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0.012</v>
      </c>
      <c r="BB208" t="inlineStr">
        <is>
          <t>NEED_SOURCE</t>
        </is>
      </c>
      <c r="BC208" t="inlineStr">
        <is>
          <t>NEED_SOURCE</t>
        </is>
      </c>
      <c r="BE208" t="inlineStr">
        <is>
          <t>NEED_SOURCE</t>
        </is>
      </c>
      <c r="BG208" t="inlineStr">
        <is>
          <t>giong</t>
        </is>
      </c>
      <c r="CP208" t="b">
        <v>1</v>
      </c>
      <c r="DD208" t="n">
        <v>0.1</v>
      </c>
      <c r="DE208" t="n">
        <v>9</v>
      </c>
      <c r="DF208" t="inlineStr">
        <is>
          <t>Energy</t>
        </is>
      </c>
      <c r="DJ208" t="inlineStr">
        <is>
          <t>laser</t>
        </is>
      </c>
      <c r="DS208" t="inlineStr">
        <is>
          <t>Small</t>
        </is>
      </c>
      <c r="EB208" t="n">
        <v>4</v>
      </c>
      <c r="EF208" t="n">
        <v>150</v>
      </c>
      <c r="EH208" t="inlineStr">
        <is>
          <t>Bullet</t>
        </is>
      </c>
      <c r="EK208" t="n">
        <v>3000</v>
      </c>
      <c r="EP208" t="n">
        <v>36</v>
      </c>
      <c r="EQ208" t="inlineStr">
        <is>
          <t>laser (150 kW)</t>
        </is>
      </c>
      <c r="EX208" t="n">
        <v>150</v>
      </c>
      <c r="EY208" t="n">
        <v>1.5</v>
      </c>
      <c r="GB208" t="inlineStr">
        <is>
          <t>laser_laser</t>
        </is>
      </c>
      <c r="GD208" t="inlineStr">
        <is>
          <t>Assets/MachineBrigade/Resources/Data/balance.json: weapons[132]</t>
        </is>
      </c>
      <c r="GE208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09">
      <c r="A209" t="inlineStr">
        <is>
          <t>p26_bastion_b100</t>
        </is>
      </c>
      <c r="B209" t="inlineStr">
        <is>
          <t>D-10 100 mm</t>
        </is>
      </c>
      <c r="C209" t="inlineStr">
        <is>
          <t>cal_100_105_ap</t>
        </is>
      </c>
      <c r="D209" t="inlineStr"/>
      <c r="E209" t="inlineStr"/>
      <c r="F209" t="inlineStr">
        <is>
          <t>tank_gun</t>
        </is>
      </c>
      <c r="G209" t="n">
        <v>100</v>
      </c>
      <c r="H209" t="inlineStr"/>
      <c r="I209" t="inlineStr"/>
      <c r="J209" t="inlineStr"/>
      <c r="K209" t="inlineStr">
        <is>
          <t>Kinetic</t>
        </is>
      </c>
      <c r="L209" t="n">
        <v>5</v>
      </c>
      <c r="M209" t="inlineStr">
        <is>
          <t>Shell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4</v>
      </c>
      <c r="S209" t="n">
        <v>0</v>
      </c>
      <c r="T209" t="n">
        <v>0</v>
      </c>
      <c r="U209" t="n">
        <v>0</v>
      </c>
      <c r="V209" t="n">
        <v>0</v>
      </c>
      <c r="W209" t="n">
        <v>240</v>
      </c>
      <c r="X209" t="n">
        <v>0</v>
      </c>
      <c r="Y209" t="n">
        <v>0</v>
      </c>
      <c r="Z209" t="n">
        <v>170</v>
      </c>
      <c r="AA209" t="n">
        <v>36</v>
      </c>
      <c r="AB209" t="n">
        <v>0</v>
      </c>
      <c r="AC209" t="inlineStr">
        <is>
          <t>Ground</t>
        </is>
      </c>
      <c r="AD209" t="inlineStr"/>
      <c r="AE209" t="n">
        <v>0.6</v>
      </c>
      <c r="AF209" t="inlineStr">
        <is>
          <t>Medium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100</v>
      </c>
      <c r="AO209" t="n">
        <v>0</v>
      </c>
      <c r="AP209" t="inlineStr">
        <is>
          <t>T2</t>
        </is>
      </c>
      <c r="AQ209" t="inlineStr">
        <is>
          <t>gun_120mm</t>
        </is>
      </c>
      <c r="AR209" t="inlineStr"/>
      <c r="AS209" t="inlineStr"/>
      <c r="AT209" t="inlineStr"/>
      <c r="AU209" t="n">
        <v>0</v>
      </c>
      <c r="AV209" t="inlineStr"/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0.2117647058823529</v>
      </c>
      <c r="BB209" t="n">
        <v>7</v>
      </c>
      <c r="BC209" t="n">
        <v>4</v>
      </c>
      <c r="BD209" t="inlineStr">
        <is>
          <t>gun</t>
        </is>
      </c>
      <c r="BE209" t="inlineStr">
        <is>
          <t>Wikipedia 'D-10 tank gun' (T-55): 4-7 rpm</t>
        </is>
      </c>
      <c r="BG209" t="inlineStr">
        <is>
          <t>giong</t>
        </is>
      </c>
      <c r="CT209" t="n">
        <v>100</v>
      </c>
      <c r="DD209" t="n">
        <v>4</v>
      </c>
      <c r="DE209" t="n">
        <v>240</v>
      </c>
      <c r="DT209" t="inlineStr">
        <is>
          <t>gun_120mm</t>
        </is>
      </c>
      <c r="EB209" t="n">
        <v>5</v>
      </c>
      <c r="EP209" t="n">
        <v>36</v>
      </c>
      <c r="EQ209" t="inlineStr">
        <is>
          <t>D-10 100 mm</t>
        </is>
      </c>
      <c r="EX209" t="n">
        <v>100</v>
      </c>
      <c r="EY209" t="n">
        <v>0</v>
      </c>
      <c r="GA209" t="inlineStr"/>
      <c r="GB209" t="inlineStr">
        <is>
          <t>cal_100_105_ap</t>
        </is>
      </c>
      <c r="GD209" t="inlineStr">
        <is>
          <t>Assets/MachineBrigade/Resources/Data/balance.json: weapons[142]</t>
        </is>
      </c>
      <c r="GE209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10">
      <c r="A210" t="inlineStr">
        <is>
          <t>p26_bastion_b155</t>
        </is>
      </c>
      <c r="B210" t="inlineStr">
        <is>
          <t>M284 155 mm (Bastion)</t>
        </is>
      </c>
      <c r="C210" t="inlineStr">
        <is>
          <t>cal_152_155</t>
        </is>
      </c>
      <c r="D210" t="inlineStr"/>
      <c r="E210" t="inlineStr"/>
      <c r="F210" t="inlineStr">
        <is>
          <t>howitzer</t>
        </is>
      </c>
      <c r="G210" t="n">
        <v>155</v>
      </c>
      <c r="H210" t="inlineStr"/>
      <c r="I210" t="inlineStr"/>
      <c r="J210" t="inlineStr"/>
      <c r="K210" t="inlineStr">
        <is>
          <t>HighExplosive</t>
        </is>
      </c>
      <c r="L210" t="n">
        <v>4</v>
      </c>
      <c r="M210" t="inlineStr">
        <is>
          <t>Shell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15</v>
      </c>
      <c r="S210" t="n">
        <v>0</v>
      </c>
      <c r="T210" t="n">
        <v>0</v>
      </c>
      <c r="U210" t="n">
        <v>0</v>
      </c>
      <c r="V210" t="n">
        <v>0</v>
      </c>
      <c r="W210" t="n">
        <v>1600</v>
      </c>
      <c r="X210" t="n">
        <v>8</v>
      </c>
      <c r="Y210" t="n">
        <v>16</v>
      </c>
      <c r="Z210" t="n">
        <v>60</v>
      </c>
      <c r="AA210" t="n">
        <v>75</v>
      </c>
      <c r="AB210" t="n">
        <v>20</v>
      </c>
      <c r="AC210" t="inlineStr">
        <is>
          <t>Ground</t>
        </is>
      </c>
      <c r="AD210" t="inlineStr"/>
      <c r="AE210" t="n">
        <v>4.5</v>
      </c>
      <c r="AF210" t="inlineStr">
        <is>
          <t>Huge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155</v>
      </c>
      <c r="AO210" t="n">
        <v>0</v>
      </c>
      <c r="AP210" t="inlineStr">
        <is>
          <t>T3</t>
        </is>
      </c>
      <c r="AQ210" t="inlineStr">
        <is>
          <t>casemate_155</t>
        </is>
      </c>
      <c r="AR210" t="inlineStr"/>
      <c r="AS210" t="inlineStr"/>
      <c r="AT210" t="inlineStr"/>
      <c r="AU210" t="n">
        <v>0</v>
      </c>
      <c r="AV210" t="inlineStr"/>
      <c r="AW210" t="n">
        <v>0</v>
      </c>
      <c r="AX210" t="b">
        <v>0</v>
      </c>
      <c r="AY210" t="inlineStr"/>
      <c r="AZ210">
        <f>IF(AND($AX$210,$AW$210&gt;$AA$210/$Z$210),$AW$210,$AA$210/$Z$210)</f>
        <v/>
      </c>
      <c r="BA210" t="n">
        <v>1.25</v>
      </c>
      <c r="BB210" t="n">
        <v>4</v>
      </c>
      <c r="BC210" t="n">
        <v>1</v>
      </c>
      <c r="BD210" t="inlineStr">
        <is>
          <t>gun</t>
        </is>
      </c>
      <c r="BE210" t="inlineStr">
        <is>
          <t>US Army M109A7 fact file: 4 rpm for 3 min, 1 rpm sustained</t>
        </is>
      </c>
      <c r="BG210" t="inlineStr">
        <is>
          <t>doi</t>
        </is>
      </c>
      <c r="BH210" t="n">
        <v>540</v>
      </c>
      <c r="BI210" t="n">
        <v>1600</v>
      </c>
      <c r="BJ210" t="n">
        <v>2</v>
      </c>
      <c r="BK210" t="n">
        <v>15</v>
      </c>
      <c r="BN210" t="n">
        <v>8.5</v>
      </c>
      <c r="BO210" t="n">
        <v>8</v>
      </c>
      <c r="BP210" t="n">
        <v>17</v>
      </c>
      <c r="BQ210" t="n">
        <v>16</v>
      </c>
      <c r="BR210" t="n">
        <v>45</v>
      </c>
      <c r="BS210" t="n">
        <v>60</v>
      </c>
      <c r="CR210" t="n">
        <v>1</v>
      </c>
      <c r="DD210" t="n">
        <v>15</v>
      </c>
      <c r="DE210" t="n">
        <v>1600</v>
      </c>
      <c r="DG210" t="n">
        <v>16</v>
      </c>
      <c r="DT210" t="inlineStr">
        <is>
          <t>casemate_155</t>
        </is>
      </c>
      <c r="EB210" t="n">
        <v>4</v>
      </c>
      <c r="EQ210" t="inlineStr">
        <is>
          <t>M284 155 mm (Bastion)</t>
        </is>
      </c>
      <c r="EY210" t="n">
        <v>8</v>
      </c>
      <c r="GA210" t="inlineStr"/>
      <c r="GD210" t="inlineStr">
        <is>
          <t>Assets/MachineBrigade/Resources/Data/balance.json: weapons[140]</t>
        </is>
      </c>
      <c r="GE210" t="inlineStr">
        <is>
          <t>{"id":"p26_bastion_b155","inherits":"casemate_155","weaponFamily":"","real":"M284 155 mm (Bastion)","damage":1600,"cooldown":15,"burst":1,"splash":8,"edge":16,"pen":4}</t>
        </is>
      </c>
    </row>
    <row r="211">
      <c r="A211" t="inlineStr">
        <is>
          <t>p26_bastion_b240</t>
        </is>
      </c>
      <c r="B211" t="inlineStr">
        <is>
          <t>2B8 240 mm</t>
        </is>
      </c>
      <c r="C211" t="inlineStr">
        <is>
          <t>cal_240</t>
        </is>
      </c>
      <c r="D211" t="inlineStr"/>
      <c r="E211" t="inlineStr"/>
      <c r="F211" t="inlineStr">
        <is>
          <t>mortar</t>
        </is>
      </c>
      <c r="G211" t="n">
        <v>240</v>
      </c>
      <c r="H211" t="inlineStr"/>
      <c r="I211" t="inlineStr"/>
      <c r="J211" t="inlineStr"/>
      <c r="K211" t="inlineStr">
        <is>
          <t>HighExplosive</t>
        </is>
      </c>
      <c r="L211" t="n">
        <v>4</v>
      </c>
      <c r="M211" t="inlineStr">
        <is>
          <t>Shell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30</v>
      </c>
      <c r="S211" t="n">
        <v>0</v>
      </c>
      <c r="T211" t="n">
        <v>0</v>
      </c>
      <c r="U211" t="n">
        <v>0</v>
      </c>
      <c r="V211" t="n">
        <v>0</v>
      </c>
      <c r="W211" t="n">
        <v>2400</v>
      </c>
      <c r="X211" t="n">
        <v>10</v>
      </c>
      <c r="Y211" t="n">
        <v>20</v>
      </c>
      <c r="Z211" t="n">
        <v>40</v>
      </c>
      <c r="AA211" t="n">
        <v>80</v>
      </c>
      <c r="AB211" t="n">
        <v>12</v>
      </c>
      <c r="AC211" t="inlineStr">
        <is>
          <t>Ground</t>
        </is>
      </c>
      <c r="AD211" t="inlineStr"/>
      <c r="AE211" t="n">
        <v>3.5</v>
      </c>
      <c r="AF211" t="inlineStr">
        <is>
          <t>Huge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240</v>
      </c>
      <c r="AO211" t="n">
        <v>0</v>
      </c>
      <c r="AP211" t="inlineStr">
        <is>
          <t>T4</t>
        </is>
      </c>
      <c r="AQ211" t="inlineStr">
        <is>
          <t>boss_mortar</t>
        </is>
      </c>
      <c r="AR211" t="inlineStr"/>
      <c r="AS211" t="inlineStr"/>
      <c r="AT211" t="inlineStr"/>
      <c r="AU211" t="n">
        <v>0</v>
      </c>
      <c r="AV211" t="inlineStr"/>
      <c r="AW211" t="n">
        <v>2.722222222222222</v>
      </c>
      <c r="AX211" t="b">
        <v>1</v>
      </c>
      <c r="AY211" t="inlineStr"/>
      <c r="AZ211">
        <f>IF(AND($AX$211,$AW$211&gt;$AA$211/$Z$211),$AW$211,$AA$211/$Z$211)</f>
        <v/>
      </c>
      <c r="BA211" t="n">
        <v>2.722222222222222</v>
      </c>
      <c r="BB211" t="n">
        <v>1</v>
      </c>
      <c r="BC211" t="n">
        <v>1</v>
      </c>
      <c r="BD211" t="inlineStr">
        <is>
          <t>gun</t>
        </is>
      </c>
      <c r="BE211" t="inlineStr">
        <is>
          <t>Wikipedia '2S4 Tyulpan': ~1 rpm</t>
        </is>
      </c>
      <c r="BG211" t="inlineStr">
        <is>
          <t>doi</t>
        </is>
      </c>
      <c r="BH211" t="n">
        <v>750</v>
      </c>
      <c r="BI211" t="n">
        <v>2400</v>
      </c>
      <c r="BJ211" t="n">
        <v>5</v>
      </c>
      <c r="BK211" t="n">
        <v>30</v>
      </c>
      <c r="BR211" t="n">
        <v>38</v>
      </c>
      <c r="BS211" t="n">
        <v>40</v>
      </c>
      <c r="DD211" t="n">
        <v>30</v>
      </c>
      <c r="DE211" t="n">
        <v>2400</v>
      </c>
      <c r="DG211" t="n">
        <v>20</v>
      </c>
      <c r="DT211" t="inlineStr">
        <is>
          <t>boss_mortar</t>
        </is>
      </c>
      <c r="EQ211" t="inlineStr">
        <is>
          <t>2B8 240 mm</t>
        </is>
      </c>
      <c r="EY211" t="n">
        <v>10</v>
      </c>
      <c r="GA211" t="inlineStr"/>
      <c r="GD211" t="inlineStr">
        <is>
          <t>Assets/MachineBrigade/Resources/Data/balance.json: weapons[141]</t>
        </is>
      </c>
      <c r="GE211" t="inlineStr">
        <is>
          <t>{"id":"p26_bastion_b240","inherits":"boss_mortar","weaponFamily":"","real":"2B8 240 mm","damage":2400,"cooldown":30,"splash":10,"edge":20}</t>
        </is>
      </c>
    </row>
    <row r="212">
      <c r="A212" t="inlineStr">
        <is>
          <t>p26_bastion_close_boss_hmg</t>
        </is>
      </c>
      <c r="B212" t="inlineStr">
        <is>
          <t>NSV 12.7 mm</t>
        </is>
      </c>
      <c r="C212" t="inlineStr">
        <is>
          <t>cal_12_7</t>
        </is>
      </c>
      <c r="D212" t="inlineStr"/>
      <c r="E212" t="inlineStr"/>
      <c r="F212" t="inlineStr">
        <is>
          <t>mg</t>
        </is>
      </c>
      <c r="G212" t="n">
        <v>12.7</v>
      </c>
      <c r="H212" t="inlineStr"/>
      <c r="I212" t="inlineStr"/>
      <c r="J212" t="inlineStr"/>
      <c r="K212" t="inlineStr">
        <is>
          <t>Kinetic</t>
        </is>
      </c>
      <c r="L212" t="n">
        <v>1</v>
      </c>
      <c r="M212" t="inlineStr">
        <is>
          <t>Bullet</t>
        </is>
      </c>
      <c r="N212" t="n">
        <v>1</v>
      </c>
      <c r="O212" t="inlineStr">
        <is>
          <t>RIPPLE</t>
        </is>
      </c>
      <c r="P212" t="n">
        <v>1</v>
      </c>
      <c r="Q212" t="n">
        <v>0.1</v>
      </c>
      <c r="R212" t="n">
        <v>0.0833</v>
      </c>
      <c r="S212" t="n">
        <v>100</v>
      </c>
      <c r="T212" t="n">
        <v>5</v>
      </c>
      <c r="U212" t="n">
        <v>0</v>
      </c>
      <c r="V212" t="n">
        <v>0</v>
      </c>
      <c r="W212" t="n">
        <v>15</v>
      </c>
      <c r="X212" t="n">
        <v>0</v>
      </c>
      <c r="Y212" t="n">
        <v>0</v>
      </c>
      <c r="Z212" t="n">
        <v>240</v>
      </c>
      <c r="AA212" t="n">
        <v>30</v>
      </c>
      <c r="AB212" t="n">
        <v>0</v>
      </c>
      <c r="AC212" t="inlineStr">
        <is>
          <t>All</t>
        </is>
      </c>
      <c r="AD212" t="inlineStr"/>
      <c r="AE212" t="n">
        <v>1.3</v>
      </c>
      <c r="AF212" t="inlineStr">
        <is>
          <t>Small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12.7</v>
      </c>
      <c r="AO212" t="n">
        <v>0</v>
      </c>
      <c r="AP212" t="inlineStr">
        <is>
          <t>T0</t>
        </is>
      </c>
      <c r="AQ212" t="inlineStr">
        <is>
          <t>boss_hmg</t>
        </is>
      </c>
      <c r="AR212" t="inlineStr"/>
      <c r="AS212" t="inlineStr">
        <is>
          <t>boss</t>
        </is>
      </c>
      <c r="AT212" t="inlineStr">
        <is>
          <t>fortress_bastion;monster</t>
        </is>
      </c>
      <c r="AU212" t="n">
        <v>2</v>
      </c>
      <c r="AV212" t="inlineStr">
        <is>
          <t>fortress_bastion:6;fortress_bastion:7;monster:6;monster:7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0.125</v>
      </c>
      <c r="BB212" t="n">
        <v>800</v>
      </c>
      <c r="BC212" t="n">
        <v>100</v>
      </c>
      <c r="BD212" t="inlineStr">
        <is>
          <t>mg</t>
        </is>
      </c>
      <c r="BE212" t="inlineStr">
        <is>
          <t>Wikipedia 'NSV machine gun': 700-800 cyclic, 100 practical</t>
        </is>
      </c>
      <c r="BF212" t="inlineStr">
        <is>
          <t>wave 1 boss_hmg: 100 rounds at 720 rpm, changed in 5 s (NSV 700-800 rpm)</t>
        </is>
      </c>
      <c r="BG212" t="inlineStr">
        <is>
          <t>doi</t>
        </is>
      </c>
      <c r="CH212" t="n">
        <v>5.0833</v>
      </c>
      <c r="CI212" t="n">
        <v>5</v>
      </c>
      <c r="CX212" t="n">
        <v>5</v>
      </c>
      <c r="DE212" t="n">
        <v>15</v>
      </c>
      <c r="DT212" t="inlineStr">
        <is>
          <t>boss_hmg</t>
        </is>
      </c>
      <c r="GA212" t="inlineStr"/>
      <c r="GD212" t="inlineStr">
        <is>
          <t>Assets/MachineBrigade/Resources/Data/balance.json: weapons[146]</t>
        </is>
      </c>
      <c r="GE212" t="inlineStr">
        <is>
          <t>{"id":"p26_bastion_close_boss_hmg","inherits":"boss_hmg","clipReload":5,"weaponFamily":"","damage":15}</t>
        </is>
      </c>
    </row>
    <row r="213">
      <c r="A213" t="inlineStr">
        <is>
          <t>p26_bastion_direct_b100</t>
        </is>
      </c>
      <c r="B213" t="inlineStr">
        <is>
          <t>D-10 100 mm (twin casemate)</t>
        </is>
      </c>
      <c r="C213" t="inlineStr">
        <is>
          <t>cal_100_105_ap</t>
        </is>
      </c>
      <c r="D213" t="inlineStr"/>
      <c r="E213" t="inlineStr"/>
      <c r="F213" t="inlineStr">
        <is>
          <t>tank_gun</t>
        </is>
      </c>
      <c r="G213" t="n">
        <v>100</v>
      </c>
      <c r="H213" t="inlineStr"/>
      <c r="I213" t="inlineStr"/>
      <c r="J213" t="inlineStr"/>
      <c r="K213" t="inlineStr">
        <is>
          <t>Kinetic</t>
        </is>
      </c>
      <c r="L213" t="n">
        <v>5</v>
      </c>
      <c r="M213" t="inlineStr">
        <is>
          <t>Shell</t>
        </is>
      </c>
      <c r="N213" t="n">
        <v>2</v>
      </c>
      <c r="O213" t="inlineStr">
        <is>
          <t>SIMULTANEOUS</t>
        </is>
      </c>
      <c r="P213" t="n">
        <v>1</v>
      </c>
      <c r="Q213" t="n">
        <v>0.1</v>
      </c>
      <c r="R213" t="n">
        <v>8.6</v>
      </c>
      <c r="S213" t="n">
        <v>0</v>
      </c>
      <c r="T213" t="n">
        <v>0</v>
      </c>
      <c r="U213" t="n">
        <v>0</v>
      </c>
      <c r="V213" t="n">
        <v>0</v>
      </c>
      <c r="W213" t="n">
        <v>240</v>
      </c>
      <c r="X213" t="n">
        <v>0</v>
      </c>
      <c r="Y213" t="n">
        <v>0</v>
      </c>
      <c r="Z213" t="n">
        <v>170</v>
      </c>
      <c r="AA213" t="n">
        <v>36</v>
      </c>
      <c r="AB213" t="n">
        <v>0</v>
      </c>
      <c r="AC213" t="inlineStr">
        <is>
          <t>Ground</t>
        </is>
      </c>
      <c r="AD213" t="inlineStr"/>
      <c r="AE213" t="n">
        <v>0.6</v>
      </c>
      <c r="AF213" t="inlineStr">
        <is>
          <t>Medium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100</v>
      </c>
      <c r="AO213" t="n">
        <v>0</v>
      </c>
      <c r="AP213" t="inlineStr">
        <is>
          <t>T2</t>
        </is>
      </c>
      <c r="AQ213" t="inlineStr">
        <is>
          <t>p26_bastion_b100</t>
        </is>
      </c>
      <c r="AR213" t="inlineStr"/>
      <c r="AS213" t="inlineStr">
        <is>
          <t>boss</t>
        </is>
      </c>
      <c r="AT213" t="inlineStr">
        <is>
          <t>bastion_mk0;fortress_bastion;monster</t>
        </is>
      </c>
      <c r="AU213" t="n">
        <v>3</v>
      </c>
      <c r="AV213" t="inlineStr">
        <is>
          <t>bastion_mk0:1;bastion_mk0:2;fortress_bastion:1;fortress_bastion:2;monster:1;monster:2</t>
        </is>
      </c>
      <c r="AW213" t="n">
        <v>0</v>
      </c>
      <c r="AX213" t="b">
        <v>0</v>
      </c>
      <c r="AY213" t="inlineStr"/>
      <c r="AZ213">
        <f>IF(AND($AX$213,$AW$213&gt;$AA$213/$Z$213),$AW$213,$AA$213/$Z$213)</f>
        <v/>
      </c>
      <c r="BA213" t="n">
        <v>0.2117647058823529</v>
      </c>
      <c r="BB213" t="n">
        <v>7</v>
      </c>
      <c r="BC213" t="n">
        <v>4</v>
      </c>
      <c r="BD213" t="inlineStr">
        <is>
          <t>gun</t>
        </is>
      </c>
      <c r="BE213" t="inlineStr">
        <is>
          <t>Wikipedia 'D-10 tank gun' (T-55): 4-7 rpm</t>
        </is>
      </c>
      <c r="BF213" t="inlineStr">
        <is>
          <t>real D-10 4-7 rpm (8.6 s at 7); made up: the twin D-10 casemates the fortress model already has</t>
        </is>
      </c>
      <c r="BG213" t="inlineStr">
        <is>
          <t>doi</t>
        </is>
      </c>
      <c r="BJ213" t="n">
        <v>5</v>
      </c>
      <c r="BK213" t="n">
        <v>8.6</v>
      </c>
      <c r="BX213" t="n">
        <v>1</v>
      </c>
      <c r="BY213" t="n">
        <v>2</v>
      </c>
      <c r="BZ213" t="inlineStr">
        <is>
          <t>RIPPLE</t>
        </is>
      </c>
      <c r="CA213" t="inlineStr">
        <is>
          <t>SIMULTANEOUS</t>
        </is>
      </c>
      <c r="CO213" t="n">
        <v>2</v>
      </c>
      <c r="DD213" t="n">
        <v>8.6</v>
      </c>
      <c r="DE213" t="n">
        <v>240</v>
      </c>
      <c r="DO213" t="n">
        <v>19</v>
      </c>
      <c r="DT213" t="inlineStr">
        <is>
          <t>p26_bastion_b100</t>
        </is>
      </c>
      <c r="EQ213" t="inlineStr">
        <is>
          <t>D-10 100 mm (twin casemate)</t>
        </is>
      </c>
      <c r="EW213" t="inlineStr">
        <is>
          <t>SIMULTANEOUS</t>
        </is>
      </c>
      <c r="GD213" t="inlineStr">
        <is>
          <t>Assets/MachineBrigade/Resources/Data/balance.json: weapons[145]</t>
        </is>
      </c>
      <c r="GE213" t="inlineStr">
        <is>
          <t>{"id":"p26_bastion_direct_b100","groundMinReach":19,"inherits":"p26_bastion_b100","real":"D-10 100 mm (twin casemate)","salvoMode":"SIMULTANEOUS","barrels":2,"cooldown":8.6,"damage":240}</t>
        </is>
      </c>
    </row>
    <row r="214">
      <c r="A214" t="inlineStr">
        <is>
          <t>p26_bastion_main_b155</t>
        </is>
      </c>
      <c r="B214" t="inlineStr">
        <is>
          <t>M284 155 mm (Bastion)</t>
        </is>
      </c>
      <c r="C214" t="inlineStr">
        <is>
          <t>cal_152_155</t>
        </is>
      </c>
      <c r="D214" t="inlineStr"/>
      <c r="E214" t="inlineStr"/>
      <c r="F214" t="inlineStr">
        <is>
          <t>howitzer</t>
        </is>
      </c>
      <c r="G214" t="n">
        <v>155</v>
      </c>
      <c r="H214" t="inlineStr"/>
      <c r="I214" t="inlineStr"/>
      <c r="J214" t="inlineStr"/>
      <c r="K214" t="inlineStr">
        <is>
          <t>HighExplosive</t>
        </is>
      </c>
      <c r="L214" t="n">
        <v>4</v>
      </c>
      <c r="M214" t="inlineStr">
        <is>
          <t>Shell</t>
        </is>
      </c>
      <c r="N214" t="n">
        <v>1</v>
      </c>
      <c r="O214" t="inlineStr">
        <is>
          <t>RIPPLE</t>
        </is>
      </c>
      <c r="P214" t="n">
        <v>1</v>
      </c>
      <c r="Q214" t="n">
        <v>0.1</v>
      </c>
      <c r="R214" t="n">
        <v>15</v>
      </c>
      <c r="S214" t="n">
        <v>0</v>
      </c>
      <c r="T214" t="n">
        <v>0</v>
      </c>
      <c r="U214" t="n">
        <v>0</v>
      </c>
      <c r="V214" t="n">
        <v>0</v>
      </c>
      <c r="W214" t="n">
        <v>600</v>
      </c>
      <c r="X214" t="n">
        <v>7</v>
      </c>
      <c r="Y214" t="n">
        <v>14</v>
      </c>
      <c r="Z214" t="n">
        <v>60</v>
      </c>
      <c r="AA214" t="n">
        <v>75</v>
      </c>
      <c r="AB214" t="n">
        <v>20</v>
      </c>
      <c r="AC214" t="inlineStr">
        <is>
          <t>Ground</t>
        </is>
      </c>
      <c r="AD214" t="inlineStr"/>
      <c r="AE214" t="n">
        <v>4.5</v>
      </c>
      <c r="AF214" t="inlineStr">
        <is>
          <t>Huge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155</v>
      </c>
      <c r="AO214" t="n">
        <v>0</v>
      </c>
      <c r="AP214" t="inlineStr">
        <is>
          <t>T3</t>
        </is>
      </c>
      <c r="AQ214" t="inlineStr">
        <is>
          <t>p26_bastion_b155</t>
        </is>
      </c>
      <c r="AR214" t="inlineStr"/>
      <c r="AS214" t="inlineStr">
        <is>
          <t>boss</t>
        </is>
      </c>
      <c r="AT214" t="inlineStr">
        <is>
          <t>fortress_bastion;monster</t>
        </is>
      </c>
      <c r="AU214" t="n">
        <v>2</v>
      </c>
      <c r="AV214" t="inlineStr">
        <is>
          <t>fortress_bastion:8;monster:8</t>
        </is>
      </c>
      <c r="AW214" t="n">
        <v>0</v>
      </c>
      <c r="AX214" t="b">
        <v>0</v>
      </c>
      <c r="AY214" t="inlineStr"/>
      <c r="AZ214">
        <f>IF(AND($AX$214,$AW$214&gt;$AA$214/$Z$214),$AW$214,$AA$214/$Z$214)</f>
        <v/>
      </c>
      <c r="BA214" t="n">
        <v>1.25</v>
      </c>
      <c r="BB214" t="n">
        <v>4</v>
      </c>
      <c r="BC214" t="n">
        <v>1</v>
      </c>
      <c r="BD214" t="inlineStr">
        <is>
          <t>gun</t>
        </is>
      </c>
      <c r="BE214" t="inlineStr">
        <is>
          <t>US Army M109A7 fact file: 4 rpm for 3 min, 1 rpm sustained</t>
        </is>
      </c>
      <c r="BF214" t="inlineStr">
        <is>
          <t>real M109A7 4 rpm (15 s) at its maximum; wave 1's 12.5 s is too fast after the 30 % rule</t>
        </is>
      </c>
      <c r="BG214" t="inlineStr">
        <is>
          <t>doi</t>
        </is>
      </c>
      <c r="BH214" t="n">
        <v>515</v>
      </c>
      <c r="BI214" t="n">
        <v>600</v>
      </c>
      <c r="BJ214" t="n">
        <v>2</v>
      </c>
      <c r="BK214" t="n">
        <v>15</v>
      </c>
      <c r="BN214" t="n">
        <v>8.5</v>
      </c>
      <c r="BO214" t="n">
        <v>7</v>
      </c>
      <c r="BP214" t="n">
        <v>17</v>
      </c>
      <c r="BQ214" t="n">
        <v>14</v>
      </c>
      <c r="BR214" t="n">
        <v>45</v>
      </c>
      <c r="BS214" t="n">
        <v>60</v>
      </c>
      <c r="DD214" t="n">
        <v>15</v>
      </c>
      <c r="DE214" t="n">
        <v>600</v>
      </c>
      <c r="DG214" t="n">
        <v>14</v>
      </c>
      <c r="DT214" t="inlineStr">
        <is>
          <t>p26_bastion_b155</t>
        </is>
      </c>
      <c r="EK214" t="n">
        <v>60</v>
      </c>
      <c r="EY214" t="n">
        <v>7</v>
      </c>
      <c r="GD214" t="inlineStr">
        <is>
          <t>Assets/MachineBrigade/Resources/Data/balance.json: weapons[143]</t>
        </is>
      </c>
      <c r="GE214" t="inlineStr">
        <is>
          <t>{"id":"p26_bastion_main_b155","inherits":"p26_bastion_b155","cooldown":15,"projectileSpeed":60,"edge":14,"splash":7,"damage":600}</t>
        </is>
      </c>
    </row>
    <row r="215">
      <c r="A215" t="inlineStr">
        <is>
          <t>p26_bastion_sec_b240</t>
        </is>
      </c>
      <c r="B215" t="inlineStr">
        <is>
          <t>2B8 240 mm</t>
        </is>
      </c>
      <c r="C215" t="inlineStr">
        <is>
          <t>cal_240</t>
        </is>
      </c>
      <c r="D215" t="inlineStr"/>
      <c r="E215" t="inlineStr"/>
      <c r="F215" t="inlineStr">
        <is>
          <t>mortar</t>
        </is>
      </c>
      <c r="G215" t="n">
        <v>240</v>
      </c>
      <c r="H215" t="inlineStr"/>
      <c r="I215" t="inlineStr"/>
      <c r="J215" t="inlineStr"/>
      <c r="K215" t="inlineStr">
        <is>
          <t>HighExplosive</t>
        </is>
      </c>
      <c r="L215" t="n">
        <v>4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60</v>
      </c>
      <c r="S215" t="n">
        <v>0</v>
      </c>
      <c r="T215" t="n">
        <v>0</v>
      </c>
      <c r="U215" t="n">
        <v>0</v>
      </c>
      <c r="V215" t="n">
        <v>0</v>
      </c>
      <c r="W215" t="n">
        <v>1100</v>
      </c>
      <c r="X215" t="n">
        <v>10</v>
      </c>
      <c r="Y215" t="n">
        <v>20</v>
      </c>
      <c r="Z215" t="n">
        <v>40</v>
      </c>
      <c r="AA215" t="n">
        <v>80</v>
      </c>
      <c r="AB215" t="n">
        <v>14</v>
      </c>
      <c r="AC215" t="inlineStr">
        <is>
          <t>Ground</t>
        </is>
      </c>
      <c r="AD215" t="inlineStr"/>
      <c r="AE215" t="n">
        <v>3.5</v>
      </c>
      <c r="AF215" t="inlineStr">
        <is>
          <t>Huge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240</v>
      </c>
      <c r="AO215" t="n">
        <v>0</v>
      </c>
      <c r="AP215" t="inlineStr">
        <is>
          <t>T4</t>
        </is>
      </c>
      <c r="AQ215" t="inlineStr">
        <is>
          <t>p26_bastion_b240</t>
        </is>
      </c>
      <c r="AR215" t="inlineStr"/>
      <c r="AS215" t="inlineStr">
        <is>
          <t>boss</t>
        </is>
      </c>
      <c r="AT215" t="inlineStr">
        <is>
          <t>bastion_mk0;fortress_bastion;monster</t>
        </is>
      </c>
      <c r="AU215" t="n">
        <v>3</v>
      </c>
      <c r="AV215" t="inlineStr">
        <is>
          <t>bastion_mk0:0;fortress_bastion:0;monster:0</t>
        </is>
      </c>
      <c r="AW215" t="n">
        <v>2.722222222222222</v>
      </c>
      <c r="AX215" t="b">
        <v>1</v>
      </c>
      <c r="AY215" t="inlineStr"/>
      <c r="AZ215">
        <f>IF(AND($AX$215,$AW$215&gt;$AA$215/$Z$215),$AW$215,$AA$215/$Z$215)</f>
        <v/>
      </c>
      <c r="BA215" t="n">
        <v>2.722222222222222</v>
      </c>
      <c r="BB215" t="n">
        <v>1</v>
      </c>
      <c r="BC215" t="n">
        <v>1</v>
      </c>
      <c r="BD215" t="inlineStr">
        <is>
          <t>gun</t>
        </is>
      </c>
      <c r="BE215" t="inlineStr">
        <is>
          <t>Wikipedia '2S4 Tyulpan': ~1 rpm</t>
        </is>
      </c>
      <c r="BF215" t="inlineStr">
        <is>
          <t>real 2S4 Tyulpan ~1 rpm (60 s); wave 1's 10 s is too fast</t>
        </is>
      </c>
      <c r="BG215" t="inlineStr">
        <is>
          <t>doi</t>
        </is>
      </c>
      <c r="BH215" t="n">
        <v>715</v>
      </c>
      <c r="BI215" t="n">
        <v>1100</v>
      </c>
      <c r="BJ215" t="n">
        <v>5</v>
      </c>
      <c r="BK215" t="n">
        <v>60</v>
      </c>
      <c r="BR215" t="n">
        <v>38</v>
      </c>
      <c r="BS215" t="n">
        <v>40</v>
      </c>
      <c r="DD215" t="n">
        <v>60</v>
      </c>
      <c r="DE215" t="n">
        <v>1100</v>
      </c>
      <c r="DT215" t="inlineStr">
        <is>
          <t>p26_bastion_b240</t>
        </is>
      </c>
      <c r="DZ215" t="n">
        <v>14</v>
      </c>
      <c r="GD215" t="inlineStr">
        <is>
          <t>Assets/MachineBrigade/Resources/Data/balance.json: weapons[144]</t>
        </is>
      </c>
      <c r="GE215" t="inlineStr">
        <is>
          <t>{"id":"p26_bastion_sec_b240","minRange":14,"inherits":"p26_bastion_b240","cooldown":60,"damage":1100}</t>
        </is>
      </c>
    </row>
    <row r="216">
      <c r="A216" t="inlineStr">
        <is>
          <t>p26_bastion_tiny_autocannon_40</t>
        </is>
      </c>
      <c r="B216" t="inlineStr">
        <is>
          <t>Bofors 40 mm</t>
        </is>
      </c>
      <c r="C216" t="inlineStr">
        <is>
          <t>cal_40</t>
        </is>
      </c>
      <c r="D216" t="inlineStr"/>
      <c r="E216" t="inlineStr"/>
      <c r="F216" t="inlineStr">
        <is>
          <t>autocannon</t>
        </is>
      </c>
      <c r="G216" t="n">
        <v>40</v>
      </c>
      <c r="H216" t="inlineStr"/>
      <c r="I216" t="inlineStr"/>
      <c r="J216" t="inlineStr"/>
      <c r="K216" t="inlineStr">
        <is>
          <t>Kinetic</t>
        </is>
      </c>
      <c r="L216" t="n">
        <v>2</v>
      </c>
      <c r="M216" t="inlineStr">
        <is>
          <t>Bullet</t>
        </is>
      </c>
      <c r="N216" t="n">
        <v>1</v>
      </c>
      <c r="O216" t="inlineStr">
        <is>
          <t>RIPPLE</t>
        </is>
      </c>
      <c r="P216" t="n">
        <v>1</v>
      </c>
      <c r="Q216" t="n">
        <v>0.1</v>
      </c>
      <c r="R216" t="n">
        <v>0.2</v>
      </c>
      <c r="S216" t="n">
        <v>10</v>
      </c>
      <c r="T216" t="n">
        <v>1.52</v>
      </c>
      <c r="U216" t="n">
        <v>0</v>
      </c>
      <c r="V216" t="n">
        <v>0</v>
      </c>
      <c r="W216" t="n">
        <v>30</v>
      </c>
      <c r="X216" t="n">
        <v>0</v>
      </c>
      <c r="Y216" t="n">
        <v>0</v>
      </c>
      <c r="Z216" t="n">
        <v>210</v>
      </c>
      <c r="AA216" t="n">
        <v>28</v>
      </c>
      <c r="AB216" t="n">
        <v>0</v>
      </c>
      <c r="AC216" t="inlineStr">
        <is>
          <t>All</t>
        </is>
      </c>
      <c r="AD216" t="inlineStr"/>
      <c r="AE216" t="n">
        <v>0.8</v>
      </c>
      <c r="AF216" t="inlineStr">
        <is>
          <t>Small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40</v>
      </c>
      <c r="AO216" t="n">
        <v>0</v>
      </c>
      <c r="AP216" t="inlineStr">
        <is>
          <t>T1</t>
        </is>
      </c>
      <c r="AQ216" t="inlineStr">
        <is>
          <t>autocannon_40</t>
        </is>
      </c>
      <c r="AR216" t="inlineStr"/>
      <c r="AS216" t="inlineStr">
        <is>
          <t>boss</t>
        </is>
      </c>
      <c r="AT216" t="inlineStr">
        <is>
          <t>fortress_bastion;monster</t>
        </is>
      </c>
      <c r="AU216" t="n">
        <v>2</v>
      </c>
      <c r="AV216" t="inlineStr">
        <is>
          <t>fortress_bastion:3;fortress_bastion:4;monster:3;monster:4</t>
        </is>
      </c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0.1333333333333333</v>
      </c>
      <c r="BB216" t="n">
        <v>330</v>
      </c>
      <c r="BC216" t="n">
        <v>120</v>
      </c>
      <c r="BD216" t="inlineStr">
        <is>
          <t>aa</t>
        </is>
      </c>
      <c r="BE216" t="inlineStr">
        <is>
          <t>Wikipedia 'Bofors 40 mm L/70': 240-330 rpm</t>
        </is>
      </c>
      <c r="BF216" t="inlineStr">
        <is>
          <t>wave 1 autocannon_40: 10 rounds at 300 rpm, changed in 1.52 s (Bofors L/70 240-330 rpm)</t>
        </is>
      </c>
      <c r="BG216" t="inlineStr">
        <is>
          <t>doi</t>
        </is>
      </c>
      <c r="BH216" t="n">
        <v>6</v>
      </c>
      <c r="BI216" t="n">
        <v>30</v>
      </c>
      <c r="BN216" t="n">
        <v>1</v>
      </c>
      <c r="BO216" t="n">
        <v>0</v>
      </c>
      <c r="CH216" t="n">
        <v>1.72</v>
      </c>
      <c r="CI216" t="n">
        <v>1.52</v>
      </c>
      <c r="CX216" t="n">
        <v>1.52</v>
      </c>
      <c r="DE216" t="n">
        <v>30</v>
      </c>
      <c r="DT216" t="inlineStr">
        <is>
          <t>autocannon_40</t>
        </is>
      </c>
      <c r="EY216" t="n">
        <v>0</v>
      </c>
      <c r="GD216" t="inlineStr">
        <is>
          <t>Assets/MachineBrigade/Resources/Data/balance.json: weapons[147]</t>
        </is>
      </c>
      <c r="GE216" t="inlineStr">
        <is>
          <t>{"id":"p26_bastion_tiny_autocannon_40","inherits":"autocannon_40","clipReload":1.52,"splash":0,"damage":30}</t>
        </is>
      </c>
    </row>
    <row r="217">
      <c r="A217" t="inlineStr">
        <is>
          <t>p26_bastion_tiny_kornet_twin</t>
        </is>
      </c>
      <c r="B217" t="inlineStr">
        <is>
          <t>9M133 Kornet</t>
        </is>
      </c>
      <c r="C217" t="inlineStr">
        <is>
          <t>atgm_kornet</t>
        </is>
      </c>
      <c r="D217" t="inlineStr"/>
      <c r="E217" t="inlineStr"/>
      <c r="F217" t="inlineStr">
        <is>
          <t>atgm</t>
        </is>
      </c>
      <c r="G217" t="inlineStr"/>
      <c r="H217" t="n">
        <v>7</v>
      </c>
      <c r="I217" t="inlineStr"/>
      <c r="J217" t="inlineStr"/>
      <c r="K217" t="inlineStr">
        <is>
          <t>ShapedCharge</t>
        </is>
      </c>
      <c r="L217" t="n">
        <v>4</v>
      </c>
      <c r="M217" t="inlineStr">
        <is>
          <t>Missile</t>
        </is>
      </c>
      <c r="N217" t="n">
        <v>1</v>
      </c>
      <c r="O217" t="inlineStr">
        <is>
          <t>RIPPLE</t>
        </is>
      </c>
      <c r="P217" t="n">
        <v>2</v>
      </c>
      <c r="Q217" t="n">
        <v>0.6</v>
      </c>
      <c r="R217" t="n">
        <v>19.4</v>
      </c>
      <c r="S217" t="n">
        <v>0</v>
      </c>
      <c r="T217" t="n">
        <v>0</v>
      </c>
      <c r="U217" t="n">
        <v>0</v>
      </c>
      <c r="V217" t="n">
        <v>0</v>
      </c>
      <c r="W217" t="n">
        <v>230</v>
      </c>
      <c r="X217" t="n">
        <v>0</v>
      </c>
      <c r="Y217" t="n">
        <v>0</v>
      </c>
      <c r="Z217" t="n">
        <v>80</v>
      </c>
      <c r="AA217" t="n">
        <v>50</v>
      </c>
      <c r="AB217" t="n">
        <v>0</v>
      </c>
      <c r="AC217" t="inlineStr">
        <is>
          <t>Ground</t>
        </is>
      </c>
      <c r="AD217" t="inlineStr"/>
      <c r="AE217" t="n">
        <v>0</v>
      </c>
      <c r="AF217" t="inlineStr">
        <is>
          <t>Medium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29</v>
      </c>
      <c r="AO217" t="n">
        <v>0</v>
      </c>
      <c r="AP217" t="inlineStr">
        <is>
          <t>T2</t>
        </is>
      </c>
      <c r="AQ217" t="inlineStr">
        <is>
          <t>kornet_twin</t>
        </is>
      </c>
      <c r="AR217" t="inlineStr"/>
      <c r="AS217" t="inlineStr">
        <is>
          <t>boss</t>
        </is>
      </c>
      <c r="AT217" t="inlineStr">
        <is>
          <t>fortress_bastion;monster</t>
        </is>
      </c>
      <c r="AU217" t="n">
        <v>2</v>
      </c>
      <c r="AV217" t="inlineStr">
        <is>
          <t>fortress_bastion:5;monster:5</t>
        </is>
      </c>
      <c r="AW217" t="n">
        <v>0</v>
      </c>
      <c r="AX217" t="b">
        <v>0</v>
      </c>
      <c r="AY217" t="inlineStr"/>
      <c r="AZ217">
        <f>IF(AND($AX$217,$AW$217&gt;$AA$217/$Z$217),$AW$217,$AA$217/$Z$217)</f>
        <v/>
      </c>
      <c r="BA217" t="n">
        <v>0.625</v>
      </c>
      <c r="BB217" t="n">
        <v>3</v>
      </c>
      <c r="BC217" t="n">
        <v>3</v>
      </c>
      <c r="BD217" t="inlineStr">
        <is>
          <t>atgm</t>
        </is>
      </c>
      <c r="BE217" t="inlineStr">
        <is>
          <t>Wikipedia '9M133 Kornet': 2-3 rpm</t>
        </is>
      </c>
      <c r="BF217" t="inlineStr">
        <is>
          <t>a twin Kornet launcher: the pair 0.6 s apart, every 20 s (3 rpm a rail); 55.6 s was too slow</t>
        </is>
      </c>
      <c r="BG217" t="inlineStr">
        <is>
          <t>doi</t>
        </is>
      </c>
      <c r="BH217" t="n">
        <v>46</v>
      </c>
      <c r="BI217" t="n">
        <v>230</v>
      </c>
      <c r="BJ217" t="n">
        <v>10.51</v>
      </c>
      <c r="BK217" t="n">
        <v>19.4</v>
      </c>
      <c r="BR217" t="n">
        <v>22</v>
      </c>
      <c r="BS217" t="n">
        <v>80</v>
      </c>
      <c r="DD217" t="n">
        <v>19.4</v>
      </c>
      <c r="DE217" t="n">
        <v>230</v>
      </c>
      <c r="DO217" t="n">
        <v>1</v>
      </c>
      <c r="DT217" t="inlineStr">
        <is>
          <t>kornet_twin</t>
        </is>
      </c>
      <c r="GA217" t="inlineStr"/>
      <c r="GD217" t="inlineStr">
        <is>
          <t>Assets/MachineBrigade/Resources/Data/balance.json: weapons[148]</t>
        </is>
      </c>
      <c r="GE217" t="inlineStr">
        <is>
          <t>{"id":"p26_bastion_tiny_kornet_twin","groundMinReach":1,"inherits":"kornet_twin","cooldown":19.4,"weaponFamily":"","damage":230}</t>
        </is>
      </c>
    </row>
    <row r="218">
      <c r="A218" t="inlineStr">
        <is>
          <t>p26_bastion_tiny_zu23</t>
        </is>
      </c>
      <c r="B218" t="inlineStr">
        <is>
          <t>ZU-23-2 23 mm</t>
        </is>
      </c>
      <c r="C218" t="inlineStr">
        <is>
          <t>cal_23</t>
        </is>
      </c>
      <c r="D218" t="inlineStr"/>
      <c r="E218" t="inlineStr"/>
      <c r="F218" t="inlineStr">
        <is>
          <t>autocannon</t>
        </is>
      </c>
      <c r="G218" t="n">
        <v>23</v>
      </c>
      <c r="H218" t="inlineStr"/>
      <c r="I218" t="inlineStr"/>
      <c r="J218" t="inlineStr"/>
      <c r="K218" t="inlineStr">
        <is>
          <t>Fragmentation</t>
        </is>
      </c>
      <c r="L218" t="n">
        <v>1</v>
      </c>
      <c r="M218" t="inlineStr">
        <is>
          <t>Bullet</t>
        </is>
      </c>
      <c r="N218" t="n">
        <v>2</v>
      </c>
      <c r="O218" t="inlineStr">
        <is>
          <t>RIPPLE</t>
        </is>
      </c>
      <c r="P218" t="n">
        <v>1</v>
      </c>
      <c r="Q218" t="n">
        <v>0.1</v>
      </c>
      <c r="R218" t="n">
        <v>0.02</v>
      </c>
      <c r="S218" t="n">
        <v>100</v>
      </c>
      <c r="T218" t="n">
        <v>2.98</v>
      </c>
      <c r="U218" t="n">
        <v>0</v>
      </c>
      <c r="V218" t="n">
        <v>0</v>
      </c>
      <c r="W218" t="n">
        <v>3.5</v>
      </c>
      <c r="X218" t="n">
        <v>0</v>
      </c>
      <c r="Y218" t="n">
        <v>0</v>
      </c>
      <c r="Z218" t="n">
        <v>240</v>
      </c>
      <c r="AA218" t="n">
        <v>38</v>
      </c>
      <c r="AB218" t="n">
        <v>0</v>
      </c>
      <c r="AC218" t="inlineStr">
        <is>
          <t>All</t>
        </is>
      </c>
      <c r="AD218" t="inlineStr"/>
      <c r="AE218" t="n">
        <v>1.6</v>
      </c>
      <c r="AF218" t="inlineStr">
        <is>
          <t>Small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23</v>
      </c>
      <c r="AO218" t="n">
        <v>0</v>
      </c>
      <c r="AP218" t="inlineStr">
        <is>
          <t>T1</t>
        </is>
      </c>
      <c r="AQ218" t="inlineStr">
        <is>
          <t>zu23</t>
        </is>
      </c>
      <c r="AR218" t="inlineStr"/>
      <c r="AS218" t="inlineStr">
        <is>
          <t>boss</t>
        </is>
      </c>
      <c r="AT218" t="inlineStr">
        <is>
          <t>fortress_bastion;monster</t>
        </is>
      </c>
      <c r="AU218" t="n">
        <v>2</v>
      </c>
      <c r="AV218" t="inlineStr">
        <is>
          <t>fortress_bastion:10;fortress_bastion:9;monster:10;monster:9</t>
        </is>
      </c>
      <c r="AW218" t="n">
        <v>0</v>
      </c>
      <c r="AX218" t="b">
        <v>0</v>
      </c>
      <c r="AY218" t="inlineStr">
        <is>
          <t>KHONG_AP_DUNG</t>
        </is>
      </c>
      <c r="AZ218">
        <f>IF(AND($AX$218,$AW$218&gt;$AA$218/$Z$218),$AW$218,$AA$218/$Z$218)</f>
        <v/>
      </c>
      <c r="BA218" t="n">
        <v>0.1583333333333333</v>
      </c>
      <c r="BB218" t="n">
        <v>1000</v>
      </c>
      <c r="BC218" t="n">
        <v>400</v>
      </c>
      <c r="BD218" t="inlineStr">
        <is>
          <t>aa</t>
        </is>
      </c>
      <c r="BE218" t="inlineStr">
        <is>
          <t>Wikipedia 'ZU-23-2': 2 x 800-1,000 rpm</t>
        </is>
      </c>
      <c r="BF218" t="inlineStr">
        <is>
          <t>wave 1 zu23: 50 rounds at 1,500 rpm, changed in 3 s (ZU-23-2 2 x 800-1,000 rpm)</t>
        </is>
      </c>
      <c r="BG218" t="inlineStr">
        <is>
          <t>doi</t>
        </is>
      </c>
      <c r="BH218" t="n">
        <v>1.4</v>
      </c>
      <c r="BI218" t="n">
        <v>3.5</v>
      </c>
      <c r="BJ218" t="n">
        <v>0.04</v>
      </c>
      <c r="BK218" t="n">
        <v>0.02</v>
      </c>
      <c r="BX218" t="n">
        <v>1</v>
      </c>
      <c r="BY218" t="n">
        <v>2</v>
      </c>
      <c r="CF218" t="n">
        <v>50</v>
      </c>
      <c r="CG218" t="n">
        <v>100</v>
      </c>
      <c r="CH218" t="n">
        <v>3.04</v>
      </c>
      <c r="CI218" t="n">
        <v>2.98</v>
      </c>
      <c r="CX218" t="n">
        <v>2.98</v>
      </c>
      <c r="DE218" t="n">
        <v>3.5</v>
      </c>
      <c r="DT218" t="inlineStr">
        <is>
          <t>zu23</t>
        </is>
      </c>
      <c r="GD218" t="inlineStr">
        <is>
          <t>Assets/MachineBrigade/Resources/Data/balance.json: weapons[149]</t>
        </is>
      </c>
      <c r="GE218" t="inlineStr">
        <is>
          <t>{"id":"p26_bastion_tiny_zu23","inherits":"zu23","clipReload":2.98,"damage":3.5}</t>
        </is>
      </c>
    </row>
    <row r="219">
      <c r="A219" t="inlineStr">
        <is>
          <t>p26_behemoth_be120</t>
        </is>
      </c>
      <c r="B219" t="inlineStr">
        <is>
          <t>Rh-120 L/44 120 mm</t>
        </is>
      </c>
      <c r="C219" t="inlineStr">
        <is>
          <t>cal_120_ap</t>
        </is>
      </c>
      <c r="D219" t="inlineStr"/>
      <c r="E219" t="inlineStr"/>
      <c r="F219" t="inlineStr">
        <is>
          <t>tank_gun</t>
        </is>
      </c>
      <c r="G219" t="n">
        <v>120</v>
      </c>
      <c r="H219" t="inlineStr"/>
      <c r="I219" t="inlineStr"/>
      <c r="J219" t="inlineStr"/>
      <c r="K219" t="inlineStr">
        <is>
          <t>Kinetic</t>
        </is>
      </c>
      <c r="L219" t="n">
        <v>5</v>
      </c>
      <c r="M219" t="inlineStr">
        <is>
          <t>Shell</t>
        </is>
      </c>
      <c r="N219" t="n">
        <v>1</v>
      </c>
      <c r="O219" t="inlineStr">
        <is>
          <t>RIPPLE</t>
        </is>
      </c>
      <c r="P219" t="n">
        <v>1</v>
      </c>
      <c r="Q219" t="n">
        <v>0.1</v>
      </c>
      <c r="R219" t="n">
        <v>4</v>
      </c>
      <c r="S219" t="n">
        <v>0</v>
      </c>
      <c r="T219" t="n">
        <v>0</v>
      </c>
      <c r="U219" t="n">
        <v>0</v>
      </c>
      <c r="V219" t="n">
        <v>0</v>
      </c>
      <c r="W219" t="n">
        <v>260</v>
      </c>
      <c r="X219" t="n">
        <v>0</v>
      </c>
      <c r="Y219" t="n">
        <v>0</v>
      </c>
      <c r="Z219" t="n">
        <v>170</v>
      </c>
      <c r="AA219" t="n">
        <v>32</v>
      </c>
      <c r="AB219" t="n">
        <v>0</v>
      </c>
      <c r="AC219" t="inlineStr">
        <is>
          <t>Ground</t>
        </is>
      </c>
      <c r="AD219" t="inlineStr"/>
      <c r="AE219" t="n">
        <v>0.6</v>
      </c>
      <c r="AF219" t="inlineStr">
        <is>
          <t>Medium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120</v>
      </c>
      <c r="AO219" t="n">
        <v>0</v>
      </c>
      <c r="AP219" t="inlineStr">
        <is>
          <t>T3</t>
        </is>
      </c>
      <c r="AQ219" t="inlineStr">
        <is>
          <t>gun_120mm</t>
        </is>
      </c>
      <c r="AR219" t="inlineStr"/>
      <c r="AS219" t="inlineStr"/>
      <c r="AT219" t="inlineStr"/>
      <c r="AU219" t="n">
        <v>0</v>
      </c>
      <c r="AV219" t="inlineStr"/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0.1882352941176471</v>
      </c>
      <c r="BB219" t="n">
        <v>8</v>
      </c>
      <c r="BC219" t="n">
        <v>6</v>
      </c>
      <c r="BD219" t="inlineStr">
        <is>
          <t>gun</t>
        </is>
      </c>
      <c r="BE219" t="inlineStr">
        <is>
          <t>the sheet's 'Ngoài đời': Rh-120 6-8 rpm with a loader (Wikipedia 'Rheinmetall 120 mm gun')</t>
        </is>
      </c>
      <c r="BG219" t="inlineStr">
        <is>
          <t>giong</t>
        </is>
      </c>
      <c r="DD219" t="n">
        <v>4</v>
      </c>
      <c r="DE219" t="n">
        <v>260</v>
      </c>
      <c r="DT219" t="inlineStr">
        <is>
          <t>gun_120mm</t>
        </is>
      </c>
      <c r="EB219" t="n">
        <v>5</v>
      </c>
      <c r="EQ219" t="inlineStr">
        <is>
          <t>Rh-120 L/44 120 mm</t>
        </is>
      </c>
      <c r="EY219" t="n">
        <v>0</v>
      </c>
      <c r="GA219" t="inlineStr"/>
      <c r="GD219" t="inlineStr">
        <is>
          <t>Assets/MachineBrigade/Resources/Data/balance.json: weapons[152]</t>
        </is>
      </c>
      <c r="GE219" t="inlineStr">
        <is>
          <t>{"id":"p26_behemoth_be120","inherits":"gun_120mm","weaponFamily":"","real":"Rh-120 L/44 120 mm","damage":260,"cooldown":4,"pen":5,"splash":0}</t>
        </is>
      </c>
    </row>
    <row r="220">
      <c r="A220" t="inlineStr">
        <is>
          <t>p26_behemoth_be152</t>
        </is>
      </c>
      <c r="B220" t="inlineStr">
        <is>
          <t>2A65 152 mm</t>
        </is>
      </c>
      <c r="C220" t="inlineStr">
        <is>
          <t>cal_152_155</t>
        </is>
      </c>
      <c r="D220" t="inlineStr"/>
      <c r="E220" t="inlineStr"/>
      <c r="F220" t="inlineStr">
        <is>
          <t>howitzer</t>
        </is>
      </c>
      <c r="G220" t="n">
        <v>152</v>
      </c>
      <c r="H220" t="inlineStr"/>
      <c r="I220" t="inlineStr"/>
      <c r="J220" t="inlineStr"/>
      <c r="K220" t="inlineStr">
        <is>
          <t>HighExplosive</t>
        </is>
      </c>
      <c r="L220" t="n">
        <v>3</v>
      </c>
      <c r="M220" t="inlineStr">
        <is>
          <t>Shell</t>
        </is>
      </c>
      <c r="N220" t="n">
        <v>1</v>
      </c>
      <c r="O220" t="inlineStr">
        <is>
          <t>RIPPLE</t>
        </is>
      </c>
      <c r="P220" t="n">
        <v>1</v>
      </c>
      <c r="Q220" t="n">
        <v>0.05</v>
      </c>
      <c r="R220" t="n">
        <v>2</v>
      </c>
      <c r="S220" t="n">
        <v>0</v>
      </c>
      <c r="T220" t="n">
        <v>0</v>
      </c>
      <c r="U220" t="n">
        <v>0</v>
      </c>
      <c r="V220" t="n">
        <v>0</v>
      </c>
      <c r="W220" t="n">
        <v>590</v>
      </c>
      <c r="X220" t="n">
        <v>8.5</v>
      </c>
      <c r="Y220" t="n">
        <v>17</v>
      </c>
      <c r="Z220" t="n">
        <v>150</v>
      </c>
      <c r="AA220" t="n">
        <v>40</v>
      </c>
      <c r="AB220" t="n">
        <v>0</v>
      </c>
      <c r="AC220" t="inlineStr">
        <is>
          <t>Ground</t>
        </is>
      </c>
      <c r="AD220" t="inlineStr"/>
      <c r="AE220" t="n">
        <v>0.8</v>
      </c>
      <c r="AF220" t="inlineStr">
        <is>
          <t>Huge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152</v>
      </c>
      <c r="AO220" t="n">
        <v>0</v>
      </c>
      <c r="AP220" t="inlineStr">
        <is>
          <t>T3</t>
        </is>
      </c>
      <c r="AQ220" t="inlineStr">
        <is>
          <t>gun_behemoth</t>
        </is>
      </c>
      <c r="AR220" t="inlineStr"/>
      <c r="AS220" t="inlineStr"/>
      <c r="AT220" t="inlineStr"/>
      <c r="AU220" t="n">
        <v>0</v>
      </c>
      <c r="AV220" t="inlineStr"/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0.2666666666666667</v>
      </c>
      <c r="BB220" t="n">
        <v>8</v>
      </c>
      <c r="BC220" t="n">
        <v>6</v>
      </c>
      <c r="BD220" t="inlineStr">
        <is>
          <t>gun</t>
        </is>
      </c>
      <c r="BE220" t="inlineStr">
        <is>
          <t>Wikipedia '2A65 Msta-B': 7-8 rpm</t>
        </is>
      </c>
      <c r="BG220" t="inlineStr">
        <is>
          <t>giong</t>
        </is>
      </c>
      <c r="CR220" t="n">
        <v>1</v>
      </c>
      <c r="DD220" t="n">
        <v>2</v>
      </c>
      <c r="DE220" t="n">
        <v>590</v>
      </c>
      <c r="DG220" t="n">
        <v>17</v>
      </c>
      <c r="DT220" t="inlineStr">
        <is>
          <t>gun_behemoth</t>
        </is>
      </c>
      <c r="EQ220" t="inlineStr">
        <is>
          <t>2A65 152 mm</t>
        </is>
      </c>
      <c r="EY220" t="n">
        <v>8.5</v>
      </c>
      <c r="GD220" t="inlineStr">
        <is>
          <t>Assets/MachineBrigade/Resources/Data/balance.json: weapons[150]</t>
        </is>
      </c>
      <c r="GE220" t="inlineStr">
        <is>
          <t>{"id":"p26_behemoth_be152","inherits":"gun_behemoth","real":"2A65 152 mm","damage":590,"cooldown":2,"burst":1,"splash":8.5,"edge":17}</t>
        </is>
      </c>
    </row>
    <row r="221">
      <c r="A221" t="inlineStr">
        <is>
          <t>p26_behemoth_be_rockets</t>
        </is>
      </c>
      <c r="B221" t="inlineStr">
        <is>
          <t>BM-21 Grad 122 mm (dorsal)</t>
        </is>
      </c>
      <c r="C221" t="inlineStr">
        <is>
          <t>rkt_grad_122</t>
        </is>
      </c>
      <c r="D221" t="inlineStr"/>
      <c r="E221" t="inlineStr"/>
      <c r="F221" t="inlineStr">
        <is>
          <t>rocket</t>
        </is>
      </c>
      <c r="G221" t="n">
        <v>122</v>
      </c>
      <c r="H221" t="inlineStr"/>
      <c r="I221" t="inlineStr"/>
      <c r="J221" t="inlineStr"/>
      <c r="K221" t="inlineStr">
        <is>
          <t>HighExplosive</t>
        </is>
      </c>
      <c r="L221" t="n">
        <v>2</v>
      </c>
      <c r="M221" t="inlineStr">
        <is>
          <t>Rocket</t>
        </is>
      </c>
      <c r="N221" t="n">
        <v>1</v>
      </c>
      <c r="O221" t="inlineStr">
        <is>
          <t>RIPPLE</t>
        </is>
      </c>
      <c r="P221" t="n">
        <v>8</v>
      </c>
      <c r="Q221" t="n">
        <v>0.3</v>
      </c>
      <c r="R221" t="n">
        <v>5.9</v>
      </c>
      <c r="S221" t="n">
        <v>0</v>
      </c>
      <c r="T221" t="n">
        <v>0</v>
      </c>
      <c r="U221" t="n">
        <v>0</v>
      </c>
      <c r="V221" t="n">
        <v>0</v>
      </c>
      <c r="W221" t="n">
        <v>160</v>
      </c>
      <c r="X221" t="n">
        <v>5</v>
      </c>
      <c r="Y221" t="n">
        <v>10</v>
      </c>
      <c r="Z221" t="n">
        <v>80</v>
      </c>
      <c r="AA221" t="n">
        <v>45</v>
      </c>
      <c r="AB221" t="n">
        <v>0</v>
      </c>
      <c r="AC221" t="inlineStr">
        <is>
          <t>Ground</t>
        </is>
      </c>
      <c r="AD221" t="inlineStr"/>
      <c r="AE221" t="n">
        <v>5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0</v>
      </c>
      <c r="AN221" t="n">
        <v>122</v>
      </c>
      <c r="AO221" t="n">
        <v>0</v>
      </c>
      <c r="AP221" t="inlineStr">
        <is>
          <t>T3</t>
        </is>
      </c>
      <c r="AQ221" t="inlineStr">
        <is>
          <t>boss_rockets</t>
        </is>
      </c>
      <c r="AR221" t="inlineStr"/>
      <c r="AS221" t="inlineStr"/>
      <c r="AT221" t="inlineStr"/>
      <c r="AU221" t="n">
        <v>0</v>
      </c>
      <c r="AV221" t="inlineStr"/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0.5625</v>
      </c>
      <c r="BB221" t="n">
        <v>120</v>
      </c>
      <c r="BC221" t="inlineStr"/>
      <c r="BD221" t="inlineStr">
        <is>
          <t>rocket</t>
        </is>
      </c>
      <c r="BE221" t="inlineStr">
        <is>
          <t>Wikipedia 'BM-21 Grad': 40 rockets in 20 s</t>
        </is>
      </c>
      <c r="BG221" t="inlineStr">
        <is>
          <t>doi</t>
        </is>
      </c>
      <c r="BR221" t="n">
        <v>45</v>
      </c>
      <c r="BS221" t="n">
        <v>80</v>
      </c>
      <c r="CR221" t="n">
        <v>8</v>
      </c>
      <c r="CS221" t="n">
        <v>0.3</v>
      </c>
      <c r="DD221" t="n">
        <v>5.9</v>
      </c>
      <c r="DE221" t="n">
        <v>160</v>
      </c>
      <c r="DF221" t="inlineStr">
        <is>
          <t>HighExplosive</t>
        </is>
      </c>
      <c r="DG221" t="n">
        <v>10</v>
      </c>
      <c r="DL221" t="inlineStr">
        <is>
          <t>Ballistic</t>
        </is>
      </c>
      <c r="DO221" t="n">
        <v>0</v>
      </c>
      <c r="DT221" t="inlineStr">
        <is>
          <t>boss_rockets</t>
        </is>
      </c>
      <c r="EK221" t="n">
        <v>80</v>
      </c>
      <c r="EQ221" t="inlineStr">
        <is>
          <t>BM-21 Grad 122 mm (dorsal)</t>
        </is>
      </c>
      <c r="EY221" t="n">
        <v>5</v>
      </c>
      <c r="GD221" t="inlineStr">
        <is>
          <t>Assets/MachineBrigade/Resources/Data/balance.json: weapons[151]</t>
        </is>
      </c>
      <c r="GE221" t="inlineStr">
        <is>
          <t>{"id":"p26_behemoth_be_rockets","groundMinReach":0,"flightProfile":"Ballistic","inherits":"boss_rockets","damageType":"HighExplosive","projectileSpeed":80,"real":"BM-21 Grad 122 mm (dorsal)","damage":160,"burst":8,"burstInterval":0.3,"cooldown":5.9,"splash":5,"edge":10}</t>
        </is>
      </c>
    </row>
    <row r="222">
      <c r="A222" t="inlineStr">
        <is>
          <t>p26_behemoth_close_boss_flak</t>
        </is>
      </c>
      <c r="B222" t="inlineStr">
        <is>
          <t>Oerlikon 35 mm (twin)</t>
        </is>
      </c>
      <c r="C222" t="inlineStr">
        <is>
          <t>cal_35</t>
        </is>
      </c>
      <c r="D222" t="inlineStr"/>
      <c r="E222" t="inlineStr"/>
      <c r="F222" t="inlineStr">
        <is>
          <t>autocannon</t>
        </is>
      </c>
      <c r="G222" t="n">
        <v>35</v>
      </c>
      <c r="H222" t="inlineStr"/>
      <c r="I222" t="inlineStr"/>
      <c r="J222" t="inlineStr"/>
      <c r="K222" t="inlineStr">
        <is>
          <t>Fragmentation</t>
        </is>
      </c>
      <c r="L222" t="n">
        <v>2</v>
      </c>
      <c r="M222" t="inlineStr">
        <is>
          <t>Bullet</t>
        </is>
      </c>
      <c r="N222" t="n">
        <v>1</v>
      </c>
      <c r="O222" t="inlineStr">
        <is>
          <t>RIPPLE</t>
        </is>
      </c>
      <c r="P222" t="n">
        <v>1</v>
      </c>
      <c r="Q222" t="n">
        <v>0.1</v>
      </c>
      <c r="R222" t="n">
        <v>0.05</v>
      </c>
      <c r="S222" t="n">
        <v>41</v>
      </c>
      <c r="T222" t="n">
        <v>3.38</v>
      </c>
      <c r="U222" t="n">
        <v>0</v>
      </c>
      <c r="V222" t="n">
        <v>0</v>
      </c>
      <c r="W222" t="n">
        <v>25</v>
      </c>
      <c r="X222" t="n">
        <v>2.5</v>
      </c>
      <c r="Y222" t="n">
        <v>0</v>
      </c>
      <c r="Z222" t="n">
        <v>260</v>
      </c>
      <c r="AA222" t="n">
        <v>40</v>
      </c>
      <c r="AB222" t="n">
        <v>0</v>
      </c>
      <c r="AC222" t="inlineStr">
        <is>
          <t>All</t>
        </is>
      </c>
      <c r="AD222" t="inlineStr"/>
      <c r="AE222" t="n">
        <v>1.5</v>
      </c>
      <c r="AF222" t="inlineStr">
        <is>
          <t>Small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35</v>
      </c>
      <c r="AO222" t="n">
        <v>0</v>
      </c>
      <c r="AP222" t="inlineStr">
        <is>
          <t>T1</t>
        </is>
      </c>
      <c r="AQ222" t="inlineStr">
        <is>
          <t>boss_flak</t>
        </is>
      </c>
      <c r="AR222" t="inlineStr"/>
      <c r="AS222" t="inlineStr">
        <is>
          <t>boss</t>
        </is>
      </c>
      <c r="AT222" t="inlineStr">
        <is>
          <t>behemoth;behemoth_mk2</t>
        </is>
      </c>
      <c r="AU222" t="n">
        <v>2</v>
      </c>
      <c r="AV222" t="inlineStr">
        <is>
          <t>behemoth:2;behemoth:3;behemoth_mk2:1;behemoth_mk2:2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0.1538461538461539</v>
      </c>
      <c r="BB222" t="n">
        <v>550</v>
      </c>
      <c r="BC222" t="n">
        <v>300</v>
      </c>
      <c r="BD222" t="inlineStr">
        <is>
          <t>aa</t>
        </is>
      </c>
      <c r="BE222" t="inlineStr">
        <is>
          <t>Wikipedia 'Oerlikon GDF': 550 rpm a gun (the twin: 1,100)</t>
        </is>
      </c>
      <c r="BF222" t="inlineStr">
        <is>
          <t>wave 1 boss_flak: 41 rounds at 1,200 rpm, changed in 3.38 s (twin Oerlikon GDF 2 x 550 rpm)</t>
        </is>
      </c>
      <c r="BG222" t="inlineStr">
        <is>
          <t>doi</t>
        </is>
      </c>
      <c r="BH222" t="n">
        <v>16</v>
      </c>
      <c r="BI222" t="n">
        <v>25</v>
      </c>
      <c r="CX222" t="n">
        <v>3.38</v>
      </c>
      <c r="DE222" t="n">
        <v>25</v>
      </c>
      <c r="DT222" t="inlineStr">
        <is>
          <t>boss_flak</t>
        </is>
      </c>
      <c r="GA222" t="inlineStr"/>
      <c r="GD222" t="inlineStr">
        <is>
          <t>Assets/MachineBrigade/Resources/Data/balance.json: weapons[156]</t>
        </is>
      </c>
      <c r="GE222" t="inlineStr">
        <is>
          <t>{"id":"p26_behemoth_close_boss_flak","inherits":"boss_flak","clipReload":3.38,"weaponFamily":"","damage":25}</t>
        </is>
      </c>
    </row>
    <row r="223">
      <c r="A223" t="inlineStr">
        <is>
          <t>p26_behemoth_direct_be120</t>
        </is>
      </c>
      <c r="B223" t="inlineStr">
        <is>
          <t>Rh-120 L/44 120 mm (twin)</t>
        </is>
      </c>
      <c r="C223" t="inlineStr">
        <is>
          <t>cal_120_ap</t>
        </is>
      </c>
      <c r="D223" t="inlineStr"/>
      <c r="E223" t="inlineStr"/>
      <c r="F223" t="inlineStr">
        <is>
          <t>tank_gun</t>
        </is>
      </c>
      <c r="G223" t="n">
        <v>120</v>
      </c>
      <c r="H223" t="inlineStr"/>
      <c r="I223" t="inlineStr"/>
      <c r="J223" t="inlineStr"/>
      <c r="K223" t="inlineStr">
        <is>
          <t>Kinetic</t>
        </is>
      </c>
      <c r="L223" t="n">
        <v>5</v>
      </c>
      <c r="M223" t="inlineStr">
        <is>
          <t>Shell</t>
        </is>
      </c>
      <c r="N223" t="n">
        <v>2</v>
      </c>
      <c r="O223" t="inlineStr">
        <is>
          <t>SIMULTANEOUS</t>
        </is>
      </c>
      <c r="P223" t="n">
        <v>1</v>
      </c>
      <c r="Q223" t="n">
        <v>0.1</v>
      </c>
      <c r="R223" t="n">
        <v>7.5</v>
      </c>
      <c r="S223" t="n">
        <v>0</v>
      </c>
      <c r="T223" t="n">
        <v>0</v>
      </c>
      <c r="U223" t="n">
        <v>0</v>
      </c>
      <c r="V223" t="n">
        <v>0</v>
      </c>
      <c r="W223" t="n">
        <v>260</v>
      </c>
      <c r="X223" t="n">
        <v>0</v>
      </c>
      <c r="Y223" t="n">
        <v>0</v>
      </c>
      <c r="Z223" t="n">
        <v>170</v>
      </c>
      <c r="AA223" t="n">
        <v>32</v>
      </c>
      <c r="AB223" t="n">
        <v>0</v>
      </c>
      <c r="AC223" t="inlineStr">
        <is>
          <t>Ground</t>
        </is>
      </c>
      <c r="AD223" t="inlineStr"/>
      <c r="AE223" t="n">
        <v>0.6</v>
      </c>
      <c r="AF223" t="inlineStr">
        <is>
          <t>Medium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120</v>
      </c>
      <c r="AO223" t="n">
        <v>0</v>
      </c>
      <c r="AP223" t="inlineStr">
        <is>
          <t>T3</t>
        </is>
      </c>
      <c r="AQ223" t="inlineStr">
        <is>
          <t>p26_behemoth_be120</t>
        </is>
      </c>
      <c r="AR223" t="inlineStr"/>
      <c r="AS223" t="inlineStr">
        <is>
          <t>boss</t>
        </is>
      </c>
      <c r="AT223" t="inlineStr">
        <is>
          <t>behemoth;behemoth_mk0</t>
        </is>
      </c>
      <c r="AU223" t="n">
        <v>2</v>
      </c>
      <c r="AV223" t="inlineStr">
        <is>
          <t>behemoth:7;behemoth:8;behemoth_mk0:1;behemoth_mk0:2</t>
        </is>
      </c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0.1882352941176471</v>
      </c>
      <c r="BB223" t="n">
        <v>8</v>
      </c>
      <c r="BC223" t="n">
        <v>6</v>
      </c>
      <c r="BD223" t="inlineStr">
        <is>
          <t>gun</t>
        </is>
      </c>
      <c r="BE223" t="inlineStr">
        <is>
          <t>the sheet's 'Ngoài đời': Rh-120 6-8 rpm with a loader (Wikipedia 'Rheinmetall 120 mm gun')</t>
        </is>
      </c>
      <c r="BF223" t="inlineStr">
        <is>
          <t>real Rh-120 with a loader, 8 rpm (7.5 s); wave 1's 5.1 s is too fast after the 30 % rule; made up: a twin Rh-120 (wave 1's gun_120_twin)</t>
        </is>
      </c>
      <c r="BG223" t="inlineStr">
        <is>
          <t>doi</t>
        </is>
      </c>
      <c r="BH223" t="n">
        <v>255</v>
      </c>
      <c r="BI223" t="n">
        <v>260</v>
      </c>
      <c r="BJ223" t="n">
        <v>5</v>
      </c>
      <c r="BK223" t="n">
        <v>7.5</v>
      </c>
      <c r="BX223" t="n">
        <v>1</v>
      </c>
      <c r="BY223" t="n">
        <v>2</v>
      </c>
      <c r="BZ223" t="inlineStr">
        <is>
          <t>RIPPLE</t>
        </is>
      </c>
      <c r="CA223" t="inlineStr">
        <is>
          <t>SIMULTANEOUS</t>
        </is>
      </c>
      <c r="CO223" t="n">
        <v>2</v>
      </c>
      <c r="DD223" t="n">
        <v>7.5</v>
      </c>
      <c r="DE223" t="n">
        <v>260</v>
      </c>
      <c r="DO223" t="n">
        <v>21</v>
      </c>
      <c r="DT223" t="inlineStr">
        <is>
          <t>p26_behemoth_be120</t>
        </is>
      </c>
      <c r="EQ223" t="inlineStr">
        <is>
          <t>Rh-120 L/44 120 mm (twin)</t>
        </is>
      </c>
      <c r="EW223" t="inlineStr">
        <is>
          <t>SIMULTANEOUS</t>
        </is>
      </c>
      <c r="GD223" t="inlineStr">
        <is>
          <t>Assets/MachineBrigade/Resources/Data/balance.json: weapons[155]</t>
        </is>
      </c>
      <c r="GE223" t="inlineStr">
        <is>
          <t>{"id":"p26_behemoth_direct_be120","groundMinReach":21,"inherits":"p26_behemoth_be120","real":"Rh-120 L/44 120 mm (twin)","salvoMode":"SIMULTANEOUS","barrels":2,"cooldown":7.5,"damage":260}</t>
        </is>
      </c>
    </row>
    <row r="224">
      <c r="A224" t="inlineStr">
        <is>
          <t>p26_behemoth_main_be152</t>
        </is>
      </c>
      <c r="B224" t="inlineStr">
        <is>
          <t>2A65 152 mm</t>
        </is>
      </c>
      <c r="C224" t="inlineStr">
        <is>
          <t>cal_152_155</t>
        </is>
      </c>
      <c r="D224" t="inlineStr"/>
      <c r="E224" t="inlineStr"/>
      <c r="F224" t="inlineStr">
        <is>
          <t>howitzer</t>
        </is>
      </c>
      <c r="G224" t="n">
        <v>152</v>
      </c>
      <c r="H224" t="inlineStr"/>
      <c r="I224" t="inlineStr"/>
      <c r="J224" t="inlineStr"/>
      <c r="K224" t="inlineStr">
        <is>
          <t>HighExplosive</t>
        </is>
      </c>
      <c r="L224" t="n">
        <v>3</v>
      </c>
      <c r="M224" t="inlineStr">
        <is>
          <t>Shell</t>
        </is>
      </c>
      <c r="N224" t="n">
        <v>2</v>
      </c>
      <c r="O224" t="inlineStr">
        <is>
          <t>SIMULTANEOUS</t>
        </is>
      </c>
      <c r="P224" t="n">
        <v>1</v>
      </c>
      <c r="Q224" t="n">
        <v>0.05</v>
      </c>
      <c r="R224" t="n">
        <v>8.98</v>
      </c>
      <c r="S224" t="n">
        <v>0</v>
      </c>
      <c r="T224" t="n">
        <v>0</v>
      </c>
      <c r="U224" t="n">
        <v>0</v>
      </c>
      <c r="V224" t="n">
        <v>0</v>
      </c>
      <c r="W224" t="n">
        <v>600</v>
      </c>
      <c r="X224" t="n">
        <v>7</v>
      </c>
      <c r="Y224" t="n">
        <v>14</v>
      </c>
      <c r="Z224" t="n">
        <v>150</v>
      </c>
      <c r="AA224" t="n">
        <v>40</v>
      </c>
      <c r="AB224" t="n">
        <v>0</v>
      </c>
      <c r="AC224" t="inlineStr">
        <is>
          <t>Ground</t>
        </is>
      </c>
      <c r="AD224" t="inlineStr"/>
      <c r="AE224" t="n">
        <v>0.8</v>
      </c>
      <c r="AF224" t="inlineStr">
        <is>
          <t>Huge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152</v>
      </c>
      <c r="AO224" t="n">
        <v>0</v>
      </c>
      <c r="AP224" t="inlineStr">
        <is>
          <t>T3</t>
        </is>
      </c>
      <c r="AQ224" t="inlineStr">
        <is>
          <t>p26_behemoth_be152</t>
        </is>
      </c>
      <c r="AR224" t="inlineStr"/>
      <c r="AS224" t="inlineStr">
        <is>
          <t>boss</t>
        </is>
      </c>
      <c r="AT224" t="inlineStr">
        <is>
          <t>behemoth;behemoth_mk0;behemoth_mk2</t>
        </is>
      </c>
      <c r="AU224" t="n">
        <v>3</v>
      </c>
      <c r="AV224" t="inlineStr">
        <is>
          <t>behemoth:0;behemoth_mk0:0;behemoth_mk2:0</t>
        </is>
      </c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0.2666666666666667</v>
      </c>
      <c r="BB224" t="n">
        <v>8</v>
      </c>
      <c r="BC224" t="n">
        <v>6</v>
      </c>
      <c r="BD224" t="inlineStr">
        <is>
          <t>gun</t>
        </is>
      </c>
      <c r="BE224" t="inlineStr">
        <is>
          <t>Wikipedia '2A65 Msta-B': 7-8 rpm</t>
        </is>
      </c>
      <c r="BF224" t="inlineStr">
        <is>
          <t>wave 1 gun_behemoth: the twin 2A65, 2 rounds every 8.98 s (real 7-8 rpm a gun, Msta-B): passes (b)</t>
        </is>
      </c>
      <c r="BG224" t="inlineStr">
        <is>
          <t>doi</t>
        </is>
      </c>
      <c r="BH224" t="n">
        <v>650</v>
      </c>
      <c r="BI224" t="n">
        <v>600</v>
      </c>
      <c r="BJ224" t="n">
        <v>2</v>
      </c>
      <c r="BK224" t="n">
        <v>8.98</v>
      </c>
      <c r="BN224" t="n">
        <v>8.5</v>
      </c>
      <c r="BO224" t="n">
        <v>7</v>
      </c>
      <c r="BP224" t="n">
        <v>17</v>
      </c>
      <c r="BQ224" t="n">
        <v>14</v>
      </c>
      <c r="BX224" t="n">
        <v>1</v>
      </c>
      <c r="BY224" t="n">
        <v>2</v>
      </c>
      <c r="BZ224" t="inlineStr">
        <is>
          <t>RIPPLE</t>
        </is>
      </c>
      <c r="CA224" t="inlineStr">
        <is>
          <t>SIMULTANEOUS</t>
        </is>
      </c>
      <c r="CO224" t="n">
        <v>2</v>
      </c>
      <c r="DD224" t="n">
        <v>8.98</v>
      </c>
      <c r="DE224" t="n">
        <v>600</v>
      </c>
      <c r="DG224" t="n">
        <v>14</v>
      </c>
      <c r="DO224" t="n">
        <v>32</v>
      </c>
      <c r="DT224" t="inlineStr">
        <is>
          <t>p26_behemoth_be152</t>
        </is>
      </c>
      <c r="EW224" t="inlineStr">
        <is>
          <t>SIMULTANEOUS</t>
        </is>
      </c>
      <c r="EY224" t="n">
        <v>7</v>
      </c>
      <c r="GD224" t="inlineStr">
        <is>
          <t>Assets/MachineBrigade/Resources/Data/balance.json: weapons[153]</t>
        </is>
      </c>
      <c r="GE224" t="inlineStr">
        <is>
          <t>{"id":"p26_behemoth_main_be152","groundMinReach":32,"inherits":"p26_behemoth_be152","salvoMode":"SIMULTANEOUS","barrels":2,"cooldown":8.98,"edge":14,"splash":7,"damage":600}</t>
        </is>
      </c>
    </row>
    <row r="225">
      <c r="A225" t="inlineStr">
        <is>
          <t>p26_behemoth_sec_be_rockets</t>
        </is>
      </c>
      <c r="B225" t="inlineStr">
        <is>
          <t>BM-21 Grad 122 mm (dorsal)</t>
        </is>
      </c>
      <c r="C225" t="inlineStr">
        <is>
          <t>rkt_grad_122</t>
        </is>
      </c>
      <c r="D225" t="inlineStr"/>
      <c r="E225" t="inlineStr"/>
      <c r="F225" t="inlineStr">
        <is>
          <t>rocket</t>
        </is>
      </c>
      <c r="G225" t="n">
        <v>122</v>
      </c>
      <c r="H225" t="inlineStr"/>
      <c r="I225" t="inlineStr"/>
      <c r="J225" t="inlineStr"/>
      <c r="K225" t="inlineStr">
        <is>
          <t>HighExplosive</t>
        </is>
      </c>
      <c r="L225" t="n">
        <v>2</v>
      </c>
      <c r="M225" t="inlineStr">
        <is>
          <t>Rocket</t>
        </is>
      </c>
      <c r="N225" t="n">
        <v>1</v>
      </c>
      <c r="O225" t="inlineStr">
        <is>
          <t>RIPPLE</t>
        </is>
      </c>
      <c r="P225" t="n">
        <v>40</v>
      </c>
      <c r="Q225" t="n">
        <v>0.5</v>
      </c>
      <c r="R225" t="n">
        <v>2.44</v>
      </c>
      <c r="S225" t="n">
        <v>0</v>
      </c>
      <c r="T225" t="n">
        <v>0</v>
      </c>
      <c r="U225" t="n">
        <v>0</v>
      </c>
      <c r="V225" t="n">
        <v>0</v>
      </c>
      <c r="W225" t="n">
        <v>200</v>
      </c>
      <c r="X225" t="n">
        <v>4.5</v>
      </c>
      <c r="Y225" t="n">
        <v>9</v>
      </c>
      <c r="Z225" t="n">
        <v>80</v>
      </c>
      <c r="AA225" t="n">
        <v>45</v>
      </c>
      <c r="AB225" t="n">
        <v>0</v>
      </c>
      <c r="AC225" t="inlineStr">
        <is>
          <t>Ground</t>
        </is>
      </c>
      <c r="AD225" t="inlineStr"/>
      <c r="AE225" t="n">
        <v>5</v>
      </c>
      <c r="AF225" t="inlineStr">
        <is>
          <t>Medium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n">
        <v>122</v>
      </c>
      <c r="AO225" t="n">
        <v>0</v>
      </c>
      <c r="AP225" t="inlineStr">
        <is>
          <t>T3</t>
        </is>
      </c>
      <c r="AQ225" t="inlineStr">
        <is>
          <t>p26_behemoth_be_rockets</t>
        </is>
      </c>
      <c r="AR225" t="inlineStr"/>
      <c r="AS225" t="inlineStr">
        <is>
          <t>boss</t>
        </is>
      </c>
      <c r="AT225" t="inlineStr">
        <is>
          <t>behemoth;behemoth_mk0</t>
        </is>
      </c>
      <c r="AU225" t="n">
        <v>2</v>
      </c>
      <c r="AV225" t="inlineStr">
        <is>
          <t>behemoth:9;behemoth_mk0:3</t>
        </is>
      </c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0.5625</v>
      </c>
      <c r="BB225" t="n">
        <v>120</v>
      </c>
      <c r="BC225" t="inlineStr"/>
      <c r="BD225" t="inlineStr">
        <is>
          <t>rocket</t>
        </is>
      </c>
      <c r="BE225" t="inlineStr">
        <is>
          <t>Wikipedia 'BM-21 Grad': 40 rockets in 20 s</t>
        </is>
      </c>
      <c r="BF225" t="inlineStr">
        <is>
          <t>wave 1 boss_rockets: rockets 0.5 s apart (BM-21: 40 in 20 s), 2.44 s after the ripple; each pod keeps its rockets; made up: a full BM-21 pack of 40 tubes (8 before)</t>
        </is>
      </c>
      <c r="BG225" t="inlineStr">
        <is>
          <t>doi</t>
        </is>
      </c>
      <c r="BH225" t="n">
        <v>195</v>
      </c>
      <c r="BI225" t="n">
        <v>200</v>
      </c>
      <c r="BJ225" t="n">
        <v>3</v>
      </c>
      <c r="BK225" t="n">
        <v>2.44</v>
      </c>
      <c r="BN225" t="n">
        <v>5</v>
      </c>
      <c r="BO225" t="n">
        <v>4.5</v>
      </c>
      <c r="BP225" t="n">
        <v>10</v>
      </c>
      <c r="BQ225" t="n">
        <v>9</v>
      </c>
      <c r="BR225" t="n">
        <v>45</v>
      </c>
      <c r="BS225" t="n">
        <v>80</v>
      </c>
      <c r="BT225" t="n">
        <v>8</v>
      </c>
      <c r="BU225" t="n">
        <v>40</v>
      </c>
      <c r="BV225" t="n">
        <v>0.3</v>
      </c>
      <c r="BW225" t="n">
        <v>0.5</v>
      </c>
      <c r="CR225" t="n">
        <v>40</v>
      </c>
      <c r="CS225" t="n">
        <v>0.5</v>
      </c>
      <c r="DD225" t="n">
        <v>2.44</v>
      </c>
      <c r="DE225" t="n">
        <v>200</v>
      </c>
      <c r="DG225" t="n">
        <v>9</v>
      </c>
      <c r="DO225" t="n">
        <v>23</v>
      </c>
      <c r="DT225" t="inlineStr">
        <is>
          <t>p26_behemoth_be_rockets</t>
        </is>
      </c>
      <c r="EY225" t="n">
        <v>4.5</v>
      </c>
      <c r="GD225" t="inlineStr">
        <is>
          <t>Assets/MachineBrigade/Resources/Data/balance.json: weapons[154]</t>
        </is>
      </c>
      <c r="GE225" t="inlineStr">
        <is>
          <t>{"id":"p26_behemoth_sec_be_rockets","groundMinReach":23,"inherits":"p26_behemoth_be_rockets","burstInterval":0.5,"burst":40,"edge":9,"splash":4.5,"cooldown":2.44,"damage":200}</t>
        </is>
      </c>
    </row>
    <row r="226">
      <c r="A226" t="inlineStr">
        <is>
          <t>p26_behemoth_tiny_be120</t>
        </is>
      </c>
      <c r="B226" t="inlineStr">
        <is>
          <t>Rh-120 L/44 120 mm</t>
        </is>
      </c>
      <c r="C226" t="inlineStr">
        <is>
          <t>cal_120_ap</t>
        </is>
      </c>
      <c r="D226" t="inlineStr"/>
      <c r="E226" t="inlineStr"/>
      <c r="F226" t="inlineStr">
        <is>
          <t>tank_gun</t>
        </is>
      </c>
      <c r="G226" t="n">
        <v>120</v>
      </c>
      <c r="H226" t="inlineStr"/>
      <c r="I226" t="inlineStr"/>
      <c r="J226" t="inlineStr"/>
      <c r="K226" t="inlineStr">
        <is>
          <t>Kinetic</t>
        </is>
      </c>
      <c r="L226" t="n">
        <v>5</v>
      </c>
      <c r="M226" t="inlineStr">
        <is>
          <t>Shell</t>
        </is>
      </c>
      <c r="N226" t="n">
        <v>1</v>
      </c>
      <c r="O226" t="inlineStr">
        <is>
          <t>RIPPLE</t>
        </is>
      </c>
      <c r="P226" t="n">
        <v>1</v>
      </c>
      <c r="Q226" t="n">
        <v>0.1</v>
      </c>
      <c r="R226" t="n">
        <v>7.5</v>
      </c>
      <c r="S226" t="n">
        <v>0</v>
      </c>
      <c r="T226" t="n">
        <v>0</v>
      </c>
      <c r="U226" t="n">
        <v>0</v>
      </c>
      <c r="V226" t="n">
        <v>0</v>
      </c>
      <c r="W226" t="n">
        <v>260</v>
      </c>
      <c r="X226" t="n">
        <v>0</v>
      </c>
      <c r="Y226" t="n">
        <v>0</v>
      </c>
      <c r="Z226" t="n">
        <v>170</v>
      </c>
      <c r="AA226" t="n">
        <v>32</v>
      </c>
      <c r="AB226" t="n">
        <v>0</v>
      </c>
      <c r="AC226" t="inlineStr">
        <is>
          <t>Ground</t>
        </is>
      </c>
      <c r="AD226" t="inlineStr"/>
      <c r="AE226" t="n">
        <v>0.6</v>
      </c>
      <c r="AF226" t="inlineStr">
        <is>
          <t>Medium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  <c r="AM226" t="b">
        <v>0</v>
      </c>
      <c r="AN226" t="n">
        <v>120</v>
      </c>
      <c r="AO226" t="n">
        <v>0</v>
      </c>
      <c r="AP226" t="inlineStr">
        <is>
          <t>T3</t>
        </is>
      </c>
      <c r="AQ226" t="inlineStr">
        <is>
          <t>p26_behemoth_be120</t>
        </is>
      </c>
      <c r="AR226" t="inlineStr"/>
      <c r="AS226" t="inlineStr">
        <is>
          <t>boss</t>
        </is>
      </c>
      <c r="AT226" t="inlineStr">
        <is>
          <t>behemoth</t>
        </is>
      </c>
      <c r="AU226" t="n">
        <v>1</v>
      </c>
      <c r="AV226" t="inlineStr">
        <is>
          <t>behemoth:1</t>
        </is>
      </c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0.1882352941176471</v>
      </c>
      <c r="BB226" t="n">
        <v>8</v>
      </c>
      <c r="BC226" t="n">
        <v>6</v>
      </c>
      <c r="BD226" t="inlineStr">
        <is>
          <t>gun</t>
        </is>
      </c>
      <c r="BE226" t="inlineStr">
        <is>
          <t>the sheet's 'Ngoài đời': Rh-120 6-8 rpm with a loader (Wikipedia 'Rheinmetall 120 mm gun')</t>
        </is>
      </c>
      <c r="BF226" t="inlineStr">
        <is>
          <t>real Rh-120 with a loader, 8 rpm (7.5 s); wave 1's 5.1 s is too fast after the 30 % rule</t>
        </is>
      </c>
      <c r="BG226" t="inlineStr">
        <is>
          <t>doi</t>
        </is>
      </c>
      <c r="BH226" t="n">
        <v>52</v>
      </c>
      <c r="BI226" t="n">
        <v>260</v>
      </c>
      <c r="BJ226" t="n">
        <v>4</v>
      </c>
      <c r="BK226" t="n">
        <v>7.5</v>
      </c>
      <c r="DD226" t="n">
        <v>7.5</v>
      </c>
      <c r="DE226" t="n">
        <v>260</v>
      </c>
      <c r="DO226" t="n">
        <v>25</v>
      </c>
      <c r="DT226" t="inlineStr">
        <is>
          <t>p26_behemoth_be120</t>
        </is>
      </c>
      <c r="GD226" t="inlineStr">
        <is>
          <t>Assets/MachineBrigade/Resources/Data/balance.json: weapons[157]</t>
        </is>
      </c>
      <c r="GE226" t="inlineStr">
        <is>
          <t>{"id":"p26_behemoth_tiny_be120","groundMinReach":25,"inherits":"p26_behemoth_be120","cooldown":7.5,"damage":260}</t>
        </is>
      </c>
    </row>
    <row r="227">
      <c r="A227" t="inlineStr">
        <is>
          <t>p26_behemoth_tiny_boss_missiles</t>
        </is>
      </c>
      <c r="B227" t="inlineStr">
        <is>
          <t>9M133 Kornet</t>
        </is>
      </c>
      <c r="C227" t="inlineStr">
        <is>
          <t>atgm_kornet</t>
        </is>
      </c>
      <c r="D227" t="inlineStr"/>
      <c r="E227" t="inlineStr"/>
      <c r="F227" t="inlineStr">
        <is>
          <t>atgm</t>
        </is>
      </c>
      <c r="G227" t="inlineStr"/>
      <c r="H227" t="n">
        <v>7</v>
      </c>
      <c r="I227" t="inlineStr"/>
      <c r="J227" t="inlineStr"/>
      <c r="K227" t="inlineStr">
        <is>
          <t>ShapedCharge</t>
        </is>
      </c>
      <c r="L227" t="n">
        <v>4</v>
      </c>
      <c r="M227" t="inlineStr">
        <is>
          <t>Missile</t>
        </is>
      </c>
      <c r="N227" t="n">
        <v>1</v>
      </c>
      <c r="O227" t="inlineStr">
        <is>
          <t>RIPPLE</t>
        </is>
      </c>
      <c r="P227" t="n">
        <v>1</v>
      </c>
      <c r="Q227" t="n">
        <v>0.1</v>
      </c>
      <c r="R227" t="n">
        <v>20</v>
      </c>
      <c r="S227" t="n">
        <v>0</v>
      </c>
      <c r="T227" t="n">
        <v>0</v>
      </c>
      <c r="U227" t="n">
        <v>0</v>
      </c>
      <c r="V227" t="n">
        <v>0</v>
      </c>
      <c r="W227" t="n">
        <v>230</v>
      </c>
      <c r="X227" t="n">
        <v>0</v>
      </c>
      <c r="Y227" t="n">
        <v>0</v>
      </c>
      <c r="Z227" t="n">
        <v>80</v>
      </c>
      <c r="AA227" t="n">
        <v>45</v>
      </c>
      <c r="AB227" t="n">
        <v>0</v>
      </c>
      <c r="AC227" t="inlineStr">
        <is>
          <t>Ground</t>
        </is>
      </c>
      <c r="AD227" t="inlineStr"/>
      <c r="AE227" t="n">
        <v>0</v>
      </c>
      <c r="AF227" t="inlineStr">
        <is>
          <t>Medium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0</v>
      </c>
      <c r="AN227" t="n">
        <v>29</v>
      </c>
      <c r="AO227" t="n">
        <v>0</v>
      </c>
      <c r="AP227" t="inlineStr">
        <is>
          <t>T2</t>
        </is>
      </c>
      <c r="AQ227" t="inlineStr">
        <is>
          <t>boss_missiles</t>
        </is>
      </c>
      <c r="AR227" t="inlineStr"/>
      <c r="AS227" t="inlineStr">
        <is>
          <t>boss</t>
        </is>
      </c>
      <c r="AT227" t="inlineStr">
        <is>
          <t>behemoth</t>
        </is>
      </c>
      <c r="AU227" t="n">
        <v>1</v>
      </c>
      <c r="AV227" t="inlineStr">
        <is>
          <t>behemoth:4;behemoth:5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0.5625</v>
      </c>
      <c r="BB227" t="n">
        <v>3</v>
      </c>
      <c r="BC227" t="n">
        <v>3</v>
      </c>
      <c r="BD227" t="inlineStr">
        <is>
          <t>atgm</t>
        </is>
      </c>
      <c r="BE227" t="inlineStr">
        <is>
          <t>Wikipedia '9M133 Kornet': 2-3 rpm</t>
        </is>
      </c>
      <c r="BF227" t="inlineStr">
        <is>
          <t>real 9M133 Kornet 3 rpm (20 s); wave 1's 6.39 s is too fast</t>
        </is>
      </c>
      <c r="BG227" t="inlineStr">
        <is>
          <t>doi</t>
        </is>
      </c>
      <c r="BH227" t="n">
        <v>46</v>
      </c>
      <c r="BI227" t="n">
        <v>230</v>
      </c>
      <c r="BJ227" t="n">
        <v>6.39</v>
      </c>
      <c r="BK227" t="n">
        <v>20</v>
      </c>
      <c r="BR227" t="n">
        <v>22</v>
      </c>
      <c r="BS227" t="n">
        <v>80</v>
      </c>
      <c r="DD227" t="n">
        <v>20</v>
      </c>
      <c r="DE227" t="n">
        <v>230</v>
      </c>
      <c r="DO227" t="n">
        <v>1</v>
      </c>
      <c r="DT227" t="inlineStr">
        <is>
          <t>boss_missiles</t>
        </is>
      </c>
      <c r="GA227" t="inlineStr"/>
      <c r="GD227" t="inlineStr">
        <is>
          <t>Assets/MachineBrigade/Resources/Data/balance.json: weapons[158]</t>
        </is>
      </c>
      <c r="GE227" t="inlineStr">
        <is>
          <t>{"id":"p26_behemoth_tiny_boss_missiles","groundMinReach":1,"inherits":"boss_missiles","cooldown":20,"weaponFamily":"","damage":230}</t>
        </is>
      </c>
    </row>
    <row r="228">
      <c r="A228" t="inlineStr">
        <is>
          <t>p26_behemoth_tiny_kornet_twin</t>
        </is>
      </c>
      <c r="B228" t="inlineStr">
        <is>
          <t>Rh-120 L/44 120 mm (side gun)</t>
        </is>
      </c>
      <c r="C228" t="inlineStr">
        <is>
          <t>cal_120_ap</t>
        </is>
      </c>
      <c r="D228" t="inlineStr"/>
      <c r="E228" t="inlineStr"/>
      <c r="F228" t="inlineStr">
        <is>
          <t>tank_gun</t>
        </is>
      </c>
      <c r="G228" t="n">
        <v>120</v>
      </c>
      <c r="H228" t="inlineStr"/>
      <c r="I228" t="inlineStr"/>
      <c r="J228" t="inlineStr"/>
      <c r="K228" t="inlineStr">
        <is>
          <t>Kinetic</t>
        </is>
      </c>
      <c r="L228" t="n">
        <v>5</v>
      </c>
      <c r="M228" t="inlineStr">
        <is>
          <t>Shell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9.699999999999999</v>
      </c>
      <c r="S228" t="n">
        <v>0</v>
      </c>
      <c r="T228" t="n">
        <v>0</v>
      </c>
      <c r="U228" t="n">
        <v>0</v>
      </c>
      <c r="V228" t="n">
        <v>0</v>
      </c>
      <c r="W228" t="n">
        <v>230</v>
      </c>
      <c r="X228" t="n">
        <v>0</v>
      </c>
      <c r="Y228" t="n">
        <v>0</v>
      </c>
      <c r="Z228" t="n">
        <v>170</v>
      </c>
      <c r="AA228" t="n">
        <v>32</v>
      </c>
      <c r="AB228" t="n">
        <v>0</v>
      </c>
      <c r="AC228" t="inlineStr">
        <is>
          <t>Ground</t>
        </is>
      </c>
      <c r="AD228" t="inlineStr"/>
      <c r="AE228" t="n">
        <v>0.6</v>
      </c>
      <c r="AF228" t="inlineStr">
        <is>
          <t>Medium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120</v>
      </c>
      <c r="AO228" t="n">
        <v>0</v>
      </c>
      <c r="AP228" t="inlineStr">
        <is>
          <t>T3</t>
        </is>
      </c>
      <c r="AQ228" t="inlineStr">
        <is>
          <t>p26_behemoth_be120</t>
        </is>
      </c>
      <c r="AR228" t="inlineStr"/>
      <c r="AS228" t="inlineStr">
        <is>
          <t>boss</t>
        </is>
      </c>
      <c r="AT228" t="inlineStr">
        <is>
          <t>behemoth</t>
        </is>
      </c>
      <c r="AU228" t="n">
        <v>1</v>
      </c>
      <c r="AV228" t="inlineStr">
        <is>
          <t>behemoth:6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0.1882352941176471</v>
      </c>
      <c r="BB228" t="n">
        <v>8</v>
      </c>
      <c r="BC228" t="n">
        <v>6</v>
      </c>
      <c r="BD228" t="inlineStr">
        <is>
          <t>gun</t>
        </is>
      </c>
      <c r="BE228" t="inlineStr">
        <is>
          <t>the sheet's 'Ngoài đời': Rh-120 6-8 rpm with a loader (Wikipedia 'Rheinmetall 120 mm gun')</t>
        </is>
      </c>
      <c r="BF228" t="inlineStr">
        <is>
          <t>a twin Kornet launcher: the pair 0.6 s apart, every 20 s (3 rpm a rail); 55.6 s was too slow</t>
        </is>
      </c>
      <c r="BG228" t="inlineStr">
        <is>
          <t>doi</t>
        </is>
      </c>
      <c r="BH228" t="n">
        <v>46</v>
      </c>
      <c r="BI228" t="n">
        <v>230</v>
      </c>
      <c r="BJ228" t="n">
        <v>10.51</v>
      </c>
      <c r="BK228" t="n">
        <v>9.699999999999999</v>
      </c>
      <c r="BL228" t="n">
        <v>50</v>
      </c>
      <c r="BM228" t="n">
        <v>32</v>
      </c>
      <c r="BR228" t="n">
        <v>22</v>
      </c>
      <c r="BS228" t="n">
        <v>170</v>
      </c>
      <c r="BT228" t="n">
        <v>2</v>
      </c>
      <c r="BU228" t="n">
        <v>1</v>
      </c>
      <c r="BV228" t="n">
        <v>0.6</v>
      </c>
      <c r="BW228" t="n">
        <v>0.1</v>
      </c>
      <c r="CB228" t="n">
        <v>4</v>
      </c>
      <c r="CC228" t="n">
        <v>5</v>
      </c>
      <c r="CD228" t="inlineStr">
        <is>
          <t>ShapedCharge</t>
        </is>
      </c>
      <c r="CE228" t="inlineStr">
        <is>
          <t>Kinetic</t>
        </is>
      </c>
      <c r="CJ228" t="inlineStr">
        <is>
          <t>Missile</t>
        </is>
      </c>
      <c r="CK228" t="inlineStr">
        <is>
          <t>Shell</t>
        </is>
      </c>
      <c r="DD228" t="n">
        <v>9.699999999999999</v>
      </c>
      <c r="DE228" t="n">
        <v>230</v>
      </c>
      <c r="DO228" t="n">
        <v>25</v>
      </c>
      <c r="DT228" t="inlineStr">
        <is>
          <t>p26_behemoth_be120</t>
        </is>
      </c>
      <c r="EQ228" t="inlineStr">
        <is>
          <t>Rh-120 L/44 120 mm (side gun)</t>
        </is>
      </c>
      <c r="GD228" t="inlineStr">
        <is>
          <t>Assets/MachineBrigade/Resources/Data/balance.json: weapons[159]</t>
        </is>
      </c>
      <c r="GE228" t="inlineStr">
        <is>
          <t>{"id":"p26_behemoth_tiny_kornet_twin","groundMinReach":25,"inherits":"p26_behemoth_be120","real":"Rh-120 L/44 120 mm (side gun)","damage":230,"cooldown":9.7}</t>
        </is>
      </c>
    </row>
    <row r="229">
      <c r="A229" t="inlineStr">
        <is>
          <t>p26_daedalus_dae57</t>
        </is>
      </c>
      <c r="B229" t="inlineStr">
        <is>
          <t>AU-220 57 mm (belly)</t>
        </is>
      </c>
      <c r="C229" t="inlineStr">
        <is>
          <t>cal_57</t>
        </is>
      </c>
      <c r="D229" t="inlineStr"/>
      <c r="E229" t="inlineStr"/>
      <c r="F229" t="inlineStr">
        <is>
          <t>tank_gun</t>
        </is>
      </c>
      <c r="G229" t="n">
        <v>57</v>
      </c>
      <c r="H229" t="inlineStr"/>
      <c r="I229" t="inlineStr"/>
      <c r="J229" t="inlineStr"/>
      <c r="K229" t="inlineStr">
        <is>
          <t>HighExplosive</t>
        </is>
      </c>
      <c r="L229" t="n">
        <v>4</v>
      </c>
      <c r="M229" t="inlineStr">
        <is>
          <t>Shell</t>
        </is>
      </c>
      <c r="N229" t="n">
        <v>1</v>
      </c>
      <c r="O229" t="inlineStr">
        <is>
          <t>RIPPLE</t>
        </is>
      </c>
      <c r="P229" t="n">
        <v>2</v>
      </c>
      <c r="Q229" t="n">
        <v>0.2</v>
      </c>
      <c r="R229" t="n">
        <v>2.3</v>
      </c>
      <c r="S229" t="n">
        <v>0</v>
      </c>
      <c r="T229" t="n">
        <v>0</v>
      </c>
      <c r="U229" t="n">
        <v>0</v>
      </c>
      <c r="V229" t="n">
        <v>0</v>
      </c>
      <c r="W229" t="n">
        <v>120</v>
      </c>
      <c r="X229" t="n">
        <v>3.5</v>
      </c>
      <c r="Y229" t="n">
        <v>7</v>
      </c>
      <c r="Z229" t="n">
        <v>150</v>
      </c>
      <c r="AA229" t="n">
        <v>28</v>
      </c>
      <c r="AB229" t="n">
        <v>0</v>
      </c>
      <c r="AC229" t="inlineStr">
        <is>
          <t>Ground</t>
        </is>
      </c>
      <c r="AD229" t="inlineStr"/>
      <c r="AE229" t="n">
        <v>0.8</v>
      </c>
      <c r="AF229" t="inlineStr">
        <is>
          <t>Medium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57</v>
      </c>
      <c r="AO229" t="n">
        <v>0</v>
      </c>
      <c r="AP229" t="inlineStr">
        <is>
          <t>T2</t>
        </is>
      </c>
      <c r="AQ229" t="inlineStr">
        <is>
          <t>gun_57mm</t>
        </is>
      </c>
      <c r="AR229" t="inlineStr"/>
      <c r="AS229" t="inlineStr"/>
      <c r="AT229" t="inlineStr"/>
      <c r="AU229" t="n">
        <v>0</v>
      </c>
      <c r="AV229" t="inlineStr"/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0.1866666666666667</v>
      </c>
      <c r="BB229" t="n">
        <v>120</v>
      </c>
      <c r="BC229" t="n">
        <v>80</v>
      </c>
      <c r="BD229" t="inlineStr">
        <is>
          <t>ac</t>
        </is>
      </c>
      <c r="BE229" t="inlineStr">
        <is>
          <t>Wikipedia 'AU-220M': 80-120 rpm</t>
        </is>
      </c>
      <c r="BG229" t="inlineStr">
        <is>
          <t>giong</t>
        </is>
      </c>
      <c r="CR229" t="n">
        <v>2</v>
      </c>
      <c r="CS229" t="n">
        <v>0.2</v>
      </c>
      <c r="DD229" t="n">
        <v>2.3</v>
      </c>
      <c r="DE229" t="n">
        <v>120</v>
      </c>
      <c r="DF229" t="inlineStr">
        <is>
          <t>HighExplosive</t>
        </is>
      </c>
      <c r="DG229" t="n">
        <v>7</v>
      </c>
      <c r="DT229" t="inlineStr">
        <is>
          <t>gun_57mm</t>
        </is>
      </c>
      <c r="EB229" t="n">
        <v>4</v>
      </c>
      <c r="EQ229" t="inlineStr">
        <is>
          <t>AU-220 57 mm (belly)</t>
        </is>
      </c>
      <c r="EY229" t="n">
        <v>3.5</v>
      </c>
      <c r="GA229" t="inlineStr"/>
      <c r="GC229" t="inlineStr"/>
      <c r="GD229" t="inlineStr">
        <is>
          <t>Assets/MachineBrigade/Resources/Data/balance.json: weapons[207]</t>
        </is>
      </c>
      <c r="GE229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30">
      <c r="A230" t="inlineStr">
        <is>
          <t>p26_daedalus_dae_laser</t>
        </is>
      </c>
      <c r="B230" t="inlineStr">
        <is>
          <t>targeting laser (300 kW)</t>
        </is>
      </c>
      <c r="C230" t="inlineStr">
        <is>
          <t>laser_targeting_laser</t>
        </is>
      </c>
      <c r="D230" t="inlineStr"/>
      <c r="E230" t="inlineStr"/>
      <c r="F230" t="inlineStr">
        <is>
          <t>laser</t>
        </is>
      </c>
      <c r="G230" t="inlineStr"/>
      <c r="H230" t="inlineStr"/>
      <c r="I230" t="n">
        <v>300</v>
      </c>
      <c r="J230" t="inlineStr"/>
      <c r="K230" t="inlineStr">
        <is>
          <t>Energy</t>
        </is>
      </c>
      <c r="L230" t="n">
        <v>4</v>
      </c>
      <c r="M230" t="inlineStr">
        <is>
          <t>Bullet</t>
        </is>
      </c>
      <c r="N230" t="n">
        <v>1</v>
      </c>
      <c r="O230" t="inlineStr">
        <is>
          <t>RIPPLE</t>
        </is>
      </c>
      <c r="P230" t="n">
        <v>1</v>
      </c>
      <c r="Q230" t="n">
        <v>0.1</v>
      </c>
      <c r="R230" t="n">
        <v>0.1</v>
      </c>
      <c r="S230" t="n">
        <v>0</v>
      </c>
      <c r="T230" t="n">
        <v>0</v>
      </c>
      <c r="U230" t="n">
        <v>0</v>
      </c>
      <c r="V230" t="n">
        <v>0</v>
      </c>
      <c r="W230" t="n">
        <v>40</v>
      </c>
      <c r="X230" t="n">
        <v>1.5</v>
      </c>
      <c r="Y230" t="n">
        <v>0</v>
      </c>
      <c r="Z230" t="n">
        <v>3000</v>
      </c>
      <c r="AA230" t="n">
        <v>36</v>
      </c>
      <c r="AB230" t="n">
        <v>0</v>
      </c>
      <c r="AC230" t="inlineStr">
        <is>
          <t>Ground</t>
        </is>
      </c>
      <c r="AD230" t="inlineStr"/>
      <c r="AE230" t="n">
        <v>0</v>
      </c>
      <c r="AF230" t="inlineStr">
        <is>
          <t>Small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1</v>
      </c>
      <c r="AM230" t="b">
        <v>0</v>
      </c>
      <c r="AN230" t="n">
        <v>300</v>
      </c>
      <c r="AO230" t="n">
        <v>0</v>
      </c>
      <c r="AP230" t="inlineStr">
        <is>
          <t>T1</t>
        </is>
      </c>
      <c r="AQ230" t="inlineStr">
        <is>
          <t>orbital_laser</t>
        </is>
      </c>
      <c r="AR230" t="inlineStr"/>
      <c r="AS230" t="inlineStr"/>
      <c r="AT230" t="inlineStr"/>
      <c r="AU230" t="n">
        <v>0</v>
      </c>
      <c r="AV230" t="inlineStr"/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0.012</v>
      </c>
      <c r="BB230" t="inlineStr">
        <is>
          <t>NEED_SOURCE</t>
        </is>
      </c>
      <c r="BC230" t="inlineStr">
        <is>
          <t>NEED_SOURCE</t>
        </is>
      </c>
      <c r="BE230" t="inlineStr">
        <is>
          <t>NEED_SOURCE</t>
        </is>
      </c>
      <c r="BG230" t="inlineStr">
        <is>
          <t>giong</t>
        </is>
      </c>
      <c r="DE230" t="n">
        <v>40</v>
      </c>
      <c r="DT230" t="inlineStr">
        <is>
          <t>orbital_laser</t>
        </is>
      </c>
      <c r="EF230" t="n">
        <v>300</v>
      </c>
      <c r="EQ230" t="inlineStr">
        <is>
          <t>targeting laser (300 kW)</t>
        </is>
      </c>
      <c r="EX230" t="n">
        <v>300</v>
      </c>
      <c r="GB230" t="inlineStr">
        <is>
          <t>laser_targeting_laser</t>
        </is>
      </c>
      <c r="GD230" t="inlineStr">
        <is>
          <t>Assets/MachineBrigade/Resources/Data/balance.json: weapons[208]</t>
        </is>
      </c>
      <c r="GE230" t="inlineStr">
        <is>
          <t>{"id":"p26_daedalus_dae_laser","inherits":"orbital_laser","weaponFamilyId":"laser_targeting_laser","real":"targeting laser (300 kW)","size":300,"powerKw":300,"damage":40}</t>
        </is>
      </c>
    </row>
    <row r="231">
      <c r="A231" t="inlineStr">
        <is>
          <t>p26_daedalus_direct_dae_laser</t>
        </is>
      </c>
      <c r="B231" t="inlineStr">
        <is>
          <t>targeting laser (300 kW)</t>
        </is>
      </c>
      <c r="C231" t="inlineStr">
        <is>
          <t>laser_targeting_laser</t>
        </is>
      </c>
      <c r="D231" t="inlineStr"/>
      <c r="E231" t="inlineStr"/>
      <c r="F231" t="inlineStr">
        <is>
          <t>laser</t>
        </is>
      </c>
      <c r="G231" t="inlineStr"/>
      <c r="H231" t="inlineStr"/>
      <c r="I231" t="n">
        <v>300</v>
      </c>
      <c r="J231" t="inlineStr"/>
      <c r="K231" t="inlineStr">
        <is>
          <t>Energy</t>
        </is>
      </c>
      <c r="L231" t="n">
        <v>4</v>
      </c>
      <c r="M231" t="inlineStr">
        <is>
          <t>Bullet</t>
        </is>
      </c>
      <c r="N231" t="n">
        <v>1</v>
      </c>
      <c r="O231" t="inlineStr">
        <is>
          <t>RIPPLE</t>
        </is>
      </c>
      <c r="P231" t="n">
        <v>1</v>
      </c>
      <c r="Q231" t="n">
        <v>0.1</v>
      </c>
      <c r="R231" t="n">
        <v>0.1</v>
      </c>
      <c r="S231" t="n">
        <v>0</v>
      </c>
      <c r="T231" t="n">
        <v>0</v>
      </c>
      <c r="U231" t="n">
        <v>0</v>
      </c>
      <c r="V231" t="n">
        <v>0</v>
      </c>
      <c r="W231" t="n">
        <v>16.5</v>
      </c>
      <c r="X231" t="n">
        <v>1.5</v>
      </c>
      <c r="Y231" t="n">
        <v>0</v>
      </c>
      <c r="Z231" t="n">
        <v>3000</v>
      </c>
      <c r="AA231" t="n">
        <v>36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Small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1</v>
      </c>
      <c r="AM231" t="b">
        <v>0</v>
      </c>
      <c r="AN231" t="n">
        <v>300</v>
      </c>
      <c r="AO231" t="n">
        <v>0</v>
      </c>
      <c r="AP231" t="inlineStr">
        <is>
          <t>T1</t>
        </is>
      </c>
      <c r="AQ231" t="inlineStr">
        <is>
          <t>p26_daedalus_dae_laser</t>
        </is>
      </c>
      <c r="AR231" t="inlineStr"/>
      <c r="AS231" t="inlineStr">
        <is>
          <t>boss</t>
        </is>
      </c>
      <c r="AT231" t="inlineStr">
        <is>
          <t>daedalus</t>
        </is>
      </c>
      <c r="AU231" t="n">
        <v>1</v>
      </c>
      <c r="AV231" t="inlineStr">
        <is>
          <t>daedalus:0;daedalus:5</t>
        </is>
      </c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0.012</v>
      </c>
      <c r="BB231" t="inlineStr">
        <is>
          <t>NEED_SOURCE</t>
        </is>
      </c>
      <c r="BC231" t="inlineStr">
        <is>
          <t>NEED_SOURCE</t>
        </is>
      </c>
      <c r="BE231" t="inlineStr">
        <is>
          <t>NEED_SOURCE</t>
        </is>
      </c>
      <c r="BF231" t="inlineStr">
        <is>
          <t>a laser: no real rate</t>
        </is>
      </c>
      <c r="BG231" t="inlineStr">
        <is>
          <t>giong</t>
        </is>
      </c>
      <c r="DE231" t="n">
        <v>16.5</v>
      </c>
      <c r="DO231" t="n">
        <v>13</v>
      </c>
      <c r="DT231" t="inlineStr">
        <is>
          <t>p26_daedalus_dae_laser</t>
        </is>
      </c>
      <c r="GD231" t="inlineStr">
        <is>
          <t>Assets/MachineBrigade/Resources/Data/balance.json: weapons[210]</t>
        </is>
      </c>
      <c r="GE231" t="inlineStr">
        <is>
          <t>{"id":"p26_daedalus_direct_dae_laser","groundMinReach":13,"inherits":"p26_daedalus_dae_laser","damage":16.5}</t>
        </is>
      </c>
    </row>
    <row r="232">
      <c r="A232" t="inlineStr">
        <is>
          <t>p26_daedalus_sec_dae57</t>
        </is>
      </c>
      <c r="B232" t="inlineStr">
        <is>
          <t>AU-220 57 mm (twin belly mount)</t>
        </is>
      </c>
      <c r="C232" t="inlineStr">
        <is>
          <t>cal_57</t>
        </is>
      </c>
      <c r="D232" t="inlineStr"/>
      <c r="E232" t="inlineStr"/>
      <c r="F232" t="inlineStr">
        <is>
          <t>tank_gun</t>
        </is>
      </c>
      <c r="G232" t="n">
        <v>57</v>
      </c>
      <c r="H232" t="inlineStr"/>
      <c r="I232" t="inlineStr"/>
      <c r="J232" t="inlineStr"/>
      <c r="K232" t="inlineStr">
        <is>
          <t>HighExplosive</t>
        </is>
      </c>
      <c r="L232" t="n">
        <v>4</v>
      </c>
      <c r="M232" t="inlineStr">
        <is>
          <t>Shell</t>
        </is>
      </c>
      <c r="N232" t="n">
        <v>2</v>
      </c>
      <c r="O232" t="inlineStr">
        <is>
          <t>SIMULTANEOUS</t>
        </is>
      </c>
      <c r="P232" t="n">
        <v>4</v>
      </c>
      <c r="Q232" t="n">
        <v>0.5</v>
      </c>
      <c r="R232" t="n">
        <v>2.79</v>
      </c>
      <c r="S232" t="n">
        <v>0</v>
      </c>
      <c r="T232" t="n">
        <v>0</v>
      </c>
      <c r="U232" t="n">
        <v>0</v>
      </c>
      <c r="V232" t="n">
        <v>0</v>
      </c>
      <c r="W232" t="n">
        <v>120</v>
      </c>
      <c r="X232" t="n">
        <v>3</v>
      </c>
      <c r="Y232" t="n">
        <v>6</v>
      </c>
      <c r="Z232" t="n">
        <v>150</v>
      </c>
      <c r="AA232" t="n">
        <v>28</v>
      </c>
      <c r="AB232" t="n">
        <v>0</v>
      </c>
      <c r="AC232" t="inlineStr">
        <is>
          <t>Ground</t>
        </is>
      </c>
      <c r="AD232" t="inlineStr"/>
      <c r="AE232" t="n">
        <v>0.8</v>
      </c>
      <c r="AF232" t="inlineStr">
        <is>
          <t>Medium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  <c r="AM232" t="b">
        <v>0</v>
      </c>
      <c r="AN232" t="n">
        <v>57</v>
      </c>
      <c r="AO232" t="n">
        <v>0</v>
      </c>
      <c r="AP232" t="inlineStr">
        <is>
          <t>T2</t>
        </is>
      </c>
      <c r="AQ232" t="inlineStr">
        <is>
          <t>p26_daedalus_dae57</t>
        </is>
      </c>
      <c r="AR232" t="inlineStr"/>
      <c r="AS232" t="inlineStr"/>
      <c r="AT232" t="inlineStr"/>
      <c r="AU232" t="n">
        <v>0</v>
      </c>
      <c r="AV232" t="inlineStr"/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0.1866666666666667</v>
      </c>
      <c r="BB232" t="n">
        <v>120</v>
      </c>
      <c r="BC232" t="n">
        <v>80</v>
      </c>
      <c r="BD232" t="inlineStr">
        <is>
          <t>ac</t>
        </is>
      </c>
      <c r="BE232" t="inlineStr">
        <is>
          <t>Wikipedia 'AU-220M': 80-120 rpm</t>
        </is>
      </c>
      <c r="BF232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32" t="inlineStr">
        <is>
          <t>doi</t>
        </is>
      </c>
      <c r="BH232" t="n">
        <v>135</v>
      </c>
      <c r="BI232" t="n">
        <v>120</v>
      </c>
      <c r="BJ232" t="n">
        <v>1.1</v>
      </c>
      <c r="BK232" t="n">
        <v>2.79</v>
      </c>
      <c r="BN232" t="n">
        <v>3.5</v>
      </c>
      <c r="BO232" t="n">
        <v>3</v>
      </c>
      <c r="BP232" t="n">
        <v>7</v>
      </c>
      <c r="BQ232" t="n">
        <v>6</v>
      </c>
      <c r="BT232" t="n">
        <v>2</v>
      </c>
      <c r="BU232" t="n">
        <v>4</v>
      </c>
      <c r="BV232" t="n">
        <v>0.2</v>
      </c>
      <c r="BW232" t="n">
        <v>0.5</v>
      </c>
      <c r="BX232" t="n">
        <v>1</v>
      </c>
      <c r="BY232" t="n">
        <v>2</v>
      </c>
      <c r="BZ232" t="inlineStr">
        <is>
          <t>RIPPLE</t>
        </is>
      </c>
      <c r="CA232" t="inlineStr">
        <is>
          <t>SIMULTANEOUS</t>
        </is>
      </c>
      <c r="CO232" t="n">
        <v>2</v>
      </c>
      <c r="CR232" t="n">
        <v>4</v>
      </c>
      <c r="CS232" t="n">
        <v>0.5</v>
      </c>
      <c r="DD232" t="n">
        <v>2.79</v>
      </c>
      <c r="DE232" t="n">
        <v>120</v>
      </c>
      <c r="DG232" t="n">
        <v>6</v>
      </c>
      <c r="DO232" t="n">
        <v>13</v>
      </c>
      <c r="DT232" t="inlineStr">
        <is>
          <t>p26_daedalus_dae57</t>
        </is>
      </c>
      <c r="EQ232" t="inlineStr">
        <is>
          <t>AU-220 57 mm (twin belly mount)</t>
        </is>
      </c>
      <c r="EW232" t="inlineStr">
        <is>
          <t>SIMULTANEOUS</t>
        </is>
      </c>
      <c r="EY232" t="n">
        <v>3</v>
      </c>
      <c r="GD232" t="inlineStr">
        <is>
          <t>Assets/MachineBrigade/Resources/Data/balance.json: weapons[209]</t>
        </is>
      </c>
      <c r="GE232" t="inlineStr">
        <is>
          <t>{"id":"p26_daedalus_sec_dae57","groundMinReach":13,"inherits":"p26_daedalus_dae57","real":"AU-220 57 mm (twin belly mount)","salvoMode":"SIMULTANEOUS","barrels":2,"burstInterval":0.5,"burst":4,"edge":6,"splash":3,"cooldown":2.79,"damage":120}</t>
        </is>
      </c>
    </row>
    <row r="233">
      <c r="A233" t="inlineStr">
        <is>
          <t>p26_icarus_close_autocannon_40</t>
        </is>
      </c>
      <c r="B233" t="inlineStr">
        <is>
          <t>Bofors 40 mm</t>
        </is>
      </c>
      <c r="C233" t="inlineStr">
        <is>
          <t>cal_40</t>
        </is>
      </c>
      <c r="D233" t="inlineStr"/>
      <c r="E233" t="inlineStr"/>
      <c r="F233" t="inlineStr">
        <is>
          <t>autocannon</t>
        </is>
      </c>
      <c r="G233" t="n">
        <v>40</v>
      </c>
      <c r="H233" t="inlineStr"/>
      <c r="I233" t="inlineStr"/>
      <c r="J233" t="inlineStr"/>
      <c r="K233" t="inlineStr">
        <is>
          <t>Kinetic</t>
        </is>
      </c>
      <c r="L233" t="n">
        <v>2</v>
      </c>
      <c r="M233" t="inlineStr">
        <is>
          <t>Bullet</t>
        </is>
      </c>
      <c r="N233" t="n">
        <v>1</v>
      </c>
      <c r="O233" t="inlineStr">
        <is>
          <t>RIPPLE</t>
        </is>
      </c>
      <c r="P233" t="n">
        <v>1</v>
      </c>
      <c r="Q233" t="n">
        <v>0.1</v>
      </c>
      <c r="R233" t="n">
        <v>0.2</v>
      </c>
      <c r="S233" t="n">
        <v>10</v>
      </c>
      <c r="T233" t="n">
        <v>1.52</v>
      </c>
      <c r="U233" t="n">
        <v>0</v>
      </c>
      <c r="V233" t="n">
        <v>0</v>
      </c>
      <c r="W233" t="n">
        <v>30</v>
      </c>
      <c r="X233" t="n">
        <v>0</v>
      </c>
      <c r="Y233" t="n">
        <v>0</v>
      </c>
      <c r="Z233" t="n">
        <v>210</v>
      </c>
      <c r="AA233" t="n">
        <v>28</v>
      </c>
      <c r="AB233" t="n">
        <v>0</v>
      </c>
      <c r="AC233" t="inlineStr">
        <is>
          <t>All</t>
        </is>
      </c>
      <c r="AD233" t="inlineStr"/>
      <c r="AE233" t="n">
        <v>0.8</v>
      </c>
      <c r="AF233" t="inlineStr">
        <is>
          <t>Small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n">
        <v>40</v>
      </c>
      <c r="AO233" t="n">
        <v>0</v>
      </c>
      <c r="AP233" t="inlineStr">
        <is>
          <t>T1</t>
        </is>
      </c>
      <c r="AQ233" t="inlineStr">
        <is>
          <t>autocannon_40</t>
        </is>
      </c>
      <c r="AR233" t="inlineStr"/>
      <c r="AS233" t="inlineStr">
        <is>
          <t>boss</t>
        </is>
      </c>
      <c r="AT233" t="inlineStr">
        <is>
          <t>silver_bug</t>
        </is>
      </c>
      <c r="AU233" t="n">
        <v>1</v>
      </c>
      <c r="AV233" t="inlineStr">
        <is>
          <t>silver_bug:10;silver_bug:9</t>
        </is>
      </c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0.1333333333333333</v>
      </c>
      <c r="BB233" t="n">
        <v>330</v>
      </c>
      <c r="BC233" t="n">
        <v>120</v>
      </c>
      <c r="BD233" t="inlineStr">
        <is>
          <t>aa</t>
        </is>
      </c>
      <c r="BE233" t="inlineStr">
        <is>
          <t>Wikipedia 'Bofors 40 mm L/70': 240-330 rpm</t>
        </is>
      </c>
      <c r="BF233" t="inlineStr">
        <is>
          <t>wave 1 autocannon_40: 10 rounds at 300 rpm, changed in 1.52 s (Bofors L/70 240-330 rpm)</t>
        </is>
      </c>
      <c r="BG233" t="inlineStr">
        <is>
          <t>doi</t>
        </is>
      </c>
      <c r="BH233" t="n">
        <v>56</v>
      </c>
      <c r="BI233" t="n">
        <v>30</v>
      </c>
      <c r="BN233" t="n">
        <v>1</v>
      </c>
      <c r="BO233" t="n">
        <v>0</v>
      </c>
      <c r="CH233" t="n">
        <v>1.72</v>
      </c>
      <c r="CI233" t="n">
        <v>1.52</v>
      </c>
      <c r="CX233" t="n">
        <v>1.52</v>
      </c>
      <c r="DD233" t="n">
        <v>0.2</v>
      </c>
      <c r="DE233" t="n">
        <v>30</v>
      </c>
      <c r="DT233" t="inlineStr">
        <is>
          <t>autocannon_40</t>
        </is>
      </c>
      <c r="EY233" t="n">
        <v>0</v>
      </c>
      <c r="GD233" t="inlineStr">
        <is>
          <t>Assets/MachineBrigade/Resources/Data/balance.json: weapons[216]</t>
        </is>
      </c>
      <c r="GE233" t="inlineStr">
        <is>
          <t>{"id":"p26_icarus_close_autocannon_40","inherits":"autocannon_40","clipReload":1.52,"cooldown":0.2,"splash":0,"damage":30}</t>
        </is>
      </c>
    </row>
    <row r="234">
      <c r="A234" t="inlineStr">
        <is>
          <t>p26_icarus_direct_ic_laser</t>
        </is>
      </c>
      <c r="B234" t="inlineStr">
        <is>
          <t>laser tower (300 kW)</t>
        </is>
      </c>
      <c r="C234" t="inlineStr">
        <is>
          <t>laser_tower</t>
        </is>
      </c>
      <c r="D234" t="inlineStr"/>
      <c r="E234" t="inlineStr"/>
      <c r="F234" t="inlineStr">
        <is>
          <t>laser</t>
        </is>
      </c>
      <c r="G234" t="inlineStr"/>
      <c r="H234" t="inlineStr"/>
      <c r="I234" t="n">
        <v>300</v>
      </c>
      <c r="J234" t="inlineStr"/>
      <c r="K234" t="inlineStr">
        <is>
          <t>Energy</t>
        </is>
      </c>
      <c r="L234" t="n">
        <v>4</v>
      </c>
      <c r="M234" t="inlineStr">
        <is>
          <t>Bullet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0.1</v>
      </c>
      <c r="S234" t="n">
        <v>0</v>
      </c>
      <c r="T234" t="n">
        <v>0</v>
      </c>
      <c r="U234" t="n">
        <v>0</v>
      </c>
      <c r="V234" t="n">
        <v>0</v>
      </c>
      <c r="W234" t="n">
        <v>16</v>
      </c>
      <c r="X234" t="n">
        <v>1.5</v>
      </c>
      <c r="Y234" t="n">
        <v>0</v>
      </c>
      <c r="Z234" t="n">
        <v>3000</v>
      </c>
      <c r="AA234" t="n">
        <v>36</v>
      </c>
      <c r="AB234" t="n">
        <v>0</v>
      </c>
      <c r="AC234" t="inlineStr">
        <is>
          <t>Ground</t>
        </is>
      </c>
      <c r="AD234" t="inlineStr"/>
      <c r="AE234" t="n">
        <v>0</v>
      </c>
      <c r="AF234" t="inlineStr">
        <is>
          <t>Small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1</v>
      </c>
      <c r="AM234" t="b">
        <v>0</v>
      </c>
      <c r="AN234" t="n">
        <v>300</v>
      </c>
      <c r="AO234" t="n">
        <v>0</v>
      </c>
      <c r="AP234" t="inlineStr">
        <is>
          <t>T1</t>
        </is>
      </c>
      <c r="AQ234" t="inlineStr">
        <is>
          <t>p26_icarus_ic_laser</t>
        </is>
      </c>
      <c r="AR234" t="inlineStr"/>
      <c r="AS234" t="inlineStr">
        <is>
          <t>boss</t>
        </is>
      </c>
      <c r="AT234" t="inlineStr">
        <is>
          <t>silver_bug</t>
        </is>
      </c>
      <c r="AU234" t="n">
        <v>1</v>
      </c>
      <c r="AV234" t="inlineStr">
        <is>
          <t>silver_bug:3;silver_bug:4</t>
        </is>
      </c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0.012</v>
      </c>
      <c r="BB234" t="inlineStr">
        <is>
          <t>NEED_SOURCE</t>
        </is>
      </c>
      <c r="BC234" t="inlineStr">
        <is>
          <t>NEED_SOURCE</t>
        </is>
      </c>
      <c r="BE234" t="inlineStr">
        <is>
          <t>NEED_SOURCE</t>
        </is>
      </c>
      <c r="BF234" t="inlineStr">
        <is>
          <t>a laser: no real rate</t>
        </is>
      </c>
      <c r="BG234" t="inlineStr">
        <is>
          <t>giong</t>
        </is>
      </c>
      <c r="DE234" t="n">
        <v>16</v>
      </c>
      <c r="DO234" t="n">
        <v>18</v>
      </c>
      <c r="DT234" t="inlineStr">
        <is>
          <t>p26_icarus_ic_laser</t>
        </is>
      </c>
      <c r="GD234" t="inlineStr">
        <is>
          <t>Assets/MachineBrigade/Resources/Data/balance.json: weapons[215]</t>
        </is>
      </c>
      <c r="GE234" t="inlineStr">
        <is>
          <t>{"id":"p26_icarus_direct_ic_laser","groundMinReach":18,"inherits":"p26_icarus_ic_laser","damage":16}</t>
        </is>
      </c>
    </row>
    <row r="235">
      <c r="A235" t="inlineStr">
        <is>
          <t>p26_icarus_ic_coil</t>
        </is>
      </c>
      <c r="B235" t="inlineStr">
        <is>
          <t>coilgun (64 MJ)</t>
        </is>
      </c>
      <c r="C235" t="inlineStr">
        <is>
          <t>rail_coilgun</t>
        </is>
      </c>
      <c r="D235" t="inlineStr"/>
      <c r="E235" t="inlineStr"/>
      <c r="F235" t="inlineStr">
        <is>
          <t>railgun</t>
        </is>
      </c>
      <c r="G235" t="inlineStr"/>
      <c r="H235" t="inlineStr"/>
      <c r="I235" t="inlineStr"/>
      <c r="J235" t="n">
        <v>64</v>
      </c>
      <c r="K235" t="inlineStr">
        <is>
          <t>Kinetic</t>
        </is>
      </c>
      <c r="L235" t="n">
        <v>5</v>
      </c>
      <c r="M235" t="inlineStr">
        <is>
          <t>Bullet</t>
        </is>
      </c>
      <c r="N235" t="n">
        <v>1</v>
      </c>
      <c r="O235" t="inlineStr">
        <is>
          <t>RIPPLE</t>
        </is>
      </c>
      <c r="P235" t="n">
        <v>1</v>
      </c>
      <c r="Q235" t="n">
        <v>0.25</v>
      </c>
      <c r="R235" t="n">
        <v>2</v>
      </c>
      <c r="S235" t="n">
        <v>0</v>
      </c>
      <c r="T235" t="n">
        <v>0</v>
      </c>
      <c r="U235" t="n">
        <v>0</v>
      </c>
      <c r="V235" t="n">
        <v>0</v>
      </c>
      <c r="W235" t="n">
        <v>1440</v>
      </c>
      <c r="X235" t="n">
        <v>0</v>
      </c>
      <c r="Y235" t="n">
        <v>0</v>
      </c>
      <c r="Z235" t="n">
        <v>420</v>
      </c>
      <c r="AA235" t="n">
        <v>55</v>
      </c>
      <c r="AB235" t="n">
        <v>0</v>
      </c>
      <c r="AC235" t="inlineStr">
        <is>
          <t>All</t>
        </is>
      </c>
      <c r="AD235" t="inlineStr"/>
      <c r="AE235" t="n">
        <v>0.6</v>
      </c>
      <c r="AF235" t="inlineStr">
        <is>
          <t>Large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64</v>
      </c>
      <c r="AO235" t="n">
        <v>0</v>
      </c>
      <c r="AP235" t="inlineStr">
        <is>
          <t>T3</t>
        </is>
      </c>
      <c r="AQ235" t="inlineStr">
        <is>
          <t>coilgun</t>
        </is>
      </c>
      <c r="AR235" t="inlineStr"/>
      <c r="AS235" t="inlineStr"/>
      <c r="AT235" t="inlineStr"/>
      <c r="AU235" t="n">
        <v>0</v>
      </c>
      <c r="AV235" t="inlineStr"/>
      <c r="AW235" t="n">
        <v>0</v>
      </c>
      <c r="AX235" t="b">
        <v>0</v>
      </c>
      <c r="AY235" t="inlineStr"/>
      <c r="AZ235">
        <f>IF(AND($AX$235,$AW$235&gt;$AA$235/$Z$235),$AW$235,$AA$235/$Z$235)</f>
        <v/>
      </c>
      <c r="BA235" t="n">
        <v>0.130952380952381</v>
      </c>
      <c r="BB235" t="inlineStr">
        <is>
          <t>NEED_SOURCE</t>
        </is>
      </c>
      <c r="BC235" t="inlineStr">
        <is>
          <t>NEED_SOURCE</t>
        </is>
      </c>
      <c r="BE235" t="inlineStr">
        <is>
          <t>NEED_SOURCE</t>
        </is>
      </c>
      <c r="BG235" t="inlineStr">
        <is>
          <t>giong</t>
        </is>
      </c>
      <c r="CR235" t="n">
        <v>1</v>
      </c>
      <c r="DD235" t="n">
        <v>2</v>
      </c>
      <c r="DE235" t="n">
        <v>1440</v>
      </c>
      <c r="DI235" t="n">
        <v>64</v>
      </c>
      <c r="DO235" t="n">
        <v>0</v>
      </c>
      <c r="DT235" t="inlineStr">
        <is>
          <t>coilgun</t>
        </is>
      </c>
      <c r="EB235" t="n">
        <v>5</v>
      </c>
      <c r="EC235" t="b">
        <v>1</v>
      </c>
      <c r="ED235" t="n">
        <v>4</v>
      </c>
      <c r="EQ235" t="inlineStr">
        <is>
          <t>coilgun (64 MJ)</t>
        </is>
      </c>
      <c r="EX235" t="n">
        <v>64</v>
      </c>
      <c r="GD235" t="inlineStr">
        <is>
          <t>Assets/MachineBrigade/Resources/Data/balance.json: weapons[211]</t>
        </is>
      </c>
      <c r="GE235" t="inlineStr">
        <is>
          <t>{"id":"p26_icarus_ic_coil","groundMinReach":0,"inherits":"coilgun","real":"coilgun (64 MJ)","size":64,"energyMj":64,"damage":1440,"burst":1,"cooldown":2,"pierce":true,"pierceMax":4,"pen":5}</t>
        </is>
      </c>
    </row>
    <row r="236">
      <c r="A236" t="inlineStr">
        <is>
          <t>p26_icarus_ic_laser</t>
        </is>
      </c>
      <c r="B236" t="inlineStr">
        <is>
          <t>laser tower (300 kW)</t>
        </is>
      </c>
      <c r="C236" t="inlineStr">
        <is>
          <t>laser_tower</t>
        </is>
      </c>
      <c r="D236" t="inlineStr"/>
      <c r="E236" t="inlineStr"/>
      <c r="F236" t="inlineStr">
        <is>
          <t>laser</t>
        </is>
      </c>
      <c r="G236" t="inlineStr"/>
      <c r="H236" t="inlineStr"/>
      <c r="I236" t="n">
        <v>300</v>
      </c>
      <c r="J236" t="inlineStr"/>
      <c r="K236" t="inlineStr">
        <is>
          <t>Energy</t>
        </is>
      </c>
      <c r="L236" t="n">
        <v>4</v>
      </c>
      <c r="M236" t="inlineStr">
        <is>
          <t>Bullet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0.1</v>
      </c>
      <c r="S236" t="n">
        <v>0</v>
      </c>
      <c r="T236" t="n">
        <v>0</v>
      </c>
      <c r="U236" t="n">
        <v>0</v>
      </c>
      <c r="V236" t="n">
        <v>0</v>
      </c>
      <c r="W236" t="n">
        <v>40</v>
      </c>
      <c r="X236" t="n">
        <v>1.5</v>
      </c>
      <c r="Y236" t="n">
        <v>0</v>
      </c>
      <c r="Z236" t="n">
        <v>3000</v>
      </c>
      <c r="AA236" t="n">
        <v>36</v>
      </c>
      <c r="AB236" t="n">
        <v>0</v>
      </c>
      <c r="AC236" t="inlineStr">
        <is>
          <t>Ground</t>
        </is>
      </c>
      <c r="AD236" t="inlineStr"/>
      <c r="AE236" t="n">
        <v>0</v>
      </c>
      <c r="AF236" t="inlineStr">
        <is>
          <t>Small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1</v>
      </c>
      <c r="AM236" t="b">
        <v>0</v>
      </c>
      <c r="AN236" t="n">
        <v>300</v>
      </c>
      <c r="AO236" t="n">
        <v>0</v>
      </c>
      <c r="AP236" t="inlineStr">
        <is>
          <t>T1</t>
        </is>
      </c>
      <c r="AQ236" t="inlineStr">
        <is>
          <t>orbital_laser</t>
        </is>
      </c>
      <c r="AR236" t="inlineStr"/>
      <c r="AS236" t="inlineStr"/>
      <c r="AT236" t="inlineStr"/>
      <c r="AU236" t="n">
        <v>0</v>
      </c>
      <c r="AV236" t="inlineStr"/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0.012</v>
      </c>
      <c r="BB236" t="inlineStr">
        <is>
          <t>NEED_SOURCE</t>
        </is>
      </c>
      <c r="BC236" t="inlineStr">
        <is>
          <t>NEED_SOURCE</t>
        </is>
      </c>
      <c r="BE236" t="inlineStr">
        <is>
          <t>NEED_SOURCE</t>
        </is>
      </c>
      <c r="BG236" t="inlineStr">
        <is>
          <t>giong</t>
        </is>
      </c>
      <c r="DE236" t="n">
        <v>40</v>
      </c>
      <c r="DT236" t="inlineStr">
        <is>
          <t>orbital_laser</t>
        </is>
      </c>
      <c r="EF236" t="n">
        <v>300</v>
      </c>
      <c r="EQ236" t="inlineStr">
        <is>
          <t>laser tower (300 kW)</t>
        </is>
      </c>
      <c r="EX236" t="n">
        <v>300</v>
      </c>
      <c r="GB236" t="inlineStr">
        <is>
          <t>laser_tower</t>
        </is>
      </c>
      <c r="GD236" t="inlineStr">
        <is>
          <t>Assets/MachineBrigade/Resources/Data/balance.json: weapons[212]</t>
        </is>
      </c>
      <c r="GE236" t="inlineStr">
        <is>
          <t>{"id":"p26_icarus_ic_laser","inherits":"orbital_laser","weaponFamilyId":"laser_tower","real":"laser tower (300 kW)","size":300,"powerKw":300,"damage":40}</t>
        </is>
      </c>
    </row>
    <row r="237">
      <c r="A237" t="inlineStr">
        <is>
          <t>p26_icarus_main_ic_coil</t>
        </is>
      </c>
      <c r="B237" t="inlineStr">
        <is>
          <t>heavy coilgun (64 MJ)</t>
        </is>
      </c>
      <c r="C237" t="inlineStr">
        <is>
          <t>rail_heavy_coilgun</t>
        </is>
      </c>
      <c r="D237" t="inlineStr"/>
      <c r="E237" t="inlineStr"/>
      <c r="F237" t="inlineStr">
        <is>
          <t>railgun</t>
        </is>
      </c>
      <c r="G237" t="inlineStr"/>
      <c r="H237" t="inlineStr"/>
      <c r="I237" t="inlineStr"/>
      <c r="J237" t="n">
        <v>64</v>
      </c>
      <c r="K237" t="inlineStr">
        <is>
          <t>Kinetic</t>
        </is>
      </c>
      <c r="L237" t="n">
        <v>5</v>
      </c>
      <c r="M237" t="inlineStr">
        <is>
          <t>Bullet</t>
        </is>
      </c>
      <c r="N237" t="n">
        <v>1</v>
      </c>
      <c r="O237" t="inlineStr">
        <is>
          <t>RIPPLE</t>
        </is>
      </c>
      <c r="P237" t="n">
        <v>1</v>
      </c>
      <c r="Q237" t="n">
        <v>0.25</v>
      </c>
      <c r="R237" t="n">
        <v>5</v>
      </c>
      <c r="S237" t="n">
        <v>0</v>
      </c>
      <c r="T237" t="n">
        <v>0</v>
      </c>
      <c r="U237" t="n">
        <v>0</v>
      </c>
      <c r="V237" t="n">
        <v>0</v>
      </c>
      <c r="W237" t="n">
        <v>1500</v>
      </c>
      <c r="X237" t="n">
        <v>0</v>
      </c>
      <c r="Y237" t="n">
        <v>0</v>
      </c>
      <c r="Z237" t="n">
        <v>420</v>
      </c>
      <c r="AA237" t="n">
        <v>55</v>
      </c>
      <c r="AB237" t="n">
        <v>0</v>
      </c>
      <c r="AC237" t="inlineStr">
        <is>
          <t>All</t>
        </is>
      </c>
      <c r="AD237" t="inlineStr"/>
      <c r="AE237" t="n">
        <v>0.6</v>
      </c>
      <c r="AF237" t="inlineStr">
        <is>
          <t>Large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64</v>
      </c>
      <c r="AO237" t="n">
        <v>0</v>
      </c>
      <c r="AP237" t="inlineStr">
        <is>
          <t>T3</t>
        </is>
      </c>
      <c r="AQ237" t="inlineStr">
        <is>
          <t>p26_icarus_ic_coil</t>
        </is>
      </c>
      <c r="AR237" t="inlineStr"/>
      <c r="AS237" t="inlineStr">
        <is>
          <t>boss</t>
        </is>
      </c>
      <c r="AT237" t="inlineStr">
        <is>
          <t>silver_bug</t>
        </is>
      </c>
      <c r="AU237" t="n">
        <v>1</v>
      </c>
      <c r="AV237" t="inlineStr">
        <is>
          <t>silver_bug:1;silver_bug:2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0.130952380952381</v>
      </c>
      <c r="BB237" t="inlineStr">
        <is>
          <t>NEED_SOURCE</t>
        </is>
      </c>
      <c r="BC237" t="inlineStr">
        <is>
          <t>NEED_SOURCE</t>
        </is>
      </c>
      <c r="BE237" t="inlineStr">
        <is>
          <t>NEED_SOURCE</t>
        </is>
      </c>
      <c r="BF237" t="inlineStr">
        <is>
          <t>a 64 MJ coilgun, its own family (rail_heavy_coilgun): no real rate</t>
        </is>
      </c>
      <c r="BG237" t="inlineStr">
        <is>
          <t>giong</t>
        </is>
      </c>
      <c r="DD237" t="n">
        <v>5</v>
      </c>
      <c r="DE237" t="n">
        <v>1500</v>
      </c>
      <c r="DO237" t="n">
        <v>19</v>
      </c>
      <c r="DT237" t="inlineStr">
        <is>
          <t>p26_icarus_ic_coil</t>
        </is>
      </c>
      <c r="EQ237" t="inlineStr">
        <is>
          <t>heavy coilgun (64 MJ)</t>
        </is>
      </c>
      <c r="GB237" t="inlineStr">
        <is>
          <t>rail_heavy_coilgun</t>
        </is>
      </c>
      <c r="GD237" t="inlineStr">
        <is>
          <t>Assets/MachineBrigade/Resources/Data/balance.json: weapons[213]</t>
        </is>
      </c>
      <c r="GE237" t="inlineStr">
        <is>
          <t>{"id":"p26_icarus_main_ic_coil","groundMinReach":19,"inherits":"p26_icarus_ic_coil","weaponFamilyId":"rail_heavy_coilgun","real":"heavy coilgun (64 MJ)","cooldown":5,"damage":1500}</t>
        </is>
      </c>
    </row>
    <row r="238">
      <c r="A238" t="inlineStr">
        <is>
          <t>p26_icarus_sec_orbital_laser</t>
        </is>
      </c>
      <c r="B238" t="inlineStr">
        <is>
          <t>laser (150 kW)</t>
        </is>
      </c>
      <c r="C238" t="inlineStr">
        <is>
          <t>laser_laser</t>
        </is>
      </c>
      <c r="D238" t="inlineStr"/>
      <c r="E238" t="inlineStr"/>
      <c r="F238" t="inlineStr">
        <is>
          <t>laser</t>
        </is>
      </c>
      <c r="G238" t="inlineStr"/>
      <c r="H238" t="inlineStr"/>
      <c r="I238" t="n">
        <v>150</v>
      </c>
      <c r="J238" t="inlineStr"/>
      <c r="K238" t="inlineStr">
        <is>
          <t>Energy</t>
        </is>
      </c>
      <c r="L238" t="n">
        <v>4</v>
      </c>
      <c r="M238" t="inlineStr">
        <is>
          <t>Bullet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0.1</v>
      </c>
      <c r="S238" t="n">
        <v>0</v>
      </c>
      <c r="T238" t="n">
        <v>0</v>
      </c>
      <c r="U238" t="n">
        <v>0</v>
      </c>
      <c r="V238" t="n">
        <v>0</v>
      </c>
      <c r="W238" t="n">
        <v>40</v>
      </c>
      <c r="X238" t="n">
        <v>1.5</v>
      </c>
      <c r="Y238" t="n">
        <v>0</v>
      </c>
      <c r="Z238" t="n">
        <v>3000</v>
      </c>
      <c r="AA238" t="n">
        <v>36</v>
      </c>
      <c r="AB238" t="n">
        <v>0</v>
      </c>
      <c r="AC238" t="inlineStr">
        <is>
          <t>Ground</t>
        </is>
      </c>
      <c r="AD238" t="inlineStr"/>
      <c r="AE238" t="n">
        <v>0</v>
      </c>
      <c r="AF238" t="inlineStr">
        <is>
          <t>Small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1</v>
      </c>
      <c r="AM238" t="b">
        <v>0</v>
      </c>
      <c r="AN238" t="n">
        <v>150</v>
      </c>
      <c r="AO238" t="n">
        <v>0</v>
      </c>
      <c r="AP238" t="inlineStr">
        <is>
          <t>T1</t>
        </is>
      </c>
      <c r="AQ238" t="inlineStr">
        <is>
          <t>orbital_laser</t>
        </is>
      </c>
      <c r="AR238" t="inlineStr"/>
      <c r="AS238" t="inlineStr">
        <is>
          <t>boss</t>
        </is>
      </c>
      <c r="AT238" t="inlineStr">
        <is>
          <t>hyperion;icarus_mk0;silver_bug;theia</t>
        </is>
      </c>
      <c r="AU238" t="n">
        <v>4</v>
      </c>
      <c r="AV238" t="inlineStr">
        <is>
          <t>hyperion:0;icarus_mk0:0;silver_bug:0;theia:0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0.012</v>
      </c>
      <c r="BB238" t="inlineStr">
        <is>
          <t>NEED_SOURCE</t>
        </is>
      </c>
      <c r="BC238" t="inlineStr">
        <is>
          <t>NEED_SOURCE</t>
        </is>
      </c>
      <c r="BE238" t="inlineStr">
        <is>
          <t>NEED_SOURCE</t>
        </is>
      </c>
      <c r="BF238" t="inlineStr">
        <is>
          <t>a laser: no real rate</t>
        </is>
      </c>
      <c r="BG238" t="inlineStr">
        <is>
          <t>giong</t>
        </is>
      </c>
      <c r="DE238" t="n">
        <v>40</v>
      </c>
      <c r="DO238" t="n">
        <v>11</v>
      </c>
      <c r="DT238" t="inlineStr">
        <is>
          <t>orbital_laser</t>
        </is>
      </c>
      <c r="GD238" t="inlineStr">
        <is>
          <t>Assets/MachineBrigade/Resources/Data/balance.json: weapons[214]</t>
        </is>
      </c>
      <c r="GE238" t="inlineStr">
        <is>
          <t>{"id":"p26_icarus_sec_orbital_laser","groundMinReach":11,"inherits":"orbital_laser","damage":40}</t>
        </is>
      </c>
    </row>
    <row r="239">
      <c r="A239" t="inlineStr">
        <is>
          <t>p26_ixion_125</t>
        </is>
      </c>
      <c r="B239" t="inlineStr">
        <is>
          <t>2A46 125 mm (turret, AP)</t>
        </is>
      </c>
      <c r="C239" t="inlineStr">
        <is>
          <t>cal_125_ap</t>
        </is>
      </c>
      <c r="D239" t="inlineStr"/>
      <c r="E239" t="inlineStr"/>
      <c r="F239" t="inlineStr">
        <is>
          <t>tank_gun</t>
        </is>
      </c>
      <c r="G239" t="n">
        <v>125</v>
      </c>
      <c r="H239" t="inlineStr"/>
      <c r="I239" t="inlineStr"/>
      <c r="J239" t="inlineStr"/>
      <c r="K239" t="inlineStr">
        <is>
          <t>Kinetic</t>
        </is>
      </c>
      <c r="L239" t="n">
        <v>5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7.5</v>
      </c>
      <c r="S239" t="n">
        <v>0</v>
      </c>
      <c r="T239" t="n">
        <v>0</v>
      </c>
      <c r="U239" t="n">
        <v>0</v>
      </c>
      <c r="V239" t="n">
        <v>0</v>
      </c>
      <c r="W239" t="n">
        <v>400</v>
      </c>
      <c r="X239" t="n">
        <v>0</v>
      </c>
      <c r="Y239" t="n">
        <v>0</v>
      </c>
      <c r="Z239" t="n">
        <v>170</v>
      </c>
      <c r="AA239" t="n">
        <v>38</v>
      </c>
      <c r="AB239" t="n">
        <v>0</v>
      </c>
      <c r="AC239" t="inlineStr">
        <is>
          <t>Ground</t>
        </is>
      </c>
      <c r="AD239" t="inlineStr"/>
      <c r="AE239" t="n">
        <v>0.6</v>
      </c>
      <c r="AF239" t="inlineStr">
        <is>
          <t>Medium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125</v>
      </c>
      <c r="AO239" t="n">
        <v>0</v>
      </c>
      <c r="AP239" t="inlineStr">
        <is>
          <t>T3</t>
        </is>
      </c>
      <c r="AQ239" t="inlineStr">
        <is>
          <t>gun_120mm</t>
        </is>
      </c>
      <c r="AR239" t="inlineStr">
        <is>
          <t>p26_ixion_125_he</t>
        </is>
      </c>
      <c r="AS239" t="inlineStr">
        <is>
          <t>boss</t>
        </is>
      </c>
      <c r="AT239" t="inlineStr">
        <is>
          <t>ixion</t>
        </is>
      </c>
      <c r="AU239" t="n">
        <v>1</v>
      </c>
      <c r="AV239" t="inlineStr">
        <is>
          <t>ixion:0</t>
        </is>
      </c>
      <c r="AW239" t="n">
        <v>0</v>
      </c>
      <c r="AX239" t="b">
        <v>0</v>
      </c>
      <c r="AY239" t="inlineStr"/>
      <c r="AZ239">
        <f>IF(AND($AX$239,$AW$239&gt;$AA$239/$Z$239),$AW$239,$AA$239/$Z$239)</f>
        <v/>
      </c>
      <c r="BA239" t="n">
        <v>0.2235294117647059</v>
      </c>
      <c r="BB239" t="n">
        <v>8</v>
      </c>
      <c r="BC239" t="n">
        <v>7</v>
      </c>
      <c r="BD239" t="inlineStr">
        <is>
          <t>gun</t>
        </is>
      </c>
      <c r="BE239" t="inlineStr">
        <is>
          <t>Wikipedia '2A46': 7-8 rpm with the autoloader</t>
        </is>
      </c>
      <c r="BF239" t="inlineStr">
        <is>
          <t>real 2A46 with its autoloader, 8 rpm (7.5 s); wave 1's 5.56 s is too fast after the 30 % rule</t>
        </is>
      </c>
      <c r="BG239" t="inlineStr">
        <is>
          <t>doi</t>
        </is>
      </c>
      <c r="BH239" t="n">
        <v>780</v>
      </c>
      <c r="BI239" t="n">
        <v>400</v>
      </c>
      <c r="BJ239" t="n">
        <v>2</v>
      </c>
      <c r="BK239" t="n">
        <v>7.5</v>
      </c>
      <c r="CB239" t="n">
        <v>4</v>
      </c>
      <c r="CC239" t="n">
        <v>5</v>
      </c>
      <c r="CT239" t="n">
        <v>125</v>
      </c>
      <c r="DD239" t="n">
        <v>7.5</v>
      </c>
      <c r="DE239" t="n">
        <v>400</v>
      </c>
      <c r="DO239" t="n">
        <v>30</v>
      </c>
      <c r="DT239" t="inlineStr">
        <is>
          <t>gun_120mm</t>
        </is>
      </c>
      <c r="EB239" t="n">
        <v>5</v>
      </c>
      <c r="EP239" t="n">
        <v>38</v>
      </c>
      <c r="EQ239" t="inlineStr">
        <is>
          <t>2A46 125 mm (turret, AP)</t>
        </is>
      </c>
      <c r="EX239" t="n">
        <v>125</v>
      </c>
      <c r="EY239" t="n">
        <v>0</v>
      </c>
      <c r="GA239" t="inlineStr"/>
      <c r="GB239" t="inlineStr">
        <is>
          <t>cal_125_ap</t>
        </is>
      </c>
      <c r="GD239" t="inlineStr">
        <is>
          <t>Assets/MachineBrigade/Resources/Data/balance.json: weapons[172]</t>
        </is>
      </c>
      <c r="GE239" t="inlineStr">
        <is>
          <t>{"id":"p26_ixion_125","groundMinReach":30,"inherits":"gun_120mm","weaponFamilyId":"cal_125_ap","weaponFamily":"","real":"2A46 125 mm (turret, AP)","size":125,"caliberMm":125,"damage":400,"cooldown":7.5,"pen":5,"splash":0,"range":38}</t>
        </is>
      </c>
    </row>
    <row r="240">
      <c r="A240" t="inlineStr">
        <is>
          <t>p26_ixion_125_he</t>
        </is>
      </c>
      <c r="B240" t="inlineStr">
        <is>
          <t>2A46 125 mm HE-FRAG</t>
        </is>
      </c>
      <c r="C240" t="inlineStr">
        <is>
          <t>cal_125_he</t>
        </is>
      </c>
      <c r="D240" t="inlineStr"/>
      <c r="E240" t="inlineStr"/>
      <c r="F240" t="inlineStr">
        <is>
          <t>tank_gun</t>
        </is>
      </c>
      <c r="G240" t="n">
        <v>125</v>
      </c>
      <c r="H240" t="inlineStr"/>
      <c r="I240" t="inlineStr"/>
      <c r="J240" t="inlineStr"/>
      <c r="K240" t="inlineStr">
        <is>
          <t>HighExplosive</t>
        </is>
      </c>
      <c r="L240" t="n">
        <v>3</v>
      </c>
      <c r="M240" t="inlineStr">
        <is>
          <t>Shell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7.5</v>
      </c>
      <c r="S240" t="n">
        <v>0</v>
      </c>
      <c r="T240" t="n">
        <v>0</v>
      </c>
      <c r="U240" t="n">
        <v>0</v>
      </c>
      <c r="V240" t="n">
        <v>0</v>
      </c>
      <c r="W240" t="n">
        <v>400.1</v>
      </c>
      <c r="X240" t="n">
        <v>5</v>
      </c>
      <c r="Y240" t="n">
        <v>10</v>
      </c>
      <c r="Z240" t="n">
        <v>170</v>
      </c>
      <c r="AA240" t="n">
        <v>38</v>
      </c>
      <c r="AB240" t="n">
        <v>0</v>
      </c>
      <c r="AC240" t="inlineStr">
        <is>
          <t>Ground</t>
        </is>
      </c>
      <c r="AD240" t="inlineStr"/>
      <c r="AE240" t="n">
        <v>0.6</v>
      </c>
      <c r="AF240" t="inlineStr">
        <is>
          <t>Huge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125</v>
      </c>
      <c r="AO240" t="n">
        <v>0</v>
      </c>
      <c r="AP240" t="inlineStr">
        <is>
          <t>T3</t>
        </is>
      </c>
      <c r="AQ240" t="inlineStr">
        <is>
          <t>p26_ixion_125</t>
        </is>
      </c>
      <c r="AR240" t="inlineStr"/>
      <c r="AS240" t="inlineStr"/>
      <c r="AT240" t="inlineStr"/>
      <c r="AU240" t="n">
        <v>0</v>
      </c>
      <c r="AV240" t="inlineStr"/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0.2235294117647059</v>
      </c>
      <c r="BB240" t="n">
        <v>8</v>
      </c>
      <c r="BC240" t="n">
        <v>7</v>
      </c>
      <c r="BD240" t="inlineStr">
        <is>
          <t>gun</t>
        </is>
      </c>
      <c r="BE240" t="inlineStr">
        <is>
          <t>Wikipedia '2A46': 7-8 rpm with the autoloader</t>
        </is>
      </c>
      <c r="BG240" t="inlineStr">
        <is>
          <t>doi</t>
        </is>
      </c>
      <c r="BH240" t="n">
        <v>780</v>
      </c>
      <c r="BI240" t="n">
        <v>400.1</v>
      </c>
      <c r="BJ240" t="n">
        <v>2</v>
      </c>
      <c r="BK240" t="n">
        <v>7.5</v>
      </c>
      <c r="DE240" t="n">
        <v>400.1</v>
      </c>
      <c r="DF240" t="inlineStr">
        <is>
          <t>HighExplosive</t>
        </is>
      </c>
      <c r="DG240" t="n">
        <v>10</v>
      </c>
      <c r="DM240" t="inlineStr">
        <is>
          <t>cluster</t>
        </is>
      </c>
      <c r="DN240" t="inlineStr">
        <is>
          <t>HeShell</t>
        </is>
      </c>
      <c r="DS240" t="inlineStr">
        <is>
          <t>Huge</t>
        </is>
      </c>
      <c r="DT240" t="inlineStr">
        <is>
          <t>p26_ixion_125</t>
        </is>
      </c>
      <c r="EB240" t="n">
        <v>3</v>
      </c>
      <c r="EE240" t="b">
        <v>0</v>
      </c>
      <c r="EQ240" t="inlineStr">
        <is>
          <t>2A46 125 mm HE-FRAG</t>
        </is>
      </c>
      <c r="ES240" t="inlineStr">
        <is>
          <t>he</t>
        </is>
      </c>
      <c r="EU240" t="inlineStr">
        <is>
          <t>p26_ixion_125</t>
        </is>
      </c>
      <c r="EY240" t="n">
        <v>5</v>
      </c>
      <c r="FW240" t="inlineStr">
        <is>
          <t>Ground</t>
        </is>
      </c>
      <c r="GA240" t="inlineStr"/>
      <c r="GB240" t="inlineStr">
        <is>
          <t>cal_125_he</t>
        </is>
      </c>
      <c r="GD240" t="inlineStr">
        <is>
          <t>Assets/MachineBrigade/Resources/Data/balance.json: secondRounds.rounds[6]</t>
        </is>
      </c>
      <c r="GE240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41">
      <c r="A241" t="inlineStr">
        <is>
          <t>p26_ixion_mg</t>
        </is>
      </c>
      <c r="B241" t="inlineStr">
        <is>
          <t>NSV 12.7 mm</t>
        </is>
      </c>
      <c r="C241" t="inlineStr">
        <is>
          <t>cal_12_7</t>
        </is>
      </c>
      <c r="D241" t="inlineStr"/>
      <c r="E241" t="inlineStr"/>
      <c r="F241" t="inlineStr">
        <is>
          <t>mg</t>
        </is>
      </c>
      <c r="G241" t="n">
        <v>12.7</v>
      </c>
      <c r="H241" t="inlineStr"/>
      <c r="I241" t="inlineStr"/>
      <c r="J241" t="inlineStr"/>
      <c r="K241" t="inlineStr">
        <is>
          <t>Kinetic</t>
        </is>
      </c>
      <c r="L241" t="n">
        <v>1</v>
      </c>
      <c r="M241" t="inlineStr">
        <is>
          <t>Bullet</t>
        </is>
      </c>
      <c r="N241" t="n">
        <v>1</v>
      </c>
      <c r="O241" t="inlineStr">
        <is>
          <t>RIPPLE</t>
        </is>
      </c>
      <c r="P241" t="n">
        <v>1</v>
      </c>
      <c r="Q241" t="n">
        <v>0.1</v>
      </c>
      <c r="R241" t="n">
        <v>0.0833</v>
      </c>
      <c r="S241" t="n">
        <v>100</v>
      </c>
      <c r="T241" t="n">
        <v>5</v>
      </c>
      <c r="U241" t="n">
        <v>0</v>
      </c>
      <c r="V241" t="n">
        <v>0</v>
      </c>
      <c r="W241" t="n">
        <v>15</v>
      </c>
      <c r="X241" t="n">
        <v>0</v>
      </c>
      <c r="Y241" t="n">
        <v>0</v>
      </c>
      <c r="Z241" t="n">
        <v>240</v>
      </c>
      <c r="AA241" t="n">
        <v>30</v>
      </c>
      <c r="AB241" t="n">
        <v>0</v>
      </c>
      <c r="AC241" t="inlineStr">
        <is>
          <t>All</t>
        </is>
      </c>
      <c r="AD241" t="inlineStr"/>
      <c r="AE241" t="n">
        <v>1.3</v>
      </c>
      <c r="AF241" t="inlineStr">
        <is>
          <t>Small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12.7</v>
      </c>
      <c r="AO241" t="n">
        <v>0</v>
      </c>
      <c r="AP241" t="inlineStr">
        <is>
          <t>T0</t>
        </is>
      </c>
      <c r="AQ241" t="inlineStr">
        <is>
          <t>boss_hmg</t>
        </is>
      </c>
      <c r="AR241" t="inlineStr"/>
      <c r="AS241" t="inlineStr">
        <is>
          <t>boss</t>
        </is>
      </c>
      <c r="AT241" t="inlineStr">
        <is>
          <t>ixion</t>
        </is>
      </c>
      <c r="AU241" t="n">
        <v>1</v>
      </c>
      <c r="AV241" t="inlineStr">
        <is>
          <t>ixion:1;ixion:2</t>
        </is>
      </c>
      <c r="AW241" t="n">
        <v>0</v>
      </c>
      <c r="AX241" t="b">
        <v>0</v>
      </c>
      <c r="AY241" t="inlineStr"/>
      <c r="AZ241">
        <f>IF(AND($AX$241,$AW$241&gt;$AA$241/$Z$241),$AW$241,$AA$241/$Z$241)</f>
        <v/>
      </c>
      <c r="BA241" t="n">
        <v>0.125</v>
      </c>
      <c r="BB241" t="n">
        <v>800</v>
      </c>
      <c r="BC241" t="n">
        <v>100</v>
      </c>
      <c r="BD241" t="inlineStr">
        <is>
          <t>mg</t>
        </is>
      </c>
      <c r="BE241" t="inlineStr">
        <is>
          <t>Wikipedia 'NSV machine gun': 700-800 cyclic, 100 practical</t>
        </is>
      </c>
      <c r="BF241" t="inlineStr">
        <is>
          <t>wave 1 boss_hmg: 100 rounds at 720 rpm, changed in 5 s (NSV 700-800 rpm)</t>
        </is>
      </c>
      <c r="BG241" t="inlineStr">
        <is>
          <t>doi</t>
        </is>
      </c>
      <c r="CH241" t="n">
        <v>5.0833</v>
      </c>
      <c r="CI241" t="n">
        <v>5</v>
      </c>
      <c r="CX241" t="n">
        <v>5</v>
      </c>
      <c r="DE241" t="n">
        <v>15</v>
      </c>
      <c r="DT241" t="inlineStr">
        <is>
          <t>boss_hmg</t>
        </is>
      </c>
      <c r="GA241" t="inlineStr"/>
      <c r="GD241" t="inlineStr">
        <is>
          <t>Assets/MachineBrigade/Resources/Data/balance.json: weapons[168]</t>
        </is>
      </c>
      <c r="GE241" t="inlineStr">
        <is>
          <t>{"id":"p26_ixion_mg","inherits":"boss_hmg","clipReload":5,"weaponFamily":"","damage":15}</t>
        </is>
      </c>
    </row>
    <row r="242">
      <c r="A242" t="inlineStr">
        <is>
          <t>p26_jotunn_close_boss_flak</t>
        </is>
      </c>
      <c r="B242" t="inlineStr">
        <is>
          <t>Oerlikon 35 mm (twin)</t>
        </is>
      </c>
      <c r="C242" t="inlineStr">
        <is>
          <t>cal_35</t>
        </is>
      </c>
      <c r="D242" t="inlineStr"/>
      <c r="E242" t="inlineStr"/>
      <c r="F242" t="inlineStr">
        <is>
          <t>autocannon</t>
        </is>
      </c>
      <c r="G242" t="n">
        <v>35</v>
      </c>
      <c r="H242" t="inlineStr"/>
      <c r="I242" t="inlineStr"/>
      <c r="J242" t="inlineStr"/>
      <c r="K242" t="inlineStr">
        <is>
          <t>Fragmentation</t>
        </is>
      </c>
      <c r="L242" t="n">
        <v>2</v>
      </c>
      <c r="M242" t="inlineStr">
        <is>
          <t>Bullet</t>
        </is>
      </c>
      <c r="N242" t="n">
        <v>1</v>
      </c>
      <c r="O242" t="inlineStr">
        <is>
          <t>RIPPLE</t>
        </is>
      </c>
      <c r="P242" t="n">
        <v>1</v>
      </c>
      <c r="Q242" t="n">
        <v>0.1</v>
      </c>
      <c r="R242" t="n">
        <v>0.05</v>
      </c>
      <c r="S242" t="n">
        <v>41</v>
      </c>
      <c r="T242" t="n">
        <v>3.38</v>
      </c>
      <c r="U242" t="n">
        <v>0</v>
      </c>
      <c r="V242" t="n">
        <v>0</v>
      </c>
      <c r="W242" t="n">
        <v>25</v>
      </c>
      <c r="X242" t="n">
        <v>2.5</v>
      </c>
      <c r="Y242" t="n">
        <v>0</v>
      </c>
      <c r="Z242" t="n">
        <v>260</v>
      </c>
      <c r="AA242" t="n">
        <v>40</v>
      </c>
      <c r="AB242" t="n">
        <v>0</v>
      </c>
      <c r="AC242" t="inlineStr">
        <is>
          <t>All</t>
        </is>
      </c>
      <c r="AD242" t="inlineStr"/>
      <c r="AE242" t="n">
        <v>1.5</v>
      </c>
      <c r="AF242" t="inlineStr">
        <is>
          <t>Small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35</v>
      </c>
      <c r="AO242" t="n">
        <v>0</v>
      </c>
      <c r="AP242" t="inlineStr">
        <is>
          <t>T1</t>
        </is>
      </c>
      <c r="AQ242" t="inlineStr">
        <is>
          <t>boss_flak</t>
        </is>
      </c>
      <c r="AR242" t="inlineStr"/>
      <c r="AS242" t="inlineStr">
        <is>
          <t>boss</t>
        </is>
      </c>
      <c r="AT242" t="inlineStr">
        <is>
          <t>fenrir;mobile_fortress</t>
        </is>
      </c>
      <c r="AU242" t="n">
        <v>2</v>
      </c>
      <c r="AV242" t="inlineStr">
        <is>
          <t>fenrir:2;mobile_fortress:3;mobile_fortress:4</t>
        </is>
      </c>
      <c r="AW242" t="n">
        <v>0</v>
      </c>
      <c r="AX242" t="b">
        <v>0</v>
      </c>
      <c r="AY242" t="inlineStr"/>
      <c r="AZ242">
        <f>IF(AND($AX$242,$AW$242&gt;$AA$242/$Z$242),$AW$242,$AA$242/$Z$242)</f>
        <v/>
      </c>
      <c r="BA242" t="n">
        <v>0.1538461538461539</v>
      </c>
      <c r="BB242" t="n">
        <v>550</v>
      </c>
      <c r="BC242" t="n">
        <v>300</v>
      </c>
      <c r="BD242" t="inlineStr">
        <is>
          <t>aa</t>
        </is>
      </c>
      <c r="BE242" t="inlineStr">
        <is>
          <t>Wikipedia 'Oerlikon GDF': 550 rpm a gun (the twin: 1,100)</t>
        </is>
      </c>
      <c r="BF242" t="inlineStr">
        <is>
          <t>wave 1 boss_flak: 41 rounds at 1,200 rpm, changed in 3.38 s (twin Oerlikon GDF 2 x 550 rpm)</t>
        </is>
      </c>
      <c r="BG242" t="inlineStr">
        <is>
          <t>doi</t>
        </is>
      </c>
      <c r="BH242" t="n">
        <v>18</v>
      </c>
      <c r="BI242" t="n">
        <v>25</v>
      </c>
      <c r="CX242" t="n">
        <v>3.38</v>
      </c>
      <c r="DE242" t="n">
        <v>25</v>
      </c>
      <c r="DT242" t="inlineStr">
        <is>
          <t>boss_flak</t>
        </is>
      </c>
      <c r="GA242" t="inlineStr"/>
      <c r="GD242" t="inlineStr">
        <is>
          <t>Assets/MachineBrigade/Resources/Data/balance.json: weapons[165]</t>
        </is>
      </c>
      <c r="GE242" t="inlineStr">
        <is>
          <t>{"id":"p26_jotunn_close_boss_flak","inherits":"boss_flak","clipReload":3.38,"weaponFamily":"","damage":25}</t>
        </is>
      </c>
    </row>
    <row r="243">
      <c r="A243" t="inlineStr">
        <is>
          <t>p26_jotunn_direct_jo125</t>
        </is>
      </c>
      <c r="B243" t="inlineStr">
        <is>
          <t>2A46 125 mm</t>
        </is>
      </c>
      <c r="C243" t="inlineStr">
        <is>
          <t>cal_125_ap</t>
        </is>
      </c>
      <c r="D243" t="inlineStr"/>
      <c r="E243" t="inlineStr"/>
      <c r="F243" t="inlineStr">
        <is>
          <t>tank_gun</t>
        </is>
      </c>
      <c r="G243" t="n">
        <v>125</v>
      </c>
      <c r="H243" t="inlineStr"/>
      <c r="I243" t="inlineStr"/>
      <c r="J243" t="inlineStr"/>
      <c r="K243" t="inlineStr">
        <is>
          <t>Kinetic</t>
        </is>
      </c>
      <c r="L243" t="n">
        <v>5</v>
      </c>
      <c r="M243" t="inlineStr">
        <is>
          <t>Shell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7.5</v>
      </c>
      <c r="S243" t="n">
        <v>0</v>
      </c>
      <c r="T243" t="n">
        <v>0</v>
      </c>
      <c r="U243" t="n">
        <v>0</v>
      </c>
      <c r="V243" t="n">
        <v>0</v>
      </c>
      <c r="W243" t="n">
        <v>400</v>
      </c>
      <c r="X243" t="n">
        <v>0</v>
      </c>
      <c r="Y243" t="n">
        <v>0</v>
      </c>
      <c r="Z243" t="n">
        <v>170</v>
      </c>
      <c r="AA243" t="n">
        <v>38</v>
      </c>
      <c r="AB243" t="n">
        <v>0</v>
      </c>
      <c r="AC243" t="inlineStr">
        <is>
          <t>Ground</t>
        </is>
      </c>
      <c r="AD243" t="inlineStr"/>
      <c r="AE243" t="n">
        <v>0.6</v>
      </c>
      <c r="AF243" t="inlineStr">
        <is>
          <t>Medium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125</v>
      </c>
      <c r="AO243" t="n">
        <v>0</v>
      </c>
      <c r="AP243" t="inlineStr">
        <is>
          <t>T3</t>
        </is>
      </c>
      <c r="AQ243" t="inlineStr">
        <is>
          <t>p26_jotunn_jo125</t>
        </is>
      </c>
      <c r="AR243" t="inlineStr"/>
      <c r="AS243" t="inlineStr">
        <is>
          <t>boss</t>
        </is>
      </c>
      <c r="AT243" t="inlineStr">
        <is>
          <t>mobile_fortress</t>
        </is>
      </c>
      <c r="AU243" t="n">
        <v>1</v>
      </c>
      <c r="AV243" t="inlineStr">
        <is>
          <t>mobile_fortress:5</t>
        </is>
      </c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0.2235294117647059</v>
      </c>
      <c r="BB243" t="n">
        <v>8</v>
      </c>
      <c r="BC243" t="n">
        <v>7</v>
      </c>
      <c r="BD243" t="inlineStr">
        <is>
          <t>gun</t>
        </is>
      </c>
      <c r="BE243" t="inlineStr">
        <is>
          <t>Wikipedia '2A46': 7-8 rpm with the autoloader</t>
        </is>
      </c>
      <c r="BF243" t="inlineStr">
        <is>
          <t>real 2A46 with its autoloader, 8 rpm (7.5 s); wave 1's 5.56 s is too fast after the 30 % rule</t>
        </is>
      </c>
      <c r="BG243" t="inlineStr">
        <is>
          <t>doi</t>
        </is>
      </c>
      <c r="BH243" t="n">
        <v>290</v>
      </c>
      <c r="BI243" t="n">
        <v>400</v>
      </c>
      <c r="BJ243" t="n">
        <v>2.5</v>
      </c>
      <c r="BK243" t="n">
        <v>7.5</v>
      </c>
      <c r="DD243" t="n">
        <v>7.5</v>
      </c>
      <c r="DE243" t="n">
        <v>400</v>
      </c>
      <c r="DO243" t="n">
        <v>30</v>
      </c>
      <c r="DT243" t="inlineStr">
        <is>
          <t>p26_jotunn_jo125</t>
        </is>
      </c>
      <c r="GD243" t="inlineStr">
        <is>
          <t>Assets/MachineBrigade/Resources/Data/balance.json: weapons[164]</t>
        </is>
      </c>
      <c r="GE243" t="inlineStr">
        <is>
          <t>{"id":"p26_jotunn_direct_jo125","groundMinReach":30,"inherits":"p26_jotunn_jo125","cooldown":7.5,"damage":400}</t>
        </is>
      </c>
    </row>
    <row r="244">
      <c r="A244" t="inlineStr">
        <is>
          <t>p26_jotunn_jo125</t>
        </is>
      </c>
      <c r="B244" t="inlineStr">
        <is>
          <t>2A46 125 mm</t>
        </is>
      </c>
      <c r="C244" t="inlineStr">
        <is>
          <t>cal_125_ap</t>
        </is>
      </c>
      <c r="D244" t="inlineStr"/>
      <c r="E244" t="inlineStr"/>
      <c r="F244" t="inlineStr">
        <is>
          <t>tank_gun</t>
        </is>
      </c>
      <c r="G244" t="n">
        <v>125</v>
      </c>
      <c r="H244" t="inlineStr"/>
      <c r="I244" t="inlineStr"/>
      <c r="J244" t="inlineStr"/>
      <c r="K244" t="inlineStr">
        <is>
          <t>Kinetic</t>
        </is>
      </c>
      <c r="L244" t="n">
        <v>5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0.1</v>
      </c>
      <c r="R244" t="n">
        <v>2</v>
      </c>
      <c r="S244" t="n">
        <v>0</v>
      </c>
      <c r="T244" t="n">
        <v>0</v>
      </c>
      <c r="U244" t="n">
        <v>0</v>
      </c>
      <c r="V244" t="n">
        <v>0</v>
      </c>
      <c r="W244" t="n">
        <v>280</v>
      </c>
      <c r="X244" t="n">
        <v>0</v>
      </c>
      <c r="Y244" t="n">
        <v>0</v>
      </c>
      <c r="Z244" t="n">
        <v>170</v>
      </c>
      <c r="AA244" t="n">
        <v>38</v>
      </c>
      <c r="AB244" t="n">
        <v>0</v>
      </c>
      <c r="AC244" t="inlineStr">
        <is>
          <t>Ground</t>
        </is>
      </c>
      <c r="AD244" t="inlineStr"/>
      <c r="AE244" t="n">
        <v>0.6</v>
      </c>
      <c r="AF244" t="inlineStr">
        <is>
          <t>Medium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125</v>
      </c>
      <c r="AO244" t="n">
        <v>0</v>
      </c>
      <c r="AP244" t="inlineStr">
        <is>
          <t>T3</t>
        </is>
      </c>
      <c r="AQ244" t="inlineStr">
        <is>
          <t>gun_120mm</t>
        </is>
      </c>
      <c r="AR244" t="inlineStr"/>
      <c r="AS244" t="inlineStr"/>
      <c r="AT244" t="inlineStr"/>
      <c r="AU244" t="n">
        <v>0</v>
      </c>
      <c r="AV244" t="inlineStr"/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0.2235294117647059</v>
      </c>
      <c r="BB244" t="n">
        <v>8</v>
      </c>
      <c r="BC244" t="n">
        <v>7</v>
      </c>
      <c r="BD244" t="inlineStr">
        <is>
          <t>gun</t>
        </is>
      </c>
      <c r="BE244" t="inlineStr">
        <is>
          <t>Wikipedia '2A46': 7-8 rpm with the autoloader</t>
        </is>
      </c>
      <c r="BG244" t="inlineStr">
        <is>
          <t>giong</t>
        </is>
      </c>
      <c r="CT244" t="n">
        <v>125</v>
      </c>
      <c r="DD244" t="n">
        <v>2</v>
      </c>
      <c r="DE244" t="n">
        <v>280</v>
      </c>
      <c r="DT244" t="inlineStr">
        <is>
          <t>gun_120mm</t>
        </is>
      </c>
      <c r="EB244" t="n">
        <v>5</v>
      </c>
      <c r="EP244" t="n">
        <v>38</v>
      </c>
      <c r="EQ244" t="inlineStr">
        <is>
          <t>2A46 125 mm</t>
        </is>
      </c>
      <c r="EX244" t="n">
        <v>125</v>
      </c>
      <c r="EY244" t="n">
        <v>0</v>
      </c>
      <c r="GA244" t="inlineStr"/>
      <c r="GB244" t="inlineStr">
        <is>
          <t>cal_125_ap</t>
        </is>
      </c>
      <c r="GD244" t="inlineStr">
        <is>
          <t>Assets/MachineBrigade/Resources/Data/balance.json: weapons[162]</t>
        </is>
      </c>
      <c r="GE244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45">
      <c r="A245" t="inlineStr">
        <is>
          <t>p26_jotunn_jo203</t>
        </is>
      </c>
      <c r="B245" t="inlineStr">
        <is>
          <t>2A44 203 mm</t>
        </is>
      </c>
      <c r="C245" t="inlineStr">
        <is>
          <t>cal_203</t>
        </is>
      </c>
      <c r="D245" t="inlineStr"/>
      <c r="E245" t="inlineStr"/>
      <c r="F245" t="inlineStr">
        <is>
          <t>howitzer</t>
        </is>
      </c>
      <c r="G245" t="n">
        <v>203</v>
      </c>
      <c r="H245" t="inlineStr"/>
      <c r="I245" t="inlineStr"/>
      <c r="J245" t="inlineStr"/>
      <c r="K245" t="inlineStr">
        <is>
          <t>HighExplosive</t>
        </is>
      </c>
      <c r="L245" t="n">
        <v>4</v>
      </c>
      <c r="M245" t="inlineStr">
        <is>
          <t>Shell</t>
        </is>
      </c>
      <c r="N245" t="n">
        <v>1</v>
      </c>
      <c r="O245" t="inlineStr">
        <is>
          <t>RIPPLE</t>
        </is>
      </c>
      <c r="P245" t="n">
        <v>1</v>
      </c>
      <c r="Q245" t="n">
        <v>0.1</v>
      </c>
      <c r="R245" t="n">
        <v>24</v>
      </c>
      <c r="S245" t="n">
        <v>0</v>
      </c>
      <c r="T245" t="n">
        <v>0</v>
      </c>
      <c r="U245" t="n">
        <v>0</v>
      </c>
      <c r="V245" t="n">
        <v>0</v>
      </c>
      <c r="W245" t="n">
        <v>900</v>
      </c>
      <c r="X245" t="n">
        <v>8.5</v>
      </c>
      <c r="Y245" t="n">
        <v>17</v>
      </c>
      <c r="Z245" t="n">
        <v>60</v>
      </c>
      <c r="AA245" t="n">
        <v>60</v>
      </c>
      <c r="AB245" t="n">
        <v>0</v>
      </c>
      <c r="AC245" t="inlineStr">
        <is>
          <t>Ground</t>
        </is>
      </c>
      <c r="AD245" t="inlineStr"/>
      <c r="AE245" t="n">
        <v>3</v>
      </c>
      <c r="AF245" t="inlineStr">
        <is>
          <t>Huge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203</v>
      </c>
      <c r="AO245" t="n">
        <v>0</v>
      </c>
      <c r="AP245" t="inlineStr">
        <is>
          <t>T4</t>
        </is>
      </c>
      <c r="AQ245" t="inlineStr">
        <is>
          <t>boss_howitzer</t>
        </is>
      </c>
      <c r="AR245" t="inlineStr"/>
      <c r="AS245" t="inlineStr">
        <is>
          <t>boss</t>
        </is>
      </c>
      <c r="AT245" t="inlineStr">
        <is>
          <t>mobile_fortress</t>
        </is>
      </c>
      <c r="AU245" t="n">
        <v>1</v>
      </c>
      <c r="AV245" t="inlineStr">
        <is>
          <t>mobile_fortress:0;mobile_fortress:7</t>
        </is>
      </c>
      <c r="AW245" t="n">
        <v>2.5</v>
      </c>
      <c r="AX245" t="b">
        <v>1</v>
      </c>
      <c r="AY245" t="inlineStr"/>
      <c r="AZ245">
        <f>IF(AND($AX$245,$AW$245&gt;$AA$245/$Z$245),$AW$245,$AA$245/$Z$245)</f>
        <v/>
      </c>
      <c r="BA245" t="n">
        <v>2.5</v>
      </c>
      <c r="BB245" t="n">
        <v>2.5</v>
      </c>
      <c r="BC245" t="n">
        <v>1</v>
      </c>
      <c r="BD245" t="inlineStr">
        <is>
          <t>gun</t>
        </is>
      </c>
      <c r="BE245" t="inlineStr">
        <is>
          <t>Wikipedia '2S7 Pion': 1.5 rpm (2S7M Malka 2.5)</t>
        </is>
      </c>
      <c r="BF245" t="inlineStr">
        <is>
          <t>real 2S7M Malka 2.5 rpm (24 s); wave 1's 9.44 s is too fast</t>
        </is>
      </c>
      <c r="BG245" t="inlineStr">
        <is>
          <t>doi</t>
        </is>
      </c>
      <c r="BH245" t="n">
        <v>790</v>
      </c>
      <c r="BI245" t="n">
        <v>900</v>
      </c>
      <c r="BJ245" t="n">
        <v>5</v>
      </c>
      <c r="BK245" t="n">
        <v>24</v>
      </c>
      <c r="BN245" t="n">
        <v>10</v>
      </c>
      <c r="BO245" t="n">
        <v>8.5</v>
      </c>
      <c r="BP245" t="n">
        <v>20</v>
      </c>
      <c r="BQ245" t="n">
        <v>17</v>
      </c>
      <c r="DD245" t="n">
        <v>24</v>
      </c>
      <c r="DE245" t="n">
        <v>900</v>
      </c>
      <c r="DG245" t="n">
        <v>17</v>
      </c>
      <c r="DO245" t="n">
        <v>48</v>
      </c>
      <c r="DT245" t="inlineStr">
        <is>
          <t>boss_howitzer</t>
        </is>
      </c>
      <c r="EQ245" t="inlineStr">
        <is>
          <t>2A44 203 mm</t>
        </is>
      </c>
      <c r="EY245" t="n">
        <v>8.5</v>
      </c>
      <c r="GD245" t="inlineStr">
        <is>
          <t>Assets/MachineBrigade/Resources/Data/balance.json: weapons[160]</t>
        </is>
      </c>
      <c r="GE245" t="inlineStr">
        <is>
          <t>{"id":"p26_jotunn_jo203","groundMinReach":48,"inherits":"boss_howitzer","real":"2A44 203 mm","damage":900,"cooldown":24,"splash":8.5,"edge":17}</t>
        </is>
      </c>
    </row>
    <row r="246">
      <c r="A246" t="inlineStr">
        <is>
          <t>p26_jotunn_jo_rockets</t>
        </is>
      </c>
      <c r="B246" t="inlineStr">
        <is>
          <t>BM-30 Smerch 300 mm (pod)</t>
        </is>
      </c>
      <c r="C246" t="inlineStr">
        <is>
          <t>rkt_smerch_300</t>
        </is>
      </c>
      <c r="D246" t="inlineStr"/>
      <c r="E246" t="inlineStr"/>
      <c r="F246" t="inlineStr">
        <is>
          <t>rocket</t>
        </is>
      </c>
      <c r="G246" t="n">
        <v>300</v>
      </c>
      <c r="H246" t="inlineStr"/>
      <c r="I246" t="inlineStr"/>
      <c r="J246" t="inlineStr"/>
      <c r="K246" t="inlineStr">
        <is>
          <t>HighExplosive</t>
        </is>
      </c>
      <c r="L246" t="n">
        <v>2</v>
      </c>
      <c r="M246" t="inlineStr">
        <is>
          <t>Rocket</t>
        </is>
      </c>
      <c r="N246" t="n">
        <v>1</v>
      </c>
      <c r="O246" t="inlineStr">
        <is>
          <t>RIPPLE</t>
        </is>
      </c>
      <c r="P246" t="n">
        <v>8</v>
      </c>
      <c r="Q246" t="n">
        <v>0.3</v>
      </c>
      <c r="R246" t="n">
        <v>7.9</v>
      </c>
      <c r="S246" t="n">
        <v>0</v>
      </c>
      <c r="T246" t="n">
        <v>0</v>
      </c>
      <c r="U246" t="n">
        <v>0</v>
      </c>
      <c r="V246" t="n">
        <v>0</v>
      </c>
      <c r="W246" t="n">
        <v>110</v>
      </c>
      <c r="X246" t="n">
        <v>5</v>
      </c>
      <c r="Y246" t="n">
        <v>10</v>
      </c>
      <c r="Z246" t="n">
        <v>80</v>
      </c>
      <c r="AA246" t="n">
        <v>45</v>
      </c>
      <c r="AB246" t="n">
        <v>0</v>
      </c>
      <c r="AC246" t="inlineStr">
        <is>
          <t>Ground</t>
        </is>
      </c>
      <c r="AD246" t="inlineStr"/>
      <c r="AE246" t="n">
        <v>5</v>
      </c>
      <c r="AF246" t="inlineStr">
        <is>
          <t>Large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300</v>
      </c>
      <c r="AO246" t="n">
        <v>0</v>
      </c>
      <c r="AP246" t="inlineStr">
        <is>
          <t>T4</t>
        </is>
      </c>
      <c r="AQ246" t="inlineStr">
        <is>
          <t>boss_rockets</t>
        </is>
      </c>
      <c r="AR246" t="inlineStr"/>
      <c r="AS246" t="inlineStr"/>
      <c r="AT246" t="inlineStr"/>
      <c r="AU246" t="n">
        <v>0</v>
      </c>
      <c r="AV246" t="inlineStr"/>
      <c r="AW246" t="n">
        <v>2.5</v>
      </c>
      <c r="AX246" t="b">
        <v>1</v>
      </c>
      <c r="AY246" t="inlineStr"/>
      <c r="AZ246">
        <f>IF(AND($AX$246,$AW$246&gt;$AA$246/$Z$246),$AW$246,$AA$246/$Z$246)</f>
        <v/>
      </c>
      <c r="BA246" t="n">
        <v>2.5</v>
      </c>
      <c r="BB246" t="n">
        <v>19</v>
      </c>
      <c r="BC246" t="inlineStr"/>
      <c r="BD246" t="inlineStr">
        <is>
          <t>rocket</t>
        </is>
      </c>
      <c r="BE246" t="inlineStr">
        <is>
          <t>Wikipedia 'BM-30 Smerch': 12 rockets in 38 s</t>
        </is>
      </c>
      <c r="BG246" t="inlineStr">
        <is>
          <t>doi</t>
        </is>
      </c>
      <c r="BR246" t="n">
        <v>45</v>
      </c>
      <c r="BS246" t="n">
        <v>80</v>
      </c>
      <c r="CR246" t="n">
        <v>8</v>
      </c>
      <c r="CS246" t="n">
        <v>0.3</v>
      </c>
      <c r="CT246" t="n">
        <v>300</v>
      </c>
      <c r="DD246" t="n">
        <v>7.9</v>
      </c>
      <c r="DE246" t="n">
        <v>110</v>
      </c>
      <c r="DF246" t="inlineStr">
        <is>
          <t>HighExplosive</t>
        </is>
      </c>
      <c r="DG246" t="n">
        <v>10</v>
      </c>
      <c r="DL246" t="inlineStr">
        <is>
          <t>Ballistic</t>
        </is>
      </c>
      <c r="DO246" t="n">
        <v>0</v>
      </c>
      <c r="DS246" t="inlineStr">
        <is>
          <t>Large</t>
        </is>
      </c>
      <c r="DT246" t="inlineStr">
        <is>
          <t>boss_rockets</t>
        </is>
      </c>
      <c r="EK246" t="n">
        <v>80</v>
      </c>
      <c r="EQ246" t="inlineStr">
        <is>
          <t>BM-30 Smerch 300 mm (pod)</t>
        </is>
      </c>
      <c r="EX246" t="n">
        <v>300</v>
      </c>
      <c r="EY246" t="n">
        <v>5</v>
      </c>
      <c r="GB246" t="inlineStr">
        <is>
          <t>rkt_smerch_300</t>
        </is>
      </c>
      <c r="GD246" t="inlineStr">
        <is>
          <t>Assets/MachineBrigade/Resources/Data/balance.json: weapons[161]</t>
        </is>
      </c>
      <c r="GE246" t="inlineStr">
        <is>
          <t>{"id":"p26_jotunn_jo_rockets","groundMinReach":0,"flightProfile":"Ballistic","inherits":"boss_rockets","impactTier":"Large","weaponFamilyId":"rkt_smerch_300","damageType":"HighExplosive","projectileSpeed":80,"real":"BM-30 Smerch 300 mm (pod)","size":300,"caliberMm":300,"damage":110,"burst":8,"burstInterval":0.3,"cooldown":7.9,"splash":5,"edge":10}</t>
        </is>
      </c>
    </row>
    <row r="247">
      <c r="A247" t="inlineStr">
        <is>
          <t>p26_jotunn_sec_jo_rockets</t>
        </is>
      </c>
      <c r="B247" t="inlineStr">
        <is>
          <t>BM-30 Smerch 300 mm (pod)</t>
        </is>
      </c>
      <c r="C247" t="inlineStr">
        <is>
          <t>rkt_smerch_300</t>
        </is>
      </c>
      <c r="D247" t="inlineStr"/>
      <c r="E247" t="inlineStr"/>
      <c r="F247" t="inlineStr">
        <is>
          <t>rocket</t>
        </is>
      </c>
      <c r="G247" t="n">
        <v>300</v>
      </c>
      <c r="H247" t="inlineStr"/>
      <c r="I247" t="inlineStr"/>
      <c r="J247" t="inlineStr"/>
      <c r="K247" t="inlineStr">
        <is>
          <t>HighExplosive</t>
        </is>
      </c>
      <c r="L247" t="n">
        <v>2</v>
      </c>
      <c r="M247" t="inlineStr">
        <is>
          <t>Rocket</t>
        </is>
      </c>
      <c r="N247" t="n">
        <v>1</v>
      </c>
      <c r="O247" t="inlineStr">
        <is>
          <t>RIPPLE</t>
        </is>
      </c>
      <c r="P247" t="n">
        <v>8</v>
      </c>
      <c r="Q247" t="n">
        <v>3.17</v>
      </c>
      <c r="R247" t="n">
        <v>15.76</v>
      </c>
      <c r="S247" t="n">
        <v>0</v>
      </c>
      <c r="T247" t="n">
        <v>0</v>
      </c>
      <c r="U247" t="n">
        <v>0</v>
      </c>
      <c r="V247" t="n">
        <v>0</v>
      </c>
      <c r="W247" t="n">
        <v>450</v>
      </c>
      <c r="X247" t="n">
        <v>8</v>
      </c>
      <c r="Y247" t="n">
        <v>16</v>
      </c>
      <c r="Z247" t="n">
        <v>80</v>
      </c>
      <c r="AA247" t="n">
        <v>45</v>
      </c>
      <c r="AB247" t="n">
        <v>0</v>
      </c>
      <c r="AC247" t="inlineStr">
        <is>
          <t>Ground</t>
        </is>
      </c>
      <c r="AD247" t="inlineStr"/>
      <c r="AE247" t="n">
        <v>5</v>
      </c>
      <c r="AF247" t="inlineStr">
        <is>
          <t>Large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0</v>
      </c>
      <c r="AM247" t="b">
        <v>0</v>
      </c>
      <c r="AN247" t="n">
        <v>300</v>
      </c>
      <c r="AO247" t="n">
        <v>0</v>
      </c>
      <c r="AP247" t="inlineStr">
        <is>
          <t>T4</t>
        </is>
      </c>
      <c r="AQ247" t="inlineStr">
        <is>
          <t>p26_jotunn_jo_rockets</t>
        </is>
      </c>
      <c r="AR247" t="inlineStr"/>
      <c r="AS247" t="inlineStr">
        <is>
          <t>boss</t>
        </is>
      </c>
      <c r="AT247" t="inlineStr">
        <is>
          <t>fenrir;mobile_fortress</t>
        </is>
      </c>
      <c r="AU247" t="n">
        <v>2</v>
      </c>
      <c r="AV247" t="inlineStr">
        <is>
          <t>fenrir:0;fenrir:1;mobile_fortress:1;mobile_fortress:2</t>
        </is>
      </c>
      <c r="AW247" t="n">
        <v>2.5</v>
      </c>
      <c r="AX247" t="b">
        <v>1</v>
      </c>
      <c r="AY247" t="inlineStr"/>
      <c r="AZ247">
        <f>IF(AND($AX$247,$AW$247&gt;$AA$247/$Z$247),$AW$247,$AA$247/$Z$247)</f>
        <v/>
      </c>
      <c r="BA247" t="n">
        <v>2.5</v>
      </c>
      <c r="BB247" t="n">
        <v>19</v>
      </c>
      <c r="BC247" t="inlineStr"/>
      <c r="BD247" t="inlineStr">
        <is>
          <t>rocket</t>
        </is>
      </c>
      <c r="BE247" t="inlineStr">
        <is>
          <t>Wikipedia 'BM-30 Smerch': 12 rockets in 38 s</t>
        </is>
      </c>
      <c r="BF247" t="inlineStr">
        <is>
          <t>real BM-30 Smerch 12 rockets in 38 s (3.17 s apart), wave 1 rockets_300mm's 15.76 s after the ripple</t>
        </is>
      </c>
      <c r="BG247" t="inlineStr">
        <is>
          <t>doi</t>
        </is>
      </c>
      <c r="BH247" t="n">
        <v>130</v>
      </c>
      <c r="BI247" t="n">
        <v>450</v>
      </c>
      <c r="BJ247" t="n">
        <v>4</v>
      </c>
      <c r="BK247" t="n">
        <v>15.76</v>
      </c>
      <c r="BN247" t="n">
        <v>5</v>
      </c>
      <c r="BO247" t="n">
        <v>8</v>
      </c>
      <c r="BP247" t="n">
        <v>10</v>
      </c>
      <c r="BQ247" t="n">
        <v>16</v>
      </c>
      <c r="BR247" t="n">
        <v>45</v>
      </c>
      <c r="BS247" t="n">
        <v>80</v>
      </c>
      <c r="BV247" t="n">
        <v>0.3</v>
      </c>
      <c r="BW247" t="n">
        <v>3.17</v>
      </c>
      <c r="CS247" t="n">
        <v>3.17</v>
      </c>
      <c r="DD247" t="n">
        <v>15.76</v>
      </c>
      <c r="DE247" t="n">
        <v>450</v>
      </c>
      <c r="DG247" t="n">
        <v>16</v>
      </c>
      <c r="DO247" t="n">
        <v>12</v>
      </c>
      <c r="DS247" t="inlineStr">
        <is>
          <t>Large</t>
        </is>
      </c>
      <c r="DT247" t="inlineStr">
        <is>
          <t>p26_jotunn_jo_rockets</t>
        </is>
      </c>
      <c r="EY247" t="n">
        <v>8</v>
      </c>
      <c r="GD247" t="inlineStr">
        <is>
          <t>Assets/MachineBrigade/Resources/Data/balance.json: weapons[163]</t>
        </is>
      </c>
      <c r="GE247" t="inlineStr">
        <is>
          <t>{"id":"p26_jotunn_sec_jo_rockets","groundMinReach":12,"inherits":"p26_jotunn_jo_rockets","burstInterval":3.17,"edge":16,"splash":8,"cooldown":15.76,"damage":450,"impactTier":"Large"}</t>
        </is>
      </c>
    </row>
    <row r="248">
      <c r="A248" t="inlineStr">
        <is>
          <t>p26_jotunn_tiny_twin_30_flak</t>
        </is>
      </c>
      <c r="B248" t="inlineStr">
        <is>
          <t>2A38 30 mm (twin)</t>
        </is>
      </c>
      <c r="C248" t="inlineStr">
        <is>
          <t>cal_30</t>
        </is>
      </c>
      <c r="D248" t="inlineStr">
        <is>
          <t>flak</t>
        </is>
      </c>
      <c r="E248" t="inlineStr"/>
      <c r="F248" t="inlineStr">
        <is>
          <t>autocannon</t>
        </is>
      </c>
      <c r="G248" t="n">
        <v>30</v>
      </c>
      <c r="H248" t="inlineStr"/>
      <c r="I248" t="inlineStr"/>
      <c r="J248" t="inlineStr"/>
      <c r="K248" t="inlineStr">
        <is>
          <t>Fragmentation</t>
        </is>
      </c>
      <c r="L248" t="n">
        <v>2</v>
      </c>
      <c r="M248" t="inlineStr">
        <is>
          <t>Bullet</t>
        </is>
      </c>
      <c r="N248" t="n">
        <v>1</v>
      </c>
      <c r="O248" t="inlineStr">
        <is>
          <t>RIPPLE</t>
        </is>
      </c>
      <c r="P248" t="n">
        <v>1</v>
      </c>
      <c r="Q248" t="n">
        <v>0.1</v>
      </c>
      <c r="R248" t="n">
        <v>0.025</v>
      </c>
      <c r="S248" t="n">
        <v>160</v>
      </c>
      <c r="T248" t="n">
        <v>3</v>
      </c>
      <c r="U248" t="n">
        <v>0</v>
      </c>
      <c r="V248" t="n">
        <v>0</v>
      </c>
      <c r="W248" t="n">
        <v>22</v>
      </c>
      <c r="X248" t="n">
        <v>2.5</v>
      </c>
      <c r="Y248" t="n">
        <v>0</v>
      </c>
      <c r="Z248" t="n">
        <v>280</v>
      </c>
      <c r="AA248" t="n">
        <v>42</v>
      </c>
      <c r="AB248" t="n">
        <v>0</v>
      </c>
      <c r="AC248" t="inlineStr">
        <is>
          <t>All</t>
        </is>
      </c>
      <c r="AD248" t="inlineStr"/>
      <c r="AE248" t="n">
        <v>1.4</v>
      </c>
      <c r="AF248" t="inlineStr">
        <is>
          <t>Small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30</v>
      </c>
      <c r="AO248" t="n">
        <v>0</v>
      </c>
      <c r="AP248" t="inlineStr">
        <is>
          <t>T1</t>
        </is>
      </c>
      <c r="AQ248" t="inlineStr">
        <is>
          <t>twin_30_flak</t>
        </is>
      </c>
      <c r="AR248" t="inlineStr"/>
      <c r="AS248" t="inlineStr">
        <is>
          <t>boss</t>
        </is>
      </c>
      <c r="AT248" t="inlineStr">
        <is>
          <t>mobile_fortress</t>
        </is>
      </c>
      <c r="AU248" t="n">
        <v>1</v>
      </c>
      <c r="AV248" t="inlineStr">
        <is>
          <t>mobile_fortress:6</t>
        </is>
      </c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0.15</v>
      </c>
      <c r="BB248" t="n">
        <v>2500</v>
      </c>
      <c r="BC248" t="n">
        <v>1000</v>
      </c>
      <c r="BD248" t="inlineStr">
        <is>
          <t>aa</t>
        </is>
      </c>
      <c r="BE248" t="inlineStr">
        <is>
          <t>Wikipedia '2A38': 4,060-5,000 rpm the twin mount</t>
        </is>
      </c>
      <c r="BF248" t="inlineStr">
        <is>
          <t>wave 1 twin_30_flak: 160 rounds at 2,400 rpm, changed in 3 s (2A38M 4,060-5,000 rpm the pair)</t>
        </is>
      </c>
      <c r="BG248" t="inlineStr">
        <is>
          <t>doi</t>
        </is>
      </c>
      <c r="BH248" t="n">
        <v>1.5</v>
      </c>
      <c r="BI248" t="n">
        <v>22</v>
      </c>
      <c r="CH248" t="n">
        <v>3.025</v>
      </c>
      <c r="CI248" t="n">
        <v>3</v>
      </c>
      <c r="CX248" t="n">
        <v>3</v>
      </c>
      <c r="DE248" t="n">
        <v>22</v>
      </c>
      <c r="DT248" t="inlineStr">
        <is>
          <t>twin_30_flak</t>
        </is>
      </c>
      <c r="GA248" t="inlineStr"/>
      <c r="GD248" t="inlineStr">
        <is>
          <t>Assets/MachineBrigade/Resources/Data/balance.json: weapons[166]</t>
        </is>
      </c>
      <c r="GE248" t="inlineStr">
        <is>
          <t>{"id":"p26_jotunn_tiny_twin_30_flak","inherits":"twin_30_flak","clipReload":3,"weaponFamily":"","damage":22}</t>
        </is>
      </c>
    </row>
    <row r="249">
      <c r="A249" t="inlineStr">
        <is>
          <t>p26_leviathan_direct_lev127</t>
        </is>
      </c>
      <c r="B249" t="inlineStr">
        <is>
          <t>AK-127 127 mm</t>
        </is>
      </c>
      <c r="C249" t="inlineStr">
        <is>
          <t>cal_127_130</t>
        </is>
      </c>
      <c r="D249" t="inlineStr">
        <is>
          <t>ap</t>
        </is>
      </c>
      <c r="E249" t="inlineStr"/>
      <c r="F249" t="inlineStr">
        <is>
          <t>howitzer</t>
        </is>
      </c>
      <c r="G249" t="n">
        <v>127</v>
      </c>
      <c r="H249" t="inlineStr"/>
      <c r="I249" t="inlineStr"/>
      <c r="J249" t="inlineStr"/>
      <c r="K249" t="inlineStr">
        <is>
          <t>Kinetic</t>
        </is>
      </c>
      <c r="L249" t="n">
        <v>5</v>
      </c>
      <c r="M249" t="inlineStr">
        <is>
          <t>Shell</t>
        </is>
      </c>
      <c r="N249" t="n">
        <v>1</v>
      </c>
      <c r="O249" t="inlineStr">
        <is>
          <t>RIPPLE</t>
        </is>
      </c>
      <c r="P249" t="n">
        <v>1</v>
      </c>
      <c r="Q249" t="n">
        <v>0.5</v>
      </c>
      <c r="R249" t="n">
        <v>3</v>
      </c>
      <c r="S249" t="n">
        <v>0</v>
      </c>
      <c r="T249" t="n">
        <v>0</v>
      </c>
      <c r="U249" t="n">
        <v>0</v>
      </c>
      <c r="V249" t="n">
        <v>0</v>
      </c>
      <c r="W249" t="n">
        <v>380</v>
      </c>
      <c r="X249" t="n">
        <v>0</v>
      </c>
      <c r="Y249" t="n">
        <v>0</v>
      </c>
      <c r="Z249" t="n">
        <v>105</v>
      </c>
      <c r="AA249" t="n">
        <v>90</v>
      </c>
      <c r="AB249" t="n">
        <v>0</v>
      </c>
      <c r="AC249" t="inlineStr">
        <is>
          <t>Ground</t>
        </is>
      </c>
      <c r="AD249" t="inlineStr"/>
      <c r="AE249" t="n">
        <v>2.2</v>
      </c>
      <c r="AF249" t="inlineStr">
        <is>
          <t>Large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127</v>
      </c>
      <c r="AO249" t="n">
        <v>0</v>
      </c>
      <c r="AP249" t="inlineStr">
        <is>
          <t>T3</t>
        </is>
      </c>
      <c r="AQ249" t="inlineStr">
        <is>
          <t>p26_leviathan_lev127</t>
        </is>
      </c>
      <c r="AR249" t="inlineStr"/>
      <c r="AS249" t="inlineStr">
        <is>
          <t>boss</t>
        </is>
      </c>
      <c r="AT249" t="inlineStr">
        <is>
          <t>kraken;leviathan;nyx;scylla</t>
        </is>
      </c>
      <c r="AU249" t="n">
        <v>4</v>
      </c>
      <c r="AV249" t="inlineStr">
        <is>
          <t>kraken:5;kraken:6;leviathan:5;leviathan:6;nyx:1;nyx:2;scylla:1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0.8571428571428571</v>
      </c>
      <c r="BB249" t="n">
        <v>30</v>
      </c>
      <c r="BC249" t="n">
        <v>20</v>
      </c>
      <c r="BD249" t="inlineStr">
        <is>
          <t>gun</t>
        </is>
      </c>
      <c r="BE249" t="inlineStr">
        <is>
          <t>the A-192 'Armat' 130 mm class, 30 rpm (Wikipedia 'A-192')</t>
        </is>
      </c>
      <c r="BF249" t="inlineStr">
        <is>
          <t>an A-192 class 130 mm, 30 rpm max: 20 rpm practical (3 s)</t>
        </is>
      </c>
      <c r="BG249" t="inlineStr">
        <is>
          <t>doi</t>
        </is>
      </c>
      <c r="BH249" t="n">
        <v>335</v>
      </c>
      <c r="BI249" t="n">
        <v>380</v>
      </c>
      <c r="BJ249" t="n">
        <v>4.5</v>
      </c>
      <c r="BK249" t="n">
        <v>3</v>
      </c>
      <c r="BR249" t="n">
        <v>110</v>
      </c>
      <c r="BS249" t="n">
        <v>105</v>
      </c>
      <c r="DD249" t="n">
        <v>3</v>
      </c>
      <c r="DE249" t="n">
        <v>380</v>
      </c>
      <c r="DO249" t="n">
        <v>23</v>
      </c>
      <c r="DT249" t="inlineStr">
        <is>
          <t>p26_leviathan_lev127</t>
        </is>
      </c>
      <c r="EK249" t="n">
        <v>105</v>
      </c>
      <c r="GD249" t="inlineStr">
        <is>
          <t>Assets/MachineBrigade/Resources/Data/balance.json: weapons[176]</t>
        </is>
      </c>
      <c r="GE249" t="inlineStr">
        <is>
          <t>{"id":"p26_leviathan_direct_lev127","projectileSpeed":105,"groundMinReach":23,"inherits":"p26_leviathan_lev127","cooldown":3,"damage":380}</t>
        </is>
      </c>
    </row>
    <row r="250">
      <c r="A250" t="inlineStr">
        <is>
          <t>p26_leviathan_lev127</t>
        </is>
      </c>
      <c r="B250" t="inlineStr">
        <is>
          <t>AK-127 127 mm</t>
        </is>
      </c>
      <c r="C250" t="inlineStr">
        <is>
          <t>cal_127_130</t>
        </is>
      </c>
      <c r="D250" t="inlineStr">
        <is>
          <t>ap</t>
        </is>
      </c>
      <c r="E250" t="inlineStr"/>
      <c r="F250" t="inlineStr">
        <is>
          <t>howitzer</t>
        </is>
      </c>
      <c r="G250" t="n">
        <v>127</v>
      </c>
      <c r="H250" t="inlineStr"/>
      <c r="I250" t="inlineStr"/>
      <c r="J250" t="inlineStr"/>
      <c r="K250" t="inlineStr">
        <is>
          <t>Kinetic</t>
        </is>
      </c>
      <c r="L250" t="n">
        <v>5</v>
      </c>
      <c r="M250" t="inlineStr">
        <is>
          <t>Shell</t>
        </is>
      </c>
      <c r="N250" t="n">
        <v>1</v>
      </c>
      <c r="O250" t="inlineStr">
        <is>
          <t>RIPPLE</t>
        </is>
      </c>
      <c r="P250" t="n">
        <v>1</v>
      </c>
      <c r="Q250" t="n">
        <v>0.5</v>
      </c>
      <c r="R250" t="n">
        <v>2</v>
      </c>
      <c r="S250" t="n">
        <v>0</v>
      </c>
      <c r="T250" t="n">
        <v>0</v>
      </c>
      <c r="U250" t="n">
        <v>0</v>
      </c>
      <c r="V250" t="n">
        <v>0</v>
      </c>
      <c r="W250" t="n">
        <v>320</v>
      </c>
      <c r="X250" t="n">
        <v>0</v>
      </c>
      <c r="Y250" t="n">
        <v>0</v>
      </c>
      <c r="Z250" t="n">
        <v>90</v>
      </c>
      <c r="AA250" t="n">
        <v>90</v>
      </c>
      <c r="AB250" t="n">
        <v>0</v>
      </c>
      <c r="AC250" t="inlineStr">
        <is>
          <t>Ground</t>
        </is>
      </c>
      <c r="AD250" t="inlineStr"/>
      <c r="AE250" t="n">
        <v>2.2</v>
      </c>
      <c r="AF250" t="inlineStr">
        <is>
          <t>Large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127</v>
      </c>
      <c r="AO250" t="n">
        <v>0</v>
      </c>
      <c r="AP250" t="inlineStr">
        <is>
          <t>T3</t>
        </is>
      </c>
      <c r="AQ250" t="inlineStr">
        <is>
          <t>naval_100</t>
        </is>
      </c>
      <c r="AR250" t="inlineStr"/>
      <c r="AS250" t="inlineStr"/>
      <c r="AT250" t="inlineStr"/>
      <c r="AU250" t="n">
        <v>0</v>
      </c>
      <c r="AV250" t="inlineStr"/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1</v>
      </c>
      <c r="BB250" t="n">
        <v>30</v>
      </c>
      <c r="BC250" t="n">
        <v>20</v>
      </c>
      <c r="BD250" t="inlineStr">
        <is>
          <t>gun</t>
        </is>
      </c>
      <c r="BE250" t="inlineStr">
        <is>
          <t>the A-192 'Armat' 130 mm class, 30 rpm (Wikipedia 'A-192')</t>
        </is>
      </c>
      <c r="BG250" t="inlineStr">
        <is>
          <t>doi</t>
        </is>
      </c>
      <c r="BR250" t="n">
        <v>110</v>
      </c>
      <c r="BS250" t="n">
        <v>90</v>
      </c>
      <c r="CR250" t="n">
        <v>1</v>
      </c>
      <c r="CT250" t="n">
        <v>127</v>
      </c>
      <c r="DD250" t="n">
        <v>2</v>
      </c>
      <c r="DE250" t="n">
        <v>320</v>
      </c>
      <c r="DF250" t="inlineStr">
        <is>
          <t>Kinetic</t>
        </is>
      </c>
      <c r="DT250" t="inlineStr">
        <is>
          <t>naval_100</t>
        </is>
      </c>
      <c r="EB250" t="n">
        <v>5</v>
      </c>
      <c r="EK250" t="n">
        <v>90</v>
      </c>
      <c r="EQ250" t="inlineStr">
        <is>
          <t>AK-127 127 mm</t>
        </is>
      </c>
      <c r="EX250" t="n">
        <v>127</v>
      </c>
      <c r="EY250" t="n">
        <v>0</v>
      </c>
      <c r="GA250" t="inlineStr"/>
      <c r="GB250" t="inlineStr">
        <is>
          <t>cal_127_130</t>
        </is>
      </c>
      <c r="GC250" t="inlineStr">
        <is>
          <t>ap</t>
        </is>
      </c>
      <c r="GD250" t="inlineStr">
        <is>
          <t>Assets/MachineBrigade/Resources/Data/balance.json: weapons[174]</t>
        </is>
      </c>
      <c r="GE250" t="inlineStr">
        <is>
          <t>{"id":"p26_leviathan_lev127","projectileSpeed":90,"inherits":"naval_100","weaponFamilyId":"cal_127_130","weaponVariantId":"ap","weaponFamily":"","real":"AK-127 127 mm","size":127,"caliberMm":127,"damageType":"Kinetic","damage":320,"burst":1,"cooldown":2,"pen":5,"splash":0}</t>
        </is>
      </c>
    </row>
    <row r="251">
      <c r="A251" t="inlineStr">
        <is>
          <t>p26_leviathan_lev155</t>
        </is>
      </c>
      <c r="B251" t="inlineStr">
        <is>
          <t>155 mm/60 (triple)</t>
        </is>
      </c>
      <c r="C251" t="inlineStr">
        <is>
          <t>cal_152_155</t>
        </is>
      </c>
      <c r="D251" t="inlineStr"/>
      <c r="E251" t="inlineStr"/>
      <c r="F251" t="inlineStr">
        <is>
          <t>howitzer</t>
        </is>
      </c>
      <c r="G251" t="n">
        <v>155</v>
      </c>
      <c r="H251" t="inlineStr"/>
      <c r="I251" t="inlineStr"/>
      <c r="J251" t="inlineStr"/>
      <c r="K251" t="inlineStr">
        <is>
          <t>HighExplosive</t>
        </is>
      </c>
      <c r="L251" t="n">
        <v>3</v>
      </c>
      <c r="M251" t="inlineStr">
        <is>
          <t>Shell</t>
        </is>
      </c>
      <c r="N251" t="n">
        <v>1</v>
      </c>
      <c r="O251" t="inlineStr">
        <is>
          <t>RIPPLE</t>
        </is>
      </c>
      <c r="P251" t="n">
        <v>3</v>
      </c>
      <c r="Q251" t="n">
        <v>0.25</v>
      </c>
      <c r="R251" t="n">
        <v>4.5</v>
      </c>
      <c r="S251" t="n">
        <v>0</v>
      </c>
      <c r="T251" t="n">
        <v>0</v>
      </c>
      <c r="U251" t="n">
        <v>0</v>
      </c>
      <c r="V251" t="n">
        <v>0</v>
      </c>
      <c r="W251" t="n">
        <v>170</v>
      </c>
      <c r="X251" t="n">
        <v>8.5</v>
      </c>
      <c r="Y251" t="n">
        <v>17</v>
      </c>
      <c r="Z251" t="n">
        <v>88</v>
      </c>
      <c r="AA251" t="n">
        <v>110</v>
      </c>
      <c r="AB251" t="n">
        <v>0</v>
      </c>
      <c r="AC251" t="inlineStr">
        <is>
          <t>Ground</t>
        </is>
      </c>
      <c r="AD251" t="inlineStr"/>
      <c r="AE251" t="n">
        <v>2.4</v>
      </c>
      <c r="AF251" t="inlineStr">
        <is>
          <t>Large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155</v>
      </c>
      <c r="AO251" t="n">
        <v>0</v>
      </c>
      <c r="AP251" t="inlineStr">
        <is>
          <t>T3</t>
        </is>
      </c>
      <c r="AQ251" t="inlineStr">
        <is>
          <t>naval_155_triple</t>
        </is>
      </c>
      <c r="AR251" t="inlineStr"/>
      <c r="AS251" t="inlineStr"/>
      <c r="AT251" t="inlineStr"/>
      <c r="AU251" t="n">
        <v>0</v>
      </c>
      <c r="AV251" t="inlineStr"/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1.25</v>
      </c>
      <c r="BB251" t="n">
        <v>5</v>
      </c>
      <c r="BC251" t="n">
        <v>4</v>
      </c>
      <c r="BD251" t="inlineStr">
        <is>
          <t>gun</t>
        </is>
      </c>
      <c r="BE251" t="inlineStr">
        <is>
          <t>Wikipedia '15.5 cm/60 3rd Year Type' (Mogami): ~5 rpm a gun</t>
        </is>
      </c>
      <c r="BG251" t="inlineStr">
        <is>
          <t>doi</t>
        </is>
      </c>
      <c r="BR251" t="n">
        <v>110</v>
      </c>
      <c r="BS251" t="n">
        <v>88</v>
      </c>
      <c r="CR251" t="n">
        <v>3</v>
      </c>
      <c r="CS251" t="n">
        <v>0.25</v>
      </c>
      <c r="DD251" t="n">
        <v>4.5</v>
      </c>
      <c r="DE251" t="n">
        <v>170</v>
      </c>
      <c r="DG251" t="n">
        <v>17</v>
      </c>
      <c r="DT251" t="inlineStr">
        <is>
          <t>naval_155_triple</t>
        </is>
      </c>
      <c r="EQ251" t="inlineStr">
        <is>
          <t>155 mm/60 (triple)</t>
        </is>
      </c>
      <c r="EY251" t="n">
        <v>8.5</v>
      </c>
      <c r="GA251" t="inlineStr"/>
      <c r="GD251" t="inlineStr">
        <is>
          <t>Assets/MachineBrigade/Resources/Data/balance.json: weapons[173]</t>
        </is>
      </c>
      <c r="GE251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52">
      <c r="A252" t="inlineStr">
        <is>
          <t>p26_leviathan_lev406</t>
        </is>
      </c>
      <c r="B252" t="inlineStr">
        <is>
          <t>Mk 7 406 mm/50 (Iowa, triple)</t>
        </is>
      </c>
      <c r="C252" t="inlineStr">
        <is>
          <t>cal_406</t>
        </is>
      </c>
      <c r="D252" t="inlineStr"/>
      <c r="E252" t="inlineStr"/>
      <c r="F252" t="inlineStr">
        <is>
          <t>howitzer</t>
        </is>
      </c>
      <c r="G252" t="n">
        <v>406</v>
      </c>
      <c r="H252" t="inlineStr"/>
      <c r="I252" t="inlineStr"/>
      <c r="J252" t="inlineStr"/>
      <c r="K252" t="inlineStr">
        <is>
          <t>HighExplosive</t>
        </is>
      </c>
      <c r="L252" t="n">
        <v>4</v>
      </c>
      <c r="M252" t="inlineStr">
        <is>
          <t>Shell</t>
        </is>
      </c>
      <c r="N252" t="n">
        <v>3</v>
      </c>
      <c r="O252" t="inlineStr">
        <is>
          <t>SIMULTANEOUS</t>
        </is>
      </c>
      <c r="P252" t="n">
        <v>1</v>
      </c>
      <c r="Q252" t="n">
        <v>0.1</v>
      </c>
      <c r="R252" t="n">
        <v>60</v>
      </c>
      <c r="S252" t="n">
        <v>0</v>
      </c>
      <c r="T252" t="n">
        <v>0</v>
      </c>
      <c r="U252" t="n">
        <v>0</v>
      </c>
      <c r="V252" t="n">
        <v>0</v>
      </c>
      <c r="W252" t="n">
        <v>2400</v>
      </c>
      <c r="X252" t="n">
        <v>14</v>
      </c>
      <c r="Y252" t="n">
        <v>24</v>
      </c>
      <c r="Z252" t="n">
        <v>85</v>
      </c>
      <c r="AA252" t="n">
        <v>160</v>
      </c>
      <c r="AB252" t="n">
        <v>0</v>
      </c>
      <c r="AC252" t="inlineStr">
        <is>
          <t>Ground</t>
        </is>
      </c>
      <c r="AD252" t="inlineStr"/>
      <c r="AE252" t="n">
        <v>3</v>
      </c>
      <c r="AF252" t="inlineStr">
        <is>
          <t>Ultimate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1</v>
      </c>
      <c r="AL252" t="b">
        <v>0</v>
      </c>
      <c r="AM252" t="b">
        <v>0</v>
      </c>
      <c r="AN252" t="n">
        <v>406</v>
      </c>
      <c r="AO252" t="n">
        <v>0</v>
      </c>
      <c r="AP252" t="inlineStr">
        <is>
          <t>T5</t>
        </is>
      </c>
      <c r="AQ252" t="inlineStr">
        <is>
          <t>leviathan_460</t>
        </is>
      </c>
      <c r="AR252" t="inlineStr"/>
      <c r="AS252" t="inlineStr">
        <is>
          <t>boss</t>
        </is>
      </c>
      <c r="AT252" t="inlineStr">
        <is>
          <t>kraken;leviathan</t>
        </is>
      </c>
      <c r="AU252" t="n">
        <v>2</v>
      </c>
      <c r="AV252" t="inlineStr">
        <is>
          <t>kraken:0;kraken:1;kraken:2;leviathan:0;leviathan:1;leviathan:2</t>
        </is>
      </c>
      <c r="AW252" t="n">
        <v>3.611111111111111</v>
      </c>
      <c r="AX252" t="b">
        <v>0</v>
      </c>
      <c r="AY252" t="inlineStr"/>
      <c r="AZ252">
        <f>IF(AND($AX$252,$AW$252&gt;$AA$252/$Z$252),$AW$252,$AA$252/$Z$252)</f>
        <v/>
      </c>
      <c r="BA252" t="n">
        <v>1.882352941176471</v>
      </c>
      <c r="BB252" t="n">
        <v>2</v>
      </c>
      <c r="BC252" t="n">
        <v>2</v>
      </c>
      <c r="BD252" t="inlineStr">
        <is>
          <t>gun</t>
        </is>
      </c>
      <c r="BE252" t="inlineStr">
        <is>
          <t>Wikipedia '16"/50 caliber Mark 7': 2 rpm a gun</t>
        </is>
      </c>
      <c r="BF252" t="inlineStr">
        <is>
          <t>the 406 mm salvo every 60 s</t>
        </is>
      </c>
      <c r="BG252" t="inlineStr">
        <is>
          <t>doi</t>
        </is>
      </c>
      <c r="BH252" t="n">
        <v>1200</v>
      </c>
      <c r="BI252" t="n">
        <v>2400</v>
      </c>
      <c r="BJ252" t="n">
        <v>10</v>
      </c>
      <c r="BK252" t="n">
        <v>60</v>
      </c>
      <c r="BN252" t="n">
        <v>12</v>
      </c>
      <c r="BO252" t="n">
        <v>14</v>
      </c>
      <c r="BP252" t="n">
        <v>20</v>
      </c>
      <c r="BQ252" t="n">
        <v>24</v>
      </c>
      <c r="BR252" t="n">
        <v>60</v>
      </c>
      <c r="BS252" t="n">
        <v>85</v>
      </c>
      <c r="BX252" t="n">
        <v>1</v>
      </c>
      <c r="BY252" t="n">
        <v>3</v>
      </c>
      <c r="BZ252" t="inlineStr">
        <is>
          <t>RIPPLE</t>
        </is>
      </c>
      <c r="CA252" t="inlineStr">
        <is>
          <t>SIMULTANEOUS</t>
        </is>
      </c>
      <c r="CO252" t="n">
        <v>3</v>
      </c>
      <c r="CT252" t="n">
        <v>406</v>
      </c>
      <c r="DD252" t="n">
        <v>60</v>
      </c>
      <c r="DE252" t="n">
        <v>2400</v>
      </c>
      <c r="DG252" t="n">
        <v>24</v>
      </c>
      <c r="DO252" t="n">
        <v>72</v>
      </c>
      <c r="DT252" t="inlineStr">
        <is>
          <t>leviathan_460</t>
        </is>
      </c>
      <c r="EQ252" t="inlineStr">
        <is>
          <t>Mk 7 406 mm/50 (Iowa, triple)</t>
        </is>
      </c>
      <c r="EW252" t="inlineStr">
        <is>
          <t>SIMULTANEOUS</t>
        </is>
      </c>
      <c r="EX252" t="n">
        <v>406</v>
      </c>
      <c r="EY252" t="n">
        <v>14</v>
      </c>
      <c r="GA252" t="inlineStr"/>
      <c r="GD252" t="inlineStr">
        <is>
          <t>Assets/MachineBrigade/Resources/Data/balance.json: weapons[167]</t>
        </is>
      </c>
      <c r="GE252" t="inlineStr">
        <is>
          <t>{"id":"p26_leviathan_lev406","groundMinReach":72,"inherits":"leviathan_460","salvoMode":"SIMULTANEOUS","barrels":3,"weaponFamily":"","real":"Mk 7 406 mm/50 (Iowa, triple)","size":406,"caliberMm":406,"damage":2400,"cooldown":60,"splash":14,"edge":24}</t>
        </is>
      </c>
    </row>
    <row r="253">
      <c r="A253" t="inlineStr">
        <is>
          <t>p26_leviathan_sec_lev155</t>
        </is>
      </c>
      <c r="B253" t="inlineStr">
        <is>
          <t>155 mm/60 (triple)</t>
        </is>
      </c>
      <c r="C253" t="inlineStr">
        <is>
          <t>cal_152_155</t>
        </is>
      </c>
      <c r="D253" t="inlineStr"/>
      <c r="E253" t="inlineStr"/>
      <c r="F253" t="inlineStr">
        <is>
          <t>howitzer</t>
        </is>
      </c>
      <c r="G253" t="n">
        <v>155</v>
      </c>
      <c r="H253" t="inlineStr"/>
      <c r="I253" t="inlineStr"/>
      <c r="J253" t="inlineStr"/>
      <c r="K253" t="inlineStr">
        <is>
          <t>HighExplosive</t>
        </is>
      </c>
      <c r="L253" t="n">
        <v>3</v>
      </c>
      <c r="M253" t="inlineStr">
        <is>
          <t>Shell</t>
        </is>
      </c>
      <c r="N253" t="n">
        <v>3</v>
      </c>
      <c r="O253" t="inlineStr">
        <is>
          <t>SIMULTANEOUS</t>
        </is>
      </c>
      <c r="P253" t="n">
        <v>1</v>
      </c>
      <c r="Q253" t="n">
        <v>0.25</v>
      </c>
      <c r="R253" t="n">
        <v>10.5</v>
      </c>
      <c r="S253" t="n">
        <v>0</v>
      </c>
      <c r="T253" t="n">
        <v>0</v>
      </c>
      <c r="U253" t="n">
        <v>0</v>
      </c>
      <c r="V253" t="n">
        <v>0</v>
      </c>
      <c r="W253" t="n">
        <v>600</v>
      </c>
      <c r="X253" t="n">
        <v>7</v>
      </c>
      <c r="Y253" t="n">
        <v>14</v>
      </c>
      <c r="Z253" t="n">
        <v>88</v>
      </c>
      <c r="AA253" t="n">
        <v>110</v>
      </c>
      <c r="AB253" t="n">
        <v>0</v>
      </c>
      <c r="AC253" t="inlineStr">
        <is>
          <t>Ground</t>
        </is>
      </c>
      <c r="AD253" t="inlineStr"/>
      <c r="AE253" t="n">
        <v>2.4</v>
      </c>
      <c r="AF253" t="inlineStr">
        <is>
          <t>Large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155</v>
      </c>
      <c r="AO253" t="n">
        <v>0</v>
      </c>
      <c r="AP253" t="inlineStr">
        <is>
          <t>T3</t>
        </is>
      </c>
      <c r="AQ253" t="inlineStr">
        <is>
          <t>p26_leviathan_lev155</t>
        </is>
      </c>
      <c r="AR253" t="inlineStr"/>
      <c r="AS253" t="inlineStr">
        <is>
          <t>boss</t>
        </is>
      </c>
      <c r="AT253" t="inlineStr">
        <is>
          <t>kraken;leviathan</t>
        </is>
      </c>
      <c r="AU253" t="n">
        <v>2</v>
      </c>
      <c r="AV253" t="inlineStr">
        <is>
          <t>kraken:3;kraken:4;leviathan:3;leviathan:4</t>
        </is>
      </c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1.25</v>
      </c>
      <c r="BB253" t="n">
        <v>5</v>
      </c>
      <c r="BC253" t="n">
        <v>4</v>
      </c>
      <c r="BD253" t="inlineStr">
        <is>
          <t>gun</t>
        </is>
      </c>
      <c r="BE253" t="inlineStr">
        <is>
          <t>Wikipedia '15.5 cm/60 3rd Year Type' (Mogami): ~5 rpm a gun</t>
        </is>
      </c>
      <c r="BF253" t="inlineStr">
        <is>
          <t>wave 1 naval_155_triple: the triple turret, 3 rounds every 10.5 s (real ~5 rpm a gun): passes (b)</t>
        </is>
      </c>
      <c r="BG253" t="inlineStr">
        <is>
          <t>doi</t>
        </is>
      </c>
      <c r="BH253" t="n">
        <v>175</v>
      </c>
      <c r="BI253" t="n">
        <v>600</v>
      </c>
      <c r="BJ253" t="n">
        <v>3.5</v>
      </c>
      <c r="BK253" t="n">
        <v>10.5</v>
      </c>
      <c r="BN253" t="n">
        <v>8.5</v>
      </c>
      <c r="BO253" t="n">
        <v>7</v>
      </c>
      <c r="BP253" t="n">
        <v>17</v>
      </c>
      <c r="BQ253" t="n">
        <v>14</v>
      </c>
      <c r="BR253" t="n">
        <v>110</v>
      </c>
      <c r="BS253" t="n">
        <v>88</v>
      </c>
      <c r="BT253" t="n">
        <v>3</v>
      </c>
      <c r="BU253" t="n">
        <v>1</v>
      </c>
      <c r="BX253" t="n">
        <v>1</v>
      </c>
      <c r="BY253" t="n">
        <v>3</v>
      </c>
      <c r="BZ253" t="inlineStr">
        <is>
          <t>RIPPLE</t>
        </is>
      </c>
      <c r="CA253" t="inlineStr">
        <is>
          <t>SIMULTANEOUS</t>
        </is>
      </c>
      <c r="CO253" t="n">
        <v>3</v>
      </c>
      <c r="CR253" t="n">
        <v>1</v>
      </c>
      <c r="DD253" t="n">
        <v>10.5</v>
      </c>
      <c r="DE253" t="n">
        <v>600</v>
      </c>
      <c r="DG253" t="n">
        <v>14</v>
      </c>
      <c r="DO253" t="n">
        <v>87</v>
      </c>
      <c r="DT253" t="inlineStr">
        <is>
          <t>p26_leviathan_lev155</t>
        </is>
      </c>
      <c r="EK253" t="n">
        <v>88</v>
      </c>
      <c r="EW253" t="inlineStr">
        <is>
          <t>SIMULTANEOUS</t>
        </is>
      </c>
      <c r="EY253" t="n">
        <v>7</v>
      </c>
      <c r="GD253" t="inlineStr">
        <is>
          <t>Assets/MachineBrigade/Resources/Data/balance.json: weapons[175]</t>
        </is>
      </c>
      <c r="GE253" t="inlineStr">
        <is>
          <t>{"id":"p26_leviathan_sec_lev155","groundMinReach":87,"inherits":"p26_leviathan_lev155","burst":1,"salvoMode":"SIMULTANEOUS","barrels":3,"projectileSpeed":88,"edge":14,"splash":7,"cooldown":10.5,"damage":600}</t>
        </is>
      </c>
    </row>
    <row r="254">
      <c r="A254" t="inlineStr">
        <is>
          <t>p26_matriarch_close_boss_flak</t>
        </is>
      </c>
      <c r="B254" t="inlineStr">
        <is>
          <t>Oerlikon 35 mm (twin)</t>
        </is>
      </c>
      <c r="C254" t="inlineStr">
        <is>
          <t>cal_35</t>
        </is>
      </c>
      <c r="D254" t="inlineStr"/>
      <c r="E254" t="inlineStr"/>
      <c r="F254" t="inlineStr">
        <is>
          <t>autocannon</t>
        </is>
      </c>
      <c r="G254" t="n">
        <v>35</v>
      </c>
      <c r="H254" t="inlineStr"/>
      <c r="I254" t="inlineStr"/>
      <c r="J254" t="inlineStr"/>
      <c r="K254" t="inlineStr">
        <is>
          <t>Fragmentation</t>
        </is>
      </c>
      <c r="L254" t="n">
        <v>2</v>
      </c>
      <c r="M254" t="inlineStr">
        <is>
          <t>Bullet</t>
        </is>
      </c>
      <c r="N254" t="n">
        <v>1</v>
      </c>
      <c r="O254" t="inlineStr">
        <is>
          <t>RIPPLE</t>
        </is>
      </c>
      <c r="P254" t="n">
        <v>1</v>
      </c>
      <c r="Q254" t="n">
        <v>0.1</v>
      </c>
      <c r="R254" t="n">
        <v>0.05</v>
      </c>
      <c r="S254" t="n">
        <v>41</v>
      </c>
      <c r="T254" t="n">
        <v>3.38</v>
      </c>
      <c r="U254" t="n">
        <v>0</v>
      </c>
      <c r="V254" t="n">
        <v>0</v>
      </c>
      <c r="W254" t="n">
        <v>25</v>
      </c>
      <c r="X254" t="n">
        <v>2.5</v>
      </c>
      <c r="Y254" t="n">
        <v>0</v>
      </c>
      <c r="Z254" t="n">
        <v>260</v>
      </c>
      <c r="AA254" t="n">
        <v>40</v>
      </c>
      <c r="AB254" t="n">
        <v>0</v>
      </c>
      <c r="AC254" t="inlineStr">
        <is>
          <t>All</t>
        </is>
      </c>
      <c r="AD254" t="inlineStr"/>
      <c r="AE254" t="n">
        <v>1.5</v>
      </c>
      <c r="AF254" t="inlineStr">
        <is>
          <t>Small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35</v>
      </c>
      <c r="AO254" t="n">
        <v>0</v>
      </c>
      <c r="AP254" t="inlineStr">
        <is>
          <t>T1</t>
        </is>
      </c>
      <c r="AQ254" t="inlineStr">
        <is>
          <t>boss_flak</t>
        </is>
      </c>
      <c r="AR254" t="inlineStr"/>
      <c r="AS254" t="inlineStr">
        <is>
          <t>boss</t>
        </is>
      </c>
      <c r="AT254" t="inlineStr">
        <is>
          <t>drone_mothership;locust</t>
        </is>
      </c>
      <c r="AU254" t="n">
        <v>2</v>
      </c>
      <c r="AV254" t="inlineStr">
        <is>
          <t>drone_mothership:2;drone_mothership:3;locust:1</t>
        </is>
      </c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0.1538461538461539</v>
      </c>
      <c r="BB254" t="n">
        <v>550</v>
      </c>
      <c r="BC254" t="n">
        <v>300</v>
      </c>
      <c r="BD254" t="inlineStr">
        <is>
          <t>aa</t>
        </is>
      </c>
      <c r="BE254" t="inlineStr">
        <is>
          <t>Wikipedia 'Oerlikon GDF': 550 rpm a gun (the twin: 1,100)</t>
        </is>
      </c>
      <c r="BF254" t="inlineStr">
        <is>
          <t>wave 1 boss_flak: 41 rounds at 1,200 rpm, changed in 3.38 s (twin Oerlikon GDF 2 x 550 rpm)</t>
        </is>
      </c>
      <c r="BG254" t="inlineStr">
        <is>
          <t>doi</t>
        </is>
      </c>
      <c r="BH254" t="n">
        <v>22</v>
      </c>
      <c r="BI254" t="n">
        <v>25</v>
      </c>
      <c r="CX254" t="n">
        <v>3.38</v>
      </c>
      <c r="DE254" t="n">
        <v>25</v>
      </c>
      <c r="DT254" t="inlineStr">
        <is>
          <t>boss_flak</t>
        </is>
      </c>
      <c r="GA254" t="inlineStr"/>
      <c r="GD254" t="inlineStr">
        <is>
          <t>Assets/MachineBrigade/Resources/Data/balance.json: weapons[182]</t>
        </is>
      </c>
      <c r="GE254" t="inlineStr">
        <is>
          <t>{"id":"p26_matriarch_close_boss_flak","inherits":"boss_flak","clipReload":3.38,"weaponFamily":"","damage":25}</t>
        </is>
      </c>
    </row>
    <row r="255">
      <c r="A255" t="inlineStr">
        <is>
          <t>p26_matriarch_direct_ma_atgm</t>
        </is>
      </c>
      <c r="B255" t="inlineStr">
        <is>
          <t>9M133 Kornet</t>
        </is>
      </c>
      <c r="C255" t="inlineStr">
        <is>
          <t>atgm_kornet</t>
        </is>
      </c>
      <c r="D255" t="inlineStr"/>
      <c r="E255" t="inlineStr"/>
      <c r="F255" t="inlineStr">
        <is>
          <t>atgm</t>
        </is>
      </c>
      <c r="G255" t="inlineStr"/>
      <c r="H255" t="n">
        <v>7</v>
      </c>
      <c r="I255" t="inlineStr"/>
      <c r="J255" t="inlineStr"/>
      <c r="K255" t="inlineStr">
        <is>
          <t>ShapedCharge</t>
        </is>
      </c>
      <c r="L255" t="n">
        <v>5</v>
      </c>
      <c r="M255" t="inlineStr">
        <is>
          <t>Missile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20</v>
      </c>
      <c r="S255" t="n">
        <v>0</v>
      </c>
      <c r="T255" t="n">
        <v>0</v>
      </c>
      <c r="U255" t="n">
        <v>0</v>
      </c>
      <c r="V255" t="n">
        <v>0</v>
      </c>
      <c r="W255" t="n">
        <v>230</v>
      </c>
      <c r="X255" t="n">
        <v>0</v>
      </c>
      <c r="Y255" t="n">
        <v>0</v>
      </c>
      <c r="Z255" t="n">
        <v>80</v>
      </c>
      <c r="AA255" t="n">
        <v>55</v>
      </c>
      <c r="AB255" t="n">
        <v>0</v>
      </c>
      <c r="AC255" t="inlineStr">
        <is>
          <t>Ground</t>
        </is>
      </c>
      <c r="AD255" t="inlineStr"/>
      <c r="AE255" t="n">
        <v>0</v>
      </c>
      <c r="AF255" t="inlineStr">
        <is>
          <t>Medium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29</v>
      </c>
      <c r="AO255" t="n">
        <v>0</v>
      </c>
      <c r="AP255" t="inlineStr">
        <is>
          <t>T2</t>
        </is>
      </c>
      <c r="AQ255" t="inlineStr">
        <is>
          <t>p26_matriarch_ma_atgm</t>
        </is>
      </c>
      <c r="AR255" t="inlineStr"/>
      <c r="AS255" t="inlineStr">
        <is>
          <t>boss</t>
        </is>
      </c>
      <c r="AT255" t="inlineStr">
        <is>
          <t>drone_mothership</t>
        </is>
      </c>
      <c r="AU255" t="n">
        <v>1</v>
      </c>
      <c r="AV255" t="inlineStr">
        <is>
          <t>drone_mothership:5;drone_mothership:8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0.6875</v>
      </c>
      <c r="BB255" t="n">
        <v>3</v>
      </c>
      <c r="BC255" t="n">
        <v>3</v>
      </c>
      <c r="BD255" t="inlineStr">
        <is>
          <t>atgm</t>
        </is>
      </c>
      <c r="BE255" t="inlineStr">
        <is>
          <t>Wikipedia '9M133 Kornet': 2-3 rpm</t>
        </is>
      </c>
      <c r="BF255" t="inlineStr">
        <is>
          <t>real 9M133 Kornet 3 rpm (20 s); wave 1's 6.39 s is too fast</t>
        </is>
      </c>
      <c r="BG255" t="inlineStr">
        <is>
          <t>doi</t>
        </is>
      </c>
      <c r="BH255" t="n">
        <v>350</v>
      </c>
      <c r="BI255" t="n">
        <v>230</v>
      </c>
      <c r="BJ255" t="n">
        <v>5</v>
      </c>
      <c r="BK255" t="n">
        <v>20</v>
      </c>
      <c r="BR255" t="n">
        <v>22</v>
      </c>
      <c r="BS255" t="n">
        <v>80</v>
      </c>
      <c r="DD255" t="n">
        <v>20</v>
      </c>
      <c r="DE255" t="n">
        <v>230</v>
      </c>
      <c r="DO255" t="n">
        <v>1</v>
      </c>
      <c r="DT255" t="inlineStr">
        <is>
          <t>p26_matriarch_ma_atgm</t>
        </is>
      </c>
      <c r="GD255" t="inlineStr">
        <is>
          <t>Assets/MachineBrigade/Resources/Data/balance.json: weapons[181]</t>
        </is>
      </c>
      <c r="GE255" t="inlineStr">
        <is>
          <t>{"id":"p26_matriarch_direct_ma_atgm","groundMinReach":1,"inherits":"p26_matriarch_ma_atgm","cooldown":20,"damage":230}</t>
        </is>
      </c>
    </row>
    <row r="256">
      <c r="A256" t="inlineStr">
        <is>
          <t>p26_matriarch_ma_atgm</t>
        </is>
      </c>
      <c r="B256" t="inlineStr">
        <is>
          <t>9M133 Kornet</t>
        </is>
      </c>
      <c r="C256" t="inlineStr">
        <is>
          <t>atgm_kornet</t>
        </is>
      </c>
      <c r="D256" t="inlineStr"/>
      <c r="E256" t="inlineStr"/>
      <c r="F256" t="inlineStr">
        <is>
          <t>atgm</t>
        </is>
      </c>
      <c r="G256" t="inlineStr"/>
      <c r="H256" t="n">
        <v>7</v>
      </c>
      <c r="I256" t="inlineStr"/>
      <c r="J256" t="inlineStr"/>
      <c r="K256" t="inlineStr">
        <is>
          <t>ShapedCharge</t>
        </is>
      </c>
      <c r="L256" t="n">
        <v>5</v>
      </c>
      <c r="M256" t="inlineStr">
        <is>
          <t>Missile</t>
        </is>
      </c>
      <c r="N256" t="n">
        <v>1</v>
      </c>
      <c r="O256" t="inlineStr">
        <is>
          <t>RIPPLE</t>
        </is>
      </c>
      <c r="P256" t="n">
        <v>1</v>
      </c>
      <c r="Q256" t="n">
        <v>0.1</v>
      </c>
      <c r="R256" t="n">
        <v>2</v>
      </c>
      <c r="S256" t="n">
        <v>0</v>
      </c>
      <c r="T256" t="n">
        <v>0</v>
      </c>
      <c r="U256" t="n">
        <v>0</v>
      </c>
      <c r="V256" t="n">
        <v>0</v>
      </c>
      <c r="W256" t="n">
        <v>340</v>
      </c>
      <c r="X256" t="n">
        <v>0</v>
      </c>
      <c r="Y256" t="n">
        <v>0</v>
      </c>
      <c r="Z256" t="n">
        <v>80</v>
      </c>
      <c r="AA256" t="n">
        <v>55</v>
      </c>
      <c r="AB256" t="n">
        <v>0</v>
      </c>
      <c r="AC256" t="inlineStr">
        <is>
          <t>Ground</t>
        </is>
      </c>
      <c r="AD256" t="inlineStr"/>
      <c r="AE256" t="n">
        <v>0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29</v>
      </c>
      <c r="AO256" t="n">
        <v>0</v>
      </c>
      <c r="AP256" t="inlineStr">
        <is>
          <t>T2</t>
        </is>
      </c>
      <c r="AQ256" t="inlineStr">
        <is>
          <t>boss_missiles</t>
        </is>
      </c>
      <c r="AR256" t="inlineStr"/>
      <c r="AS256" t="inlineStr"/>
      <c r="AT256" t="inlineStr"/>
      <c r="AU256" t="n">
        <v>0</v>
      </c>
      <c r="AV256" t="inlineStr"/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0.6875</v>
      </c>
      <c r="BB256" t="n">
        <v>3</v>
      </c>
      <c r="BC256" t="n">
        <v>3</v>
      </c>
      <c r="BD256" t="inlineStr">
        <is>
          <t>atgm</t>
        </is>
      </c>
      <c r="BE256" t="inlineStr">
        <is>
          <t>Wikipedia '9M133 Kornet': 2-3 rpm</t>
        </is>
      </c>
      <c r="BG256" t="inlineStr">
        <is>
          <t>doi</t>
        </is>
      </c>
      <c r="BR256" t="n">
        <v>22</v>
      </c>
      <c r="BS256" t="n">
        <v>80</v>
      </c>
      <c r="DD256" t="n">
        <v>2</v>
      </c>
      <c r="DE256" t="n">
        <v>340</v>
      </c>
      <c r="DT256" t="inlineStr">
        <is>
          <t>boss_missiles</t>
        </is>
      </c>
      <c r="EB256" t="n">
        <v>5</v>
      </c>
      <c r="EP256" t="n">
        <v>55</v>
      </c>
      <c r="EQ256" t="inlineStr">
        <is>
          <t>9M133 Kornet</t>
        </is>
      </c>
      <c r="GA256" t="inlineStr"/>
      <c r="GD256" t="inlineStr">
        <is>
          <t>Assets/MachineBrigade/Resources/Data/balance.json: weapons[179]</t>
        </is>
      </c>
      <c r="GE256" t="inlineStr">
        <is>
          <t>{"id":"p26_matriarch_ma_atgm","inherits":"boss_missiles","weaponFamily":"","real":"9M133 Kornet","damage":340,"cooldown":2,"pen":5,"range":55}</t>
        </is>
      </c>
    </row>
    <row r="257">
      <c r="A257" t="inlineStr">
        <is>
          <t>p26_matriarch_ma_drones</t>
        </is>
      </c>
      <c r="B257" t="inlineStr">
        <is>
          <t>ZALA Lancet-3 swarm</t>
        </is>
      </c>
      <c r="C257" t="inlineStr">
        <is>
          <t>drone_zala_lancet_3_swarm</t>
        </is>
      </c>
      <c r="D257" t="inlineStr"/>
      <c r="E257" t="inlineStr"/>
      <c r="F257" t="inlineStr">
        <is>
          <t>drone</t>
        </is>
      </c>
      <c r="G257" t="inlineStr"/>
      <c r="H257" t="n">
        <v>3</v>
      </c>
      <c r="I257" t="inlineStr"/>
      <c r="J257" t="inlineStr"/>
      <c r="K257" t="inlineStr">
        <is>
          <t>ShapedCharge</t>
        </is>
      </c>
      <c r="L257" t="n">
        <v>4</v>
      </c>
      <c r="M257" t="inlineStr">
        <is>
          <t>Drone</t>
        </is>
      </c>
      <c r="N257" t="n">
        <v>1</v>
      </c>
      <c r="O257" t="inlineStr">
        <is>
          <t>RIPPLE</t>
        </is>
      </c>
      <c r="P257" t="n">
        <v>6</v>
      </c>
      <c r="Q257" t="n">
        <v>0.2</v>
      </c>
      <c r="R257" t="n">
        <v>4</v>
      </c>
      <c r="S257" t="n">
        <v>0</v>
      </c>
      <c r="T257" t="n">
        <v>0</v>
      </c>
      <c r="U257" t="n">
        <v>0</v>
      </c>
      <c r="V257" t="n">
        <v>0</v>
      </c>
      <c r="W257" t="n">
        <v>320</v>
      </c>
      <c r="X257" t="n">
        <v>3</v>
      </c>
      <c r="Y257" t="n">
        <v>6</v>
      </c>
      <c r="Z257" t="n">
        <v>28</v>
      </c>
      <c r="AA257" t="n">
        <v>70</v>
      </c>
      <c r="AB257" t="n">
        <v>0</v>
      </c>
      <c r="AC257" t="inlineStr">
        <is>
          <t>Ground</t>
        </is>
      </c>
      <c r="AD257" t="inlineStr"/>
      <c r="AE257" t="n">
        <v>0</v>
      </c>
      <c r="AF257" t="inlineStr">
        <is>
          <t>Large</t>
        </is>
      </c>
      <c r="AG257" t="b">
        <v>1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3</v>
      </c>
      <c r="AO257" t="n">
        <v>0</v>
      </c>
      <c r="AP257" t="inlineStr">
        <is>
          <t>T2</t>
        </is>
      </c>
      <c r="AQ257" t="inlineStr">
        <is>
          <t>mothership_drones</t>
        </is>
      </c>
      <c r="AR257" t="inlineStr"/>
      <c r="AS257" t="inlineStr">
        <is>
          <t>boss</t>
        </is>
      </c>
      <c r="AT257" t="inlineStr">
        <is>
          <t>drone_mothership;theia</t>
        </is>
      </c>
      <c r="AU257" t="n">
        <v>2</v>
      </c>
      <c r="AV257" t="inlineStr">
        <is>
          <t>drone_mothership:1;theia:1</t>
        </is>
      </c>
      <c r="AW257" t="n">
        <v>0</v>
      </c>
      <c r="AX257" t="b">
        <v>0</v>
      </c>
      <c r="AY257" t="inlineStr"/>
      <c r="AZ257">
        <f>IF(AND($AX$257,$AW$257&gt;$AA$257/$Z$257),$AW$257,$AA$257/$Z$257)</f>
        <v/>
      </c>
      <c r="BA257" t="n">
        <v>2.5</v>
      </c>
      <c r="BB257" t="inlineStr">
        <is>
          <t>NEED_SOURCE</t>
        </is>
      </c>
      <c r="BC257" t="inlineStr">
        <is>
          <t>NEED_SOURCE</t>
        </is>
      </c>
      <c r="BE257" t="inlineStr">
        <is>
          <t>NEED_SOURCE</t>
        </is>
      </c>
      <c r="BF257" t="inlineStr">
        <is>
          <t>a six-drone swarm: no real rate and no wave 1 row (wave 1's mothership_drones is a 4-drone salvo)</t>
        </is>
      </c>
      <c r="BG257" t="inlineStr">
        <is>
          <t>giong</t>
        </is>
      </c>
      <c r="CR257" t="n">
        <v>6</v>
      </c>
      <c r="CS257" t="n">
        <v>0.2</v>
      </c>
      <c r="DD257" t="n">
        <v>4</v>
      </c>
      <c r="DE257" t="n">
        <v>320</v>
      </c>
      <c r="DG257" t="n">
        <v>6</v>
      </c>
      <c r="DO257" t="n">
        <v>1</v>
      </c>
      <c r="DT257" t="inlineStr">
        <is>
          <t>mothership_drones</t>
        </is>
      </c>
      <c r="EQ257" t="inlineStr">
        <is>
          <t>ZALA Lancet-3 swarm</t>
        </is>
      </c>
      <c r="EY257" t="n">
        <v>3</v>
      </c>
      <c r="GA257" t="inlineStr"/>
      <c r="GB257" t="inlineStr">
        <is>
          <t>drone_zala_lancet_3_swarm</t>
        </is>
      </c>
      <c r="GD257" t="inlineStr">
        <is>
          <t>Assets/MachineBrigade/Resources/Data/balance.json: weapons[177]</t>
        </is>
      </c>
      <c r="GE257" t="inlineStr">
        <is>
          <t>{"id":"p26_matriarch_ma_drones","groundMinReach":1,"inherits":"mothership_drones","weaponFamilyId":"drone_zala_lancet_3_swarm","weaponFamily":"","real":"ZALA Lancet-3 swarm","damage":320,"burst":6,"burstInterval":0.2,"cooldown":4,"splash":3,"edge":6}</t>
        </is>
      </c>
    </row>
    <row r="258">
      <c r="A258" t="inlineStr">
        <is>
          <t>p26_matriarch_sec_autocannon_30</t>
        </is>
      </c>
      <c r="B258" t="inlineStr">
        <is>
          <t>2A42 30 mm</t>
        </is>
      </c>
      <c r="C258" t="inlineStr">
        <is>
          <t>cal_30</t>
        </is>
      </c>
      <c r="D258" t="inlineStr"/>
      <c r="E258" t="inlineStr"/>
      <c r="F258" t="inlineStr">
        <is>
          <t>autocannon</t>
        </is>
      </c>
      <c r="G258" t="n">
        <v>30</v>
      </c>
      <c r="H258" t="inlineStr"/>
      <c r="I258" t="inlineStr"/>
      <c r="J258" t="inlineStr"/>
      <c r="K258" t="inlineStr">
        <is>
          <t>Kinetic</t>
        </is>
      </c>
      <c r="L258" t="n">
        <v>2</v>
      </c>
      <c r="M258" t="inlineStr">
        <is>
          <t>Bullet</t>
        </is>
      </c>
      <c r="N258" t="n">
        <v>1</v>
      </c>
      <c r="O258" t="inlineStr">
        <is>
          <t>RIPPLE</t>
        </is>
      </c>
      <c r="P258" t="n">
        <v>10</v>
      </c>
      <c r="Q258" t="n">
        <v>0.1111</v>
      </c>
      <c r="R258" t="n">
        <v>1.5</v>
      </c>
      <c r="S258" t="n">
        <v>0</v>
      </c>
      <c r="T258" t="n">
        <v>0</v>
      </c>
      <c r="U258" t="n">
        <v>0</v>
      </c>
      <c r="V258" t="n">
        <v>0</v>
      </c>
      <c r="W258" t="n">
        <v>22</v>
      </c>
      <c r="X258" t="n">
        <v>0</v>
      </c>
      <c r="Y258" t="n">
        <v>0</v>
      </c>
      <c r="Z258" t="n">
        <v>200</v>
      </c>
      <c r="AA258" t="n">
        <v>30</v>
      </c>
      <c r="AB258" t="n">
        <v>0</v>
      </c>
      <c r="AC258" t="inlineStr">
        <is>
          <t>Ground</t>
        </is>
      </c>
      <c r="AD258" t="inlineStr"/>
      <c r="AE258" t="n">
        <v>0.8</v>
      </c>
      <c r="AF258" t="inlineStr">
        <is>
          <t>Small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30</v>
      </c>
      <c r="AO258" t="n">
        <v>0</v>
      </c>
      <c r="AP258" t="inlineStr">
        <is>
          <t>T1</t>
        </is>
      </c>
      <c r="AQ258" t="inlineStr">
        <is>
          <t>autocannon_30</t>
        </is>
      </c>
      <c r="AR258" t="inlineStr"/>
      <c r="AS258" t="inlineStr">
        <is>
          <t>boss</t>
        </is>
      </c>
      <c r="AT258" t="inlineStr">
        <is>
          <t>drone_mothership</t>
        </is>
      </c>
      <c r="AU258" t="n">
        <v>1</v>
      </c>
      <c r="AV258" t="inlineStr">
        <is>
          <t>drone_mothership:6;drone_mothership:7</t>
        </is>
      </c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0.15</v>
      </c>
      <c r="BB258" t="n">
        <v>800</v>
      </c>
      <c r="BC258" t="n">
        <v>300</v>
      </c>
      <c r="BD258" t="inlineStr">
        <is>
          <t>ac</t>
        </is>
      </c>
      <c r="BE258" t="inlineStr">
        <is>
          <t>Wikipedia '2A42': 550-800 high, 200-300 low rpm</t>
        </is>
      </c>
      <c r="BF258" t="inlineStr">
        <is>
          <t>wave 1 autocannon_30: 10 rounds at 540 rpm every 2.5 s (2A42 550-800 rpm)</t>
        </is>
      </c>
      <c r="BG258" t="inlineStr">
        <is>
          <t>doi</t>
        </is>
      </c>
      <c r="BH258" t="n">
        <v>42</v>
      </c>
      <c r="BI258" t="n">
        <v>22</v>
      </c>
      <c r="BJ258" t="n">
        <v>1</v>
      </c>
      <c r="BK258" t="n">
        <v>1.5</v>
      </c>
      <c r="CS258" t="n">
        <v>0.1111</v>
      </c>
      <c r="DD258" t="n">
        <v>1.5</v>
      </c>
      <c r="DE258" t="n">
        <v>22</v>
      </c>
      <c r="DT258" t="inlineStr">
        <is>
          <t>autocannon_30</t>
        </is>
      </c>
      <c r="GA258" t="inlineStr"/>
      <c r="GD258" t="inlineStr">
        <is>
          <t>Assets/MachineBrigade/Resources/Data/balance.json: weapons[180]</t>
        </is>
      </c>
      <c r="GE258" t="inlineStr">
        <is>
          <t>{"id":"p26_matriarch_sec_autocannon_30","inherits":"autocannon_30","burstInterval":0.1111,"weaponFamily":"","cooldown":1.5,"damage":22}</t>
        </is>
      </c>
    </row>
    <row r="259">
      <c r="A259" t="inlineStr">
        <is>
          <t>p26_matriarch_tiny_mothership_cannon</t>
        </is>
      </c>
      <c r="B259" t="inlineStr">
        <is>
          <t>AU-220 57 mm</t>
        </is>
      </c>
      <c r="C259" t="inlineStr">
        <is>
          <t>cal_57</t>
        </is>
      </c>
      <c r="D259" t="inlineStr"/>
      <c r="E259" t="inlineStr"/>
      <c r="F259" t="inlineStr">
        <is>
          <t>autocannon</t>
        </is>
      </c>
      <c r="G259" t="n">
        <v>57</v>
      </c>
      <c r="H259" t="inlineStr"/>
      <c r="I259" t="inlineStr"/>
      <c r="J259" t="inlineStr"/>
      <c r="K259" t="inlineStr">
        <is>
          <t>HighExplosive</t>
        </is>
      </c>
      <c r="L259" t="n">
        <v>2</v>
      </c>
      <c r="M259" t="inlineStr">
        <is>
          <t>Shell</t>
        </is>
      </c>
      <c r="N259" t="n">
        <v>1</v>
      </c>
      <c r="O259" t="inlineStr">
        <is>
          <t>RIPPLE</t>
        </is>
      </c>
      <c r="P259" t="n">
        <v>4</v>
      </c>
      <c r="Q259" t="n">
        <v>0.5</v>
      </c>
      <c r="R259" t="n">
        <v>2.79</v>
      </c>
      <c r="S259" t="n">
        <v>0</v>
      </c>
      <c r="T259" t="n">
        <v>0</v>
      </c>
      <c r="U259" t="n">
        <v>0</v>
      </c>
      <c r="V259" t="n">
        <v>0</v>
      </c>
      <c r="W259" t="n">
        <v>120</v>
      </c>
      <c r="X259" t="n">
        <v>3</v>
      </c>
      <c r="Y259" t="n">
        <v>6</v>
      </c>
      <c r="Z259" t="n">
        <v>150</v>
      </c>
      <c r="AA259" t="n">
        <v>45</v>
      </c>
      <c r="AB259" t="n">
        <v>0</v>
      </c>
      <c r="AC259" t="inlineStr">
        <is>
          <t>Ground</t>
        </is>
      </c>
      <c r="AD259" t="inlineStr"/>
      <c r="AE259" t="n">
        <v>2.5</v>
      </c>
      <c r="AF259" t="inlineStr">
        <is>
          <t>Large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57</v>
      </c>
      <c r="AO259" t="n">
        <v>0</v>
      </c>
      <c r="AP259" t="inlineStr">
        <is>
          <t>T2</t>
        </is>
      </c>
      <c r="AQ259" t="inlineStr">
        <is>
          <t>mothership_cannon</t>
        </is>
      </c>
      <c r="AR259" t="inlineStr"/>
      <c r="AS259" t="inlineStr">
        <is>
          <t>boss</t>
        </is>
      </c>
      <c r="AT259" t="inlineStr">
        <is>
          <t>drone_mothership</t>
        </is>
      </c>
      <c r="AU259" t="n">
        <v>1</v>
      </c>
      <c r="AV259" t="inlineStr">
        <is>
          <t>drone_mothership:0;drone_mothership:4</t>
        </is>
      </c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0.3</v>
      </c>
      <c r="BB259" t="n">
        <v>120</v>
      </c>
      <c r="BC259" t="n">
        <v>80</v>
      </c>
      <c r="BD259" t="inlineStr">
        <is>
          <t>ac</t>
        </is>
      </c>
      <c r="BE259" t="inlineStr">
        <is>
          <t>Wikipedia 'AU-220M': 80-120 rpm</t>
        </is>
      </c>
      <c r="BF259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9" t="inlineStr">
        <is>
          <t>doi</t>
        </is>
      </c>
      <c r="BH259" t="n">
        <v>14</v>
      </c>
      <c r="BI259" t="n">
        <v>120</v>
      </c>
      <c r="BJ259" t="n">
        <v>3.29</v>
      </c>
      <c r="BK259" t="n">
        <v>2.79</v>
      </c>
      <c r="BN259" t="n">
        <v>3.5</v>
      </c>
      <c r="BO259" t="n">
        <v>3</v>
      </c>
      <c r="BP259" t="n">
        <v>0</v>
      </c>
      <c r="BQ259" t="n">
        <v>6</v>
      </c>
      <c r="DD259" t="n">
        <v>2.79</v>
      </c>
      <c r="DE259" t="n">
        <v>120</v>
      </c>
      <c r="DG259" t="n">
        <v>6</v>
      </c>
      <c r="DO259" t="n">
        <v>11</v>
      </c>
      <c r="DT259" t="inlineStr">
        <is>
          <t>mothership_cannon</t>
        </is>
      </c>
      <c r="EY259" t="n">
        <v>3</v>
      </c>
      <c r="GD259" t="inlineStr">
        <is>
          <t>Assets/MachineBrigade/Resources/Data/balance.json: weapons[183]</t>
        </is>
      </c>
      <c r="GE259" t="inlineStr">
        <is>
          <t>{"id":"p26_matriarch_tiny_mothership_cannon","groundMinReach":11,"inherits":"mothership_cannon","cooldown":2.79,"edge":6,"splash":3,"damage":120}</t>
        </is>
      </c>
    </row>
    <row r="260">
      <c r="A260" t="inlineStr">
        <is>
          <t>p26_moloch_close_boss_flak</t>
        </is>
      </c>
      <c r="B260" t="inlineStr">
        <is>
          <t>Oerlikon 35 mm (twin)</t>
        </is>
      </c>
      <c r="C260" t="inlineStr">
        <is>
          <t>cal_35</t>
        </is>
      </c>
      <c r="D260" t="inlineStr"/>
      <c r="E260" t="inlineStr"/>
      <c r="F260" t="inlineStr">
        <is>
          <t>autocannon</t>
        </is>
      </c>
      <c r="G260" t="n">
        <v>35</v>
      </c>
      <c r="H260" t="inlineStr"/>
      <c r="I260" t="inlineStr"/>
      <c r="J260" t="inlineStr"/>
      <c r="K260" t="inlineStr">
        <is>
          <t>Fragmentation</t>
        </is>
      </c>
      <c r="L260" t="n">
        <v>2</v>
      </c>
      <c r="M260" t="inlineStr">
        <is>
          <t>Bullet</t>
        </is>
      </c>
      <c r="N260" t="n">
        <v>1</v>
      </c>
      <c r="O260" t="inlineStr">
        <is>
          <t>RIPPLE</t>
        </is>
      </c>
      <c r="P260" t="n">
        <v>1</v>
      </c>
      <c r="Q260" t="n">
        <v>0.1</v>
      </c>
      <c r="R260" t="n">
        <v>0.05</v>
      </c>
      <c r="S260" t="n">
        <v>41</v>
      </c>
      <c r="T260" t="n">
        <v>3.38</v>
      </c>
      <c r="U260" t="n">
        <v>0</v>
      </c>
      <c r="V260" t="n">
        <v>0</v>
      </c>
      <c r="W260" t="n">
        <v>25</v>
      </c>
      <c r="X260" t="n">
        <v>2.5</v>
      </c>
      <c r="Y260" t="n">
        <v>0</v>
      </c>
      <c r="Z260" t="n">
        <v>260</v>
      </c>
      <c r="AA260" t="n">
        <v>40</v>
      </c>
      <c r="AB260" t="n">
        <v>0</v>
      </c>
      <c r="AC260" t="inlineStr">
        <is>
          <t>All</t>
        </is>
      </c>
      <c r="AD260" t="inlineStr"/>
      <c r="AE260" t="n">
        <v>1.5</v>
      </c>
      <c r="AF260" t="inlineStr">
        <is>
          <t>Small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35</v>
      </c>
      <c r="AO260" t="n">
        <v>0</v>
      </c>
      <c r="AP260" t="inlineStr">
        <is>
          <t>T1</t>
        </is>
      </c>
      <c r="AQ260" t="inlineStr">
        <is>
          <t>boss_flak</t>
        </is>
      </c>
      <c r="AR260" t="inlineStr"/>
      <c r="AS260" t="inlineStr">
        <is>
          <t>boss</t>
        </is>
      </c>
      <c r="AT260" t="inlineStr">
        <is>
          <t>moloch</t>
        </is>
      </c>
      <c r="AU260" t="n">
        <v>1</v>
      </c>
      <c r="AV260" t="inlineStr">
        <is>
          <t>moloch:6</t>
        </is>
      </c>
      <c r="AW260" t="n">
        <v>0</v>
      </c>
      <c r="AX260" t="b">
        <v>0</v>
      </c>
      <c r="AY260" t="inlineStr"/>
      <c r="AZ260">
        <f>IF(AND($AX$260,$AW$260&gt;$AA$260/$Z$260),$AW$260,$AA$260/$Z$260)</f>
        <v/>
      </c>
      <c r="BA260" t="n">
        <v>0.1538461538461539</v>
      </c>
      <c r="BB260" t="n">
        <v>550</v>
      </c>
      <c r="BC260" t="n">
        <v>300</v>
      </c>
      <c r="BD260" t="inlineStr">
        <is>
          <t>aa</t>
        </is>
      </c>
      <c r="BE260" t="inlineStr">
        <is>
          <t>Wikipedia 'Oerlikon GDF': 550 rpm a gun (the twin: 1,100)</t>
        </is>
      </c>
      <c r="BF260" t="inlineStr">
        <is>
          <t>wave 1 boss_flak: 41 rounds at 1,200 rpm, changed in 3.38 s (twin Oerlikon GDF 2 x 550 rpm)</t>
        </is>
      </c>
      <c r="BG260" t="inlineStr">
        <is>
          <t>doi</t>
        </is>
      </c>
      <c r="BH260" t="n">
        <v>70</v>
      </c>
      <c r="BI260" t="n">
        <v>25</v>
      </c>
      <c r="CX260" t="n">
        <v>3.38</v>
      </c>
      <c r="DD260" t="n">
        <v>0.05</v>
      </c>
      <c r="DE260" t="n">
        <v>25</v>
      </c>
      <c r="DT260" t="inlineStr">
        <is>
          <t>boss_flak</t>
        </is>
      </c>
      <c r="GA260" t="inlineStr"/>
      <c r="GD260" t="inlineStr">
        <is>
          <t>Assets/MachineBrigade/Resources/Data/balance.json: weapons[188]</t>
        </is>
      </c>
      <c r="GE260" t="inlineStr">
        <is>
          <t>{"id":"p26_moloch_close_boss_flak","inherits":"boss_flak","clipReload":3.38,"cooldown":0.05,"weaponFamily":"","damage":25}</t>
        </is>
      </c>
    </row>
    <row r="261">
      <c r="A261" t="inlineStr">
        <is>
          <t>p26_moloch_direct_mo120ap</t>
        </is>
      </c>
      <c r="B261" t="inlineStr">
        <is>
          <t>Rh-120 L/44 120 mm AP (twin)</t>
        </is>
      </c>
      <c r="C261" t="inlineStr">
        <is>
          <t>cal_120_ap</t>
        </is>
      </c>
      <c r="D261" t="inlineStr"/>
      <c r="E261" t="inlineStr"/>
      <c r="F261" t="inlineStr">
        <is>
          <t>tank_gun</t>
        </is>
      </c>
      <c r="G261" t="n">
        <v>120</v>
      </c>
      <c r="H261" t="inlineStr"/>
      <c r="I261" t="inlineStr"/>
      <c r="J261" t="inlineStr"/>
      <c r="K261" t="inlineStr">
        <is>
          <t>Kinetic</t>
        </is>
      </c>
      <c r="L261" t="n">
        <v>5</v>
      </c>
      <c r="M261" t="inlineStr">
        <is>
          <t>Shell</t>
        </is>
      </c>
      <c r="N261" t="n">
        <v>2</v>
      </c>
      <c r="O261" t="inlineStr">
        <is>
          <t>SIMULTANEOUS</t>
        </is>
      </c>
      <c r="P261" t="n">
        <v>1</v>
      </c>
      <c r="Q261" t="n">
        <v>0.1</v>
      </c>
      <c r="R261" t="n">
        <v>7.5</v>
      </c>
      <c r="S261" t="n">
        <v>0</v>
      </c>
      <c r="T261" t="n">
        <v>0</v>
      </c>
      <c r="U261" t="n">
        <v>0</v>
      </c>
      <c r="V261" t="n">
        <v>0</v>
      </c>
      <c r="W261" t="n">
        <v>260</v>
      </c>
      <c r="X261" t="n">
        <v>0</v>
      </c>
      <c r="Y261" t="n">
        <v>0</v>
      </c>
      <c r="Z261" t="n">
        <v>170</v>
      </c>
      <c r="AA261" t="n">
        <v>32</v>
      </c>
      <c r="AB261" t="n">
        <v>0</v>
      </c>
      <c r="AC261" t="inlineStr">
        <is>
          <t>Ground</t>
        </is>
      </c>
      <c r="AD261" t="inlineStr"/>
      <c r="AE261" t="n">
        <v>0.6</v>
      </c>
      <c r="AF261" t="inlineStr">
        <is>
          <t>Medium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120</v>
      </c>
      <c r="AO261" t="n">
        <v>0</v>
      </c>
      <c r="AP261" t="inlineStr">
        <is>
          <t>T3</t>
        </is>
      </c>
      <c r="AQ261" t="inlineStr">
        <is>
          <t>p26_moloch_mo120ap</t>
        </is>
      </c>
      <c r="AR261" t="inlineStr"/>
      <c r="AS261" t="inlineStr">
        <is>
          <t>boss</t>
        </is>
      </c>
      <c r="AT261" t="inlineStr">
        <is>
          <t>moloch</t>
        </is>
      </c>
      <c r="AU261" t="n">
        <v>1</v>
      </c>
      <c r="AV261" t="inlineStr">
        <is>
          <t>moloch:4;moloch:5</t>
        </is>
      </c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0.1882352941176471</v>
      </c>
      <c r="BB261" t="n">
        <v>8</v>
      </c>
      <c r="BC261" t="n">
        <v>6</v>
      </c>
      <c r="BD261" t="inlineStr">
        <is>
          <t>gun</t>
        </is>
      </c>
      <c r="BE261" t="inlineStr">
        <is>
          <t>the sheet's 'Ngoài đời': Rh-120 6-8 rpm with a loader (Wikipedia 'Rheinmetall 120 mm gun')</t>
        </is>
      </c>
      <c r="BF261" t="inlineStr">
        <is>
          <t>real Rh-120 with a loader, 8 rpm (7.5 s); wave 1's 5.1 s is too fast after the 30 % rule; made up: a twin Rh-120 (wave 1's gun_120_twin); made up: a twin Rh-120 (wave 1's gun_120_twin)</t>
        </is>
      </c>
      <c r="BG261" t="inlineStr">
        <is>
          <t>doi</t>
        </is>
      </c>
      <c r="BH261" t="n">
        <v>220</v>
      </c>
      <c r="BI261" t="n">
        <v>260</v>
      </c>
      <c r="BJ261" t="n">
        <v>2</v>
      </c>
      <c r="BK261" t="n">
        <v>7.5</v>
      </c>
      <c r="BX261" t="n">
        <v>1</v>
      </c>
      <c r="BY261" t="n">
        <v>2</v>
      </c>
      <c r="BZ261" t="inlineStr">
        <is>
          <t>RIPPLE</t>
        </is>
      </c>
      <c r="CA261" t="inlineStr">
        <is>
          <t>SIMULTANEOUS</t>
        </is>
      </c>
      <c r="CO261" t="n">
        <v>2</v>
      </c>
      <c r="DD261" t="n">
        <v>7.5</v>
      </c>
      <c r="DE261" t="n">
        <v>260</v>
      </c>
      <c r="DO261" t="n">
        <v>25</v>
      </c>
      <c r="DT261" t="inlineStr">
        <is>
          <t>p26_moloch_mo120ap</t>
        </is>
      </c>
      <c r="EQ261" t="inlineStr">
        <is>
          <t>Rh-120 L/44 120 mm AP (twin)</t>
        </is>
      </c>
      <c r="EW261" t="inlineStr">
        <is>
          <t>SIMULTANEOUS</t>
        </is>
      </c>
      <c r="GD261" t="inlineStr">
        <is>
          <t>Assets/MachineBrigade/Resources/Data/balance.json: weapons[187]</t>
        </is>
      </c>
      <c r="GE261" t="inlineStr">
        <is>
          <t>{"id":"p26_moloch_direct_mo120ap","groundMinReach":25,"inherits":"p26_moloch_mo120ap","real":"Rh-120 L/44 120 mm AP (twin)","salvoMode":"SIMULTANEOUS","barrels":2,"cooldown":7.5,"damage":260}</t>
        </is>
      </c>
    </row>
    <row r="262">
      <c r="A262" t="inlineStr">
        <is>
          <t>p26_moloch_main_mo120</t>
        </is>
      </c>
      <c r="B262" t="inlineStr">
        <is>
          <t>Rh-120 L/44 120 mm HE (twin)</t>
        </is>
      </c>
      <c r="C262" t="inlineStr">
        <is>
          <t>cal_120_he</t>
        </is>
      </c>
      <c r="D262" t="inlineStr"/>
      <c r="E262" t="inlineStr"/>
      <c r="F262" t="inlineStr">
        <is>
          <t>tank_gun</t>
        </is>
      </c>
      <c r="G262" t="n">
        <v>120</v>
      </c>
      <c r="H262" t="inlineStr"/>
      <c r="I262" t="inlineStr"/>
      <c r="J262" t="inlineStr"/>
      <c r="K262" t="inlineStr">
        <is>
          <t>HighExplosive</t>
        </is>
      </c>
      <c r="L262" t="n">
        <v>4</v>
      </c>
      <c r="M262" t="inlineStr">
        <is>
          <t>Shell</t>
        </is>
      </c>
      <c r="N262" t="n">
        <v>2</v>
      </c>
      <c r="O262" t="inlineStr">
        <is>
          <t>SIMULTANEOUS</t>
        </is>
      </c>
      <c r="P262" t="n">
        <v>1</v>
      </c>
      <c r="Q262" t="n">
        <v>0.1</v>
      </c>
      <c r="R262" t="n">
        <v>7.5</v>
      </c>
      <c r="S262" t="n">
        <v>0</v>
      </c>
      <c r="T262" t="n">
        <v>0</v>
      </c>
      <c r="U262" t="n">
        <v>0</v>
      </c>
      <c r="V262" t="n">
        <v>0</v>
      </c>
      <c r="W262" t="n">
        <v>340</v>
      </c>
      <c r="X262" t="n">
        <v>5</v>
      </c>
      <c r="Y262" t="n">
        <v>10</v>
      </c>
      <c r="Z262" t="n">
        <v>170</v>
      </c>
      <c r="AA262" t="n">
        <v>32</v>
      </c>
      <c r="AB262" t="n">
        <v>0</v>
      </c>
      <c r="AC262" t="inlineStr">
        <is>
          <t>Ground</t>
        </is>
      </c>
      <c r="AD262" t="inlineStr"/>
      <c r="AE262" t="n">
        <v>0.6</v>
      </c>
      <c r="AF262" t="inlineStr">
        <is>
          <t>Medium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120</v>
      </c>
      <c r="AO262" t="n">
        <v>0</v>
      </c>
      <c r="AP262" t="inlineStr">
        <is>
          <t>T3</t>
        </is>
      </c>
      <c r="AQ262" t="inlineStr">
        <is>
          <t>p26_moloch_mo120</t>
        </is>
      </c>
      <c r="AR262" t="inlineStr"/>
      <c r="AS262" t="inlineStr">
        <is>
          <t>boss</t>
        </is>
      </c>
      <c r="AT262" t="inlineStr">
        <is>
          <t>moloch</t>
        </is>
      </c>
      <c r="AU262" t="n">
        <v>1</v>
      </c>
      <c r="AV262" t="inlineStr">
        <is>
          <t>moloch:0;moloch:3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0.1882352941176471</v>
      </c>
      <c r="BB262" t="n">
        <v>8</v>
      </c>
      <c r="BC262" t="n">
        <v>6</v>
      </c>
      <c r="BD262" t="inlineStr">
        <is>
          <t>gun</t>
        </is>
      </c>
      <c r="BE262" t="inlineStr">
        <is>
          <t>the sheet's 'Ngoài đời': Rh-120 6-8 rpm with a loader (Wikipedia 'Rheinmetall 120 mm gun')</t>
        </is>
      </c>
      <c r="BF262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62" t="inlineStr">
        <is>
          <t>doi</t>
        </is>
      </c>
      <c r="BH262" t="n">
        <v>300</v>
      </c>
      <c r="BI262" t="n">
        <v>340</v>
      </c>
      <c r="BJ262" t="n">
        <v>1</v>
      </c>
      <c r="BK262" t="n">
        <v>7.5</v>
      </c>
      <c r="BX262" t="n">
        <v>1</v>
      </c>
      <c r="BY262" t="n">
        <v>2</v>
      </c>
      <c r="BZ262" t="inlineStr">
        <is>
          <t>RIPPLE</t>
        </is>
      </c>
      <c r="CA262" t="inlineStr">
        <is>
          <t>SIMULTANEOUS</t>
        </is>
      </c>
      <c r="CO262" t="n">
        <v>2</v>
      </c>
      <c r="DD262" t="n">
        <v>7.5</v>
      </c>
      <c r="DE262" t="n">
        <v>340</v>
      </c>
      <c r="DO262" t="n">
        <v>25</v>
      </c>
      <c r="DT262" t="inlineStr">
        <is>
          <t>p26_moloch_mo120</t>
        </is>
      </c>
      <c r="EQ262" t="inlineStr">
        <is>
          <t>Rh-120 L/44 120 mm HE (twin)</t>
        </is>
      </c>
      <c r="EW262" t="inlineStr">
        <is>
          <t>SIMULTANEOUS</t>
        </is>
      </c>
      <c r="GD262" t="inlineStr">
        <is>
          <t>Assets/MachineBrigade/Resources/Data/balance.json: weapons[186]</t>
        </is>
      </c>
      <c r="GE262" t="inlineStr">
        <is>
          <t>{"id":"p26_moloch_main_mo120","groundMinReach":25,"inherits":"p26_moloch_mo120","real":"Rh-120 L/44 120 mm HE (twin)","salvoMode":"SIMULTANEOUS","barrels":2,"cooldown":7.5,"damage":340}</t>
        </is>
      </c>
    </row>
    <row r="263">
      <c r="A263" t="inlineStr">
        <is>
          <t>p26_moloch_mo120</t>
        </is>
      </c>
      <c r="B263" t="inlineStr">
        <is>
          <t>Rh-120 L/44 120 mm HE</t>
        </is>
      </c>
      <c r="C263" t="inlineStr">
        <is>
          <t>cal_120_he</t>
        </is>
      </c>
      <c r="D263" t="inlineStr"/>
      <c r="E263" t="inlineStr"/>
      <c r="F263" t="inlineStr">
        <is>
          <t>tank_gun</t>
        </is>
      </c>
      <c r="G263" t="n">
        <v>120</v>
      </c>
      <c r="H263" t="inlineStr"/>
      <c r="I263" t="inlineStr"/>
      <c r="J263" t="inlineStr"/>
      <c r="K263" t="inlineStr">
        <is>
          <t>HighExplosive</t>
        </is>
      </c>
      <c r="L263" t="n">
        <v>4</v>
      </c>
      <c r="M263" t="inlineStr">
        <is>
          <t>Shell</t>
        </is>
      </c>
      <c r="N263" t="n">
        <v>1</v>
      </c>
      <c r="O263" t="inlineStr">
        <is>
          <t>RIPPLE</t>
        </is>
      </c>
      <c r="P263" t="n">
        <v>1</v>
      </c>
      <c r="Q263" t="n">
        <v>0.1</v>
      </c>
      <c r="R263" t="n">
        <v>2</v>
      </c>
      <c r="S263" t="n">
        <v>0</v>
      </c>
      <c r="T263" t="n">
        <v>0</v>
      </c>
      <c r="U263" t="n">
        <v>0</v>
      </c>
      <c r="V263" t="n">
        <v>0</v>
      </c>
      <c r="W263" t="n">
        <v>225</v>
      </c>
      <c r="X263" t="n">
        <v>5</v>
      </c>
      <c r="Y263" t="n">
        <v>10</v>
      </c>
      <c r="Z263" t="n">
        <v>170</v>
      </c>
      <c r="AA263" t="n">
        <v>32</v>
      </c>
      <c r="AB263" t="n">
        <v>0</v>
      </c>
      <c r="AC263" t="inlineStr">
        <is>
          <t>Ground</t>
        </is>
      </c>
      <c r="AD263" t="inlineStr"/>
      <c r="AE263" t="n">
        <v>0.6</v>
      </c>
      <c r="AF263" t="inlineStr">
        <is>
          <t>Medium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120</v>
      </c>
      <c r="AO263" t="n">
        <v>0</v>
      </c>
      <c r="AP263" t="inlineStr">
        <is>
          <t>T3</t>
        </is>
      </c>
      <c r="AQ263" t="inlineStr">
        <is>
          <t>gun_120mm</t>
        </is>
      </c>
      <c r="AR263" t="inlineStr"/>
      <c r="AS263" t="inlineStr"/>
      <c r="AT263" t="inlineStr"/>
      <c r="AU263" t="n">
        <v>0</v>
      </c>
      <c r="AV263" t="inlineStr"/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0.1882352941176471</v>
      </c>
      <c r="BB263" t="n">
        <v>8</v>
      </c>
      <c r="BC263" t="n">
        <v>6</v>
      </c>
      <c r="BD263" t="inlineStr">
        <is>
          <t>gun</t>
        </is>
      </c>
      <c r="BE263" t="inlineStr">
        <is>
          <t>the sheet's 'Ngoài đời': Rh-120 6-8 rpm with a loader (Wikipedia 'Rheinmetall 120 mm gun')</t>
        </is>
      </c>
      <c r="BG263" t="inlineStr">
        <is>
          <t>giong</t>
        </is>
      </c>
      <c r="DD263" t="n">
        <v>2</v>
      </c>
      <c r="DE263" t="n">
        <v>225</v>
      </c>
      <c r="DF263" t="inlineStr">
        <is>
          <t>HighExplosive</t>
        </is>
      </c>
      <c r="DG263" t="n">
        <v>10</v>
      </c>
      <c r="DT263" t="inlineStr">
        <is>
          <t>gun_120mm</t>
        </is>
      </c>
      <c r="EB263" t="n">
        <v>4</v>
      </c>
      <c r="EQ263" t="inlineStr">
        <is>
          <t>Rh-120 L/44 120 mm HE</t>
        </is>
      </c>
      <c r="EY263" t="n">
        <v>5</v>
      </c>
      <c r="GA263" t="inlineStr"/>
      <c r="GB263" t="inlineStr">
        <is>
          <t>cal_120_he</t>
        </is>
      </c>
      <c r="GD263" t="inlineStr">
        <is>
          <t>Assets/MachineBrigade/Resources/Data/balance.json: weapons[184]</t>
        </is>
      </c>
      <c r="GE263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64">
      <c r="A264" t="inlineStr">
        <is>
          <t>p26_moloch_mo120ap</t>
        </is>
      </c>
      <c r="B264" t="inlineStr">
        <is>
          <t>Rh-120 L/44 120 mm AP</t>
        </is>
      </c>
      <c r="C264" t="inlineStr">
        <is>
          <t>cal_120_ap</t>
        </is>
      </c>
      <c r="D264" t="inlineStr"/>
      <c r="E264" t="inlineStr"/>
      <c r="F264" t="inlineStr">
        <is>
          <t>tank_gun</t>
        </is>
      </c>
      <c r="G264" t="n">
        <v>120</v>
      </c>
      <c r="H264" t="inlineStr"/>
      <c r="I264" t="inlineStr"/>
      <c r="J264" t="inlineStr"/>
      <c r="K264" t="inlineStr">
        <is>
          <t>Kinetic</t>
        </is>
      </c>
      <c r="L264" t="n">
        <v>5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2</v>
      </c>
      <c r="S264" t="n">
        <v>0</v>
      </c>
      <c r="T264" t="n">
        <v>0</v>
      </c>
      <c r="U264" t="n">
        <v>0</v>
      </c>
      <c r="V264" t="n">
        <v>0</v>
      </c>
      <c r="W264" t="n">
        <v>240</v>
      </c>
      <c r="X264" t="n">
        <v>0</v>
      </c>
      <c r="Y264" t="n">
        <v>0</v>
      </c>
      <c r="Z264" t="n">
        <v>170</v>
      </c>
      <c r="AA264" t="n">
        <v>32</v>
      </c>
      <c r="AB264" t="n">
        <v>0</v>
      </c>
      <c r="AC264" t="inlineStr">
        <is>
          <t>Ground</t>
        </is>
      </c>
      <c r="AD264" t="inlineStr"/>
      <c r="AE264" t="n">
        <v>0.6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120</v>
      </c>
      <c r="AO264" t="n">
        <v>0</v>
      </c>
      <c r="AP264" t="inlineStr">
        <is>
          <t>T3</t>
        </is>
      </c>
      <c r="AQ264" t="inlineStr">
        <is>
          <t>gun_120mm</t>
        </is>
      </c>
      <c r="AR264" t="inlineStr"/>
      <c r="AS264" t="inlineStr"/>
      <c r="AT264" t="inlineStr"/>
      <c r="AU264" t="n">
        <v>0</v>
      </c>
      <c r="AV264" t="inlineStr"/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0.1882352941176471</v>
      </c>
      <c r="BB264" t="n">
        <v>8</v>
      </c>
      <c r="BC264" t="n">
        <v>6</v>
      </c>
      <c r="BD264" t="inlineStr">
        <is>
          <t>gun</t>
        </is>
      </c>
      <c r="BE264" t="inlineStr">
        <is>
          <t>the sheet's 'Ngoài đời': Rh-120 6-8 rpm with a loader (Wikipedia 'Rheinmetall 120 mm gun')</t>
        </is>
      </c>
      <c r="BG264" t="inlineStr">
        <is>
          <t>giong</t>
        </is>
      </c>
      <c r="DD264" t="n">
        <v>2</v>
      </c>
      <c r="DE264" t="n">
        <v>240</v>
      </c>
      <c r="DT264" t="inlineStr">
        <is>
          <t>gun_120mm</t>
        </is>
      </c>
      <c r="EB264" t="n">
        <v>5</v>
      </c>
      <c r="EQ264" t="inlineStr">
        <is>
          <t>Rh-120 L/44 120 mm AP</t>
        </is>
      </c>
      <c r="EY264" t="n">
        <v>0</v>
      </c>
      <c r="GA264" t="inlineStr"/>
      <c r="GD264" t="inlineStr">
        <is>
          <t>Assets/MachineBrigade/Resources/Data/balance.json: weapons[185]</t>
        </is>
      </c>
      <c r="GE264" t="inlineStr">
        <is>
          <t>{"id":"p26_moloch_mo120ap","inherits":"gun_120mm","weaponFamily":"","real":"Rh-120 L/44 120 mm AP","damage":240,"cooldown":2,"pen":5,"splash":0}</t>
        </is>
      </c>
    </row>
    <row r="265">
      <c r="A265" t="inlineStr">
        <is>
          <t>p26_moloch_tiny_zu23</t>
        </is>
      </c>
      <c r="B265" t="inlineStr">
        <is>
          <t>ZU-23-2 23 mm</t>
        </is>
      </c>
      <c r="C265" t="inlineStr">
        <is>
          <t>cal_23</t>
        </is>
      </c>
      <c r="D265" t="inlineStr"/>
      <c r="E265" t="inlineStr"/>
      <c r="F265" t="inlineStr">
        <is>
          <t>autocannon</t>
        </is>
      </c>
      <c r="G265" t="n">
        <v>23</v>
      </c>
      <c r="H265" t="inlineStr"/>
      <c r="I265" t="inlineStr"/>
      <c r="J265" t="inlineStr"/>
      <c r="K265" t="inlineStr">
        <is>
          <t>Fragmentation</t>
        </is>
      </c>
      <c r="L265" t="n">
        <v>1</v>
      </c>
      <c r="M265" t="inlineStr">
        <is>
          <t>Bullet</t>
        </is>
      </c>
      <c r="N265" t="n">
        <v>2</v>
      </c>
      <c r="O265" t="inlineStr">
        <is>
          <t>RIPPLE</t>
        </is>
      </c>
      <c r="P265" t="n">
        <v>1</v>
      </c>
      <c r="Q265" t="n">
        <v>0.1</v>
      </c>
      <c r="R265" t="n">
        <v>0.02</v>
      </c>
      <c r="S265" t="n">
        <v>100</v>
      </c>
      <c r="T265" t="n">
        <v>2.98</v>
      </c>
      <c r="U265" t="n">
        <v>0</v>
      </c>
      <c r="V265" t="n">
        <v>0</v>
      </c>
      <c r="W265" t="n">
        <v>3.5</v>
      </c>
      <c r="X265" t="n">
        <v>0</v>
      </c>
      <c r="Y265" t="n">
        <v>0</v>
      </c>
      <c r="Z265" t="n">
        <v>240</v>
      </c>
      <c r="AA265" t="n">
        <v>38</v>
      </c>
      <c r="AB265" t="n">
        <v>0</v>
      </c>
      <c r="AC265" t="inlineStr">
        <is>
          <t>All</t>
        </is>
      </c>
      <c r="AD265" t="inlineStr"/>
      <c r="AE265" t="n">
        <v>1.6</v>
      </c>
      <c r="AF265" t="inlineStr">
        <is>
          <t>Small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23</v>
      </c>
      <c r="AO265" t="n">
        <v>0</v>
      </c>
      <c r="AP265" t="inlineStr">
        <is>
          <t>T1</t>
        </is>
      </c>
      <c r="AQ265" t="inlineStr">
        <is>
          <t>zu23</t>
        </is>
      </c>
      <c r="AR265" t="inlineStr"/>
      <c r="AS265" t="inlineStr">
        <is>
          <t>boss</t>
        </is>
      </c>
      <c r="AT265" t="inlineStr">
        <is>
          <t>moloch</t>
        </is>
      </c>
      <c r="AU265" t="n">
        <v>1</v>
      </c>
      <c r="AV265" t="inlineStr">
        <is>
          <t>moloch:1;moloch:2</t>
        </is>
      </c>
      <c r="AW265" t="n">
        <v>0</v>
      </c>
      <c r="AX265" t="b">
        <v>0</v>
      </c>
      <c r="AY265" t="inlineStr">
        <is>
          <t>KHONG_AP_DUNG</t>
        </is>
      </c>
      <c r="AZ265">
        <f>IF(AND($AX$265,$AW$265&gt;$AA$265/$Z$265),$AW$265,$AA$265/$Z$265)</f>
        <v/>
      </c>
      <c r="BA265" t="n">
        <v>0.1583333333333333</v>
      </c>
      <c r="BB265" t="n">
        <v>1000</v>
      </c>
      <c r="BC265" t="n">
        <v>400</v>
      </c>
      <c r="BD265" t="inlineStr">
        <is>
          <t>aa</t>
        </is>
      </c>
      <c r="BE265" t="inlineStr">
        <is>
          <t>Wikipedia 'ZU-23-2': 2 x 800-1,000 rpm</t>
        </is>
      </c>
      <c r="BF265" t="inlineStr">
        <is>
          <t>wave 1 zu23: 50 rounds at 1,500 rpm, changed in 3 s (ZU-23-2 2 x 800-1,000 rpm)</t>
        </is>
      </c>
      <c r="BG265" t="inlineStr">
        <is>
          <t>doi</t>
        </is>
      </c>
      <c r="BH265" t="n">
        <v>1.4</v>
      </c>
      <c r="BI265" t="n">
        <v>3.5</v>
      </c>
      <c r="BJ265" t="n">
        <v>0.04</v>
      </c>
      <c r="BK265" t="n">
        <v>0.02</v>
      </c>
      <c r="BX265" t="n">
        <v>1</v>
      </c>
      <c r="BY265" t="n">
        <v>2</v>
      </c>
      <c r="CF265" t="n">
        <v>50</v>
      </c>
      <c r="CG265" t="n">
        <v>100</v>
      </c>
      <c r="CH265" t="n">
        <v>3.04</v>
      </c>
      <c r="CI265" t="n">
        <v>2.98</v>
      </c>
      <c r="CX265" t="n">
        <v>2.98</v>
      </c>
      <c r="DE265" t="n">
        <v>3.5</v>
      </c>
      <c r="DT265" t="inlineStr">
        <is>
          <t>zu23</t>
        </is>
      </c>
      <c r="GD265" t="inlineStr">
        <is>
          <t>Assets/MachineBrigade/Resources/Data/balance.json: weapons[189]</t>
        </is>
      </c>
      <c r="GE265" t="inlineStr">
        <is>
          <t>{"id":"p26_moloch_tiny_zu23","inherits":"zu23","clipReload":2.98,"damage":3.5}</t>
        </is>
      </c>
    </row>
    <row r="266">
      <c r="A266" t="inlineStr">
        <is>
          <t>p26_nemesis_close_boss_flak</t>
        </is>
      </c>
      <c r="B266" t="inlineStr">
        <is>
          <t>Oerlikon 35 mm (twin)</t>
        </is>
      </c>
      <c r="C266" t="inlineStr">
        <is>
          <t>cal_35</t>
        </is>
      </c>
      <c r="D266" t="inlineStr"/>
      <c r="E266" t="inlineStr"/>
      <c r="F266" t="inlineStr">
        <is>
          <t>autocannon</t>
        </is>
      </c>
      <c r="G266" t="n">
        <v>35</v>
      </c>
      <c r="H266" t="inlineStr"/>
      <c r="I266" t="inlineStr"/>
      <c r="J266" t="inlineStr"/>
      <c r="K266" t="inlineStr">
        <is>
          <t>Fragmentation</t>
        </is>
      </c>
      <c r="L266" t="n">
        <v>2</v>
      </c>
      <c r="M266" t="inlineStr">
        <is>
          <t>Bullet</t>
        </is>
      </c>
      <c r="N266" t="n">
        <v>1</v>
      </c>
      <c r="O266" t="inlineStr">
        <is>
          <t>RIPPLE</t>
        </is>
      </c>
      <c r="P266" t="n">
        <v>1</v>
      </c>
      <c r="Q266" t="n">
        <v>0.1</v>
      </c>
      <c r="R266" t="n">
        <v>0.05</v>
      </c>
      <c r="S266" t="n">
        <v>41</v>
      </c>
      <c r="T266" t="n">
        <v>3.38</v>
      </c>
      <c r="U266" t="n">
        <v>0</v>
      </c>
      <c r="V266" t="n">
        <v>0</v>
      </c>
      <c r="W266" t="n">
        <v>25</v>
      </c>
      <c r="X266" t="n">
        <v>2.5</v>
      </c>
      <c r="Y266" t="n">
        <v>0</v>
      </c>
      <c r="Z266" t="n">
        <v>260</v>
      </c>
      <c r="AA266" t="n">
        <v>40</v>
      </c>
      <c r="AB266" t="n">
        <v>0</v>
      </c>
      <c r="AC266" t="inlineStr">
        <is>
          <t>All</t>
        </is>
      </c>
      <c r="AD266" t="inlineStr"/>
      <c r="AE266" t="n">
        <v>1.5</v>
      </c>
      <c r="AF266" t="inlineStr">
        <is>
          <t>Small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35</v>
      </c>
      <c r="AO266" t="n">
        <v>0</v>
      </c>
      <c r="AP266" t="inlineStr">
        <is>
          <t>T1</t>
        </is>
      </c>
      <c r="AQ266" t="inlineStr">
        <is>
          <t>boss_flak</t>
        </is>
      </c>
      <c r="AR266" t="inlineStr"/>
      <c r="AS266" t="inlineStr">
        <is>
          <t>boss</t>
        </is>
      </c>
      <c r="AT266" t="inlineStr">
        <is>
          <t>nuke_train</t>
        </is>
      </c>
      <c r="AU266" t="n">
        <v>1</v>
      </c>
      <c r="AV266" t="inlineStr">
        <is>
          <t>nuke_train:1;nuke_train:2;nuke_train:6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0.1538461538461539</v>
      </c>
      <c r="BB266" t="n">
        <v>550</v>
      </c>
      <c r="BC266" t="n">
        <v>300</v>
      </c>
      <c r="BD266" t="inlineStr">
        <is>
          <t>aa</t>
        </is>
      </c>
      <c r="BE266" t="inlineStr">
        <is>
          <t>Wikipedia 'Oerlikon GDF': 550 rpm a gun (the twin: 1,100)</t>
        </is>
      </c>
      <c r="BF266" t="inlineStr">
        <is>
          <t>wave 1 boss_flak: 41 rounds at 1,200 rpm, changed in 3.38 s (twin Oerlikon GDF 2 x 550 rpm)</t>
        </is>
      </c>
      <c r="BG266" t="inlineStr">
        <is>
          <t>doi</t>
        </is>
      </c>
      <c r="BH266" t="n">
        <v>19</v>
      </c>
      <c r="BI266" t="n">
        <v>25</v>
      </c>
      <c r="CX266" t="n">
        <v>3.38</v>
      </c>
      <c r="DE266" t="n">
        <v>25</v>
      </c>
      <c r="DT266" t="inlineStr">
        <is>
          <t>boss_flak</t>
        </is>
      </c>
      <c r="GA266" t="inlineStr"/>
      <c r="GD266" t="inlineStr">
        <is>
          <t>Assets/MachineBrigade/Resources/Data/balance.json: weapons[196]</t>
        </is>
      </c>
      <c r="GE266" t="inlineStr">
        <is>
          <t>{"id":"p26_nemesis_close_boss_flak","inherits":"boss_flak","clipReload":3.38,"weaponFamily":"","damage":25}</t>
        </is>
      </c>
    </row>
    <row r="267">
      <c r="A267" t="inlineStr">
        <is>
          <t>p26_nemesis_direct_ne125</t>
        </is>
      </c>
      <c r="B267" t="inlineStr">
        <is>
          <t>2A46 125 mm</t>
        </is>
      </c>
      <c r="C267" t="inlineStr">
        <is>
          <t>cal_125_ap</t>
        </is>
      </c>
      <c r="D267" t="inlineStr"/>
      <c r="E267" t="inlineStr"/>
      <c r="F267" t="inlineStr">
        <is>
          <t>tank_gun</t>
        </is>
      </c>
      <c r="G267" t="n">
        <v>125</v>
      </c>
      <c r="H267" t="inlineStr"/>
      <c r="I267" t="inlineStr"/>
      <c r="J267" t="inlineStr"/>
      <c r="K267" t="inlineStr">
        <is>
          <t>Kinetic</t>
        </is>
      </c>
      <c r="L267" t="n">
        <v>5</v>
      </c>
      <c r="M267" t="inlineStr">
        <is>
          <t>Shell</t>
        </is>
      </c>
      <c r="N267" t="n">
        <v>1</v>
      </c>
      <c r="O267" t="inlineStr">
        <is>
          <t>RIPPLE</t>
        </is>
      </c>
      <c r="P267" t="n">
        <v>1</v>
      </c>
      <c r="Q267" t="n">
        <v>0.1</v>
      </c>
      <c r="R267" t="n">
        <v>7.5</v>
      </c>
      <c r="S267" t="n">
        <v>0</v>
      </c>
      <c r="T267" t="n">
        <v>0</v>
      </c>
      <c r="U267" t="n">
        <v>0</v>
      </c>
      <c r="V267" t="n">
        <v>0</v>
      </c>
      <c r="W267" t="n">
        <v>400</v>
      </c>
      <c r="X267" t="n">
        <v>0</v>
      </c>
      <c r="Y267" t="n">
        <v>0</v>
      </c>
      <c r="Z267" t="n">
        <v>170</v>
      </c>
      <c r="AA267" t="n">
        <v>38</v>
      </c>
      <c r="AB267" t="n">
        <v>0</v>
      </c>
      <c r="AC267" t="inlineStr">
        <is>
          <t>Ground</t>
        </is>
      </c>
      <c r="AD267" t="inlineStr"/>
      <c r="AE267" t="n">
        <v>0.6</v>
      </c>
      <c r="AF267" t="inlineStr">
        <is>
          <t>Medium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125</v>
      </c>
      <c r="AO267" t="n">
        <v>0</v>
      </c>
      <c r="AP267" t="inlineStr">
        <is>
          <t>T3</t>
        </is>
      </c>
      <c r="AQ267" t="inlineStr">
        <is>
          <t>p26_nemesis_ne125</t>
        </is>
      </c>
      <c r="AR267" t="inlineStr"/>
      <c r="AS267" t="inlineStr">
        <is>
          <t>boss</t>
        </is>
      </c>
      <c r="AT267" t="inlineStr">
        <is>
          <t>nuke_train</t>
        </is>
      </c>
      <c r="AU267" t="n">
        <v>1</v>
      </c>
      <c r="AV267" t="inlineStr">
        <is>
          <t>nuke_train:5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0.2235294117647059</v>
      </c>
      <c r="BB267" t="n">
        <v>8</v>
      </c>
      <c r="BC267" t="n">
        <v>7</v>
      </c>
      <c r="BD267" t="inlineStr">
        <is>
          <t>gun</t>
        </is>
      </c>
      <c r="BE267" t="inlineStr">
        <is>
          <t>Wikipedia '2A46': 7-8 rpm with the autoloader</t>
        </is>
      </c>
      <c r="BF267" t="inlineStr">
        <is>
          <t>real 2A46 with its autoloader, 8 rpm (7.5 s); wave 1's 5.56 s is too fast after the 30 % rule</t>
        </is>
      </c>
      <c r="BG267" t="inlineStr">
        <is>
          <t>doi</t>
        </is>
      </c>
      <c r="BH267" t="n">
        <v>275</v>
      </c>
      <c r="BI267" t="n">
        <v>400</v>
      </c>
      <c r="BJ267" t="n">
        <v>1.5</v>
      </c>
      <c r="BK267" t="n">
        <v>7.5</v>
      </c>
      <c r="DD267" t="n">
        <v>7.5</v>
      </c>
      <c r="DE267" t="n">
        <v>400</v>
      </c>
      <c r="DO267" t="n">
        <v>30</v>
      </c>
      <c r="DT267" t="inlineStr">
        <is>
          <t>p26_nemesis_ne125</t>
        </is>
      </c>
      <c r="GD267" t="inlineStr">
        <is>
          <t>Assets/MachineBrigade/Resources/Data/balance.json: weapons[195]</t>
        </is>
      </c>
      <c r="GE267" t="inlineStr">
        <is>
          <t>{"id":"p26_nemesis_direct_ne125","groundMinReach":30,"inherits":"p26_nemesis_ne125","cooldown":7.5,"damage":400}</t>
        </is>
      </c>
    </row>
    <row r="268">
      <c r="A268" t="inlineStr">
        <is>
          <t>p26_nemesis_main_ne152</t>
        </is>
      </c>
      <c r="B268" t="inlineStr">
        <is>
          <t>152 mm railcar gun</t>
        </is>
      </c>
      <c r="C268" t="inlineStr">
        <is>
          <t>cal_152_155</t>
        </is>
      </c>
      <c r="D268" t="inlineStr"/>
      <c r="E268" t="inlineStr"/>
      <c r="F268" t="inlineStr">
        <is>
          <t>howitzer</t>
        </is>
      </c>
      <c r="G268" t="n">
        <v>152</v>
      </c>
      <c r="H268" t="inlineStr"/>
      <c r="I268" t="inlineStr"/>
      <c r="J268" t="inlineStr"/>
      <c r="K268" t="inlineStr">
        <is>
          <t>HighExplosive</t>
        </is>
      </c>
      <c r="L268" t="n">
        <v>3</v>
      </c>
      <c r="M268" t="inlineStr">
        <is>
          <t>Shell</t>
        </is>
      </c>
      <c r="N268" t="n">
        <v>1</v>
      </c>
      <c r="O268" t="inlineStr">
        <is>
          <t>RIPPLE</t>
        </is>
      </c>
      <c r="P268" t="n">
        <v>1</v>
      </c>
      <c r="Q268" t="n">
        <v>0.5</v>
      </c>
      <c r="R268" t="n">
        <v>7.5</v>
      </c>
      <c r="S268" t="n">
        <v>0</v>
      </c>
      <c r="T268" t="n">
        <v>0</v>
      </c>
      <c r="U268" t="n">
        <v>0</v>
      </c>
      <c r="V268" t="n">
        <v>0</v>
      </c>
      <c r="W268" t="n">
        <v>600</v>
      </c>
      <c r="X268" t="n">
        <v>7</v>
      </c>
      <c r="Y268" t="n">
        <v>14</v>
      </c>
      <c r="Z268" t="n">
        <v>150</v>
      </c>
      <c r="AA268" t="n">
        <v>40</v>
      </c>
      <c r="AB268" t="n">
        <v>0</v>
      </c>
      <c r="AC268" t="inlineStr">
        <is>
          <t>Ground</t>
        </is>
      </c>
      <c r="AD268" t="inlineStr"/>
      <c r="AE268" t="n">
        <v>0.8</v>
      </c>
      <c r="AF268" t="inlineStr">
        <is>
          <t>Huge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152</v>
      </c>
      <c r="AO268" t="n">
        <v>0</v>
      </c>
      <c r="AP268" t="inlineStr">
        <is>
          <t>T3</t>
        </is>
      </c>
      <c r="AQ268" t="inlineStr">
        <is>
          <t>p26_nemesis_ne152</t>
        </is>
      </c>
      <c r="AR268" t="inlineStr"/>
      <c r="AS268" t="inlineStr">
        <is>
          <t>boss</t>
        </is>
      </c>
      <c r="AT268" t="inlineStr">
        <is>
          <t>nuke_train</t>
        </is>
      </c>
      <c r="AU268" t="n">
        <v>1</v>
      </c>
      <c r="AV268" t="inlineStr">
        <is>
          <t>nuke_train:0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0.2666666666666667</v>
      </c>
      <c r="BB268" t="n">
        <v>8</v>
      </c>
      <c r="BC268" t="n">
        <v>6</v>
      </c>
      <c r="BD268" t="inlineStr">
        <is>
          <t>gun</t>
        </is>
      </c>
      <c r="BE268" t="inlineStr">
        <is>
          <t>a 152 mm railway mount of the 2A65 class, est. 7-8 rpm</t>
        </is>
      </c>
      <c r="BF268" t="inlineStr">
        <is>
          <t>a 152 mm railway gun of the 2A65 class, 8 rpm (7.5 s); the 4-round 0.5 s salvo was 6 x too fast</t>
        </is>
      </c>
      <c r="BG268" t="inlineStr">
        <is>
          <t>doi</t>
        </is>
      </c>
      <c r="BH268" t="n">
        <v>655</v>
      </c>
      <c r="BI268" t="n">
        <v>600</v>
      </c>
      <c r="BJ268" t="n">
        <v>3</v>
      </c>
      <c r="BK268" t="n">
        <v>7.5</v>
      </c>
      <c r="BN268" t="n">
        <v>8.5</v>
      </c>
      <c r="BO268" t="n">
        <v>7</v>
      </c>
      <c r="BP268" t="n">
        <v>17</v>
      </c>
      <c r="BQ268" t="n">
        <v>14</v>
      </c>
      <c r="BT268" t="n">
        <v>4</v>
      </c>
      <c r="BU268" t="n">
        <v>1</v>
      </c>
      <c r="CR268" t="n">
        <v>1</v>
      </c>
      <c r="DD268" t="n">
        <v>7.5</v>
      </c>
      <c r="DE268" t="n">
        <v>600</v>
      </c>
      <c r="DG268" t="n">
        <v>14</v>
      </c>
      <c r="DO268" t="n">
        <v>32</v>
      </c>
      <c r="DT268" t="inlineStr">
        <is>
          <t>p26_nemesis_ne152</t>
        </is>
      </c>
      <c r="EY268" t="n">
        <v>7</v>
      </c>
      <c r="GD268" t="inlineStr">
        <is>
          <t>Assets/MachineBrigade/Resources/Data/balance.json: weapons[192]</t>
        </is>
      </c>
      <c r="GE268" t="inlineStr">
        <is>
          <t>{"id":"p26_nemesis_main_ne152","groundMinReach":32,"inherits":"p26_nemesis_ne152","burst":1,"edge":14,"splash":7,"cooldown":7.5,"damage":600}</t>
        </is>
      </c>
    </row>
    <row r="269">
      <c r="A269" t="inlineStr">
        <is>
          <t>p26_nemesis_ne125</t>
        </is>
      </c>
      <c r="B269" t="inlineStr">
        <is>
          <t>2A46 125 mm</t>
        </is>
      </c>
      <c r="C269" t="inlineStr">
        <is>
          <t>cal_125_ap</t>
        </is>
      </c>
      <c r="D269" t="inlineStr"/>
      <c r="E269" t="inlineStr"/>
      <c r="F269" t="inlineStr">
        <is>
          <t>tank_gun</t>
        </is>
      </c>
      <c r="G269" t="n">
        <v>125</v>
      </c>
      <c r="H269" t="inlineStr"/>
      <c r="I269" t="inlineStr"/>
      <c r="J269" t="inlineStr"/>
      <c r="K269" t="inlineStr">
        <is>
          <t>Kinetic</t>
        </is>
      </c>
      <c r="L269" t="n">
        <v>5</v>
      </c>
      <c r="M269" t="inlineStr">
        <is>
          <t>Shell</t>
        </is>
      </c>
      <c r="N269" t="n">
        <v>1</v>
      </c>
      <c r="O269" t="inlineStr">
        <is>
          <t>RIPPLE</t>
        </is>
      </c>
      <c r="P269" t="n">
        <v>1</v>
      </c>
      <c r="Q269" t="n">
        <v>0.1</v>
      </c>
      <c r="R269" t="n">
        <v>2</v>
      </c>
      <c r="S269" t="n">
        <v>0</v>
      </c>
      <c r="T269" t="n">
        <v>0</v>
      </c>
      <c r="U269" t="n">
        <v>0</v>
      </c>
      <c r="V269" t="n">
        <v>0</v>
      </c>
      <c r="W269" t="n">
        <v>280</v>
      </c>
      <c r="X269" t="n">
        <v>0</v>
      </c>
      <c r="Y269" t="n">
        <v>0</v>
      </c>
      <c r="Z269" t="n">
        <v>170</v>
      </c>
      <c r="AA269" t="n">
        <v>38</v>
      </c>
      <c r="AB269" t="n">
        <v>0</v>
      </c>
      <c r="AC269" t="inlineStr">
        <is>
          <t>Ground</t>
        </is>
      </c>
      <c r="AD269" t="inlineStr"/>
      <c r="AE269" t="n">
        <v>0.6</v>
      </c>
      <c r="AF269" t="inlineStr">
        <is>
          <t>Medium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125</v>
      </c>
      <c r="AO269" t="n">
        <v>0</v>
      </c>
      <c r="AP269" t="inlineStr">
        <is>
          <t>T3</t>
        </is>
      </c>
      <c r="AQ269" t="inlineStr">
        <is>
          <t>gun_120mm</t>
        </is>
      </c>
      <c r="AR269" t="inlineStr"/>
      <c r="AS269" t="inlineStr"/>
      <c r="AT269" t="inlineStr"/>
      <c r="AU269" t="n">
        <v>0</v>
      </c>
      <c r="AV269" t="inlineStr"/>
      <c r="AW269" t="n">
        <v>0</v>
      </c>
      <c r="AX269" t="b">
        <v>0</v>
      </c>
      <c r="AY269" t="inlineStr"/>
      <c r="AZ269">
        <f>IF(AND($AX$269,$AW$269&gt;$AA$269/$Z$269),$AW$269,$AA$269/$Z$269)</f>
        <v/>
      </c>
      <c r="BA269" t="n">
        <v>0.2235294117647059</v>
      </c>
      <c r="BB269" t="n">
        <v>8</v>
      </c>
      <c r="BC269" t="n">
        <v>7</v>
      </c>
      <c r="BD269" t="inlineStr">
        <is>
          <t>gun</t>
        </is>
      </c>
      <c r="BE269" t="inlineStr">
        <is>
          <t>Wikipedia '2A46': 7-8 rpm with the autoloader</t>
        </is>
      </c>
      <c r="BG269" t="inlineStr">
        <is>
          <t>giong</t>
        </is>
      </c>
      <c r="CT269" t="n">
        <v>125</v>
      </c>
      <c r="DD269" t="n">
        <v>2</v>
      </c>
      <c r="DE269" t="n">
        <v>280</v>
      </c>
      <c r="DT269" t="inlineStr">
        <is>
          <t>gun_120mm</t>
        </is>
      </c>
      <c r="EB269" t="n">
        <v>5</v>
      </c>
      <c r="EP269" t="n">
        <v>38</v>
      </c>
      <c r="EQ269" t="inlineStr">
        <is>
          <t>2A46 125 mm</t>
        </is>
      </c>
      <c r="EX269" t="n">
        <v>125</v>
      </c>
      <c r="EY269" t="n">
        <v>0</v>
      </c>
      <c r="GA269" t="inlineStr"/>
      <c r="GB269" t="inlineStr">
        <is>
          <t>cal_125_ap</t>
        </is>
      </c>
      <c r="GD269" t="inlineStr">
        <is>
          <t>Assets/MachineBrigade/Resources/Data/balance.json: weapons[191]</t>
        </is>
      </c>
      <c r="GE269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70">
      <c r="A270" t="inlineStr">
        <is>
          <t>p26_nemesis_ne152</t>
        </is>
      </c>
      <c r="B270" t="inlineStr">
        <is>
          <t>152 mm railcar gun</t>
        </is>
      </c>
      <c r="C270" t="inlineStr">
        <is>
          <t>cal_152_155</t>
        </is>
      </c>
      <c r="D270" t="inlineStr"/>
      <c r="E270" t="inlineStr"/>
      <c r="F270" t="inlineStr">
        <is>
          <t>howitzer</t>
        </is>
      </c>
      <c r="G270" t="n">
        <v>152</v>
      </c>
      <c r="H270" t="inlineStr"/>
      <c r="I270" t="inlineStr"/>
      <c r="J270" t="inlineStr"/>
      <c r="K270" t="inlineStr">
        <is>
          <t>HighExplosive</t>
        </is>
      </c>
      <c r="L270" t="n">
        <v>3</v>
      </c>
      <c r="M270" t="inlineStr">
        <is>
          <t>Shell</t>
        </is>
      </c>
      <c r="N270" t="n">
        <v>1</v>
      </c>
      <c r="O270" t="inlineStr">
        <is>
          <t>RIPPLE</t>
        </is>
      </c>
      <c r="P270" t="n">
        <v>4</v>
      </c>
      <c r="Q270" t="n">
        <v>0.5</v>
      </c>
      <c r="R270" t="n">
        <v>3.5</v>
      </c>
      <c r="S270" t="n">
        <v>0</v>
      </c>
      <c r="T270" t="n">
        <v>0</v>
      </c>
      <c r="U270" t="n">
        <v>0</v>
      </c>
      <c r="V270" t="n">
        <v>0</v>
      </c>
      <c r="W270" t="n">
        <v>620</v>
      </c>
      <c r="X270" t="n">
        <v>8.5</v>
      </c>
      <c r="Y270" t="n">
        <v>17</v>
      </c>
      <c r="Z270" t="n">
        <v>150</v>
      </c>
      <c r="AA270" t="n">
        <v>40</v>
      </c>
      <c r="AB270" t="n">
        <v>0</v>
      </c>
      <c r="AC270" t="inlineStr">
        <is>
          <t>Ground</t>
        </is>
      </c>
      <c r="AD270" t="inlineStr"/>
      <c r="AE270" t="n">
        <v>0.8</v>
      </c>
      <c r="AF270" t="inlineStr">
        <is>
          <t>Huge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152</v>
      </c>
      <c r="AO270" t="n">
        <v>0</v>
      </c>
      <c r="AP270" t="inlineStr">
        <is>
          <t>T3</t>
        </is>
      </c>
      <c r="AQ270" t="inlineStr">
        <is>
          <t>gun_behemoth</t>
        </is>
      </c>
      <c r="AR270" t="inlineStr"/>
      <c r="AS270" t="inlineStr"/>
      <c r="AT270" t="inlineStr"/>
      <c r="AU270" t="n">
        <v>0</v>
      </c>
      <c r="AV270" t="inlineStr"/>
      <c r="AW270" t="n">
        <v>0</v>
      </c>
      <c r="AX270" t="b">
        <v>0</v>
      </c>
      <c r="AY270" t="inlineStr"/>
      <c r="AZ270">
        <f>IF(AND($AX$270,$AW$270&gt;$AA$270/$Z$270),$AW$270,$AA$270/$Z$270)</f>
        <v/>
      </c>
      <c r="BA270" t="n">
        <v>0.2666666666666667</v>
      </c>
      <c r="BB270" t="n">
        <v>8</v>
      </c>
      <c r="BC270" t="n">
        <v>6</v>
      </c>
      <c r="BD270" t="inlineStr">
        <is>
          <t>gun</t>
        </is>
      </c>
      <c r="BE270" t="inlineStr">
        <is>
          <t>a 152 mm railway mount of the 2A65 class, est. 7-8 rpm</t>
        </is>
      </c>
      <c r="BG270" t="inlineStr">
        <is>
          <t>giong</t>
        </is>
      </c>
      <c r="CR270" t="n">
        <v>4</v>
      </c>
      <c r="CS270" t="n">
        <v>0.5</v>
      </c>
      <c r="DD270" t="n">
        <v>3.5</v>
      </c>
      <c r="DE270" t="n">
        <v>620</v>
      </c>
      <c r="DG270" t="n">
        <v>17</v>
      </c>
      <c r="DT270" t="inlineStr">
        <is>
          <t>gun_behemoth</t>
        </is>
      </c>
      <c r="EQ270" t="inlineStr">
        <is>
          <t>152 mm railcar gun</t>
        </is>
      </c>
      <c r="EY270" t="n">
        <v>8.5</v>
      </c>
      <c r="GD270" t="inlineStr">
        <is>
          <t>Assets/MachineBrigade/Resources/Data/balance.json: weapons[190]</t>
        </is>
      </c>
      <c r="GE270" t="inlineStr">
        <is>
          <t>{"id":"p26_nemesis_ne152","inherits":"gun_behemoth","real":"152 mm railcar gun","damage":620,"burst":4,"burstInterval":0.5,"cooldown":3.5,"splash":8.5,"edge":17}</t>
        </is>
      </c>
    </row>
    <row r="271">
      <c r="A271" t="inlineStr">
        <is>
          <t>p26_nemesis_sec_boss_rockets</t>
        </is>
      </c>
      <c r="B271" t="inlineStr">
        <is>
          <t>BM-21 Grad 122 mm</t>
        </is>
      </c>
      <c r="C271" t="inlineStr">
        <is>
          <t>rkt_grad_122</t>
        </is>
      </c>
      <c r="D271" t="inlineStr"/>
      <c r="E271" t="inlineStr"/>
      <c r="F271" t="inlineStr">
        <is>
          <t>rocket</t>
        </is>
      </c>
      <c r="G271" t="n">
        <v>122</v>
      </c>
      <c r="H271" t="inlineStr"/>
      <c r="I271" t="inlineStr"/>
      <c r="J271" t="inlineStr"/>
      <c r="K271" t="inlineStr">
        <is>
          <t>HighExplosive</t>
        </is>
      </c>
      <c r="L271" t="n">
        <v>2</v>
      </c>
      <c r="M271" t="inlineStr">
        <is>
          <t>Rocket</t>
        </is>
      </c>
      <c r="N271" t="n">
        <v>1</v>
      </c>
      <c r="O271" t="inlineStr">
        <is>
          <t>RIPPLE</t>
        </is>
      </c>
      <c r="P271" t="n">
        <v>40</v>
      </c>
      <c r="Q271" t="n">
        <v>0.5</v>
      </c>
      <c r="R271" t="n">
        <v>2.44</v>
      </c>
      <c r="S271" t="n">
        <v>0</v>
      </c>
      <c r="T271" t="n">
        <v>0</v>
      </c>
      <c r="U271" t="n">
        <v>0</v>
      </c>
      <c r="V271" t="n">
        <v>0</v>
      </c>
      <c r="W271" t="n">
        <v>200</v>
      </c>
      <c r="X271" t="n">
        <v>4.5</v>
      </c>
      <c r="Y271" t="n">
        <v>9</v>
      </c>
      <c r="Z271" t="n">
        <v>80</v>
      </c>
      <c r="AA271" t="n">
        <v>45</v>
      </c>
      <c r="AB271" t="n">
        <v>0</v>
      </c>
      <c r="AC271" t="inlineStr">
        <is>
          <t>Ground</t>
        </is>
      </c>
      <c r="AD271" t="inlineStr"/>
      <c r="AE271" t="n">
        <v>5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122</v>
      </c>
      <c r="AO271" t="n">
        <v>0</v>
      </c>
      <c r="AP271" t="inlineStr">
        <is>
          <t>T3</t>
        </is>
      </c>
      <c r="AQ271" t="inlineStr">
        <is>
          <t>boss_rockets</t>
        </is>
      </c>
      <c r="AR271" t="inlineStr"/>
      <c r="AS271" t="inlineStr">
        <is>
          <t>boss</t>
        </is>
      </c>
      <c r="AT271" t="inlineStr">
        <is>
          <t>nuke_train</t>
        </is>
      </c>
      <c r="AU271" t="n">
        <v>1</v>
      </c>
      <c r="AV271" t="inlineStr">
        <is>
          <t>nuke_train:3</t>
        </is>
      </c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0.5625</v>
      </c>
      <c r="BB271" t="n">
        <v>120</v>
      </c>
      <c r="BC271" t="inlineStr"/>
      <c r="BD271" t="inlineStr">
        <is>
          <t>rocket</t>
        </is>
      </c>
      <c r="BE271" t="inlineStr">
        <is>
          <t>Wikipedia 'BM-21 Grad': 40 rockets in 20 s</t>
        </is>
      </c>
      <c r="BF271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71" t="inlineStr">
        <is>
          <t>doi</t>
        </is>
      </c>
      <c r="BH271" t="n">
        <v>305</v>
      </c>
      <c r="BI271" t="n">
        <v>200</v>
      </c>
      <c r="BJ271" t="n">
        <v>1.2</v>
      </c>
      <c r="BK271" t="n">
        <v>2.44</v>
      </c>
      <c r="BP271" t="n">
        <v>0</v>
      </c>
      <c r="BQ271" t="n">
        <v>9</v>
      </c>
      <c r="BR271" t="n">
        <v>45</v>
      </c>
      <c r="BS271" t="n">
        <v>80</v>
      </c>
      <c r="BT271" t="n">
        <v>13</v>
      </c>
      <c r="BU271" t="n">
        <v>40</v>
      </c>
      <c r="CR271" t="n">
        <v>40</v>
      </c>
      <c r="CS271" t="n">
        <v>0.5</v>
      </c>
      <c r="DD271" t="n">
        <v>2.44</v>
      </c>
      <c r="DE271" t="n">
        <v>200</v>
      </c>
      <c r="DO271" t="n">
        <v>20</v>
      </c>
      <c r="DT271" t="inlineStr">
        <is>
          <t>boss_rockets</t>
        </is>
      </c>
      <c r="EK271" t="n">
        <v>80</v>
      </c>
      <c r="GD271" t="inlineStr">
        <is>
          <t>Assets/MachineBrigade/Resources/Data/balance.json: weapons[193]</t>
        </is>
      </c>
      <c r="GE271" t="inlineStr">
        <is>
          <t>{"id":"p26_nemesis_sec_boss_rockets","groundMinReach":20,"inherits":"boss_rockets","burst":40,"burstInterval":0.5,"cooldown":2.44,"damage":200,"projectileSpeed":80}</t>
        </is>
      </c>
    </row>
    <row r="272">
      <c r="A272" t="inlineStr">
        <is>
          <t>p26_roc_close_twin_30_bmpt</t>
        </is>
      </c>
      <c r="B272" t="inlineStr">
        <is>
          <t>2A42 30 mm (twin)</t>
        </is>
      </c>
      <c r="C272" t="inlineStr">
        <is>
          <t>cal_30</t>
        </is>
      </c>
      <c r="D272" t="inlineStr"/>
      <c r="E272" t="inlineStr"/>
      <c r="F272" t="inlineStr">
        <is>
          <t>autocannon</t>
        </is>
      </c>
      <c r="G272" t="n">
        <v>30</v>
      </c>
      <c r="H272" t="inlineStr"/>
      <c r="I272" t="inlineStr"/>
      <c r="J272" t="inlineStr"/>
      <c r="K272" t="inlineStr">
        <is>
          <t>Kinetic</t>
        </is>
      </c>
      <c r="L272" t="n">
        <v>2</v>
      </c>
      <c r="M272" t="inlineStr">
        <is>
          <t>Bullet</t>
        </is>
      </c>
      <c r="N272" t="n">
        <v>1</v>
      </c>
      <c r="O272" t="inlineStr">
        <is>
          <t>RIPPLE</t>
        </is>
      </c>
      <c r="P272" t="n">
        <v>12</v>
      </c>
      <c r="Q272" t="n">
        <v>0.0833</v>
      </c>
      <c r="R272" t="n">
        <v>1.45</v>
      </c>
      <c r="S272" t="n">
        <v>0</v>
      </c>
      <c r="T272" t="n">
        <v>0</v>
      </c>
      <c r="U272" t="n">
        <v>0</v>
      </c>
      <c r="V272" t="n">
        <v>0</v>
      </c>
      <c r="W272" t="n">
        <v>22</v>
      </c>
      <c r="X272" t="n">
        <v>0</v>
      </c>
      <c r="Y272" t="n">
        <v>0</v>
      </c>
      <c r="Z272" t="n">
        <v>200</v>
      </c>
      <c r="AA272" t="n">
        <v>30</v>
      </c>
      <c r="AB272" t="n">
        <v>0</v>
      </c>
      <c r="AC272" t="inlineStr">
        <is>
          <t>Ground</t>
        </is>
      </c>
      <c r="AD272" t="inlineStr"/>
      <c r="AE272" t="n">
        <v>0.9</v>
      </c>
      <c r="AF272" t="inlineStr">
        <is>
          <t>Small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30</v>
      </c>
      <c r="AO272" t="n">
        <v>0</v>
      </c>
      <c r="AP272" t="inlineStr">
        <is>
          <t>T1</t>
        </is>
      </c>
      <c r="AQ272" t="inlineStr">
        <is>
          <t>twin_30_bmpt</t>
        </is>
      </c>
      <c r="AR272" t="inlineStr"/>
      <c r="AS272" t="inlineStr">
        <is>
          <t>boss</t>
        </is>
      </c>
      <c r="AT272" t="inlineStr">
        <is>
          <t>command_airship</t>
        </is>
      </c>
      <c r="AU272" t="n">
        <v>1</v>
      </c>
      <c r="AV272" t="inlineStr">
        <is>
          <t>command_airship:4;command_airship:5</t>
        </is>
      </c>
      <c r="AW272" t="n">
        <v>0</v>
      </c>
      <c r="AX272" t="b">
        <v>0</v>
      </c>
      <c r="AY272" t="inlineStr"/>
      <c r="AZ272">
        <f>IF(AND($AX$272,$AW$272&gt;$AA$272/$Z$272),$AW$272,$AA$272/$Z$272)</f>
        <v/>
      </c>
      <c r="BA272" t="n">
        <v>0.15</v>
      </c>
      <c r="BB272" t="n">
        <v>800</v>
      </c>
      <c r="BC272" t="n">
        <v>300</v>
      </c>
      <c r="BD272" t="inlineStr">
        <is>
          <t>ac</t>
        </is>
      </c>
      <c r="BE272" t="inlineStr">
        <is>
          <t>Wikipedia '2A42': 550-800 high, 200-300 low rpm</t>
        </is>
      </c>
      <c r="BF272" t="inlineStr">
        <is>
          <t>wave 1 twin_30_bmpt: 12 rounds at 720 rpm, 1.45 s after (wave 1's 1.5 s is a hair over 2 x the practical rate)</t>
        </is>
      </c>
      <c r="BG272" t="inlineStr">
        <is>
          <t>doi</t>
        </is>
      </c>
      <c r="BH272" t="n">
        <v>25</v>
      </c>
      <c r="BI272" t="n">
        <v>22</v>
      </c>
      <c r="BJ272" t="n">
        <v>1.2</v>
      </c>
      <c r="BK272" t="n">
        <v>1.45</v>
      </c>
      <c r="DD272" t="n">
        <v>1.45</v>
      </c>
      <c r="DE272" t="n">
        <v>22</v>
      </c>
      <c r="DT272" t="inlineStr">
        <is>
          <t>twin_30_bmpt</t>
        </is>
      </c>
      <c r="GA272" t="inlineStr"/>
      <c r="GD272" t="inlineStr">
        <is>
          <t>Assets/MachineBrigade/Resources/Data/balance.json: weapons[206]</t>
        </is>
      </c>
      <c r="GE272" t="inlineStr">
        <is>
          <t>{"id":"p26_roc_close_twin_30_bmpt","inherits":"twin_30_bmpt","weaponFamily":"","cooldown":1.45,"damage":22}</t>
        </is>
      </c>
    </row>
    <row r="273">
      <c r="A273" t="inlineStr">
        <is>
          <t>p26_roc_direct_roc_atgm</t>
        </is>
      </c>
      <c r="B273" t="inlineStr">
        <is>
          <t>Kornet (dropped from the bay)</t>
        </is>
      </c>
      <c r="C273" t="inlineStr">
        <is>
          <t>atgm_kornet</t>
        </is>
      </c>
      <c r="D273" t="inlineStr"/>
      <c r="E273" t="inlineStr"/>
      <c r="F273" t="inlineStr">
        <is>
          <t>atgm</t>
        </is>
      </c>
      <c r="G273" t="inlineStr"/>
      <c r="H273" t="n">
        <v>7</v>
      </c>
      <c r="I273" t="inlineStr"/>
      <c r="J273" t="inlineStr"/>
      <c r="K273" t="inlineStr">
        <is>
          <t>ShapedCharge</t>
        </is>
      </c>
      <c r="L273" t="n">
        <v>5</v>
      </c>
      <c r="M273" t="inlineStr">
        <is>
          <t>Missile</t>
        </is>
      </c>
      <c r="N273" t="n">
        <v>1</v>
      </c>
      <c r="O273" t="inlineStr">
        <is>
          <t>RIPPLE</t>
        </is>
      </c>
      <c r="P273" t="n">
        <v>2</v>
      </c>
      <c r="Q273" t="n">
        <v>0.6</v>
      </c>
      <c r="R273" t="n">
        <v>19.4</v>
      </c>
      <c r="S273" t="n">
        <v>0</v>
      </c>
      <c r="T273" t="n">
        <v>0</v>
      </c>
      <c r="U273" t="n">
        <v>0</v>
      </c>
      <c r="V273" t="n">
        <v>0</v>
      </c>
      <c r="W273" t="n">
        <v>230</v>
      </c>
      <c r="X273" t="n">
        <v>0</v>
      </c>
      <c r="Y273" t="n">
        <v>0</v>
      </c>
      <c r="Z273" t="n">
        <v>80</v>
      </c>
      <c r="AA273" t="n">
        <v>55</v>
      </c>
      <c r="AB273" t="n">
        <v>0</v>
      </c>
      <c r="AC273" t="inlineStr">
        <is>
          <t>Ground</t>
        </is>
      </c>
      <c r="AD273" t="inlineStr"/>
      <c r="AE273" t="n">
        <v>0</v>
      </c>
      <c r="AF273" t="inlineStr">
        <is>
          <t>Medium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29</v>
      </c>
      <c r="AO273" t="n">
        <v>0</v>
      </c>
      <c r="AP273" t="inlineStr">
        <is>
          <t>T2</t>
        </is>
      </c>
      <c r="AQ273" t="inlineStr">
        <is>
          <t>p26_roc_roc_atgm</t>
        </is>
      </c>
      <c r="AR273" t="inlineStr"/>
      <c r="AS273" t="inlineStr">
        <is>
          <t>boss</t>
        </is>
      </c>
      <c r="AT273" t="inlineStr">
        <is>
          <t>command_airship</t>
        </is>
      </c>
      <c r="AU273" t="n">
        <v>1</v>
      </c>
      <c r="AV273" t="inlineStr">
        <is>
          <t>command_airship:2;command_airship:3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0.6875</v>
      </c>
      <c r="BB273" t="n">
        <v>3</v>
      </c>
      <c r="BC273" t="n">
        <v>3</v>
      </c>
      <c r="BD273" t="inlineStr">
        <is>
          <t>atgm</t>
        </is>
      </c>
      <c r="BE273" t="inlineStr">
        <is>
          <t>Wikipedia '9M133 Kornet': 2-3 rpm</t>
        </is>
      </c>
      <c r="BF273" t="inlineStr">
        <is>
          <t>a twin Kornet launcher: the pair 0.6 s apart, every 20 s (3 rpm a rail); 55.6 s was too slow</t>
        </is>
      </c>
      <c r="BG273" t="inlineStr">
        <is>
          <t>doi</t>
        </is>
      </c>
      <c r="BH273" t="n">
        <v>290</v>
      </c>
      <c r="BI273" t="n">
        <v>230</v>
      </c>
      <c r="BJ273" t="n">
        <v>2.5</v>
      </c>
      <c r="BK273" t="n">
        <v>19.4</v>
      </c>
      <c r="BR273" t="n">
        <v>22</v>
      </c>
      <c r="BS273" t="n">
        <v>80</v>
      </c>
      <c r="BT273" t="n">
        <v>1</v>
      </c>
      <c r="BU273" t="n">
        <v>2</v>
      </c>
      <c r="BV273" t="n">
        <v>0.1</v>
      </c>
      <c r="BW273" t="n">
        <v>0.6</v>
      </c>
      <c r="CR273" t="n">
        <v>2</v>
      </c>
      <c r="CS273" t="n">
        <v>0.6</v>
      </c>
      <c r="DD273" t="n">
        <v>19.4</v>
      </c>
      <c r="DE273" t="n">
        <v>230</v>
      </c>
      <c r="DO273" t="n">
        <v>1</v>
      </c>
      <c r="DT273" t="inlineStr">
        <is>
          <t>p26_roc_roc_atgm</t>
        </is>
      </c>
      <c r="GD273" t="inlineStr">
        <is>
          <t>Assets/MachineBrigade/Resources/Data/balance.json: weapons[205]</t>
        </is>
      </c>
      <c r="GE273" t="inlineStr">
        <is>
          <t>{"id":"p26_roc_direct_roc_atgm","groundMinReach":1,"inherits":"p26_roc_roc_atgm","burstInterval":0.6,"burst":2,"cooldown":19.4,"damage":230}</t>
        </is>
      </c>
    </row>
    <row r="274">
      <c r="A274" t="inlineStr">
        <is>
          <t>p26_roc_main_roc_bombs</t>
        </is>
      </c>
      <c r="B274" t="inlineStr">
        <is>
          <t>bomb-bay stick 400 kg</t>
        </is>
      </c>
      <c r="C274" t="inlineStr">
        <is>
          <t>bomb_400</t>
        </is>
      </c>
      <c r="D274" t="inlineStr"/>
      <c r="E274" t="inlineStr"/>
      <c r="F274" t="inlineStr">
        <is>
          <t>bomb</t>
        </is>
      </c>
      <c r="G274" t="n">
        <v>0</v>
      </c>
      <c r="H274" t="n">
        <v>400</v>
      </c>
      <c r="I274" t="inlineStr"/>
      <c r="J274" t="inlineStr"/>
      <c r="K274" t="inlineStr">
        <is>
          <t>HighExplosive</t>
        </is>
      </c>
      <c r="L274" t="n">
        <v>4</v>
      </c>
      <c r="M274" t="inlineStr">
        <is>
          <t>Bomb</t>
        </is>
      </c>
      <c r="N274" t="n">
        <v>1</v>
      </c>
      <c r="O274" t="inlineStr">
        <is>
          <t>RIPPLE</t>
        </is>
      </c>
      <c r="P274" t="n">
        <v>8</v>
      </c>
      <c r="Q274" t="n">
        <v>0.3</v>
      </c>
      <c r="R274" t="n">
        <v>33.34</v>
      </c>
      <c r="S274" t="n">
        <v>0</v>
      </c>
      <c r="T274" t="n">
        <v>0</v>
      </c>
      <c r="U274" t="n">
        <v>0</v>
      </c>
      <c r="V274" t="n">
        <v>0</v>
      </c>
      <c r="W274" t="n">
        <v>700</v>
      </c>
      <c r="X274" t="n">
        <v>10</v>
      </c>
      <c r="Y274" t="n">
        <v>20</v>
      </c>
      <c r="Z274" t="n">
        <v>60</v>
      </c>
      <c r="AA274" t="n">
        <v>45</v>
      </c>
      <c r="AB274" t="n">
        <v>0</v>
      </c>
      <c r="AC274" t="inlineStr">
        <is>
          <t>Ground</t>
        </is>
      </c>
      <c r="AD274" t="inlineStr"/>
      <c r="AE274" t="n">
        <v>3</v>
      </c>
      <c r="AF274" t="inlineStr">
        <is>
          <t>Huge</t>
        </is>
      </c>
      <c r="AG274" t="b">
        <v>1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400</v>
      </c>
      <c r="AO274" t="n">
        <v>0</v>
      </c>
      <c r="AP274" t="inlineStr">
        <is>
          <t>T4</t>
        </is>
      </c>
      <c r="AQ274" t="inlineStr">
        <is>
          <t>p26_roc_roc_bombs</t>
        </is>
      </c>
      <c r="AR274" t="inlineStr"/>
      <c r="AS274" t="inlineStr">
        <is>
          <t>boss</t>
        </is>
      </c>
      <c r="AT274" t="inlineStr">
        <is>
          <t>argus;command_airship</t>
        </is>
      </c>
      <c r="AU274" t="n">
        <v>2</v>
      </c>
      <c r="AV274" t="inlineStr">
        <is>
          <t>argus:0;argus:1;command_airship:0;command_airship:1</t>
        </is>
      </c>
      <c r="AW274" t="n">
        <v>2.722222222222222</v>
      </c>
      <c r="AX274" t="b">
        <v>1</v>
      </c>
      <c r="AY274" t="inlineStr"/>
      <c r="AZ274">
        <f>IF(AND($AX$274,$AW$274&gt;$AA$274/$Z$274),$AW$274,$AA$274/$Z$274)</f>
        <v/>
      </c>
      <c r="BA274" t="n">
        <v>0.75</v>
      </c>
      <c r="BB274" t="n">
        <v>600</v>
      </c>
      <c r="BC274" t="inlineStr"/>
      <c r="BD274" t="inlineStr">
        <is>
          <t>bomb</t>
        </is>
      </c>
      <c r="BE274" t="inlineStr">
        <is>
          <t>a stick's release, 0.1 s and up (est.)</t>
        </is>
      </c>
      <c r="BF274" t="inlineStr">
        <is>
          <t>a 400 kg bomb stick from an airship's bay: no real rate for the bay's reload; the 35.4 s cycle kept</t>
        </is>
      </c>
      <c r="BG274" t="inlineStr">
        <is>
          <t>doi</t>
        </is>
      </c>
      <c r="BH274" t="n">
        <v>320</v>
      </c>
      <c r="BI274" t="n">
        <v>700</v>
      </c>
      <c r="BJ274" t="n">
        <v>6</v>
      </c>
      <c r="BK274" t="n">
        <v>33.34</v>
      </c>
      <c r="BN274" t="n">
        <v>5</v>
      </c>
      <c r="BO274" t="n">
        <v>10</v>
      </c>
      <c r="BP274" t="n">
        <v>10</v>
      </c>
      <c r="BQ274" t="n">
        <v>20</v>
      </c>
      <c r="CJ274" t="inlineStr">
        <is>
          <t>Shell</t>
        </is>
      </c>
      <c r="CK274" t="inlineStr">
        <is>
          <t>Bomb</t>
        </is>
      </c>
      <c r="CT274" t="n">
        <v>0</v>
      </c>
      <c r="DD274" t="n">
        <v>33.34</v>
      </c>
      <c r="DE274" t="n">
        <v>700</v>
      </c>
      <c r="DG274" t="n">
        <v>20</v>
      </c>
      <c r="DT274" t="inlineStr">
        <is>
          <t>p26_roc_roc_bombs</t>
        </is>
      </c>
      <c r="EY274" t="n">
        <v>10</v>
      </c>
      <c r="FA274" t="inlineStr">
        <is>
          <t>CENTER</t>
        </is>
      </c>
      <c r="FB274" t="n">
        <v>1.5</v>
      </c>
      <c r="FC274" t="n">
        <v>8</v>
      </c>
      <c r="FD274" t="inlineStr">
        <is>
          <t>BAY</t>
        </is>
      </c>
      <c r="FE274" t="n">
        <v>0</v>
      </c>
      <c r="FF274" t="n">
        <v>1.225</v>
      </c>
      <c r="FG274" t="inlineStr">
        <is>
          <t>AXIS</t>
        </is>
      </c>
      <c r="FH274" t="n">
        <v>0.3</v>
      </c>
      <c r="FI274" t="n">
        <v>2.5</v>
      </c>
      <c r="FJ274" t="n">
        <v>1.65</v>
      </c>
      <c r="FK274" t="n">
        <v>0</v>
      </c>
      <c r="FL274" t="n">
        <v>77</v>
      </c>
      <c r="FM274" t="n">
        <v>3</v>
      </c>
      <c r="FN274" t="inlineStr">
        <is>
          <t>STICK</t>
        </is>
      </c>
      <c r="FO274" t="n">
        <v>0.909</v>
      </c>
      <c r="FP274" t="n">
        <v>36.667</v>
      </c>
      <c r="FQ274" t="n">
        <v>10</v>
      </c>
      <c r="FR274" t="n">
        <v>11</v>
      </c>
      <c r="FS274" t="n">
        <v>0</v>
      </c>
      <c r="FT274" t="inlineStr">
        <is>
          <t>STICK_RECT</t>
        </is>
      </c>
      <c r="FU274" t="n">
        <v>45</v>
      </c>
      <c r="GD274" t="inlineStr">
        <is>
          <t>Assets/MachineBrigade/Resources/Data/balance.json: weapons[204]</t>
        </is>
      </c>
      <c r="GE274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275">
      <c r="A275" t="inlineStr">
        <is>
          <t>p26_roc_roc105</t>
        </is>
      </c>
      <c r="B275" t="inlineStr">
        <is>
          <t>M102 105 mm (gondola)</t>
        </is>
      </c>
      <c r="C275" t="inlineStr">
        <is>
          <t>cal_100_105_he</t>
        </is>
      </c>
      <c r="D275" t="inlineStr"/>
      <c r="E275" t="inlineStr"/>
      <c r="F275" t="inlineStr">
        <is>
          <t>howitzer</t>
        </is>
      </c>
      <c r="G275" t="n">
        <v>105</v>
      </c>
      <c r="H275" t="inlineStr"/>
      <c r="I275" t="inlineStr"/>
      <c r="J275" t="inlineStr"/>
      <c r="K275" t="inlineStr">
        <is>
          <t>HighExplosive</t>
        </is>
      </c>
      <c r="L275" t="n">
        <v>2</v>
      </c>
      <c r="M275" t="inlineStr">
        <is>
          <t>Shell</t>
        </is>
      </c>
      <c r="N275" t="n">
        <v>1</v>
      </c>
      <c r="O275" t="inlineStr">
        <is>
          <t>RIPPLE</t>
        </is>
      </c>
      <c r="P275" t="n">
        <v>1</v>
      </c>
      <c r="Q275" t="n">
        <v>0.1</v>
      </c>
      <c r="R275" t="n">
        <v>6</v>
      </c>
      <c r="S275" t="n">
        <v>0</v>
      </c>
      <c r="T275" t="n">
        <v>0</v>
      </c>
      <c r="U275" t="n">
        <v>0</v>
      </c>
      <c r="V275" t="n">
        <v>0</v>
      </c>
      <c r="W275" t="n">
        <v>300</v>
      </c>
      <c r="X275" t="n">
        <v>5.5</v>
      </c>
      <c r="Y275" t="n">
        <v>11</v>
      </c>
      <c r="Z275" t="n">
        <v>120</v>
      </c>
      <c r="AA275" t="n">
        <v>58</v>
      </c>
      <c r="AB275" t="n">
        <v>0</v>
      </c>
      <c r="AC275" t="inlineStr">
        <is>
          <t>Ground</t>
        </is>
      </c>
      <c r="AD275" t="inlineStr"/>
      <c r="AE275" t="n">
        <v>3</v>
      </c>
      <c r="AF275" t="inlineStr">
        <is>
          <t>Large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105</v>
      </c>
      <c r="AO275" t="n">
        <v>0</v>
      </c>
      <c r="AP275" t="inlineStr">
        <is>
          <t>T2</t>
        </is>
      </c>
      <c r="AQ275" t="inlineStr">
        <is>
          <t>gunship_105</t>
        </is>
      </c>
      <c r="AR275" t="inlineStr"/>
      <c r="AS275" t="inlineStr">
        <is>
          <t>boss</t>
        </is>
      </c>
      <c r="AT275" t="inlineStr">
        <is>
          <t>command_airship</t>
        </is>
      </c>
      <c r="AU275" t="n">
        <v>1</v>
      </c>
      <c r="AV275" t="inlineStr">
        <is>
          <t>command_airship:6;command_airship:7</t>
        </is>
      </c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0.4833333333333333</v>
      </c>
      <c r="BB275" t="n">
        <v>10</v>
      </c>
      <c r="BC275" t="n">
        <v>3</v>
      </c>
      <c r="BD275" t="inlineStr">
        <is>
          <t>gun</t>
        </is>
      </c>
      <c r="BE275" t="inlineStr">
        <is>
          <t>the sheet's 'Ngoài đời': M102 10 rpm (Wikipedia 'M102 howitzer')</t>
        </is>
      </c>
      <c r="BF275" t="inlineStr">
        <is>
          <t>real M102 10 rpm (6 s); wave 1's 2.74 s is too fast after the 30 % rule</t>
        </is>
      </c>
      <c r="BG275" t="inlineStr">
        <is>
          <t>doi</t>
        </is>
      </c>
      <c r="BH275" t="n">
        <v>700</v>
      </c>
      <c r="BI275" t="n">
        <v>300</v>
      </c>
      <c r="BJ275" t="n">
        <v>2</v>
      </c>
      <c r="BK275" t="n">
        <v>6</v>
      </c>
      <c r="BN275" t="n">
        <v>6</v>
      </c>
      <c r="BO275" t="n">
        <v>5.5</v>
      </c>
      <c r="BP275" t="n">
        <v>12</v>
      </c>
      <c r="BQ275" t="n">
        <v>11</v>
      </c>
      <c r="DD275" t="n">
        <v>6</v>
      </c>
      <c r="DE275" t="n">
        <v>300</v>
      </c>
      <c r="DG275" t="n">
        <v>11</v>
      </c>
      <c r="DO275" t="n">
        <v>22</v>
      </c>
      <c r="DT275" t="inlineStr">
        <is>
          <t>gunship_105</t>
        </is>
      </c>
      <c r="EQ275" t="inlineStr">
        <is>
          <t>M102 105 mm (gondola)</t>
        </is>
      </c>
      <c r="EY275" t="n">
        <v>5.5</v>
      </c>
      <c r="GD275" t="inlineStr">
        <is>
          <t>Assets/MachineBrigade/Resources/Data/balance.json: weapons[202]</t>
        </is>
      </c>
      <c r="GE275" t="inlineStr">
        <is>
          <t>{"id":"p26_roc_roc105","groundMinReach":22,"inherits":"gunship_105","real":"M102 105 mm (gondola)","damage":300,"cooldown":6,"splash":5.5,"edge":11}</t>
        </is>
      </c>
    </row>
    <row r="276">
      <c r="A276" t="inlineStr">
        <is>
          <t>p26_roc_roc_atgm</t>
        </is>
      </c>
      <c r="B276" t="inlineStr">
        <is>
          <t>Kornet (dropped from the bay)</t>
        </is>
      </c>
      <c r="C276" t="inlineStr">
        <is>
          <t>atgm_kornet</t>
        </is>
      </c>
      <c r="D276" t="inlineStr"/>
      <c r="E276" t="inlineStr"/>
      <c r="F276" t="inlineStr">
        <is>
          <t>atgm</t>
        </is>
      </c>
      <c r="G276" t="inlineStr"/>
      <c r="H276" t="n">
        <v>7</v>
      </c>
      <c r="I276" t="inlineStr"/>
      <c r="J276" t="inlineStr"/>
      <c r="K276" t="inlineStr">
        <is>
          <t>ShapedCharge</t>
        </is>
      </c>
      <c r="L276" t="n">
        <v>5</v>
      </c>
      <c r="M276" t="inlineStr">
        <is>
          <t>Missile</t>
        </is>
      </c>
      <c r="N276" t="n">
        <v>1</v>
      </c>
      <c r="O276" t="inlineStr">
        <is>
          <t>RIPPLE</t>
        </is>
      </c>
      <c r="P276" t="n">
        <v>1</v>
      </c>
      <c r="Q276" t="n">
        <v>0.1</v>
      </c>
      <c r="R276" t="n">
        <v>2</v>
      </c>
      <c r="S276" t="n">
        <v>0</v>
      </c>
      <c r="T276" t="n">
        <v>0</v>
      </c>
      <c r="U276" t="n">
        <v>0</v>
      </c>
      <c r="V276" t="n">
        <v>0</v>
      </c>
      <c r="W276" t="n">
        <v>300</v>
      </c>
      <c r="X276" t="n">
        <v>0</v>
      </c>
      <c r="Y276" t="n">
        <v>0</v>
      </c>
      <c r="Z276" t="n">
        <v>80</v>
      </c>
      <c r="AA276" t="n">
        <v>55</v>
      </c>
      <c r="AB276" t="n">
        <v>0</v>
      </c>
      <c r="AC276" t="inlineStr">
        <is>
          <t>Ground</t>
        </is>
      </c>
      <c r="AD276" t="inlineStr"/>
      <c r="AE276" t="n">
        <v>0</v>
      </c>
      <c r="AF276" t="inlineStr">
        <is>
          <t>Medium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29</v>
      </c>
      <c r="AO276" t="n">
        <v>0</v>
      </c>
      <c r="AP276" t="inlineStr">
        <is>
          <t>T2</t>
        </is>
      </c>
      <c r="AQ276" t="inlineStr">
        <is>
          <t>boss_missiles</t>
        </is>
      </c>
      <c r="AR276" t="inlineStr"/>
      <c r="AS276" t="inlineStr"/>
      <c r="AT276" t="inlineStr"/>
      <c r="AU276" t="n">
        <v>0</v>
      </c>
      <c r="AV276" t="inlineStr"/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0.6875</v>
      </c>
      <c r="BB276" t="n">
        <v>3</v>
      </c>
      <c r="BC276" t="n">
        <v>3</v>
      </c>
      <c r="BD276" t="inlineStr">
        <is>
          <t>atgm</t>
        </is>
      </c>
      <c r="BE276" t="inlineStr">
        <is>
          <t>Wikipedia '9M133 Kornet': 2-3 rpm</t>
        </is>
      </c>
      <c r="BG276" t="inlineStr">
        <is>
          <t>doi</t>
        </is>
      </c>
      <c r="BR276" t="n">
        <v>22</v>
      </c>
      <c r="BS276" t="n">
        <v>80</v>
      </c>
      <c r="DD276" t="n">
        <v>2</v>
      </c>
      <c r="DE276" t="n">
        <v>300</v>
      </c>
      <c r="DT276" t="inlineStr">
        <is>
          <t>boss_missiles</t>
        </is>
      </c>
      <c r="EB276" t="n">
        <v>5</v>
      </c>
      <c r="EP276" t="n">
        <v>55</v>
      </c>
      <c r="EQ276" t="inlineStr">
        <is>
          <t>Kornet (dropped from the bay)</t>
        </is>
      </c>
      <c r="GA276" t="inlineStr"/>
      <c r="GD276" t="inlineStr">
        <is>
          <t>Assets/MachineBrigade/Resources/Data/balance.json: weapons[203]</t>
        </is>
      </c>
      <c r="GE276" t="inlineStr">
        <is>
          <t>{"id":"p26_roc_roc_atgm","inherits":"boss_missiles","weaponFamily":"","real":"Kornet (dropped from the bay)","damage":300,"cooldown":2,"pen":5,"range":55}</t>
        </is>
      </c>
    </row>
    <row r="277">
      <c r="A277" t="inlineStr">
        <is>
          <t>p26_roc_roc_bombs</t>
        </is>
      </c>
      <c r="B277" t="inlineStr">
        <is>
          <t>bomb-bay stick 400 kg</t>
        </is>
      </c>
      <c r="C277" t="inlineStr">
        <is>
          <t>bomb_400</t>
        </is>
      </c>
      <c r="D277" t="inlineStr"/>
      <c r="E277" t="inlineStr"/>
      <c r="F277" t="inlineStr">
        <is>
          <t>bomb</t>
        </is>
      </c>
      <c r="G277" t="n">
        <v>0</v>
      </c>
      <c r="H277" t="n">
        <v>400</v>
      </c>
      <c r="I277" t="inlineStr"/>
      <c r="J277" t="inlineStr"/>
      <c r="K277" t="inlineStr">
        <is>
          <t>HighExplosive</t>
        </is>
      </c>
      <c r="L277" t="n">
        <v>4</v>
      </c>
      <c r="M277" t="inlineStr">
        <is>
          <t>Bomb</t>
        </is>
      </c>
      <c r="N277" t="n">
        <v>1</v>
      </c>
      <c r="O277" t="inlineStr">
        <is>
          <t>RIPPLE</t>
        </is>
      </c>
      <c r="P277" t="n">
        <v>8</v>
      </c>
      <c r="Q277" t="n">
        <v>0.3</v>
      </c>
      <c r="R277" t="n">
        <v>2.9</v>
      </c>
      <c r="S277" t="n">
        <v>0</v>
      </c>
      <c r="T277" t="n">
        <v>0</v>
      </c>
      <c r="U277" t="n">
        <v>0</v>
      </c>
      <c r="V277" t="n">
        <v>0</v>
      </c>
      <c r="W277" t="n">
        <v>400</v>
      </c>
      <c r="X277" t="n">
        <v>10</v>
      </c>
      <c r="Y277" t="n">
        <v>20</v>
      </c>
      <c r="Z277" t="n">
        <v>60</v>
      </c>
      <c r="AA277" t="n">
        <v>45</v>
      </c>
      <c r="AB277" t="n">
        <v>0</v>
      </c>
      <c r="AC277" t="inlineStr">
        <is>
          <t>Ground</t>
        </is>
      </c>
      <c r="AD277" t="inlineStr"/>
      <c r="AE277" t="n">
        <v>3</v>
      </c>
      <c r="AF277" t="inlineStr">
        <is>
          <t>Huge</t>
        </is>
      </c>
      <c r="AG277" t="b">
        <v>1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400</v>
      </c>
      <c r="AO277" t="n">
        <v>0</v>
      </c>
      <c r="AP277" t="inlineStr">
        <is>
          <t>T4</t>
        </is>
      </c>
      <c r="AQ277" t="inlineStr">
        <is>
          <t>boss_howitzer</t>
        </is>
      </c>
      <c r="AR277" t="inlineStr"/>
      <c r="AS277" t="inlineStr"/>
      <c r="AT277" t="inlineStr"/>
      <c r="AU277" t="n">
        <v>0</v>
      </c>
      <c r="AV277" t="inlineStr"/>
      <c r="AW277" t="n">
        <v>2.722222222222222</v>
      </c>
      <c r="AX277" t="b">
        <v>1</v>
      </c>
      <c r="AY277" t="inlineStr"/>
      <c r="AZ277">
        <f>IF(AND($AX$277,$AW$277&gt;$AA$277/$Z$277),$AW$277,$AA$277/$Z$277)</f>
        <v/>
      </c>
      <c r="BA277" t="n">
        <v>0.75</v>
      </c>
      <c r="BB277" t="n">
        <v>600</v>
      </c>
      <c r="BC277" t="inlineStr"/>
      <c r="BD277" t="inlineStr">
        <is>
          <t>bomb</t>
        </is>
      </c>
      <c r="BE277" t="inlineStr">
        <is>
          <t>a stick's release, 0.1 s and up (est.)</t>
        </is>
      </c>
      <c r="BG277" t="inlineStr">
        <is>
          <t>doi</t>
        </is>
      </c>
      <c r="BN277" t="n">
        <v>5</v>
      </c>
      <c r="BO277" t="n">
        <v>10</v>
      </c>
      <c r="BP277" t="n">
        <v>10</v>
      </c>
      <c r="BQ277" t="n">
        <v>20</v>
      </c>
      <c r="CJ277" t="inlineStr">
        <is>
          <t>Shell</t>
        </is>
      </c>
      <c r="CK277" t="inlineStr">
        <is>
          <t>Bomb</t>
        </is>
      </c>
      <c r="CR277" t="n">
        <v>8</v>
      </c>
      <c r="CS277" t="n">
        <v>0.3</v>
      </c>
      <c r="CT277" t="n">
        <v>0</v>
      </c>
      <c r="DD277" t="n">
        <v>2.9</v>
      </c>
      <c r="DE277" t="n">
        <v>400</v>
      </c>
      <c r="DG277" t="n">
        <v>20</v>
      </c>
      <c r="DJ277" t="inlineStr">
        <is>
          <t>bomb</t>
        </is>
      </c>
      <c r="DT277" t="inlineStr">
        <is>
          <t>boss_howitzer</t>
        </is>
      </c>
      <c r="DZ277" t="n">
        <v>0</v>
      </c>
      <c r="EH277" t="inlineStr">
        <is>
          <t>Bomb</t>
        </is>
      </c>
      <c r="EP277" t="n">
        <v>45</v>
      </c>
      <c r="EQ277" t="inlineStr">
        <is>
          <t>bomb-bay stick 400 kg</t>
        </is>
      </c>
      <c r="EX277" t="n">
        <v>400</v>
      </c>
      <c r="EY277" t="n">
        <v>10</v>
      </c>
      <c r="FA277" t="inlineStr">
        <is>
          <t>CENTER</t>
        </is>
      </c>
      <c r="FB277" t="n">
        <v>1</v>
      </c>
      <c r="FC277" t="n">
        <v>8</v>
      </c>
      <c r="FD277" t="inlineStr">
        <is>
          <t>BAY</t>
        </is>
      </c>
      <c r="FE277" t="n">
        <v>0</v>
      </c>
      <c r="FF277" t="n">
        <v>1.225</v>
      </c>
      <c r="FG277" t="inlineStr">
        <is>
          <t>AXIS</t>
        </is>
      </c>
      <c r="FH277" t="n">
        <v>0.3</v>
      </c>
      <c r="FJ277" t="n">
        <v>0.825</v>
      </c>
      <c r="FK277" t="n">
        <v>0</v>
      </c>
      <c r="FL277" t="n">
        <v>38.5</v>
      </c>
      <c r="FM277" t="n">
        <v>3</v>
      </c>
      <c r="FN277" t="inlineStr">
        <is>
          <t>STICK</t>
        </is>
      </c>
      <c r="FP277" t="n">
        <v>18.333</v>
      </c>
      <c r="FR277" t="n">
        <v>5.5</v>
      </c>
      <c r="FS277" t="n">
        <v>0</v>
      </c>
      <c r="FT277" t="inlineStr">
        <is>
          <t>STICK_RECT</t>
        </is>
      </c>
      <c r="FY277" t="b">
        <v>1</v>
      </c>
      <c r="FZ277" t="n">
        <v>400</v>
      </c>
      <c r="GA277" t="inlineStr"/>
      <c r="GB277" t="inlineStr">
        <is>
          <t>bomb_400</t>
        </is>
      </c>
      <c r="GD277" t="inlineStr">
        <is>
          <t>Assets/MachineBrigade/Resources/Data/balance.json: weapons[201]</t>
        </is>
      </c>
      <c r="GE277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278">
      <c r="A278" t="inlineStr">
        <is>
          <t>p26_typhon_direct_ty100</t>
        </is>
      </c>
      <c r="B278" t="inlineStr">
        <is>
          <t>AK-100 100 mm (deck)</t>
        </is>
      </c>
      <c r="C278" t="inlineStr">
        <is>
          <t>cal_100_105_he</t>
        </is>
      </c>
      <c r="D278" t="inlineStr"/>
      <c r="E278" t="inlineStr"/>
      <c r="F278" t="inlineStr">
        <is>
          <t>howitzer</t>
        </is>
      </c>
      <c r="G278" t="n">
        <v>100</v>
      </c>
      <c r="H278" t="inlineStr"/>
      <c r="I278" t="inlineStr"/>
      <c r="J278" t="inlineStr"/>
      <c r="K278" t="inlineStr">
        <is>
          <t>HighExplosive</t>
        </is>
      </c>
      <c r="L278" t="n">
        <v>4</v>
      </c>
      <c r="M278" t="inlineStr">
        <is>
          <t>Shell</t>
        </is>
      </c>
      <c r="N278" t="n">
        <v>1</v>
      </c>
      <c r="O278" t="inlineStr">
        <is>
          <t>RIPPLE</t>
        </is>
      </c>
      <c r="P278" t="n">
        <v>2</v>
      </c>
      <c r="Q278" t="n">
        <v>1</v>
      </c>
      <c r="R278" t="n">
        <v>2.5</v>
      </c>
      <c r="S278" t="n">
        <v>0</v>
      </c>
      <c r="T278" t="n">
        <v>0</v>
      </c>
      <c r="U278" t="n">
        <v>0</v>
      </c>
      <c r="V278" t="n">
        <v>0</v>
      </c>
      <c r="W278" t="n">
        <v>300</v>
      </c>
      <c r="X278" t="n">
        <v>5</v>
      </c>
      <c r="Y278" t="n">
        <v>10</v>
      </c>
      <c r="Z278" t="n">
        <v>115</v>
      </c>
      <c r="AA278" t="n">
        <v>90</v>
      </c>
      <c r="AB278" t="n">
        <v>0</v>
      </c>
      <c r="AC278" t="inlineStr">
        <is>
          <t>Ground</t>
        </is>
      </c>
      <c r="AD278" t="inlineStr"/>
      <c r="AE278" t="n">
        <v>2.2</v>
      </c>
      <c r="AF278" t="inlineStr">
        <is>
          <t>Large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100</v>
      </c>
      <c r="AO278" t="n">
        <v>0</v>
      </c>
      <c r="AP278" t="inlineStr">
        <is>
          <t>T2</t>
        </is>
      </c>
      <c r="AQ278" t="inlineStr">
        <is>
          <t>p26_typhon_ty100</t>
        </is>
      </c>
      <c r="AR278" t="inlineStr"/>
      <c r="AS278" t="inlineStr">
        <is>
          <t>boss</t>
        </is>
      </c>
      <c r="AT278" t="inlineStr">
        <is>
          <t>hydra;typhon</t>
        </is>
      </c>
      <c r="AU278" t="n">
        <v>2</v>
      </c>
      <c r="AV278" t="inlineStr">
        <is>
          <t>hydra:2;typhon:3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0.7826086956521739</v>
      </c>
      <c r="BB278" t="n">
        <v>60</v>
      </c>
      <c r="BC278" t="n">
        <v>30</v>
      </c>
      <c r="BD278" t="inlineStr">
        <is>
          <t>gun</t>
        </is>
      </c>
      <c r="BE278" t="inlineStr">
        <is>
          <t>Wikipedia 'AK-100 (naval gun)': 60 rpm</t>
        </is>
      </c>
      <c r="BF278" t="inlineStr">
        <is>
          <t>wave 1 naval_100's pair every 3.5 s, the rounds 1 s apart (AK-100 60 rpm; wave 1's 0.5 s is twice the real rate)</t>
        </is>
      </c>
      <c r="BG278" t="inlineStr">
        <is>
          <t>doi</t>
        </is>
      </c>
      <c r="BH278" t="n">
        <v>580</v>
      </c>
      <c r="BI278" t="n">
        <v>300</v>
      </c>
      <c r="BJ278" t="n">
        <v>2</v>
      </c>
      <c r="BK278" t="n">
        <v>2.5</v>
      </c>
      <c r="BR278" t="n">
        <v>110</v>
      </c>
      <c r="BS278" t="n">
        <v>115</v>
      </c>
      <c r="BT278" t="n">
        <v>1</v>
      </c>
      <c r="BU278" t="n">
        <v>2</v>
      </c>
      <c r="BV278" t="n">
        <v>0.5</v>
      </c>
      <c r="BW278" t="n">
        <v>1</v>
      </c>
      <c r="CR278" t="n">
        <v>2</v>
      </c>
      <c r="CS278" t="n">
        <v>1</v>
      </c>
      <c r="DD278" t="n">
        <v>2.5</v>
      </c>
      <c r="DE278" t="n">
        <v>300</v>
      </c>
      <c r="DO278" t="n">
        <v>8</v>
      </c>
      <c r="DT278" t="inlineStr">
        <is>
          <t>p26_typhon_ty100</t>
        </is>
      </c>
      <c r="EK278" t="n">
        <v>115</v>
      </c>
      <c r="GD278" t="inlineStr">
        <is>
          <t>Assets/MachineBrigade/Resources/Data/balance.json: weapons[200]</t>
        </is>
      </c>
      <c r="GE278" t="inlineStr">
        <is>
          <t>{"id":"p26_typhon_direct_ty100","groundMinReach":8,"inherits":"p26_typhon_ty100","burstInterval":1,"burst":2,"projectileSpeed":115,"cooldown":2.5,"damage":300}</t>
        </is>
      </c>
    </row>
    <row r="279">
      <c r="A279" t="inlineStr">
        <is>
          <t>p26_typhon_sec_ty57</t>
        </is>
      </c>
      <c r="B279" t="inlineStr">
        <is>
          <t>AU-220 57 mm (twin deck mount)</t>
        </is>
      </c>
      <c r="C279" t="inlineStr">
        <is>
          <t>cal_57</t>
        </is>
      </c>
      <c r="D279" t="inlineStr"/>
      <c r="E279" t="inlineStr"/>
      <c r="F279" t="inlineStr">
        <is>
          <t>tank_gun</t>
        </is>
      </c>
      <c r="G279" t="n">
        <v>57</v>
      </c>
      <c r="H279" t="inlineStr"/>
      <c r="I279" t="inlineStr"/>
      <c r="J279" t="inlineStr"/>
      <c r="K279" t="inlineStr">
        <is>
          <t>HighExplosive</t>
        </is>
      </c>
      <c r="L279" t="n">
        <v>3</v>
      </c>
      <c r="M279" t="inlineStr">
        <is>
          <t>Shell</t>
        </is>
      </c>
      <c r="N279" t="n">
        <v>2</v>
      </c>
      <c r="O279" t="inlineStr">
        <is>
          <t>SIMULTANEOUS</t>
        </is>
      </c>
      <c r="P279" t="n">
        <v>4</v>
      </c>
      <c r="Q279" t="n">
        <v>0.5</v>
      </c>
      <c r="R279" t="n">
        <v>2.79</v>
      </c>
      <c r="S279" t="n">
        <v>0</v>
      </c>
      <c r="T279" t="n">
        <v>0</v>
      </c>
      <c r="U279" t="n">
        <v>0</v>
      </c>
      <c r="V279" t="n">
        <v>0</v>
      </c>
      <c r="W279" t="n">
        <v>120</v>
      </c>
      <c r="X279" t="n">
        <v>3</v>
      </c>
      <c r="Y279" t="n">
        <v>6</v>
      </c>
      <c r="Z279" t="n">
        <v>150</v>
      </c>
      <c r="AA279" t="n">
        <v>40</v>
      </c>
      <c r="AB279" t="n">
        <v>0</v>
      </c>
      <c r="AC279" t="inlineStr">
        <is>
          <t>Ground</t>
        </is>
      </c>
      <c r="AD279" t="inlineStr"/>
      <c r="AE279" t="n">
        <v>0.8</v>
      </c>
      <c r="AF279" t="inlineStr">
        <is>
          <t>Medium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57</v>
      </c>
      <c r="AO279" t="n">
        <v>0</v>
      </c>
      <c r="AP279" t="inlineStr">
        <is>
          <t>T2</t>
        </is>
      </c>
      <c r="AQ279" t="inlineStr">
        <is>
          <t>p26_typhon_ty57</t>
        </is>
      </c>
      <c r="AR279" t="inlineStr"/>
      <c r="AS279" t="inlineStr">
        <is>
          <t>boss</t>
        </is>
      </c>
      <c r="AT279" t="inlineStr">
        <is>
          <t>hydra;typhon</t>
        </is>
      </c>
      <c r="AU279" t="n">
        <v>2</v>
      </c>
      <c r="AV279" t="inlineStr">
        <is>
          <t>hydra:0;hydra:1;typhon:1;typhon:2;typhon:4</t>
        </is>
      </c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0.2666666666666667</v>
      </c>
      <c r="BB279" t="n">
        <v>120</v>
      </c>
      <c r="BC279" t="n">
        <v>80</v>
      </c>
      <c r="BD279" t="inlineStr">
        <is>
          <t>ac</t>
        </is>
      </c>
      <c r="BE279" t="inlineStr">
        <is>
          <t>Wikipedia 'AU-220M': 80-120 rpm</t>
        </is>
      </c>
      <c r="BF279" t="inlineStr">
        <is>
          <t>wave 1 mothership_cannon: 4 rounds 0.5 s apart every 4.29 s (AU-220M 120 rpm); made up: a twin 57 mm deck mount (as the real AK-725 twin 57 mm)</t>
        </is>
      </c>
      <c r="BG279" t="inlineStr">
        <is>
          <t>doi</t>
        </is>
      </c>
      <c r="BH279" t="n">
        <v>125</v>
      </c>
      <c r="BI279" t="n">
        <v>120</v>
      </c>
      <c r="BJ279" t="n">
        <v>1.1</v>
      </c>
      <c r="BK279" t="n">
        <v>2.79</v>
      </c>
      <c r="BT279" t="n">
        <v>2</v>
      </c>
      <c r="BU279" t="n">
        <v>4</v>
      </c>
      <c r="BV279" t="n">
        <v>0.1</v>
      </c>
      <c r="BW279" t="n">
        <v>0.5</v>
      </c>
      <c r="BX279" t="n">
        <v>1</v>
      </c>
      <c r="BY279" t="n">
        <v>2</v>
      </c>
      <c r="BZ279" t="inlineStr">
        <is>
          <t>RIPPLE</t>
        </is>
      </c>
      <c r="CA279" t="inlineStr">
        <is>
          <t>SIMULTANEOUS</t>
        </is>
      </c>
      <c r="CO279" t="n">
        <v>2</v>
      </c>
      <c r="CR279" t="n">
        <v>4</v>
      </c>
      <c r="CS279" t="n">
        <v>0.5</v>
      </c>
      <c r="DD279" t="n">
        <v>2.79</v>
      </c>
      <c r="DE279" t="n">
        <v>120</v>
      </c>
      <c r="DO279" t="n">
        <v>8</v>
      </c>
      <c r="DT279" t="inlineStr">
        <is>
          <t>p26_typhon_ty57</t>
        </is>
      </c>
      <c r="EQ279" t="inlineStr">
        <is>
          <t>AU-220 57 mm (twin deck mount)</t>
        </is>
      </c>
      <c r="EW279" t="inlineStr">
        <is>
          <t>SIMULTANEOUS</t>
        </is>
      </c>
      <c r="GD279" t="inlineStr">
        <is>
          <t>Assets/MachineBrigade/Resources/Data/balance.json: weapons[199]</t>
        </is>
      </c>
      <c r="GE279" t="inlineStr">
        <is>
          <t>{"id":"p26_typhon_sec_ty57","groundMinReach":8,"inherits":"p26_typhon_ty57","real":"AU-220 57 mm (twin deck mount)","salvoMode":"SIMULTANEOUS","barrels":2,"burstInterval":0.5,"burst":4,"cooldown":2.79,"damage":120}</t>
        </is>
      </c>
    </row>
    <row r="280">
      <c r="A280" t="inlineStr">
        <is>
          <t>p26_typhon_ty57</t>
        </is>
      </c>
      <c r="B280" t="inlineStr">
        <is>
          <t>AU-220 57 mm (deck)</t>
        </is>
      </c>
      <c r="C280" t="inlineStr">
        <is>
          <t>cal_57</t>
        </is>
      </c>
      <c r="D280" t="inlineStr"/>
      <c r="E280" t="inlineStr"/>
      <c r="F280" t="inlineStr">
        <is>
          <t>tank_gun</t>
        </is>
      </c>
      <c r="G280" t="n">
        <v>57</v>
      </c>
      <c r="H280" t="inlineStr"/>
      <c r="I280" t="inlineStr"/>
      <c r="J280" t="inlineStr"/>
      <c r="K280" t="inlineStr">
        <is>
          <t>HighExplosive</t>
        </is>
      </c>
      <c r="L280" t="n">
        <v>3</v>
      </c>
      <c r="M280" t="inlineStr">
        <is>
          <t>Shell</t>
        </is>
      </c>
      <c r="N280" t="n">
        <v>1</v>
      </c>
      <c r="O280" t="inlineStr">
        <is>
          <t>RIPPLE</t>
        </is>
      </c>
      <c r="P280" t="n">
        <v>2</v>
      </c>
      <c r="Q280" t="n">
        <v>0.1</v>
      </c>
      <c r="R280" t="n">
        <v>1.4</v>
      </c>
      <c r="S280" t="n">
        <v>0</v>
      </c>
      <c r="T280" t="n">
        <v>0</v>
      </c>
      <c r="U280" t="n">
        <v>0</v>
      </c>
      <c r="V280" t="n">
        <v>0</v>
      </c>
      <c r="W280" t="n">
        <v>130</v>
      </c>
      <c r="X280" t="n">
        <v>3</v>
      </c>
      <c r="Y280" t="n">
        <v>6</v>
      </c>
      <c r="Z280" t="n">
        <v>150</v>
      </c>
      <c r="AA280" t="n">
        <v>40</v>
      </c>
      <c r="AB280" t="n">
        <v>0</v>
      </c>
      <c r="AC280" t="inlineStr">
        <is>
          <t>Ground</t>
        </is>
      </c>
      <c r="AD280" t="inlineStr"/>
      <c r="AE280" t="n">
        <v>0.8</v>
      </c>
      <c r="AF280" t="inlineStr">
        <is>
          <t>Medium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57</v>
      </c>
      <c r="AO280" t="n">
        <v>0</v>
      </c>
      <c r="AP280" t="inlineStr">
        <is>
          <t>T2</t>
        </is>
      </c>
      <c r="AQ280" t="inlineStr">
        <is>
          <t>gun_57mm</t>
        </is>
      </c>
      <c r="AR280" t="inlineStr"/>
      <c r="AS280" t="inlineStr"/>
      <c r="AT280" t="inlineStr"/>
      <c r="AU280" t="n">
        <v>0</v>
      </c>
      <c r="AV280" t="inlineStr"/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0.2666666666666667</v>
      </c>
      <c r="BB280" t="n">
        <v>120</v>
      </c>
      <c r="BC280" t="n">
        <v>80</v>
      </c>
      <c r="BD280" t="inlineStr">
        <is>
          <t>ac</t>
        </is>
      </c>
      <c r="BE280" t="inlineStr">
        <is>
          <t>Wikipedia 'AU-220M': 80-120 rpm</t>
        </is>
      </c>
      <c r="BG280" t="inlineStr">
        <is>
          <t>giong</t>
        </is>
      </c>
      <c r="CR280" t="n">
        <v>2</v>
      </c>
      <c r="CS280" t="n">
        <v>0.1</v>
      </c>
      <c r="DD280" t="n">
        <v>1.4</v>
      </c>
      <c r="DE280" t="n">
        <v>130</v>
      </c>
      <c r="DF280" t="inlineStr">
        <is>
          <t>HighExplosive</t>
        </is>
      </c>
      <c r="DG280" t="n">
        <v>6</v>
      </c>
      <c r="DT280" t="inlineStr">
        <is>
          <t>gun_57mm</t>
        </is>
      </c>
      <c r="EB280" t="n">
        <v>3</v>
      </c>
      <c r="EP280" t="n">
        <v>40</v>
      </c>
      <c r="EQ280" t="inlineStr">
        <is>
          <t>AU-220 57 mm (deck)</t>
        </is>
      </c>
      <c r="EY280" t="n">
        <v>3</v>
      </c>
      <c r="GA280" t="inlineStr"/>
      <c r="GC280" t="inlineStr"/>
      <c r="GD280" t="inlineStr">
        <is>
          <t>Assets/MachineBrigade/Resources/Data/balance.json: weapons[198]</t>
        </is>
      </c>
      <c r="GE280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281">
      <c r="A281" t="inlineStr">
        <is>
          <t>p26_typhon_ty100</t>
        </is>
      </c>
      <c r="B281" t="inlineStr">
        <is>
          <t>AK-100 100 mm (deck)</t>
        </is>
      </c>
      <c r="C281" t="inlineStr">
        <is>
          <t>cal_100_105_he</t>
        </is>
      </c>
      <c r="D281" t="inlineStr"/>
      <c r="E281" t="inlineStr"/>
      <c r="F281" t="inlineStr">
        <is>
          <t>howitzer</t>
        </is>
      </c>
      <c r="G281" t="n">
        <v>100</v>
      </c>
      <c r="H281" t="inlineStr"/>
      <c r="I281" t="inlineStr"/>
      <c r="J281" t="inlineStr"/>
      <c r="K281" t="inlineStr">
        <is>
          <t>HighExplosive</t>
        </is>
      </c>
      <c r="L281" t="n">
        <v>4</v>
      </c>
      <c r="M281" t="inlineStr">
        <is>
          <t>Shell</t>
        </is>
      </c>
      <c r="N281" t="n">
        <v>1</v>
      </c>
      <c r="O281" t="inlineStr">
        <is>
          <t>RIPPLE</t>
        </is>
      </c>
      <c r="P281" t="n">
        <v>1</v>
      </c>
      <c r="Q281" t="n">
        <v>0.5</v>
      </c>
      <c r="R281" t="n">
        <v>2.5</v>
      </c>
      <c r="S281" t="n">
        <v>0</v>
      </c>
      <c r="T281" t="n">
        <v>0</v>
      </c>
      <c r="U281" t="n">
        <v>0</v>
      </c>
      <c r="V281" t="n">
        <v>0</v>
      </c>
      <c r="W281" t="n">
        <v>600</v>
      </c>
      <c r="X281" t="n">
        <v>5</v>
      </c>
      <c r="Y281" t="n">
        <v>10</v>
      </c>
      <c r="Z281" t="n">
        <v>100</v>
      </c>
      <c r="AA281" t="n">
        <v>90</v>
      </c>
      <c r="AB281" t="n">
        <v>0</v>
      </c>
      <c r="AC281" t="inlineStr">
        <is>
          <t>Ground</t>
        </is>
      </c>
      <c r="AD281" t="inlineStr"/>
      <c r="AE281" t="n">
        <v>2.2</v>
      </c>
      <c r="AF281" t="inlineStr">
        <is>
          <t>Large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100</v>
      </c>
      <c r="AO281" t="n">
        <v>0</v>
      </c>
      <c r="AP281" t="inlineStr">
        <is>
          <t>T2</t>
        </is>
      </c>
      <c r="AQ281" t="inlineStr">
        <is>
          <t>naval_100</t>
        </is>
      </c>
      <c r="AR281" t="inlineStr"/>
      <c r="AS281" t="inlineStr"/>
      <c r="AT281" t="inlineStr"/>
      <c r="AU281" t="n">
        <v>0</v>
      </c>
      <c r="AV281" t="inlineStr"/>
      <c r="AW281" t="n">
        <v>0</v>
      </c>
      <c r="AX281" t="b">
        <v>0</v>
      </c>
      <c r="AY281" t="inlineStr"/>
      <c r="AZ281">
        <f>IF(AND($AX$281,$AW$281&gt;$AA$281/$Z$281),$AW$281,$AA$281/$Z$281)</f>
        <v/>
      </c>
      <c r="BA281" t="n">
        <v>0.9</v>
      </c>
      <c r="BB281" t="n">
        <v>60</v>
      </c>
      <c r="BC281" t="n">
        <v>30</v>
      </c>
      <c r="BD281" t="inlineStr">
        <is>
          <t>gun</t>
        </is>
      </c>
      <c r="BE281" t="inlineStr">
        <is>
          <t>Wikipedia 'AK-100 (naval gun)': 60 rpm</t>
        </is>
      </c>
      <c r="BG281" t="inlineStr">
        <is>
          <t>doi</t>
        </is>
      </c>
      <c r="BR281" t="n">
        <v>110</v>
      </c>
      <c r="BS281" t="n">
        <v>100</v>
      </c>
      <c r="CR281" t="n">
        <v>1</v>
      </c>
      <c r="DD281" t="n">
        <v>2.5</v>
      </c>
      <c r="DE281" t="n">
        <v>600</v>
      </c>
      <c r="DG281" t="n">
        <v>10</v>
      </c>
      <c r="DT281" t="inlineStr">
        <is>
          <t>naval_100</t>
        </is>
      </c>
      <c r="EB281" t="n">
        <v>4</v>
      </c>
      <c r="EQ281" t="inlineStr">
        <is>
          <t>AK-100 100 mm (deck)</t>
        </is>
      </c>
      <c r="EY281" t="n">
        <v>5</v>
      </c>
      <c r="GA281" t="inlineStr"/>
      <c r="GD281" t="inlineStr">
        <is>
          <t>Assets/MachineBrigade/Resources/Data/balance.json: weapons[197]</t>
        </is>
      </c>
      <c r="GE281" t="inlineStr">
        <is>
          <t>{"id":"p26_typhon_ty100","inherits":"naval_100","weaponFamily":"","real":"AK-100 100 mm (deck)","damage":600,"burst":1,"cooldown":2.5,"pen":4,"splash":5,"edge":10}</t>
        </is>
      </c>
    </row>
    <row r="282">
      <c r="A282" t="inlineStr">
        <is>
          <t>patriot</t>
        </is>
      </c>
      <c r="B282" t="inlineStr">
        <is>
          <t>MIM-104 Patriot PAC-2</t>
        </is>
      </c>
      <c r="C282" t="inlineStr">
        <is>
          <t>sam_mim_104_patriot_pac_2</t>
        </is>
      </c>
      <c r="D282" t="inlineStr"/>
      <c r="E282" t="inlineStr">
        <is>
          <t>mim_104_patriot_pac_2</t>
        </is>
      </c>
      <c r="F282" t="inlineStr">
        <is>
          <t>aa_missile</t>
        </is>
      </c>
      <c r="G282" t="inlineStr"/>
      <c r="H282" t="n">
        <v>90</v>
      </c>
      <c r="I282" t="inlineStr"/>
      <c r="J282" t="inlineStr"/>
      <c r="K282" t="inlineStr">
        <is>
          <t>Fragmentation</t>
        </is>
      </c>
      <c r="L282" t="n">
        <v>3</v>
      </c>
      <c r="M282" t="inlineStr">
        <is>
          <t>Missile</t>
        </is>
      </c>
      <c r="N282" t="n">
        <v>1</v>
      </c>
      <c r="O282" t="inlineStr">
        <is>
          <t>RIPPLE</t>
        </is>
      </c>
      <c r="P282" t="n">
        <v>2</v>
      </c>
      <c r="Q282" t="n">
        <v>0.45</v>
      </c>
      <c r="R282" t="n">
        <v>2.75</v>
      </c>
      <c r="S282" t="n">
        <v>0</v>
      </c>
      <c r="T282" t="n">
        <v>0</v>
      </c>
      <c r="U282" t="n">
        <v>0</v>
      </c>
      <c r="V282" t="n">
        <v>0</v>
      </c>
      <c r="W282" t="n">
        <v>340</v>
      </c>
      <c r="X282" t="n">
        <v>2.5</v>
      </c>
      <c r="Y282" t="n">
        <v>0</v>
      </c>
      <c r="Z282" t="n">
        <v>165</v>
      </c>
      <c r="AA282" t="n">
        <v>90</v>
      </c>
      <c r="AB282" t="n">
        <v>20</v>
      </c>
      <c r="AC282" t="inlineStr">
        <is>
          <t>Air</t>
        </is>
      </c>
      <c r="AD282" t="inlineStr">
        <is>
          <t>high</t>
        </is>
      </c>
      <c r="AE282" t="n">
        <v>0</v>
      </c>
      <c r="AF282" t="inlineStr">
        <is>
          <t>Large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90</v>
      </c>
      <c r="AO282" t="n">
        <v>0</v>
      </c>
      <c r="AP282" t="inlineStr">
        <is>
          <t>T2</t>
        </is>
      </c>
      <c r="AQ282" t="inlineStr">
        <is>
          <t>sam_battery</t>
        </is>
      </c>
      <c r="AR282" t="inlineStr"/>
      <c r="AS282" t="inlineStr">
        <is>
          <t>thap</t>
        </is>
      </c>
      <c r="AT282" t="inlineStr">
        <is>
          <t>missile_battery</t>
        </is>
      </c>
      <c r="AU282" t="n">
        <v>1</v>
      </c>
      <c r="AV282" t="inlineStr">
        <is>
          <t>missile_battery:0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0.5454545454545454</v>
      </c>
      <c r="BB282" t="n">
        <v>20</v>
      </c>
      <c r="BC282" t="n">
        <v>20</v>
      </c>
      <c r="BD282" t="inlineStr">
        <is>
          <t>missile</t>
        </is>
      </c>
      <c r="BE282" t="inlineStr">
        <is>
          <t>Wikipedia 'MIM-104 Patriot': ripples a few seconds apart (est. 3 s)</t>
        </is>
      </c>
      <c r="BG282" t="inlineStr">
        <is>
          <t>doi</t>
        </is>
      </c>
      <c r="BR282" t="n">
        <v>60</v>
      </c>
      <c r="BS282" t="n">
        <v>165</v>
      </c>
      <c r="CS282" t="n">
        <v>0.45</v>
      </c>
      <c r="DD282" t="n">
        <v>2.75</v>
      </c>
      <c r="DJ282" t="inlineStr">
        <is>
          <t>aa_missile</t>
        </is>
      </c>
      <c r="DT282" t="inlineStr">
        <is>
          <t>sam_battery</t>
        </is>
      </c>
      <c r="EB282" t="n">
        <v>3</v>
      </c>
      <c r="EQ282" t="inlineStr">
        <is>
          <t>MIM-104 Patriot PAC-2</t>
        </is>
      </c>
      <c r="EX282" t="n">
        <v>90</v>
      </c>
      <c r="FZ282" t="n">
        <v>90</v>
      </c>
      <c r="GA282" t="inlineStr">
        <is>
          <t>mim_104_patriot_pac_2</t>
        </is>
      </c>
      <c r="GD282" t="inlineStr">
        <is>
          <t>Assets/MachineBrigade/Resources/Data/balance.json: weapons[88]</t>
        </is>
      </c>
      <c r="GE282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283">
      <c r="A283" t="inlineStr">
        <is>
          <t>pt14_co_203</t>
        </is>
      </c>
      <c r="B283" t="inlineStr">
        <is>
          <t>Mk 71 203 mm (Coeus twin turret)</t>
        </is>
      </c>
      <c r="C283" t="inlineStr">
        <is>
          <t>cal_203</t>
        </is>
      </c>
      <c r="D283" t="inlineStr"/>
      <c r="E283" t="inlineStr"/>
      <c r="F283" t="inlineStr">
        <is>
          <t>howitzer</t>
        </is>
      </c>
      <c r="G283" t="n">
        <v>203</v>
      </c>
      <c r="H283" t="inlineStr"/>
      <c r="I283" t="inlineStr"/>
      <c r="J283" t="inlineStr"/>
      <c r="K283" t="inlineStr">
        <is>
          <t>HighExplosive</t>
        </is>
      </c>
      <c r="L283" t="n">
        <v>4</v>
      </c>
      <c r="M283" t="inlineStr">
        <is>
          <t>Shell</t>
        </is>
      </c>
      <c r="N283" t="n">
        <v>2</v>
      </c>
      <c r="O283" t="inlineStr">
        <is>
          <t>SIMULTANEOUS</t>
        </is>
      </c>
      <c r="P283" t="n">
        <v>1</v>
      </c>
      <c r="Q283" t="n">
        <v>0.4</v>
      </c>
      <c r="R283" t="n">
        <v>21</v>
      </c>
      <c r="S283" t="n">
        <v>0</v>
      </c>
      <c r="T283" t="n">
        <v>0</v>
      </c>
      <c r="U283" t="n">
        <v>0</v>
      </c>
      <c r="V283" t="n">
        <v>0</v>
      </c>
      <c r="W283" t="n">
        <v>900</v>
      </c>
      <c r="X283" t="n">
        <v>8.5</v>
      </c>
      <c r="Y283" t="n">
        <v>17</v>
      </c>
      <c r="Z283" t="n">
        <v>85</v>
      </c>
      <c r="AA283" t="n">
        <v>95</v>
      </c>
      <c r="AB283" t="n">
        <v>0</v>
      </c>
      <c r="AC283" t="inlineStr">
        <is>
          <t>Ground</t>
        </is>
      </c>
      <c r="AD283" t="inlineStr"/>
      <c r="AE283" t="n">
        <v>2.6</v>
      </c>
      <c r="AF283" t="inlineStr">
        <is>
          <t>Huge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203</v>
      </c>
      <c r="AO283" t="n">
        <v>0</v>
      </c>
      <c r="AP283" t="inlineStr">
        <is>
          <t>T4</t>
        </is>
      </c>
      <c r="AQ283" t="inlineStr">
        <is>
          <t>cruiser_203</t>
        </is>
      </c>
      <c r="AR283" t="inlineStr"/>
      <c r="AS283" t="inlineStr">
        <is>
          <t>boss</t>
        </is>
      </c>
      <c r="AT283" t="inlineStr">
        <is>
          <t>coeus</t>
        </is>
      </c>
      <c r="AU283" t="n">
        <v>1</v>
      </c>
      <c r="AV283" t="inlineStr">
        <is>
          <t>coeus:0</t>
        </is>
      </c>
      <c r="AW283" t="n">
        <v>2.5</v>
      </c>
      <c r="AX283" t="b">
        <v>1</v>
      </c>
      <c r="AY283" t="inlineStr"/>
      <c r="AZ283">
        <f>IF(AND($AX$283,$AW$283&gt;$AA$283/$Z$283),$AW$283,$AA$283/$Z$283)</f>
        <v/>
      </c>
      <c r="BA283" t="n">
        <v>2.5</v>
      </c>
      <c r="BB283" t="n">
        <v>12</v>
      </c>
      <c r="BC283" t="n">
        <v>12</v>
      </c>
      <c r="BD283" t="inlineStr">
        <is>
          <t>gun</t>
        </is>
      </c>
      <c r="BE283" t="inlineStr">
        <is>
          <t>Wikipedia '8"/55 caliber Mark 71': 12 rpm</t>
        </is>
      </c>
      <c r="BG283" t="inlineStr">
        <is>
          <t>moi</t>
        </is>
      </c>
      <c r="DD283" t="n">
        <v>21</v>
      </c>
      <c r="DE283" t="n">
        <v>900</v>
      </c>
      <c r="DG283" t="n">
        <v>17</v>
      </c>
      <c r="DO283" t="n">
        <v>19</v>
      </c>
      <c r="DT283" t="inlineStr">
        <is>
          <t>cruiser_203</t>
        </is>
      </c>
      <c r="EP283" t="n">
        <v>95</v>
      </c>
      <c r="EQ283" t="inlineStr">
        <is>
          <t>Mk 71 203 mm (Coeus twin turret)</t>
        </is>
      </c>
      <c r="EY283" t="n">
        <v>8.5</v>
      </c>
      <c r="GD283" t="inlineStr">
        <is>
          <t>Assets/MachineBrigade/Resources/Data/balance.json: weapons[229]</t>
        </is>
      </c>
      <c r="GE283" t="inlineStr">
        <is>
          <t>{"id":"pt14_co_203","groundMinReach":19,"inherits":"cruiser_203","real":"Mk 71 203 mm (Coeus twin turret)","damage":900,"edge":17,"cooldown":21,"splash":8.5,"range":95}</t>
        </is>
      </c>
    </row>
    <row r="284">
      <c r="A284" t="inlineStr">
        <is>
          <t>pt14_co_spike</t>
        </is>
      </c>
      <c r="B284" t="inlineStr">
        <is>
          <t>Spike NLOS (Coeus box launcher)</t>
        </is>
      </c>
      <c r="C284" t="inlineStr">
        <is>
          <t>atgm_spike_nlos</t>
        </is>
      </c>
      <c r="D284" t="inlineStr"/>
      <c r="E284" t="inlineStr"/>
      <c r="F284" t="inlineStr">
        <is>
          <t>atgm</t>
        </is>
      </c>
      <c r="G284" t="inlineStr"/>
      <c r="H284" t="n">
        <v>9</v>
      </c>
      <c r="I284" t="inlineStr"/>
      <c r="J284" t="inlineStr"/>
      <c r="K284" t="inlineStr">
        <is>
          <t>ShapedCharge</t>
        </is>
      </c>
      <c r="L284" t="n">
        <v>4</v>
      </c>
      <c r="M284" t="inlineStr">
        <is>
          <t>Missile</t>
        </is>
      </c>
      <c r="N284" t="n">
        <v>1</v>
      </c>
      <c r="O284" t="inlineStr">
        <is>
          <t>RIPPLE</t>
        </is>
      </c>
      <c r="P284" t="n">
        <v>2</v>
      </c>
      <c r="Q284" t="n">
        <v>0.8</v>
      </c>
      <c r="R284" t="n">
        <v>12</v>
      </c>
      <c r="S284" t="n">
        <v>0</v>
      </c>
      <c r="T284" t="n">
        <v>0</v>
      </c>
      <c r="U284" t="n">
        <v>0</v>
      </c>
      <c r="V284" t="n">
        <v>0</v>
      </c>
      <c r="W284" t="n">
        <v>300</v>
      </c>
      <c r="X284" t="n">
        <v>0</v>
      </c>
      <c r="Y284" t="n">
        <v>0</v>
      </c>
      <c r="Z284" t="n">
        <v>75</v>
      </c>
      <c r="AA284" t="n">
        <v>80</v>
      </c>
      <c r="AB284" t="n">
        <v>0</v>
      </c>
      <c r="AC284" t="inlineStr">
        <is>
          <t>Ground</t>
        </is>
      </c>
      <c r="AD284" t="inlineStr"/>
      <c r="AE284" t="n">
        <v>0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49</v>
      </c>
      <c r="AO284" t="n">
        <v>3</v>
      </c>
      <c r="AP284" t="inlineStr">
        <is>
          <t>T2</t>
        </is>
      </c>
      <c r="AQ284" t="inlineStr">
        <is>
          <t>drone_missile</t>
        </is>
      </c>
      <c r="AR284" t="inlineStr"/>
      <c r="AS284" t="inlineStr">
        <is>
          <t>boss</t>
        </is>
      </c>
      <c r="AT284" t="inlineStr">
        <is>
          <t>coeus</t>
        </is>
      </c>
      <c r="AU284" t="n">
        <v>1</v>
      </c>
      <c r="AV284" t="inlineStr">
        <is>
          <t>coeus:3;coeus:4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1.066666666666667</v>
      </c>
      <c r="BB284" t="n">
        <v>6</v>
      </c>
      <c r="BC284" t="n">
        <v>4</v>
      </c>
      <c r="BD284" t="inlineStr">
        <is>
          <t>atgm</t>
        </is>
      </c>
      <c r="BE284" t="inlineStr">
        <is>
          <t>Spike NLOS launcher, est. 4-6 rpm</t>
        </is>
      </c>
      <c r="BG284" t="inlineStr">
        <is>
          <t>moi</t>
        </is>
      </c>
      <c r="CR284" t="n">
        <v>2</v>
      </c>
      <c r="CS284" t="n">
        <v>0.8</v>
      </c>
      <c r="DD284" t="n">
        <v>12</v>
      </c>
      <c r="DE284" t="n">
        <v>300</v>
      </c>
      <c r="DT284" t="inlineStr">
        <is>
          <t>drone_missile</t>
        </is>
      </c>
      <c r="EK284" t="n">
        <v>75</v>
      </c>
      <c r="EP284" t="n">
        <v>80</v>
      </c>
      <c r="EQ284" t="inlineStr">
        <is>
          <t>Spike NLOS (Coeus box launcher)</t>
        </is>
      </c>
      <c r="EY284" t="n">
        <v>0</v>
      </c>
      <c r="GA284" t="inlineStr"/>
      <c r="GB284" t="inlineStr">
        <is>
          <t>atgm_spike_nlos</t>
        </is>
      </c>
      <c r="GD284" t="inlineStr">
        <is>
          <t>Assets/MachineBrigade/Resources/Data/balance.json: weapons[231]</t>
        </is>
      </c>
      <c r="GE284" t="inlineStr">
        <is>
          <t>{"id":"pt14_co_spike","inherits":"drone_missile","weaponFamilyId":"atgm_spike_nlos","weaponFamily":"","real":"Spike NLOS (Coeus box launcher)","projectileSpeed":75,"damage":300,"burst":2,"burstInterval":0.8,"cooldown":12,"range":80,"splash":0}</t>
        </is>
      </c>
    </row>
    <row r="285">
      <c r="A285" t="inlineStr">
        <is>
          <t>pt14_co_v76</t>
        </is>
      </c>
      <c r="B285" t="inlineStr">
        <is>
          <t>OTO Melara 76/62 (Coeus ventral twin)</t>
        </is>
      </c>
      <c r="C285" t="inlineStr">
        <is>
          <t>cal_76</t>
        </is>
      </c>
      <c r="D285" t="inlineStr"/>
      <c r="E285" t="inlineStr"/>
      <c r="F285" t="inlineStr">
        <is>
          <t>howitzer</t>
        </is>
      </c>
      <c r="G285" t="n">
        <v>76</v>
      </c>
      <c r="H285" t="inlineStr"/>
      <c r="I285" t="inlineStr"/>
      <c r="J285" t="inlineStr"/>
      <c r="K285" t="inlineStr">
        <is>
          <t>HighExplosive</t>
        </is>
      </c>
      <c r="L285" t="n">
        <v>3</v>
      </c>
      <c r="M285" t="inlineStr">
        <is>
          <t>Shell</t>
        </is>
      </c>
      <c r="N285" t="n">
        <v>1</v>
      </c>
      <c r="O285" t="inlineStr">
        <is>
          <t>RIPPLE</t>
        </is>
      </c>
      <c r="P285" t="n">
        <v>4</v>
      </c>
      <c r="Q285" t="n">
        <v>0.3</v>
      </c>
      <c r="R285" t="n">
        <v>3.2</v>
      </c>
      <c r="S285" t="n">
        <v>0</v>
      </c>
      <c r="T285" t="n">
        <v>0</v>
      </c>
      <c r="U285" t="n">
        <v>0</v>
      </c>
      <c r="V285" t="n">
        <v>0</v>
      </c>
      <c r="W285" t="n">
        <v>120</v>
      </c>
      <c r="X285" t="n">
        <v>3</v>
      </c>
      <c r="Y285" t="n">
        <v>0</v>
      </c>
      <c r="Z285" t="n">
        <v>95</v>
      </c>
      <c r="AA285" t="n">
        <v>70</v>
      </c>
      <c r="AB285" t="n">
        <v>0</v>
      </c>
      <c r="AC285" t="inlineStr">
        <is>
          <t>Ground</t>
        </is>
      </c>
      <c r="AD285" t="inlineStr"/>
      <c r="AE285" t="n">
        <v>2.2</v>
      </c>
      <c r="AF285" t="inlineStr">
        <is>
          <t>Medium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76</v>
      </c>
      <c r="AO285" t="n">
        <v>0</v>
      </c>
      <c r="AP285" t="inlineStr">
        <is>
          <t>T2</t>
        </is>
      </c>
      <c r="AQ285" t="inlineStr">
        <is>
          <t>naval_76</t>
        </is>
      </c>
      <c r="AR285" t="inlineStr"/>
      <c r="AS285" t="inlineStr">
        <is>
          <t>boss</t>
        </is>
      </c>
      <c r="AT285" t="inlineStr">
        <is>
          <t>coeus</t>
        </is>
      </c>
      <c r="AU285" t="n">
        <v>1</v>
      </c>
      <c r="AV285" t="inlineStr">
        <is>
          <t>coeus:1;coeus:2</t>
        </is>
      </c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0.7368421052631579</v>
      </c>
      <c r="BB285" t="n">
        <v>120</v>
      </c>
      <c r="BC285" t="n">
        <v>80</v>
      </c>
      <c r="BD285" t="inlineStr">
        <is>
          <t>gun</t>
        </is>
      </c>
      <c r="BE285" t="inlineStr">
        <is>
          <t>Wikipedia 'OTO Melara 76 mm': 80-120 rpm (Super Rapid)</t>
        </is>
      </c>
      <c r="BG285" t="inlineStr">
        <is>
          <t>moi</t>
        </is>
      </c>
      <c r="CR285" t="n">
        <v>4</v>
      </c>
      <c r="CS285" t="n">
        <v>0.3</v>
      </c>
      <c r="DD285" t="n">
        <v>3.2</v>
      </c>
      <c r="DE285" t="n">
        <v>120</v>
      </c>
      <c r="DO285" t="n">
        <v>0</v>
      </c>
      <c r="DT285" t="inlineStr">
        <is>
          <t>naval_76</t>
        </is>
      </c>
      <c r="EP285" t="n">
        <v>70</v>
      </c>
      <c r="EQ285" t="inlineStr">
        <is>
          <t>OTO Melara 76/62 (Coeus ventral twin)</t>
        </is>
      </c>
      <c r="GD285" t="inlineStr">
        <is>
          <t>Assets/MachineBrigade/Resources/Data/balance.json: weapons[230]</t>
        </is>
      </c>
      <c r="GE285" t="inlineStr">
        <is>
          <t>{"id":"pt14_co_v76","groundMinReach":0,"inherits":"naval_76","real":"OTO Melara 76/62 (Coeus ventral twin)","damage":120,"burst":4,"burstInterval":0.3,"cooldown":3.2,"range":70}</t>
        </is>
      </c>
    </row>
    <row r="286">
      <c r="A286" t="inlineStr">
        <is>
          <t>pt14_dd_v25</t>
        </is>
      </c>
      <c r="B286" t="inlineStr">
        <is>
          <t>GAU-12/U Equalizer 25 mm (Daedalus ventral gondola)</t>
        </is>
      </c>
      <c r="C286" t="inlineStr">
        <is>
          <t>cal_25</t>
        </is>
      </c>
      <c r="D286" t="inlineStr"/>
      <c r="E286" t="inlineStr"/>
      <c r="F286" t="inlineStr">
        <is>
          <t>autocannon</t>
        </is>
      </c>
      <c r="G286" t="n">
        <v>25</v>
      </c>
      <c r="H286" t="inlineStr"/>
      <c r="I286" t="inlineStr"/>
      <c r="J286" t="inlineStr"/>
      <c r="K286" t="inlineStr">
        <is>
          <t>Kinetic</t>
        </is>
      </c>
      <c r="L286" t="n">
        <v>2</v>
      </c>
      <c r="M286" t="inlineStr">
        <is>
          <t>Bullet</t>
        </is>
      </c>
      <c r="N286" t="n">
        <v>1</v>
      </c>
      <c r="O286" t="inlineStr">
        <is>
          <t>RIPPLE</t>
        </is>
      </c>
      <c r="P286" t="n">
        <v>14</v>
      </c>
      <c r="Q286" t="n">
        <v>0.05</v>
      </c>
      <c r="R286" t="n">
        <v>2.2</v>
      </c>
      <c r="S286" t="n">
        <v>0</v>
      </c>
      <c r="T286" t="n">
        <v>0</v>
      </c>
      <c r="U286" t="n">
        <v>0</v>
      </c>
      <c r="V286" t="n">
        <v>0</v>
      </c>
      <c r="W286" t="n">
        <v>15</v>
      </c>
      <c r="X286" t="n">
        <v>0</v>
      </c>
      <c r="Y286" t="n">
        <v>0</v>
      </c>
      <c r="Z286" t="n">
        <v>210</v>
      </c>
      <c r="AA286" t="n">
        <v>30</v>
      </c>
      <c r="AB286" t="n">
        <v>0</v>
      </c>
      <c r="AC286" t="inlineStr">
        <is>
          <t>Ground</t>
        </is>
      </c>
      <c r="AD286" t="inlineStr"/>
      <c r="AE286" t="n">
        <v>1.6</v>
      </c>
      <c r="AF286" t="inlineStr">
        <is>
          <t>Small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25</v>
      </c>
      <c r="AO286" t="n">
        <v>0</v>
      </c>
      <c r="AP286" t="inlineStr">
        <is>
          <t>T1</t>
        </is>
      </c>
      <c r="AQ286" t="inlineStr">
        <is>
          <t>autocannon_25</t>
        </is>
      </c>
      <c r="AR286" t="inlineStr"/>
      <c r="AS286" t="inlineStr">
        <is>
          <t>boss</t>
        </is>
      </c>
      <c r="AT286" t="inlineStr">
        <is>
          <t>daedalus</t>
        </is>
      </c>
      <c r="AU286" t="n">
        <v>1</v>
      </c>
      <c r="AV286" t="inlineStr">
        <is>
          <t>daedalus:3;daedalus:4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0.1428571428571428</v>
      </c>
      <c r="BB286" t="n">
        <v>4200</v>
      </c>
      <c r="BC286" t="inlineStr"/>
      <c r="BD286" t="inlineStr">
        <is>
          <t>ac</t>
        </is>
      </c>
      <c r="BE286" t="inlineStr">
        <is>
          <t>Wikipedia 'GAU-12 Equalizer': 3,600-4,200 rpm (1,800 on the AC-130U)</t>
        </is>
      </c>
      <c r="BG286" t="inlineStr">
        <is>
          <t>moi</t>
        </is>
      </c>
      <c r="CR286" t="n">
        <v>14</v>
      </c>
      <c r="CS286" t="n">
        <v>0.05</v>
      </c>
      <c r="DD286" t="n">
        <v>2.2</v>
      </c>
      <c r="DE286" t="n">
        <v>15</v>
      </c>
      <c r="DO286" t="n">
        <v>0</v>
      </c>
      <c r="DT286" t="inlineStr">
        <is>
          <t>autocannon_25</t>
        </is>
      </c>
      <c r="EP286" t="n">
        <v>30</v>
      </c>
      <c r="EQ286" t="inlineStr">
        <is>
          <t>GAU-12/U Equalizer 25 mm (Daedalus ventral gondola)</t>
        </is>
      </c>
      <c r="EZ286" t="n">
        <v>1.6</v>
      </c>
      <c r="GA286" t="inlineStr"/>
      <c r="GD286" t="inlineStr">
        <is>
          <t>Assets/MachineBrigade/Resources/Data/balance.json: weapons[221]</t>
        </is>
      </c>
      <c r="GE286" t="inlineStr">
        <is>
          <t>{"id":"pt14_dd_v25","groundMinReach":0,"inherits":"autocannon_25","weaponFamily":"","real":"GAU-12/U Equalizer 25 mm (Daedalus ventral gondola)","damage":15,"burst":14,"burstInterval":0.05,"cooldown":2.2,"spread":1.6,"range":30}</t>
        </is>
      </c>
    </row>
    <row r="287">
      <c r="A287" t="inlineStr">
        <is>
          <t>pt14_dd_v57</t>
        </is>
      </c>
      <c r="B287" t="inlineStr">
        <is>
          <t>AU-220 57 mm (twin ventral turret)</t>
        </is>
      </c>
      <c r="C287" t="inlineStr">
        <is>
          <t>cal_57</t>
        </is>
      </c>
      <c r="D287" t="inlineStr"/>
      <c r="E287" t="inlineStr"/>
      <c r="F287" t="inlineStr">
        <is>
          <t>tank_gun</t>
        </is>
      </c>
      <c r="G287" t="n">
        <v>57</v>
      </c>
      <c r="H287" t="inlineStr"/>
      <c r="I287" t="inlineStr"/>
      <c r="J287" t="inlineStr"/>
      <c r="K287" t="inlineStr">
        <is>
          <t>HighExplosive</t>
        </is>
      </c>
      <c r="L287" t="n">
        <v>4</v>
      </c>
      <c r="M287" t="inlineStr">
        <is>
          <t>Shell</t>
        </is>
      </c>
      <c r="N287" t="n">
        <v>2</v>
      </c>
      <c r="O287" t="inlineStr">
        <is>
          <t>SIMULTANEOUS</t>
        </is>
      </c>
      <c r="P287" t="n">
        <v>4</v>
      </c>
      <c r="Q287" t="n">
        <v>0.5</v>
      </c>
      <c r="R287" t="n">
        <v>2.79</v>
      </c>
      <c r="S287" t="n">
        <v>0</v>
      </c>
      <c r="T287" t="n">
        <v>0</v>
      </c>
      <c r="U287" t="n">
        <v>0</v>
      </c>
      <c r="V287" t="n">
        <v>0</v>
      </c>
      <c r="W287" t="n">
        <v>120</v>
      </c>
      <c r="X287" t="n">
        <v>3</v>
      </c>
      <c r="Y287" t="n">
        <v>6</v>
      </c>
      <c r="Z287" t="n">
        <v>150</v>
      </c>
      <c r="AA287" t="n">
        <v>28</v>
      </c>
      <c r="AB287" t="n">
        <v>0</v>
      </c>
      <c r="AC287" t="inlineStr">
        <is>
          <t>Ground</t>
        </is>
      </c>
      <c r="AD287" t="inlineStr"/>
      <c r="AE287" t="n">
        <v>0.8</v>
      </c>
      <c r="AF287" t="inlineStr">
        <is>
          <t>Medium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57</v>
      </c>
      <c r="AO287" t="n">
        <v>0</v>
      </c>
      <c r="AP287" t="inlineStr">
        <is>
          <t>T2</t>
        </is>
      </c>
      <c r="AQ287" t="inlineStr">
        <is>
          <t>p26_daedalus_sec_dae57</t>
        </is>
      </c>
      <c r="AR287" t="inlineStr"/>
      <c r="AS287" t="inlineStr">
        <is>
          <t>boss</t>
        </is>
      </c>
      <c r="AT287" t="inlineStr">
        <is>
          <t>daedalus</t>
        </is>
      </c>
      <c r="AU287" t="n">
        <v>1</v>
      </c>
      <c r="AV287" t="inlineStr">
        <is>
          <t>daedalus:1;daedalus:2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0.1866666666666667</v>
      </c>
      <c r="BB287" t="n">
        <v>120</v>
      </c>
      <c r="BC287" t="n">
        <v>80</v>
      </c>
      <c r="BD287" t="inlineStr">
        <is>
          <t>ac</t>
        </is>
      </c>
      <c r="BE287" t="inlineStr">
        <is>
          <t>Wikipedia 'AU-220M': 80-120 rpm</t>
        </is>
      </c>
      <c r="BG287" t="inlineStr">
        <is>
          <t>moi</t>
        </is>
      </c>
      <c r="DO287" t="n">
        <v>0</v>
      </c>
      <c r="DT287" t="inlineStr">
        <is>
          <t>p26_daedalus_sec_dae57</t>
        </is>
      </c>
      <c r="EQ287" t="inlineStr">
        <is>
          <t>AU-220 57 mm (twin ventral turret)</t>
        </is>
      </c>
      <c r="GD287" t="inlineStr">
        <is>
          <t>Assets/MachineBrigade/Resources/Data/balance.json: weapons[220]</t>
        </is>
      </c>
      <c r="GE287" t="inlineStr">
        <is>
          <t>{"id":"pt14_dd_v57","groundMinReach":0,"inherits":"p26_daedalus_sec_dae57","real":"AU-220 57 mm (twin ventral turret)"}</t>
        </is>
      </c>
    </row>
    <row r="288">
      <c r="A288" t="inlineStr">
        <is>
          <t>pt14_hp_155</t>
        </is>
      </c>
      <c r="B288" t="inlineStr">
        <is>
          <t>155 mm/60 (Hyperion twin turret)</t>
        </is>
      </c>
      <c r="C288" t="inlineStr">
        <is>
          <t>cal_152_155</t>
        </is>
      </c>
      <c r="D288" t="inlineStr"/>
      <c r="E288" t="inlineStr"/>
      <c r="F288" t="inlineStr">
        <is>
          <t>howitzer</t>
        </is>
      </c>
      <c r="G288" t="n">
        <v>155</v>
      </c>
      <c r="H288" t="inlineStr"/>
      <c r="I288" t="inlineStr"/>
      <c r="J288" t="inlineStr"/>
      <c r="K288" t="inlineStr">
        <is>
          <t>HighExplosive</t>
        </is>
      </c>
      <c r="L288" t="n">
        <v>3</v>
      </c>
      <c r="M288" t="inlineStr">
        <is>
          <t>Shell</t>
        </is>
      </c>
      <c r="N288" t="n">
        <v>1</v>
      </c>
      <c r="O288" t="inlineStr">
        <is>
          <t>RIPPLE</t>
        </is>
      </c>
      <c r="P288" t="n">
        <v>2</v>
      </c>
      <c r="Q288" t="n">
        <v>0.4</v>
      </c>
      <c r="R288" t="n">
        <v>13.5</v>
      </c>
      <c r="S288" t="n">
        <v>0</v>
      </c>
      <c r="T288" t="n">
        <v>0</v>
      </c>
      <c r="U288" t="n">
        <v>0</v>
      </c>
      <c r="V288" t="n">
        <v>0</v>
      </c>
      <c r="W288" t="n">
        <v>600</v>
      </c>
      <c r="X288" t="n">
        <v>7</v>
      </c>
      <c r="Y288" t="n">
        <v>14</v>
      </c>
      <c r="Z288" t="n">
        <v>88</v>
      </c>
      <c r="AA288" t="n">
        <v>95</v>
      </c>
      <c r="AB288" t="n">
        <v>0</v>
      </c>
      <c r="AC288" t="inlineStr">
        <is>
          <t>Ground</t>
        </is>
      </c>
      <c r="AD288" t="inlineStr"/>
      <c r="AE288" t="n">
        <v>2.4</v>
      </c>
      <c r="AF288" t="inlineStr">
        <is>
          <t>Large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155</v>
      </c>
      <c r="AO288" t="n">
        <v>0</v>
      </c>
      <c r="AP288" t="inlineStr">
        <is>
          <t>T3</t>
        </is>
      </c>
      <c r="AQ288" t="inlineStr">
        <is>
          <t>naval_155_triple</t>
        </is>
      </c>
      <c r="AR288" t="inlineStr"/>
      <c r="AS288" t="inlineStr">
        <is>
          <t>boss</t>
        </is>
      </c>
      <c r="AT288" t="inlineStr">
        <is>
          <t>hyperion</t>
        </is>
      </c>
      <c r="AU288" t="n">
        <v>1</v>
      </c>
      <c r="AV288" t="inlineStr">
        <is>
          <t>hyperion:1;hyperion:2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1.079545454545455</v>
      </c>
      <c r="BB288" t="n">
        <v>5</v>
      </c>
      <c r="BC288" t="n">
        <v>4</v>
      </c>
      <c r="BD288" t="inlineStr">
        <is>
          <t>gun</t>
        </is>
      </c>
      <c r="BE288" t="inlineStr">
        <is>
          <t>Wikipedia '15.5 cm/60 3rd Year Type' (Mogami): ~5 rpm a gun</t>
        </is>
      </c>
      <c r="BG288" t="inlineStr">
        <is>
          <t>moi</t>
        </is>
      </c>
      <c r="CR288" t="n">
        <v>2</v>
      </c>
      <c r="CS288" t="n">
        <v>0.4</v>
      </c>
      <c r="DD288" t="n">
        <v>13.5</v>
      </c>
      <c r="DE288" t="n">
        <v>600</v>
      </c>
      <c r="DG288" t="n">
        <v>14</v>
      </c>
      <c r="DO288" t="n">
        <v>19</v>
      </c>
      <c r="DT288" t="inlineStr">
        <is>
          <t>naval_155_triple</t>
        </is>
      </c>
      <c r="EP288" t="n">
        <v>95</v>
      </c>
      <c r="EQ288" t="inlineStr">
        <is>
          <t>155 mm/60 (Hyperion twin turret)</t>
        </is>
      </c>
      <c r="EY288" t="n">
        <v>7</v>
      </c>
      <c r="GD288" t="inlineStr">
        <is>
          <t>Assets/MachineBrigade/Resources/Data/balance.json: weapons[222]</t>
        </is>
      </c>
      <c r="GE288" t="inlineStr">
        <is>
          <t>{"id":"pt14_hp_155","groundMinReach":19,"inherits":"naval_155_triple","real":"155 mm/60 (Hyperion twin turret)","damage":600,"edge":14,"burst":2,"burstInterval":0.4,"cooldown":13.5,"splash":7,"range":95}</t>
        </is>
      </c>
    </row>
    <row r="289">
      <c r="A289" t="inlineStr">
        <is>
          <t>pt14_hp_nsm</t>
        </is>
      </c>
      <c r="B289" t="inlineStr">
        <is>
          <t>NSM Block 1A (Hyperion VLS, land attack)</t>
        </is>
      </c>
      <c r="C289" t="inlineStr">
        <is>
          <t>msl_nsm_p_800_oniks</t>
        </is>
      </c>
      <c r="D289" t="inlineStr"/>
      <c r="E289" t="inlineStr"/>
      <c r="F289" t="inlineStr">
        <is>
          <t>missile</t>
        </is>
      </c>
      <c r="G289" t="inlineStr"/>
      <c r="H289" t="n">
        <v>125</v>
      </c>
      <c r="I289" t="inlineStr"/>
      <c r="J289" t="inlineStr"/>
      <c r="K289" t="inlineStr">
        <is>
          <t>HighExplosive</t>
        </is>
      </c>
      <c r="L289" t="n">
        <v>4</v>
      </c>
      <c r="M289" t="inlineStr">
        <is>
          <t>Missile</t>
        </is>
      </c>
      <c r="N289" t="n">
        <v>1</v>
      </c>
      <c r="O289" t="inlineStr">
        <is>
          <t>RIPPLE</t>
        </is>
      </c>
      <c r="P289" t="n">
        <v>2</v>
      </c>
      <c r="Q289" t="n">
        <v>0.6</v>
      </c>
      <c r="R289" t="n">
        <v>14</v>
      </c>
      <c r="S289" t="n">
        <v>0</v>
      </c>
      <c r="T289" t="n">
        <v>0</v>
      </c>
      <c r="U289" t="n">
        <v>0</v>
      </c>
      <c r="V289" t="n">
        <v>0</v>
      </c>
      <c r="W289" t="n">
        <v>380</v>
      </c>
      <c r="X289" t="n">
        <v>5</v>
      </c>
      <c r="Y289" t="n">
        <v>0</v>
      </c>
      <c r="Z289" t="n">
        <v>90</v>
      </c>
      <c r="AA289" t="n">
        <v>95</v>
      </c>
      <c r="AB289" t="n">
        <v>0</v>
      </c>
      <c r="AC289" t="inlineStr">
        <is>
          <t>Ground</t>
        </is>
      </c>
      <c r="AD289" t="inlineStr"/>
      <c r="AE289" t="n">
        <v>0</v>
      </c>
      <c r="AF289" t="inlineStr">
        <is>
          <t>Large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680</v>
      </c>
      <c r="AO289" t="n">
        <v>0</v>
      </c>
      <c r="AP289" t="inlineStr">
        <is>
          <t>T4</t>
        </is>
      </c>
      <c r="AQ289" t="inlineStr">
        <is>
          <t>anti_ship_missile</t>
        </is>
      </c>
      <c r="AR289" t="inlineStr"/>
      <c r="AS289" t="inlineStr">
        <is>
          <t>boss</t>
        </is>
      </c>
      <c r="AT289" t="inlineStr">
        <is>
          <t>hyperion</t>
        </is>
      </c>
      <c r="AU289" t="n">
        <v>1</v>
      </c>
      <c r="AV289" t="inlineStr">
        <is>
          <t>hyperion:7;hyperion:8</t>
        </is>
      </c>
      <c r="AW289" t="n">
        <v>2.5</v>
      </c>
      <c r="AX289" t="b">
        <v>0</v>
      </c>
      <c r="AY289" t="inlineStr"/>
      <c r="AZ289">
        <f>IF(AND($AX$289,$AW$289&gt;$AA$289/$Z$289),$AW$289,$AA$289/$Z$289)</f>
        <v/>
      </c>
      <c r="BA289" t="n">
        <v>1.055555555555556</v>
      </c>
      <c r="BB289" t="n">
        <v>20</v>
      </c>
      <c r="BC289" t="n">
        <v>6</v>
      </c>
      <c r="BD289" t="inlineStr">
        <is>
          <t>missile</t>
        </is>
      </c>
      <c r="BE289" t="inlineStr">
        <is>
          <t>cruise missiles: ~3 s between launches (est.)</t>
        </is>
      </c>
      <c r="BG289" t="inlineStr">
        <is>
          <t>moi</t>
        </is>
      </c>
      <c r="CR289" t="n">
        <v>2</v>
      </c>
      <c r="CS289" t="n">
        <v>0.6</v>
      </c>
      <c r="DD289" t="n">
        <v>14</v>
      </c>
      <c r="DE289" t="n">
        <v>380</v>
      </c>
      <c r="DL289" t="inlineStr">
        <is>
          <t>Loft</t>
        </is>
      </c>
      <c r="DS289" t="inlineStr">
        <is>
          <t>Large</t>
        </is>
      </c>
      <c r="DT289" t="inlineStr">
        <is>
          <t>anti_ship_missile</t>
        </is>
      </c>
      <c r="EK289" t="n">
        <v>90</v>
      </c>
      <c r="EP289" t="n">
        <v>95</v>
      </c>
      <c r="EQ289" t="inlineStr">
        <is>
          <t>NSM Block 1A (Hyperion VLS, land attack)</t>
        </is>
      </c>
      <c r="EY289" t="n">
        <v>5</v>
      </c>
      <c r="FZ289" t="n">
        <v>125</v>
      </c>
      <c r="GA289" t="inlineStr"/>
      <c r="GD289" t="inlineStr">
        <is>
          <t>Assets/MachineBrigade/Resources/Data/balance.json: weapons[225]</t>
        </is>
      </c>
      <c r="GE289" t="inlineStr">
        <is>
          <t>{"id":"pt14_hp_nsm","inherits":"anti_ship_missile","weaponFamily":"","real":"NSM Block 1A (Hyperion VLS, land attack)","projectileSpeed":90,"flightProfile":"Loft","damage":380,"burst":2,"burstInterval":0.6,"cooldown":14,"range":95,"warheadKg":125,"splash":5,"impactTier":"Large"}</t>
        </is>
      </c>
    </row>
    <row r="290">
      <c r="A290" t="inlineStr">
        <is>
          <t>pt14_hp_v127</t>
        </is>
      </c>
      <c r="B290" t="inlineStr">
        <is>
          <t>Mk 45 127 mm (Hyperion ventral turret)</t>
        </is>
      </c>
      <c r="C290" t="inlineStr">
        <is>
          <t>cal_127_130</t>
        </is>
      </c>
      <c r="D290" t="inlineStr"/>
      <c r="E290" t="inlineStr"/>
      <c r="F290" t="inlineStr">
        <is>
          <t>howitzer</t>
        </is>
      </c>
      <c r="G290" t="n">
        <v>127</v>
      </c>
      <c r="H290" t="inlineStr"/>
      <c r="I290" t="inlineStr"/>
      <c r="J290" t="inlineStr"/>
      <c r="K290" t="inlineStr">
        <is>
          <t>HighExplosive</t>
        </is>
      </c>
      <c r="L290" t="n">
        <v>3</v>
      </c>
      <c r="M290" t="inlineStr">
        <is>
          <t>Shell</t>
        </is>
      </c>
      <c r="N290" t="n">
        <v>1</v>
      </c>
      <c r="O290" t="inlineStr">
        <is>
          <t>RIPPLE</t>
        </is>
      </c>
      <c r="P290" t="n">
        <v>2</v>
      </c>
      <c r="Q290" t="n">
        <v>0.5</v>
      </c>
      <c r="R290" t="n">
        <v>4.5</v>
      </c>
      <c r="S290" t="n">
        <v>0</v>
      </c>
      <c r="T290" t="n">
        <v>0</v>
      </c>
      <c r="U290" t="n">
        <v>0</v>
      </c>
      <c r="V290" t="n">
        <v>0</v>
      </c>
      <c r="W290" t="n">
        <v>380</v>
      </c>
      <c r="X290" t="n">
        <v>6</v>
      </c>
      <c r="Y290" t="n">
        <v>12</v>
      </c>
      <c r="Z290" t="n">
        <v>90</v>
      </c>
      <c r="AA290" t="n">
        <v>80</v>
      </c>
      <c r="AB290" t="n">
        <v>0</v>
      </c>
      <c r="AC290" t="inlineStr">
        <is>
          <t>Ground</t>
        </is>
      </c>
      <c r="AD290" t="inlineStr"/>
      <c r="AE290" t="n">
        <v>2.2</v>
      </c>
      <c r="AF290" t="inlineStr">
        <is>
          <t>Large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127</v>
      </c>
      <c r="AO290" t="n">
        <v>0</v>
      </c>
      <c r="AP290" t="inlineStr">
        <is>
          <t>T3</t>
        </is>
      </c>
      <c r="AQ290" t="inlineStr">
        <is>
          <t>naval_127</t>
        </is>
      </c>
      <c r="AR290" t="inlineStr"/>
      <c r="AS290" t="inlineStr">
        <is>
          <t>boss</t>
        </is>
      </c>
      <c r="AT290" t="inlineStr">
        <is>
          <t>hyperion</t>
        </is>
      </c>
      <c r="AU290" t="n">
        <v>1</v>
      </c>
      <c r="AV290" t="inlineStr">
        <is>
          <t>hyperion:5;hyperion:6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0.8888888888888888</v>
      </c>
      <c r="BB290" t="n">
        <v>20</v>
      </c>
      <c r="BC290" t="n">
        <v>16</v>
      </c>
      <c r="BD290" t="inlineStr">
        <is>
          <t>gun</t>
        </is>
      </c>
      <c r="BE290" t="inlineStr">
        <is>
          <t>Wikipedia '5"/54 caliber Mark 45': 16-20 rpm</t>
        </is>
      </c>
      <c r="BG290" t="inlineStr">
        <is>
          <t>moi</t>
        </is>
      </c>
      <c r="DD290" t="n">
        <v>4.5</v>
      </c>
      <c r="DE290" t="n">
        <v>380</v>
      </c>
      <c r="DG290" t="n">
        <v>12</v>
      </c>
      <c r="DO290" t="n">
        <v>0</v>
      </c>
      <c r="DT290" t="inlineStr">
        <is>
          <t>naval_127</t>
        </is>
      </c>
      <c r="EP290" t="n">
        <v>80</v>
      </c>
      <c r="EQ290" t="inlineStr">
        <is>
          <t>Mk 45 127 mm (Hyperion ventral turret)</t>
        </is>
      </c>
      <c r="GD290" t="inlineStr">
        <is>
          <t>Assets/MachineBrigade/Resources/Data/balance.json: weapons[224]</t>
        </is>
      </c>
      <c r="GE290" t="inlineStr">
        <is>
          <t>{"id":"pt14_hp_v127","groundMinReach":0,"inherits":"naval_127","real":"Mk 45 127 mm (Hyperion ventral turret)","damage":380,"edge":12,"cooldown":4.5,"range":80}</t>
        </is>
      </c>
    </row>
    <row r="291">
      <c r="A291" t="inlineStr">
        <is>
          <t>pt14_hp_vlaser</t>
        </is>
      </c>
      <c r="B291" t="inlineStr">
        <is>
          <t>laser tower (300 kW)</t>
        </is>
      </c>
      <c r="C291" t="inlineStr">
        <is>
          <t>laser_tower</t>
        </is>
      </c>
      <c r="D291" t="inlineStr"/>
      <c r="E291" t="inlineStr"/>
      <c r="F291" t="inlineStr">
        <is>
          <t>laser</t>
        </is>
      </c>
      <c r="G291" t="inlineStr"/>
      <c r="H291" t="inlineStr"/>
      <c r="I291" t="n">
        <v>300</v>
      </c>
      <c r="J291" t="inlineStr"/>
      <c r="K291" t="inlineStr">
        <is>
          <t>Energy</t>
        </is>
      </c>
      <c r="L291" t="n">
        <v>4</v>
      </c>
      <c r="M291" t="inlineStr">
        <is>
          <t>Bullet</t>
        </is>
      </c>
      <c r="N291" t="n">
        <v>1</v>
      </c>
      <c r="O291" t="inlineStr">
        <is>
          <t>RIPPLE</t>
        </is>
      </c>
      <c r="P291" t="n">
        <v>1</v>
      </c>
      <c r="Q291" t="n">
        <v>0.1</v>
      </c>
      <c r="R291" t="n">
        <v>0.1</v>
      </c>
      <c r="S291" t="n">
        <v>0</v>
      </c>
      <c r="T291" t="n">
        <v>0</v>
      </c>
      <c r="U291" t="n">
        <v>0</v>
      </c>
      <c r="V291" t="n">
        <v>0</v>
      </c>
      <c r="W291" t="n">
        <v>16</v>
      </c>
      <c r="X291" t="n">
        <v>1.5</v>
      </c>
      <c r="Y291" t="n">
        <v>0</v>
      </c>
      <c r="Z291" t="n">
        <v>3000</v>
      </c>
      <c r="AA291" t="n">
        <v>36</v>
      </c>
      <c r="AB291" t="n">
        <v>0</v>
      </c>
      <c r="AC291" t="inlineStr">
        <is>
          <t>Ground</t>
        </is>
      </c>
      <c r="AD291" t="inlineStr"/>
      <c r="AE291" t="n">
        <v>0</v>
      </c>
      <c r="AF291" t="inlineStr">
        <is>
          <t>Small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1</v>
      </c>
      <c r="AM291" t="b">
        <v>0</v>
      </c>
      <c r="AN291" t="n">
        <v>300</v>
      </c>
      <c r="AO291" t="n">
        <v>0</v>
      </c>
      <c r="AP291" t="inlineStr">
        <is>
          <t>T1</t>
        </is>
      </c>
      <c r="AQ291" t="inlineStr">
        <is>
          <t>p26_icarus_direct_ic_laser</t>
        </is>
      </c>
      <c r="AR291" t="inlineStr"/>
      <c r="AS291" t="inlineStr">
        <is>
          <t>boss</t>
        </is>
      </c>
      <c r="AT291" t="inlineStr">
        <is>
          <t>hyperion</t>
        </is>
      </c>
      <c r="AU291" t="n">
        <v>1</v>
      </c>
      <c r="AV291" t="inlineStr">
        <is>
          <t>hyperion:3;hyperion:4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0.012</v>
      </c>
      <c r="BB291" t="inlineStr">
        <is>
          <t>NEED_SOURCE</t>
        </is>
      </c>
      <c r="BC291" t="inlineStr">
        <is>
          <t>NEED_SOURCE</t>
        </is>
      </c>
      <c r="BE291" t="inlineStr">
        <is>
          <t>NEED_SOURCE</t>
        </is>
      </c>
      <c r="BG291" t="inlineStr">
        <is>
          <t>moi</t>
        </is>
      </c>
      <c r="DO291" t="n">
        <v>0</v>
      </c>
      <c r="DT291" t="inlineStr">
        <is>
          <t>p26_icarus_direct_ic_laser</t>
        </is>
      </c>
      <c r="GD291" t="inlineStr">
        <is>
          <t>Assets/MachineBrigade/Resources/Data/balance.json: weapons[223]</t>
        </is>
      </c>
      <c r="GE291" t="inlineStr">
        <is>
          <t>{"id":"pt14_hp_vlaser","groundMinReach":0,"inherits":"p26_icarus_direct_ic_laser"}</t>
        </is>
      </c>
    </row>
    <row r="292">
      <c r="A292" t="inlineStr">
        <is>
          <t>pt14_ixion_30</t>
        </is>
      </c>
      <c r="B292" t="inlineStr">
        <is>
          <t>2A42 30 mm (remote turret)</t>
        </is>
      </c>
      <c r="C292" t="inlineStr">
        <is>
          <t>cal_30</t>
        </is>
      </c>
      <c r="D292" t="inlineStr"/>
      <c r="E292" t="inlineStr"/>
      <c r="F292" t="inlineStr">
        <is>
          <t>autocannon</t>
        </is>
      </c>
      <c r="G292" t="n">
        <v>30</v>
      </c>
      <c r="H292" t="inlineStr"/>
      <c r="I292" t="inlineStr"/>
      <c r="J292" t="inlineStr"/>
      <c r="K292" t="inlineStr">
        <is>
          <t>Kinetic</t>
        </is>
      </c>
      <c r="L292" t="n">
        <v>2</v>
      </c>
      <c r="M292" t="inlineStr">
        <is>
          <t>Bullet</t>
        </is>
      </c>
      <c r="N292" t="n">
        <v>1</v>
      </c>
      <c r="O292" t="inlineStr">
        <is>
          <t>RIPPLE</t>
        </is>
      </c>
      <c r="P292" t="n">
        <v>8</v>
      </c>
      <c r="Q292" t="n">
        <v>0.1111</v>
      </c>
      <c r="R292" t="n">
        <v>3.5</v>
      </c>
      <c r="S292" t="n">
        <v>0</v>
      </c>
      <c r="T292" t="n">
        <v>0</v>
      </c>
      <c r="U292" t="n">
        <v>0</v>
      </c>
      <c r="V292" t="n">
        <v>0</v>
      </c>
      <c r="W292" t="n">
        <v>22</v>
      </c>
      <c r="X292" t="n">
        <v>0</v>
      </c>
      <c r="Y292" t="n">
        <v>0</v>
      </c>
      <c r="Z292" t="n">
        <v>200</v>
      </c>
      <c r="AA292" t="n">
        <v>30</v>
      </c>
      <c r="AB292" t="n">
        <v>0</v>
      </c>
      <c r="AC292" t="inlineStr">
        <is>
          <t>Ground</t>
        </is>
      </c>
      <c r="AD292" t="inlineStr"/>
      <c r="AE292" t="n">
        <v>0.8</v>
      </c>
      <c r="AF292" t="inlineStr">
        <is>
          <t>Small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30</v>
      </c>
      <c r="AO292" t="n">
        <v>0</v>
      </c>
      <c r="AP292" t="inlineStr">
        <is>
          <t>T1</t>
        </is>
      </c>
      <c r="AQ292" t="inlineStr">
        <is>
          <t>autocannon_30</t>
        </is>
      </c>
      <c r="AR292" t="inlineStr"/>
      <c r="AS292" t="inlineStr">
        <is>
          <t>boss</t>
        </is>
      </c>
      <c r="AT292" t="inlineStr">
        <is>
          <t>ixion</t>
        </is>
      </c>
      <c r="AU292" t="n">
        <v>1</v>
      </c>
      <c r="AV292" t="inlineStr">
        <is>
          <t>ixion:3</t>
        </is>
      </c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0.15</v>
      </c>
      <c r="BB292" t="n">
        <v>800</v>
      </c>
      <c r="BC292" t="n">
        <v>300</v>
      </c>
      <c r="BD292" t="inlineStr">
        <is>
          <t>ac</t>
        </is>
      </c>
      <c r="BE292" t="inlineStr">
        <is>
          <t>Wikipedia '2A42': 550-800 high, 200-300 low rpm</t>
        </is>
      </c>
      <c r="BG292" t="inlineStr">
        <is>
          <t>moi</t>
        </is>
      </c>
      <c r="CR292" t="n">
        <v>8</v>
      </c>
      <c r="DD292" t="n">
        <v>3.5</v>
      </c>
      <c r="DE292" t="n">
        <v>22</v>
      </c>
      <c r="DT292" t="inlineStr">
        <is>
          <t>autocannon_30</t>
        </is>
      </c>
      <c r="EQ292" t="inlineStr">
        <is>
          <t>2A42 30 mm (remote turret)</t>
        </is>
      </c>
      <c r="GA292" t="inlineStr"/>
      <c r="GD292" t="inlineStr">
        <is>
          <t>Assets/MachineBrigade/Resources/Data/balance.json: weapons[169]</t>
        </is>
      </c>
      <c r="GE292" t="inlineStr">
        <is>
          <t>{"id":"pt14_ixion_30","inherits":"autocannon_30","weaponFamily":"","real":"2A42 30 mm (remote turret)","burst":8,"cooldown":3.5,"damage":22}</t>
        </is>
      </c>
    </row>
    <row r="293">
      <c r="A293" t="inlineStr">
        <is>
          <t>pt14_ixion_grad</t>
        </is>
      </c>
      <c r="B293" t="inlineStr">
        <is>
          <t>BM-21V Grad-V 122 mm (12-tube pack)</t>
        </is>
      </c>
      <c r="C293" t="inlineStr">
        <is>
          <t>rkt_grad_122</t>
        </is>
      </c>
      <c r="D293" t="inlineStr"/>
      <c r="E293" t="inlineStr"/>
      <c r="F293" t="inlineStr">
        <is>
          <t>rocket</t>
        </is>
      </c>
      <c r="G293" t="n">
        <v>122</v>
      </c>
      <c r="H293" t="inlineStr"/>
      <c r="I293" t="inlineStr"/>
      <c r="J293" t="inlineStr"/>
      <c r="K293" t="inlineStr">
        <is>
          <t>HighExplosive</t>
        </is>
      </c>
      <c r="L293" t="n">
        <v>2</v>
      </c>
      <c r="M293" t="inlineStr">
        <is>
          <t>Rocket</t>
        </is>
      </c>
      <c r="N293" t="n">
        <v>1</v>
      </c>
      <c r="O293" t="inlineStr">
        <is>
          <t>RIPPLE</t>
        </is>
      </c>
      <c r="P293" t="n">
        <v>9</v>
      </c>
      <c r="Q293" t="n">
        <v>0.5</v>
      </c>
      <c r="R293" t="n">
        <v>20</v>
      </c>
      <c r="S293" t="n">
        <v>0</v>
      </c>
      <c r="T293" t="n">
        <v>0</v>
      </c>
      <c r="U293" t="n">
        <v>3</v>
      </c>
      <c r="V293" t="n">
        <v>16.6</v>
      </c>
      <c r="W293" t="n">
        <v>57</v>
      </c>
      <c r="X293" t="n">
        <v>4.5</v>
      </c>
      <c r="Y293" t="n">
        <v>0</v>
      </c>
      <c r="Z293" t="n">
        <v>80</v>
      </c>
      <c r="AA293" t="n">
        <v>55</v>
      </c>
      <c r="AB293" t="n">
        <v>18</v>
      </c>
      <c r="AC293" t="inlineStr">
        <is>
          <t>Ground</t>
        </is>
      </c>
      <c r="AD293" t="inlineStr"/>
      <c r="AE293" t="n">
        <v>7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122</v>
      </c>
      <c r="AO293" t="n">
        <v>0</v>
      </c>
      <c r="AP293" t="inlineStr">
        <is>
          <t>T3</t>
        </is>
      </c>
      <c r="AQ293" t="inlineStr">
        <is>
          <t>grad_rockets</t>
        </is>
      </c>
      <c r="AR293" t="inlineStr"/>
      <c r="AS293" t="inlineStr">
        <is>
          <t>boss</t>
        </is>
      </c>
      <c r="AT293" t="inlineStr">
        <is>
          <t>ixion</t>
        </is>
      </c>
      <c r="AU293" t="n">
        <v>1</v>
      </c>
      <c r="AV293" t="inlineStr">
        <is>
          <t>ixion:6</t>
        </is>
      </c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0.6875</v>
      </c>
      <c r="BB293" t="n">
        <v>120</v>
      </c>
      <c r="BC293" t="inlineStr"/>
      <c r="BD293" t="inlineStr">
        <is>
          <t>rocket</t>
        </is>
      </c>
      <c r="BE293" t="inlineStr">
        <is>
          <t>Wikipedia 'BM-21 Grad': 40 rockets in 20 s</t>
        </is>
      </c>
      <c r="BG293" t="inlineStr">
        <is>
          <t>moi</t>
        </is>
      </c>
      <c r="CR293" t="n">
        <v>9</v>
      </c>
      <c r="DD293" t="n">
        <v>20</v>
      </c>
      <c r="DE293" t="n">
        <v>57</v>
      </c>
      <c r="DT293" t="inlineStr">
        <is>
          <t>grad_rockets</t>
        </is>
      </c>
      <c r="EQ293" t="inlineStr">
        <is>
          <t>BM-21V Grad-V 122 mm (12-tube pack)</t>
        </is>
      </c>
      <c r="GA293" t="inlineStr"/>
      <c r="GD293" t="inlineStr">
        <is>
          <t>Assets/MachineBrigade/Resources/Data/balance.json: weapons[171]</t>
        </is>
      </c>
      <c r="GE293" t="inlineStr">
        <is>
          <t>{"id":"pt14_ixion_grad","inherits":"grad_rockets","weaponFamily":"","real":"BM-21V Grad-V 122 mm (12-tube pack)","burst":9,"cooldown":20,"damage":57}</t>
        </is>
      </c>
    </row>
    <row r="294">
      <c r="A294" t="inlineStr">
        <is>
          <t>pt14_ixion_kornet</t>
        </is>
      </c>
      <c r="B294" t="inlineStr">
        <is>
          <t>9M133 Kornet-EM (twin launcher)</t>
        </is>
      </c>
      <c r="C294" t="inlineStr">
        <is>
          <t>atgm_kornet</t>
        </is>
      </c>
      <c r="D294" t="inlineStr"/>
      <c r="E294" t="inlineStr"/>
      <c r="F294" t="inlineStr">
        <is>
          <t>atgm</t>
        </is>
      </c>
      <c r="G294" t="inlineStr"/>
      <c r="H294" t="n">
        <v>7</v>
      </c>
      <c r="I294" t="inlineStr"/>
      <c r="J294" t="inlineStr"/>
      <c r="K294" t="inlineStr">
        <is>
          <t>ShapedCharge</t>
        </is>
      </c>
      <c r="L294" t="n">
        <v>4</v>
      </c>
      <c r="M294" t="inlineStr">
        <is>
          <t>Missile</t>
        </is>
      </c>
      <c r="N294" t="n">
        <v>1</v>
      </c>
      <c r="O294" t="inlineStr">
        <is>
          <t>RIPPLE</t>
        </is>
      </c>
      <c r="P294" t="n">
        <v>1</v>
      </c>
      <c r="Q294" t="n">
        <v>0.1</v>
      </c>
      <c r="R294" t="n">
        <v>12</v>
      </c>
      <c r="S294" t="n">
        <v>0</v>
      </c>
      <c r="T294" t="n">
        <v>0</v>
      </c>
      <c r="U294" t="n">
        <v>0</v>
      </c>
      <c r="V294" t="n">
        <v>0</v>
      </c>
      <c r="W294" t="n">
        <v>230</v>
      </c>
      <c r="X294" t="n">
        <v>0</v>
      </c>
      <c r="Y294" t="n">
        <v>0</v>
      </c>
      <c r="Z294" t="n">
        <v>80</v>
      </c>
      <c r="AA294" t="n">
        <v>45</v>
      </c>
      <c r="AB294" t="n">
        <v>0</v>
      </c>
      <c r="AC294" t="inlineStr">
        <is>
          <t>Ground</t>
        </is>
      </c>
      <c r="AD294" t="inlineStr"/>
      <c r="AE294" t="n">
        <v>0</v>
      </c>
      <c r="AF294" t="inlineStr">
        <is>
          <t>Medium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29</v>
      </c>
      <c r="AO294" t="n">
        <v>0</v>
      </c>
      <c r="AP294" t="inlineStr">
        <is>
          <t>T2</t>
        </is>
      </c>
      <c r="AQ294" t="inlineStr">
        <is>
          <t>boss_missiles</t>
        </is>
      </c>
      <c r="AR294" t="inlineStr"/>
      <c r="AS294" t="inlineStr">
        <is>
          <t>boss</t>
        </is>
      </c>
      <c r="AT294" t="inlineStr">
        <is>
          <t>ixion</t>
        </is>
      </c>
      <c r="AU294" t="n">
        <v>1</v>
      </c>
      <c r="AV294" t="inlineStr">
        <is>
          <t>ixion:4;ixion:5</t>
        </is>
      </c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0.5625</v>
      </c>
      <c r="BB294" t="n">
        <v>3</v>
      </c>
      <c r="BC294" t="n">
        <v>3</v>
      </c>
      <c r="BD294" t="inlineStr">
        <is>
          <t>atgm</t>
        </is>
      </c>
      <c r="BE294" t="inlineStr">
        <is>
          <t>Wikipedia '9M133 Kornet': 2-3 rpm</t>
        </is>
      </c>
      <c r="BG294" t="inlineStr">
        <is>
          <t>moi</t>
        </is>
      </c>
      <c r="DD294" t="n">
        <v>12</v>
      </c>
      <c r="DE294" t="n">
        <v>230</v>
      </c>
      <c r="DO294" t="n">
        <v>1</v>
      </c>
      <c r="DT294" t="inlineStr">
        <is>
          <t>boss_missiles</t>
        </is>
      </c>
      <c r="EQ294" t="inlineStr">
        <is>
          <t>9M133 Kornet-EM (twin launcher)</t>
        </is>
      </c>
      <c r="GA294" t="inlineStr"/>
      <c r="GD294" t="inlineStr">
        <is>
          <t>Assets/MachineBrigade/Resources/Data/balance.json: weapons[170]</t>
        </is>
      </c>
      <c r="GE294" t="inlineStr">
        <is>
          <t>{"id":"pt14_ixion_kornet","groundMinReach":1,"inherits":"boss_missiles","weaponFamily":"","real":"9M133 Kornet-EM (twin launcher)","cooldown":12,"damage":230}</t>
        </is>
      </c>
    </row>
    <row r="295">
      <c r="A295" t="inlineStr">
        <is>
          <t>pt14_mk0_v40</t>
        </is>
      </c>
      <c r="B295" t="inlineStr">
        <is>
          <t>Bofors L/60 40 mm (ventral test mount)</t>
        </is>
      </c>
      <c r="C295" t="inlineStr">
        <is>
          <t>cal_40</t>
        </is>
      </c>
      <c r="D295" t="inlineStr"/>
      <c r="E295" t="inlineStr"/>
      <c r="F295" t="inlineStr">
        <is>
          <t>autocannon</t>
        </is>
      </c>
      <c r="G295" t="n">
        <v>40</v>
      </c>
      <c r="H295" t="inlineStr"/>
      <c r="I295" t="inlineStr"/>
      <c r="J295" t="inlineStr"/>
      <c r="K295" t="inlineStr">
        <is>
          <t>Kinetic</t>
        </is>
      </c>
      <c r="L295" t="n">
        <v>2</v>
      </c>
      <c r="M295" t="inlineStr">
        <is>
          <t>Bullet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0.3</v>
      </c>
      <c r="S295" t="n">
        <v>8</v>
      </c>
      <c r="T295" t="n">
        <v>2.2</v>
      </c>
      <c r="U295" t="n">
        <v>0</v>
      </c>
      <c r="V295" t="n">
        <v>0</v>
      </c>
      <c r="W295" t="n">
        <v>30</v>
      </c>
      <c r="X295" t="n">
        <v>1</v>
      </c>
      <c r="Y295" t="n">
        <v>0</v>
      </c>
      <c r="Z295" t="n">
        <v>210</v>
      </c>
      <c r="AA295" t="n">
        <v>28</v>
      </c>
      <c r="AB295" t="n">
        <v>0</v>
      </c>
      <c r="AC295" t="inlineStr">
        <is>
          <t>All</t>
        </is>
      </c>
      <c r="AD295" t="inlineStr"/>
      <c r="AE295" t="n">
        <v>0.8</v>
      </c>
      <c r="AF295" t="inlineStr">
        <is>
          <t>Small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40</v>
      </c>
      <c r="AO295" t="n">
        <v>0</v>
      </c>
      <c r="AP295" t="inlineStr">
        <is>
          <t>T1</t>
        </is>
      </c>
      <c r="AQ295" t="inlineStr">
        <is>
          <t>autocannon_40</t>
        </is>
      </c>
      <c r="AR295" t="inlineStr"/>
      <c r="AS295" t="inlineStr">
        <is>
          <t>boss</t>
        </is>
      </c>
      <c r="AT295" t="inlineStr">
        <is>
          <t>icarus_mk0</t>
        </is>
      </c>
      <c r="AU295" t="n">
        <v>1</v>
      </c>
      <c r="AV295" t="inlineStr">
        <is>
          <t>icarus_mk0:1;icarus_mk0:2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0.1333333333333333</v>
      </c>
      <c r="BB295" t="n">
        <v>120</v>
      </c>
      <c r="BC295" t="n">
        <v>80</v>
      </c>
      <c r="BD295" t="inlineStr">
        <is>
          <t>aa</t>
        </is>
      </c>
      <c r="BE295" t="inlineStr">
        <is>
          <t>Wikipedia 'Bofors 40 mm L/60': 120 rpm</t>
        </is>
      </c>
      <c r="BG295" t="inlineStr">
        <is>
          <t>moi</t>
        </is>
      </c>
      <c r="CW295" t="n">
        <v>8</v>
      </c>
      <c r="CX295" t="n">
        <v>2.2</v>
      </c>
      <c r="DD295" t="n">
        <v>0.3</v>
      </c>
      <c r="DE295" t="n">
        <v>30</v>
      </c>
      <c r="DO295" t="n">
        <v>0</v>
      </c>
      <c r="DT295" t="inlineStr">
        <is>
          <t>autocannon_40</t>
        </is>
      </c>
      <c r="EP295" t="n">
        <v>28</v>
      </c>
      <c r="EQ295" t="inlineStr">
        <is>
          <t>Bofors L/60 40 mm (ventral test mount)</t>
        </is>
      </c>
      <c r="GD295" t="inlineStr">
        <is>
          <t>Assets/MachineBrigade/Resources/Data/balance.json: weapons[219]</t>
        </is>
      </c>
      <c r="GE295" t="inlineStr">
        <is>
          <t>{"id":"pt14_mk0_v40","groundMinReach":0,"inherits":"autocannon_40","real":"Bofors L/60 40 mm (ventral test mount)","damage":30,"cooldown":0.3,"clip":8,"clipReload":2.2,"range":28}</t>
        </is>
      </c>
    </row>
    <row r="296">
      <c r="A296" t="inlineStr">
        <is>
          <t>pt14_sb_v30</t>
        </is>
      </c>
      <c r="B296" t="inlineStr">
        <is>
          <t>Mk 44 Bushmaster II 30 mm (Icarus ventral twin)</t>
        </is>
      </c>
      <c r="C296" t="inlineStr">
        <is>
          <t>cal_30</t>
        </is>
      </c>
      <c r="D296" t="inlineStr"/>
      <c r="E296" t="inlineStr"/>
      <c r="F296" t="inlineStr">
        <is>
          <t>autocannon</t>
        </is>
      </c>
      <c r="G296" t="n">
        <v>30</v>
      </c>
      <c r="H296" t="inlineStr"/>
      <c r="I296" t="inlineStr"/>
      <c r="J296" t="inlineStr"/>
      <c r="K296" t="inlineStr">
        <is>
          <t>Kinetic</t>
        </is>
      </c>
      <c r="L296" t="n">
        <v>2</v>
      </c>
      <c r="M296" t="inlineStr">
        <is>
          <t>Bullet</t>
        </is>
      </c>
      <c r="N296" t="n">
        <v>1</v>
      </c>
      <c r="O296" t="inlineStr">
        <is>
          <t>RIPPLE</t>
        </is>
      </c>
      <c r="P296" t="n">
        <v>8</v>
      </c>
      <c r="Q296" t="n">
        <v>0.1</v>
      </c>
      <c r="R296" t="n">
        <v>1.9</v>
      </c>
      <c r="S296" t="n">
        <v>0</v>
      </c>
      <c r="T296" t="n">
        <v>0</v>
      </c>
      <c r="U296" t="n">
        <v>0</v>
      </c>
      <c r="V296" t="n">
        <v>0</v>
      </c>
      <c r="W296" t="n">
        <v>22</v>
      </c>
      <c r="X296" t="n">
        <v>0</v>
      </c>
      <c r="Y296" t="n">
        <v>0</v>
      </c>
      <c r="Z296" t="n">
        <v>200</v>
      </c>
      <c r="AA296" t="n">
        <v>32</v>
      </c>
      <c r="AB296" t="n">
        <v>0</v>
      </c>
      <c r="AC296" t="inlineStr">
        <is>
          <t>Ground</t>
        </is>
      </c>
      <c r="AD296" t="inlineStr"/>
      <c r="AE296" t="n">
        <v>0.8</v>
      </c>
      <c r="AF296" t="inlineStr">
        <is>
          <t>Small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30</v>
      </c>
      <c r="AO296" t="n">
        <v>0</v>
      </c>
      <c r="AP296" t="inlineStr">
        <is>
          <t>T1</t>
        </is>
      </c>
      <c r="AQ296" t="inlineStr">
        <is>
          <t>autocannon_30</t>
        </is>
      </c>
      <c r="AR296" t="inlineStr"/>
      <c r="AS296" t="inlineStr">
        <is>
          <t>boss</t>
        </is>
      </c>
      <c r="AT296" t="inlineStr">
        <is>
          <t>silver_bug</t>
        </is>
      </c>
      <c r="AU296" t="n">
        <v>1</v>
      </c>
      <c r="AV296" t="inlineStr">
        <is>
          <t>silver_bug:5;silver_bug:6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0.16</v>
      </c>
      <c r="BB296" t="inlineStr">
        <is>
          <t>NEED_SOURCE</t>
        </is>
      </c>
      <c r="BC296" t="inlineStr">
        <is>
          <t>NEED_SOURCE</t>
        </is>
      </c>
      <c r="BE296" t="inlineStr">
        <is>
          <t>NEED_SOURCE</t>
        </is>
      </c>
      <c r="BG296" t="inlineStr">
        <is>
          <t>moi</t>
        </is>
      </c>
      <c r="CR296" t="n">
        <v>8</v>
      </c>
      <c r="CS296" t="n">
        <v>0.1</v>
      </c>
      <c r="DD296" t="n">
        <v>1.9</v>
      </c>
      <c r="DE296" t="n">
        <v>22</v>
      </c>
      <c r="DO296" t="n">
        <v>0</v>
      </c>
      <c r="DT296" t="inlineStr">
        <is>
          <t>autocannon_30</t>
        </is>
      </c>
      <c r="EP296" t="n">
        <v>32</v>
      </c>
      <c r="EQ296" t="inlineStr">
        <is>
          <t>Mk 44 Bushmaster II 30 mm (Icarus ventral twin)</t>
        </is>
      </c>
      <c r="GA296" t="inlineStr"/>
      <c r="GD296" t="inlineStr">
        <is>
          <t>Assets/MachineBrigade/Resources/Data/balance.json: weapons[218]</t>
        </is>
      </c>
      <c r="GE296" t="inlineStr">
        <is>
          <t>{"id":"pt14_sb_v30","groundMinReach":0,"inherits":"autocannon_30","weaponFamily":"","real":"Mk 44 Bushmaster II 30 mm (Icarus ventral twin)","damage":22,"burst":8,"burstInterval":0.1,"cooldown":1.9,"range":32}</t>
        </is>
      </c>
    </row>
    <row r="297">
      <c r="A297" t="inlineStr">
        <is>
          <t>pt14_sb_v105</t>
        </is>
      </c>
      <c r="B297" t="inlineStr">
        <is>
          <t>M102 105 mm (Icarus ventral turret)</t>
        </is>
      </c>
      <c r="C297" t="inlineStr">
        <is>
          <t>cal_100_105_he</t>
        </is>
      </c>
      <c r="D297" t="inlineStr"/>
      <c r="E297" t="inlineStr"/>
      <c r="F297" t="inlineStr">
        <is>
          <t>howitzer</t>
        </is>
      </c>
      <c r="G297" t="n">
        <v>105</v>
      </c>
      <c r="H297" t="inlineStr"/>
      <c r="I297" t="inlineStr"/>
      <c r="J297" t="inlineStr"/>
      <c r="K297" t="inlineStr">
        <is>
          <t>HighExplosive</t>
        </is>
      </c>
      <c r="L297" t="n">
        <v>2</v>
      </c>
      <c r="M297" t="inlineStr">
        <is>
          <t>Shell</t>
        </is>
      </c>
      <c r="N297" t="n">
        <v>1</v>
      </c>
      <c r="O297" t="inlineStr">
        <is>
          <t>RIPPLE</t>
        </is>
      </c>
      <c r="P297" t="n">
        <v>1</v>
      </c>
      <c r="Q297" t="n">
        <v>0.1</v>
      </c>
      <c r="R297" t="n">
        <v>6</v>
      </c>
      <c r="S297" t="n">
        <v>0</v>
      </c>
      <c r="T297" t="n">
        <v>0</v>
      </c>
      <c r="U297" t="n">
        <v>0</v>
      </c>
      <c r="V297" t="n">
        <v>0</v>
      </c>
      <c r="W297" t="n">
        <v>300</v>
      </c>
      <c r="X297" t="n">
        <v>5.5</v>
      </c>
      <c r="Y297" t="n">
        <v>11</v>
      </c>
      <c r="Z297" t="n">
        <v>120</v>
      </c>
      <c r="AA297" t="n">
        <v>50</v>
      </c>
      <c r="AB297" t="n">
        <v>0</v>
      </c>
      <c r="AC297" t="inlineStr">
        <is>
          <t>Ground</t>
        </is>
      </c>
      <c r="AD297" t="inlineStr"/>
      <c r="AE297" t="n">
        <v>3</v>
      </c>
      <c r="AF297" t="inlineStr">
        <is>
          <t>Large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105</v>
      </c>
      <c r="AO297" t="n">
        <v>0</v>
      </c>
      <c r="AP297" t="inlineStr">
        <is>
          <t>T2</t>
        </is>
      </c>
      <c r="AQ297" t="inlineStr">
        <is>
          <t>gunship_105</t>
        </is>
      </c>
      <c r="AR297" t="inlineStr"/>
      <c r="AS297" t="inlineStr">
        <is>
          <t>boss</t>
        </is>
      </c>
      <c r="AT297" t="inlineStr">
        <is>
          <t>silver_bug</t>
        </is>
      </c>
      <c r="AU297" t="n">
        <v>1</v>
      </c>
      <c r="AV297" t="inlineStr">
        <is>
          <t>silver_bug:7;silver_bug:8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0.4166666666666667</v>
      </c>
      <c r="BB297" t="n">
        <v>10</v>
      </c>
      <c r="BC297" t="n">
        <v>3</v>
      </c>
      <c r="BD297" t="inlineStr">
        <is>
          <t>gun</t>
        </is>
      </c>
      <c r="BE297" t="inlineStr">
        <is>
          <t>the sheet's 'Ngoài đời': M102 10 rpm (Wikipedia 'M102 howitzer')</t>
        </is>
      </c>
      <c r="BG297" t="inlineStr">
        <is>
          <t>moi</t>
        </is>
      </c>
      <c r="DD297" t="n">
        <v>6</v>
      </c>
      <c r="DE297" t="n">
        <v>300</v>
      </c>
      <c r="DG297" t="n">
        <v>11</v>
      </c>
      <c r="DO297" t="n">
        <v>0</v>
      </c>
      <c r="DS297" t="inlineStr">
        <is>
          <t>Large</t>
        </is>
      </c>
      <c r="DT297" t="inlineStr">
        <is>
          <t>gunship_105</t>
        </is>
      </c>
      <c r="EP297" t="n">
        <v>50</v>
      </c>
      <c r="EQ297" t="inlineStr">
        <is>
          <t>M102 105 mm (Icarus ventral turret)</t>
        </is>
      </c>
      <c r="GD297" t="inlineStr">
        <is>
          <t>Assets/MachineBrigade/Resources/Data/balance.json: weapons[217]</t>
        </is>
      </c>
      <c r="GE297" t="inlineStr">
        <is>
          <t>{"id":"pt14_sb_v105","groundMinReach":0,"inherits":"gunship_105","real":"M102 105 mm (Icarus ventral turret)","damage":300,"cooldown":6,"range":50,"edge":11,"impactTier":"Large"}</t>
        </is>
      </c>
    </row>
    <row r="298">
      <c r="A298" t="inlineStr">
        <is>
          <t>pt14_th_jagm</t>
        </is>
      </c>
      <c r="B298" t="inlineStr">
        <is>
          <t>AGM-179 JAGM (Theia quad pod)</t>
        </is>
      </c>
      <c r="C298" t="inlineStr">
        <is>
          <t>atgm_agm_114_hellfire</t>
        </is>
      </c>
      <c r="D298" t="inlineStr"/>
      <c r="E298" t="inlineStr"/>
      <c r="F298" t="inlineStr">
        <is>
          <t>atgm</t>
        </is>
      </c>
      <c r="G298" t="inlineStr"/>
      <c r="H298" t="n">
        <v>9</v>
      </c>
      <c r="I298" t="inlineStr"/>
      <c r="J298" t="inlineStr"/>
      <c r="K298" t="inlineStr">
        <is>
          <t>ShapedCharge</t>
        </is>
      </c>
      <c r="L298" t="n">
        <v>4</v>
      </c>
      <c r="M298" t="inlineStr">
        <is>
          <t>Missile</t>
        </is>
      </c>
      <c r="N298" t="n">
        <v>1</v>
      </c>
      <c r="O298" t="inlineStr">
        <is>
          <t>RIPPLE</t>
        </is>
      </c>
      <c r="P298" t="n">
        <v>2</v>
      </c>
      <c r="Q298" t="n">
        <v>0.5</v>
      </c>
      <c r="R298" t="n">
        <v>9</v>
      </c>
      <c r="S298" t="n">
        <v>0</v>
      </c>
      <c r="T298" t="n">
        <v>0</v>
      </c>
      <c r="U298" t="n">
        <v>0</v>
      </c>
      <c r="V298" t="n">
        <v>0</v>
      </c>
      <c r="W298" t="n">
        <v>270</v>
      </c>
      <c r="X298" t="n">
        <v>0</v>
      </c>
      <c r="Y298" t="n">
        <v>0</v>
      </c>
      <c r="Z298" t="n">
        <v>85</v>
      </c>
      <c r="AA298" t="n">
        <v>55</v>
      </c>
      <c r="AB298" t="n">
        <v>0</v>
      </c>
      <c r="AC298" t="inlineStr">
        <is>
          <t>Ground</t>
        </is>
      </c>
      <c r="AD298" t="inlineStr"/>
      <c r="AE298" t="n">
        <v>0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49</v>
      </c>
      <c r="AO298" t="n">
        <v>3</v>
      </c>
      <c r="AP298" t="inlineStr">
        <is>
          <t>T2</t>
        </is>
      </c>
      <c r="AQ298" t="inlineStr">
        <is>
          <t>drone_missile</t>
        </is>
      </c>
      <c r="AR298" t="inlineStr"/>
      <c r="AS298" t="inlineStr">
        <is>
          <t>boss</t>
        </is>
      </c>
      <c r="AT298" t="inlineStr">
        <is>
          <t>theia</t>
        </is>
      </c>
      <c r="AU298" t="n">
        <v>1</v>
      </c>
      <c r="AV298" t="inlineStr">
        <is>
          <t>theia:2;theia:3</t>
        </is>
      </c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0.6470588235294118</v>
      </c>
      <c r="BB298" t="inlineStr">
        <is>
          <t>NEED_SOURCE</t>
        </is>
      </c>
      <c r="BC298" t="inlineStr">
        <is>
          <t>NEED_SOURCE</t>
        </is>
      </c>
      <c r="BE298" t="inlineStr">
        <is>
          <t>NEED_SOURCE</t>
        </is>
      </c>
      <c r="BG298" t="inlineStr">
        <is>
          <t>moi</t>
        </is>
      </c>
      <c r="CR298" t="n">
        <v>2</v>
      </c>
      <c r="CS298" t="n">
        <v>0.5</v>
      </c>
      <c r="DD298" t="n">
        <v>9</v>
      </c>
      <c r="DE298" t="n">
        <v>270</v>
      </c>
      <c r="DT298" t="inlineStr">
        <is>
          <t>drone_missile</t>
        </is>
      </c>
      <c r="EK298" t="n">
        <v>85</v>
      </c>
      <c r="EP298" t="n">
        <v>55</v>
      </c>
      <c r="EQ298" t="inlineStr">
        <is>
          <t>AGM-179 JAGM (Theia quad pod)</t>
        </is>
      </c>
      <c r="GA298" t="inlineStr"/>
      <c r="GB298" t="inlineStr">
        <is>
          <t>atgm_agm_114_hellfire</t>
        </is>
      </c>
      <c r="GD298" t="inlineStr">
        <is>
          <t>Assets/MachineBrigade/Resources/Data/balance.json: weapons[227]</t>
        </is>
      </c>
      <c r="GE298" t="inlineStr">
        <is>
          <t>{"id":"pt14_th_jagm","inherits":"drone_missile","weaponFamilyId":"atgm_agm_114_hellfire","weaponFamily":"","real":"AGM-179 JAGM (Theia quad pod)","projectileSpeed":85,"damage":270,"burst":2,"burstInterval":0.5,"cooldown":9,"range":55}</t>
        </is>
      </c>
    </row>
    <row r="299">
      <c r="A299" t="inlineStr">
        <is>
          <t>pt14_th_pd</t>
        </is>
      </c>
      <c r="B299" t="inlineStr">
        <is>
          <t>50 kW laser (Theia point-defence turret)</t>
        </is>
      </c>
      <c r="C299" t="inlineStr">
        <is>
          <t>laser_50_kw_laser</t>
        </is>
      </c>
      <c r="D299" t="inlineStr"/>
      <c r="E299" t="inlineStr"/>
      <c r="F299" t="inlineStr">
        <is>
          <t>laser</t>
        </is>
      </c>
      <c r="G299" t="inlineStr"/>
      <c r="H299" t="inlineStr"/>
      <c r="I299" t="n">
        <v>50</v>
      </c>
      <c r="J299" t="inlineStr"/>
      <c r="K299" t="inlineStr">
        <is>
          <t>Energy</t>
        </is>
      </c>
      <c r="L299" t="n">
        <v>2</v>
      </c>
      <c r="M299" t="inlineStr">
        <is>
          <t>Bullet</t>
        </is>
      </c>
      <c r="N299" t="n">
        <v>1</v>
      </c>
      <c r="O299" t="inlineStr">
        <is>
          <t>RIPPLE</t>
        </is>
      </c>
      <c r="P299" t="n">
        <v>1</v>
      </c>
      <c r="Q299" t="n">
        <v>0.1</v>
      </c>
      <c r="R299" t="n">
        <v>0.0667</v>
      </c>
      <c r="S299" t="n">
        <v>0</v>
      </c>
      <c r="T299" t="n">
        <v>0</v>
      </c>
      <c r="U299" t="n">
        <v>0</v>
      </c>
      <c r="V299" t="n">
        <v>0</v>
      </c>
      <c r="W299" t="n">
        <v>6</v>
      </c>
      <c r="X299" t="n">
        <v>0</v>
      </c>
      <c r="Y299" t="n">
        <v>0</v>
      </c>
      <c r="Z299" t="n">
        <v>3000</v>
      </c>
      <c r="AA299" t="n">
        <v>34</v>
      </c>
      <c r="AB299" t="n">
        <v>0</v>
      </c>
      <c r="AC299" t="inlineStr">
        <is>
          <t>Air</t>
        </is>
      </c>
      <c r="AD299" t="inlineStr"/>
      <c r="AE299" t="n">
        <v>0</v>
      </c>
      <c r="AF299" t="inlineStr">
        <is>
          <t>Small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1</v>
      </c>
      <c r="AM299" t="b">
        <v>0</v>
      </c>
      <c r="AN299" t="n">
        <v>50</v>
      </c>
      <c r="AO299" t="n">
        <v>0</v>
      </c>
      <c r="AP299" t="inlineStr">
        <is>
          <t>T1</t>
        </is>
      </c>
      <c r="AQ299" t="inlineStr">
        <is>
          <t>laser_50kw</t>
        </is>
      </c>
      <c r="AR299" t="inlineStr"/>
      <c r="AS299" t="inlineStr">
        <is>
          <t>boss</t>
        </is>
      </c>
      <c r="AT299" t="inlineStr">
        <is>
          <t>theia</t>
        </is>
      </c>
      <c r="AU299" t="n">
        <v>1</v>
      </c>
      <c r="AV299" t="inlineStr">
        <is>
          <t>theia:6;theia:7</t>
        </is>
      </c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0.01133333333333333</v>
      </c>
      <c r="BB299" t="inlineStr">
        <is>
          <t>NEED_SOURCE</t>
        </is>
      </c>
      <c r="BC299" t="inlineStr">
        <is>
          <t>NEED_SOURCE</t>
        </is>
      </c>
      <c r="BE299" t="inlineStr">
        <is>
          <t>NEED_SOURCE</t>
        </is>
      </c>
      <c r="BG299" t="inlineStr">
        <is>
          <t>moi</t>
        </is>
      </c>
      <c r="DT299" t="inlineStr">
        <is>
          <t>laser_50kw</t>
        </is>
      </c>
      <c r="EP299" t="n">
        <v>34</v>
      </c>
      <c r="EQ299" t="inlineStr">
        <is>
          <t>50 kW laser (Theia point-defence turret)</t>
        </is>
      </c>
      <c r="GD299" t="inlineStr">
        <is>
          <t>Assets/MachineBrigade/Resources/Data/balance.json: weapons[228]</t>
        </is>
      </c>
      <c r="GE299" t="inlineStr">
        <is>
          <t>{"id":"pt14_th_pd","inherits":"laser_50kw","real":"50 kW laser (Theia point-defence turret)","range":34}</t>
        </is>
      </c>
    </row>
    <row r="300">
      <c r="A300" t="inlineStr">
        <is>
          <t>pt14_th_v35</t>
        </is>
      </c>
      <c r="B300" t="inlineStr">
        <is>
          <t>Oerlikon KDA 35 mm (Theia ventral twin)</t>
        </is>
      </c>
      <c r="C300" t="inlineStr">
        <is>
          <t>cal_35</t>
        </is>
      </c>
      <c r="D300" t="inlineStr"/>
      <c r="E300" t="inlineStr">
        <is>
          <t>oerlikon_35_mm</t>
        </is>
      </c>
      <c r="F300" t="inlineStr">
        <is>
          <t>autocannon</t>
        </is>
      </c>
      <c r="G300" t="n">
        <v>35</v>
      </c>
      <c r="H300" t="inlineStr"/>
      <c r="I300" t="inlineStr"/>
      <c r="J300" t="inlineStr"/>
      <c r="K300" t="inlineStr">
        <is>
          <t>Fragmentation</t>
        </is>
      </c>
      <c r="L300" t="n">
        <v>2</v>
      </c>
      <c r="M300" t="inlineStr">
        <is>
          <t>Bullet</t>
        </is>
      </c>
      <c r="N300" t="n">
        <v>1</v>
      </c>
      <c r="O300" t="inlineStr">
        <is>
          <t>RIPPLE</t>
        </is>
      </c>
      <c r="P300" t="n">
        <v>1</v>
      </c>
      <c r="Q300" t="n">
        <v>0.1</v>
      </c>
      <c r="R300" t="n">
        <v>0.25</v>
      </c>
      <c r="S300" t="n">
        <v>16</v>
      </c>
      <c r="T300" t="n">
        <v>1.8</v>
      </c>
      <c r="U300" t="n">
        <v>0</v>
      </c>
      <c r="V300" t="n">
        <v>0</v>
      </c>
      <c r="W300" t="n">
        <v>25</v>
      </c>
      <c r="X300" t="n">
        <v>2.5</v>
      </c>
      <c r="Y300" t="n">
        <v>0</v>
      </c>
      <c r="Z300" t="n">
        <v>260</v>
      </c>
      <c r="AA300" t="n">
        <v>36</v>
      </c>
      <c r="AB300" t="n">
        <v>0</v>
      </c>
      <c r="AC300" t="inlineStr">
        <is>
          <t>All</t>
        </is>
      </c>
      <c r="AD300" t="inlineStr"/>
      <c r="AE300" t="n">
        <v>1.5</v>
      </c>
      <c r="AF300" t="inlineStr">
        <is>
          <t>Small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35</v>
      </c>
      <c r="AO300" t="n">
        <v>0</v>
      </c>
      <c r="AP300" t="inlineStr">
        <is>
          <t>T1</t>
        </is>
      </c>
      <c r="AQ300" t="inlineStr">
        <is>
          <t>flak_35</t>
        </is>
      </c>
      <c r="AR300" t="inlineStr"/>
      <c r="AS300" t="inlineStr">
        <is>
          <t>boss</t>
        </is>
      </c>
      <c r="AT300" t="inlineStr">
        <is>
          <t>theia</t>
        </is>
      </c>
      <c r="AU300" t="n">
        <v>1</v>
      </c>
      <c r="AV300" t="inlineStr">
        <is>
          <t>theia:4;theia:5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0.1384615384615385</v>
      </c>
      <c r="BB300" t="n">
        <v>550</v>
      </c>
      <c r="BC300" t="n">
        <v>300</v>
      </c>
      <c r="BD300" t="inlineStr">
        <is>
          <t>aa</t>
        </is>
      </c>
      <c r="BE300" t="inlineStr">
        <is>
          <t>Wikipedia 'Oerlikon GDF' / 'Gepard': 2 x 550 rpm</t>
        </is>
      </c>
      <c r="BG300" t="inlineStr">
        <is>
          <t>moi</t>
        </is>
      </c>
      <c r="CW300" t="n">
        <v>16</v>
      </c>
      <c r="CX300" t="n">
        <v>1.8</v>
      </c>
      <c r="DE300" t="n">
        <v>25</v>
      </c>
      <c r="DO300" t="n">
        <v>0</v>
      </c>
      <c r="DT300" t="inlineStr">
        <is>
          <t>flak_35</t>
        </is>
      </c>
      <c r="EQ300" t="inlineStr">
        <is>
          <t>Oerlikon KDA 35 mm (Theia ventral twin)</t>
        </is>
      </c>
      <c r="GD300" t="inlineStr">
        <is>
          <t>Assets/MachineBrigade/Resources/Data/balance.json: weapons[226]</t>
        </is>
      </c>
      <c r="GE300" t="inlineStr">
        <is>
          <t>{"id":"pt14_th_v35","groundMinReach":0,"inherits":"flak_35","real":"Oerlikon KDA 35 mm (Theia ventral twin)","damage":25,"clip":16,"clipReload":1.8}</t>
        </is>
      </c>
    </row>
    <row r="301">
      <c r="A301" t="inlineStr">
        <is>
          <t>pt14_train_grad</t>
        </is>
      </c>
      <c r="B301" t="inlineStr">
        <is>
          <t>BM-21 Grad 122 mm</t>
        </is>
      </c>
      <c r="C301" t="inlineStr">
        <is>
          <t>rkt_grad_122</t>
        </is>
      </c>
      <c r="D301" t="inlineStr"/>
      <c r="E301" t="inlineStr"/>
      <c r="F301" t="inlineStr">
        <is>
          <t>rocket</t>
        </is>
      </c>
      <c r="G301" t="n">
        <v>122</v>
      </c>
      <c r="H301" t="inlineStr"/>
      <c r="I301" t="inlineStr"/>
      <c r="J301" t="inlineStr"/>
      <c r="K301" t="inlineStr">
        <is>
          <t>HighExplosive</t>
        </is>
      </c>
      <c r="L301" t="n">
        <v>2</v>
      </c>
      <c r="M301" t="inlineStr">
        <is>
          <t>Rocket</t>
        </is>
      </c>
      <c r="N301" t="n">
        <v>1</v>
      </c>
      <c r="O301" t="inlineStr">
        <is>
          <t>RIPPLE</t>
        </is>
      </c>
      <c r="P301" t="n">
        <v>13</v>
      </c>
      <c r="Q301" t="n">
        <v>0.5</v>
      </c>
      <c r="R301" t="n">
        <v>2.44</v>
      </c>
      <c r="S301" t="n">
        <v>0</v>
      </c>
      <c r="T301" t="n">
        <v>0</v>
      </c>
      <c r="U301" t="n">
        <v>0</v>
      </c>
      <c r="V301" t="n">
        <v>0</v>
      </c>
      <c r="W301" t="n">
        <v>200</v>
      </c>
      <c r="X301" t="n">
        <v>4.5</v>
      </c>
      <c r="Y301" t="n">
        <v>9</v>
      </c>
      <c r="Z301" t="n">
        <v>80</v>
      </c>
      <c r="AA301" t="n">
        <v>45</v>
      </c>
      <c r="AB301" t="n">
        <v>0</v>
      </c>
      <c r="AC301" t="inlineStr">
        <is>
          <t>Ground</t>
        </is>
      </c>
      <c r="AD301" t="inlineStr"/>
      <c r="AE301" t="n">
        <v>5</v>
      </c>
      <c r="AF301" t="inlineStr">
        <is>
          <t>Medium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122</v>
      </c>
      <c r="AO301" t="n">
        <v>0</v>
      </c>
      <c r="AP301" t="inlineStr">
        <is>
          <t>T3</t>
        </is>
      </c>
      <c r="AQ301" t="inlineStr">
        <is>
          <t>boss_rockets</t>
        </is>
      </c>
      <c r="AR301" t="inlineStr"/>
      <c r="AS301" t="inlineStr">
        <is>
          <t>boss</t>
        </is>
      </c>
      <c r="AT301" t="inlineStr">
        <is>
          <t>armored_train</t>
        </is>
      </c>
      <c r="AU301" t="n">
        <v>1</v>
      </c>
      <c r="AV301" t="inlineStr">
        <is>
          <t>armored_train:1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0.5625</v>
      </c>
      <c r="BB301" t="n">
        <v>120</v>
      </c>
      <c r="BC301" t="inlineStr"/>
      <c r="BD301" t="inlineStr">
        <is>
          <t>rocket</t>
        </is>
      </c>
      <c r="BE301" t="inlineStr">
        <is>
          <t>Wikipedia 'BM-21 Grad': 40 rockets in 20 s</t>
        </is>
      </c>
      <c r="BG301" t="inlineStr">
        <is>
          <t>moi</t>
        </is>
      </c>
      <c r="DT301" t="inlineStr">
        <is>
          <t>boss_rockets</t>
        </is>
      </c>
      <c r="EK301" t="n">
        <v>80</v>
      </c>
      <c r="GD301" t="inlineStr">
        <is>
          <t>Assets/MachineBrigade/Resources/Data/balance.json: weapons[194]</t>
        </is>
      </c>
      <c r="GE301" t="inlineStr">
        <is>
          <t>{"id":"pt14_train_grad","inherits":"boss_rockets","projectileSpeed":80}</t>
        </is>
      </c>
    </row>
    <row r="302">
      <c r="A302" t="inlineStr">
        <is>
          <t>r60</t>
        </is>
      </c>
      <c r="B302" t="inlineStr">
        <is>
          <t>R-60</t>
        </is>
      </c>
      <c r="C302" t="inlineStr">
        <is>
          <t>sam_r_60</t>
        </is>
      </c>
      <c r="D302" t="inlineStr"/>
      <c r="E302" t="inlineStr"/>
      <c r="F302" t="inlineStr">
        <is>
          <t>aa_missile</t>
        </is>
      </c>
      <c r="G302" t="inlineStr"/>
      <c r="H302" t="n">
        <v>3.5</v>
      </c>
      <c r="I302" t="inlineStr"/>
      <c r="J302" t="inlineStr"/>
      <c r="K302" t="inlineStr">
        <is>
          <t>Fragmentation</t>
        </is>
      </c>
      <c r="L302" t="n">
        <v>2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1</v>
      </c>
      <c r="Q302" t="n">
        <v>0.1</v>
      </c>
      <c r="R302" t="n">
        <v>7</v>
      </c>
      <c r="S302" t="n">
        <v>0</v>
      </c>
      <c r="T302" t="n">
        <v>0</v>
      </c>
      <c r="U302" t="n">
        <v>0</v>
      </c>
      <c r="V302" t="n">
        <v>0</v>
      </c>
      <c r="W302" t="n">
        <v>184</v>
      </c>
      <c r="X302" t="n">
        <v>1.5</v>
      </c>
      <c r="Y302" t="n">
        <v>0</v>
      </c>
      <c r="Z302" t="n">
        <v>110</v>
      </c>
      <c r="AA302" t="n">
        <v>28</v>
      </c>
      <c r="AB302" t="n">
        <v>0</v>
      </c>
      <c r="AC302" t="inlineStr">
        <is>
          <t>Air</t>
        </is>
      </c>
      <c r="AD302" t="inlineStr"/>
      <c r="AE302" t="n">
        <v>0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3.5</v>
      </c>
      <c r="AO302" t="n">
        <v>2</v>
      </c>
      <c r="AP302" t="inlineStr">
        <is>
          <t>T2</t>
        </is>
      </c>
      <c r="AQ302" t="inlineStr"/>
      <c r="AR302" t="inlineStr"/>
      <c r="AS302" t="inlineStr">
        <is>
          <t>xe</t>
        </is>
      </c>
      <c r="AT302" t="inlineStr">
        <is>
          <t>attack_jet;elite_attack_jet</t>
        </is>
      </c>
      <c r="AU302" t="n">
        <v>2</v>
      </c>
      <c r="AV302" t="inlineStr">
        <is>
          <t>attack_jet:4;elite_attack_jet:4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0.2545454545454545</v>
      </c>
      <c r="BB302" t="n">
        <v>60</v>
      </c>
      <c r="BC302" t="inlineStr"/>
      <c r="BD302" t="inlineStr">
        <is>
          <t>missile</t>
        </is>
      </c>
      <c r="BE302" t="inlineStr">
        <is>
          <t>air-to-air: ~1 s between launches (est.)</t>
        </is>
      </c>
      <c r="BG302" t="inlineStr">
        <is>
          <t>doi</t>
        </is>
      </c>
      <c r="BR302" t="n">
        <v>42</v>
      </c>
      <c r="BS302" t="n">
        <v>110</v>
      </c>
      <c r="DD302" t="n">
        <v>7</v>
      </c>
      <c r="DE302" t="n">
        <v>184</v>
      </c>
      <c r="DF302" t="inlineStr">
        <is>
          <t>Fragmentation</t>
        </is>
      </c>
      <c r="DJ302" t="inlineStr">
        <is>
          <t>aa_missile</t>
        </is>
      </c>
      <c r="DS302" t="inlineStr">
        <is>
          <t>Medium</t>
        </is>
      </c>
      <c r="DW302" t="n">
        <v>2</v>
      </c>
      <c r="EB302" t="n">
        <v>2</v>
      </c>
      <c r="EH302" t="inlineStr">
        <is>
          <t>Missile</t>
        </is>
      </c>
      <c r="EI302" t="inlineStr">
        <is>
          <t>r60</t>
        </is>
      </c>
      <c r="EJ302" t="n">
        <v>0.65</v>
      </c>
      <c r="EK302" t="n">
        <v>110</v>
      </c>
      <c r="EP302" t="n">
        <v>28</v>
      </c>
      <c r="EQ302" t="inlineStr">
        <is>
          <t>R-60</t>
        </is>
      </c>
      <c r="EV302" t="n">
        <v>200</v>
      </c>
      <c r="EX302" t="n">
        <v>3.5</v>
      </c>
      <c r="EY302" t="n">
        <v>1.5</v>
      </c>
      <c r="FW302" t="inlineStr">
        <is>
          <t>Air</t>
        </is>
      </c>
      <c r="FZ302" t="n">
        <v>3.5</v>
      </c>
      <c r="GB302" t="inlineStr">
        <is>
          <t>sam_r_60</t>
        </is>
      </c>
      <c r="GD302" t="inlineStr">
        <is>
          <t>Assets/MachineBrigade/Resources/Data/balance.json: weapons[66]</t>
        </is>
      </c>
      <c r="GE302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110,"splash":1.5,"impactTier":"Medium","projectile":"Missile","targets":"Air","roundWeight":200}</t>
        </is>
      </c>
    </row>
    <row r="303">
      <c r="A303" t="inlineStr">
        <is>
          <t>railgun</t>
        </is>
      </c>
      <c r="B303" t="inlineStr">
        <is>
          <t>railgun (32 MJ)</t>
        </is>
      </c>
      <c r="C303" t="inlineStr">
        <is>
          <t>rail_railgun</t>
        </is>
      </c>
      <c r="D303" t="inlineStr"/>
      <c r="E303" t="inlineStr"/>
      <c r="F303" t="inlineStr">
        <is>
          <t>railgun</t>
        </is>
      </c>
      <c r="G303" t="inlineStr"/>
      <c r="H303" t="inlineStr"/>
      <c r="I303" t="inlineStr"/>
      <c r="J303" t="n">
        <v>32</v>
      </c>
      <c r="K303" t="inlineStr">
        <is>
          <t>Kinetic</t>
        </is>
      </c>
      <c r="L303" t="n">
        <v>5</v>
      </c>
      <c r="M303" t="inlineStr">
        <is>
          <t>Bullet</t>
        </is>
      </c>
      <c r="N303" t="n">
        <v>1</v>
      </c>
      <c r="O303" t="inlineStr">
        <is>
          <t>RIPPLE</t>
        </is>
      </c>
      <c r="P303" t="n">
        <v>1</v>
      </c>
      <c r="Q303" t="n">
        <v>0.1</v>
      </c>
      <c r="R303" t="n">
        <v>7</v>
      </c>
      <c r="S303" t="n">
        <v>0</v>
      </c>
      <c r="T303" t="n">
        <v>0</v>
      </c>
      <c r="U303" t="n">
        <v>0</v>
      </c>
      <c r="V303" t="n">
        <v>0</v>
      </c>
      <c r="W303" t="n">
        <v>510</v>
      </c>
      <c r="X303" t="n">
        <v>0</v>
      </c>
      <c r="Y303" t="n">
        <v>0</v>
      </c>
      <c r="Z303" t="n">
        <v>700</v>
      </c>
      <c r="AA303" t="n">
        <v>90</v>
      </c>
      <c r="AB303" t="n">
        <v>0</v>
      </c>
      <c r="AC303" t="inlineStr">
        <is>
          <t>Ground</t>
        </is>
      </c>
      <c r="AD303" t="inlineStr">
        <is>
          <t>low</t>
        </is>
      </c>
      <c r="AE303" t="n">
        <v>0.4</v>
      </c>
      <c r="AF303" t="inlineStr">
        <is>
          <t>Large</t>
        </is>
      </c>
      <c r="AG303" t="b">
        <v>0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32</v>
      </c>
      <c r="AO303" t="n">
        <v>0</v>
      </c>
      <c r="AP303" t="inlineStr">
        <is>
          <t>T3</t>
        </is>
      </c>
      <c r="AQ303" t="inlineStr"/>
      <c r="AR303" t="inlineStr"/>
      <c r="AS303" t="inlineStr">
        <is>
          <t>boss;xe</t>
        </is>
      </c>
      <c r="AT303" t="inlineStr">
        <is>
          <t>behemoth_tempest;railgun_truck</t>
        </is>
      </c>
      <c r="AU303" t="n">
        <v>2</v>
      </c>
      <c r="AV303" t="inlineStr">
        <is>
          <t>behemoth_tempest:other;railgun_truck:0</t>
        </is>
      </c>
      <c r="AW303" t="n">
        <v>0</v>
      </c>
      <c r="AX303" t="b">
        <v>0</v>
      </c>
      <c r="AY303" t="inlineStr"/>
      <c r="AZ303">
        <f>IF(AND($AX$303,$AW$303&gt;$AA$303/$Z$303),$AW$303,$AA$303/$Z$303)</f>
        <v/>
      </c>
      <c r="BA303" t="n">
        <v>0.1285714285714286</v>
      </c>
      <c r="BB303" t="inlineStr">
        <is>
          <t>NEED_SOURCE</t>
        </is>
      </c>
      <c r="BC303" t="inlineStr">
        <is>
          <t>NEED_SOURCE</t>
        </is>
      </c>
      <c r="BE303" t="inlineStr">
        <is>
          <t>NEED_SOURCE</t>
        </is>
      </c>
      <c r="BG303" t="inlineStr">
        <is>
          <t>doi</t>
        </is>
      </c>
      <c r="CB303" t="n">
        <v>4</v>
      </c>
      <c r="CC303" t="n">
        <v>5</v>
      </c>
      <c r="CU303" t="inlineStr">
        <is>
          <t>low</t>
        </is>
      </c>
      <c r="CV303" t="n">
        <v>0.9</v>
      </c>
      <c r="DD303" t="n">
        <v>7</v>
      </c>
      <c r="DE303" t="n">
        <v>510</v>
      </c>
      <c r="DF303" t="inlineStr">
        <is>
          <t>Kinetic</t>
        </is>
      </c>
      <c r="DI303" t="n">
        <v>32</v>
      </c>
      <c r="DJ303" t="inlineStr">
        <is>
          <t>railgun</t>
        </is>
      </c>
      <c r="DR303" t="n">
        <v>1.4</v>
      </c>
      <c r="DS303" t="inlineStr">
        <is>
          <t>Large</t>
        </is>
      </c>
      <c r="EB303" t="n">
        <v>5</v>
      </c>
      <c r="EC303" t="b">
        <v>1</v>
      </c>
      <c r="EE303" t="b">
        <v>1</v>
      </c>
      <c r="EH303" t="inlineStr">
        <is>
          <t>Bullet</t>
        </is>
      </c>
      <c r="EI303" t="inlineStr">
        <is>
          <t>rail_slug</t>
        </is>
      </c>
      <c r="EK303" t="n">
        <v>700</v>
      </c>
      <c r="EP303" t="n">
        <v>90</v>
      </c>
      <c r="EQ303" t="inlineStr">
        <is>
          <t>railgun (32 MJ)</t>
        </is>
      </c>
      <c r="EX303" t="n">
        <v>32</v>
      </c>
      <c r="EZ303" t="n">
        <v>0.4</v>
      </c>
      <c r="GB303" t="inlineStr">
        <is>
          <t>rail_railgun</t>
        </is>
      </c>
      <c r="GD303" t="inlineStr">
        <is>
          <t>Assets/MachineBrigade/Resources/Data/balance.json: weapons[77]</t>
        </is>
      </c>
      <c r="GE303" t="inlineStr">
        <is>
          <t>{"id":"railgun","weaponFamilyId":"rail_railgun","ceiling":"low","real":"railgun (32 MJ)","family":"railgun","size":32,"energyMj":32,"pen":5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304">
      <c r="A304" t="inlineStr">
        <is>
          <t>recoilless_106</t>
        </is>
      </c>
      <c r="B304" t="inlineStr">
        <is>
          <t>M40 106 mm recoilless rifle</t>
        </is>
      </c>
      <c r="C304" t="inlineStr">
        <is>
          <t>rcl_106</t>
        </is>
      </c>
      <c r="D304" t="inlineStr"/>
      <c r="E304" t="inlineStr"/>
      <c r="F304" t="inlineStr">
        <is>
          <t>tank_gun</t>
        </is>
      </c>
      <c r="G304" t="n">
        <v>106</v>
      </c>
      <c r="H304" t="inlineStr"/>
      <c r="I304" t="inlineStr"/>
      <c r="J304" t="inlineStr"/>
      <c r="K304" t="inlineStr">
        <is>
          <t>ShapedCharge</t>
        </is>
      </c>
      <c r="L304" t="n">
        <v>3</v>
      </c>
      <c r="M304" t="inlineStr">
        <is>
          <t>Shell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9.523999999999999</v>
      </c>
      <c r="S304" t="n">
        <v>0</v>
      </c>
      <c r="T304" t="n">
        <v>0</v>
      </c>
      <c r="U304" t="n">
        <v>0</v>
      </c>
      <c r="V304" t="n">
        <v>0</v>
      </c>
      <c r="W304" t="n">
        <v>314</v>
      </c>
      <c r="X304" t="n">
        <v>0</v>
      </c>
      <c r="Y304" t="n">
        <v>0</v>
      </c>
      <c r="Z304" t="n">
        <v>150</v>
      </c>
      <c r="AA304" t="n">
        <v>32</v>
      </c>
      <c r="AB304" t="n">
        <v>0</v>
      </c>
      <c r="AC304" t="inlineStr">
        <is>
          <t>Ground</t>
        </is>
      </c>
      <c r="AD304" t="inlineStr"/>
      <c r="AE304" t="n">
        <v>0.9</v>
      </c>
      <c r="AF304" t="inlineStr">
        <is>
          <t>Medium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106</v>
      </c>
      <c r="AO304" t="n">
        <v>0</v>
      </c>
      <c r="AP304" t="inlineStr">
        <is>
          <t>T2</t>
        </is>
      </c>
      <c r="AQ304" t="inlineStr"/>
      <c r="AR304" t="inlineStr"/>
      <c r="AS304" t="inlineStr">
        <is>
          <t>xe</t>
        </is>
      </c>
      <c r="AT304" t="inlineStr">
        <is>
          <t>recoilless_jeep</t>
        </is>
      </c>
      <c r="AU304" t="n">
        <v>1</v>
      </c>
      <c r="AV304" t="inlineStr">
        <is>
          <t>recoilless_jeep:0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0.2133333333333333</v>
      </c>
      <c r="BB304" t="n">
        <v>5</v>
      </c>
      <c r="BC304" t="n">
        <v>1</v>
      </c>
      <c r="BD304" t="inlineStr">
        <is>
          <t>gun</t>
        </is>
      </c>
      <c r="BE304" t="inlineStr">
        <is>
          <t>Wikipedia 'M40 recoilless rifle': 1 rpm sustained, ~5 rpm short bursts</t>
        </is>
      </c>
      <c r="BG304" t="inlineStr">
        <is>
          <t>doi</t>
        </is>
      </c>
      <c r="BH304" t="n">
        <v>220</v>
      </c>
      <c r="BI304" t="n">
        <v>314</v>
      </c>
      <c r="BJ304" t="n">
        <v>6.6667</v>
      </c>
      <c r="BK304" t="n">
        <v>9.523999999999999</v>
      </c>
      <c r="CT304" t="n">
        <v>106</v>
      </c>
      <c r="DD304" t="n">
        <v>9.523999999999999</v>
      </c>
      <c r="DE304" t="n">
        <v>314</v>
      </c>
      <c r="DF304" t="inlineStr">
        <is>
          <t>ShapedCharge</t>
        </is>
      </c>
      <c r="DJ304" t="inlineStr">
        <is>
          <t>tank_gun</t>
        </is>
      </c>
      <c r="DS304" t="inlineStr">
        <is>
          <t>Medium</t>
        </is>
      </c>
      <c r="EB304" t="n">
        <v>3</v>
      </c>
      <c r="EE304" t="b">
        <v>1</v>
      </c>
      <c r="EK304" t="n">
        <v>150</v>
      </c>
      <c r="EP304" t="n">
        <v>32</v>
      </c>
      <c r="EQ304" t="inlineStr">
        <is>
          <t>M40 106 mm recoilless rifle</t>
        </is>
      </c>
      <c r="EX304" t="n">
        <v>106</v>
      </c>
      <c r="EZ304" t="n">
        <v>0.9</v>
      </c>
      <c r="GB304" t="inlineStr">
        <is>
          <t>rcl_106</t>
        </is>
      </c>
      <c r="GD304" t="inlineStr">
        <is>
          <t>Assets/MachineBrigade/Resources/Data/balance.json: weapons[280]</t>
        </is>
      </c>
      <c r="GE304" t="inlineStr">
        <is>
          <t>{"id":"recoilless_106","weaponFamilyId":"rcl_106","real":"M40 106 mm recoilless rifle","family":"tank_gun","size":106,"caliberMm":106,"pen":3,"piercing":true,"damageType":"ShapedCharge","damage":314,"cooldown":9.524,"range":32,"projectileSpeed":150,"spread":0.9,"impactTier":"Medium"}</t>
        </is>
      </c>
    </row>
    <row r="305">
      <c r="A305" t="inlineStr">
        <is>
          <t>recon_missile</t>
        </is>
      </c>
      <c r="B305" t="inlineStr">
        <is>
          <t>MAM-L</t>
        </is>
      </c>
      <c r="C305" t="inlineStr">
        <is>
          <t>atgm_mam_l</t>
        </is>
      </c>
      <c r="D305" t="inlineStr"/>
      <c r="E305" t="inlineStr"/>
      <c r="F305" t="inlineStr">
        <is>
          <t>atgm</t>
        </is>
      </c>
      <c r="G305" t="inlineStr"/>
      <c r="H305" t="n">
        <v>22</v>
      </c>
      <c r="I305" t="inlineStr"/>
      <c r="J305" t="inlineStr"/>
      <c r="K305" t="inlineStr">
        <is>
          <t>ShapedCharge</t>
        </is>
      </c>
      <c r="L305" t="n">
        <v>3</v>
      </c>
      <c r="M305" t="inlineStr">
        <is>
          <t>Missile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11.59</v>
      </c>
      <c r="S305" t="n">
        <v>0</v>
      </c>
      <c r="T305" t="n">
        <v>0</v>
      </c>
      <c r="U305" t="n">
        <v>0</v>
      </c>
      <c r="V305" t="n">
        <v>0</v>
      </c>
      <c r="W305" t="n">
        <v>190</v>
      </c>
      <c r="X305" t="n">
        <v>0</v>
      </c>
      <c r="Y305" t="n">
        <v>0</v>
      </c>
      <c r="Z305" t="n">
        <v>60</v>
      </c>
      <c r="AA305" t="n">
        <v>50</v>
      </c>
      <c r="AB305" t="n">
        <v>0</v>
      </c>
      <c r="AC305" t="inlineStr">
        <is>
          <t>Ground</t>
        </is>
      </c>
      <c r="AD305" t="inlineStr"/>
      <c r="AE305" t="n">
        <v>0</v>
      </c>
      <c r="AF305" t="inlineStr">
        <is>
          <t>Medium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22</v>
      </c>
      <c r="AO305" t="n">
        <v>4</v>
      </c>
      <c r="AP305" t="inlineStr">
        <is>
          <t>T2</t>
        </is>
      </c>
      <c r="AQ305" t="inlineStr"/>
      <c r="AR305" t="inlineStr"/>
      <c r="AS305" t="inlineStr">
        <is>
          <t>xe</t>
        </is>
      </c>
      <c r="AT305" t="inlineStr">
        <is>
          <t>recon_drone</t>
        </is>
      </c>
      <c r="AU305" t="n">
        <v>1</v>
      </c>
      <c r="AV305" t="inlineStr">
        <is>
          <t>recon_drone:0</t>
        </is>
      </c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0.8333333333333334</v>
      </c>
      <c r="BB305" t="n">
        <v>60</v>
      </c>
      <c r="BC305" t="n">
        <v>10</v>
      </c>
      <c r="BD305" t="inlineStr">
        <is>
          <t>atgm</t>
        </is>
      </c>
      <c r="BE305" t="inlineStr">
        <is>
          <t>air-launched: ripples ~1 s apart, est. 6 s an aimed shot</t>
        </is>
      </c>
      <c r="BG305" t="inlineStr">
        <is>
          <t>doi</t>
        </is>
      </c>
      <c r="BR305" t="n">
        <v>22</v>
      </c>
      <c r="BS305" t="n">
        <v>60</v>
      </c>
      <c r="DD305" t="n">
        <v>11.59</v>
      </c>
      <c r="DE305" t="n">
        <v>190</v>
      </c>
      <c r="DF305" t="inlineStr">
        <is>
          <t>ShapedCharge</t>
        </is>
      </c>
      <c r="DJ305" t="inlineStr">
        <is>
          <t>atgm</t>
        </is>
      </c>
      <c r="DS305" t="inlineStr">
        <is>
          <t>Medium</t>
        </is>
      </c>
      <c r="DW305" t="n">
        <v>4</v>
      </c>
      <c r="EB305" t="n">
        <v>3</v>
      </c>
      <c r="EE305" t="b">
        <v>1</v>
      </c>
      <c r="EH305" t="inlineStr">
        <is>
          <t>Missile</t>
        </is>
      </c>
      <c r="EI305" t="inlineStr">
        <is>
          <t>mam_l</t>
        </is>
      </c>
      <c r="EJ305" t="n">
        <v>0.6</v>
      </c>
      <c r="EK305" t="n">
        <v>60</v>
      </c>
      <c r="EP305" t="n">
        <v>50</v>
      </c>
      <c r="EQ305" t="inlineStr">
        <is>
          <t>MAM-L</t>
        </is>
      </c>
      <c r="EX305" t="n">
        <v>22</v>
      </c>
      <c r="FZ305" t="n">
        <v>22</v>
      </c>
      <c r="GB305" t="inlineStr">
        <is>
          <t>atgm_mam_l</t>
        </is>
      </c>
      <c r="GD305" t="inlineStr">
        <is>
          <t>Assets/MachineBrigade/Resources/Data/balance.json: weapons[83]</t>
        </is>
      </c>
      <c r="GE305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306">
      <c r="A306" t="inlineStr">
        <is>
          <t>rockets_300mm</t>
        </is>
      </c>
      <c r="B306" t="inlineStr">
        <is>
          <t>9M55 Smerch 300 mm</t>
        </is>
      </c>
      <c r="C306" t="inlineStr">
        <is>
          <t>rkt_smerch_300</t>
        </is>
      </c>
      <c r="D306" t="inlineStr"/>
      <c r="E306" t="inlineStr"/>
      <c r="F306" t="inlineStr">
        <is>
          <t>rocket</t>
        </is>
      </c>
      <c r="G306" t="n">
        <v>300</v>
      </c>
      <c r="H306" t="inlineStr"/>
      <c r="I306" t="inlineStr"/>
      <c r="J306" t="inlineStr"/>
      <c r="K306" t="inlineStr">
        <is>
          <t>HighExplosive</t>
        </is>
      </c>
      <c r="L306" t="n">
        <v>3</v>
      </c>
      <c r="M306" t="inlineStr">
        <is>
          <t>Rocket</t>
        </is>
      </c>
      <c r="N306" t="n">
        <v>1</v>
      </c>
      <c r="O306" t="inlineStr">
        <is>
          <t>RIPPLE</t>
        </is>
      </c>
      <c r="P306" t="n">
        <v>11</v>
      </c>
      <c r="Q306" t="n">
        <v>0.25</v>
      </c>
      <c r="R306" t="n">
        <v>15.76</v>
      </c>
      <c r="S306" t="n">
        <v>0</v>
      </c>
      <c r="T306" t="n">
        <v>0</v>
      </c>
      <c r="U306" t="n">
        <v>3</v>
      </c>
      <c r="V306" t="n">
        <v>0</v>
      </c>
      <c r="W306" t="n">
        <v>145</v>
      </c>
      <c r="X306" t="n">
        <v>8</v>
      </c>
      <c r="Y306" t="n">
        <v>0</v>
      </c>
      <c r="Z306" t="n">
        <v>80</v>
      </c>
      <c r="AA306" t="n">
        <v>140</v>
      </c>
      <c r="AB306" t="n">
        <v>30</v>
      </c>
      <c r="AC306" t="inlineStr">
        <is>
          <t>Ground</t>
        </is>
      </c>
      <c r="AD306" t="inlineStr"/>
      <c r="AE306" t="n">
        <v>9</v>
      </c>
      <c r="AF306" t="inlineStr">
        <is>
          <t>Huge</t>
        </is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300</v>
      </c>
      <c r="AO306" t="n">
        <v>0</v>
      </c>
      <c r="AP306" t="inlineStr">
        <is>
          <t>T4</t>
        </is>
      </c>
      <c r="AQ306" t="inlineStr"/>
      <c r="AR306" t="inlineStr"/>
      <c r="AS306" t="inlineStr">
        <is>
          <t>xe</t>
        </is>
      </c>
      <c r="AT306" t="inlineStr">
        <is>
          <t>heavy_rocket_artillery</t>
        </is>
      </c>
      <c r="AU306" t="n">
        <v>1</v>
      </c>
      <c r="AV306" t="inlineStr">
        <is>
          <t>heavy_rocket_artillery:0</t>
        </is>
      </c>
      <c r="AW306" t="n">
        <v>2.5</v>
      </c>
      <c r="AX306" t="b">
        <v>1</v>
      </c>
      <c r="AY306" t="inlineStr"/>
      <c r="AZ306">
        <f>IF(AND($AX$306,$AW$306&gt;$AA$306/$Z$306),$AW$306,$AA$306/$Z$306)</f>
        <v/>
      </c>
      <c r="BA306" t="n">
        <v>2.5</v>
      </c>
      <c r="BB306" t="n">
        <v>19</v>
      </c>
      <c r="BC306" t="inlineStr"/>
      <c r="BD306" t="inlineStr">
        <is>
          <t>rocket</t>
        </is>
      </c>
      <c r="BE306" t="inlineStr">
        <is>
          <t>Wikipedia 'BM-30 Smerch': 12 rockets in 38 s</t>
        </is>
      </c>
      <c r="BG306" t="inlineStr">
        <is>
          <t>doi</t>
        </is>
      </c>
      <c r="BR306" t="n">
        <v>55</v>
      </c>
      <c r="BS306" t="n">
        <v>80</v>
      </c>
      <c r="CN306" t="n">
        <v>3</v>
      </c>
      <c r="CR306" t="n">
        <v>11</v>
      </c>
      <c r="CS306" t="n">
        <v>0.25</v>
      </c>
      <c r="CT306" t="n">
        <v>300</v>
      </c>
      <c r="DD306" t="n">
        <v>15.76</v>
      </c>
      <c r="DE306" t="n">
        <v>145</v>
      </c>
      <c r="DF306" t="inlineStr">
        <is>
          <t>HighExplosive</t>
        </is>
      </c>
      <c r="DJ306" t="inlineStr">
        <is>
          <t>rocket</t>
        </is>
      </c>
      <c r="DS306" t="inlineStr">
        <is>
          <t>Huge</t>
        </is>
      </c>
      <c r="DZ306" t="n">
        <v>30</v>
      </c>
      <c r="EB306" t="n">
        <v>3</v>
      </c>
      <c r="EH306" t="inlineStr">
        <is>
          <t>Rocket</t>
        </is>
      </c>
      <c r="EK306" t="n">
        <v>80</v>
      </c>
      <c r="EP306" t="n">
        <v>140</v>
      </c>
      <c r="EQ306" t="inlineStr">
        <is>
          <t>9M55 Smerch 300 mm</t>
        </is>
      </c>
      <c r="EX306" t="n">
        <v>300</v>
      </c>
      <c r="EY306" t="n">
        <v>8</v>
      </c>
      <c r="EZ306" t="n">
        <v>9</v>
      </c>
      <c r="GB306" t="inlineStr">
        <is>
          <t>rkt_smerch_300</t>
        </is>
      </c>
      <c r="GD306" t="inlineStr">
        <is>
          <t>Assets/MachineBrigade/Resources/Data/balance.json: weapons[58]</t>
        </is>
      </c>
      <c r="GE306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mm","family":"rocket","size":300,"caliberMm":300,"pen":3,"damageType":"HighExplosive","damage":145,"cooldown":15.76,"range":140,"minRange":30,"projectileSpeed":80,"splash":8,"spread":9,"impactTier":"Huge","projectile":"Rocket","burst":11,"burstInterval":0.25,"ammo":3}</t>
        </is>
      </c>
    </row>
    <row r="307">
      <c r="A307" t="inlineStr">
        <is>
          <t>s8_pods</t>
        </is>
      </c>
      <c r="B307" t="inlineStr">
        <is>
          <t>S-8 80 mm</t>
        </is>
      </c>
      <c r="C307" t="inlineStr">
        <is>
          <t>rkt_70_80</t>
        </is>
      </c>
      <c r="D307" t="inlineStr"/>
      <c r="E307" t="inlineStr">
        <is>
          <t>s_8_80_mm</t>
        </is>
      </c>
      <c r="F307" t="inlineStr">
        <is>
          <t>rocket</t>
        </is>
      </c>
      <c r="G307" t="n">
        <v>80</v>
      </c>
      <c r="H307" t="inlineStr"/>
      <c r="I307" t="inlineStr"/>
      <c r="J307" t="inlineStr"/>
      <c r="K307" t="inlineStr">
        <is>
          <t>HighExplosive</t>
        </is>
      </c>
      <c r="L307" t="n">
        <v>2</v>
      </c>
      <c r="M307" t="inlineStr">
        <is>
          <t>Rocket</t>
        </is>
      </c>
      <c r="N307" t="n">
        <v>1</v>
      </c>
      <c r="O307" t="inlineStr">
        <is>
          <t>RIPPLE</t>
        </is>
      </c>
      <c r="P307" t="n">
        <v>8</v>
      </c>
      <c r="Q307" t="n">
        <v>0.05</v>
      </c>
      <c r="R307" t="n">
        <v>4.05</v>
      </c>
      <c r="S307" t="n">
        <v>0</v>
      </c>
      <c r="T307" t="n">
        <v>0</v>
      </c>
      <c r="U307" t="n">
        <v>0</v>
      </c>
      <c r="V307" t="n">
        <v>0</v>
      </c>
      <c r="W307" t="n">
        <v>32</v>
      </c>
      <c r="X307" t="n">
        <v>3</v>
      </c>
      <c r="Y307" t="n">
        <v>0</v>
      </c>
      <c r="Z307" t="n">
        <v>95</v>
      </c>
      <c r="AA307" t="n">
        <v>34</v>
      </c>
      <c r="AB307" t="n">
        <v>0</v>
      </c>
      <c r="AC307" t="inlineStr">
        <is>
          <t>Ground</t>
        </is>
      </c>
      <c r="AD307" t="inlineStr"/>
      <c r="AE307" t="n">
        <v>4.5</v>
      </c>
      <c r="AF307" t="inlineStr">
        <is>
          <t>Medium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80</v>
      </c>
      <c r="AO307" t="n">
        <v>16</v>
      </c>
      <c r="AP307" t="inlineStr">
        <is>
          <t>T2</t>
        </is>
      </c>
      <c r="AQ307" t="inlineStr"/>
      <c r="AR307" t="inlineStr"/>
      <c r="AS307" t="inlineStr">
        <is>
          <t>xe</t>
        </is>
      </c>
      <c r="AT307" t="inlineStr">
        <is>
          <t>attack_jet;elite_attack_jet</t>
        </is>
      </c>
      <c r="AU307" t="n">
        <v>2</v>
      </c>
      <c r="AV307" t="inlineStr">
        <is>
          <t>attack_jet:1;elite_attack_jet:1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0.3578947368421053</v>
      </c>
      <c r="BB307" t="n">
        <v>900</v>
      </c>
      <c r="BC307" t="inlineStr"/>
      <c r="BD307" t="inlineStr">
        <is>
          <t>rocket</t>
        </is>
      </c>
      <c r="BE307" t="inlineStr">
        <is>
          <t>rocket pods: ripples of 0.05-0.12 s (DECISIONS 19R)</t>
        </is>
      </c>
      <c r="BG307" t="inlineStr">
        <is>
          <t>doi</t>
        </is>
      </c>
      <c r="BR307" t="n">
        <v>40</v>
      </c>
      <c r="BS307" t="n">
        <v>95</v>
      </c>
      <c r="CR307" t="n">
        <v>8</v>
      </c>
      <c r="CS307" t="n">
        <v>0.05</v>
      </c>
      <c r="CT307" t="n">
        <v>80</v>
      </c>
      <c r="DD307" t="n">
        <v>4.05</v>
      </c>
      <c r="DE307" t="n">
        <v>32</v>
      </c>
      <c r="DF307" t="inlineStr">
        <is>
          <t>HighExplosive</t>
        </is>
      </c>
      <c r="DJ307" t="inlineStr">
        <is>
          <t>rocket</t>
        </is>
      </c>
      <c r="DS307" t="inlineStr">
        <is>
          <t>Medium</t>
        </is>
      </c>
      <c r="DW307" t="n">
        <v>16</v>
      </c>
      <c r="EB307" t="n">
        <v>2</v>
      </c>
      <c r="EH307" t="inlineStr">
        <is>
          <t>Rocket</t>
        </is>
      </c>
      <c r="EJ307" t="n">
        <v>0.9</v>
      </c>
      <c r="EP307" t="n">
        <v>34</v>
      </c>
      <c r="EQ307" t="inlineStr">
        <is>
          <t>S-8 80 mm</t>
        </is>
      </c>
      <c r="EX307" t="n">
        <v>80</v>
      </c>
      <c r="EZ307" t="n">
        <v>4.5</v>
      </c>
      <c r="GA307" t="inlineStr">
        <is>
          <t>s_8_80_mm</t>
        </is>
      </c>
      <c r="GB307" t="inlineStr">
        <is>
          <t>rkt_70_80</t>
        </is>
      </c>
      <c r="GD307" t="inlineStr">
        <is>
          <t>Assets/MachineBrigade/Resources/Data/balance.json: weapons[70]</t>
        </is>
      </c>
      <c r="GE307" t="inlineStr">
        <is>
          <t>{"id":"s8_pods","weaponFamilyId":"rkt_70_80","weaponFamily":"s_8_80_mm","load":16,"real":"S-8 80 mm","family":"rocket","size":80,"caliberMm":80,"pen":2,"projectileScale":0.9,"damageType":"HighExplosive","damage":32,"cooldown":4.05,"range":34,"spread":4.5,"impactTier":"Medium","projectile":"Rocket","burst":8,"burstInterval":0.05}</t>
        </is>
      </c>
    </row>
    <row r="308">
      <c r="A308" t="inlineStr">
        <is>
          <t>sam</t>
        </is>
      </c>
      <c r="B308" t="inlineStr">
        <is>
          <t>Starstreak / Stinger SHORAD</t>
        </is>
      </c>
      <c r="C308" t="inlineStr">
        <is>
          <t>sam_starstreak_stinger_shorad</t>
        </is>
      </c>
      <c r="D308" t="inlineStr"/>
      <c r="E308" t="inlineStr"/>
      <c r="F308" t="inlineStr">
        <is>
          <t>aa_missile</t>
        </is>
      </c>
      <c r="G308" t="inlineStr"/>
      <c r="H308" t="n">
        <v>1</v>
      </c>
      <c r="I308" t="inlineStr"/>
      <c r="J308" t="inlineStr"/>
      <c r="K308" t="inlineStr">
        <is>
          <t>Fragmentation</t>
        </is>
      </c>
      <c r="L308" t="n">
        <v>2</v>
      </c>
      <c r="M308" t="inlineStr">
        <is>
          <t>Missile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4.452</v>
      </c>
      <c r="S308" t="n">
        <v>0</v>
      </c>
      <c r="T308" t="n">
        <v>0</v>
      </c>
      <c r="U308" t="n">
        <v>0</v>
      </c>
      <c r="V308" t="n">
        <v>0</v>
      </c>
      <c r="W308" t="n">
        <v>170</v>
      </c>
      <c r="X308" t="n">
        <v>2</v>
      </c>
      <c r="Y308" t="n">
        <v>0</v>
      </c>
      <c r="Z308" t="n">
        <v>120</v>
      </c>
      <c r="AA308" t="n">
        <v>44</v>
      </c>
      <c r="AB308" t="n">
        <v>0</v>
      </c>
      <c r="AC308" t="inlineStr">
        <is>
          <t>Air</t>
        </is>
      </c>
      <c r="AD308" t="inlineStr"/>
      <c r="AE308" t="n">
        <v>0</v>
      </c>
      <c r="AF308" t="inlineStr">
        <is>
          <t>Medium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3</v>
      </c>
      <c r="AO308" t="n">
        <v>0</v>
      </c>
      <c r="AP308" t="inlineStr">
        <is>
          <t>T2</t>
        </is>
      </c>
      <c r="AQ308" t="inlineStr"/>
      <c r="AR308" t="inlineStr"/>
      <c r="AS308" t="inlineStr">
        <is>
          <t>boss;thap;xe</t>
        </is>
      </c>
      <c r="AT308" t="inlineStr">
        <is>
          <t>aa_turret;aa_vehicle;elite_aa;manpads_tower;mobile_fortress;nuke_train;typhon</t>
        </is>
      </c>
      <c r="AU308" t="n">
        <v>7</v>
      </c>
      <c r="AV308" t="inlineStr">
        <is>
          <t>aa_turret:1;aa_vehicle:1;elite_aa:1;manpads_tower:0;mobile_fortress:other;nuke_train:other;typhon:other</t>
        </is>
      </c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0.3666666666666666</v>
      </c>
      <c r="BB308" t="n">
        <v>20</v>
      </c>
      <c r="BC308" t="n">
        <v>10</v>
      </c>
      <c r="BD308" t="inlineStr">
        <is>
          <t>missile</t>
        </is>
      </c>
      <c r="BE308" t="inlineStr">
        <is>
          <t>Avenger / Stormer: ~3 s between rounds (est.); a MANPADS team 6-10 s</t>
        </is>
      </c>
      <c r="BG308" t="inlineStr">
        <is>
          <t>doi</t>
        </is>
      </c>
      <c r="BR308" t="n">
        <v>42</v>
      </c>
      <c r="BS308" t="n">
        <v>120</v>
      </c>
      <c r="DD308" t="n">
        <v>4.452</v>
      </c>
      <c r="DE308" t="n">
        <v>170</v>
      </c>
      <c r="DF308" t="inlineStr">
        <is>
          <t>Fragmentation</t>
        </is>
      </c>
      <c r="DJ308" t="inlineStr">
        <is>
          <t>aa_missile</t>
        </is>
      </c>
      <c r="DK308" t="n">
        <v>0.5</v>
      </c>
      <c r="DS308" t="inlineStr">
        <is>
          <t>Medium</t>
        </is>
      </c>
      <c r="EB308" t="n">
        <v>2</v>
      </c>
      <c r="EH308" t="inlineStr">
        <is>
          <t>Missile</t>
        </is>
      </c>
      <c r="EI308" t="inlineStr">
        <is>
          <t>shorad_dart</t>
        </is>
      </c>
      <c r="EJ308" t="n">
        <v>0.5527</v>
      </c>
      <c r="EK308" t="n">
        <v>120</v>
      </c>
      <c r="EP308" t="n">
        <v>44</v>
      </c>
      <c r="EQ308" t="inlineStr">
        <is>
          <t>Starstreak / Stinger SHORAD</t>
        </is>
      </c>
      <c r="ET308" t="n">
        <v>1.216</v>
      </c>
      <c r="EV308" t="n">
        <v>210</v>
      </c>
      <c r="EX308" t="n">
        <v>3</v>
      </c>
      <c r="EY308" t="n">
        <v>2</v>
      </c>
      <c r="FW308" t="inlineStr">
        <is>
          <t>Air</t>
        </is>
      </c>
      <c r="FZ308" t="n">
        <v>1</v>
      </c>
      <c r="GB308" t="inlineStr">
        <is>
          <t>sam_starstreak_stinger_shorad</t>
        </is>
      </c>
      <c r="GD308" t="inlineStr">
        <is>
          <t>Assets/MachineBrigade/Resources/Data/balance.json: weapons[20]</t>
        </is>
      </c>
      <c r="GE308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120,"splash":2,"impactTier":"Medium","projectile":"Missile","targets":"Air","flareResist":0.5,"roundWeight":210}</t>
        </is>
      </c>
    </row>
    <row r="309">
      <c r="A309" t="inlineStr">
        <is>
          <t>sam_48n6</t>
        </is>
      </c>
      <c r="B309" t="inlineStr">
        <is>
          <t>S-400 48N6</t>
        </is>
      </c>
      <c r="C309" t="inlineStr">
        <is>
          <t>sam_s_400_48n6</t>
        </is>
      </c>
      <c r="D309" t="inlineStr"/>
      <c r="E309" t="inlineStr"/>
      <c r="F309" t="inlineStr">
        <is>
          <t>aa_missile</t>
        </is>
      </c>
      <c r="G309" t="inlineStr"/>
      <c r="H309" t="n">
        <v>180</v>
      </c>
      <c r="I309" t="inlineStr"/>
      <c r="J309" t="inlineStr"/>
      <c r="K309" t="inlineStr">
        <is>
          <t>Fragmentation</t>
        </is>
      </c>
      <c r="L309" t="n">
        <v>3</v>
      </c>
      <c r="M309" t="inlineStr">
        <is>
          <t>Missile</t>
        </is>
      </c>
      <c r="N309" t="n">
        <v>1</v>
      </c>
      <c r="O309" t="inlineStr">
        <is>
          <t>RIPPLE</t>
        </is>
      </c>
      <c r="P309" t="n">
        <v>1</v>
      </c>
      <c r="Q309" t="n">
        <v>0.1</v>
      </c>
      <c r="R309" t="n">
        <v>7.2</v>
      </c>
      <c r="S309" t="n">
        <v>0</v>
      </c>
      <c r="T309" t="n">
        <v>0</v>
      </c>
      <c r="U309" t="n">
        <v>0</v>
      </c>
      <c r="V309" t="n">
        <v>0</v>
      </c>
      <c r="W309" t="n">
        <v>630</v>
      </c>
      <c r="X309" t="n">
        <v>7.2</v>
      </c>
      <c r="Y309" t="n">
        <v>0</v>
      </c>
      <c r="Z309" t="n">
        <v>170</v>
      </c>
      <c r="AA309" t="n">
        <v>95</v>
      </c>
      <c r="AB309" t="n">
        <v>20</v>
      </c>
      <c r="AC309" t="inlineStr">
        <is>
          <t>Air</t>
        </is>
      </c>
      <c r="AD309" t="inlineStr">
        <is>
          <t>high</t>
        </is>
      </c>
      <c r="AE309" t="n">
        <v>0</v>
      </c>
      <c r="AF309" t="inlineStr">
        <is>
          <t>Large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180</v>
      </c>
      <c r="AO309" t="n">
        <v>0</v>
      </c>
      <c r="AP309" t="inlineStr">
        <is>
          <t>T2</t>
        </is>
      </c>
      <c r="AQ309" t="inlineStr"/>
      <c r="AR309" t="inlineStr"/>
      <c r="AS309" t="inlineStr">
        <is>
          <t>xe</t>
        </is>
      </c>
      <c r="AT309" t="inlineStr">
        <is>
          <t>elite_long_sam;long_sam</t>
        </is>
      </c>
      <c r="AU309" t="n">
        <v>2</v>
      </c>
      <c r="AV309" t="inlineStr">
        <is>
          <t>elite_long_sam:0;long_sam:0</t>
        </is>
      </c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0.5588235294117647</v>
      </c>
      <c r="BB309" t="n">
        <v>20</v>
      </c>
      <c r="BC309" t="n">
        <v>6</v>
      </c>
      <c r="BD309" t="inlineStr">
        <is>
          <t>missile</t>
        </is>
      </c>
      <c r="BE309" t="inlineStr">
        <is>
          <t>Wikipedia 'S-400': 3 s between launches</t>
        </is>
      </c>
      <c r="BG309" t="inlineStr">
        <is>
          <t>doi</t>
        </is>
      </c>
      <c r="BR309" t="n">
        <v>65</v>
      </c>
      <c r="BS309" t="n">
        <v>170</v>
      </c>
      <c r="CU309" t="inlineStr">
        <is>
          <t>high</t>
        </is>
      </c>
      <c r="DD309" t="n">
        <v>7.2</v>
      </c>
      <c r="DE309" t="n">
        <v>630</v>
      </c>
      <c r="DF309" t="inlineStr">
        <is>
          <t>Fragmentation</t>
        </is>
      </c>
      <c r="DJ309" t="inlineStr">
        <is>
          <t>aa_missile</t>
        </is>
      </c>
      <c r="DK309" t="n">
        <v>0.85</v>
      </c>
      <c r="DL309" t="inlineStr">
        <is>
          <t>Loft</t>
        </is>
      </c>
      <c r="DR309" t="n">
        <v>2</v>
      </c>
      <c r="DS309" t="inlineStr">
        <is>
          <t>Large</t>
        </is>
      </c>
      <c r="DZ309" t="n">
        <v>20</v>
      </c>
      <c r="EB309" t="n">
        <v>3</v>
      </c>
      <c r="EH309" t="inlineStr">
        <is>
          <t>Missile</t>
        </is>
      </c>
      <c r="EI309" t="inlineStr">
        <is>
          <t>patriot</t>
        </is>
      </c>
      <c r="EJ309" t="n">
        <v>1.7647</v>
      </c>
      <c r="EK309" t="n">
        <v>170</v>
      </c>
      <c r="EP309" t="n">
        <v>95</v>
      </c>
      <c r="EQ309" t="inlineStr">
        <is>
          <t>S-400 48N6</t>
        </is>
      </c>
      <c r="ET309" t="n">
        <v>6</v>
      </c>
      <c r="EX309" t="n">
        <v>180</v>
      </c>
      <c r="EY309" t="n">
        <v>7.2</v>
      </c>
      <c r="FW309" t="inlineStr">
        <is>
          <t>Air</t>
        </is>
      </c>
      <c r="FZ309" t="n">
        <v>180</v>
      </c>
      <c r="GB309" t="inlineStr">
        <is>
          <t>sam_s_400_48n6</t>
        </is>
      </c>
      <c r="GD309" t="inlineStr">
        <is>
          <t>Assets/MachineBrigade/Resources/Data/balance.json: weapons[101]</t>
        </is>
      </c>
      <c r="GE309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170,"splash":7.2,"impactTier":"Large","impactScale":2,"projectile":"Missile","targets":"Air","flareResist":0.85}</t>
        </is>
      </c>
    </row>
    <row r="310">
      <c r="A310" t="inlineStr">
        <is>
          <t>sam_battery</t>
        </is>
      </c>
      <c r="B310" t="inlineStr">
        <is>
          <t>MIM-104 Patriot PAC-2</t>
        </is>
      </c>
      <c r="C310" t="inlineStr">
        <is>
          <t>sam_mim_104_patriot_pac_2</t>
        </is>
      </c>
      <c r="D310" t="inlineStr"/>
      <c r="E310" t="inlineStr"/>
      <c r="F310" t="inlineStr">
        <is>
          <t>aa_missile</t>
        </is>
      </c>
      <c r="G310" t="inlineStr"/>
      <c r="H310" t="n">
        <v>90</v>
      </c>
      <c r="I310" t="inlineStr"/>
      <c r="J310" t="inlineStr"/>
      <c r="K310" t="inlineStr">
        <is>
          <t>Fragmentation</t>
        </is>
      </c>
      <c r="L310" t="n">
        <v>3</v>
      </c>
      <c r="M310" t="inlineStr">
        <is>
          <t>Missile</t>
        </is>
      </c>
      <c r="N310" t="n">
        <v>1</v>
      </c>
      <c r="O310" t="inlineStr">
        <is>
          <t>RIPPLE</t>
        </is>
      </c>
      <c r="P310" t="n">
        <v>2</v>
      </c>
      <c r="Q310" t="n">
        <v>3</v>
      </c>
      <c r="R310" t="n">
        <v>8</v>
      </c>
      <c r="S310" t="n">
        <v>0</v>
      </c>
      <c r="T310" t="n">
        <v>0</v>
      </c>
      <c r="U310" t="n">
        <v>0</v>
      </c>
      <c r="V310" t="n">
        <v>0</v>
      </c>
      <c r="W310" t="n">
        <v>340</v>
      </c>
      <c r="X310" t="n">
        <v>2.5</v>
      </c>
      <c r="Y310" t="n">
        <v>0</v>
      </c>
      <c r="Z310" t="n">
        <v>165</v>
      </c>
      <c r="AA310" t="n">
        <v>90</v>
      </c>
      <c r="AB310" t="n">
        <v>20</v>
      </c>
      <c r="AC310" t="inlineStr">
        <is>
          <t>Air</t>
        </is>
      </c>
      <c r="AD310" t="inlineStr">
        <is>
          <t>high</t>
        </is>
      </c>
      <c r="AE310" t="n">
        <v>0</v>
      </c>
      <c r="AF310" t="inlineStr">
        <is>
          <t>Large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90</v>
      </c>
      <c r="AO310" t="n">
        <v>0</v>
      </c>
      <c r="AP310" t="inlineStr">
        <is>
          <t>T2</t>
        </is>
      </c>
      <c r="AQ310" t="inlineStr"/>
      <c r="AR310" t="inlineStr"/>
      <c r="AS310" t="inlineStr">
        <is>
          <t>boss</t>
        </is>
      </c>
      <c r="AT310" t="inlineStr">
        <is>
          <t>nuke_train</t>
        </is>
      </c>
      <c r="AU310" t="n">
        <v>1</v>
      </c>
      <c r="AV310" t="inlineStr">
        <is>
          <t>nuke_train:4</t>
        </is>
      </c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0.5454545454545454</v>
      </c>
      <c r="BB310" t="n">
        <v>20</v>
      </c>
      <c r="BC310" t="n">
        <v>20</v>
      </c>
      <c r="BD310" t="inlineStr">
        <is>
          <t>missile</t>
        </is>
      </c>
      <c r="BE310" t="inlineStr">
        <is>
          <t>Wikipedia 'MIM-104 Patriot': ripples a few seconds apart (est. 3 s)</t>
        </is>
      </c>
      <c r="BF310" t="inlineStr">
        <is>
          <t>MIM-104 Patriot: the pair ~3 s apart (est.; 0.45 s was too fast), the 11 s cycle kept</t>
        </is>
      </c>
      <c r="BG310" t="inlineStr">
        <is>
          <t>doi</t>
        </is>
      </c>
      <c r="BJ310" t="n">
        <v>10.55</v>
      </c>
      <c r="BK310" t="n">
        <v>8</v>
      </c>
      <c r="BR310" t="n">
        <v>60</v>
      </c>
      <c r="BS310" t="n">
        <v>165</v>
      </c>
      <c r="BV310" t="n">
        <v>0.45</v>
      </c>
      <c r="BW310" t="n">
        <v>3</v>
      </c>
      <c r="CR310" t="n">
        <v>2</v>
      </c>
      <c r="CS310" t="n">
        <v>3</v>
      </c>
      <c r="CU310" t="inlineStr">
        <is>
          <t>high</t>
        </is>
      </c>
      <c r="DD310" t="n">
        <v>8</v>
      </c>
      <c r="DE310" t="n">
        <v>340</v>
      </c>
      <c r="DF310" t="inlineStr">
        <is>
          <t>Fragmentation</t>
        </is>
      </c>
      <c r="DJ310" t="inlineStr">
        <is>
          <t>aa_missile</t>
        </is>
      </c>
      <c r="DK310" t="n">
        <v>0.85</v>
      </c>
      <c r="DL310" t="inlineStr">
        <is>
          <t>Loft</t>
        </is>
      </c>
      <c r="DS310" t="inlineStr">
        <is>
          <t>Large</t>
        </is>
      </c>
      <c r="DZ310" t="n">
        <v>20</v>
      </c>
      <c r="EB310" t="n">
        <v>3</v>
      </c>
      <c r="EH310" t="inlineStr">
        <is>
          <t>Missile</t>
        </is>
      </c>
      <c r="EI310" t="inlineStr">
        <is>
          <t>patriot</t>
        </is>
      </c>
      <c r="EJ310" t="n">
        <v>1.2471</v>
      </c>
      <c r="EK310" t="n">
        <v>165</v>
      </c>
      <c r="EP310" t="n">
        <v>90</v>
      </c>
      <c r="EQ310" t="inlineStr">
        <is>
          <t>MIM-104 Patriot PAC-2</t>
        </is>
      </c>
      <c r="ET310" t="n">
        <v>4.24</v>
      </c>
      <c r="EX310" t="n">
        <v>90</v>
      </c>
      <c r="EY310" t="n">
        <v>2.5</v>
      </c>
      <c r="FW310" t="inlineStr">
        <is>
          <t>Air</t>
        </is>
      </c>
      <c r="FZ310" t="n">
        <v>90</v>
      </c>
      <c r="GA310" t="inlineStr"/>
      <c r="GB310" t="inlineStr">
        <is>
          <t>sam_mim_104_patriot_pac_2</t>
        </is>
      </c>
      <c r="GD310" t="inlineStr">
        <is>
          <t>Assets/MachineBrigade/Resources/Data/balance.json: weapons[87]</t>
        </is>
      </c>
      <c r="GE310" t="inlineStr">
        <is>
          <t>{"id":"sam_battery","weaponFamilyId":"sam_mim_104_patriot_pac_2","weaponFamily":"","projectileSpeed":165,"flightProfile":"Loft","splash":2.5,"projectileModel":"patriot","roundLength":4.24,"projectileScale":1.2471,"ceiling":"high","real":"MIM-104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311">
      <c r="A311" t="inlineStr">
        <is>
          <t>sam_battery_lrr</t>
        </is>
      </c>
      <c r="B311" t="inlineStr">
        <is>
          <t>MIM-104 Patriot PAC-2</t>
        </is>
      </c>
      <c r="C311" t="inlineStr">
        <is>
          <t>sam_mim_104_patriot_pac_2</t>
        </is>
      </c>
      <c r="D311" t="inlineStr"/>
      <c r="E311" t="inlineStr">
        <is>
          <t>mim_104_patriot_pac_2</t>
        </is>
      </c>
      <c r="F311" t="inlineStr">
        <is>
          <t>aa_missile</t>
        </is>
      </c>
      <c r="G311" t="inlineStr"/>
      <c r="H311" t="n">
        <v>90</v>
      </c>
      <c r="I311" t="inlineStr"/>
      <c r="J311" t="inlineStr"/>
      <c r="K311" t="inlineStr">
        <is>
          <t>Fragmentation</t>
        </is>
      </c>
      <c r="L311" t="n">
        <v>3</v>
      </c>
      <c r="M311" t="inlineStr">
        <is>
          <t>Missile</t>
        </is>
      </c>
      <c r="N311" t="n">
        <v>1</v>
      </c>
      <c r="O311" t="inlineStr">
        <is>
          <t>RIPPLE</t>
        </is>
      </c>
      <c r="P311" t="n">
        <v>2</v>
      </c>
      <c r="Q311" t="n">
        <v>0.45</v>
      </c>
      <c r="R311" t="n">
        <v>3.45</v>
      </c>
      <c r="S311" t="n">
        <v>0</v>
      </c>
      <c r="T311" t="n">
        <v>0</v>
      </c>
      <c r="U311" t="n">
        <v>0</v>
      </c>
      <c r="V311" t="n">
        <v>0</v>
      </c>
      <c r="W311" t="n">
        <v>340</v>
      </c>
      <c r="X311" t="n">
        <v>2.5</v>
      </c>
      <c r="Y311" t="n">
        <v>0</v>
      </c>
      <c r="Z311" t="n">
        <v>165</v>
      </c>
      <c r="AA311" t="n">
        <v>100</v>
      </c>
      <c r="AB311" t="n">
        <v>20</v>
      </c>
      <c r="AC311" t="inlineStr">
        <is>
          <t>Air</t>
        </is>
      </c>
      <c r="AD311" t="inlineStr">
        <is>
          <t>high</t>
        </is>
      </c>
      <c r="AE311" t="n">
        <v>0</v>
      </c>
      <c r="AF311" t="inlineStr">
        <is>
          <t>Large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90</v>
      </c>
      <c r="AO311" t="n">
        <v>0</v>
      </c>
      <c r="AP311" t="inlineStr">
        <is>
          <t>T2</t>
        </is>
      </c>
      <c r="AQ311" t="inlineStr">
        <is>
          <t>patriot</t>
        </is>
      </c>
      <c r="AR311" t="inlineStr"/>
      <c r="AS311" t="inlineStr">
        <is>
          <t>thap</t>
        </is>
      </c>
      <c r="AT311" t="inlineStr">
        <is>
          <t>missile_battery.lrr</t>
        </is>
      </c>
      <c r="AU311" t="n">
        <v>1</v>
      </c>
      <c r="AV311" t="inlineStr">
        <is>
          <t>missile_battery.lrr:0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0.6060606060606061</v>
      </c>
      <c r="BB311" t="n">
        <v>20</v>
      </c>
      <c r="BC311" t="n">
        <v>20</v>
      </c>
      <c r="BD311" t="inlineStr">
        <is>
          <t>missile</t>
        </is>
      </c>
      <c r="BE311" t="inlineStr">
        <is>
          <t>Wikipedia 'MIM-104 Patriot': ripples a few seconds apart (est. 3 s)</t>
        </is>
      </c>
      <c r="BG311" t="inlineStr">
        <is>
          <t>doi</t>
        </is>
      </c>
      <c r="BR311" t="n">
        <v>60</v>
      </c>
      <c r="BS311" t="n">
        <v>165</v>
      </c>
      <c r="CS311" t="n">
        <v>0.45</v>
      </c>
      <c r="DD311" t="n">
        <v>3.45</v>
      </c>
      <c r="DJ311" t="inlineStr">
        <is>
          <t>aa_missile</t>
        </is>
      </c>
      <c r="DT311" t="inlineStr">
        <is>
          <t>patriot</t>
        </is>
      </c>
      <c r="EB311" t="n">
        <v>3</v>
      </c>
      <c r="EP311" t="n">
        <v>100</v>
      </c>
      <c r="EQ311" t="inlineStr">
        <is>
          <t>MIM-104 Patriot PAC-2</t>
        </is>
      </c>
      <c r="EX311" t="n">
        <v>90</v>
      </c>
      <c r="FZ311" t="n">
        <v>90</v>
      </c>
      <c r="GA311" t="inlineStr">
        <is>
          <t>mim_104_patriot_pac_2</t>
        </is>
      </c>
      <c r="GD311" t="inlineStr">
        <is>
          <t>Assets/MachineBrigade/Resources/Data/balance.json: weapons[126]</t>
        </is>
      </c>
      <c r="GE311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312">
      <c r="A312" t="inlineStr">
        <is>
          <t>sam_long</t>
        </is>
      </c>
      <c r="B312" t="inlineStr">
        <is>
          <t>9M317 Buk</t>
        </is>
      </c>
      <c r="C312" t="inlineStr">
        <is>
          <t>sam_9m317_buk</t>
        </is>
      </c>
      <c r="D312" t="inlineStr"/>
      <c r="E312" t="inlineStr">
        <is>
          <t>9m317_buk</t>
        </is>
      </c>
      <c r="F312" t="inlineStr">
        <is>
          <t>aa_missile</t>
        </is>
      </c>
      <c r="G312" t="inlineStr"/>
      <c r="H312" t="n">
        <v>70</v>
      </c>
      <c r="I312" t="inlineStr"/>
      <c r="J312" t="inlineStr"/>
      <c r="K312" t="inlineStr">
        <is>
          <t>Fragmentation</t>
        </is>
      </c>
      <c r="L312" t="n">
        <v>3</v>
      </c>
      <c r="M312" t="inlineStr">
        <is>
          <t>Missile</t>
        </is>
      </c>
      <c r="N312" t="n">
        <v>1</v>
      </c>
      <c r="O312" t="inlineStr">
        <is>
          <t>RIPPLE</t>
        </is>
      </c>
      <c r="P312" t="n">
        <v>2</v>
      </c>
      <c r="Q312" t="n">
        <v>0.5</v>
      </c>
      <c r="R312" t="n">
        <v>5.73</v>
      </c>
      <c r="S312" t="n">
        <v>0</v>
      </c>
      <c r="T312" t="n">
        <v>0</v>
      </c>
      <c r="U312" t="n">
        <v>0</v>
      </c>
      <c r="V312" t="n">
        <v>0</v>
      </c>
      <c r="W312" t="n">
        <v>320</v>
      </c>
      <c r="X312" t="n">
        <v>2</v>
      </c>
      <c r="Y312" t="n">
        <v>0</v>
      </c>
      <c r="Z312" t="n">
        <v>145</v>
      </c>
      <c r="AA312" t="n">
        <v>55</v>
      </c>
      <c r="AB312" t="n">
        <v>0</v>
      </c>
      <c r="AC312" t="inlineStr">
        <is>
          <t>Air</t>
        </is>
      </c>
      <c r="AD312" t="inlineStr"/>
      <c r="AE312" t="n">
        <v>0</v>
      </c>
      <c r="AF312" t="inlineStr">
        <is>
          <t>Medium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70</v>
      </c>
      <c r="AO312" t="n">
        <v>0</v>
      </c>
      <c r="AP312" t="inlineStr">
        <is>
          <t>T2</t>
        </is>
      </c>
      <c r="AQ312" t="inlineStr"/>
      <c r="AR312" t="inlineStr"/>
      <c r="AS312" t="inlineStr"/>
      <c r="AT312" t="inlineStr"/>
      <c r="AU312" t="n">
        <v>0</v>
      </c>
      <c r="AV312" t="inlineStr"/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0.3793103448275862</v>
      </c>
      <c r="BB312" t="n">
        <v>15</v>
      </c>
      <c r="BC312" t="n">
        <v>15</v>
      </c>
      <c r="BD312" t="inlineStr">
        <is>
          <t>missile</t>
        </is>
      </c>
      <c r="BE312" t="inlineStr">
        <is>
          <t>Wikipedia 'Buk missile system': 4 s between launches</t>
        </is>
      </c>
      <c r="BG312" t="inlineStr">
        <is>
          <t>doi</t>
        </is>
      </c>
      <c r="BR312" t="n">
        <v>50</v>
      </c>
      <c r="BS312" t="n">
        <v>145</v>
      </c>
      <c r="CR312" t="n">
        <v>2</v>
      </c>
      <c r="CS312" t="n">
        <v>0.5</v>
      </c>
      <c r="DD312" t="n">
        <v>5.73</v>
      </c>
      <c r="DE312" t="n">
        <v>320</v>
      </c>
      <c r="DF312" t="inlineStr">
        <is>
          <t>Fragmentation</t>
        </is>
      </c>
      <c r="DJ312" t="inlineStr">
        <is>
          <t>aa_missile</t>
        </is>
      </c>
      <c r="DK312" t="n">
        <v>0.8</v>
      </c>
      <c r="DS312" t="inlineStr">
        <is>
          <t>Medium</t>
        </is>
      </c>
      <c r="EB312" t="n">
        <v>3</v>
      </c>
      <c r="EH312" t="inlineStr">
        <is>
          <t>Missile</t>
        </is>
      </c>
      <c r="EP312" t="n">
        <v>55</v>
      </c>
      <c r="EQ312" t="inlineStr">
        <is>
          <t>9M317 Buk</t>
        </is>
      </c>
      <c r="EX312" t="n">
        <v>70</v>
      </c>
      <c r="FW312" t="inlineStr">
        <is>
          <t>Air</t>
        </is>
      </c>
      <c r="FZ312" t="n">
        <v>70</v>
      </c>
      <c r="GA312" t="inlineStr">
        <is>
          <t>9m317_buk</t>
        </is>
      </c>
      <c r="GB312" t="inlineStr">
        <is>
          <t>sam_9m317_buk</t>
        </is>
      </c>
      <c r="GD312" t="inlineStr">
        <is>
          <t>Assets/MachineBrigade/Resources/Data/balance.json: weapons[29]</t>
        </is>
      </c>
      <c r="GE312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313">
      <c r="A313" t="inlineStr">
        <is>
          <t>sam_pac3</t>
        </is>
      </c>
      <c r="B313" t="inlineStr">
        <is>
          <t>Patriot PAC-3 MSE</t>
        </is>
      </c>
      <c r="C313" t="inlineStr">
        <is>
          <t>sam_patriot_pac_3_mse</t>
        </is>
      </c>
      <c r="D313" t="inlineStr"/>
      <c r="E313" t="inlineStr"/>
      <c r="F313" t="inlineStr">
        <is>
          <t>aa_missile</t>
        </is>
      </c>
      <c r="G313" t="inlineStr"/>
      <c r="H313" t="n">
        <v>7</v>
      </c>
      <c r="I313" t="inlineStr"/>
      <c r="J313" t="inlineStr"/>
      <c r="K313" t="inlineStr">
        <is>
          <t>Fragmentation</t>
        </is>
      </c>
      <c r="L313" t="n">
        <v>3</v>
      </c>
      <c r="M313" t="inlineStr">
        <is>
          <t>Missile</t>
        </is>
      </c>
      <c r="N313" t="n">
        <v>1</v>
      </c>
      <c r="O313" t="inlineStr">
        <is>
          <t>RIPPLE</t>
        </is>
      </c>
      <c r="P313" t="n">
        <v>2</v>
      </c>
      <c r="Q313" t="n">
        <v>0.45</v>
      </c>
      <c r="R313" t="n">
        <v>6.25</v>
      </c>
      <c r="S313" t="n">
        <v>0</v>
      </c>
      <c r="T313" t="n">
        <v>0</v>
      </c>
      <c r="U313" t="n">
        <v>0</v>
      </c>
      <c r="V313" t="n">
        <v>0</v>
      </c>
      <c r="W313" t="n">
        <v>360</v>
      </c>
      <c r="X313" t="n">
        <v>2.5</v>
      </c>
      <c r="Y313" t="n">
        <v>0</v>
      </c>
      <c r="Z313" t="n">
        <v>165</v>
      </c>
      <c r="AA313" t="n">
        <v>72</v>
      </c>
      <c r="AB313" t="n">
        <v>20</v>
      </c>
      <c r="AC313" t="inlineStr">
        <is>
          <t>Air</t>
        </is>
      </c>
      <c r="AD313" t="inlineStr">
        <is>
          <t>high</t>
        </is>
      </c>
      <c r="AE313" t="n">
        <v>0</v>
      </c>
      <c r="AF313" t="inlineStr">
        <is>
          <t>Large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100</v>
      </c>
      <c r="AO313" t="n">
        <v>0</v>
      </c>
      <c r="AP313" t="inlineStr">
        <is>
          <t>T2</t>
        </is>
      </c>
      <c r="AQ313" t="inlineStr">
        <is>
          <t>sam_battery</t>
        </is>
      </c>
      <c r="AR313" t="inlineStr"/>
      <c r="AS313" t="inlineStr">
        <is>
          <t>thap</t>
        </is>
      </c>
      <c r="AT313" t="inlineStr">
        <is>
          <t>missile_battery.pac3</t>
        </is>
      </c>
      <c r="AU313" t="n">
        <v>1</v>
      </c>
      <c r="AV313" t="inlineStr">
        <is>
          <t>missile_battery.pac3:0</t>
        </is>
      </c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0.4363636363636363</v>
      </c>
      <c r="BB313" t="n">
        <v>20</v>
      </c>
      <c r="BC313" t="n">
        <v>20</v>
      </c>
      <c r="BD313" t="inlineStr">
        <is>
          <t>missile</t>
        </is>
      </c>
      <c r="BE313" t="inlineStr">
        <is>
          <t>Wikipedia 'MIM-104 Patriot': ripples a few seconds apart (est. 3 s)</t>
        </is>
      </c>
      <c r="BG313" t="inlineStr">
        <is>
          <t>doi</t>
        </is>
      </c>
      <c r="BR313" t="n">
        <v>65</v>
      </c>
      <c r="BS313" t="n">
        <v>165</v>
      </c>
      <c r="CS313" t="n">
        <v>0.45</v>
      </c>
      <c r="DD313" t="n">
        <v>6.25</v>
      </c>
      <c r="DE313" t="n">
        <v>360</v>
      </c>
      <c r="DJ313" t="inlineStr">
        <is>
          <t>aa_missile</t>
        </is>
      </c>
      <c r="DL313" t="inlineStr">
        <is>
          <t>Loft</t>
        </is>
      </c>
      <c r="DT313" t="inlineStr">
        <is>
          <t>sam_battery</t>
        </is>
      </c>
      <c r="EB313" t="n">
        <v>3</v>
      </c>
      <c r="EK313" t="n">
        <v>165</v>
      </c>
      <c r="EP313" t="n">
        <v>72</v>
      </c>
      <c r="EQ313" t="inlineStr">
        <is>
          <t>Patriot PAC-3 MSE</t>
        </is>
      </c>
      <c r="EX313" t="n">
        <v>100</v>
      </c>
      <c r="FZ313" t="n">
        <v>7</v>
      </c>
      <c r="GA313" t="inlineStr"/>
      <c r="GB313" t="inlineStr">
        <is>
          <t>sam_patriot_pac_3_mse</t>
        </is>
      </c>
      <c r="GD313" t="inlineStr">
        <is>
          <t>Assets/MachineBrigade/Resources/Data/balance.json: weapons[125]</t>
        </is>
      </c>
      <c r="GE313" t="inlineStr">
        <is>
          <t>{"id":"sam_pac3","flightProfile":"Loft","weaponFamily":"","projectileSpeed":165,"real":"Patriot PAC-3 MSE","family":"aa_missile","size":100,"warheadKg":7,"pen":3,"inherits":"sam_battery","weaponFamilyId":"sam_patriot_pac_3_mse","burstInterval":0.45,"damage":360,"range":72,"cooldown":6.25}</t>
        </is>
      </c>
    </row>
    <row r="314">
      <c r="A314" t="inlineStr">
        <is>
          <t>sam_post</t>
        </is>
      </c>
      <c r="B314" t="inlineStr">
        <is>
          <t>9M317 Buk</t>
        </is>
      </c>
      <c r="C314" t="inlineStr">
        <is>
          <t>sam_9m317_buk</t>
        </is>
      </c>
      <c r="D314" t="inlineStr"/>
      <c r="E314" t="inlineStr"/>
      <c r="F314" t="inlineStr">
        <is>
          <t>aa_missile</t>
        </is>
      </c>
      <c r="G314" t="inlineStr"/>
      <c r="H314" t="n">
        <v>70</v>
      </c>
      <c r="I314" t="inlineStr"/>
      <c r="J314" t="inlineStr"/>
      <c r="K314" t="inlineStr">
        <is>
          <t>Fragmentation</t>
        </is>
      </c>
      <c r="L314" t="n">
        <v>3</v>
      </c>
      <c r="M314" t="inlineStr">
        <is>
          <t>Missile</t>
        </is>
      </c>
      <c r="N314" t="n">
        <v>1</v>
      </c>
      <c r="O314" t="inlineStr">
        <is>
          <t>RIPPLE</t>
        </is>
      </c>
      <c r="P314" t="n">
        <v>2</v>
      </c>
      <c r="Q314" t="n">
        <v>0.5</v>
      </c>
      <c r="R314" t="n">
        <v>3.9</v>
      </c>
      <c r="S314" t="n">
        <v>0</v>
      </c>
      <c r="T314" t="n">
        <v>0</v>
      </c>
      <c r="U314" t="n">
        <v>0</v>
      </c>
      <c r="V314" t="n">
        <v>0</v>
      </c>
      <c r="W314" t="n">
        <v>320</v>
      </c>
      <c r="X314" t="n">
        <v>2</v>
      </c>
      <c r="Y314" t="n">
        <v>0</v>
      </c>
      <c r="Z314" t="n">
        <v>145</v>
      </c>
      <c r="AA314" t="n">
        <v>60</v>
      </c>
      <c r="AB314" t="n">
        <v>0</v>
      </c>
      <c r="AC314" t="inlineStr">
        <is>
          <t>Air</t>
        </is>
      </c>
      <c r="AD314" t="inlineStr"/>
      <c r="AE314" t="n">
        <v>0</v>
      </c>
      <c r="AF314" t="inlineStr">
        <is>
          <t>Medium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70</v>
      </c>
      <c r="AO314" t="n">
        <v>0</v>
      </c>
      <c r="AP314" t="inlineStr">
        <is>
          <t>T2</t>
        </is>
      </c>
      <c r="AQ314" t="inlineStr">
        <is>
          <t>sam_long</t>
        </is>
      </c>
      <c r="AR314" t="inlineStr"/>
      <c r="AS314" t="inlineStr">
        <is>
          <t>boss;boss_part</t>
        </is>
      </c>
      <c r="AT314" t="inlineStr">
        <is>
          <t>kraken;leviathan;mobile_fortress;sam_medium;typhon</t>
        </is>
      </c>
      <c r="AU314" t="n">
        <v>5</v>
      </c>
      <c r="AV314" t="inlineStr">
        <is>
          <t>kraken:15;leviathan:15;mobile_fortress:8;sam_medium:part;typhon:0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0.4137931034482759</v>
      </c>
      <c r="BB314" t="n">
        <v>15</v>
      </c>
      <c r="BC314" t="n">
        <v>15</v>
      </c>
      <c r="BD314" t="inlineStr">
        <is>
          <t>missile</t>
        </is>
      </c>
      <c r="BE314" t="inlineStr">
        <is>
          <t>Wikipedia 'Buk missile system': 4 s between launches</t>
        </is>
      </c>
      <c r="BG314" t="inlineStr">
        <is>
          <t>doi</t>
        </is>
      </c>
      <c r="BR314" t="n">
        <v>50</v>
      </c>
      <c r="BS314" t="n">
        <v>145</v>
      </c>
      <c r="DD314" t="n">
        <v>3.9</v>
      </c>
      <c r="DJ314" t="inlineStr">
        <is>
          <t>aa_missile</t>
        </is>
      </c>
      <c r="DT314" t="inlineStr">
        <is>
          <t>sam_long</t>
        </is>
      </c>
      <c r="EB314" t="n">
        <v>3</v>
      </c>
      <c r="EK314" t="n">
        <v>145</v>
      </c>
      <c r="EP314" t="n">
        <v>60</v>
      </c>
      <c r="EQ314" t="inlineStr">
        <is>
          <t>9M317 Buk</t>
        </is>
      </c>
      <c r="EX314" t="n">
        <v>70</v>
      </c>
      <c r="FZ314" t="n">
        <v>70</v>
      </c>
      <c r="GA314" t="inlineStr"/>
      <c r="GD314" t="inlineStr">
        <is>
          <t>Assets/MachineBrigade/Resources/Data/balance.json: weapons[123]</t>
        </is>
      </c>
      <c r="GE314" t="inlineStr">
        <is>
          <t>{"id":"sam_post","weaponFamily":"","projectileSpeed":145,"cooldown":3.9,"real":"9M317 Buk","family":"aa_missile","size":70,"warheadKg":70,"pen":3,"inherits":"sam_long","range":60}</t>
        </is>
      </c>
    </row>
    <row r="315">
      <c r="A315" t="inlineStr">
        <is>
          <t>scout_rockets</t>
        </is>
      </c>
      <c r="B315" t="inlineStr">
        <is>
          <t>Hydra 70 mm</t>
        </is>
      </c>
      <c r="C315" t="inlineStr">
        <is>
          <t>rkt_70_80</t>
        </is>
      </c>
      <c r="D315" t="inlineStr"/>
      <c r="E315" t="inlineStr">
        <is>
          <t>hydra_70_mm</t>
        </is>
      </c>
      <c r="F315" t="inlineStr">
        <is>
          <t>rocket</t>
        </is>
      </c>
      <c r="G315" t="n">
        <v>70</v>
      </c>
      <c r="H315" t="inlineStr"/>
      <c r="I315" t="inlineStr"/>
      <c r="J315" t="inlineStr"/>
      <c r="K315" t="inlineStr">
        <is>
          <t>HighExplosive</t>
        </is>
      </c>
      <c r="L315" t="n">
        <v>2</v>
      </c>
      <c r="M315" t="inlineStr">
        <is>
          <t>Rocket</t>
        </is>
      </c>
      <c r="N315" t="n">
        <v>1</v>
      </c>
      <c r="O315" t="inlineStr">
        <is>
          <t>RIPPLE</t>
        </is>
      </c>
      <c r="P315" t="n">
        <v>12</v>
      </c>
      <c r="Q315" t="n">
        <v>0.11</v>
      </c>
      <c r="R315" t="n">
        <v>7.4</v>
      </c>
      <c r="S315" t="n">
        <v>0</v>
      </c>
      <c r="T315" t="n">
        <v>0</v>
      </c>
      <c r="U315" t="n">
        <v>0</v>
      </c>
      <c r="V315" t="n">
        <v>0</v>
      </c>
      <c r="W315" t="n">
        <v>30</v>
      </c>
      <c r="X315" t="n">
        <v>3</v>
      </c>
      <c r="Y315" t="n">
        <v>0</v>
      </c>
      <c r="Z315" t="n">
        <v>95</v>
      </c>
      <c r="AA315" t="n">
        <v>28</v>
      </c>
      <c r="AB315" t="n">
        <v>0</v>
      </c>
      <c r="AC315" t="inlineStr">
        <is>
          <t>Ground</t>
        </is>
      </c>
      <c r="AD315" t="inlineStr"/>
      <c r="AE315" t="n">
        <v>3</v>
      </c>
      <c r="AF315" t="inlineStr">
        <is>
          <t>Medium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70</v>
      </c>
      <c r="AO315" t="n">
        <v>6</v>
      </c>
      <c r="AP315" t="inlineStr">
        <is>
          <t>T2</t>
        </is>
      </c>
      <c r="AQ315" t="inlineStr"/>
      <c r="AR315" t="inlineStr"/>
      <c r="AS315" t="inlineStr">
        <is>
          <t>xe</t>
        </is>
      </c>
      <c r="AT315" t="inlineStr">
        <is>
          <t>scout_heli</t>
        </is>
      </c>
      <c r="AU315" t="n">
        <v>1</v>
      </c>
      <c r="AV315" t="inlineStr">
        <is>
          <t>scout_heli:1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0.2947368421052631</v>
      </c>
      <c r="BB315" t="n">
        <v>900</v>
      </c>
      <c r="BC315" t="inlineStr"/>
      <c r="BD315" t="inlineStr">
        <is>
          <t>rocket</t>
        </is>
      </c>
      <c r="BE315" t="inlineStr">
        <is>
          <t>rocket pods: ripples of 0.05-0.12 s (DECISIONS 19R)</t>
        </is>
      </c>
      <c r="BG315" t="inlineStr">
        <is>
          <t>doi</t>
        </is>
      </c>
      <c r="BR315" t="n">
        <v>40</v>
      </c>
      <c r="BS315" t="n">
        <v>95</v>
      </c>
      <c r="CR315" t="n">
        <v>12</v>
      </c>
      <c r="CS315" t="n">
        <v>0.11</v>
      </c>
      <c r="CT315" t="n">
        <v>70</v>
      </c>
      <c r="DD315" t="n">
        <v>7.4</v>
      </c>
      <c r="DE315" t="n">
        <v>30</v>
      </c>
      <c r="DF315" t="inlineStr">
        <is>
          <t>HighExplosive</t>
        </is>
      </c>
      <c r="DJ315" t="inlineStr">
        <is>
          <t>rocket</t>
        </is>
      </c>
      <c r="DS315" t="inlineStr">
        <is>
          <t>Medium</t>
        </is>
      </c>
      <c r="DW315" t="n">
        <v>6</v>
      </c>
      <c r="EB315" t="n">
        <v>2</v>
      </c>
      <c r="EH315" t="inlineStr">
        <is>
          <t>Rocket</t>
        </is>
      </c>
      <c r="EJ315" t="n">
        <v>0.72</v>
      </c>
      <c r="EP315" t="n">
        <v>28</v>
      </c>
      <c r="EQ315" t="inlineStr">
        <is>
          <t>Hydra 70 mm</t>
        </is>
      </c>
      <c r="EX315" t="n">
        <v>70</v>
      </c>
      <c r="EZ315" t="n">
        <v>3</v>
      </c>
      <c r="GA315" t="inlineStr">
        <is>
          <t>hydra_70_mm</t>
        </is>
      </c>
      <c r="GB315" t="inlineStr">
        <is>
          <t>rkt_70_80</t>
        </is>
      </c>
      <c r="GD315" t="inlineStr">
        <is>
          <t>Assets/MachineBrigade/Resources/Data/balance.json: weapons[37]</t>
        </is>
      </c>
      <c r="GE315" t="inlineStr">
        <is>
          <t>{"id":"scout_rockets","weaponFamilyId":"rkt_70_80","weaponFamily":"hydra_70_mm","load":6,"real":"Hydra 70 mm","family":"rocket","size":70,"caliberMm":70,"pen":2,"projectileScale":0.72,"damageType":"HighExplosive","damage":30,"cooldown":7.4,"range":28,"spread":3,"impactTier":"Medium","projectile":"Rocket","burst":12,"burstInterval":0.11}</t>
        </is>
      </c>
    </row>
    <row r="316">
      <c r="A316" t="inlineStr">
        <is>
          <t>scylla_2m7</t>
        </is>
      </c>
      <c r="B316" t="inlineStr">
        <is>
          <t>2M-7 14.5 mm (twin HMG)</t>
        </is>
      </c>
      <c r="C316" t="inlineStr">
        <is>
          <t>cal_14_5</t>
        </is>
      </c>
      <c r="D316" t="inlineStr"/>
      <c r="E316" t="inlineStr"/>
      <c r="F316" t="inlineStr">
        <is>
          <t>mg</t>
        </is>
      </c>
      <c r="G316" t="n">
        <v>14.5</v>
      </c>
      <c r="H316" t="inlineStr"/>
      <c r="I316" t="inlineStr"/>
      <c r="J316" t="inlineStr"/>
      <c r="K316" t="inlineStr">
        <is>
          <t>Kinetic</t>
        </is>
      </c>
      <c r="L316" t="n">
        <v>1</v>
      </c>
      <c r="M316" t="inlineStr">
        <is>
          <t>Bullet</t>
        </is>
      </c>
      <c r="N316" t="n">
        <v>2</v>
      </c>
      <c r="O316" t="inlineStr">
        <is>
          <t>RIPPLE</t>
        </is>
      </c>
      <c r="P316" t="n">
        <v>1</v>
      </c>
      <c r="Q316" t="n">
        <v>0.1</v>
      </c>
      <c r="R316" t="n">
        <v>0.05</v>
      </c>
      <c r="S316" t="n">
        <v>40</v>
      </c>
      <c r="T316" t="n">
        <v>3</v>
      </c>
      <c r="U316" t="n">
        <v>0</v>
      </c>
      <c r="V316" t="n">
        <v>0</v>
      </c>
      <c r="W316" t="n">
        <v>11</v>
      </c>
      <c r="X316" t="n">
        <v>0</v>
      </c>
      <c r="Y316" t="n">
        <v>0</v>
      </c>
      <c r="Z316" t="n">
        <v>230</v>
      </c>
      <c r="AA316" t="n">
        <v>36</v>
      </c>
      <c r="AB316" t="n">
        <v>0</v>
      </c>
      <c r="AC316" t="inlineStr">
        <is>
          <t>Air</t>
        </is>
      </c>
      <c r="AD316" t="inlineStr"/>
      <c r="AE316" t="n">
        <v>1.3</v>
      </c>
      <c r="AF316" t="inlineStr">
        <is>
          <t>Small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14.5</v>
      </c>
      <c r="AO316" t="n">
        <v>0</v>
      </c>
      <c r="AP316" t="inlineStr">
        <is>
          <t>T0</t>
        </is>
      </c>
      <c r="AQ316" t="inlineStr">
        <is>
          <t>hmg_roof</t>
        </is>
      </c>
      <c r="AR316" t="inlineStr"/>
      <c r="AS316" t="inlineStr">
        <is>
          <t>boss</t>
        </is>
      </c>
      <c r="AT316" t="inlineStr">
        <is>
          <t>scylla</t>
        </is>
      </c>
      <c r="AU316" t="n">
        <v>1</v>
      </c>
      <c r="AV316" t="inlineStr">
        <is>
          <t>scylla:4;scylla:5</t>
        </is>
      </c>
      <c r="AW316" t="n">
        <v>0</v>
      </c>
      <c r="AX316" t="b">
        <v>0</v>
      </c>
      <c r="AY316" t="inlineStr">
        <is>
          <t>KHONG_AP_DUNG</t>
        </is>
      </c>
      <c r="AZ316">
        <f>IF(AND($AX$316,$AW$316&gt;$AA$316/$Z$316),$AW$316,$AA$316/$Z$316)</f>
        <v/>
      </c>
      <c r="BA316" t="n">
        <v>0.1565217391304348</v>
      </c>
      <c r="BB316" t="inlineStr">
        <is>
          <t>NEED_SOURCE</t>
        </is>
      </c>
      <c r="BC316" t="inlineStr">
        <is>
          <t>NEED_SOURCE</t>
        </is>
      </c>
      <c r="BE316" t="inlineStr">
        <is>
          <t>NEED_SOURCE</t>
        </is>
      </c>
      <c r="BG316" t="inlineStr">
        <is>
          <t>moi</t>
        </is>
      </c>
      <c r="CO316" t="n">
        <v>2</v>
      </c>
      <c r="CT316" t="n">
        <v>14.5</v>
      </c>
      <c r="CW316" t="n">
        <v>40</v>
      </c>
      <c r="CX316" t="n">
        <v>3</v>
      </c>
      <c r="DD316" t="n">
        <v>0.05</v>
      </c>
      <c r="DE316" t="n">
        <v>11</v>
      </c>
      <c r="DT316" t="inlineStr">
        <is>
          <t>hmg_roof</t>
        </is>
      </c>
      <c r="EP316" t="n">
        <v>36</v>
      </c>
      <c r="EQ316" t="inlineStr">
        <is>
          <t>2M-7 14.5 mm (twin HMG)</t>
        </is>
      </c>
      <c r="EX316" t="n">
        <v>14.5</v>
      </c>
      <c r="FW316" t="inlineStr">
        <is>
          <t>Air</t>
        </is>
      </c>
      <c r="GA316" t="inlineStr"/>
      <c r="GB316" t="inlineStr">
        <is>
          <t>cal_14_5</t>
        </is>
      </c>
      <c r="GD316" t="inlineStr">
        <is>
          <t>Assets/MachineBrigade/Resources/Data/balance.json: weapons[274]</t>
        </is>
      </c>
      <c r="GE316" t="inlineStr">
        <is>
          <t>{"id":"scylla_2m7","inherits":"hmg_roof","weaponFamily":"","weaponFamilyId":"cal_14_5","real":"2M-7 14.5 mm (twin HMG)","size":14.5,"caliberMm":14.5,"barrels":2,"damage":11,"cooldown":0.05,"range":36,"clip":40,"clipReload":3,"targets":"Air"}</t>
        </is>
      </c>
    </row>
    <row r="317">
      <c r="A317" t="inlineStr">
        <is>
          <t>scylla_ak230</t>
        </is>
      </c>
      <c r="B317" t="inlineStr">
        <is>
          <t>AK-230 30 mm (twin, enclosed)</t>
        </is>
      </c>
      <c r="C317" t="inlineStr">
        <is>
          <t>cal_30</t>
        </is>
      </c>
      <c r="D317" t="inlineStr"/>
      <c r="E317" t="inlineStr"/>
      <c r="F317" t="inlineStr">
        <is>
          <t>autocannon</t>
        </is>
      </c>
      <c r="G317" t="n">
        <v>30</v>
      </c>
      <c r="H317" t="inlineStr"/>
      <c r="I317" t="inlineStr"/>
      <c r="J317" t="inlineStr"/>
      <c r="K317" t="inlineStr">
        <is>
          <t>Fragmentation</t>
        </is>
      </c>
      <c r="L317" t="n">
        <v>1</v>
      </c>
      <c r="M317" t="inlineStr">
        <is>
          <t>Bullet</t>
        </is>
      </c>
      <c r="N317" t="n">
        <v>2</v>
      </c>
      <c r="O317" t="inlineStr">
        <is>
          <t>RIPPLE</t>
        </is>
      </c>
      <c r="P317" t="n">
        <v>1</v>
      </c>
      <c r="Q317" t="n">
        <v>0.1</v>
      </c>
      <c r="R317" t="n">
        <v>0.06</v>
      </c>
      <c r="S317" t="n">
        <v>24</v>
      </c>
      <c r="T317" t="n">
        <v>2.6</v>
      </c>
      <c r="U317" t="n">
        <v>0</v>
      </c>
      <c r="V317" t="n">
        <v>0</v>
      </c>
      <c r="W317" t="n">
        <v>20</v>
      </c>
      <c r="X317" t="n">
        <v>0</v>
      </c>
      <c r="Y317" t="n">
        <v>0</v>
      </c>
      <c r="Z317" t="n">
        <v>240</v>
      </c>
      <c r="AA317" t="n">
        <v>45</v>
      </c>
      <c r="AB317" t="n">
        <v>0</v>
      </c>
      <c r="AC317" t="inlineStr">
        <is>
          <t>Air</t>
        </is>
      </c>
      <c r="AD317" t="inlineStr"/>
      <c r="AE317" t="n">
        <v>1.2</v>
      </c>
      <c r="AF317" t="inlineStr">
        <is>
          <t>Small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30</v>
      </c>
      <c r="AO317" t="n">
        <v>0</v>
      </c>
      <c r="AP317" t="inlineStr">
        <is>
          <t>T1</t>
        </is>
      </c>
      <c r="AQ317" t="inlineStr">
        <is>
          <t>aa_25_triple</t>
        </is>
      </c>
      <c r="AR317" t="inlineStr"/>
      <c r="AS317" t="inlineStr">
        <is>
          <t>boss</t>
        </is>
      </c>
      <c r="AT317" t="inlineStr">
        <is>
          <t>scylla</t>
        </is>
      </c>
      <c r="AU317" t="n">
        <v>1</v>
      </c>
      <c r="AV317" t="inlineStr">
        <is>
          <t>scylla:2;scylla:3</t>
        </is>
      </c>
      <c r="AW317" t="n">
        <v>0</v>
      </c>
      <c r="AX317" t="b">
        <v>0</v>
      </c>
      <c r="AY317" t="inlineStr">
        <is>
          <t>KHONG_AP_DUNG</t>
        </is>
      </c>
      <c r="AZ317">
        <f>IF(AND($AX$317,$AW$317&gt;$AA$317/$Z$317),$AW$317,$AA$317/$Z$317)</f>
        <v/>
      </c>
      <c r="BA317" t="n">
        <v>0.1875</v>
      </c>
      <c r="BB317" t="inlineStr">
        <is>
          <t>NEED_SOURCE</t>
        </is>
      </c>
      <c r="BC317" t="inlineStr">
        <is>
          <t>NEED_SOURCE</t>
        </is>
      </c>
      <c r="BE317" t="inlineStr">
        <is>
          <t>NEED_SOURCE</t>
        </is>
      </c>
      <c r="BG317" t="inlineStr">
        <is>
          <t>moi</t>
        </is>
      </c>
      <c r="CO317" t="n">
        <v>2</v>
      </c>
      <c r="CT317" t="n">
        <v>30</v>
      </c>
      <c r="CW317" t="n">
        <v>24</v>
      </c>
      <c r="CX317" t="n">
        <v>2.6</v>
      </c>
      <c r="DD317" t="n">
        <v>0.06</v>
      </c>
      <c r="DE317" t="n">
        <v>20</v>
      </c>
      <c r="DT317" t="inlineStr">
        <is>
          <t>aa_25_triple</t>
        </is>
      </c>
      <c r="EP317" t="n">
        <v>45</v>
      </c>
      <c r="EQ317" t="inlineStr">
        <is>
          <t>AK-230 30 mm (twin, enclosed)</t>
        </is>
      </c>
      <c r="EX317" t="n">
        <v>30</v>
      </c>
      <c r="EZ317" t="n">
        <v>1.2</v>
      </c>
      <c r="FW317" t="inlineStr">
        <is>
          <t>Air</t>
        </is>
      </c>
      <c r="GB317" t="inlineStr">
        <is>
          <t>cal_30</t>
        </is>
      </c>
      <c r="GC317" t="inlineStr"/>
      <c r="GD317" t="inlineStr">
        <is>
          <t>Assets/MachineBrigade/Resources/Data/balance.json: weapons[273]</t>
        </is>
      </c>
      <c r="GE317" t="inlineStr">
        <is>
          <t>{"id":"scylla_ak230","inherits":"aa_25_triple","weaponFamilyId":"cal_30","weaponVariantId":"","real":"AK-230 30 mm (twin, enclosed)","size":30,"caliberMm":30,"barrels":2,"damage":20,"cooldown":0.06,"range":45,"spread":1.2,"clip":24,"clipReload":2.6,"targets":"Air"}</t>
        </is>
      </c>
    </row>
    <row r="318">
      <c r="A318" t="inlineStr">
        <is>
          <t>scylla_kh35</t>
        </is>
      </c>
      <c r="B318" t="inlineStr">
        <is>
          <t>Kh-35U Uran (quad canister bank)</t>
        </is>
      </c>
      <c r="C318" t="inlineStr">
        <is>
          <t>msl_nsm_p_800_oniks</t>
        </is>
      </c>
      <c r="D318" t="inlineStr"/>
      <c r="E318" t="inlineStr"/>
      <c r="F318" t="inlineStr">
        <is>
          <t>missile</t>
        </is>
      </c>
      <c r="G318" t="inlineStr"/>
      <c r="H318" t="n">
        <v>145</v>
      </c>
      <c r="I318" t="inlineStr"/>
      <c r="J318" t="inlineStr"/>
      <c r="K318" t="inlineStr">
        <is>
          <t>HighExplosive</t>
        </is>
      </c>
      <c r="L318" t="n">
        <v>4</v>
      </c>
      <c r="M318" t="inlineStr">
        <is>
          <t>Missile</t>
        </is>
      </c>
      <c r="N318" t="n">
        <v>1</v>
      </c>
      <c r="O318" t="inlineStr">
        <is>
          <t>RIPPLE</t>
        </is>
      </c>
      <c r="P318" t="n">
        <v>2</v>
      </c>
      <c r="Q318" t="n">
        <v>0.7</v>
      </c>
      <c r="R318" t="n">
        <v>22</v>
      </c>
      <c r="S318" t="n">
        <v>0</v>
      </c>
      <c r="T318" t="n">
        <v>0</v>
      </c>
      <c r="U318" t="n">
        <v>0</v>
      </c>
      <c r="V318" t="n">
        <v>0</v>
      </c>
      <c r="W318" t="n">
        <v>230</v>
      </c>
      <c r="X318" t="n">
        <v>6</v>
      </c>
      <c r="Y318" t="n">
        <v>0</v>
      </c>
      <c r="Z318" t="n">
        <v>90</v>
      </c>
      <c r="AA318" t="n">
        <v>110</v>
      </c>
      <c r="AB318" t="n">
        <v>0</v>
      </c>
      <c r="AC318" t="inlineStr">
        <is>
          <t>Ground</t>
        </is>
      </c>
      <c r="AD318" t="inlineStr"/>
      <c r="AE318" t="n">
        <v>0</v>
      </c>
      <c r="AF318" t="inlineStr">
        <is>
          <t>Large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500</v>
      </c>
      <c r="AO318" t="n">
        <v>0</v>
      </c>
      <c r="AP318" t="inlineStr">
        <is>
          <t>T4</t>
        </is>
      </c>
      <c r="AQ318" t="inlineStr">
        <is>
          <t>anti_ship_missile</t>
        </is>
      </c>
      <c r="AR318" t="inlineStr"/>
      <c r="AS318" t="inlineStr">
        <is>
          <t>boss</t>
        </is>
      </c>
      <c r="AT318" t="inlineStr">
        <is>
          <t>scylla</t>
        </is>
      </c>
      <c r="AU318" t="n">
        <v>1</v>
      </c>
      <c r="AV318" t="inlineStr">
        <is>
          <t>scylla:6;scylla:7</t>
        </is>
      </c>
      <c r="AW318" t="n">
        <v>2.5</v>
      </c>
      <c r="AX318" t="b">
        <v>0</v>
      </c>
      <c r="AY318" t="inlineStr"/>
      <c r="AZ318">
        <f>IF(AND($AX$318,$AW$318&gt;$AA$318/$Z$318),$AW$318,$AA$318/$Z$318)</f>
        <v/>
      </c>
      <c r="BA318" t="n">
        <v>1.222222222222222</v>
      </c>
      <c r="BB318" t="inlineStr">
        <is>
          <t>NEED_SOURCE</t>
        </is>
      </c>
      <c r="BC318" t="inlineStr">
        <is>
          <t>NEED_SOURCE</t>
        </is>
      </c>
      <c r="BE318" t="inlineStr">
        <is>
          <t>NEED_SOURCE</t>
        </is>
      </c>
      <c r="BG318" t="inlineStr">
        <is>
          <t>moi</t>
        </is>
      </c>
      <c r="CR318" t="n">
        <v>2</v>
      </c>
      <c r="CS318" t="n">
        <v>0.7</v>
      </c>
      <c r="DD318" t="n">
        <v>22</v>
      </c>
      <c r="DE318" t="n">
        <v>230</v>
      </c>
      <c r="DL318" t="inlineStr">
        <is>
          <t>Loft</t>
        </is>
      </c>
      <c r="DS318" t="inlineStr">
        <is>
          <t>Large</t>
        </is>
      </c>
      <c r="DT318" t="inlineStr">
        <is>
          <t>anti_ship_missile</t>
        </is>
      </c>
      <c r="EK318" t="n">
        <v>90</v>
      </c>
      <c r="EP318" t="n">
        <v>110</v>
      </c>
      <c r="EQ318" t="inlineStr">
        <is>
          <t>Kh-35U Uran (quad canister bank)</t>
        </is>
      </c>
      <c r="EX318" t="n">
        <v>500</v>
      </c>
      <c r="EY318" t="n">
        <v>6</v>
      </c>
      <c r="FZ318" t="n">
        <v>145</v>
      </c>
      <c r="GA318" t="inlineStr"/>
      <c r="GD318" t="inlineStr">
        <is>
          <t>Assets/MachineBrigade/Resources/Data/balance.json: weapons[275]</t>
        </is>
      </c>
      <c r="GE318" t="inlineStr">
        <is>
          <t>{"id":"scylla_kh35","inherits":"anti_ship_missile","weaponFamily":"","real":"Kh-35U Uran (quad canister bank)","size":500,"warheadKg":145,"flightProfile":"Loft","damage":230,"burst":2,"burstInterval":0.7,"cooldown":22,"range":110,"projectileSpeed":90,"splash":6,"impactTier":"Large"}</t>
        </is>
      </c>
    </row>
    <row r="319">
      <c r="A319" t="inlineStr">
        <is>
          <t>shahed</t>
        </is>
      </c>
      <c r="B319" t="inlineStr">
        <is>
          <t>Shahed-136 (50 kg)</t>
        </is>
      </c>
      <c r="C319" t="inlineStr">
        <is>
          <t>drone_shahed_136</t>
        </is>
      </c>
      <c r="D319" t="inlineStr"/>
      <c r="E319" t="inlineStr"/>
      <c r="F319" t="inlineStr">
        <is>
          <t>drone</t>
        </is>
      </c>
      <c r="G319" t="inlineStr"/>
      <c r="H319" t="n">
        <v>50</v>
      </c>
      <c r="I319" t="inlineStr"/>
      <c r="J319" t="inlineStr"/>
      <c r="K319" t="inlineStr">
        <is>
          <t>HighExplosive</t>
        </is>
      </c>
      <c r="L319" t="n">
        <v>3</v>
      </c>
      <c r="M319" t="inlineStr">
        <is>
          <t>Drone</t>
        </is>
      </c>
      <c r="N319" t="n">
        <v>1</v>
      </c>
      <c r="O319" t="inlineStr">
        <is>
          <t>RIPPLE</t>
        </is>
      </c>
      <c r="P319" t="n">
        <v>1</v>
      </c>
      <c r="Q319" t="n">
        <v>0.1</v>
      </c>
      <c r="R319" t="n">
        <v>8.5</v>
      </c>
      <c r="S319" t="n">
        <v>0</v>
      </c>
      <c r="T319" t="n">
        <v>0</v>
      </c>
      <c r="U319" t="n">
        <v>5</v>
      </c>
      <c r="V319" t="n">
        <v>8.5</v>
      </c>
      <c r="W319" t="n">
        <v>344</v>
      </c>
      <c r="X319" t="n">
        <v>4.5</v>
      </c>
      <c r="Y319" t="n">
        <v>0</v>
      </c>
      <c r="Z319" t="n">
        <v>20</v>
      </c>
      <c r="AA319" t="n">
        <v>150</v>
      </c>
      <c r="AB319" t="n">
        <v>20</v>
      </c>
      <c r="AC319" t="inlineStr">
        <is>
          <t>Ground</t>
        </is>
      </c>
      <c r="AD319" t="inlineStr"/>
      <c r="AE319" t="n">
        <v>0</v>
      </c>
      <c r="AF319" t="inlineStr">
        <is>
          <t>Huge</t>
        </is>
      </c>
      <c r="AG319" t="b">
        <v>1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50</v>
      </c>
      <c r="AO319" t="n">
        <v>0</v>
      </c>
      <c r="AP319" t="inlineStr">
        <is>
          <t>T3</t>
        </is>
      </c>
      <c r="AQ319" t="inlineStr"/>
      <c r="AR319" t="inlineStr"/>
      <c r="AS319" t="inlineStr">
        <is>
          <t>xe</t>
        </is>
      </c>
      <c r="AT319" t="inlineStr">
        <is>
          <t>shahed_truck</t>
        </is>
      </c>
      <c r="AU319" t="n">
        <v>1</v>
      </c>
      <c r="AV319" t="inlineStr">
        <is>
          <t>shahed_truck:0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7.5</v>
      </c>
      <c r="BB319" t="inlineStr">
        <is>
          <t>NEED_SOURCE</t>
        </is>
      </c>
      <c r="BC319" t="inlineStr">
        <is>
          <t>NEED_SOURCE</t>
        </is>
      </c>
      <c r="BE319" t="inlineStr">
        <is>
          <t>NEED_SOURCE</t>
        </is>
      </c>
      <c r="BG319" t="inlineStr">
        <is>
          <t>giong</t>
        </is>
      </c>
      <c r="CN319" t="n">
        <v>5</v>
      </c>
      <c r="DD319" t="n">
        <v>8.5</v>
      </c>
      <c r="DE319" t="n">
        <v>344</v>
      </c>
      <c r="DF319" t="inlineStr">
        <is>
          <t>HighExplosive</t>
        </is>
      </c>
      <c r="DJ319" t="inlineStr">
        <is>
          <t>drone</t>
        </is>
      </c>
      <c r="DS319" t="inlineStr">
        <is>
          <t>Huge</t>
        </is>
      </c>
      <c r="DZ319" t="n">
        <v>20</v>
      </c>
      <c r="EB319" t="n">
        <v>3</v>
      </c>
      <c r="EH319" t="inlineStr">
        <is>
          <t>Drone</t>
        </is>
      </c>
      <c r="EI319" t="inlineStr">
        <is>
          <t>shahed</t>
        </is>
      </c>
      <c r="EK319" t="n">
        <v>20</v>
      </c>
      <c r="EP319" t="n">
        <v>150</v>
      </c>
      <c r="EQ319" t="inlineStr">
        <is>
          <t>Shahed-136 (50 kg)</t>
        </is>
      </c>
      <c r="ER319" t="n">
        <v>8.5</v>
      </c>
      <c r="EX319" t="n">
        <v>50</v>
      </c>
      <c r="EY319" t="n">
        <v>4.5</v>
      </c>
      <c r="FY319" t="b">
        <v>1</v>
      </c>
      <c r="FZ319" t="n">
        <v>50</v>
      </c>
      <c r="GB319" t="inlineStr">
        <is>
          <t>drone_shahed_136</t>
        </is>
      </c>
      <c r="GD319" t="inlineStr">
        <is>
          <t>Assets/MachineBrigade/Resources/Data/balance.json: weapons[75]</t>
        </is>
      </c>
      <c r="GE319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320">
      <c r="A320" t="inlineStr">
        <is>
          <t>siege_gun_105</t>
        </is>
      </c>
      <c r="B320" t="inlineStr">
        <is>
          <t>L7 105 mm (siege tank)</t>
        </is>
      </c>
      <c r="C320" t="inlineStr">
        <is>
          <t>cal_100_105_ap</t>
        </is>
      </c>
      <c r="D320" t="inlineStr"/>
      <c r="E320" t="inlineStr">
        <is>
          <t>l7_105_mm</t>
        </is>
      </c>
      <c r="F320" t="inlineStr">
        <is>
          <t>tank_gun</t>
        </is>
      </c>
      <c r="G320" t="n">
        <v>105</v>
      </c>
      <c r="H320" t="inlineStr"/>
      <c r="I320" t="inlineStr"/>
      <c r="J320" t="inlineStr"/>
      <c r="K320" t="inlineStr">
        <is>
          <t>Kinetic</t>
        </is>
      </c>
      <c r="L320" t="n">
        <v>3</v>
      </c>
      <c r="M320" t="inlineStr">
        <is>
          <t>Shell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6.571</v>
      </c>
      <c r="S320" t="n">
        <v>0</v>
      </c>
      <c r="T320" t="n">
        <v>0</v>
      </c>
      <c r="U320" t="n">
        <v>0</v>
      </c>
      <c r="V320" t="n">
        <v>0</v>
      </c>
      <c r="W320" t="n">
        <v>303</v>
      </c>
      <c r="X320" t="n">
        <v>1.5</v>
      </c>
      <c r="Y320" t="n">
        <v>0</v>
      </c>
      <c r="Z320" t="n">
        <v>190</v>
      </c>
      <c r="AA320" t="n">
        <v>34</v>
      </c>
      <c r="AB320" t="n">
        <v>0</v>
      </c>
      <c r="AC320" t="inlineStr">
        <is>
          <t>Ground</t>
        </is>
      </c>
      <c r="AD320" t="inlineStr"/>
      <c r="AE320" t="n">
        <v>0.6</v>
      </c>
      <c r="AF320" t="inlineStr">
        <is>
          <t>Medium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105</v>
      </c>
      <c r="AO320" t="n">
        <v>0</v>
      </c>
      <c r="AP320" t="inlineStr">
        <is>
          <t>T2</t>
        </is>
      </c>
      <c r="AQ320" t="inlineStr">
        <is>
          <t>gun_105_bunker</t>
        </is>
      </c>
      <c r="AR320" t="inlineStr">
        <is>
          <t>siege_gun_105_he</t>
        </is>
      </c>
      <c r="AS320" t="inlineStr">
        <is>
          <t>xe</t>
        </is>
      </c>
      <c r="AT320" t="inlineStr">
        <is>
          <t>siege_tank</t>
        </is>
      </c>
      <c r="AU320" t="n">
        <v>1</v>
      </c>
      <c r="AV320" t="inlineStr">
        <is>
          <t>siege_tank:1</t>
        </is>
      </c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0.1789473684210526</v>
      </c>
      <c r="BB320" t="n">
        <v>10</v>
      </c>
      <c r="BC320" t="n">
        <v>6</v>
      </c>
      <c r="BD320" t="inlineStr">
        <is>
          <t>gun</t>
        </is>
      </c>
      <c r="BE320" t="inlineStr">
        <is>
          <t>Wikipedia 'Royal Ordnance L7': 6-10 rpm</t>
        </is>
      </c>
      <c r="BG320" t="inlineStr">
        <is>
          <t>doi</t>
        </is>
      </c>
      <c r="BH320" t="n">
        <v>212</v>
      </c>
      <c r="BI320" t="n">
        <v>303</v>
      </c>
      <c r="BJ320" t="n">
        <v>4.6</v>
      </c>
      <c r="BK320" t="n">
        <v>6.571</v>
      </c>
      <c r="CT320" t="n">
        <v>105</v>
      </c>
      <c r="DD320" t="n">
        <v>6.571</v>
      </c>
      <c r="DE320" t="n">
        <v>303</v>
      </c>
      <c r="DJ320" t="inlineStr">
        <is>
          <t>tank_gun</t>
        </is>
      </c>
      <c r="DT320" t="inlineStr">
        <is>
          <t>gun_105_bunker</t>
        </is>
      </c>
      <c r="EB320" t="n">
        <v>3</v>
      </c>
      <c r="EP320" t="n">
        <v>34</v>
      </c>
      <c r="EQ320" t="inlineStr">
        <is>
          <t>L7 105 mm (siege tank)</t>
        </is>
      </c>
      <c r="EX320" t="n">
        <v>105</v>
      </c>
      <c r="GA320" t="inlineStr">
        <is>
          <t>l7_105_mm</t>
        </is>
      </c>
      <c r="GD320" t="inlineStr">
        <is>
          <t>Assets/MachineBrigade/Resources/Data/balance.json: weapons[56]</t>
        </is>
      </c>
      <c r="GE320" t="inlineStr">
        <is>
          <t>{"id":"siege_gun_105","weaponFamily":"l7_105_mm","damage":303,"real":"L7 105 mm (siege tank)","family":"tank_gun","size":105,"caliberMm":105,"pen":3,"inherits":"gun_105_bunker","range":34,"cooldown":6.571}</t>
        </is>
      </c>
    </row>
    <row r="321">
      <c r="A321" t="inlineStr">
        <is>
          <t>siege_gun_105_he</t>
        </is>
      </c>
      <c r="B321" t="inlineStr">
        <is>
          <t>L7 105 mm HE (siege tank)</t>
        </is>
      </c>
      <c r="C321" t="inlineStr">
        <is>
          <t>cal_100_105_he</t>
        </is>
      </c>
      <c r="D321" t="inlineStr"/>
      <c r="E321" t="inlineStr">
        <is>
          <t>l7_105_mm_he</t>
        </is>
      </c>
      <c r="F321" t="inlineStr">
        <is>
          <t>tank_gun</t>
        </is>
      </c>
      <c r="G321" t="n">
        <v>105</v>
      </c>
      <c r="H321" t="inlineStr"/>
      <c r="I321" t="inlineStr"/>
      <c r="J321" t="inlineStr"/>
      <c r="K321" t="inlineStr">
        <is>
          <t>HighExplosive</t>
        </is>
      </c>
      <c r="L321" t="n">
        <v>2</v>
      </c>
      <c r="M321" t="inlineStr">
        <is>
          <t>Shell</t>
        </is>
      </c>
      <c r="N321" t="n">
        <v>1</v>
      </c>
      <c r="O321" t="inlineStr">
        <is>
          <t>RIPPLE</t>
        </is>
      </c>
      <c r="P321" t="n">
        <v>1</v>
      </c>
      <c r="Q321" t="n">
        <v>0.1</v>
      </c>
      <c r="R321" t="n">
        <v>6.571</v>
      </c>
      <c r="S321" t="n">
        <v>0</v>
      </c>
      <c r="T321" t="n">
        <v>0</v>
      </c>
      <c r="U321" t="n">
        <v>0</v>
      </c>
      <c r="V321" t="n">
        <v>0</v>
      </c>
      <c r="W321" t="n">
        <v>303</v>
      </c>
      <c r="X321" t="n">
        <v>3</v>
      </c>
      <c r="Y321" t="n">
        <v>0</v>
      </c>
      <c r="Z321" t="n">
        <v>190</v>
      </c>
      <c r="AA321" t="n">
        <v>34</v>
      </c>
      <c r="AB321" t="n">
        <v>0</v>
      </c>
      <c r="AC321" t="inlineStr">
        <is>
          <t>Ground</t>
        </is>
      </c>
      <c r="AD321" t="inlineStr"/>
      <c r="AE321" t="n">
        <v>0.6</v>
      </c>
      <c r="AF321" t="inlineStr">
        <is>
          <t>Large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105</v>
      </c>
      <c r="AO321" t="n">
        <v>0</v>
      </c>
      <c r="AP321" t="inlineStr">
        <is>
          <t>T2</t>
        </is>
      </c>
      <c r="AQ321" t="inlineStr">
        <is>
          <t>siege_gun_105</t>
        </is>
      </c>
      <c r="AR321" t="inlineStr"/>
      <c r="AS321" t="inlineStr"/>
      <c r="AT321" t="inlineStr"/>
      <c r="AU321" t="n">
        <v>0</v>
      </c>
      <c r="AV321" t="inlineStr"/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0.1789473684210526</v>
      </c>
      <c r="BB321" t="n">
        <v>10</v>
      </c>
      <c r="BC321" t="n">
        <v>6</v>
      </c>
      <c r="BD321" t="inlineStr">
        <is>
          <t>gun</t>
        </is>
      </c>
      <c r="BE321" t="inlineStr">
        <is>
          <t>Wikipedia 'Royal Ordnance L7': 6-10 rpm</t>
        </is>
      </c>
      <c r="BG321" t="inlineStr">
        <is>
          <t>doi</t>
        </is>
      </c>
      <c r="BH321" t="n">
        <v>212</v>
      </c>
      <c r="BI321" t="n">
        <v>303</v>
      </c>
      <c r="BJ321" t="n">
        <v>4.6</v>
      </c>
      <c r="BK321" t="n">
        <v>6.571</v>
      </c>
      <c r="DE321" t="n">
        <v>303</v>
      </c>
      <c r="DF321" t="inlineStr">
        <is>
          <t>HighExplosive</t>
        </is>
      </c>
      <c r="DM321" t="inlineStr">
        <is>
          <t>light;structure</t>
        </is>
      </c>
      <c r="DN321" t="inlineStr">
        <is>
          <t>HeShell</t>
        </is>
      </c>
      <c r="DS321" t="inlineStr">
        <is>
          <t>Large</t>
        </is>
      </c>
      <c r="DT321" t="inlineStr">
        <is>
          <t>siege_gun_105</t>
        </is>
      </c>
      <c r="EB321" t="n">
        <v>2</v>
      </c>
      <c r="EE321" t="b">
        <v>0</v>
      </c>
      <c r="EQ321" t="inlineStr">
        <is>
          <t>L7 105 mm HE (siege tank)</t>
        </is>
      </c>
      <c r="ES321" t="inlineStr">
        <is>
          <t>he</t>
        </is>
      </c>
      <c r="EU321" t="inlineStr">
        <is>
          <t>siege_gun_105</t>
        </is>
      </c>
      <c r="EY321" t="n">
        <v>3</v>
      </c>
      <c r="FW321" t="inlineStr">
        <is>
          <t>Ground</t>
        </is>
      </c>
      <c r="GA321" t="inlineStr">
        <is>
          <t>l7_105_mm_he</t>
        </is>
      </c>
      <c r="GB321" t="inlineStr">
        <is>
          <t>cal_100_105_he</t>
        </is>
      </c>
      <c r="GD321" t="inlineStr">
        <is>
          <t>Assets/MachineBrigade/Resources/Data/balance.json: secondRounds.rounds[55]</t>
        </is>
      </c>
      <c r="GE321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tank)","damageType":"HighExplosive","pen":2,"damage":303,"splash":3,"form":"HeShell","piercing":false,"targets":"Ground","impactTier":"Large"}</t>
        </is>
      </c>
    </row>
    <row r="322">
      <c r="A322" t="inlineStr">
        <is>
          <t>siege_mortar_240</t>
        </is>
      </c>
      <c r="B322" t="inlineStr">
        <is>
          <t>2B8 240 mm (siege tank)</t>
        </is>
      </c>
      <c r="C322" t="inlineStr">
        <is>
          <t>cal_240</t>
        </is>
      </c>
      <c r="D322" t="inlineStr"/>
      <c r="E322" t="inlineStr">
        <is>
          <t>2b8_240_mm</t>
        </is>
      </c>
      <c r="F322" t="inlineStr">
        <is>
          <t>mortar</t>
        </is>
      </c>
      <c r="G322" t="n">
        <v>240</v>
      </c>
      <c r="H322" t="inlineStr"/>
      <c r="I322" t="inlineStr"/>
      <c r="J322" t="inlineStr"/>
      <c r="K322" t="inlineStr">
        <is>
          <t>HighExplosive</t>
        </is>
      </c>
      <c r="L322" t="n">
        <v>4</v>
      </c>
      <c r="M322" t="inlineStr">
        <is>
          <t>Shell</t>
        </is>
      </c>
      <c r="N322" t="n">
        <v>1</v>
      </c>
      <c r="O322" t="inlineStr">
        <is>
          <t>RIPPLE</t>
        </is>
      </c>
      <c r="P322" t="n">
        <v>1</v>
      </c>
      <c r="Q322" t="n">
        <v>0.1</v>
      </c>
      <c r="R322" t="n">
        <v>10.884</v>
      </c>
      <c r="S322" t="n">
        <v>0</v>
      </c>
      <c r="T322" t="n">
        <v>0</v>
      </c>
      <c r="U322" t="n">
        <v>10</v>
      </c>
      <c r="V322" t="n">
        <v>28.57</v>
      </c>
      <c r="W322" t="n">
        <v>643</v>
      </c>
      <c r="X322" t="n">
        <v>9</v>
      </c>
      <c r="Y322" t="n">
        <v>0</v>
      </c>
      <c r="Z322" t="n">
        <v>40</v>
      </c>
      <c r="AA322" t="n">
        <v>70</v>
      </c>
      <c r="AB322" t="n">
        <v>16</v>
      </c>
      <c r="AC322" t="inlineStr">
        <is>
          <t>Ground</t>
        </is>
      </c>
      <c r="AD322" t="inlineStr"/>
      <c r="AE322" t="n">
        <v>5</v>
      </c>
      <c r="AF322" t="inlineStr">
        <is>
          <t>Ultimate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240</v>
      </c>
      <c r="AO322" t="n">
        <v>0</v>
      </c>
      <c r="AP322" t="inlineStr">
        <is>
          <t>T4</t>
        </is>
      </c>
      <c r="AQ322" t="inlineStr">
        <is>
          <t>mortar_240</t>
        </is>
      </c>
      <c r="AR322" t="inlineStr"/>
      <c r="AS322" t="inlineStr">
        <is>
          <t>xe</t>
        </is>
      </c>
      <c r="AT322" t="inlineStr">
        <is>
          <t>siege_tank</t>
        </is>
      </c>
      <c r="AU322" t="n">
        <v>1</v>
      </c>
      <c r="AV322" t="inlineStr">
        <is>
          <t>siege_tank:0</t>
        </is>
      </c>
      <c r="AW322" t="n">
        <v>2.5</v>
      </c>
      <c r="AX322" t="b">
        <v>1</v>
      </c>
      <c r="AY322" t="inlineStr"/>
      <c r="AZ322">
        <f>IF(AND($AX$322,$AW$322&gt;$AA$322/$Z$322),$AW$322,$AA$322/$Z$322)</f>
        <v/>
      </c>
      <c r="BA322" t="n">
        <v>2.5</v>
      </c>
      <c r="BB322" t="n">
        <v>1</v>
      </c>
      <c r="BC322" t="n">
        <v>1</v>
      </c>
      <c r="BD322" t="inlineStr">
        <is>
          <t>gun</t>
        </is>
      </c>
      <c r="BE322" t="inlineStr">
        <is>
          <t>Wikipedia '2S4 Tyulpan': ~1 rpm</t>
        </is>
      </c>
      <c r="BG322" t="inlineStr">
        <is>
          <t>doi</t>
        </is>
      </c>
      <c r="BH322" t="n">
        <v>450</v>
      </c>
      <c r="BI322" t="n">
        <v>643</v>
      </c>
      <c r="BJ322" t="n">
        <v>7.619</v>
      </c>
      <c r="BK322" t="n">
        <v>10.884</v>
      </c>
      <c r="BR322" t="n">
        <v>38</v>
      </c>
      <c r="BS322" t="n">
        <v>40</v>
      </c>
      <c r="CN322" t="n">
        <v>10</v>
      </c>
      <c r="CT322" t="n">
        <v>240</v>
      </c>
      <c r="DD322" t="n">
        <v>10.884</v>
      </c>
      <c r="DE322" t="n">
        <v>643</v>
      </c>
      <c r="DJ322" t="inlineStr">
        <is>
          <t>mortar</t>
        </is>
      </c>
      <c r="DT322" t="inlineStr">
        <is>
          <t>mortar_240</t>
        </is>
      </c>
      <c r="DZ322" t="n">
        <v>16</v>
      </c>
      <c r="EB322" t="n">
        <v>4</v>
      </c>
      <c r="EP322" t="n">
        <v>70</v>
      </c>
      <c r="EQ322" t="inlineStr">
        <is>
          <t>2B8 240 mm (siege tank)</t>
        </is>
      </c>
      <c r="ER322" t="n">
        <v>28.57</v>
      </c>
      <c r="EX322" t="n">
        <v>240</v>
      </c>
      <c r="GA322" t="inlineStr">
        <is>
          <t>2b8_240_mm</t>
        </is>
      </c>
      <c r="GD322" t="inlineStr">
        <is>
          <t>Assets/MachineBrigade/Resources/Data/balance.json: weapons[57]</t>
        </is>
      </c>
      <c r="GE322" t="inlineStr">
        <is>
          <t>{"id":"siege_mortar_240","weaponFamily":"2b8_240_mm","real":"2B8 240 mm (siege tank)","family":"mortar","size":240,"caliberMm":240,"pen":4,"inherits":"mortar_240","range":70,"minRange":16,"cooldown":10.884,"damage":643,"ammo":10,"reload":28.57,"bonuses":[{"armor":"Structure","mult":2}]}</t>
        </is>
      </c>
    </row>
    <row r="323">
      <c r="A323" t="inlineStr">
        <is>
          <t>spg9_73mm</t>
        </is>
      </c>
      <c r="B323" t="inlineStr">
        <is>
          <t>SPG-9 Kopyo 73 mm</t>
        </is>
      </c>
      <c r="C323" t="inlineStr">
        <is>
          <t>rcl_73</t>
        </is>
      </c>
      <c r="D323" t="inlineStr"/>
      <c r="E323" t="inlineStr"/>
      <c r="F323" t="inlineStr">
        <is>
          <t>recoilless</t>
        </is>
      </c>
      <c r="G323" t="n">
        <v>73</v>
      </c>
      <c r="H323" t="inlineStr"/>
      <c r="I323" t="inlineStr"/>
      <c r="J323" t="inlineStr"/>
      <c r="K323" t="inlineStr">
        <is>
          <t>ShapedCharge</t>
        </is>
      </c>
      <c r="L323" t="n">
        <v>3</v>
      </c>
      <c r="M323" t="inlineStr">
        <is>
          <t>Shell</t>
        </is>
      </c>
      <c r="N323" t="n">
        <v>1</v>
      </c>
      <c r="O323" t="inlineStr">
        <is>
          <t>RIPPLE</t>
        </is>
      </c>
      <c r="P323" t="n">
        <v>1</v>
      </c>
      <c r="Q323" t="n">
        <v>0.1</v>
      </c>
      <c r="R323" t="n">
        <v>9.529</v>
      </c>
      <c r="S323" t="n">
        <v>0</v>
      </c>
      <c r="T323" t="n">
        <v>0</v>
      </c>
      <c r="U323" t="n">
        <v>0</v>
      </c>
      <c r="V323" t="n">
        <v>0</v>
      </c>
      <c r="W323" t="n">
        <v>257</v>
      </c>
      <c r="X323" t="n">
        <v>0</v>
      </c>
      <c r="Y323" t="n">
        <v>0</v>
      </c>
      <c r="Z323" t="n">
        <v>120</v>
      </c>
      <c r="AA323" t="n">
        <v>28</v>
      </c>
      <c r="AB323" t="n">
        <v>0</v>
      </c>
      <c r="AC323" t="inlineStr">
        <is>
          <t>All</t>
        </is>
      </c>
      <c r="AD323" t="inlineStr"/>
      <c r="AE323" t="n">
        <v>1.5</v>
      </c>
      <c r="AF323" t="inlineStr">
        <is>
          <t>Medium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73</v>
      </c>
      <c r="AO323" t="n">
        <v>0</v>
      </c>
      <c r="AP323" t="inlineStr">
        <is>
          <t>T2</t>
        </is>
      </c>
      <c r="AQ323" t="inlineStr"/>
      <c r="AR323" t="inlineStr"/>
      <c r="AS323" t="inlineStr">
        <is>
          <t>thap</t>
        </is>
      </c>
      <c r="AT323" t="inlineStr">
        <is>
          <t>recoilless_gun_tower</t>
        </is>
      </c>
      <c r="AU323" t="n">
        <v>1</v>
      </c>
      <c r="AV323" t="inlineStr">
        <is>
          <t>recoilless_gun_tower:0</t>
        </is>
      </c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0.2333333333333333</v>
      </c>
      <c r="BB323" t="n">
        <v>6</v>
      </c>
      <c r="BC323" t="n">
        <v>4</v>
      </c>
      <c r="BD323" t="inlineStr">
        <is>
          <t>gun</t>
        </is>
      </c>
      <c r="BE323" t="inlineStr">
        <is>
          <t>Wikipedia 'SPG-9': 5-6 rpm</t>
        </is>
      </c>
      <c r="BG323" t="inlineStr">
        <is>
          <t>doi</t>
        </is>
      </c>
      <c r="BH323" t="n">
        <v>180</v>
      </c>
      <c r="BI323" t="n">
        <v>257</v>
      </c>
      <c r="BJ323" t="n">
        <v>6.67</v>
      </c>
      <c r="BK323" t="n">
        <v>9.529</v>
      </c>
      <c r="CT323" t="n">
        <v>73</v>
      </c>
      <c r="DD323" t="n">
        <v>9.529</v>
      </c>
      <c r="DE323" t="n">
        <v>257</v>
      </c>
      <c r="DF323" t="inlineStr">
        <is>
          <t>ShapedCharge</t>
        </is>
      </c>
      <c r="DJ323" t="inlineStr">
        <is>
          <t>recoilless</t>
        </is>
      </c>
      <c r="DS323" t="inlineStr">
        <is>
          <t>Medium</t>
        </is>
      </c>
      <c r="EB323" t="n">
        <v>3</v>
      </c>
      <c r="EH323" t="inlineStr">
        <is>
          <t>Shell</t>
        </is>
      </c>
      <c r="EK323" t="n">
        <v>120</v>
      </c>
      <c r="EP323" t="n">
        <v>28</v>
      </c>
      <c r="EQ323" t="inlineStr">
        <is>
          <t>SPG-9 Kopyo 73 mm</t>
        </is>
      </c>
      <c r="EX323" t="n">
        <v>73</v>
      </c>
      <c r="EZ323" t="n">
        <v>1.5</v>
      </c>
      <c r="FW323" t="inlineStr">
        <is>
          <t>All</t>
        </is>
      </c>
      <c r="GB323" t="inlineStr">
        <is>
          <t>rcl_73</t>
        </is>
      </c>
      <c r="GD323" t="inlineStr">
        <is>
          <t>Assets/MachineBrigade/Resources/Data/balance.json: weapons[286]</t>
        </is>
      </c>
      <c r="GE323" t="inlineStr">
        <is>
          <t>{"id":"spg9_73mm","weaponFamilyId":"rcl_73","real":"SPG-9 Kopyo 73 mm","family":"recoilless","size":73,"caliberMm":73,"pen":3,"damageType":"ShapedCharge","damage":257,"cooldown":9.529,"range":28,"projectileSpeed":120,"spread":1.5,"impactTier":"Medium","projectile":"Shell","targets":"All"}</t>
        </is>
      </c>
    </row>
    <row r="324">
      <c r="A324" t="inlineStr">
        <is>
          <t>stealth_payload</t>
        </is>
      </c>
      <c r="B324" t="inlineStr">
        <is>
          <t>GBU-31 JDAM (907 kg)</t>
        </is>
      </c>
      <c r="C324" t="inlineStr">
        <is>
          <t>bomb_gbu_31_jdam</t>
        </is>
      </c>
      <c r="D324" t="inlineStr"/>
      <c r="E324" t="inlineStr"/>
      <c r="F324" t="inlineStr">
        <is>
          <t>bomb</t>
        </is>
      </c>
      <c r="G324" t="inlineStr"/>
      <c r="H324" t="n">
        <v>907</v>
      </c>
      <c r="I324" t="inlineStr"/>
      <c r="J324" t="inlineStr"/>
      <c r="K324" t="inlineStr">
        <is>
          <t>HighExplosive</t>
        </is>
      </c>
      <c r="L324" t="n">
        <v>4</v>
      </c>
      <c r="M324" t="inlineStr">
        <is>
          <t>Bomb</t>
        </is>
      </c>
      <c r="N324" t="n">
        <v>1</v>
      </c>
      <c r="O324" t="inlineStr">
        <is>
          <t>RIPPLE</t>
        </is>
      </c>
      <c r="P324" t="n">
        <v>2</v>
      </c>
      <c r="Q324" t="n">
        <v>0.3</v>
      </c>
      <c r="R324" t="n">
        <v>14</v>
      </c>
      <c r="S324" t="n">
        <v>0</v>
      </c>
      <c r="T324" t="n">
        <v>0</v>
      </c>
      <c r="U324" t="n">
        <v>0</v>
      </c>
      <c r="V324" t="n">
        <v>0</v>
      </c>
      <c r="W324" t="n">
        <v>892</v>
      </c>
      <c r="X324" t="n">
        <v>13</v>
      </c>
      <c r="Y324" t="n">
        <v>0</v>
      </c>
      <c r="Z324" t="n">
        <v>40</v>
      </c>
      <c r="AA324" t="n">
        <v>30</v>
      </c>
      <c r="AB324" t="n">
        <v>0</v>
      </c>
      <c r="AC324" t="inlineStr">
        <is>
          <t>Ground</t>
        </is>
      </c>
      <c r="AD324" t="inlineStr"/>
      <c r="AE324" t="n">
        <v>2</v>
      </c>
      <c r="AF324" t="inlineStr">
        <is>
          <t>Ultimate</t>
        </is>
      </c>
      <c r="AG324" t="b">
        <v>1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1</v>
      </c>
      <c r="AN324" t="n">
        <v>907</v>
      </c>
      <c r="AO324" t="n">
        <v>2</v>
      </c>
      <c r="AP324" t="inlineStr">
        <is>
          <t>T4</t>
        </is>
      </c>
      <c r="AQ324" t="inlineStr"/>
      <c r="AR324" t="inlineStr"/>
      <c r="AS324" t="inlineStr">
        <is>
          <t>xe</t>
        </is>
      </c>
      <c r="AT324" t="inlineStr">
        <is>
          <t>stealth_bomber</t>
        </is>
      </c>
      <c r="AU324" t="n">
        <v>1</v>
      </c>
      <c r="AV324" t="inlineStr">
        <is>
          <t>stealth_bomber:0</t>
        </is>
      </c>
      <c r="AW324" t="n">
        <v>3.388888888888889</v>
      </c>
      <c r="AX324" t="b">
        <v>1</v>
      </c>
      <c r="AY324" t="inlineStr"/>
      <c r="AZ324">
        <f>IF(AND($AX$324,$AW$324&gt;$AA$324/$Z$324),$AW$324,$AA$324/$Z$324)</f>
        <v/>
      </c>
      <c r="BA324" t="n">
        <v>0.75</v>
      </c>
      <c r="BB324" t="n">
        <v>600</v>
      </c>
      <c r="BC324" t="inlineStr"/>
      <c r="BD324" t="inlineStr">
        <is>
          <t>bomb</t>
        </is>
      </c>
      <c r="BE324" t="inlineStr">
        <is>
          <t>a stick's release, 0.1 s and up (est.)</t>
        </is>
      </c>
      <c r="BG324" t="inlineStr">
        <is>
          <t>giong</t>
        </is>
      </c>
      <c r="CR324" t="n">
        <v>2</v>
      </c>
      <c r="CS324" t="n">
        <v>0.3</v>
      </c>
      <c r="DD324" t="n">
        <v>14</v>
      </c>
      <c r="DE324" t="n">
        <v>892</v>
      </c>
      <c r="DF324" t="inlineStr">
        <is>
          <t>HighExplosive</t>
        </is>
      </c>
      <c r="DJ324" t="inlineStr">
        <is>
          <t>bomb</t>
        </is>
      </c>
      <c r="DN324" t="inlineStr">
        <is>
          <t>HeavyBomb</t>
        </is>
      </c>
      <c r="DP324" t="b">
        <v>1</v>
      </c>
      <c r="DS324" t="inlineStr">
        <is>
          <t>Ultimate</t>
        </is>
      </c>
      <c r="DW324" t="n">
        <v>2</v>
      </c>
      <c r="EB324" t="n">
        <v>4</v>
      </c>
      <c r="EH324" t="inlineStr">
        <is>
          <t>Bomb</t>
        </is>
      </c>
      <c r="EI324" t="inlineStr">
        <is>
          <t>jdam</t>
        </is>
      </c>
      <c r="EJ324" t="n">
        <v>0.7185</v>
      </c>
      <c r="EK324" t="n">
        <v>40</v>
      </c>
      <c r="EP324" t="n">
        <v>30</v>
      </c>
      <c r="EQ324" t="inlineStr">
        <is>
          <t>GBU-31 JDAM (907 kg)</t>
        </is>
      </c>
      <c r="ET324" t="n">
        <v>1.94</v>
      </c>
      <c r="EX324" t="n">
        <v>907</v>
      </c>
      <c r="EY324" t="n">
        <v>13</v>
      </c>
      <c r="EZ324" t="n">
        <v>2</v>
      </c>
      <c r="FA324" t="inlineStr">
        <is>
          <t>CENTER</t>
        </is>
      </c>
      <c r="FB324" t="n">
        <v>1.5</v>
      </c>
      <c r="FC324" t="n">
        <v>2</v>
      </c>
      <c r="FD324" t="inlineStr">
        <is>
          <t>OVERFLY</t>
        </is>
      </c>
      <c r="FE324" t="n">
        <v>0</v>
      </c>
      <c r="FF324" t="n">
        <v>0</v>
      </c>
      <c r="FG324" t="inlineStr">
        <is>
          <t>APPROACH</t>
        </is>
      </c>
      <c r="FH324" t="n">
        <v>0.3</v>
      </c>
      <c r="FI324" t="n">
        <v>0</v>
      </c>
      <c r="FJ324" t="n">
        <v>0</v>
      </c>
      <c r="FK324" t="n">
        <v>0</v>
      </c>
      <c r="FL324" t="n">
        <v>0</v>
      </c>
      <c r="FM324" t="n">
        <v>0</v>
      </c>
      <c r="FN324" t="inlineStr">
        <is>
          <t>POINT</t>
        </is>
      </c>
      <c r="FO324" t="n">
        <v>0</v>
      </c>
      <c r="FP324" t="n">
        <v>0</v>
      </c>
      <c r="FQ324" t="n">
        <v>13</v>
      </c>
      <c r="FR324" t="n">
        <v>0</v>
      </c>
      <c r="FS324" t="n">
        <v>0</v>
      </c>
      <c r="FT324" t="inlineStr">
        <is>
          <t>NONE</t>
        </is>
      </c>
      <c r="FU324" t="n">
        <v>26</v>
      </c>
      <c r="FY324" t="b">
        <v>1</v>
      </c>
      <c r="FZ324" t="n">
        <v>907</v>
      </c>
      <c r="GB324" t="inlineStr">
        <is>
          <t>bomb_gbu_31_jdam</t>
        </is>
      </c>
      <c r="GD324" t="inlineStr">
        <is>
          <t>Assets/MachineBrigade/Resources/Data/balance.json: weapons[50]</t>
        </is>
      </c>
      <c r="GE324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25">
      <c r="A325" t="inlineStr">
        <is>
          <t>stinger_atas</t>
        </is>
      </c>
      <c r="B325" t="inlineStr">
        <is>
          <t>FIM-92 Stinger (ATAS)</t>
        </is>
      </c>
      <c r="C325" t="inlineStr">
        <is>
          <t>sam_fim_92_stinger</t>
        </is>
      </c>
      <c r="D325" t="inlineStr"/>
      <c r="E325" t="inlineStr"/>
      <c r="F325" t="inlineStr">
        <is>
          <t>aa_missile</t>
        </is>
      </c>
      <c r="G325" t="inlineStr"/>
      <c r="H325" t="n">
        <v>1</v>
      </c>
      <c r="I325" t="inlineStr"/>
      <c r="J325" t="inlineStr"/>
      <c r="K325" t="inlineStr">
        <is>
          <t>Fragmentation</t>
        </is>
      </c>
      <c r="L325" t="n">
        <v>2</v>
      </c>
      <c r="M325" t="inlineStr">
        <is>
          <t>Missile</t>
        </is>
      </c>
      <c r="N325" t="n">
        <v>1</v>
      </c>
      <c r="O325" t="inlineStr">
        <is>
          <t>RIPPLE</t>
        </is>
      </c>
      <c r="P325" t="n">
        <v>1</v>
      </c>
      <c r="Q325" t="n">
        <v>0.1</v>
      </c>
      <c r="R325" t="n">
        <v>9.07</v>
      </c>
      <c r="S325" t="n">
        <v>0</v>
      </c>
      <c r="T325" t="n">
        <v>0</v>
      </c>
      <c r="U325" t="n">
        <v>0</v>
      </c>
      <c r="V325" t="n">
        <v>0</v>
      </c>
      <c r="W325" t="n">
        <v>178</v>
      </c>
      <c r="X325" t="n">
        <v>1.5</v>
      </c>
      <c r="Y325" t="n">
        <v>0</v>
      </c>
      <c r="Z325" t="n">
        <v>105</v>
      </c>
      <c r="AA325" t="n">
        <v>30</v>
      </c>
      <c r="AB325" t="n">
        <v>0</v>
      </c>
      <c r="AC325" t="inlineStr">
        <is>
          <t>Air</t>
        </is>
      </c>
      <c r="AD325" t="inlineStr"/>
      <c r="AE325" t="n">
        <v>0</v>
      </c>
      <c r="AF325" t="inlineStr">
        <is>
          <t>Medium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3</v>
      </c>
      <c r="AO325" t="n">
        <v>2</v>
      </c>
      <c r="AP325" t="inlineStr">
        <is>
          <t>T2</t>
        </is>
      </c>
      <c r="AQ325" t="inlineStr"/>
      <c r="AR325" t="inlineStr"/>
      <c r="AS325" t="inlineStr">
        <is>
          <t>xe</t>
        </is>
      </c>
      <c r="AT325" t="inlineStr">
        <is>
          <t>attack_helicopter;elite_attack_helicopter</t>
        </is>
      </c>
      <c r="AU325" t="n">
        <v>2</v>
      </c>
      <c r="AV325" t="inlineStr">
        <is>
          <t>attack_helicopter:3;elite_attack_helicopter:3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0.2857142857142857</v>
      </c>
      <c r="BB325" t="n">
        <v>20</v>
      </c>
      <c r="BC325" t="n">
        <v>10</v>
      </c>
      <c r="BD325" t="inlineStr">
        <is>
          <t>missile</t>
        </is>
      </c>
      <c r="BE325" t="inlineStr">
        <is>
          <t>Avenger / Stormer: ~3 s between rounds (est.); a MANPADS team 6-10 s</t>
        </is>
      </c>
      <c r="BG325" t="inlineStr">
        <is>
          <t>doi</t>
        </is>
      </c>
      <c r="BR325" t="n">
        <v>42</v>
      </c>
      <c r="BS325" t="n">
        <v>105</v>
      </c>
      <c r="DD325" t="n">
        <v>9.07</v>
      </c>
      <c r="DE325" t="n">
        <v>178</v>
      </c>
      <c r="DF325" t="inlineStr">
        <is>
          <t>Fragmentation</t>
        </is>
      </c>
      <c r="DJ325" t="inlineStr">
        <is>
          <t>aa_missile</t>
        </is>
      </c>
      <c r="DS325" t="inlineStr">
        <is>
          <t>Medium</t>
        </is>
      </c>
      <c r="DW325" t="n">
        <v>2</v>
      </c>
      <c r="EB325" t="n">
        <v>2</v>
      </c>
      <c r="EH325" t="inlineStr">
        <is>
          <t>Missile</t>
        </is>
      </c>
      <c r="EI325" t="inlineStr">
        <is>
          <t>stinger</t>
        </is>
      </c>
      <c r="EJ325" t="n">
        <v>0.7</v>
      </c>
      <c r="EK325" t="n">
        <v>105</v>
      </c>
      <c r="EP325" t="n">
        <v>30</v>
      </c>
      <c r="EQ325" t="inlineStr">
        <is>
          <t>FIM-92 Stinger (ATAS)</t>
        </is>
      </c>
      <c r="EX325" t="n">
        <v>3</v>
      </c>
      <c r="EY325" t="n">
        <v>1.5</v>
      </c>
      <c r="FW325" t="inlineStr">
        <is>
          <t>Air</t>
        </is>
      </c>
      <c r="FZ325" t="n">
        <v>1</v>
      </c>
      <c r="GB325" t="inlineStr">
        <is>
          <t>sam_fim_92_stinger</t>
        </is>
      </c>
      <c r="GD325" t="inlineStr">
        <is>
          <t>Assets/MachineBrigade/Resources/Data/balance.json: weapons[64]</t>
        </is>
      </c>
      <c r="GE325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(ATAS)","family":"aa_missile","size":3,"warheadKg":1,"pen":2,"projectileModel":"stinger","projectileScale":0.7,"damageType":"Fragmentation","damage":178,"cooldown":9.07,"range":30,"projectileSpeed":105,"splash":1.5,"impactTier":"Medium","projectile":"Missile","targets":"Air"}</t>
        </is>
      </c>
    </row>
    <row r="326">
      <c r="A326" t="inlineStr">
        <is>
          <t>stinger_post</t>
        </is>
      </c>
      <c r="B326" t="inlineStr">
        <is>
          <t>FIM-92 Stinger (tower post)</t>
        </is>
      </c>
      <c r="C326" t="inlineStr">
        <is>
          <t>sam_fim_92_stinger</t>
        </is>
      </c>
      <c r="D326" t="inlineStr"/>
      <c r="E326" t="inlineStr"/>
      <c r="F326" t="inlineStr">
        <is>
          <t>aa_missile</t>
        </is>
      </c>
      <c r="G326" t="inlineStr"/>
      <c r="H326" t="n">
        <v>1</v>
      </c>
      <c r="I326" t="inlineStr"/>
      <c r="J326" t="inlineStr"/>
      <c r="K326" t="inlineStr">
        <is>
          <t>Fragmentation</t>
        </is>
      </c>
      <c r="L326" t="n">
        <v>2</v>
      </c>
      <c r="M326" t="inlineStr">
        <is>
          <t>Missile</t>
        </is>
      </c>
      <c r="N326" t="n">
        <v>1</v>
      </c>
      <c r="O326" t="inlineStr">
        <is>
          <t>RIPPLE</t>
        </is>
      </c>
      <c r="P326" t="n">
        <v>1</v>
      </c>
      <c r="Q326" t="n">
        <v>0.1</v>
      </c>
      <c r="R326" t="n">
        <v>4.452</v>
      </c>
      <c r="S326" t="n">
        <v>0</v>
      </c>
      <c r="T326" t="n">
        <v>0</v>
      </c>
      <c r="U326" t="n">
        <v>0</v>
      </c>
      <c r="V326" t="n">
        <v>0</v>
      </c>
      <c r="W326" t="n">
        <v>170</v>
      </c>
      <c r="X326" t="n">
        <v>2</v>
      </c>
      <c r="Y326" t="n">
        <v>0</v>
      </c>
      <c r="Z326" t="n">
        <v>105</v>
      </c>
      <c r="AA326" t="n">
        <v>56</v>
      </c>
      <c r="AB326" t="n">
        <v>0</v>
      </c>
      <c r="AC326" t="inlineStr">
        <is>
          <t>Air</t>
        </is>
      </c>
      <c r="AD326" t="inlineStr"/>
      <c r="AE326" t="n">
        <v>0</v>
      </c>
      <c r="AF326" t="inlineStr">
        <is>
          <t>Medium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3</v>
      </c>
      <c r="AO326" t="n">
        <v>0</v>
      </c>
      <c r="AP326" t="inlineStr">
        <is>
          <t>T2</t>
        </is>
      </c>
      <c r="AQ326" t="inlineStr">
        <is>
          <t>sam</t>
        </is>
      </c>
      <c r="AR326" t="inlineStr"/>
      <c r="AS326" t="inlineStr">
        <is>
          <t>thap</t>
        </is>
      </c>
      <c r="AT326" t="inlineStr">
        <is>
          <t>aa_turret.sam</t>
        </is>
      </c>
      <c r="AU326" t="n">
        <v>1</v>
      </c>
      <c r="AV326" t="inlineStr">
        <is>
          <t>aa_turret.sam:0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0.5333333333333333</v>
      </c>
      <c r="BB326" t="n">
        <v>20</v>
      </c>
      <c r="BC326" t="n">
        <v>10</v>
      </c>
      <c r="BD326" t="inlineStr">
        <is>
          <t>missile</t>
        </is>
      </c>
      <c r="BE326" t="inlineStr">
        <is>
          <t>Avenger / Stormer: ~3 s between rounds (est.); a MANPADS team 6-10 s</t>
        </is>
      </c>
      <c r="BG326" t="inlineStr">
        <is>
          <t>moi</t>
        </is>
      </c>
      <c r="DT326" t="inlineStr">
        <is>
          <t>sam</t>
        </is>
      </c>
      <c r="EK326" t="n">
        <v>105</v>
      </c>
      <c r="EP326" t="n">
        <v>56</v>
      </c>
      <c r="EQ326" t="inlineStr">
        <is>
          <t>FIM-92 Stinger (tower post)</t>
        </is>
      </c>
      <c r="GB326" t="inlineStr">
        <is>
          <t>sam_fim_92_stinger</t>
        </is>
      </c>
      <c r="GD326" t="inlineStr">
        <is>
          <t>Assets/MachineBrigade/Resources/Data/balance.json: weapons[21]</t>
        </is>
      </c>
      <c r="GE326" t="inlineStr">
        <is>
          <t>{"id":"stinger_post","projectileSpeed":105,"inherits":"sam","weaponFamilyId":"sam_fim_92_stinger","real":"FIM-92 Stinger (tower post)","range":56}</t>
        </is>
      </c>
    </row>
    <row r="327">
      <c r="A327" t="inlineStr">
        <is>
          <t>swarm_drones</t>
        </is>
      </c>
      <c r="B327" t="inlineStr">
        <is>
          <t>FPV drone (1.5 kg)</t>
        </is>
      </c>
      <c r="C327" t="inlineStr">
        <is>
          <t>drone_fpv_drone</t>
        </is>
      </c>
      <c r="D327" t="inlineStr"/>
      <c r="E327" t="inlineStr">
        <is>
          <t>fpv_drone</t>
        </is>
      </c>
      <c r="F327" t="inlineStr">
        <is>
          <t>drone</t>
        </is>
      </c>
      <c r="G327" t="inlineStr"/>
      <c r="H327" t="n">
        <v>1.5</v>
      </c>
      <c r="I327" t="inlineStr"/>
      <c r="J327" t="inlineStr"/>
      <c r="K327" t="inlineStr">
        <is>
          <t>ShapedCharge</t>
        </is>
      </c>
      <c r="L327" t="n">
        <v>3</v>
      </c>
      <c r="M327" t="inlineStr">
        <is>
          <t>Drone</t>
        </is>
      </c>
      <c r="N327" t="n">
        <v>1</v>
      </c>
      <c r="O327" t="inlineStr">
        <is>
          <t>RIPPLE</t>
        </is>
      </c>
      <c r="P327" t="n">
        <v>1</v>
      </c>
      <c r="Q327" t="n">
        <v>0.1</v>
      </c>
      <c r="R327" t="n">
        <v>3.3</v>
      </c>
      <c r="S327" t="n">
        <v>0</v>
      </c>
      <c r="T327" t="n">
        <v>0</v>
      </c>
      <c r="U327" t="n">
        <v>0</v>
      </c>
      <c r="V327" t="n">
        <v>0</v>
      </c>
      <c r="W327" t="n">
        <v>140</v>
      </c>
      <c r="X327" t="n">
        <v>2.5</v>
      </c>
      <c r="Y327" t="n">
        <v>0</v>
      </c>
      <c r="Z327" t="n">
        <v>26</v>
      </c>
      <c r="AA327" t="n">
        <v>60</v>
      </c>
      <c r="AB327" t="n">
        <v>0</v>
      </c>
      <c r="AC327" t="inlineStr">
        <is>
          <t>Ground</t>
        </is>
      </c>
      <c r="AD327" t="inlineStr"/>
      <c r="AE327" t="n">
        <v>0</v>
      </c>
      <c r="AF327" t="inlineStr">
        <is>
          <t>Medium</t>
        </is>
      </c>
      <c r="AG327" t="b">
        <v>1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1.5</v>
      </c>
      <c r="AO327" t="n">
        <v>8</v>
      </c>
      <c r="AP327" t="inlineStr">
        <is>
          <t>T2</t>
        </is>
      </c>
      <c r="AQ327" t="inlineStr"/>
      <c r="AR327" t="inlineStr"/>
      <c r="AS327" t="inlineStr">
        <is>
          <t>xe</t>
        </is>
      </c>
      <c r="AT327" t="inlineStr">
        <is>
          <t>swarm_carrier</t>
        </is>
      </c>
      <c r="AU327" t="n">
        <v>1</v>
      </c>
      <c r="AV327" t="inlineStr">
        <is>
          <t>swarm_carrier:0</t>
        </is>
      </c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2.307692307692307</v>
      </c>
      <c r="BB327" t="inlineStr">
        <is>
          <t>NEED_SOURCE</t>
        </is>
      </c>
      <c r="BC327" t="inlineStr">
        <is>
          <t>NEED_SOURCE</t>
        </is>
      </c>
      <c r="BE327" t="inlineStr">
        <is>
          <t>NEED_SOURCE</t>
        </is>
      </c>
      <c r="BG327" t="inlineStr">
        <is>
          <t>giong</t>
        </is>
      </c>
      <c r="DD327" t="n">
        <v>3.3</v>
      </c>
      <c r="DE327" t="n">
        <v>140</v>
      </c>
      <c r="DF327" t="inlineStr">
        <is>
          <t>ShapedCharge</t>
        </is>
      </c>
      <c r="DJ327" t="inlineStr">
        <is>
          <t>drone</t>
        </is>
      </c>
      <c r="DS327" t="inlineStr">
        <is>
          <t>Medium</t>
        </is>
      </c>
      <c r="DW327" t="n">
        <v>8</v>
      </c>
      <c r="EB327" t="n">
        <v>3</v>
      </c>
      <c r="EE327" t="b">
        <v>1</v>
      </c>
      <c r="EH327" t="inlineStr">
        <is>
          <t>Drone</t>
        </is>
      </c>
      <c r="EP327" t="n">
        <v>60</v>
      </c>
      <c r="EQ327" t="inlineStr">
        <is>
          <t>FPV drone (1.5 kg)</t>
        </is>
      </c>
      <c r="EX327" t="n">
        <v>1.5</v>
      </c>
      <c r="FV327" t="n">
        <v>18</v>
      </c>
      <c r="FY327" t="b">
        <v>1</v>
      </c>
      <c r="FZ327" t="n">
        <v>1.5</v>
      </c>
      <c r="GA327" t="inlineStr">
        <is>
          <t>fpv_drone</t>
        </is>
      </c>
      <c r="GB327" t="inlineStr">
        <is>
          <t>drone_fpv_drone</t>
        </is>
      </c>
      <c r="GD327" t="inlineStr">
        <is>
          <t>Assets/MachineBrigade/Resources/Data/balance.json: weapons[262]</t>
        </is>
      </c>
      <c r="GE327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28">
      <c r="A328" t="inlineStr">
        <is>
          <t>tamir</t>
        </is>
      </c>
      <c r="B328" t="inlineStr">
        <is>
          <t>Tamir interceptor (Iron Dome)</t>
        </is>
      </c>
      <c r="C328" t="inlineStr">
        <is>
          <t>sam_tamir_interceptor</t>
        </is>
      </c>
      <c r="D328" t="inlineStr"/>
      <c r="E328" t="inlineStr"/>
      <c r="F328" t="inlineStr">
        <is>
          <t>aa_missile</t>
        </is>
      </c>
      <c r="G328" t="inlineStr"/>
      <c r="H328" t="n">
        <v>11</v>
      </c>
      <c r="I328" t="inlineStr"/>
      <c r="J328" t="inlineStr"/>
      <c r="K328" t="inlineStr">
        <is>
          <t>Fragmentation</t>
        </is>
      </c>
      <c r="L328" t="n">
        <v>2</v>
      </c>
      <c r="M328" t="inlineStr">
        <is>
          <t>Missile</t>
        </is>
      </c>
      <c r="N328" t="n">
        <v>1</v>
      </c>
      <c r="O328" t="inlineStr">
        <is>
          <t>RIPPLE</t>
        </is>
      </c>
      <c r="P328" t="n">
        <v>1</v>
      </c>
      <c r="Q328" t="n">
        <v>0.1</v>
      </c>
      <c r="R328" t="n">
        <v>3.5</v>
      </c>
      <c r="S328" t="n">
        <v>0</v>
      </c>
      <c r="T328" t="n">
        <v>0</v>
      </c>
      <c r="U328" t="n">
        <v>6</v>
      </c>
      <c r="V328" t="n">
        <v>20</v>
      </c>
      <c r="W328" t="n">
        <v>110</v>
      </c>
      <c r="X328" t="n">
        <v>2.5</v>
      </c>
      <c r="Y328" t="n">
        <v>0</v>
      </c>
      <c r="Z328" t="n">
        <v>125</v>
      </c>
      <c r="AA328" t="n">
        <v>60</v>
      </c>
      <c r="AB328" t="n">
        <v>0</v>
      </c>
      <c r="AC328" t="inlineStr">
        <is>
          <t>Air</t>
        </is>
      </c>
      <c r="AD328" t="inlineStr"/>
      <c r="AE328" t="n">
        <v>0</v>
      </c>
      <c r="AF328" t="inlineStr">
        <is>
          <t>Medium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1</v>
      </c>
      <c r="AO328" t="n">
        <v>0</v>
      </c>
      <c r="AP328" t="inlineStr">
        <is>
          <t>T2</t>
        </is>
      </c>
      <c r="AQ328" t="inlineStr"/>
      <c r="AR328" t="inlineStr"/>
      <c r="AS328" t="inlineStr">
        <is>
          <t>thap</t>
        </is>
      </c>
      <c r="AT328" t="inlineStr">
        <is>
          <t>c_ram.dome</t>
        </is>
      </c>
      <c r="AU328" t="n">
        <v>1</v>
      </c>
      <c r="AV328" t="inlineStr">
        <is>
          <t>c_ram.dome:0</t>
        </is>
      </c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0.48</v>
      </c>
      <c r="BB328" t="n">
        <v>60</v>
      </c>
      <c r="BC328" t="n">
        <v>30</v>
      </c>
      <c r="BD328" t="inlineStr">
        <is>
          <t>missile</t>
        </is>
      </c>
      <c r="BE328" t="inlineStr">
        <is>
          <t>Iron Dome: launches 1-2 s apart (DECISIONS 19R)</t>
        </is>
      </c>
      <c r="BG328" t="inlineStr">
        <is>
          <t>doi</t>
        </is>
      </c>
      <c r="BR328" t="n">
        <v>50</v>
      </c>
      <c r="BS328" t="n">
        <v>125</v>
      </c>
      <c r="CN328" t="n">
        <v>6</v>
      </c>
      <c r="DD328" t="n">
        <v>3.5</v>
      </c>
      <c r="DE328" t="n">
        <v>110</v>
      </c>
      <c r="DF328" t="inlineStr">
        <is>
          <t>Fragmentation</t>
        </is>
      </c>
      <c r="DJ328" t="inlineStr">
        <is>
          <t>aa_missile</t>
        </is>
      </c>
      <c r="DK328" t="n">
        <v>0.6</v>
      </c>
      <c r="DL328" t="inlineStr">
        <is>
          <t>Loft</t>
        </is>
      </c>
      <c r="DS328" t="inlineStr">
        <is>
          <t>Medium</t>
        </is>
      </c>
      <c r="EB328" t="n">
        <v>2</v>
      </c>
      <c r="EH328" t="inlineStr">
        <is>
          <t>Missile</t>
        </is>
      </c>
      <c r="EI328" t="inlineStr">
        <is>
          <t>shorad_dart</t>
        </is>
      </c>
      <c r="EJ328" t="n">
        <v>0.9</v>
      </c>
      <c r="EK328" t="n">
        <v>125</v>
      </c>
      <c r="EP328" t="n">
        <v>60</v>
      </c>
      <c r="EQ328" t="inlineStr">
        <is>
          <t>Tamir interceptor (Iron Dome)</t>
        </is>
      </c>
      <c r="ER328" t="n">
        <v>20</v>
      </c>
      <c r="EX328" t="n">
        <v>1</v>
      </c>
      <c r="EY328" t="n">
        <v>2.5</v>
      </c>
      <c r="FW328" t="inlineStr">
        <is>
          <t>Air</t>
        </is>
      </c>
      <c r="FZ328" t="n">
        <v>11</v>
      </c>
      <c r="GB328" t="inlineStr">
        <is>
          <t>sam_tamir_interceptor</t>
        </is>
      </c>
      <c r="GD328" t="inlineStr">
        <is>
          <t>Assets/MachineBrigade/Resources/Data/balance.json: weapons[122]</t>
        </is>
      </c>
      <c r="GE328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125,"splash":2.5,"impactTier":"Medium","projectile":"Missile","targets":"Air","flareResist":0.6,"ammo":6,"reload":20}</t>
        </is>
      </c>
    </row>
    <row r="329">
      <c r="A329" t="inlineStr">
        <is>
          <t>technical_rockets</t>
        </is>
      </c>
      <c r="B329" t="inlineStr">
        <is>
          <t>Type 63 107 mm</t>
        </is>
      </c>
      <c r="C329" t="inlineStr">
        <is>
          <t>rkt_107</t>
        </is>
      </c>
      <c r="D329" t="inlineStr"/>
      <c r="E329" t="inlineStr"/>
      <c r="F329" t="inlineStr">
        <is>
          <t>rocket</t>
        </is>
      </c>
      <c r="G329" t="n">
        <v>107</v>
      </c>
      <c r="H329" t="inlineStr"/>
      <c r="I329" t="inlineStr"/>
      <c r="J329" t="inlineStr"/>
      <c r="K329" t="inlineStr">
        <is>
          <t>HighExplosive</t>
        </is>
      </c>
      <c r="L329" t="n">
        <v>2</v>
      </c>
      <c r="M329" t="inlineStr">
        <is>
          <t>Rocket</t>
        </is>
      </c>
      <c r="N329" t="n">
        <v>1</v>
      </c>
      <c r="O329" t="inlineStr">
        <is>
          <t>RIPPLE</t>
        </is>
      </c>
      <c r="P329" t="n">
        <v>5</v>
      </c>
      <c r="Q329" t="n">
        <v>0.5</v>
      </c>
      <c r="R329" t="n">
        <v>5.6</v>
      </c>
      <c r="S329" t="n">
        <v>0</v>
      </c>
      <c r="T329" t="n">
        <v>0</v>
      </c>
      <c r="U329" t="n">
        <v>6</v>
      </c>
      <c r="V329" t="n">
        <v>18</v>
      </c>
      <c r="W329" t="n">
        <v>49.5</v>
      </c>
      <c r="X329" t="n">
        <v>3.5</v>
      </c>
      <c r="Y329" t="n">
        <v>0</v>
      </c>
      <c r="Z329" t="n">
        <v>75</v>
      </c>
      <c r="AA329" t="n">
        <v>48</v>
      </c>
      <c r="AB329" t="n">
        <v>12</v>
      </c>
      <c r="AC329" t="inlineStr">
        <is>
          <t>Ground</t>
        </is>
      </c>
      <c r="AD329" t="inlineStr"/>
      <c r="AE329" t="n">
        <v>6</v>
      </c>
      <c r="AF329" t="inlineStr">
        <is>
          <t>Medium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107</v>
      </c>
      <c r="AO329" t="n">
        <v>0</v>
      </c>
      <c r="AP329" t="inlineStr">
        <is>
          <t>T2</t>
        </is>
      </c>
      <c r="AQ329" t="inlineStr"/>
      <c r="AR329" t="inlineStr"/>
      <c r="AS329" t="inlineStr">
        <is>
          <t>xe</t>
        </is>
      </c>
      <c r="AT329" t="inlineStr">
        <is>
          <t>rocket_technical</t>
        </is>
      </c>
      <c r="AU329" t="n">
        <v>1</v>
      </c>
      <c r="AV329" t="inlineStr">
        <is>
          <t>rocket_technical:0</t>
        </is>
      </c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0.64</v>
      </c>
      <c r="BB329" t="n">
        <v>100</v>
      </c>
      <c r="BC329" t="inlineStr"/>
      <c r="BD329" t="inlineStr">
        <is>
          <t>rocket</t>
        </is>
      </c>
      <c r="BE329" t="inlineStr">
        <is>
          <t>Wikipedia 'Type 63 MRL': 12 rockets in 7-9 s</t>
        </is>
      </c>
      <c r="BG329" t="inlineStr">
        <is>
          <t>doi</t>
        </is>
      </c>
      <c r="BR329" t="n">
        <v>38</v>
      </c>
      <c r="BS329" t="n">
        <v>75</v>
      </c>
      <c r="CN329" t="n">
        <v>6</v>
      </c>
      <c r="CR329" t="n">
        <v>5</v>
      </c>
      <c r="CS329" t="n">
        <v>0.5</v>
      </c>
      <c r="CT329" t="n">
        <v>107</v>
      </c>
      <c r="DD329" t="n">
        <v>5.6</v>
      </c>
      <c r="DE329" t="n">
        <v>49.5</v>
      </c>
      <c r="DF329" t="inlineStr">
        <is>
          <t>HighExplosive</t>
        </is>
      </c>
      <c r="DJ329" t="inlineStr">
        <is>
          <t>rocket</t>
        </is>
      </c>
      <c r="DS329" t="inlineStr">
        <is>
          <t>Medium</t>
        </is>
      </c>
      <c r="DZ329" t="n">
        <v>12</v>
      </c>
      <c r="EB329" t="n">
        <v>2</v>
      </c>
      <c r="EH329" t="inlineStr">
        <is>
          <t>Rocket</t>
        </is>
      </c>
      <c r="EI329" t="inlineStr">
        <is>
          <t>rocket_107</t>
        </is>
      </c>
      <c r="EK329" t="n">
        <v>75</v>
      </c>
      <c r="EP329" t="n">
        <v>48</v>
      </c>
      <c r="EQ329" t="inlineStr">
        <is>
          <t>Type 63 107 mm</t>
        </is>
      </c>
      <c r="ER329" t="n">
        <v>18</v>
      </c>
      <c r="EX329" t="n">
        <v>107</v>
      </c>
      <c r="EY329" t="n">
        <v>3.5</v>
      </c>
      <c r="EZ329" t="n">
        <v>6</v>
      </c>
      <c r="GB329" t="inlineStr">
        <is>
          <t>rkt_107</t>
        </is>
      </c>
      <c r="GD329" t="inlineStr">
        <is>
          <t>Assets/MachineBrigade/Resources/Data/balance.json: weapons[32]</t>
        </is>
      </c>
      <c r="GE329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75,"splash":3.5,"spread":6,"impactTier":"Medium","projectile":"Rocket","burst":5,"burstInterval":0.5,"ammo":6,"reload":18}</t>
        </is>
      </c>
    </row>
    <row r="330">
      <c r="A330" t="inlineStr">
        <is>
          <t>thermobaric_rockets</t>
        </is>
      </c>
      <c r="B330" t="inlineStr">
        <is>
          <t>TOS-1A 220 mm thermobaric</t>
        </is>
      </c>
      <c r="C330" t="inlineStr">
        <is>
          <t>rkt_tos_220</t>
        </is>
      </c>
      <c r="D330" t="inlineStr"/>
      <c r="E330" t="inlineStr">
        <is>
          <t>tos_1a_220_mm_thermobaric</t>
        </is>
      </c>
      <c r="F330" t="inlineStr">
        <is>
          <t>rocket</t>
        </is>
      </c>
      <c r="G330" t="n">
        <v>220</v>
      </c>
      <c r="H330" t="inlineStr"/>
      <c r="I330" t="inlineStr"/>
      <c r="J330" t="inlineStr"/>
      <c r="K330" t="inlineStr">
        <is>
          <t>HighExplosive</t>
        </is>
      </c>
      <c r="L330" t="n">
        <v>3</v>
      </c>
      <c r="M330" t="inlineStr">
        <is>
          <t>Rocket</t>
        </is>
      </c>
      <c r="N330" t="n">
        <v>1</v>
      </c>
      <c r="O330" t="inlineStr">
        <is>
          <t>RIPPLE</t>
        </is>
      </c>
      <c r="P330" t="n">
        <v>9</v>
      </c>
      <c r="Q330" t="n">
        <v>0.3</v>
      </c>
      <c r="R330" t="n">
        <v>10.55</v>
      </c>
      <c r="S330" t="n">
        <v>0</v>
      </c>
      <c r="T330" t="n">
        <v>0</v>
      </c>
      <c r="U330" t="n">
        <v>4</v>
      </c>
      <c r="V330" t="n">
        <v>21.67</v>
      </c>
      <c r="W330" t="n">
        <v>97</v>
      </c>
      <c r="X330" t="n">
        <v>7</v>
      </c>
      <c r="Y330" t="n">
        <v>0</v>
      </c>
      <c r="Z330" t="n">
        <v>65</v>
      </c>
      <c r="AA330" t="n">
        <v>48</v>
      </c>
      <c r="AB330" t="n">
        <v>12</v>
      </c>
      <c r="AC330" t="inlineStr">
        <is>
          <t>Ground</t>
        </is>
      </c>
      <c r="AD330" t="inlineStr"/>
      <c r="AE330" t="n">
        <v>6</v>
      </c>
      <c r="AF330" t="inlineStr">
        <is>
          <t>Huge</t>
        </is>
      </c>
      <c r="AG330" t="b">
        <v>0</v>
      </c>
      <c r="AH330" t="b">
        <v>0</v>
      </c>
      <c r="AI330" t="b">
        <v>1</v>
      </c>
      <c r="AJ330" t="b">
        <v>0</v>
      </c>
      <c r="AK330" t="b">
        <v>0</v>
      </c>
      <c r="AL330" t="b">
        <v>0</v>
      </c>
      <c r="AM330" t="b">
        <v>0</v>
      </c>
      <c r="AN330" t="n">
        <v>220</v>
      </c>
      <c r="AO330" t="n">
        <v>0</v>
      </c>
      <c r="AP330" t="inlineStr">
        <is>
          <t>T4</t>
        </is>
      </c>
      <c r="AQ330" t="inlineStr"/>
      <c r="AR330" t="inlineStr"/>
      <c r="AS330" t="inlineStr">
        <is>
          <t>xe</t>
        </is>
      </c>
      <c r="AT330" t="inlineStr">
        <is>
          <t>thermobaric_launcher</t>
        </is>
      </c>
      <c r="AU330" t="n">
        <v>1</v>
      </c>
      <c r="AV330" t="inlineStr">
        <is>
          <t>thermobaric_launcher:0</t>
        </is>
      </c>
      <c r="AW330" t="n">
        <v>2.5</v>
      </c>
      <c r="AX330" t="b">
        <v>1</v>
      </c>
      <c r="AY330" t="inlineStr"/>
      <c r="AZ330">
        <f>IF(AND($AX$330,$AW$330&gt;$AA$330/$Z$330),$AW$330,$AA$330/$Z$330)</f>
        <v/>
      </c>
      <c r="BA330" t="n">
        <v>2.5</v>
      </c>
      <c r="BB330" t="n">
        <v>240</v>
      </c>
      <c r="BC330" t="inlineStr"/>
      <c r="BD330" t="inlineStr">
        <is>
          <t>rocket</t>
        </is>
      </c>
      <c r="BE330" t="inlineStr">
        <is>
          <t>Wikipedia 'TOS-1': 24 rockets in 6-12 s</t>
        </is>
      </c>
      <c r="BG330" t="inlineStr">
        <is>
          <t>doi</t>
        </is>
      </c>
      <c r="BR330" t="n">
        <v>35</v>
      </c>
      <c r="BS330" t="n">
        <v>65</v>
      </c>
      <c r="CN330" t="n">
        <v>4</v>
      </c>
      <c r="CR330" t="n">
        <v>9</v>
      </c>
      <c r="CS330" t="n">
        <v>0.3</v>
      </c>
      <c r="CT330" t="n">
        <v>220</v>
      </c>
      <c r="DD330" t="n">
        <v>10.55</v>
      </c>
      <c r="DE330" t="n">
        <v>97</v>
      </c>
      <c r="DF330" t="inlineStr">
        <is>
          <t>HighExplosive</t>
        </is>
      </c>
      <c r="DJ330" t="inlineStr">
        <is>
          <t>rocket</t>
        </is>
      </c>
      <c r="DS330" t="inlineStr">
        <is>
          <t>Huge</t>
        </is>
      </c>
      <c r="DZ330" t="n">
        <v>12</v>
      </c>
      <c r="EB330" t="n">
        <v>3</v>
      </c>
      <c r="EH330" t="inlineStr">
        <is>
          <t>Rocket</t>
        </is>
      </c>
      <c r="EP330" t="n">
        <v>48</v>
      </c>
      <c r="EQ330" t="inlineStr">
        <is>
          <t>TOS-1A 220 mm thermobaric</t>
        </is>
      </c>
      <c r="ER330" t="n">
        <v>21.67</v>
      </c>
      <c r="EX330" t="n">
        <v>220</v>
      </c>
      <c r="EZ330" t="n">
        <v>6</v>
      </c>
      <c r="FX330" t="b">
        <v>1</v>
      </c>
      <c r="GA330" t="inlineStr">
        <is>
          <t>tos_1a_220_mm_thermobaric</t>
        </is>
      </c>
      <c r="GB330" t="inlineStr">
        <is>
          <t>rkt_tos_220</t>
        </is>
      </c>
      <c r="GD330" t="inlineStr">
        <is>
          <t>Assets/MachineBrigade/Resources/Data/balance.json: weapons[43]</t>
        </is>
      </c>
      <c r="GE330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31">
      <c r="A331" t="inlineStr">
        <is>
          <t>tower_ac25</t>
        </is>
      </c>
      <c r="B331" t="inlineStr">
        <is>
          <t>M242 Bushmaster 25 mm</t>
        </is>
      </c>
      <c r="C331" t="inlineStr">
        <is>
          <t>cal_25</t>
        </is>
      </c>
      <c r="D331" t="inlineStr"/>
      <c r="E331" t="inlineStr">
        <is>
          <t>m242_bushmaster_25_mm</t>
        </is>
      </c>
      <c r="F331" t="inlineStr">
        <is>
          <t>autocannon</t>
        </is>
      </c>
      <c r="G331" t="n">
        <v>25</v>
      </c>
      <c r="H331" t="inlineStr"/>
      <c r="I331" t="inlineStr"/>
      <c r="J331" t="inlineStr"/>
      <c r="K331" t="inlineStr">
        <is>
          <t>Kinetic</t>
        </is>
      </c>
      <c r="L331" t="n">
        <v>2</v>
      </c>
      <c r="M331" t="inlineStr">
        <is>
          <t>Bullet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0.125</v>
      </c>
      <c r="S331" t="n">
        <v>10</v>
      </c>
      <c r="T331" t="n">
        <v>1.425</v>
      </c>
      <c r="U331" t="n">
        <v>0</v>
      </c>
      <c r="V331" t="n">
        <v>0</v>
      </c>
      <c r="W331" t="n">
        <v>17</v>
      </c>
      <c r="X331" t="n">
        <v>0</v>
      </c>
      <c r="Y331" t="n">
        <v>0</v>
      </c>
      <c r="Z331" t="n">
        <v>210</v>
      </c>
      <c r="AA331" t="n">
        <v>30</v>
      </c>
      <c r="AB331" t="n">
        <v>0</v>
      </c>
      <c r="AC331" t="inlineStr">
        <is>
          <t>Ground</t>
        </is>
      </c>
      <c r="AD331" t="inlineStr"/>
      <c r="AE331" t="n">
        <v>0.9</v>
      </c>
      <c r="AF331" t="inlineStr">
        <is>
          <t>Small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25</v>
      </c>
      <c r="AO331" t="n">
        <v>0</v>
      </c>
      <c r="AP331" t="inlineStr">
        <is>
          <t>T1</t>
        </is>
      </c>
      <c r="AQ331" t="inlineStr">
        <is>
          <t>autocannon_25</t>
        </is>
      </c>
      <c r="AR331" t="inlineStr">
        <is>
          <t>tower_ac25_flak</t>
        </is>
      </c>
      <c r="AS331" t="inlineStr">
        <is>
          <t>thap</t>
        </is>
      </c>
      <c r="AT331" t="inlineStr">
        <is>
          <t>guard_tower.nest</t>
        </is>
      </c>
      <c r="AU331" t="n">
        <v>1</v>
      </c>
      <c r="AV331" t="inlineStr">
        <is>
          <t>guard_tower.nest:0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0.1428571428571428</v>
      </c>
      <c r="BB331" t="n">
        <v>500</v>
      </c>
      <c r="BC331" t="n">
        <v>200</v>
      </c>
      <c r="BD331" t="inlineStr">
        <is>
          <t>ac</t>
        </is>
      </c>
      <c r="BE331" t="inlineStr">
        <is>
          <t>Wikipedia 'M242 Bushmaster': 200 or 500 rpm</t>
        </is>
      </c>
      <c r="BG331" t="inlineStr">
        <is>
          <t>giong</t>
        </is>
      </c>
      <c r="CR331" t="n">
        <v>1</v>
      </c>
      <c r="CS331" t="n">
        <v>0.1</v>
      </c>
      <c r="CT331" t="n">
        <v>25</v>
      </c>
      <c r="CW331" t="n">
        <v>10</v>
      </c>
      <c r="CX331" t="n">
        <v>1.425</v>
      </c>
      <c r="DD331" t="n">
        <v>0.125</v>
      </c>
      <c r="DJ331" t="inlineStr">
        <is>
          <t>autocannon</t>
        </is>
      </c>
      <c r="DT331" t="inlineStr">
        <is>
          <t>autocannon_25</t>
        </is>
      </c>
      <c r="EB331" t="n">
        <v>2</v>
      </c>
      <c r="EQ331" t="inlineStr">
        <is>
          <t>M242 Bushmaster 25 mm</t>
        </is>
      </c>
      <c r="EX331" t="n">
        <v>25</v>
      </c>
      <c r="GA331" t="inlineStr">
        <is>
          <t>m242_bushmaster_25_mm</t>
        </is>
      </c>
      <c r="GD331" t="inlineStr">
        <is>
          <t>Assets/MachineBrigade/Resources/Data/balance.json: weapons[26]</t>
        </is>
      </c>
      <c r="GE331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32">
      <c r="A332" t="inlineStr">
        <is>
          <t>tower_ac25_flak</t>
        </is>
      </c>
      <c r="B332" t="inlineStr">
        <is>
          <t>M242 Bushmaster 25 mm air-burst</t>
        </is>
      </c>
      <c r="C332" t="inlineStr">
        <is>
          <t>cal_25</t>
        </is>
      </c>
      <c r="D332" t="inlineStr">
        <is>
          <t>flak</t>
        </is>
      </c>
      <c r="E332" t="inlineStr">
        <is>
          <t>m242_bushmaster_25_mm_air_burst</t>
        </is>
      </c>
      <c r="F332" t="inlineStr">
        <is>
          <t>autocannon</t>
        </is>
      </c>
      <c r="G332" t="n">
        <v>25</v>
      </c>
      <c r="H332" t="inlineStr"/>
      <c r="I332" t="inlineStr"/>
      <c r="J332" t="inlineStr"/>
      <c r="K332" t="inlineStr">
        <is>
          <t>Fragmentation</t>
        </is>
      </c>
      <c r="L332" t="n">
        <v>1</v>
      </c>
      <c r="M332" t="inlineStr">
        <is>
          <t>Bullet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0.125</v>
      </c>
      <c r="S332" t="n">
        <v>10</v>
      </c>
      <c r="T332" t="n">
        <v>1.425</v>
      </c>
      <c r="U332" t="n">
        <v>0</v>
      </c>
      <c r="V332" t="n">
        <v>0</v>
      </c>
      <c r="W332" t="n">
        <v>17</v>
      </c>
      <c r="X332" t="n">
        <v>2</v>
      </c>
      <c r="Y332" t="n">
        <v>0</v>
      </c>
      <c r="Z332" t="n">
        <v>210</v>
      </c>
      <c r="AA332" t="n">
        <v>30</v>
      </c>
      <c r="AB332" t="n">
        <v>0</v>
      </c>
      <c r="AC332" t="inlineStr">
        <is>
          <t>Air</t>
        </is>
      </c>
      <c r="AD332" t="inlineStr"/>
      <c r="AE332" t="n">
        <v>0.9</v>
      </c>
      <c r="AF332" t="inlineStr">
        <is>
          <t>Small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25</v>
      </c>
      <c r="AO332" t="n">
        <v>0</v>
      </c>
      <c r="AP332" t="inlineStr">
        <is>
          <t>T1</t>
        </is>
      </c>
      <c r="AQ332" t="inlineStr">
        <is>
          <t>tower_ac25</t>
        </is>
      </c>
      <c r="AR332" t="inlineStr"/>
      <c r="AS332" t="inlineStr"/>
      <c r="AT332" t="inlineStr"/>
      <c r="AU332" t="n">
        <v>0</v>
      </c>
      <c r="AV332" t="inlineStr"/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0.1428571428571428</v>
      </c>
      <c r="BB332" t="n">
        <v>500</v>
      </c>
      <c r="BC332" t="n">
        <v>200</v>
      </c>
      <c r="BD332" t="inlineStr">
        <is>
          <t>ac</t>
        </is>
      </c>
      <c r="BE332" t="inlineStr">
        <is>
          <t>Wikipedia 'M242 Bushmaster': 200 or 500 rpm</t>
        </is>
      </c>
      <c r="BG332" t="inlineStr">
        <is>
          <t>giong</t>
        </is>
      </c>
      <c r="DE332" t="n">
        <v>17</v>
      </c>
      <c r="DF332" t="inlineStr">
        <is>
          <t>Fragmentation</t>
        </is>
      </c>
      <c r="DM332" t="inlineStr">
        <is>
          <t>air</t>
        </is>
      </c>
      <c r="DN332" t="inlineStr">
        <is>
          <t>Airburst</t>
        </is>
      </c>
      <c r="DT332" t="inlineStr">
        <is>
          <t>tower_ac25</t>
        </is>
      </c>
      <c r="EB332" t="n">
        <v>1</v>
      </c>
      <c r="EE332" t="b">
        <v>0</v>
      </c>
      <c r="EQ332" t="inlineStr">
        <is>
          <t>M242 Bushmaster 25 mm air-burst</t>
        </is>
      </c>
      <c r="ES332" t="inlineStr">
        <is>
          <t>flak</t>
        </is>
      </c>
      <c r="EU332" t="inlineStr">
        <is>
          <t>tower_ac25</t>
        </is>
      </c>
      <c r="EY332" t="n">
        <v>2</v>
      </c>
      <c r="FW332" t="inlineStr">
        <is>
          <t>Air</t>
        </is>
      </c>
      <c r="GA332" t="inlineStr">
        <is>
          <t>m242_bushmaster_25_mm_air_burst</t>
        </is>
      </c>
      <c r="GC332" t="inlineStr">
        <is>
          <t>flak</t>
        </is>
      </c>
      <c r="GD332" t="inlineStr">
        <is>
          <t>Assets/MachineBrigade/Resources/Data/balance.json: secondRounds.rounds[56]</t>
        </is>
      </c>
      <c r="GE332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33">
      <c r="A333" t="inlineStr">
        <is>
          <t>tower_agl</t>
        </is>
      </c>
      <c r="B333" t="inlineStr">
        <is>
          <t>Mk 19 40 mm</t>
        </is>
      </c>
      <c r="C333" t="inlineStr">
        <is>
          <t>gl_40</t>
        </is>
      </c>
      <c r="D333" t="inlineStr"/>
      <c r="E333" t="inlineStr">
        <is>
          <t>mk_19_40_mm</t>
        </is>
      </c>
      <c r="F333" t="inlineStr">
        <is>
          <t>grenade</t>
        </is>
      </c>
      <c r="G333" t="n">
        <v>40</v>
      </c>
      <c r="H333" t="inlineStr"/>
      <c r="I333" t="inlineStr"/>
      <c r="J333" t="inlineStr"/>
      <c r="K333" t="inlineStr">
        <is>
          <t>HighExplosive</t>
        </is>
      </c>
      <c r="L333" t="n">
        <v>2</v>
      </c>
      <c r="M333" t="inlineStr">
        <is>
          <t>Bullet</t>
        </is>
      </c>
      <c r="N333" t="n">
        <v>1</v>
      </c>
      <c r="O333" t="inlineStr">
        <is>
          <t>RIPPLE</t>
        </is>
      </c>
      <c r="P333" t="n">
        <v>6</v>
      </c>
      <c r="Q333" t="n">
        <v>0.2</v>
      </c>
      <c r="R333" t="n">
        <v>4.3</v>
      </c>
      <c r="S333" t="n">
        <v>0</v>
      </c>
      <c r="T333" t="n">
        <v>0</v>
      </c>
      <c r="U333" t="n">
        <v>0</v>
      </c>
      <c r="V333" t="n">
        <v>0</v>
      </c>
      <c r="W333" t="n">
        <v>26</v>
      </c>
      <c r="X333" t="n">
        <v>2</v>
      </c>
      <c r="Y333" t="n">
        <v>0</v>
      </c>
      <c r="Z333" t="n">
        <v>70</v>
      </c>
      <c r="AA333" t="n">
        <v>30</v>
      </c>
      <c r="AB333" t="n">
        <v>0</v>
      </c>
      <c r="AC333" t="inlineStr">
        <is>
          <t>Ground</t>
        </is>
      </c>
      <c r="AD333" t="inlineStr"/>
      <c r="AE333" t="n">
        <v>2.2</v>
      </c>
      <c r="AF333" t="inlineStr">
        <is>
          <t>Small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40</v>
      </c>
      <c r="AO333" t="n">
        <v>0</v>
      </c>
      <c r="AP333" t="inlineStr">
        <is>
          <t>T1</t>
        </is>
      </c>
      <c r="AQ333" t="inlineStr">
        <is>
          <t>agl_40</t>
        </is>
      </c>
      <c r="AR333" t="inlineStr"/>
      <c r="AS333" t="inlineStr"/>
      <c r="AT333" t="inlineStr"/>
      <c r="AU333" t="n">
        <v>0</v>
      </c>
      <c r="AV333" t="inlineStr"/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0.4285714285714285</v>
      </c>
      <c r="BB333" t="n">
        <v>375</v>
      </c>
      <c r="BC333" t="n">
        <v>60</v>
      </c>
      <c r="BD333" t="inlineStr">
        <is>
          <t>ac</t>
        </is>
      </c>
      <c r="BE333" t="inlineStr">
        <is>
          <t>US Army FM 3-22.27: 325-375 cyclic, 60 rapid</t>
        </is>
      </c>
      <c r="BG333" t="inlineStr">
        <is>
          <t>giong</t>
        </is>
      </c>
      <c r="CT333" t="n">
        <v>40</v>
      </c>
      <c r="DD333" t="n">
        <v>4.3</v>
      </c>
      <c r="DJ333" t="inlineStr">
        <is>
          <t>grenade</t>
        </is>
      </c>
      <c r="DT333" t="inlineStr">
        <is>
          <t>agl_40</t>
        </is>
      </c>
      <c r="EB333" t="n">
        <v>2</v>
      </c>
      <c r="EQ333" t="inlineStr">
        <is>
          <t>Mk 19 40 mm</t>
        </is>
      </c>
      <c r="EX333" t="n">
        <v>40</v>
      </c>
      <c r="GA333" t="inlineStr">
        <is>
          <t>mk_19_40_mm</t>
        </is>
      </c>
      <c r="GD333" t="inlineStr">
        <is>
          <t>Assets/MachineBrigade/Resources/Data/balance.json: weapons[235]</t>
        </is>
      </c>
      <c r="GE333" t="inlineStr">
        <is>
          <t>{"id":"tower_agl","weaponFamily":"mk_19_40_mm","real":"Mk 19 40 mm","family":"grenade","size":40,"caliberMm":40,"pen":2,"inherits":"agl_40","cooldown":4.3}</t>
        </is>
      </c>
    </row>
    <row r="334">
      <c r="A334" t="inlineStr">
        <is>
          <t>tower_flak_30</t>
        </is>
      </c>
      <c r="B334" t="inlineStr">
        <is>
          <t>2A38 30 mm (twin)</t>
        </is>
      </c>
      <c r="C334" t="inlineStr">
        <is>
          <t>cal_30</t>
        </is>
      </c>
      <c r="D334" t="inlineStr">
        <is>
          <t>flak</t>
        </is>
      </c>
      <c r="E334" t="inlineStr">
        <is>
          <t>2a38_30_mm</t>
        </is>
      </c>
      <c r="F334" t="inlineStr">
        <is>
          <t>autocannon</t>
        </is>
      </c>
      <c r="G334" t="n">
        <v>30</v>
      </c>
      <c r="H334" t="inlineStr"/>
      <c r="I334" t="inlineStr"/>
      <c r="J334" t="inlineStr"/>
      <c r="K334" t="inlineStr">
        <is>
          <t>Fragmentation</t>
        </is>
      </c>
      <c r="L334" t="n">
        <v>2</v>
      </c>
      <c r="M334" t="inlineStr">
        <is>
          <t>Bullet</t>
        </is>
      </c>
      <c r="N334" t="n">
        <v>1</v>
      </c>
      <c r="O334" t="inlineStr">
        <is>
          <t>RIPPLE</t>
        </is>
      </c>
      <c r="P334" t="n">
        <v>1</v>
      </c>
      <c r="Q334" t="n">
        <v>0.1</v>
      </c>
      <c r="R334" t="n">
        <v>0.0286</v>
      </c>
      <c r="S334" t="n">
        <v>120</v>
      </c>
      <c r="T334" t="n">
        <v>3.0286</v>
      </c>
      <c r="U334" t="n">
        <v>0</v>
      </c>
      <c r="V334" t="n">
        <v>0</v>
      </c>
      <c r="W334" t="n">
        <v>7</v>
      </c>
      <c r="X334" t="n">
        <v>2.5</v>
      </c>
      <c r="Y334" t="n">
        <v>0</v>
      </c>
      <c r="Z334" t="n">
        <v>280</v>
      </c>
      <c r="AA334" t="n">
        <v>42</v>
      </c>
      <c r="AB334" t="n">
        <v>0</v>
      </c>
      <c r="AC334" t="inlineStr">
        <is>
          <t>All</t>
        </is>
      </c>
      <c r="AD334" t="inlineStr"/>
      <c r="AE334" t="n">
        <v>1.4</v>
      </c>
      <c r="AF334" t="inlineStr">
        <is>
          <t>Small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0</v>
      </c>
      <c r="AN334" t="n">
        <v>30</v>
      </c>
      <c r="AO334" t="n">
        <v>0</v>
      </c>
      <c r="AP334" t="inlineStr">
        <is>
          <t>T1</t>
        </is>
      </c>
      <c r="AQ334" t="inlineStr">
        <is>
          <t>twin_30_flak</t>
        </is>
      </c>
      <c r="AR334" t="inlineStr">
        <is>
          <t>tower_flak_30_ap</t>
        </is>
      </c>
      <c r="AS334" t="inlineStr">
        <is>
          <t>thap</t>
        </is>
      </c>
      <c r="AT334" t="inlineStr">
        <is>
          <t>aa_turret</t>
        </is>
      </c>
      <c r="AU334" t="n">
        <v>1</v>
      </c>
      <c r="AV334" t="inlineStr">
        <is>
          <t>aa_turret:0</t>
        </is>
      </c>
      <c r="AW334" t="n">
        <v>0</v>
      </c>
      <c r="AX334" t="b">
        <v>0</v>
      </c>
      <c r="AY334" t="inlineStr"/>
      <c r="AZ334">
        <f>IF(AND($AX$334,$AW$334&gt;$AA$334/$Z$334),$AW$334,$AA$334/$Z$334)</f>
        <v/>
      </c>
      <c r="BA334" t="n">
        <v>0.15</v>
      </c>
      <c r="BB334" t="n">
        <v>2500</v>
      </c>
      <c r="BC334" t="n">
        <v>1000</v>
      </c>
      <c r="BD334" t="inlineStr">
        <is>
          <t>aa</t>
        </is>
      </c>
      <c r="BE334" t="inlineStr">
        <is>
          <t>Wikipedia '2A38': 4,060-5,000 rpm the twin mount</t>
        </is>
      </c>
      <c r="BG334" t="inlineStr">
        <is>
          <t>giong</t>
        </is>
      </c>
      <c r="CT334" t="n">
        <v>30</v>
      </c>
      <c r="CW334" t="n">
        <v>120</v>
      </c>
      <c r="CX334" t="n">
        <v>3.0286</v>
      </c>
      <c r="DD334" t="n">
        <v>0.0286</v>
      </c>
      <c r="DE334" t="n">
        <v>7</v>
      </c>
      <c r="DJ334" t="inlineStr">
        <is>
          <t>autocannon</t>
        </is>
      </c>
      <c r="DT334" t="inlineStr">
        <is>
          <t>twin_30_flak</t>
        </is>
      </c>
      <c r="EB334" t="n">
        <v>2</v>
      </c>
      <c r="EQ334" t="inlineStr">
        <is>
          <t>2A38 30 mm (twin)</t>
        </is>
      </c>
      <c r="EX334" t="n">
        <v>30</v>
      </c>
      <c r="GA334" t="inlineStr">
        <is>
          <t>2a38_30_mm</t>
        </is>
      </c>
      <c r="GD334" t="inlineStr">
        <is>
          <t>Assets/MachineBrigade/Resources/Data/balance.json: weapons[45]</t>
        </is>
      </c>
      <c r="GE334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35">
      <c r="A335" t="inlineStr">
        <is>
          <t>tower_flak_30_ap</t>
        </is>
      </c>
      <c r="B335" t="inlineStr">
        <is>
          <t>2A38 30 mm AP (twin)</t>
        </is>
      </c>
      <c r="C335" t="inlineStr">
        <is>
          <t>cal_30</t>
        </is>
      </c>
      <c r="D335" t="inlineStr"/>
      <c r="E335" t="inlineStr">
        <is>
          <t>2a38_30_mm_ap</t>
        </is>
      </c>
      <c r="F335" t="inlineStr">
        <is>
          <t>autocannon</t>
        </is>
      </c>
      <c r="G335" t="n">
        <v>30</v>
      </c>
      <c r="H335" t="inlineStr"/>
      <c r="I335" t="inlineStr"/>
      <c r="J335" t="inlineStr"/>
      <c r="K335" t="inlineStr">
        <is>
          <t>Kinetic</t>
        </is>
      </c>
      <c r="L335" t="n">
        <v>2</v>
      </c>
      <c r="M335" t="inlineStr">
        <is>
          <t>Bullet</t>
        </is>
      </c>
      <c r="N335" t="n">
        <v>1</v>
      </c>
      <c r="O335" t="inlineStr">
        <is>
          <t>RIPPLE</t>
        </is>
      </c>
      <c r="P335" t="n">
        <v>1</v>
      </c>
      <c r="Q335" t="n">
        <v>0.1</v>
      </c>
      <c r="R335" t="n">
        <v>0.0286</v>
      </c>
      <c r="S335" t="n">
        <v>120</v>
      </c>
      <c r="T335" t="n">
        <v>3.0286</v>
      </c>
      <c r="U335" t="n">
        <v>0</v>
      </c>
      <c r="V335" t="n">
        <v>0</v>
      </c>
      <c r="W335" t="n">
        <v>7</v>
      </c>
      <c r="X335" t="n">
        <v>0</v>
      </c>
      <c r="Y335" t="n">
        <v>0</v>
      </c>
      <c r="Z335" t="n">
        <v>280</v>
      </c>
      <c r="AA335" t="n">
        <v>42</v>
      </c>
      <c r="AB335" t="n">
        <v>0</v>
      </c>
      <c r="AC335" t="inlineStr">
        <is>
          <t>Ground</t>
        </is>
      </c>
      <c r="AD335" t="inlineStr"/>
      <c r="AE335" t="n">
        <v>1.4</v>
      </c>
      <c r="AF335" t="inlineStr">
        <is>
          <t>Small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30</v>
      </c>
      <c r="AO335" t="n">
        <v>0</v>
      </c>
      <c r="AP335" t="inlineStr">
        <is>
          <t>T1</t>
        </is>
      </c>
      <c r="AQ335" t="inlineStr">
        <is>
          <t>tower_flak_30</t>
        </is>
      </c>
      <c r="AR335" t="inlineStr"/>
      <c r="AS335" t="inlineStr"/>
      <c r="AT335" t="inlineStr"/>
      <c r="AU335" t="n">
        <v>0</v>
      </c>
      <c r="AV335" t="inlineStr"/>
      <c r="AW335" t="n">
        <v>0</v>
      </c>
      <c r="AX335" t="b">
        <v>0</v>
      </c>
      <c r="AY335" t="inlineStr"/>
      <c r="AZ335">
        <f>IF(AND($AX$335,$AW$335&gt;$AA$335/$Z$335),$AW$335,$AA$335/$Z$335)</f>
        <v/>
      </c>
      <c r="BA335" t="n">
        <v>0.15</v>
      </c>
      <c r="BB335" t="n">
        <v>2500</v>
      </c>
      <c r="BC335" t="n">
        <v>1000</v>
      </c>
      <c r="BD335" t="inlineStr">
        <is>
          <t>aa</t>
        </is>
      </c>
      <c r="BE335" t="inlineStr">
        <is>
          <t>Wikipedia '2A38': 4,060-5,000 rpm the twin mount</t>
        </is>
      </c>
      <c r="BG335" t="inlineStr">
        <is>
          <t>giong</t>
        </is>
      </c>
      <c r="CQ335" t="inlineStr"/>
      <c r="DE335" t="n">
        <v>7</v>
      </c>
      <c r="DF335" t="inlineStr">
        <is>
          <t>Kinetic</t>
        </is>
      </c>
      <c r="DM335" t="inlineStr">
        <is>
          <t>ground</t>
        </is>
      </c>
      <c r="DN335" t="inlineStr">
        <is>
          <t>BeltedAutocannon</t>
        </is>
      </c>
      <c r="DT335" t="inlineStr">
        <is>
          <t>tower_flak_30</t>
        </is>
      </c>
      <c r="EB335" t="n">
        <v>2</v>
      </c>
      <c r="EE335" t="b">
        <v>1</v>
      </c>
      <c r="EQ335" t="inlineStr">
        <is>
          <t>2A38 30 mm AP (twin)</t>
        </is>
      </c>
      <c r="ES335" t="inlineStr">
        <is>
          <t>ap</t>
        </is>
      </c>
      <c r="EU335" t="inlineStr">
        <is>
          <t>tower_flak_30</t>
        </is>
      </c>
      <c r="EY335" t="n">
        <v>0</v>
      </c>
      <c r="FW335" t="inlineStr">
        <is>
          <t>Ground</t>
        </is>
      </c>
      <c r="GA335" t="inlineStr">
        <is>
          <t>2a38_30_mm_ap</t>
        </is>
      </c>
      <c r="GC335" t="inlineStr"/>
      <c r="GD335" t="inlineStr">
        <is>
          <t>Assets/MachineBrigade/Resources/Data/balance.json: secondRounds.rounds[57]</t>
        </is>
      </c>
      <c r="GE335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36">
      <c r="A336" t="inlineStr">
        <is>
          <t>tower_hmg</t>
        </is>
      </c>
      <c r="B336" t="inlineStr">
        <is>
          <t>M2 Browning 12.7 mm</t>
        </is>
      </c>
      <c r="C336" t="inlineStr">
        <is>
          <t>cal_12_7</t>
        </is>
      </c>
      <c r="D336" t="inlineStr"/>
      <c r="E336" t="inlineStr">
        <is>
          <t>m2_browning_12_7_mm</t>
        </is>
      </c>
      <c r="F336" t="inlineStr">
        <is>
          <t>mg</t>
        </is>
      </c>
      <c r="G336" t="n">
        <v>12.7</v>
      </c>
      <c r="H336" t="inlineStr"/>
      <c r="I336" t="inlineStr"/>
      <c r="J336" t="inlineStr"/>
      <c r="K336" t="inlineStr">
        <is>
          <t>Kinetic</t>
        </is>
      </c>
      <c r="L336" t="n">
        <v>1</v>
      </c>
      <c r="M336" t="inlineStr">
        <is>
          <t>Bullet</t>
        </is>
      </c>
      <c r="N336" t="n">
        <v>1</v>
      </c>
      <c r="O336" t="inlineStr">
        <is>
          <t>RIPPLE</t>
        </is>
      </c>
      <c r="P336" t="n">
        <v>1</v>
      </c>
      <c r="Q336" t="n">
        <v>0.1</v>
      </c>
      <c r="R336" t="n">
        <v>0.08500000000000001</v>
      </c>
      <c r="S336" t="n">
        <v>100</v>
      </c>
      <c r="T336" t="n">
        <v>4.085</v>
      </c>
      <c r="U336" t="n">
        <v>0</v>
      </c>
      <c r="V336" t="n">
        <v>0</v>
      </c>
      <c r="W336" t="n">
        <v>9.5</v>
      </c>
      <c r="X336" t="n">
        <v>0</v>
      </c>
      <c r="Y336" t="n">
        <v>0</v>
      </c>
      <c r="Z336" t="n">
        <v>230</v>
      </c>
      <c r="AA336" t="n">
        <v>30</v>
      </c>
      <c r="AB336" t="n">
        <v>0</v>
      </c>
      <c r="AC336" t="inlineStr">
        <is>
          <t>All</t>
        </is>
      </c>
      <c r="AD336" t="inlineStr"/>
      <c r="AE336" t="n">
        <v>1.3</v>
      </c>
      <c r="AF336" t="inlineStr">
        <is>
          <t>Small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12.7</v>
      </c>
      <c r="AO336" t="n">
        <v>0</v>
      </c>
      <c r="AP336" t="inlineStr">
        <is>
          <t>T0</t>
        </is>
      </c>
      <c r="AQ336" t="inlineStr">
        <is>
          <t>hmg_roof</t>
        </is>
      </c>
      <c r="AR336" t="inlineStr">
        <is>
          <t>tower_hmg_api</t>
        </is>
      </c>
      <c r="AS336" t="inlineStr">
        <is>
          <t>thap</t>
        </is>
      </c>
      <c r="AT336" t="inlineStr">
        <is>
          <t>guard_tower;guard_tower.watch</t>
        </is>
      </c>
      <c r="AU336" t="n">
        <v>2</v>
      </c>
      <c r="AV336" t="inlineStr">
        <is>
          <t>guard_tower:0;guard_tower.watch:0</t>
        </is>
      </c>
      <c r="AW336" t="n">
        <v>0</v>
      </c>
      <c r="AX336" t="b">
        <v>0</v>
      </c>
      <c r="AY336" t="inlineStr"/>
      <c r="AZ336">
        <f>IF(AND($AX$336,$AW$336&gt;$AA$336/$Z$336),$AW$336,$AA$336/$Z$336)</f>
        <v/>
      </c>
      <c r="BA336" t="n">
        <v>0.1304347826086956</v>
      </c>
      <c r="BB336" t="n">
        <v>600</v>
      </c>
      <c r="BC336" t="n">
        <v>40</v>
      </c>
      <c r="BD336" t="inlineStr">
        <is>
          <t>mg</t>
        </is>
      </c>
      <c r="BE336" t="inlineStr">
        <is>
          <t>US Army FM 3-22.65: cyclic 450-600, rapid 40 rpm</t>
        </is>
      </c>
      <c r="BG336" t="inlineStr">
        <is>
          <t>giong</t>
        </is>
      </c>
      <c r="CT336" t="n">
        <v>12.7</v>
      </c>
      <c r="CW336" t="n">
        <v>100</v>
      </c>
      <c r="CX336" t="n">
        <v>4.085</v>
      </c>
      <c r="DD336" t="n">
        <v>0.08500000000000001</v>
      </c>
      <c r="DJ336" t="inlineStr">
        <is>
          <t>mg</t>
        </is>
      </c>
      <c r="DT336" t="inlineStr">
        <is>
          <t>hmg_roof</t>
        </is>
      </c>
      <c r="EB336" t="n">
        <v>1</v>
      </c>
      <c r="EQ336" t="inlineStr">
        <is>
          <t>M2 Browning 12.7 mm</t>
        </is>
      </c>
      <c r="EX336" t="n">
        <v>12.7</v>
      </c>
      <c r="GA336" t="inlineStr">
        <is>
          <t>m2_browning_12_7_mm</t>
        </is>
      </c>
      <c r="GD336" t="inlineStr">
        <is>
          <t>Assets/MachineBrigade/Resources/Data/balance.json: weapons[7]</t>
        </is>
      </c>
      <c r="GE336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37">
      <c r="A337" t="inlineStr">
        <is>
          <t>tower_hmg_api</t>
        </is>
      </c>
      <c r="B337" t="inlineStr">
        <is>
          <t>M2 Browning 12.7 mm API</t>
        </is>
      </c>
      <c r="C337" t="inlineStr">
        <is>
          <t>cal_12_7</t>
        </is>
      </c>
      <c r="D337" t="inlineStr"/>
      <c r="E337" t="inlineStr">
        <is>
          <t>m2_browning_12_7_mm_api</t>
        </is>
      </c>
      <c r="F337" t="inlineStr">
        <is>
          <t>mg</t>
        </is>
      </c>
      <c r="G337" t="n">
        <v>12.7</v>
      </c>
      <c r="H337" t="inlineStr"/>
      <c r="I337" t="inlineStr"/>
      <c r="J337" t="inlineStr"/>
      <c r="K337" t="inlineStr">
        <is>
          <t>Kinetic</t>
        </is>
      </c>
      <c r="L337" t="n">
        <v>2</v>
      </c>
      <c r="M337" t="inlineStr">
        <is>
          <t>Bullet</t>
        </is>
      </c>
      <c r="N337" t="n">
        <v>1</v>
      </c>
      <c r="O337" t="inlineStr">
        <is>
          <t>RIPPLE</t>
        </is>
      </c>
      <c r="P337" t="n">
        <v>1</v>
      </c>
      <c r="Q337" t="n">
        <v>0.1</v>
      </c>
      <c r="R337" t="n">
        <v>0.08500000000000001</v>
      </c>
      <c r="S337" t="n">
        <v>100</v>
      </c>
      <c r="T337" t="n">
        <v>4.085</v>
      </c>
      <c r="U337" t="n">
        <v>0</v>
      </c>
      <c r="V337" t="n">
        <v>0</v>
      </c>
      <c r="W337" t="n">
        <v>9.5</v>
      </c>
      <c r="X337" t="n">
        <v>0</v>
      </c>
      <c r="Y337" t="n">
        <v>0</v>
      </c>
      <c r="Z337" t="n">
        <v>230</v>
      </c>
      <c r="AA337" t="n">
        <v>30</v>
      </c>
      <c r="AB337" t="n">
        <v>0</v>
      </c>
      <c r="AC337" t="inlineStr">
        <is>
          <t>All</t>
        </is>
      </c>
      <c r="AD337" t="inlineStr"/>
      <c r="AE337" t="n">
        <v>1.3</v>
      </c>
      <c r="AF337" t="inlineStr">
        <is>
          <t>Small</t>
        </is>
      </c>
      <c r="AG337" t="b">
        <v>0</v>
      </c>
      <c r="AH337" t="b">
        <v>0</v>
      </c>
      <c r="AI337" t="b">
        <v>0</v>
      </c>
      <c r="AJ337" t="b">
        <v>0</v>
      </c>
      <c r="AK337" t="b">
        <v>0</v>
      </c>
      <c r="AL337" t="b">
        <v>0</v>
      </c>
      <c r="AM337" t="b">
        <v>0</v>
      </c>
      <c r="AN337" t="n">
        <v>12.7</v>
      </c>
      <c r="AO337" t="n">
        <v>0</v>
      </c>
      <c r="AP337" t="inlineStr">
        <is>
          <t>T0</t>
        </is>
      </c>
      <c r="AQ337" t="inlineStr">
        <is>
          <t>tower_hmg</t>
        </is>
      </c>
      <c r="AR337" t="inlineStr"/>
      <c r="AS337" t="inlineStr"/>
      <c r="AT337" t="inlineStr"/>
      <c r="AU337" t="n">
        <v>0</v>
      </c>
      <c r="AV337" t="inlineStr"/>
      <c r="AW337" t="n">
        <v>0</v>
      </c>
      <c r="AX337" t="b">
        <v>0</v>
      </c>
      <c r="AY337" t="inlineStr"/>
      <c r="AZ337">
        <f>IF(AND($AX$337,$AW$337&gt;$AA$337/$Z$337),$AW$337,$AA$337/$Z$337)</f>
        <v/>
      </c>
      <c r="BA337" t="n">
        <v>0.1304347826086956</v>
      </c>
      <c r="BB337" t="n">
        <v>600</v>
      </c>
      <c r="BC337" t="n">
        <v>40</v>
      </c>
      <c r="BD337" t="inlineStr">
        <is>
          <t>mg</t>
        </is>
      </c>
      <c r="BE337" t="inlineStr">
        <is>
          <t>US Army FM 3-22.65: cyclic 450-600, rapid 40 rpm</t>
        </is>
      </c>
      <c r="BG337" t="inlineStr">
        <is>
          <t>giong</t>
        </is>
      </c>
      <c r="DE337" t="n">
        <v>9.5</v>
      </c>
      <c r="DF337" t="inlineStr">
        <is>
          <t>Kinetic</t>
        </is>
      </c>
      <c r="DH337" t="b">
        <v>1</v>
      </c>
      <c r="DM337" t="inlineStr">
        <is>
          <t>any</t>
        </is>
      </c>
      <c r="DN337" t="inlineStr">
        <is>
          <t>BulletBig</t>
        </is>
      </c>
      <c r="DT337" t="inlineStr">
        <is>
          <t>tower_hmg</t>
        </is>
      </c>
      <c r="EB337" t="n">
        <v>2</v>
      </c>
      <c r="EE337" t="b">
        <v>1</v>
      </c>
      <c r="EQ337" t="inlineStr">
        <is>
          <t>M2 Browning 12.7 mm API</t>
        </is>
      </c>
      <c r="ES337" t="inlineStr">
        <is>
          <t>api</t>
        </is>
      </c>
      <c r="EU337" t="inlineStr">
        <is>
          <t>tower_hmg</t>
        </is>
      </c>
      <c r="GA337" t="inlineStr">
        <is>
          <t>m2_browning_12_7_mm_api</t>
        </is>
      </c>
      <c r="GD337" t="inlineStr">
        <is>
          <t>Assets/MachineBrigade/Resources/Data/balance.json: secondRounds.rounds[58]</t>
        </is>
      </c>
      <c r="GE337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38">
      <c r="A338" t="inlineStr">
        <is>
          <t>tower_kornet</t>
        </is>
      </c>
      <c r="B338" t="inlineStr">
        <is>
          <t>9M133 Kornet</t>
        </is>
      </c>
      <c r="C338" t="inlineStr">
        <is>
          <t>atgm_kornet</t>
        </is>
      </c>
      <c r="D338" t="inlineStr"/>
      <c r="E338" t="inlineStr">
        <is>
          <t>9m133_kornet</t>
        </is>
      </c>
      <c r="F338" t="inlineStr">
        <is>
          <t>atgm</t>
        </is>
      </c>
      <c r="G338" t="inlineStr"/>
      <c r="H338" t="n">
        <v>7</v>
      </c>
      <c r="I338" t="inlineStr"/>
      <c r="J338" t="inlineStr"/>
      <c r="K338" t="inlineStr">
        <is>
          <t>ShapedCharge</t>
        </is>
      </c>
      <c r="L338" t="n">
        <v>4</v>
      </c>
      <c r="M338" t="inlineStr">
        <is>
          <t>Missile</t>
        </is>
      </c>
      <c r="N338" t="n">
        <v>1</v>
      </c>
      <c r="O338" t="inlineStr">
        <is>
          <t>RIPPLE</t>
        </is>
      </c>
      <c r="P338" t="n">
        <v>2</v>
      </c>
      <c r="Q338" t="n">
        <v>0.6</v>
      </c>
      <c r="R338" t="n">
        <v>4.95</v>
      </c>
      <c r="S338" t="n">
        <v>0</v>
      </c>
      <c r="T338" t="n">
        <v>0</v>
      </c>
      <c r="U338" t="n">
        <v>0</v>
      </c>
      <c r="V338" t="n">
        <v>0</v>
      </c>
      <c r="W338" t="n">
        <v>230</v>
      </c>
      <c r="X338" t="n">
        <v>0</v>
      </c>
      <c r="Y338" t="n">
        <v>0</v>
      </c>
      <c r="Z338" t="n">
        <v>80</v>
      </c>
      <c r="AA338" t="n">
        <v>50</v>
      </c>
      <c r="AB338" t="n">
        <v>0</v>
      </c>
      <c r="AC338" t="inlineStr">
        <is>
          <t>Ground</t>
        </is>
      </c>
      <c r="AD338" t="inlineStr"/>
      <c r="AE338" t="n">
        <v>0</v>
      </c>
      <c r="AF338" t="inlineStr">
        <is>
          <t>Medium</t>
        </is>
      </c>
      <c r="AG338" t="b">
        <v>0</v>
      </c>
      <c r="AH338" t="b">
        <v>0</v>
      </c>
      <c r="AI338" t="b">
        <v>0</v>
      </c>
      <c r="AJ338" t="b">
        <v>0</v>
      </c>
      <c r="AK338" t="b">
        <v>0</v>
      </c>
      <c r="AL338" t="b">
        <v>0</v>
      </c>
      <c r="AM338" t="b">
        <v>0</v>
      </c>
      <c r="AN338" t="n">
        <v>29</v>
      </c>
      <c r="AO338" t="n">
        <v>0</v>
      </c>
      <c r="AP338" t="inlineStr">
        <is>
          <t>T2</t>
        </is>
      </c>
      <c r="AQ338" t="inlineStr">
        <is>
          <t>kornet_twin</t>
        </is>
      </c>
      <c r="AR338" t="inlineStr"/>
      <c r="AS338" t="inlineStr">
        <is>
          <t>thap</t>
        </is>
      </c>
      <c r="AT338" t="inlineStr">
        <is>
          <t>atgm_tower</t>
        </is>
      </c>
      <c r="AU338" t="n">
        <v>1</v>
      </c>
      <c r="AV338" t="inlineStr">
        <is>
          <t>atgm_tower:0</t>
        </is>
      </c>
      <c r="AW338" t="n">
        <v>0</v>
      </c>
      <c r="AX338" t="b">
        <v>0</v>
      </c>
      <c r="AY338" t="inlineStr"/>
      <c r="AZ338">
        <f>IF(AND($AX$338,$AW$338&gt;$AA$338/$Z$338),$AW$338,$AA$338/$Z$338)</f>
        <v/>
      </c>
      <c r="BA338" t="n">
        <v>0.625</v>
      </c>
      <c r="BB338" t="n">
        <v>3</v>
      </c>
      <c r="BC338" t="n">
        <v>3</v>
      </c>
      <c r="BD338" t="inlineStr">
        <is>
          <t>atgm</t>
        </is>
      </c>
      <c r="BE338" t="inlineStr">
        <is>
          <t>Wikipedia '9M133 Kornet': 2-3 rpm</t>
        </is>
      </c>
      <c r="BG338" t="inlineStr">
        <is>
          <t>doi</t>
        </is>
      </c>
      <c r="BR338" t="n">
        <v>22</v>
      </c>
      <c r="BS338" t="n">
        <v>80</v>
      </c>
      <c r="DD338" t="n">
        <v>4.95</v>
      </c>
      <c r="DJ338" t="inlineStr">
        <is>
          <t>atgm</t>
        </is>
      </c>
      <c r="DT338" t="inlineStr">
        <is>
          <t>kornet_twin</t>
        </is>
      </c>
      <c r="EB338" t="n">
        <v>4</v>
      </c>
      <c r="EQ338" t="inlineStr">
        <is>
          <t>9M133 Kornet</t>
        </is>
      </c>
      <c r="EX338" t="n">
        <v>29</v>
      </c>
      <c r="FZ338" t="n">
        <v>7</v>
      </c>
      <c r="GA338" t="inlineStr">
        <is>
          <t>9m133_kornet</t>
        </is>
      </c>
      <c r="GD338" t="inlineStr">
        <is>
          <t>Assets/MachineBrigade/Resources/Data/balance.json: weapons[103]</t>
        </is>
      </c>
      <c r="GE338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39">
      <c r="A339" t="inlineStr">
        <is>
          <t>train_gun</t>
        </is>
      </c>
      <c r="B339" t="inlineStr">
        <is>
          <t>B-38 152 mm</t>
        </is>
      </c>
      <c r="C339" t="inlineStr">
        <is>
          <t>cal_152_155</t>
        </is>
      </c>
      <c r="D339" t="inlineStr">
        <is>
          <t>ap</t>
        </is>
      </c>
      <c r="E339" t="inlineStr"/>
      <c r="F339" t="inlineStr">
        <is>
          <t>tank_gun</t>
        </is>
      </c>
      <c r="G339" t="n">
        <v>152</v>
      </c>
      <c r="H339" t="inlineStr"/>
      <c r="I339" t="inlineStr"/>
      <c r="J339" t="inlineStr"/>
      <c r="K339" t="inlineStr">
        <is>
          <t>Kinetic</t>
        </is>
      </c>
      <c r="L339" t="n">
        <v>5</v>
      </c>
      <c r="M339" t="inlineStr">
        <is>
          <t>Shell</t>
        </is>
      </c>
      <c r="N339" t="n">
        <v>1</v>
      </c>
      <c r="O339" t="inlineStr">
        <is>
          <t>RIPPLE</t>
        </is>
      </c>
      <c r="P339" t="n">
        <v>1</v>
      </c>
      <c r="Q339" t="n">
        <v>0.1</v>
      </c>
      <c r="R339" t="n">
        <v>8</v>
      </c>
      <c r="S339" t="n">
        <v>0</v>
      </c>
      <c r="T339" t="n">
        <v>0</v>
      </c>
      <c r="U339" t="n">
        <v>0</v>
      </c>
      <c r="V339" t="n">
        <v>0</v>
      </c>
      <c r="W339" t="n">
        <v>600</v>
      </c>
      <c r="X339" t="n">
        <v>2.5</v>
      </c>
      <c r="Y339" t="n">
        <v>0</v>
      </c>
      <c r="Z339" t="n">
        <v>170</v>
      </c>
      <c r="AA339" t="n">
        <v>42</v>
      </c>
      <c r="AB339" t="n">
        <v>0</v>
      </c>
      <c r="AC339" t="inlineStr">
        <is>
          <t>Ground</t>
        </is>
      </c>
      <c r="AD339" t="inlineStr"/>
      <c r="AE339" t="n">
        <v>0.6</v>
      </c>
      <c r="AF339" t="inlineStr">
        <is>
          <t>Large</t>
        </is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n">
        <v>152</v>
      </c>
      <c r="AO339" t="n">
        <v>0</v>
      </c>
      <c r="AP339" t="inlineStr">
        <is>
          <t>T3</t>
        </is>
      </c>
      <c r="AQ339" t="inlineStr"/>
      <c r="AR339" t="inlineStr">
        <is>
          <t>train_gun_he</t>
        </is>
      </c>
      <c r="AS339" t="inlineStr">
        <is>
          <t>boss</t>
        </is>
      </c>
      <c r="AT339" t="inlineStr">
        <is>
          <t>armored_train</t>
        </is>
      </c>
      <c r="AU339" t="n">
        <v>1</v>
      </c>
      <c r="AV339" t="inlineStr">
        <is>
          <t>armored_train:0;armored_train:4</t>
        </is>
      </c>
      <c r="AW339" t="n">
        <v>0</v>
      </c>
      <c r="AX339" t="b">
        <v>0</v>
      </c>
      <c r="AY339" t="inlineStr"/>
      <c r="AZ339">
        <f>IF(AND($AX$339,$AW$339&gt;$AA$339/$Z$339),$AW$339,$AA$339/$Z$339)</f>
        <v/>
      </c>
      <c r="BA339" t="n">
        <v>0.2470588235294118</v>
      </c>
      <c r="BB339" t="n">
        <v>7.5</v>
      </c>
      <c r="BC339" t="n">
        <v>5</v>
      </c>
      <c r="BD339" t="inlineStr">
        <is>
          <t>gun</t>
        </is>
      </c>
      <c r="BE339" t="inlineStr">
        <is>
          <t>Wikipedia '15.2 cm/57 B-38': 5-7.5 rpm</t>
        </is>
      </c>
      <c r="BF339" t="inlineStr">
        <is>
          <t>real B-38 5-7.5 rpm (8 s at 7.5); wave 1's 5.11 s is too fast</t>
        </is>
      </c>
      <c r="BG339" t="inlineStr">
        <is>
          <t>doi</t>
        </is>
      </c>
      <c r="BH339" t="n">
        <v>320</v>
      </c>
      <c r="BI339" t="n">
        <v>600</v>
      </c>
      <c r="BJ339" t="n">
        <v>5.11</v>
      </c>
      <c r="BK339" t="n">
        <v>8</v>
      </c>
      <c r="CB339" t="n">
        <v>4</v>
      </c>
      <c r="CC339" t="n">
        <v>5</v>
      </c>
      <c r="CT339" t="n">
        <v>152</v>
      </c>
      <c r="DD339" t="n">
        <v>8</v>
      </c>
      <c r="DE339" t="n">
        <v>600</v>
      </c>
      <c r="DF339" t="inlineStr">
        <is>
          <t>Kinetic</t>
        </is>
      </c>
      <c r="DJ339" t="inlineStr">
        <is>
          <t>tank_gun</t>
        </is>
      </c>
      <c r="DO339" t="n">
        <v>14</v>
      </c>
      <c r="DS339" t="inlineStr">
        <is>
          <t>Large</t>
        </is>
      </c>
      <c r="EB339" t="n">
        <v>5</v>
      </c>
      <c r="EE339" t="b">
        <v>1</v>
      </c>
      <c r="EK339" t="n">
        <v>170</v>
      </c>
      <c r="EP339" t="n">
        <v>42</v>
      </c>
      <c r="EQ339" t="inlineStr">
        <is>
          <t>B-38 152 mm</t>
        </is>
      </c>
      <c r="EX339" t="n">
        <v>152</v>
      </c>
      <c r="EY339" t="n">
        <v>2.5</v>
      </c>
      <c r="EZ339" t="n">
        <v>0.6</v>
      </c>
      <c r="GB339" t="inlineStr">
        <is>
          <t>cal_152_155</t>
        </is>
      </c>
      <c r="GC339" t="inlineStr">
        <is>
          <t>ap</t>
        </is>
      </c>
      <c r="GD339" t="inlineStr">
        <is>
          <t>Assets/MachineBrigade/Resources/Data/balance.json: weapons[233]</t>
        </is>
      </c>
      <c r="GE339" t="inlineStr">
        <is>
          <t>{"id":"train_gun","groundMinReach":14,"weaponFamilyId":"cal_152_155","weaponVariantId":"ap","real":"B-38 152 mm","family":"tank_gun","size":152,"caliberMm":152,"pen":5,"piercing":true,"damageType":"Kinetic","damage":600,"cooldown":8,"range":42,"projectileSpeed":170,"splash":2.5,"spread":0.6,"impactTier":"Large"}</t>
        </is>
      </c>
    </row>
    <row r="340">
      <c r="A340" t="inlineStr">
        <is>
          <t>train_gun_he</t>
        </is>
      </c>
      <c r="B340" t="inlineStr">
        <is>
          <t>B-38 152 mm HE</t>
        </is>
      </c>
      <c r="C340" t="inlineStr">
        <is>
          <t>cal_152_155</t>
        </is>
      </c>
      <c r="D340" t="inlineStr"/>
      <c r="E340" t="inlineStr"/>
      <c r="F340" t="inlineStr">
        <is>
          <t>tank_gun</t>
        </is>
      </c>
      <c r="G340" t="n">
        <v>152</v>
      </c>
      <c r="H340" t="inlineStr"/>
      <c r="I340" t="inlineStr"/>
      <c r="J340" t="inlineStr"/>
      <c r="K340" t="inlineStr">
        <is>
          <t>HighExplosive</t>
        </is>
      </c>
      <c r="L340" t="n">
        <v>2</v>
      </c>
      <c r="M340" t="inlineStr">
        <is>
          <t>Shell</t>
        </is>
      </c>
      <c r="N340" t="n">
        <v>1</v>
      </c>
      <c r="O340" t="inlineStr">
        <is>
          <t>RIPPLE</t>
        </is>
      </c>
      <c r="P340" t="n">
        <v>1</v>
      </c>
      <c r="Q340" t="n">
        <v>0.1</v>
      </c>
      <c r="R340" t="n">
        <v>8</v>
      </c>
      <c r="S340" t="n">
        <v>0</v>
      </c>
      <c r="T340" t="n">
        <v>0</v>
      </c>
      <c r="U340" t="n">
        <v>0</v>
      </c>
      <c r="V340" t="n">
        <v>0</v>
      </c>
      <c r="W340" t="n">
        <v>600</v>
      </c>
      <c r="X340" t="n">
        <v>7</v>
      </c>
      <c r="Y340" t="n">
        <v>14</v>
      </c>
      <c r="Z340" t="n">
        <v>170</v>
      </c>
      <c r="AA340" t="n">
        <v>42</v>
      </c>
      <c r="AB340" t="n">
        <v>0</v>
      </c>
      <c r="AC340" t="inlineStr">
        <is>
          <t>Ground</t>
        </is>
      </c>
      <c r="AD340" t="inlineStr"/>
      <c r="AE340" t="n">
        <v>0.6</v>
      </c>
      <c r="AF340" t="inlineStr">
        <is>
          <t>Huge</t>
        </is>
      </c>
      <c r="AG340" t="b">
        <v>0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n">
        <v>152</v>
      </c>
      <c r="AO340" t="n">
        <v>0</v>
      </c>
      <c r="AP340" t="inlineStr">
        <is>
          <t>T3</t>
        </is>
      </c>
      <c r="AQ340" t="inlineStr">
        <is>
          <t>train_gun</t>
        </is>
      </c>
      <c r="AR340" t="inlineStr"/>
      <c r="AS340" t="inlineStr"/>
      <c r="AT340" t="inlineStr"/>
      <c r="AU340" t="n">
        <v>0</v>
      </c>
      <c r="AV340" t="inlineStr"/>
      <c r="AW340" t="n">
        <v>0</v>
      </c>
      <c r="AX340" t="b">
        <v>0</v>
      </c>
      <c r="AY340" t="inlineStr"/>
      <c r="AZ340">
        <f>IF(AND($AX$340,$AW$340&gt;$AA$340/$Z$340),$AW$340,$AA$340/$Z$340)</f>
        <v/>
      </c>
      <c r="BA340" t="n">
        <v>0.2470588235294118</v>
      </c>
      <c r="BB340" t="n">
        <v>7.5</v>
      </c>
      <c r="BC340" t="n">
        <v>5</v>
      </c>
      <c r="BD340" t="inlineStr">
        <is>
          <t>gun</t>
        </is>
      </c>
      <c r="BE340" t="inlineStr">
        <is>
          <t>Wikipedia '15.2 cm/57 B-38': 5-7.5 rpm</t>
        </is>
      </c>
      <c r="BG340" t="inlineStr">
        <is>
          <t>doi</t>
        </is>
      </c>
      <c r="BH340" t="n">
        <v>320</v>
      </c>
      <c r="BI340" t="n">
        <v>600</v>
      </c>
      <c r="BJ340" t="n">
        <v>5.11</v>
      </c>
      <c r="BK340" t="n">
        <v>8</v>
      </c>
      <c r="BN340" t="n">
        <v>3</v>
      </c>
      <c r="BO340" t="n">
        <v>7</v>
      </c>
      <c r="BP340" t="n">
        <v>0</v>
      </c>
      <c r="BQ340" t="n">
        <v>14</v>
      </c>
      <c r="DE340" t="n">
        <v>600</v>
      </c>
      <c r="DF340" t="inlineStr">
        <is>
          <t>HighExplosive</t>
        </is>
      </c>
      <c r="DG340" t="n">
        <v>14</v>
      </c>
      <c r="DM340" t="inlineStr">
        <is>
          <t>light;structure</t>
        </is>
      </c>
      <c r="DN340" t="inlineStr">
        <is>
          <t>HeShell</t>
        </is>
      </c>
      <c r="DS340" t="inlineStr">
        <is>
          <t>Huge</t>
        </is>
      </c>
      <c r="DT340" t="inlineStr">
        <is>
          <t>train_gun</t>
        </is>
      </c>
      <c r="EB340" t="n">
        <v>2</v>
      </c>
      <c r="EE340" t="b">
        <v>0</v>
      </c>
      <c r="EQ340" t="inlineStr">
        <is>
          <t>B-38 152 mm HE</t>
        </is>
      </c>
      <c r="ES340" t="inlineStr">
        <is>
          <t>he</t>
        </is>
      </c>
      <c r="EU340" t="inlineStr">
        <is>
          <t>train_gun</t>
        </is>
      </c>
      <c r="EY340" t="n">
        <v>7</v>
      </c>
      <c r="FW340" t="inlineStr">
        <is>
          <t>Ground</t>
        </is>
      </c>
      <c r="GA340" t="inlineStr"/>
      <c r="GC340" t="inlineStr"/>
      <c r="GD340" t="inlineStr">
        <is>
          <t>Assets/MachineBrigade/Resources/Data/balance.json: secondRounds.rounds[59]</t>
        </is>
      </c>
      <c r="GE340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41">
      <c r="A341" t="inlineStr">
        <is>
          <t>train_mortar</t>
        </is>
      </c>
      <c r="B341" t="inlineStr">
        <is>
          <t>2B11 120 mm (twin)</t>
        </is>
      </c>
      <c r="C341" t="inlineStr">
        <is>
          <t>cal_120_he</t>
        </is>
      </c>
      <c r="D341" t="inlineStr">
        <is>
          <t>mortar</t>
        </is>
      </c>
      <c r="E341" t="inlineStr">
        <is>
          <t>2b11_120_mm</t>
        </is>
      </c>
      <c r="F341" t="inlineStr">
        <is>
          <t>mortar</t>
        </is>
      </c>
      <c r="G341" t="n">
        <v>120</v>
      </c>
      <c r="H341" t="inlineStr"/>
      <c r="I341" t="inlineStr"/>
      <c r="J341" t="inlineStr"/>
      <c r="K341" t="inlineStr">
        <is>
          <t>HighExplosive</t>
        </is>
      </c>
      <c r="L341" t="n">
        <v>2</v>
      </c>
      <c r="M341" t="inlineStr">
        <is>
          <t>Shell</t>
        </is>
      </c>
      <c r="N341" t="n">
        <v>1</v>
      </c>
      <c r="O341" t="inlineStr">
        <is>
          <t>RIPPLE</t>
        </is>
      </c>
      <c r="P341" t="n">
        <v>2</v>
      </c>
      <c r="Q341" t="n">
        <v>0.8</v>
      </c>
      <c r="R341" t="n">
        <v>7.5</v>
      </c>
      <c r="S341" t="n">
        <v>0</v>
      </c>
      <c r="T341" t="n">
        <v>0</v>
      </c>
      <c r="U341" t="n">
        <v>0</v>
      </c>
      <c r="V341" t="n">
        <v>0</v>
      </c>
      <c r="W341" t="n">
        <v>150</v>
      </c>
      <c r="X341" t="n">
        <v>5</v>
      </c>
      <c r="Y341" t="n">
        <v>0</v>
      </c>
      <c r="Z341" t="n">
        <v>45</v>
      </c>
      <c r="AA341" t="n">
        <v>60</v>
      </c>
      <c r="AB341" t="n">
        <v>10</v>
      </c>
      <c r="AC341" t="inlineStr">
        <is>
          <t>Ground</t>
        </is>
      </c>
      <c r="AD341" t="inlineStr"/>
      <c r="AE341" t="n">
        <v>4</v>
      </c>
      <c r="AF341" t="inlineStr">
        <is>
          <t>Large</t>
        </is>
      </c>
      <c r="AG341" t="b">
        <v>0</v>
      </c>
      <c r="AH341" t="b">
        <v>0</v>
      </c>
      <c r="AI341" t="b">
        <v>0</v>
      </c>
      <c r="AJ341" t="b">
        <v>0</v>
      </c>
      <c r="AK341" t="b">
        <v>0</v>
      </c>
      <c r="AL341" t="b">
        <v>0</v>
      </c>
      <c r="AM341" t="b">
        <v>0</v>
      </c>
      <c r="AN341" t="n">
        <v>120</v>
      </c>
      <c r="AO341" t="n">
        <v>0</v>
      </c>
      <c r="AP341" t="inlineStr">
        <is>
          <t>T3</t>
        </is>
      </c>
      <c r="AQ341" t="inlineStr"/>
      <c r="AR341" t="inlineStr"/>
      <c r="AS341" t="inlineStr"/>
      <c r="AT341" t="inlineStr"/>
      <c r="AU341" t="n">
        <v>0</v>
      </c>
      <c r="AV341" t="inlineStr"/>
      <c r="AW341" t="n">
        <v>0</v>
      </c>
      <c r="AX341" t="b">
        <v>0</v>
      </c>
      <c r="AY341" t="inlineStr"/>
      <c r="AZ341">
        <f>IF(AND($AX$341,$AW$341&gt;$AA$341/$Z$341),$AW$341,$AA$341/$Z$341)</f>
        <v/>
      </c>
      <c r="BA341" t="n">
        <v>1.333333333333333</v>
      </c>
      <c r="BB341" t="n">
        <v>15</v>
      </c>
      <c r="BC341" t="n">
        <v>10</v>
      </c>
      <c r="BD341" t="inlineStr">
        <is>
          <t>gun</t>
        </is>
      </c>
      <c r="BE341" t="inlineStr">
        <is>
          <t>Wikipedia '2B11': 15 rpm</t>
        </is>
      </c>
      <c r="BG341" t="inlineStr">
        <is>
          <t>doi</t>
        </is>
      </c>
      <c r="BR341" t="n">
        <v>32</v>
      </c>
      <c r="BS341" t="n">
        <v>45</v>
      </c>
      <c r="CR341" t="n">
        <v>2</v>
      </c>
      <c r="CS341" t="n">
        <v>0.8</v>
      </c>
      <c r="CT341" t="n">
        <v>120</v>
      </c>
      <c r="DD341" t="n">
        <v>7.5</v>
      </c>
      <c r="DE341" t="n">
        <v>150</v>
      </c>
      <c r="DF341" t="inlineStr">
        <is>
          <t>HighExplosive</t>
        </is>
      </c>
      <c r="DJ341" t="inlineStr">
        <is>
          <t>mortar</t>
        </is>
      </c>
      <c r="DS341" t="inlineStr">
        <is>
          <t>Large</t>
        </is>
      </c>
      <c r="DZ341" t="n">
        <v>10</v>
      </c>
      <c r="EB341" t="n">
        <v>2</v>
      </c>
      <c r="EH341" t="inlineStr">
        <is>
          <t>Shell</t>
        </is>
      </c>
      <c r="EP341" t="n">
        <v>60</v>
      </c>
      <c r="EQ341" t="inlineStr">
        <is>
          <t>2B11 120 mm (twin)</t>
        </is>
      </c>
      <c r="EX341" t="n">
        <v>120</v>
      </c>
      <c r="EZ341" t="n">
        <v>4</v>
      </c>
      <c r="GA341" t="inlineStr">
        <is>
          <t>2b11_120_mm</t>
        </is>
      </c>
      <c r="GB341" t="inlineStr">
        <is>
          <t>cal_120_he</t>
        </is>
      </c>
      <c r="GC341" t="inlineStr">
        <is>
          <t>mortar</t>
        </is>
      </c>
      <c r="GD341" t="inlineStr">
        <is>
          <t>Assets/MachineBrigade/Resources/Data/balance.json: weapons[259]</t>
        </is>
      </c>
      <c r="GE341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42">
      <c r="A342" t="inlineStr">
        <is>
          <t>turret_gmlrs</t>
        </is>
      </c>
      <c r="B342" t="inlineStr">
        <is>
          <t>M31 GMLRS 227 mm (tower)</t>
        </is>
      </c>
      <c r="C342" t="inlineStr">
        <is>
          <t>rkt_gmlrs_227</t>
        </is>
      </c>
      <c r="D342" t="inlineStr"/>
      <c r="E342" t="inlineStr">
        <is>
          <t>m31_gmlrs_227_mm</t>
        </is>
      </c>
      <c r="F342" t="inlineStr">
        <is>
          <t>rocket</t>
        </is>
      </c>
      <c r="G342" t="n">
        <v>227</v>
      </c>
      <c r="H342" t="inlineStr"/>
      <c r="I342" t="inlineStr"/>
      <c r="J342" t="inlineStr"/>
      <c r="K342" t="inlineStr">
        <is>
          <t>HighExplosive</t>
        </is>
      </c>
      <c r="L342" t="n">
        <v>3</v>
      </c>
      <c r="M342" t="inlineStr">
        <is>
          <t>Rocket</t>
        </is>
      </c>
      <c r="N342" t="n">
        <v>1</v>
      </c>
      <c r="O342" t="inlineStr">
        <is>
          <t>RIPPLE</t>
        </is>
      </c>
      <c r="P342" t="n">
        <v>2</v>
      </c>
      <c r="Q342" t="n">
        <v>0.5</v>
      </c>
      <c r="R342" t="n">
        <v>7.5</v>
      </c>
      <c r="S342" t="n">
        <v>0</v>
      </c>
      <c r="T342" t="n">
        <v>0</v>
      </c>
      <c r="U342" t="n">
        <v>0</v>
      </c>
      <c r="V342" t="n">
        <v>0</v>
      </c>
      <c r="W342" t="n">
        <v>160</v>
      </c>
      <c r="X342" t="n">
        <v>4.5</v>
      </c>
      <c r="Y342" t="n">
        <v>0</v>
      </c>
      <c r="Z342" t="n">
        <v>85</v>
      </c>
      <c r="AA342" t="n">
        <v>90</v>
      </c>
      <c r="AB342" t="n">
        <v>20</v>
      </c>
      <c r="AC342" t="inlineStr">
        <is>
          <t>Ground</t>
        </is>
      </c>
      <c r="AD342" t="inlineStr"/>
      <c r="AE342" t="n">
        <v>0.8</v>
      </c>
      <c r="AF342" t="inlineStr">
        <is>
          <t>Large</t>
        </is>
      </c>
      <c r="AG342" t="b">
        <v>0</v>
      </c>
      <c r="AH342" t="b">
        <v>0</v>
      </c>
      <c r="AI342" t="b">
        <v>0</v>
      </c>
      <c r="AJ342" t="b">
        <v>0</v>
      </c>
      <c r="AK342" t="b">
        <v>0</v>
      </c>
      <c r="AL342" t="b">
        <v>0</v>
      </c>
      <c r="AM342" t="b">
        <v>0</v>
      </c>
      <c r="AN342" t="n">
        <v>227</v>
      </c>
      <c r="AO342" t="n">
        <v>0</v>
      </c>
      <c r="AP342" t="inlineStr">
        <is>
          <t>T4</t>
        </is>
      </c>
      <c r="AQ342" t="inlineStr"/>
      <c r="AR342" t="inlineStr"/>
      <c r="AS342" t="inlineStr">
        <is>
          <t>thap</t>
        </is>
      </c>
      <c r="AT342" t="inlineStr">
        <is>
          <t>rocket_turret.guided</t>
        </is>
      </c>
      <c r="AU342" t="n">
        <v>1</v>
      </c>
      <c r="AV342" t="inlineStr">
        <is>
          <t>rocket_turret.guided:0</t>
        </is>
      </c>
      <c r="AW342" t="n">
        <v>2.5</v>
      </c>
      <c r="AX342" t="b">
        <v>1</v>
      </c>
      <c r="AY342" t="inlineStr"/>
      <c r="AZ342">
        <f>IF(AND($AX$342,$AW$342&gt;$AA$342/$Z$342),$AW$342,$AA$342/$Z$342)</f>
        <v/>
      </c>
      <c r="BA342" t="n">
        <v>2.5</v>
      </c>
      <c r="BB342" t="n">
        <v>12</v>
      </c>
      <c r="BC342" t="inlineStr"/>
      <c r="BD342" t="inlineStr">
        <is>
          <t>rocket</t>
        </is>
      </c>
      <c r="BE342" t="inlineStr">
        <is>
          <t>Wikipedia 'M270 MLRS': 12 rockets in under a minute</t>
        </is>
      </c>
      <c r="BG342" t="inlineStr">
        <is>
          <t>doi</t>
        </is>
      </c>
      <c r="BR342" t="n">
        <v>50</v>
      </c>
      <c r="BS342" t="n">
        <v>85</v>
      </c>
      <c r="CR342" t="n">
        <v>2</v>
      </c>
      <c r="CS342" t="n">
        <v>0.5</v>
      </c>
      <c r="CT342" t="n">
        <v>227</v>
      </c>
      <c r="DD342" t="n">
        <v>7.5</v>
      </c>
      <c r="DE342" t="n">
        <v>160</v>
      </c>
      <c r="DF342" t="inlineStr">
        <is>
          <t>HighExplosive</t>
        </is>
      </c>
      <c r="DJ342" t="inlineStr">
        <is>
          <t>rocket</t>
        </is>
      </c>
      <c r="DS342" t="inlineStr">
        <is>
          <t>Large</t>
        </is>
      </c>
      <c r="DZ342" t="n">
        <v>20</v>
      </c>
      <c r="EB342" t="n">
        <v>3</v>
      </c>
      <c r="EH342" t="inlineStr">
        <is>
          <t>Rocket</t>
        </is>
      </c>
      <c r="EP342" t="n">
        <v>90</v>
      </c>
      <c r="EQ342" t="inlineStr">
        <is>
          <t>M31 GMLRS 227 mm (tower)</t>
        </is>
      </c>
      <c r="EX342" t="n">
        <v>227</v>
      </c>
      <c r="EZ342" t="n">
        <v>0.8</v>
      </c>
      <c r="GA342" t="inlineStr">
        <is>
          <t>m31_gmlrs_227_mm</t>
        </is>
      </c>
      <c r="GB342" t="inlineStr">
        <is>
          <t>rkt_gmlrs_227</t>
        </is>
      </c>
      <c r="GD342" t="inlineStr">
        <is>
          <t>Assets/MachineBrigade/Resources/Data/balance.json: weapons[121]</t>
        </is>
      </c>
      <c r="GE342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43">
      <c r="A343" t="inlineStr">
        <is>
          <t>turret_gun_120</t>
        </is>
      </c>
      <c r="B343" t="inlineStr">
        <is>
          <t>Rh-120 L/44 120 mm</t>
        </is>
      </c>
      <c r="C343" t="inlineStr">
        <is>
          <t>cal_120_ap</t>
        </is>
      </c>
      <c r="D343" t="inlineStr"/>
      <c r="E343" t="inlineStr">
        <is>
          <t>rh_120_l_44_120_mm</t>
        </is>
      </c>
      <c r="F343" t="inlineStr">
        <is>
          <t>tank_gun</t>
        </is>
      </c>
      <c r="G343" t="n">
        <v>120</v>
      </c>
      <c r="H343" t="inlineStr"/>
      <c r="I343" t="inlineStr"/>
      <c r="J343" t="inlineStr"/>
      <c r="K343" t="inlineStr">
        <is>
          <t>Kinetic</t>
        </is>
      </c>
      <c r="L343" t="n">
        <v>4</v>
      </c>
      <c r="M343" t="inlineStr">
        <is>
          <t>Shell</t>
        </is>
      </c>
      <c r="N343" t="n">
        <v>1</v>
      </c>
      <c r="O343" t="inlineStr">
        <is>
          <t>RIPPLE</t>
        </is>
      </c>
      <c r="P343" t="n">
        <v>1</v>
      </c>
      <c r="Q343" t="n">
        <v>0.1</v>
      </c>
      <c r="R343" t="n">
        <v>4.114</v>
      </c>
      <c r="S343" t="n">
        <v>0</v>
      </c>
      <c r="T343" t="n">
        <v>0</v>
      </c>
      <c r="U343" t="n">
        <v>0</v>
      </c>
      <c r="V343" t="n">
        <v>0</v>
      </c>
      <c r="W343" t="n">
        <v>343</v>
      </c>
      <c r="X343" t="n">
        <v>1.5</v>
      </c>
      <c r="Y343" t="n">
        <v>0</v>
      </c>
      <c r="Z343" t="n">
        <v>170</v>
      </c>
      <c r="AA343" t="n">
        <v>32</v>
      </c>
      <c r="AB343" t="n">
        <v>0</v>
      </c>
      <c r="AC343" t="inlineStr">
        <is>
          <t>Ground</t>
        </is>
      </c>
      <c r="AD343" t="inlineStr"/>
      <c r="AE343" t="n">
        <v>0.6</v>
      </c>
      <c r="AF343" t="inlineStr">
        <is>
          <t>Large</t>
        </is>
      </c>
      <c r="AG343" t="b">
        <v>0</v>
      </c>
      <c r="AH343" t="b">
        <v>0</v>
      </c>
      <c r="AI343" t="b">
        <v>0</v>
      </c>
      <c r="AJ343" t="b">
        <v>0</v>
      </c>
      <c r="AK343" t="b">
        <v>0</v>
      </c>
      <c r="AL343" t="b">
        <v>0</v>
      </c>
      <c r="AM343" t="b">
        <v>0</v>
      </c>
      <c r="AN343" t="n">
        <v>120</v>
      </c>
      <c r="AO343" t="n">
        <v>0</v>
      </c>
      <c r="AP343" t="inlineStr">
        <is>
          <t>T3</t>
        </is>
      </c>
      <c r="AQ343" t="inlineStr"/>
      <c r="AR343" t="inlineStr">
        <is>
          <t>turret_gun_120_he</t>
        </is>
      </c>
      <c r="AS343" t="inlineStr">
        <is>
          <t>thap</t>
        </is>
      </c>
      <c r="AT343" t="inlineStr">
        <is>
          <t>gun_turret</t>
        </is>
      </c>
      <c r="AU343" t="n">
        <v>1</v>
      </c>
      <c r="AV343" t="inlineStr">
        <is>
          <t>gun_turret:0</t>
        </is>
      </c>
      <c r="AW343" t="n">
        <v>0</v>
      </c>
      <c r="AX343" t="b">
        <v>0</v>
      </c>
      <c r="AY343" t="inlineStr"/>
      <c r="AZ343">
        <f>IF(AND($AX$343,$AW$343&gt;$AA$343/$Z$343),$AW$343,$AA$343/$Z$343)</f>
        <v/>
      </c>
      <c r="BA343" t="n">
        <v>0.1882352941176471</v>
      </c>
      <c r="BB343" t="n">
        <v>8</v>
      </c>
      <c r="BC343" t="n">
        <v>6</v>
      </c>
      <c r="BD343" t="inlineStr">
        <is>
          <t>gun</t>
        </is>
      </c>
      <c r="BE343" t="inlineStr">
        <is>
          <t>the sheet's 'Ngoài đời': Rh-120 6-8 rpm with a loader (Wikipedia 'Rheinmetall 120 mm gun')</t>
        </is>
      </c>
      <c r="BG343" t="inlineStr">
        <is>
          <t>doi</t>
        </is>
      </c>
      <c r="BH343" t="n">
        <v>240</v>
      </c>
      <c r="BI343" t="n">
        <v>343</v>
      </c>
      <c r="BJ343" t="n">
        <v>2.88</v>
      </c>
      <c r="BK343" t="n">
        <v>4.114</v>
      </c>
      <c r="CT343" t="n">
        <v>120</v>
      </c>
      <c r="DD343" t="n">
        <v>4.114</v>
      </c>
      <c r="DE343" t="n">
        <v>343</v>
      </c>
      <c r="DF343" t="inlineStr">
        <is>
          <t>Kinetic</t>
        </is>
      </c>
      <c r="DJ343" t="inlineStr">
        <is>
          <t>tank_gun</t>
        </is>
      </c>
      <c r="DR343" t="n">
        <v>1.35</v>
      </c>
      <c r="DS343" t="inlineStr">
        <is>
          <t>Large</t>
        </is>
      </c>
      <c r="EB343" t="n">
        <v>4</v>
      </c>
      <c r="EE343" t="b">
        <v>1</v>
      </c>
      <c r="EP343" t="n">
        <v>32</v>
      </c>
      <c r="EQ343" t="inlineStr">
        <is>
          <t>Rh-120 L/44 120 mm</t>
        </is>
      </c>
      <c r="EX343" t="n">
        <v>120</v>
      </c>
      <c r="EZ343" t="n">
        <v>0.6</v>
      </c>
      <c r="GA343" t="inlineStr">
        <is>
          <t>rh_120_l_44_120_mm</t>
        </is>
      </c>
      <c r="GB343" t="inlineStr">
        <is>
          <t>cal_120_ap</t>
        </is>
      </c>
      <c r="GD343" t="inlineStr">
        <is>
          <t>Assets/MachineBrigade/Resources/Data/balance.json: weapons[12]</t>
        </is>
      </c>
      <c r="GE343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mm","family":"tank_gun","size":120,"caliberMm":120,"pen":4,"piercing":true,"damageType":"Kinetic","damage":343,"cooldown":4.114,"range":32,"spread":0.6,"impactTier":"Large","impactScale":1.35}</t>
        </is>
      </c>
    </row>
    <row r="344">
      <c r="A344" t="inlineStr">
        <is>
          <t>turret_gun_120_auto</t>
        </is>
      </c>
      <c r="B344" t="inlineStr">
        <is>
          <t>Rh-120 L/44 120 mm (autoloader)</t>
        </is>
      </c>
      <c r="C344" t="inlineStr">
        <is>
          <t>cal_120_ap</t>
        </is>
      </c>
      <c r="D344" t="inlineStr"/>
      <c r="E344" t="inlineStr">
        <is>
          <t>rh_120_l_44_120_mm</t>
        </is>
      </c>
      <c r="F344" t="inlineStr">
        <is>
          <t>tank_gun</t>
        </is>
      </c>
      <c r="G344" t="n">
        <v>120</v>
      </c>
      <c r="H344" t="inlineStr"/>
      <c r="I344" t="inlineStr"/>
      <c r="J344" t="inlineStr"/>
      <c r="K344" t="inlineStr">
        <is>
          <t>Kinetic</t>
        </is>
      </c>
      <c r="L344" t="n">
        <v>4</v>
      </c>
      <c r="M344" t="inlineStr">
        <is>
          <t>Shell</t>
        </is>
      </c>
      <c r="N344" t="n">
        <v>1</v>
      </c>
      <c r="O344" t="inlineStr">
        <is>
          <t>RIPPLE</t>
        </is>
      </c>
      <c r="P344" t="n">
        <v>1</v>
      </c>
      <c r="Q344" t="n">
        <v>0.1</v>
      </c>
      <c r="R344" t="n">
        <v>3.614</v>
      </c>
      <c r="S344" t="n">
        <v>0</v>
      </c>
      <c r="T344" t="n">
        <v>0</v>
      </c>
      <c r="U344" t="n">
        <v>0</v>
      </c>
      <c r="V344" t="n">
        <v>0</v>
      </c>
      <c r="W344" t="n">
        <v>343</v>
      </c>
      <c r="X344" t="n">
        <v>1.5</v>
      </c>
      <c r="Y344" t="n">
        <v>0</v>
      </c>
      <c r="Z344" t="n">
        <v>170</v>
      </c>
      <c r="AA344" t="n">
        <v>32</v>
      </c>
      <c r="AB344" t="n">
        <v>0</v>
      </c>
      <c r="AC344" t="inlineStr">
        <is>
          <t>Ground</t>
        </is>
      </c>
      <c r="AD344" t="inlineStr"/>
      <c r="AE344" t="n">
        <v>0.6</v>
      </c>
      <c r="AF344" t="inlineStr">
        <is>
          <t>Large</t>
        </is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n">
        <v>120</v>
      </c>
      <c r="AO344" t="n">
        <v>0</v>
      </c>
      <c r="AP344" t="inlineStr">
        <is>
          <t>T3</t>
        </is>
      </c>
      <c r="AQ344" t="inlineStr">
        <is>
          <t>turret_gun_120</t>
        </is>
      </c>
      <c r="AR344" t="inlineStr"/>
      <c r="AS344" t="inlineStr"/>
      <c r="AT344" t="inlineStr"/>
      <c r="AU344" t="n">
        <v>0</v>
      </c>
      <c r="AV344" t="inlineStr"/>
      <c r="AW344" t="n">
        <v>0</v>
      </c>
      <c r="AX344" t="b">
        <v>0</v>
      </c>
      <c r="AY344" t="inlineStr"/>
      <c r="AZ344">
        <f>IF(AND($AX$344,$AW$344&gt;$AA$344/$Z$344),$AW$344,$AA$344/$Z$344)</f>
        <v/>
      </c>
      <c r="BA344" t="n">
        <v>0.1882352941176471</v>
      </c>
      <c r="BB344" t="n">
        <v>8</v>
      </c>
      <c r="BC344" t="n">
        <v>6</v>
      </c>
      <c r="BD344" t="inlineStr">
        <is>
          <t>gun</t>
        </is>
      </c>
      <c r="BE344" t="inlineStr">
        <is>
          <t>the sheet's 'Ngoài đời': Rh-120 6-8 rpm with a loader (Wikipedia 'Rheinmetall 120 mm gun')</t>
        </is>
      </c>
      <c r="BG344" t="inlineStr">
        <is>
          <t>doi</t>
        </is>
      </c>
      <c r="BH344" t="n">
        <v>240</v>
      </c>
      <c r="BI344" t="n">
        <v>343</v>
      </c>
      <c r="BJ344" t="n">
        <v>2.53</v>
      </c>
      <c r="BK344" t="n">
        <v>3.614</v>
      </c>
      <c r="CT344" t="n">
        <v>120</v>
      </c>
      <c r="DD344" t="n">
        <v>3.614</v>
      </c>
      <c r="DJ344" t="inlineStr">
        <is>
          <t>tank_gun</t>
        </is>
      </c>
      <c r="DT344" t="inlineStr">
        <is>
          <t>turret_gun_120</t>
        </is>
      </c>
      <c r="EB344" t="n">
        <v>4</v>
      </c>
      <c r="EQ344" t="inlineStr">
        <is>
          <t>Rh-120 L/44 120 mm (autoloader)</t>
        </is>
      </c>
      <c r="EX344" t="n">
        <v>120</v>
      </c>
      <c r="GA344" t="inlineStr">
        <is>
          <t>rh_120_l_44_120_mm</t>
        </is>
      </c>
      <c r="GD344" t="inlineStr">
        <is>
          <t>Assets/MachineBrigade/Resources/Data/balance.json: weapons[114]</t>
        </is>
      </c>
      <c r="GE344" t="inlineStr">
        <is>
          <t>{"id":"turret_gun_120_auto","weaponFamily":"rh_120_l_44_120_mm","real":"Rh-120 L/44 120 mm (autoloader)","family":"tank_gun","size":120,"caliberMm":120,"pen":4,"inherits":"turret_gun_120","cooldown":3.614}</t>
        </is>
      </c>
    </row>
    <row r="345">
      <c r="A345" t="inlineStr">
        <is>
          <t>turret_gun_120_he</t>
        </is>
      </c>
      <c r="B345" t="inlineStr">
        <is>
          <t>Rh-120 L/44 120 mm HE</t>
        </is>
      </c>
      <c r="C345" t="inlineStr">
        <is>
          <t>cal_120_he</t>
        </is>
      </c>
      <c r="D345" t="inlineStr"/>
      <c r="E345" t="inlineStr">
        <is>
          <t>rh_120_l_44_120_mm_he</t>
        </is>
      </c>
      <c r="F345" t="inlineStr">
        <is>
          <t>tank_gun</t>
        </is>
      </c>
      <c r="G345" t="n">
        <v>120</v>
      </c>
      <c r="H345" t="inlineStr"/>
      <c r="I345" t="inlineStr"/>
      <c r="J345" t="inlineStr"/>
      <c r="K345" t="inlineStr">
        <is>
          <t>HighExplosive</t>
        </is>
      </c>
      <c r="L345" t="n">
        <v>2</v>
      </c>
      <c r="M345" t="inlineStr">
        <is>
          <t>Shell</t>
        </is>
      </c>
      <c r="N345" t="n">
        <v>1</v>
      </c>
      <c r="O345" t="inlineStr">
        <is>
          <t>RIPPLE</t>
        </is>
      </c>
      <c r="P345" t="n">
        <v>1</v>
      </c>
      <c r="Q345" t="n">
        <v>0.1</v>
      </c>
      <c r="R345" t="n">
        <v>4.114</v>
      </c>
      <c r="S345" t="n">
        <v>0</v>
      </c>
      <c r="T345" t="n">
        <v>0</v>
      </c>
      <c r="U345" t="n">
        <v>0</v>
      </c>
      <c r="V345" t="n">
        <v>0</v>
      </c>
      <c r="W345" t="n">
        <v>343</v>
      </c>
      <c r="X345" t="n">
        <v>3</v>
      </c>
      <c r="Y345" t="n">
        <v>0</v>
      </c>
      <c r="Z345" t="n">
        <v>170</v>
      </c>
      <c r="AA345" t="n">
        <v>32</v>
      </c>
      <c r="AB345" t="n">
        <v>0</v>
      </c>
      <c r="AC345" t="inlineStr">
        <is>
          <t>Ground</t>
        </is>
      </c>
      <c r="AD345" t="inlineStr"/>
      <c r="AE345" t="n">
        <v>0.6</v>
      </c>
      <c r="AF345" t="inlineStr">
        <is>
          <t>Huge</t>
        </is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n">
        <v>120</v>
      </c>
      <c r="AO345" t="n">
        <v>0</v>
      </c>
      <c r="AP345" t="inlineStr">
        <is>
          <t>T3</t>
        </is>
      </c>
      <c r="AQ345" t="inlineStr">
        <is>
          <t>turret_gun_120</t>
        </is>
      </c>
      <c r="AR345" t="inlineStr"/>
      <c r="AS345" t="inlineStr"/>
      <c r="AT345" t="inlineStr"/>
      <c r="AU345" t="n">
        <v>0</v>
      </c>
      <c r="AV345" t="inlineStr"/>
      <c r="AW345" t="n">
        <v>0</v>
      </c>
      <c r="AX345" t="b">
        <v>0</v>
      </c>
      <c r="AY345" t="inlineStr"/>
      <c r="AZ345">
        <f>IF(AND($AX$345,$AW$345&gt;$AA$345/$Z$345),$AW$345,$AA$345/$Z$345)</f>
        <v/>
      </c>
      <c r="BA345" t="n">
        <v>0.1882352941176471</v>
      </c>
      <c r="BB345" t="n">
        <v>8</v>
      </c>
      <c r="BC345" t="n">
        <v>6</v>
      </c>
      <c r="BD345" t="inlineStr">
        <is>
          <t>gun</t>
        </is>
      </c>
      <c r="BE345" t="inlineStr">
        <is>
          <t>the sheet's 'Ngoài đời': Rh-120 6-8 rpm with a loader (Wikipedia 'Rheinmetall 120 mm gun')</t>
        </is>
      </c>
      <c r="BG345" t="inlineStr">
        <is>
          <t>doi</t>
        </is>
      </c>
      <c r="BH345" t="n">
        <v>240</v>
      </c>
      <c r="BI345" t="n">
        <v>343</v>
      </c>
      <c r="BJ345" t="n">
        <v>2.88</v>
      </c>
      <c r="BK345" t="n">
        <v>4.114</v>
      </c>
      <c r="CQ345" t="inlineStr"/>
      <c r="DE345" t="n">
        <v>343</v>
      </c>
      <c r="DF345" t="inlineStr">
        <is>
          <t>HighExplosive</t>
        </is>
      </c>
      <c r="DM345" t="inlineStr">
        <is>
          <t>light;structure</t>
        </is>
      </c>
      <c r="DN345" t="inlineStr">
        <is>
          <t>HeShell</t>
        </is>
      </c>
      <c r="DS345" t="inlineStr">
        <is>
          <t>Huge</t>
        </is>
      </c>
      <c r="DT345" t="inlineStr">
        <is>
          <t>turret_gun_120</t>
        </is>
      </c>
      <c r="EB345" t="n">
        <v>2</v>
      </c>
      <c r="EE345" t="b">
        <v>0</v>
      </c>
      <c r="EQ345" t="inlineStr">
        <is>
          <t>Rh-120 L/44 120 mm HE</t>
        </is>
      </c>
      <c r="ES345" t="inlineStr">
        <is>
          <t>he</t>
        </is>
      </c>
      <c r="EU345" t="inlineStr">
        <is>
          <t>turret_gun_120</t>
        </is>
      </c>
      <c r="EY345" t="n">
        <v>3</v>
      </c>
      <c r="FW345" t="inlineStr">
        <is>
          <t>Ground</t>
        </is>
      </c>
      <c r="GA345" t="inlineStr">
        <is>
          <t>rh_120_l_44_120_mm_he</t>
        </is>
      </c>
      <c r="GB345" t="inlineStr">
        <is>
          <t>cal_120_he</t>
        </is>
      </c>
      <c r="GD345" t="inlineStr">
        <is>
          <t>Assets/MachineBrigade/Resources/Data/balance.json: secondRounds.rounds[60]</t>
        </is>
      </c>
      <c r="GE345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HE","damageType":"HighExplosive","pen":2,"damage":343,"splash":3,"form":"HeShell","piercing":false,"targets":"Ground","impactTier":"Huge","bonuses":[]}</t>
        </is>
      </c>
    </row>
    <row r="346">
      <c r="A346" t="inlineStr">
        <is>
          <t>turret_gun_120_long</t>
        </is>
      </c>
      <c r="B346" t="inlineStr">
        <is>
          <t>Rh-120 L/55 120 mm</t>
        </is>
      </c>
      <c r="C346" t="inlineStr">
        <is>
          <t>cal_120_ap</t>
        </is>
      </c>
      <c r="D346" t="inlineStr"/>
      <c r="E346" t="inlineStr"/>
      <c r="F346" t="inlineStr">
        <is>
          <t>tank_gun</t>
        </is>
      </c>
      <c r="G346" t="n">
        <v>120</v>
      </c>
      <c r="H346" t="inlineStr"/>
      <c r="I346" t="inlineStr"/>
      <c r="J346" t="inlineStr"/>
      <c r="K346" t="inlineStr">
        <is>
          <t>Kinetic</t>
        </is>
      </c>
      <c r="L346" t="n">
        <v>5</v>
      </c>
      <c r="M346" t="inlineStr">
        <is>
          <t>Shell</t>
        </is>
      </c>
      <c r="N346" t="n">
        <v>1</v>
      </c>
      <c r="O346" t="inlineStr">
        <is>
          <t>RIPPLE</t>
        </is>
      </c>
      <c r="P346" t="n">
        <v>1</v>
      </c>
      <c r="Q346" t="n">
        <v>0.1</v>
      </c>
      <c r="R346" t="n">
        <v>5.571</v>
      </c>
      <c r="S346" t="n">
        <v>0</v>
      </c>
      <c r="T346" t="n">
        <v>0</v>
      </c>
      <c r="U346" t="n">
        <v>0</v>
      </c>
      <c r="V346" t="n">
        <v>0</v>
      </c>
      <c r="W346" t="n">
        <v>343</v>
      </c>
      <c r="X346" t="n">
        <v>1.5</v>
      </c>
      <c r="Y346" t="n">
        <v>0</v>
      </c>
      <c r="Z346" t="n">
        <v>170</v>
      </c>
      <c r="AA346" t="n">
        <v>48</v>
      </c>
      <c r="AB346" t="n">
        <v>0</v>
      </c>
      <c r="AC346" t="inlineStr">
        <is>
          <t>Ground</t>
        </is>
      </c>
      <c r="AD346" t="inlineStr"/>
      <c r="AE346" t="n">
        <v>0.3</v>
      </c>
      <c r="AF346" t="inlineStr">
        <is>
          <t>Large</t>
        </is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n">
        <v>120</v>
      </c>
      <c r="AO346" t="n">
        <v>0</v>
      </c>
      <c r="AP346" t="inlineStr">
        <is>
          <t>T3</t>
        </is>
      </c>
      <c r="AQ346" t="inlineStr">
        <is>
          <t>turret_gun_120</t>
        </is>
      </c>
      <c r="AR346" t="inlineStr">
        <is>
          <t>turret_gun_120_long_he</t>
        </is>
      </c>
      <c r="AS346" t="inlineStr">
        <is>
          <t>cong_trinh;thap</t>
        </is>
      </c>
      <c r="AT346" t="inlineStr">
        <is>
          <t>gun_turret.long;headquarters.fortress_ground</t>
        </is>
      </c>
      <c r="AU346" t="n">
        <v>2</v>
      </c>
      <c r="AV346" t="inlineStr">
        <is>
          <t>gun_turret.long:0;headquarters.fortress_ground:4</t>
        </is>
      </c>
      <c r="AW346" t="n">
        <v>0</v>
      </c>
      <c r="AX346" t="b">
        <v>0</v>
      </c>
      <c r="AY346" t="inlineStr"/>
      <c r="AZ346">
        <f>IF(AND($AX$346,$AW$346&gt;$AA$346/$Z$346),$AW$346,$AA$346/$Z$346)</f>
        <v/>
      </c>
      <c r="BA346" t="n">
        <v>0.2823529411764706</v>
      </c>
      <c r="BB346" t="n">
        <v>8</v>
      </c>
      <c r="BC346" t="n">
        <v>6</v>
      </c>
      <c r="BD346" t="inlineStr">
        <is>
          <t>gun</t>
        </is>
      </c>
      <c r="BE346" t="inlineStr">
        <is>
          <t>the sheet's 'Ngoài đời': Rh-120 6-8 rpm with a loader (Wikipedia 'Rheinmetall 120 mm gun')</t>
        </is>
      </c>
      <c r="BG346" t="inlineStr">
        <is>
          <t>doi</t>
        </is>
      </c>
      <c r="BH346" t="n">
        <v>240</v>
      </c>
      <c r="BI346" t="n">
        <v>343</v>
      </c>
      <c r="BJ346" t="n">
        <v>3.9</v>
      </c>
      <c r="BK346" t="n">
        <v>5.571</v>
      </c>
      <c r="CT346" t="n">
        <v>120</v>
      </c>
      <c r="DD346" t="n">
        <v>5.571</v>
      </c>
      <c r="DJ346" t="inlineStr">
        <is>
          <t>tank_gun</t>
        </is>
      </c>
      <c r="DT346" t="inlineStr">
        <is>
          <t>turret_gun_120</t>
        </is>
      </c>
      <c r="EB346" t="n">
        <v>5</v>
      </c>
      <c r="EP346" t="n">
        <v>48</v>
      </c>
      <c r="EQ346" t="inlineStr">
        <is>
          <t>Rh-120 L/55 120 mm</t>
        </is>
      </c>
      <c r="EX346" t="n">
        <v>120</v>
      </c>
      <c r="EZ346" t="n">
        <v>0.3</v>
      </c>
      <c r="GA346" t="inlineStr"/>
      <c r="GD346" t="inlineStr">
        <is>
          <t>Assets/MachineBrigade/Resources/Data/balance.json: weapons[113]</t>
        </is>
      </c>
      <c r="GE346" t="inlineStr">
        <is>
          <t>{"id":"turret_gun_120_long","weaponFamily":"","spread":0.3,"real":"Rh-120 L/55 120 mm","family":"tank_gun","size":120,"caliberMm":120,"pen":5,"inherits":"turret_gun_120","range":48,"cooldown":5.571}</t>
        </is>
      </c>
    </row>
    <row r="347">
      <c r="A347" t="inlineStr">
        <is>
          <t>turret_gun_120_long_he</t>
        </is>
      </c>
      <c r="B347" t="inlineStr">
        <is>
          <t>Rh-120 L/55 120 mm HE</t>
        </is>
      </c>
      <c r="C347" t="inlineStr">
        <is>
          <t>cal_120_he</t>
        </is>
      </c>
      <c r="D347" t="inlineStr"/>
      <c r="E347" t="inlineStr"/>
      <c r="F347" t="inlineStr">
        <is>
          <t>tank_gun</t>
        </is>
      </c>
      <c r="G347" t="n">
        <v>120</v>
      </c>
      <c r="H347" t="inlineStr"/>
      <c r="I347" t="inlineStr"/>
      <c r="J347" t="inlineStr"/>
      <c r="K347" t="inlineStr">
        <is>
          <t>HighExplosive</t>
        </is>
      </c>
      <c r="L347" t="n">
        <v>2</v>
      </c>
      <c r="M347" t="inlineStr">
        <is>
          <t>Shell</t>
        </is>
      </c>
      <c r="N347" t="n">
        <v>1</v>
      </c>
      <c r="O347" t="inlineStr">
        <is>
          <t>RIPPLE</t>
        </is>
      </c>
      <c r="P347" t="n">
        <v>1</v>
      </c>
      <c r="Q347" t="n">
        <v>0.1</v>
      </c>
      <c r="R347" t="n">
        <v>5.571</v>
      </c>
      <c r="S347" t="n">
        <v>0</v>
      </c>
      <c r="T347" t="n">
        <v>0</v>
      </c>
      <c r="U347" t="n">
        <v>0</v>
      </c>
      <c r="V347" t="n">
        <v>0</v>
      </c>
      <c r="W347" t="n">
        <v>343</v>
      </c>
      <c r="X347" t="n">
        <v>3</v>
      </c>
      <c r="Y347" t="n">
        <v>0</v>
      </c>
      <c r="Z347" t="n">
        <v>170</v>
      </c>
      <c r="AA347" t="n">
        <v>48</v>
      </c>
      <c r="AB347" t="n">
        <v>0</v>
      </c>
      <c r="AC347" t="inlineStr">
        <is>
          <t>Ground</t>
        </is>
      </c>
      <c r="AD347" t="inlineStr"/>
      <c r="AE347" t="n">
        <v>0.3</v>
      </c>
      <c r="AF347" t="inlineStr">
        <is>
          <t>Huge</t>
        </is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n">
        <v>120</v>
      </c>
      <c r="AO347" t="n">
        <v>0</v>
      </c>
      <c r="AP347" t="inlineStr">
        <is>
          <t>T3</t>
        </is>
      </c>
      <c r="AQ347" t="inlineStr">
        <is>
          <t>turret_gun_120_long</t>
        </is>
      </c>
      <c r="AR347" t="inlineStr"/>
      <c r="AS347" t="inlineStr"/>
      <c r="AT347" t="inlineStr"/>
      <c r="AU347" t="n">
        <v>0</v>
      </c>
      <c r="AV347" t="inlineStr"/>
      <c r="AW347" t="n">
        <v>0</v>
      </c>
      <c r="AX347" t="b">
        <v>0</v>
      </c>
      <c r="AY347" t="inlineStr"/>
      <c r="AZ347">
        <f>IF(AND($AX$347,$AW$347&gt;$AA$347/$Z$347),$AW$347,$AA$347/$Z$347)</f>
        <v/>
      </c>
      <c r="BA347" t="n">
        <v>0.2823529411764706</v>
      </c>
      <c r="BB347" t="n">
        <v>8</v>
      </c>
      <c r="BC347" t="n">
        <v>6</v>
      </c>
      <c r="BD347" t="inlineStr">
        <is>
          <t>gun</t>
        </is>
      </c>
      <c r="BE347" t="inlineStr">
        <is>
          <t>the sheet's 'Ngoài đời': Rh-120 6-8 rpm with a loader (Wikipedia 'Rheinmetall 120 mm gun')</t>
        </is>
      </c>
      <c r="BG347" t="inlineStr">
        <is>
          <t>doi</t>
        </is>
      </c>
      <c r="BH347" t="n">
        <v>240</v>
      </c>
      <c r="BI347" t="n">
        <v>343</v>
      </c>
      <c r="BJ347" t="n">
        <v>3.9</v>
      </c>
      <c r="BK347" t="n">
        <v>5.571</v>
      </c>
      <c r="CQ347" t="inlineStr"/>
      <c r="DE347" t="n">
        <v>343</v>
      </c>
      <c r="DF347" t="inlineStr">
        <is>
          <t>HighExplosive</t>
        </is>
      </c>
      <c r="DM347" t="inlineStr">
        <is>
          <t>light;structure</t>
        </is>
      </c>
      <c r="DN347" t="inlineStr">
        <is>
          <t>HeShell</t>
        </is>
      </c>
      <c r="DS347" t="inlineStr">
        <is>
          <t>Huge</t>
        </is>
      </c>
      <c r="DT347" t="inlineStr">
        <is>
          <t>turret_gun_120_long</t>
        </is>
      </c>
      <c r="EB347" t="n">
        <v>2</v>
      </c>
      <c r="EE347" t="b">
        <v>0</v>
      </c>
      <c r="EQ347" t="inlineStr">
        <is>
          <t>Rh-120 L/55 120 mm HE</t>
        </is>
      </c>
      <c r="ES347" t="inlineStr">
        <is>
          <t>he</t>
        </is>
      </c>
      <c r="EU347" t="inlineStr">
        <is>
          <t>turret_gun_120_long</t>
        </is>
      </c>
      <c r="EY347" t="n">
        <v>3</v>
      </c>
      <c r="FW347" t="inlineStr">
        <is>
          <t>Ground</t>
        </is>
      </c>
      <c r="GA347" t="inlineStr"/>
      <c r="GB347" t="inlineStr">
        <is>
          <t>cal_120_he</t>
        </is>
      </c>
      <c r="GD347" t="inlineStr">
        <is>
          <t>Assets/MachineBrigade/Resources/Data/balance.json: secondRounds.rounds[61]</t>
        </is>
      </c>
      <c r="GE347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HE","damageType":"HighExplosive","pen":2,"damage":343,"splash":3,"form":"HeShell","piercing":false,"targets":"Ground","impactTier":"Huge","bonuses":[]}</t>
        </is>
      </c>
    </row>
    <row r="348">
      <c r="A348" t="inlineStr">
        <is>
          <t>turret_rockets</t>
        </is>
      </c>
      <c r="B348" t="inlineStr">
        <is>
          <t>BM-21 Grad 122 mm</t>
        </is>
      </c>
      <c r="C348" t="inlineStr">
        <is>
          <t>rkt_grad_122</t>
        </is>
      </c>
      <c r="D348" t="inlineStr"/>
      <c r="E348" t="inlineStr">
        <is>
          <t>bm_21_grad_122_mm</t>
        </is>
      </c>
      <c r="F348" t="inlineStr">
        <is>
          <t>rocket</t>
        </is>
      </c>
      <c r="G348" t="n">
        <v>122</v>
      </c>
      <c r="H348" t="inlineStr"/>
      <c r="I348" t="inlineStr"/>
      <c r="J348" t="inlineStr"/>
      <c r="K348" t="inlineStr">
        <is>
          <t>HighExplosive</t>
        </is>
      </c>
      <c r="L348" t="n">
        <v>2</v>
      </c>
      <c r="M348" t="inlineStr">
        <is>
          <t>Rocket</t>
        </is>
      </c>
      <c r="N348" t="n">
        <v>1</v>
      </c>
      <c r="O348" t="inlineStr">
        <is>
          <t>RIPPLE</t>
        </is>
      </c>
      <c r="P348" t="n">
        <v>6</v>
      </c>
      <c r="Q348" t="n">
        <v>0.5</v>
      </c>
      <c r="R348" t="n">
        <v>1.57</v>
      </c>
      <c r="S348" t="n">
        <v>0</v>
      </c>
      <c r="T348" t="n">
        <v>0</v>
      </c>
      <c r="U348" t="n">
        <v>0</v>
      </c>
      <c r="V348" t="n">
        <v>0</v>
      </c>
      <c r="W348" t="n">
        <v>66</v>
      </c>
      <c r="X348" t="n">
        <v>4.5</v>
      </c>
      <c r="Y348" t="n">
        <v>0</v>
      </c>
      <c r="Z348" t="n">
        <v>80</v>
      </c>
      <c r="AA348" t="n">
        <v>55</v>
      </c>
      <c r="AB348" t="n">
        <v>8</v>
      </c>
      <c r="AC348" t="inlineStr">
        <is>
          <t>Ground</t>
        </is>
      </c>
      <c r="AD348" t="inlineStr"/>
      <c r="AE348" t="n">
        <v>4</v>
      </c>
      <c r="AF348" t="inlineStr">
        <is>
          <t>Medium</t>
        </is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n">
        <v>122</v>
      </c>
      <c r="AO348" t="n">
        <v>0</v>
      </c>
      <c r="AP348" t="inlineStr">
        <is>
          <t>T3</t>
        </is>
      </c>
      <c r="AQ348" t="inlineStr"/>
      <c r="AR348" t="inlineStr"/>
      <c r="AS348" t="inlineStr">
        <is>
          <t>thap</t>
        </is>
      </c>
      <c r="AT348" t="inlineStr">
        <is>
          <t>rocket_turret</t>
        </is>
      </c>
      <c r="AU348" t="n">
        <v>1</v>
      </c>
      <c r="AV348" t="inlineStr">
        <is>
          <t>rocket_turret:0</t>
        </is>
      </c>
      <c r="AW348" t="n">
        <v>0</v>
      </c>
      <c r="AX348" t="b">
        <v>0</v>
      </c>
      <c r="AY348" t="inlineStr"/>
      <c r="AZ348">
        <f>IF(AND($AX$348,$AW$348&gt;$AA$348/$Z$348),$AW$348,$AA$348/$Z$348)</f>
        <v/>
      </c>
      <c r="BA348" t="n">
        <v>0.6875</v>
      </c>
      <c r="BB348" t="n">
        <v>120</v>
      </c>
      <c r="BC348" t="inlineStr"/>
      <c r="BD348" t="inlineStr">
        <is>
          <t>rocket</t>
        </is>
      </c>
      <c r="BE348" t="inlineStr">
        <is>
          <t>Wikipedia 'BM-21 Grad': 40 rockets in 20 s</t>
        </is>
      </c>
      <c r="BF348" t="inlineStr">
        <is>
          <t>player rule: BM-21's real 0.5 s between rockets (0.12 s was 4 x too fast), the 4.07 s cycle and the DPS kept</t>
        </is>
      </c>
      <c r="BG348" t="inlineStr">
        <is>
          <t>doi</t>
        </is>
      </c>
      <c r="BJ348" t="n">
        <v>3.47</v>
      </c>
      <c r="BK348" t="n">
        <v>1.57</v>
      </c>
      <c r="BR348" t="n">
        <v>45</v>
      </c>
      <c r="BS348" t="n">
        <v>80</v>
      </c>
      <c r="BV348" t="n">
        <v>0.12</v>
      </c>
      <c r="BW348" t="n">
        <v>0.5</v>
      </c>
      <c r="CR348" t="n">
        <v>6</v>
      </c>
      <c r="CS348" t="n">
        <v>0.5</v>
      </c>
      <c r="CT348" t="n">
        <v>122</v>
      </c>
      <c r="DD348" t="n">
        <v>1.57</v>
      </c>
      <c r="DE348" t="n">
        <v>66</v>
      </c>
      <c r="DF348" t="inlineStr">
        <is>
          <t>HighExplosive</t>
        </is>
      </c>
      <c r="DJ348" t="inlineStr">
        <is>
          <t>rocket</t>
        </is>
      </c>
      <c r="DR348" t="n">
        <v>1.3</v>
      </c>
      <c r="DS348" t="inlineStr">
        <is>
          <t>Medium</t>
        </is>
      </c>
      <c r="DZ348" t="n">
        <v>8</v>
      </c>
      <c r="EB348" t="n">
        <v>2</v>
      </c>
      <c r="EH348" t="inlineStr">
        <is>
          <t>Rocket</t>
        </is>
      </c>
      <c r="EP348" t="n">
        <v>55</v>
      </c>
      <c r="EQ348" t="inlineStr">
        <is>
          <t>BM-21 Grad 122 mm</t>
        </is>
      </c>
      <c r="EX348" t="n">
        <v>122</v>
      </c>
      <c r="EZ348" t="n">
        <v>4</v>
      </c>
      <c r="GA348" t="inlineStr">
        <is>
          <t>bm_21_grad_122_mm</t>
        </is>
      </c>
      <c r="GB348" t="inlineStr">
        <is>
          <t>rkt_grad_122</t>
        </is>
      </c>
      <c r="GD348" t="inlineStr">
        <is>
          <t>Assets/MachineBrigade/Resources/Data/balance.json: weapons[130]</t>
        </is>
      </c>
      <c r="GE348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49">
      <c r="A349" t="inlineStr">
        <is>
          <t>turret_rockets_cluster</t>
        </is>
      </c>
      <c r="B349" t="inlineStr">
        <is>
          <t>BM-21 Grad 122 mm (cluster)</t>
        </is>
      </c>
      <c r="C349" t="inlineStr">
        <is>
          <t>rkt_grad_122</t>
        </is>
      </c>
      <c r="D349" t="inlineStr">
        <is>
          <t>cluster</t>
        </is>
      </c>
      <c r="E349" t="inlineStr">
        <is>
          <t>bm_21_grad_122_mm_2</t>
        </is>
      </c>
      <c r="F349" t="inlineStr">
        <is>
          <t>rocket</t>
        </is>
      </c>
      <c r="G349" t="n">
        <v>122</v>
      </c>
      <c r="H349" t="inlineStr"/>
      <c r="I349" t="inlineStr"/>
      <c r="J349" t="inlineStr"/>
      <c r="K349" t="inlineStr">
        <is>
          <t>HighExplosive</t>
        </is>
      </c>
      <c r="L349" t="n">
        <v>2</v>
      </c>
      <c r="M349" t="inlineStr">
        <is>
          <t>Rocket</t>
        </is>
      </c>
      <c r="N349" t="n">
        <v>1</v>
      </c>
      <c r="O349" t="inlineStr">
        <is>
          <t>RIPPLE</t>
        </is>
      </c>
      <c r="P349" t="n">
        <v>6</v>
      </c>
      <c r="Q349" t="n">
        <v>0.5</v>
      </c>
      <c r="R349" t="n">
        <v>1.42</v>
      </c>
      <c r="S349" t="n">
        <v>0</v>
      </c>
      <c r="T349" t="n">
        <v>0</v>
      </c>
      <c r="U349" t="n">
        <v>0</v>
      </c>
      <c r="V349" t="n">
        <v>0</v>
      </c>
      <c r="W349" t="n">
        <v>57</v>
      </c>
      <c r="X349" t="n">
        <v>4</v>
      </c>
      <c r="Y349" t="n">
        <v>0</v>
      </c>
      <c r="Z349" t="n">
        <v>80</v>
      </c>
      <c r="AA349" t="n">
        <v>55</v>
      </c>
      <c r="AB349" t="n">
        <v>8</v>
      </c>
      <c r="AC349" t="inlineStr">
        <is>
          <t>Ground</t>
        </is>
      </c>
      <c r="AD349" t="inlineStr"/>
      <c r="AE349" t="n">
        <v>4</v>
      </c>
      <c r="AF349" t="inlineStr">
        <is>
          <t>Medium</t>
        </is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n">
        <v>122</v>
      </c>
      <c r="AO349" t="n">
        <v>0</v>
      </c>
      <c r="AP349" t="inlineStr">
        <is>
          <t>T3</t>
        </is>
      </c>
      <c r="AQ349" t="inlineStr">
        <is>
          <t>turret_rockets</t>
        </is>
      </c>
      <c r="AR349" t="inlineStr"/>
      <c r="AS349" t="inlineStr">
        <is>
          <t>thap</t>
        </is>
      </c>
      <c r="AT349" t="inlineStr">
        <is>
          <t>rocket_turret.cluster</t>
        </is>
      </c>
      <c r="AU349" t="n">
        <v>1</v>
      </c>
      <c r="AV349" t="inlineStr">
        <is>
          <t>rocket_turret.cluster:0</t>
        </is>
      </c>
      <c r="AW349" t="n">
        <v>0</v>
      </c>
      <c r="AX349" t="b">
        <v>0</v>
      </c>
      <c r="AY349" t="inlineStr"/>
      <c r="AZ349">
        <f>IF(AND($AX$349,$AW$349&gt;$AA$349/$Z$349),$AW$349,$AA$349/$Z$349)</f>
        <v/>
      </c>
      <c r="BA349" t="n">
        <v>0.6875</v>
      </c>
      <c r="BB349" t="n">
        <v>120</v>
      </c>
      <c r="BC349" t="inlineStr"/>
      <c r="BD349" t="inlineStr">
        <is>
          <t>rocket</t>
        </is>
      </c>
      <c r="BE349" t="inlineStr">
        <is>
          <t>Wikipedia 'BM-21 Grad': 40 rockets in 20 s</t>
        </is>
      </c>
      <c r="BF349" t="inlineStr">
        <is>
          <t>player rule: as turret_rockets, the 3.92 s cycle and the DPS kept</t>
        </is>
      </c>
      <c r="BG349" t="inlineStr">
        <is>
          <t>doi</t>
        </is>
      </c>
      <c r="BJ349" t="n">
        <v>3.32</v>
      </c>
      <c r="BK349" t="n">
        <v>1.42</v>
      </c>
      <c r="BR349" t="n">
        <v>45</v>
      </c>
      <c r="BS349" t="n">
        <v>80</v>
      </c>
      <c r="BV349" t="n">
        <v>0.12</v>
      </c>
      <c r="BW349" t="n">
        <v>0.5</v>
      </c>
      <c r="CT349" t="n">
        <v>122</v>
      </c>
      <c r="CY349" t="n">
        <v>3</v>
      </c>
      <c r="CZ349" t="n">
        <v>14</v>
      </c>
      <c r="DA349" t="n">
        <v>4</v>
      </c>
      <c r="DB349" t="n">
        <v>2</v>
      </c>
      <c r="DC349" t="inlineStr">
        <is>
          <t>Small</t>
        </is>
      </c>
      <c r="DD349" t="n">
        <v>1.42</v>
      </c>
      <c r="DE349" t="n">
        <v>57</v>
      </c>
      <c r="DJ349" t="inlineStr">
        <is>
          <t>rocket</t>
        </is>
      </c>
      <c r="DT349" t="inlineStr">
        <is>
          <t>turret_rockets</t>
        </is>
      </c>
      <c r="EB349" t="n">
        <v>2</v>
      </c>
      <c r="EQ349" t="inlineStr">
        <is>
          <t>BM-21 Grad 122 mm (cluster)</t>
        </is>
      </c>
      <c r="EX349" t="n">
        <v>122</v>
      </c>
      <c r="GA349" t="inlineStr">
        <is>
          <t>bm_21_grad_122_mm_2</t>
        </is>
      </c>
      <c r="GC349" t="inlineStr">
        <is>
          <t>cluster</t>
        </is>
      </c>
      <c r="GD349" t="inlineStr">
        <is>
          <t>Assets/MachineBrigade/Resources/Data/balance.json: weapons[119]</t>
        </is>
      </c>
      <c r="GE349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50">
      <c r="A350" t="inlineStr">
        <is>
          <t>turret_thermobaric</t>
        </is>
      </c>
      <c r="B350" t="inlineStr">
        <is>
          <t>122 mm thermobaric</t>
        </is>
      </c>
      <c r="C350" t="inlineStr">
        <is>
          <t>rkt_grad_122</t>
        </is>
      </c>
      <c r="D350" t="inlineStr">
        <is>
          <t>thermobaric</t>
        </is>
      </c>
      <c r="E350" t="inlineStr"/>
      <c r="F350" t="inlineStr">
        <is>
          <t>rocket</t>
        </is>
      </c>
      <c r="G350" t="n">
        <v>122</v>
      </c>
      <c r="H350" t="inlineStr"/>
      <c r="I350" t="inlineStr"/>
      <c r="J350" t="inlineStr"/>
      <c r="K350" t="inlineStr">
        <is>
          <t>HighExplosive</t>
        </is>
      </c>
      <c r="L350" t="n">
        <v>2</v>
      </c>
      <c r="M350" t="inlineStr">
        <is>
          <t>Rocket</t>
        </is>
      </c>
      <c r="N350" t="n">
        <v>1</v>
      </c>
      <c r="O350" t="inlineStr">
        <is>
          <t>RIPPLE</t>
        </is>
      </c>
      <c r="P350" t="n">
        <v>7</v>
      </c>
      <c r="Q350" t="n">
        <v>0.12</v>
      </c>
      <c r="R350" t="n">
        <v>7.1</v>
      </c>
      <c r="S350" t="n">
        <v>0</v>
      </c>
      <c r="T350" t="n">
        <v>0</v>
      </c>
      <c r="U350" t="n">
        <v>0</v>
      </c>
      <c r="V350" t="n">
        <v>0</v>
      </c>
      <c r="W350" t="n">
        <v>66</v>
      </c>
      <c r="X350" t="n">
        <v>4</v>
      </c>
      <c r="Y350" t="n">
        <v>0</v>
      </c>
      <c r="Z350" t="n">
        <v>65</v>
      </c>
      <c r="AA350" t="n">
        <v>44</v>
      </c>
      <c r="AB350" t="n">
        <v>8</v>
      </c>
      <c r="AC350" t="inlineStr">
        <is>
          <t>Ground</t>
        </is>
      </c>
      <c r="AD350" t="inlineStr"/>
      <c r="AE350" t="n">
        <v>4</v>
      </c>
      <c r="AF350" t="inlineStr">
        <is>
          <t>Medium</t>
        </is>
      </c>
      <c r="AG350" t="b">
        <v>0</v>
      </c>
      <c r="AH350" t="b">
        <v>0</v>
      </c>
      <c r="AI350" t="b">
        <v>1</v>
      </c>
      <c r="AJ350" t="b">
        <v>0</v>
      </c>
      <c r="AK350" t="b">
        <v>0</v>
      </c>
      <c r="AL350" t="b">
        <v>0</v>
      </c>
      <c r="AM350" t="b">
        <v>0</v>
      </c>
      <c r="AN350" t="n">
        <v>122</v>
      </c>
      <c r="AO350" t="n">
        <v>0</v>
      </c>
      <c r="AP350" t="inlineStr">
        <is>
          <t>T3</t>
        </is>
      </c>
      <c r="AQ350" t="inlineStr">
        <is>
          <t>turret_rockets</t>
        </is>
      </c>
      <c r="AR350" t="inlineStr"/>
      <c r="AS350" t="inlineStr"/>
      <c r="AT350" t="inlineStr"/>
      <c r="AU350" t="n">
        <v>0</v>
      </c>
      <c r="AV350" t="inlineStr"/>
      <c r="AW350" t="n">
        <v>0</v>
      </c>
      <c r="AX350" t="b">
        <v>0</v>
      </c>
      <c r="AY350" t="inlineStr"/>
      <c r="AZ350">
        <f>IF(AND($AX$350,$AW$350&gt;$AA$350/$Z$350),$AW$350,$AA$350/$Z$350)</f>
        <v/>
      </c>
      <c r="BA350" t="n">
        <v>0.676923076923077</v>
      </c>
      <c r="BB350" t="n">
        <v>120</v>
      </c>
      <c r="BC350" t="inlineStr"/>
      <c r="BD350" t="inlineStr">
        <is>
          <t>rocket</t>
        </is>
      </c>
      <c r="BE350" t="inlineStr">
        <is>
          <t>Wikipedia 'BM-21 Grad': 40 rockets in 20 s</t>
        </is>
      </c>
      <c r="BG350" t="inlineStr">
        <is>
          <t>doi</t>
        </is>
      </c>
      <c r="BR350" t="n">
        <v>45</v>
      </c>
      <c r="BS350" t="n">
        <v>65</v>
      </c>
      <c r="CR350" t="n">
        <v>7</v>
      </c>
      <c r="CS350" t="n">
        <v>0.12</v>
      </c>
      <c r="CT350" t="n">
        <v>122</v>
      </c>
      <c r="DD350" t="n">
        <v>7.1</v>
      </c>
      <c r="DJ350" t="inlineStr">
        <is>
          <t>rocket</t>
        </is>
      </c>
      <c r="DT350" t="inlineStr">
        <is>
          <t>turret_rockets</t>
        </is>
      </c>
      <c r="EB350" t="n">
        <v>2</v>
      </c>
      <c r="EK350" t="n">
        <v>65</v>
      </c>
      <c r="EP350" t="n">
        <v>44</v>
      </c>
      <c r="EQ350" t="inlineStr">
        <is>
          <t>122 mm thermobaric</t>
        </is>
      </c>
      <c r="EX350" t="n">
        <v>122</v>
      </c>
      <c r="EY350" t="n">
        <v>4</v>
      </c>
      <c r="FX350" t="b">
        <v>1</v>
      </c>
      <c r="GA350" t="inlineStr"/>
      <c r="GC350" t="inlineStr">
        <is>
          <t>thermobaric</t>
        </is>
      </c>
      <c r="GD350" t="inlineStr">
        <is>
          <t>Assets/MachineBrigade/Resources/Data/balance.json: weapons[120]</t>
        </is>
      </c>
      <c r="GE350" t="inlineStr">
        <is>
          <t>{"id":"turret_thermobaric","projectileSpeed":65,"weaponFamily":"","real":"122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51">
      <c r="A351" t="inlineStr">
        <is>
          <t>twin_30_bmpt</t>
        </is>
      </c>
      <c r="B351" t="inlineStr">
        <is>
          <t>2A42 30 mm (twin)</t>
        </is>
      </c>
      <c r="C351" t="inlineStr">
        <is>
          <t>cal_30</t>
        </is>
      </c>
      <c r="D351" t="inlineStr"/>
      <c r="E351" t="inlineStr">
        <is>
          <t>2a42_30_mm</t>
        </is>
      </c>
      <c r="F351" t="inlineStr">
        <is>
          <t>autocannon</t>
        </is>
      </c>
      <c r="G351" t="n">
        <v>30</v>
      </c>
      <c r="H351" t="inlineStr"/>
      <c r="I351" t="inlineStr"/>
      <c r="J351" t="inlineStr"/>
      <c r="K351" t="inlineStr">
        <is>
          <t>Kinetic</t>
        </is>
      </c>
      <c r="L351" t="n">
        <v>2</v>
      </c>
      <c r="M351" t="inlineStr">
        <is>
          <t>Bullet</t>
        </is>
      </c>
      <c r="N351" t="n">
        <v>1</v>
      </c>
      <c r="O351" t="inlineStr">
        <is>
          <t>RIPPLE</t>
        </is>
      </c>
      <c r="P351" t="n">
        <v>12</v>
      </c>
      <c r="Q351" t="n">
        <v>0.0833</v>
      </c>
      <c r="R351" t="n">
        <v>1.5833</v>
      </c>
      <c r="S351" t="n">
        <v>0</v>
      </c>
      <c r="T351" t="n">
        <v>0</v>
      </c>
      <c r="U351" t="n">
        <v>0</v>
      </c>
      <c r="V351" t="n">
        <v>0</v>
      </c>
      <c r="W351" t="n">
        <v>22</v>
      </c>
      <c r="X351" t="n">
        <v>0</v>
      </c>
      <c r="Y351" t="n">
        <v>0</v>
      </c>
      <c r="Z351" t="n">
        <v>200</v>
      </c>
      <c r="AA351" t="n">
        <v>30</v>
      </c>
      <c r="AB351" t="n">
        <v>0</v>
      </c>
      <c r="AC351" t="inlineStr">
        <is>
          <t>Ground</t>
        </is>
      </c>
      <c r="AD351" t="inlineStr"/>
      <c r="AE351" t="n">
        <v>0.9</v>
      </c>
      <c r="AF351" t="inlineStr">
        <is>
          <t>Small</t>
        </is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n">
        <v>30</v>
      </c>
      <c r="AO351" t="n">
        <v>0</v>
      </c>
      <c r="AP351" t="inlineStr">
        <is>
          <t>T1</t>
        </is>
      </c>
      <c r="AQ351" t="inlineStr"/>
      <c r="AR351" t="inlineStr">
        <is>
          <t>twin_30_bmpt_flak</t>
        </is>
      </c>
      <c r="AS351" t="inlineStr"/>
      <c r="AT351" t="inlineStr"/>
      <c r="AU351" t="n">
        <v>0</v>
      </c>
      <c r="AV351" t="inlineStr"/>
      <c r="AW351" t="n">
        <v>0</v>
      </c>
      <c r="AX351" t="b">
        <v>0</v>
      </c>
      <c r="AY351" t="inlineStr"/>
      <c r="AZ351">
        <f>IF(AND($AX$351,$AW$351&gt;$AA$351/$Z$351),$AW$351,$AA$351/$Z$351)</f>
        <v/>
      </c>
      <c r="BA351" t="n">
        <v>0.15</v>
      </c>
      <c r="BB351" t="n">
        <v>800</v>
      </c>
      <c r="BC351" t="n">
        <v>300</v>
      </c>
      <c r="BD351" t="inlineStr">
        <is>
          <t>ac</t>
        </is>
      </c>
      <c r="BE351" t="inlineStr">
        <is>
          <t>Wikipedia '2A42': 550-800 high, 200-300 low rpm</t>
        </is>
      </c>
      <c r="BG351" t="inlineStr">
        <is>
          <t>giong</t>
        </is>
      </c>
      <c r="CR351" t="n">
        <v>12</v>
      </c>
      <c r="CS351" t="n">
        <v>0.0833</v>
      </c>
      <c r="CT351" t="n">
        <v>30</v>
      </c>
      <c r="DD351" t="n">
        <v>1.5833</v>
      </c>
      <c r="DE351" t="n">
        <v>22</v>
      </c>
      <c r="DF351" t="inlineStr">
        <is>
          <t>Kinetic</t>
        </is>
      </c>
      <c r="DJ351" t="inlineStr">
        <is>
          <t>autocannon</t>
        </is>
      </c>
      <c r="DS351" t="inlineStr">
        <is>
          <t>Small</t>
        </is>
      </c>
      <c r="EB351" t="n">
        <v>2</v>
      </c>
      <c r="EH351" t="inlineStr">
        <is>
          <t>Bullet</t>
        </is>
      </c>
      <c r="EP351" t="n">
        <v>30</v>
      </c>
      <c r="EQ351" t="inlineStr">
        <is>
          <t>2A42 30 mm (twin)</t>
        </is>
      </c>
      <c r="EX351" t="n">
        <v>30</v>
      </c>
      <c r="EZ351" t="n">
        <v>0.9</v>
      </c>
      <c r="FW351" t="inlineStr">
        <is>
          <t>Ground</t>
        </is>
      </c>
      <c r="GA351" t="inlineStr">
        <is>
          <t>2a42_30_mm</t>
        </is>
      </c>
      <c r="GB351" t="inlineStr">
        <is>
          <t>cal_30</t>
        </is>
      </c>
      <c r="GD351" t="inlineStr">
        <is>
          <t>Assets/MachineBrigade/Resources/Data/balance.json: weapons[78]</t>
        </is>
      </c>
      <c r="GE351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52">
      <c r="A352" t="inlineStr">
        <is>
          <t>twin_30_bmpt_flak</t>
        </is>
      </c>
      <c r="B352" t="inlineStr">
        <is>
          <t>2A42 30 mm air-burst (twin)</t>
        </is>
      </c>
      <c r="C352" t="inlineStr">
        <is>
          <t>cal_30</t>
        </is>
      </c>
      <c r="D352" t="inlineStr">
        <is>
          <t>flak</t>
        </is>
      </c>
      <c r="E352" t="inlineStr">
        <is>
          <t>2a42_30_mm_air_burst</t>
        </is>
      </c>
      <c r="F352" t="inlineStr">
        <is>
          <t>autocannon</t>
        </is>
      </c>
      <c r="G352" t="n">
        <v>30</v>
      </c>
      <c r="H352" t="inlineStr"/>
      <c r="I352" t="inlineStr"/>
      <c r="J352" t="inlineStr"/>
      <c r="K352" t="inlineStr">
        <is>
          <t>Fragmentation</t>
        </is>
      </c>
      <c r="L352" t="n">
        <v>2</v>
      </c>
      <c r="M352" t="inlineStr">
        <is>
          <t>Bullet</t>
        </is>
      </c>
      <c r="N352" t="n">
        <v>1</v>
      </c>
      <c r="O352" t="inlineStr">
        <is>
          <t>RIPPLE</t>
        </is>
      </c>
      <c r="P352" t="n">
        <v>12</v>
      </c>
      <c r="Q352" t="n">
        <v>0.0833</v>
      </c>
      <c r="R352" t="n">
        <v>1.5833</v>
      </c>
      <c r="S352" t="n">
        <v>0</v>
      </c>
      <c r="T352" t="n">
        <v>0</v>
      </c>
      <c r="U352" t="n">
        <v>0</v>
      </c>
      <c r="V352" t="n">
        <v>0</v>
      </c>
      <c r="W352" t="n">
        <v>22</v>
      </c>
      <c r="X352" t="n">
        <v>2.5</v>
      </c>
      <c r="Y352" t="n">
        <v>0</v>
      </c>
      <c r="Z352" t="n">
        <v>200</v>
      </c>
      <c r="AA352" t="n">
        <v>30</v>
      </c>
      <c r="AB352" t="n">
        <v>0</v>
      </c>
      <c r="AC352" t="inlineStr">
        <is>
          <t>Air</t>
        </is>
      </c>
      <c r="AD352" t="inlineStr"/>
      <c r="AE352" t="n">
        <v>0.9</v>
      </c>
      <c r="AF352" t="inlineStr">
        <is>
          <t>Small</t>
        </is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n">
        <v>30</v>
      </c>
      <c r="AO352" t="n">
        <v>0</v>
      </c>
      <c r="AP352" t="inlineStr">
        <is>
          <t>T1</t>
        </is>
      </c>
      <c r="AQ352" t="inlineStr">
        <is>
          <t>twin_30_bmpt</t>
        </is>
      </c>
      <c r="AR352" t="inlineStr"/>
      <c r="AS352" t="inlineStr"/>
      <c r="AT352" t="inlineStr"/>
      <c r="AU352" t="n">
        <v>0</v>
      </c>
      <c r="AV352" t="inlineStr"/>
      <c r="AW352" t="n">
        <v>0</v>
      </c>
      <c r="AX352" t="b">
        <v>0</v>
      </c>
      <c r="AY352" t="inlineStr"/>
      <c r="AZ352">
        <f>IF(AND($AX$352,$AW$352&gt;$AA$352/$Z$352),$AW$352,$AA$352/$Z$352)</f>
        <v/>
      </c>
      <c r="BA352" t="n">
        <v>0.15</v>
      </c>
      <c r="BB352" t="n">
        <v>800</v>
      </c>
      <c r="BC352" t="n">
        <v>300</v>
      </c>
      <c r="BD352" t="inlineStr">
        <is>
          <t>ac</t>
        </is>
      </c>
      <c r="BE352" t="inlineStr">
        <is>
          <t>Wikipedia '2A42': 550-800 high, 200-300 low rpm</t>
        </is>
      </c>
      <c r="BG352" t="inlineStr">
        <is>
          <t>giong</t>
        </is>
      </c>
      <c r="DE352" t="n">
        <v>22</v>
      </c>
      <c r="DF352" t="inlineStr">
        <is>
          <t>Fragmentation</t>
        </is>
      </c>
      <c r="DM352" t="inlineStr">
        <is>
          <t>air</t>
        </is>
      </c>
      <c r="DN352" t="inlineStr">
        <is>
          <t>Airburst</t>
        </is>
      </c>
      <c r="DT352" t="inlineStr">
        <is>
          <t>twin_30_bmpt</t>
        </is>
      </c>
      <c r="EB352" t="n">
        <v>2</v>
      </c>
      <c r="EE352" t="b">
        <v>0</v>
      </c>
      <c r="EQ352" t="inlineStr">
        <is>
          <t>2A42 30 mm air-burst (twin)</t>
        </is>
      </c>
      <c r="ES352" t="inlineStr">
        <is>
          <t>flak</t>
        </is>
      </c>
      <c r="EU352" t="inlineStr">
        <is>
          <t>twin_30_bmpt</t>
        </is>
      </c>
      <c r="EY352" t="n">
        <v>2.5</v>
      </c>
      <c r="FW352" t="inlineStr">
        <is>
          <t>Air</t>
        </is>
      </c>
      <c r="GA352" t="inlineStr">
        <is>
          <t>2a42_30_mm_air_burst</t>
        </is>
      </c>
      <c r="GC352" t="inlineStr">
        <is>
          <t>flak</t>
        </is>
      </c>
      <c r="GD352" t="inlineStr">
        <is>
          <t>Assets/MachineBrigade/Resources/Data/balance.json: secondRounds.rounds[62]</t>
        </is>
      </c>
      <c r="GE352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53">
      <c r="A353" t="inlineStr">
        <is>
          <t>twin_30_flak</t>
        </is>
      </c>
      <c r="B353" t="inlineStr">
        <is>
          <t>2A38 30 mm (twin)</t>
        </is>
      </c>
      <c r="C353" t="inlineStr">
        <is>
          <t>cal_30</t>
        </is>
      </c>
      <c r="D353" t="inlineStr">
        <is>
          <t>flak</t>
        </is>
      </c>
      <c r="E353" t="inlineStr">
        <is>
          <t>2a38_30_mm</t>
        </is>
      </c>
      <c r="F353" t="inlineStr">
        <is>
          <t>autocannon</t>
        </is>
      </c>
      <c r="G353" t="n">
        <v>30</v>
      </c>
      <c r="H353" t="inlineStr"/>
      <c r="I353" t="inlineStr"/>
      <c r="J353" t="inlineStr"/>
      <c r="K353" t="inlineStr">
        <is>
          <t>Fragmentation</t>
        </is>
      </c>
      <c r="L353" t="n">
        <v>2</v>
      </c>
      <c r="M353" t="inlineStr">
        <is>
          <t>Bullet</t>
        </is>
      </c>
      <c r="N353" t="n">
        <v>1</v>
      </c>
      <c r="O353" t="inlineStr">
        <is>
          <t>RIPPLE</t>
        </is>
      </c>
      <c r="P353" t="n">
        <v>1</v>
      </c>
      <c r="Q353" t="n">
        <v>0.1</v>
      </c>
      <c r="R353" t="n">
        <v>0.025</v>
      </c>
      <c r="S353" t="n">
        <v>160</v>
      </c>
      <c r="T353" t="n">
        <v>3.025</v>
      </c>
      <c r="U353" t="n">
        <v>0</v>
      </c>
      <c r="V353" t="n">
        <v>0</v>
      </c>
      <c r="W353" t="n">
        <v>7.5</v>
      </c>
      <c r="X353" t="n">
        <v>2.5</v>
      </c>
      <c r="Y353" t="n">
        <v>0</v>
      </c>
      <c r="Z353" t="n">
        <v>280</v>
      </c>
      <c r="AA353" t="n">
        <v>42</v>
      </c>
      <c r="AB353" t="n">
        <v>0</v>
      </c>
      <c r="AC353" t="inlineStr">
        <is>
          <t>All</t>
        </is>
      </c>
      <c r="AD353" t="inlineStr"/>
      <c r="AE353" t="n">
        <v>1.4</v>
      </c>
      <c r="AF353" t="inlineStr">
        <is>
          <t>Small</t>
        </is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n">
        <v>30</v>
      </c>
      <c r="AO353" t="n">
        <v>0</v>
      </c>
      <c r="AP353" t="inlineStr">
        <is>
          <t>T1</t>
        </is>
      </c>
      <c r="AQ353" t="inlineStr"/>
      <c r="AR353" t="inlineStr">
        <is>
          <t>twin_30_flak_ap</t>
        </is>
      </c>
      <c r="AS353" t="inlineStr">
        <is>
          <t>xe</t>
        </is>
      </c>
      <c r="AT353" t="inlineStr">
        <is>
          <t>heavy_aa</t>
        </is>
      </c>
      <c r="AU353" t="n">
        <v>1</v>
      </c>
      <c r="AV353" t="inlineStr">
        <is>
          <t>heavy_aa:0</t>
        </is>
      </c>
      <c r="AW353" t="n">
        <v>0</v>
      </c>
      <c r="AX353" t="b">
        <v>0</v>
      </c>
      <c r="AY353" t="inlineStr"/>
      <c r="AZ353">
        <f>IF(AND($AX$353,$AW$353&gt;$AA$353/$Z$353),$AW$353,$AA$353/$Z$353)</f>
        <v/>
      </c>
      <c r="BA353" t="n">
        <v>0.15</v>
      </c>
      <c r="BB353" t="n">
        <v>2500</v>
      </c>
      <c r="BC353" t="n">
        <v>1000</v>
      </c>
      <c r="BD353" t="inlineStr">
        <is>
          <t>aa</t>
        </is>
      </c>
      <c r="BE353" t="inlineStr">
        <is>
          <t>Wikipedia '2A38': 4,060-5,000 rpm the twin mount</t>
        </is>
      </c>
      <c r="BG353" t="inlineStr">
        <is>
          <t>giong</t>
        </is>
      </c>
      <c r="CT353" t="n">
        <v>30</v>
      </c>
      <c r="CW353" t="n">
        <v>160</v>
      </c>
      <c r="CX353" t="n">
        <v>3.025</v>
      </c>
      <c r="DD353" t="n">
        <v>0.025</v>
      </c>
      <c r="DE353" t="n">
        <v>7.5</v>
      </c>
      <c r="DF353" t="inlineStr">
        <is>
          <t>Fragmentation</t>
        </is>
      </c>
      <c r="DJ353" t="inlineStr">
        <is>
          <t>autocannon</t>
        </is>
      </c>
      <c r="DS353" t="inlineStr">
        <is>
          <t>Small</t>
        </is>
      </c>
      <c r="EB353" t="n">
        <v>2</v>
      </c>
      <c r="EH353" t="inlineStr">
        <is>
          <t>Bullet</t>
        </is>
      </c>
      <c r="EP353" t="n">
        <v>42</v>
      </c>
      <c r="EQ353" t="inlineStr">
        <is>
          <t>2A38 30 mm (twin)</t>
        </is>
      </c>
      <c r="EX353" t="n">
        <v>30</v>
      </c>
      <c r="EZ353" t="n">
        <v>1.4</v>
      </c>
      <c r="FW353" t="inlineStr">
        <is>
          <t>All</t>
        </is>
      </c>
      <c r="GA353" t="inlineStr">
        <is>
          <t>2a38_30_mm</t>
        </is>
      </c>
      <c r="GB353" t="inlineStr">
        <is>
          <t>cal_30</t>
        </is>
      </c>
      <c r="GC353" t="inlineStr">
        <is>
          <t>flak</t>
        </is>
      </c>
      <c r="GD353" t="inlineStr">
        <is>
          <t>Assets/MachineBrigade/Resources/Data/balance.json: weapons[44]</t>
        </is>
      </c>
      <c r="GE353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54">
      <c r="A354" t="inlineStr">
        <is>
          <t>twin_30_flak_ap</t>
        </is>
      </c>
      <c r="B354" t="inlineStr">
        <is>
          <t>2A38 30 mm AP (twin)</t>
        </is>
      </c>
      <c r="C354" t="inlineStr">
        <is>
          <t>cal_30</t>
        </is>
      </c>
      <c r="D354" t="inlineStr"/>
      <c r="E354" t="inlineStr">
        <is>
          <t>2a38_30_mm_ap</t>
        </is>
      </c>
      <c r="F354" t="inlineStr">
        <is>
          <t>autocannon</t>
        </is>
      </c>
      <c r="G354" t="n">
        <v>30</v>
      </c>
      <c r="H354" t="inlineStr"/>
      <c r="I354" t="inlineStr"/>
      <c r="J354" t="inlineStr"/>
      <c r="K354" t="inlineStr">
        <is>
          <t>Kinetic</t>
        </is>
      </c>
      <c r="L354" t="n">
        <v>2</v>
      </c>
      <c r="M354" t="inlineStr">
        <is>
          <t>Bullet</t>
        </is>
      </c>
      <c r="N354" t="n">
        <v>1</v>
      </c>
      <c r="O354" t="inlineStr">
        <is>
          <t>RIPPLE</t>
        </is>
      </c>
      <c r="P354" t="n">
        <v>1</v>
      </c>
      <c r="Q354" t="n">
        <v>0.1</v>
      </c>
      <c r="R354" t="n">
        <v>0.025</v>
      </c>
      <c r="S354" t="n">
        <v>160</v>
      </c>
      <c r="T354" t="n">
        <v>3.025</v>
      </c>
      <c r="U354" t="n">
        <v>0</v>
      </c>
      <c r="V354" t="n">
        <v>0</v>
      </c>
      <c r="W354" t="n">
        <v>7.5</v>
      </c>
      <c r="X354" t="n">
        <v>0</v>
      </c>
      <c r="Y354" t="n">
        <v>0</v>
      </c>
      <c r="Z354" t="n">
        <v>280</v>
      </c>
      <c r="AA354" t="n">
        <v>42</v>
      </c>
      <c r="AB354" t="n">
        <v>0</v>
      </c>
      <c r="AC354" t="inlineStr">
        <is>
          <t>Ground</t>
        </is>
      </c>
      <c r="AD354" t="inlineStr"/>
      <c r="AE354" t="n">
        <v>1.4</v>
      </c>
      <c r="AF354" t="inlineStr">
        <is>
          <t>Small</t>
        </is>
      </c>
      <c r="AG354" t="b">
        <v>0</v>
      </c>
      <c r="AH354" t="b">
        <v>0</v>
      </c>
      <c r="AI354" t="b">
        <v>0</v>
      </c>
      <c r="AJ354" t="b">
        <v>0</v>
      </c>
      <c r="AK354" t="b">
        <v>0</v>
      </c>
      <c r="AL354" t="b">
        <v>0</v>
      </c>
      <c r="AM354" t="b">
        <v>0</v>
      </c>
      <c r="AN354" t="n">
        <v>30</v>
      </c>
      <c r="AO354" t="n">
        <v>0</v>
      </c>
      <c r="AP354" t="inlineStr">
        <is>
          <t>T1</t>
        </is>
      </c>
      <c r="AQ354" t="inlineStr">
        <is>
          <t>twin_30_flak</t>
        </is>
      </c>
      <c r="AR354" t="inlineStr"/>
      <c r="AS354" t="inlineStr"/>
      <c r="AT354" t="inlineStr"/>
      <c r="AU354" t="n">
        <v>0</v>
      </c>
      <c r="AV354" t="inlineStr"/>
      <c r="AW354" t="n">
        <v>0</v>
      </c>
      <c r="AX354" t="b">
        <v>0</v>
      </c>
      <c r="AY354" t="inlineStr"/>
      <c r="AZ354">
        <f>IF(AND($AX$354,$AW$354&gt;$AA$354/$Z$354),$AW$354,$AA$354/$Z$354)</f>
        <v/>
      </c>
      <c r="BA354" t="n">
        <v>0.15</v>
      </c>
      <c r="BB354" t="n">
        <v>2500</v>
      </c>
      <c r="BC354" t="n">
        <v>1000</v>
      </c>
      <c r="BD354" t="inlineStr">
        <is>
          <t>aa</t>
        </is>
      </c>
      <c r="BE354" t="inlineStr">
        <is>
          <t>Wikipedia '2A38': 4,060-5,000 rpm the twin mount</t>
        </is>
      </c>
      <c r="BG354" t="inlineStr">
        <is>
          <t>giong</t>
        </is>
      </c>
      <c r="CQ354" t="inlineStr"/>
      <c r="DE354" t="n">
        <v>7.5</v>
      </c>
      <c r="DF354" t="inlineStr">
        <is>
          <t>Kinetic</t>
        </is>
      </c>
      <c r="DM354" t="inlineStr">
        <is>
          <t>ground</t>
        </is>
      </c>
      <c r="DN354" t="inlineStr">
        <is>
          <t>BeltedAutocannon</t>
        </is>
      </c>
      <c r="DT354" t="inlineStr">
        <is>
          <t>twin_30_flak</t>
        </is>
      </c>
      <c r="EB354" t="n">
        <v>2</v>
      </c>
      <c r="EE354" t="b">
        <v>1</v>
      </c>
      <c r="EQ354" t="inlineStr">
        <is>
          <t>2A38 30 mm AP (twin)</t>
        </is>
      </c>
      <c r="ES354" t="inlineStr">
        <is>
          <t>ap</t>
        </is>
      </c>
      <c r="EU354" t="inlineStr">
        <is>
          <t>twin_30_flak</t>
        </is>
      </c>
      <c r="EY354" t="n">
        <v>0</v>
      </c>
      <c r="FW354" t="inlineStr">
        <is>
          <t>Ground</t>
        </is>
      </c>
      <c r="GA354" t="inlineStr">
        <is>
          <t>2a38_30_mm_ap</t>
        </is>
      </c>
      <c r="GC354" t="inlineStr"/>
      <c r="GD354" t="inlineStr">
        <is>
          <t>Assets/MachineBrigade/Resources/Data/balance.json: secondRounds.rounds[63]</t>
        </is>
      </c>
      <c r="GE354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55">
      <c r="A355" t="inlineStr">
        <is>
          <t>twin_35_ahead</t>
        </is>
      </c>
      <c r="B355" t="inlineStr">
        <is>
          <t>Skyranger 35 mm AHEAD</t>
        </is>
      </c>
      <c r="C355" t="inlineStr">
        <is>
          <t>cal_35</t>
        </is>
      </c>
      <c r="D355" t="inlineStr"/>
      <c r="E355" t="inlineStr"/>
      <c r="F355" t="inlineStr">
        <is>
          <t>autocannon</t>
        </is>
      </c>
      <c r="G355" t="n">
        <v>35</v>
      </c>
      <c r="H355" t="inlineStr"/>
      <c r="I355" t="inlineStr"/>
      <c r="J355" t="inlineStr"/>
      <c r="K355" t="inlineStr">
        <is>
          <t>Fragmentation</t>
        </is>
      </c>
      <c r="L355" t="n">
        <v>2</v>
      </c>
      <c r="M355" t="inlineStr">
        <is>
          <t>Bullet</t>
        </is>
      </c>
      <c r="N355" t="n">
        <v>1</v>
      </c>
      <c r="O355" t="inlineStr">
        <is>
          <t>RIPPLE</t>
        </is>
      </c>
      <c r="P355" t="n">
        <v>1</v>
      </c>
      <c r="Q355" t="n">
        <v>0.1</v>
      </c>
      <c r="R355" t="n">
        <v>0.2137</v>
      </c>
      <c r="S355" t="n">
        <v>24</v>
      </c>
      <c r="T355" t="n">
        <v>1.2137</v>
      </c>
      <c r="U355" t="n">
        <v>0</v>
      </c>
      <c r="V355" t="n">
        <v>0</v>
      </c>
      <c r="W355" t="n">
        <v>26</v>
      </c>
      <c r="X355" t="n">
        <v>4</v>
      </c>
      <c r="Y355" t="n">
        <v>0</v>
      </c>
      <c r="Z355" t="n">
        <v>300</v>
      </c>
      <c r="AA355" t="n">
        <v>46</v>
      </c>
      <c r="AB355" t="n">
        <v>0</v>
      </c>
      <c r="AC355" t="inlineStr">
        <is>
          <t>All</t>
        </is>
      </c>
      <c r="AD355" t="inlineStr"/>
      <c r="AE355" t="n">
        <v>1.2</v>
      </c>
      <c r="AF355" t="inlineStr">
        <is>
          <t>Small</t>
        </is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n">
        <v>35</v>
      </c>
      <c r="AO355" t="n">
        <v>0</v>
      </c>
      <c r="AP355" t="inlineStr">
        <is>
          <t>T1</t>
        </is>
      </c>
      <c r="AQ355" t="inlineStr"/>
      <c r="AR355" t="inlineStr">
        <is>
          <t>twin_35_ahead_ap</t>
        </is>
      </c>
      <c r="AS355" t="inlineStr">
        <is>
          <t>xe</t>
        </is>
      </c>
      <c r="AT355" t="inlineStr">
        <is>
          <t>elite_aa</t>
        </is>
      </c>
      <c r="AU355" t="n">
        <v>1</v>
      </c>
      <c r="AV355" t="inlineStr">
        <is>
          <t>elite_aa:0</t>
        </is>
      </c>
      <c r="AW355" t="n">
        <v>0</v>
      </c>
      <c r="AX355" t="b">
        <v>0</v>
      </c>
      <c r="AY355" t="inlineStr"/>
      <c r="AZ355">
        <f>IF(AND($AX$355,$AW$355&gt;$AA$355/$Z$355),$AW$355,$AA$355/$Z$355)</f>
        <v/>
      </c>
      <c r="BA355" t="n">
        <v>0.1533333333333333</v>
      </c>
      <c r="BB355" t="n">
        <v>1000</v>
      </c>
      <c r="BC355" t="n">
        <v>400</v>
      </c>
      <c r="BD355" t="inlineStr">
        <is>
          <t>aa</t>
        </is>
      </c>
      <c r="BE355" t="inlineStr">
        <is>
          <t>Rheinmetall Skyranger 30/35: 1,000 rpm, 20-24-round AHEAD bursts</t>
        </is>
      </c>
      <c r="BG355" t="inlineStr">
        <is>
          <t>giong</t>
        </is>
      </c>
      <c r="CT355" t="n">
        <v>35</v>
      </c>
      <c r="CW355" t="n">
        <v>24</v>
      </c>
      <c r="CX355" t="n">
        <v>1.2137</v>
      </c>
      <c r="DD355" t="n">
        <v>0.2137</v>
      </c>
      <c r="DE355" t="n">
        <v>26</v>
      </c>
      <c r="DF355" t="inlineStr">
        <is>
          <t>Fragmentation</t>
        </is>
      </c>
      <c r="DJ355" t="inlineStr">
        <is>
          <t>autocannon</t>
        </is>
      </c>
      <c r="DS355" t="inlineStr">
        <is>
          <t>Small</t>
        </is>
      </c>
      <c r="EB355" t="n">
        <v>2</v>
      </c>
      <c r="EH355" t="inlineStr">
        <is>
          <t>Bullet</t>
        </is>
      </c>
      <c r="EK355" t="n">
        <v>300</v>
      </c>
      <c r="EP355" t="n">
        <v>46</v>
      </c>
      <c r="EQ355" t="inlineStr">
        <is>
          <t>Skyranger 35 mm AHEAD</t>
        </is>
      </c>
      <c r="EX355" t="n">
        <v>35</v>
      </c>
      <c r="EY355" t="n">
        <v>4</v>
      </c>
      <c r="EZ355" t="n">
        <v>1.2</v>
      </c>
      <c r="FW355" t="inlineStr">
        <is>
          <t>All</t>
        </is>
      </c>
      <c r="GB355" t="inlineStr">
        <is>
          <t>cal_35</t>
        </is>
      </c>
      <c r="GD355" t="inlineStr">
        <is>
          <t>Assets/MachineBrigade/Resources/Data/balance.json: weapons[95]</t>
        </is>
      </c>
      <c r="GE355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56">
      <c r="A356" t="inlineStr">
        <is>
          <t>twin_35_ahead_ap</t>
        </is>
      </c>
      <c r="B356" t="inlineStr">
        <is>
          <t>Skyranger 35 mm AHEAD AP</t>
        </is>
      </c>
      <c r="C356" t="inlineStr">
        <is>
          <t>cal_35</t>
        </is>
      </c>
      <c r="D356" t="inlineStr">
        <is>
          <t>ap</t>
        </is>
      </c>
      <c r="E356" t="inlineStr"/>
      <c r="F356" t="inlineStr">
        <is>
          <t>autocannon</t>
        </is>
      </c>
      <c r="G356" t="n">
        <v>35</v>
      </c>
      <c r="H356" t="inlineStr"/>
      <c r="I356" t="inlineStr"/>
      <c r="J356" t="inlineStr"/>
      <c r="K356" t="inlineStr">
        <is>
          <t>Kinetic</t>
        </is>
      </c>
      <c r="L356" t="n">
        <v>2</v>
      </c>
      <c r="M356" t="inlineStr">
        <is>
          <t>Bullet</t>
        </is>
      </c>
      <c r="N356" t="n">
        <v>1</v>
      </c>
      <c r="O356" t="inlineStr">
        <is>
          <t>RIPPLE</t>
        </is>
      </c>
      <c r="P356" t="n">
        <v>1</v>
      </c>
      <c r="Q356" t="n">
        <v>0.1</v>
      </c>
      <c r="R356" t="n">
        <v>0.2137</v>
      </c>
      <c r="S356" t="n">
        <v>24</v>
      </c>
      <c r="T356" t="n">
        <v>1.2137</v>
      </c>
      <c r="U356" t="n">
        <v>0</v>
      </c>
      <c r="V356" t="n">
        <v>0</v>
      </c>
      <c r="W356" t="n">
        <v>26</v>
      </c>
      <c r="X356" t="n">
        <v>0</v>
      </c>
      <c r="Y356" t="n">
        <v>0</v>
      </c>
      <c r="Z356" t="n">
        <v>300</v>
      </c>
      <c r="AA356" t="n">
        <v>46</v>
      </c>
      <c r="AB356" t="n">
        <v>0</v>
      </c>
      <c r="AC356" t="inlineStr">
        <is>
          <t>Ground</t>
        </is>
      </c>
      <c r="AD356" t="inlineStr"/>
      <c r="AE356" t="n">
        <v>1.2</v>
      </c>
      <c r="AF356" t="inlineStr">
        <is>
          <t>Small</t>
        </is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n">
        <v>35</v>
      </c>
      <c r="AO356" t="n">
        <v>0</v>
      </c>
      <c r="AP356" t="inlineStr">
        <is>
          <t>T1</t>
        </is>
      </c>
      <c r="AQ356" t="inlineStr">
        <is>
          <t>twin_35_ahead</t>
        </is>
      </c>
      <c r="AR356" t="inlineStr"/>
      <c r="AS356" t="inlineStr"/>
      <c r="AT356" t="inlineStr"/>
      <c r="AU356" t="n">
        <v>0</v>
      </c>
      <c r="AV356" t="inlineStr"/>
      <c r="AW356" t="n">
        <v>0</v>
      </c>
      <c r="AX356" t="b">
        <v>0</v>
      </c>
      <c r="AY356" t="inlineStr"/>
      <c r="AZ356">
        <f>IF(AND($AX$356,$AW$356&gt;$AA$356/$Z$356),$AW$356,$AA$356/$Z$356)</f>
        <v/>
      </c>
      <c r="BA356" t="n">
        <v>0.1533333333333333</v>
      </c>
      <c r="BB356" t="n">
        <v>1000</v>
      </c>
      <c r="BC356" t="n">
        <v>400</v>
      </c>
      <c r="BD356" t="inlineStr">
        <is>
          <t>aa</t>
        </is>
      </c>
      <c r="BE356" t="inlineStr">
        <is>
          <t>Rheinmetall Skyranger 30/35: 1,000 rpm, 20-24-round AHEAD bursts</t>
        </is>
      </c>
      <c r="BG356" t="inlineStr">
        <is>
          <t>giong</t>
        </is>
      </c>
      <c r="CQ356" t="inlineStr"/>
      <c r="DE356" t="n">
        <v>26</v>
      </c>
      <c r="DF356" t="inlineStr">
        <is>
          <t>Kinetic</t>
        </is>
      </c>
      <c r="DM356" t="inlineStr">
        <is>
          <t>ground</t>
        </is>
      </c>
      <c r="DN356" t="inlineStr">
        <is>
          <t>BeltedAutocannon</t>
        </is>
      </c>
      <c r="DT356" t="inlineStr">
        <is>
          <t>twin_35_ahead</t>
        </is>
      </c>
      <c r="EB356" t="n">
        <v>2</v>
      </c>
      <c r="EE356" t="b">
        <v>1</v>
      </c>
      <c r="EQ356" t="inlineStr">
        <is>
          <t>Skyranger 35 mm AHEAD AP</t>
        </is>
      </c>
      <c r="ES356" t="inlineStr">
        <is>
          <t>ap</t>
        </is>
      </c>
      <c r="EU356" t="inlineStr">
        <is>
          <t>twin_35_ahead</t>
        </is>
      </c>
      <c r="EY356" t="n">
        <v>0</v>
      </c>
      <c r="FW356" t="inlineStr">
        <is>
          <t>Ground</t>
        </is>
      </c>
      <c r="GA356" t="inlineStr"/>
      <c r="GC356" t="inlineStr">
        <is>
          <t>ap</t>
        </is>
      </c>
      <c r="GD356" t="inlineStr">
        <is>
          <t>Assets/MachineBrigade/Resources/Data/balance.json: secondRounds.rounds[64]</t>
        </is>
      </c>
      <c r="GE356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57">
      <c r="A357" t="inlineStr">
        <is>
          <t>vikhr</t>
        </is>
      </c>
      <c r="B357" t="inlineStr">
        <is>
          <t>9K121 Vikhr</t>
        </is>
      </c>
      <c r="C357" t="inlineStr">
        <is>
          <t>atgm_9k121_vikhr</t>
        </is>
      </c>
      <c r="D357" t="inlineStr"/>
      <c r="E357" t="inlineStr"/>
      <c r="F357" t="inlineStr">
        <is>
          <t>atgm</t>
        </is>
      </c>
      <c r="G357" t="inlineStr"/>
      <c r="H357" t="n">
        <v>8</v>
      </c>
      <c r="I357" t="inlineStr"/>
      <c r="J357" t="inlineStr"/>
      <c r="K357" t="inlineStr">
        <is>
          <t>ShapedCharge</t>
        </is>
      </c>
      <c r="L357" t="n">
        <v>4</v>
      </c>
      <c r="M357" t="inlineStr">
        <is>
          <t>Missile</t>
        </is>
      </c>
      <c r="N357" t="n">
        <v>1</v>
      </c>
      <c r="O357" t="inlineStr">
        <is>
          <t>RIPPLE</t>
        </is>
      </c>
      <c r="P357" t="n">
        <v>2</v>
      </c>
      <c r="Q357" t="n">
        <v>0.45</v>
      </c>
      <c r="R357" t="n">
        <v>7.1</v>
      </c>
      <c r="S357" t="n">
        <v>0</v>
      </c>
      <c r="T357" t="n">
        <v>0</v>
      </c>
      <c r="U357" t="n">
        <v>0</v>
      </c>
      <c r="V357" t="n">
        <v>0</v>
      </c>
      <c r="W357" t="n">
        <v>250</v>
      </c>
      <c r="X357" t="n">
        <v>0</v>
      </c>
      <c r="Y357" t="n">
        <v>0</v>
      </c>
      <c r="Z357" t="n">
        <v>85</v>
      </c>
      <c r="AA357" t="n">
        <v>55</v>
      </c>
      <c r="AB357" t="n">
        <v>0</v>
      </c>
      <c r="AC357" t="inlineStr">
        <is>
          <t>Ground</t>
        </is>
      </c>
      <c r="AD357" t="inlineStr"/>
      <c r="AE357" t="n">
        <v>0</v>
      </c>
      <c r="AF357" t="inlineStr">
        <is>
          <t>Medium</t>
        </is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n">
        <v>45</v>
      </c>
      <c r="AO357" t="n">
        <v>8</v>
      </c>
      <c r="AP357" t="inlineStr">
        <is>
          <t>T2</t>
        </is>
      </c>
      <c r="AQ357" t="inlineStr"/>
      <c r="AR357" t="inlineStr"/>
      <c r="AS357" t="inlineStr"/>
      <c r="AT357" t="inlineStr"/>
      <c r="AU357" t="n">
        <v>0</v>
      </c>
      <c r="AV357" t="inlineStr"/>
      <c r="AW357" t="n">
        <v>0</v>
      </c>
      <c r="AX357" t="b">
        <v>0</v>
      </c>
      <c r="AY357" t="inlineStr"/>
      <c r="AZ357">
        <f>IF(AND($AX$357,$AW$357&gt;$AA$357/$Z$357),$AW$357,$AA$357/$Z$357)</f>
        <v/>
      </c>
      <c r="BA357" t="n">
        <v>0.6470588235294118</v>
      </c>
      <c r="BB357" t="n">
        <v>4</v>
      </c>
      <c r="BC357" t="n">
        <v>3</v>
      </c>
      <c r="BD357" t="inlineStr">
        <is>
          <t>atgm</t>
        </is>
      </c>
      <c r="BE357" t="inlineStr">
        <is>
          <t>Shturm / Ataka / Khrizantema launchers: est. 3-4 rpm a rail</t>
        </is>
      </c>
      <c r="BG357" t="inlineStr">
        <is>
          <t>doi</t>
        </is>
      </c>
      <c r="BR357" t="n">
        <v>24</v>
      </c>
      <c r="BS357" t="n">
        <v>85</v>
      </c>
      <c r="CR357" t="n">
        <v>2</v>
      </c>
      <c r="CS357" t="n">
        <v>0.45</v>
      </c>
      <c r="DD357" t="n">
        <v>7.1</v>
      </c>
      <c r="DE357" t="n">
        <v>250</v>
      </c>
      <c r="DF357" t="inlineStr">
        <is>
          <t>ShapedCharge</t>
        </is>
      </c>
      <c r="DJ357" t="inlineStr">
        <is>
          <t>atgm</t>
        </is>
      </c>
      <c r="DS357" t="inlineStr">
        <is>
          <t>Medium</t>
        </is>
      </c>
      <c r="DW357" t="n">
        <v>8</v>
      </c>
      <c r="EB357" t="n">
        <v>4</v>
      </c>
      <c r="EE357" t="b">
        <v>1</v>
      </c>
      <c r="EH357" t="inlineStr">
        <is>
          <t>Missile</t>
        </is>
      </c>
      <c r="EI357" t="inlineStr">
        <is>
          <t>atgm_ataka</t>
        </is>
      </c>
      <c r="EJ357" t="n">
        <v>0.72</v>
      </c>
      <c r="EK357" t="n">
        <v>85</v>
      </c>
      <c r="EP357" t="n">
        <v>55</v>
      </c>
      <c r="EQ357" t="inlineStr">
        <is>
          <t>9K121 Vikhr</t>
        </is>
      </c>
      <c r="EX357" t="n">
        <v>45</v>
      </c>
      <c r="FW357" t="inlineStr">
        <is>
          <t>Ground</t>
        </is>
      </c>
      <c r="FZ357" t="n">
        <v>8</v>
      </c>
      <c r="GB357" t="inlineStr">
        <is>
          <t>atgm_9k121_vikhr</t>
        </is>
      </c>
      <c r="GD357" t="inlineStr">
        <is>
          <t>Assets/MachineBrigade/Resources/Data/balance.json: weapons[79]</t>
        </is>
      </c>
      <c r="GE357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85,"impactTier":"Medium","projectile":"Missile","targets":"Ground","burst":2,"burstInterval":0.45}</t>
        </is>
      </c>
    </row>
    <row r="358">
      <c r="A358" t="inlineStr">
        <is>
          <t>wvr_aam</t>
        </is>
      </c>
      <c r="B358" t="inlineStr">
        <is>
          <t>AIM-9X Sidewinder</t>
        </is>
      </c>
      <c r="C358" t="inlineStr">
        <is>
          <t>sam_aim_9x_sidewinder</t>
        </is>
      </c>
      <c r="D358" t="inlineStr"/>
      <c r="E358" t="inlineStr">
        <is>
          <t>aim_9_sidewinder</t>
        </is>
      </c>
      <c r="F358" t="inlineStr">
        <is>
          <t>aa_missile</t>
        </is>
      </c>
      <c r="G358" t="inlineStr"/>
      <c r="H358" t="n">
        <v>9.4</v>
      </c>
      <c r="I358" t="inlineStr"/>
      <c r="J358" t="inlineStr"/>
      <c r="K358" t="inlineStr">
        <is>
          <t>Fragmentation</t>
        </is>
      </c>
      <c r="L358" t="n">
        <v>2</v>
      </c>
      <c r="M358" t="inlineStr">
        <is>
          <t>Missile</t>
        </is>
      </c>
      <c r="N358" t="n">
        <v>1</v>
      </c>
      <c r="O358" t="inlineStr">
        <is>
          <t>RIPPLE</t>
        </is>
      </c>
      <c r="P358" t="n">
        <v>1</v>
      </c>
      <c r="Q358" t="n">
        <v>0.1</v>
      </c>
      <c r="R358" t="n">
        <v>2.12</v>
      </c>
      <c r="S358" t="n">
        <v>0</v>
      </c>
      <c r="T358" t="n">
        <v>0</v>
      </c>
      <c r="U358" t="n">
        <v>0</v>
      </c>
      <c r="V358" t="n">
        <v>0</v>
      </c>
      <c r="W358" t="n">
        <v>231</v>
      </c>
      <c r="X358" t="n">
        <v>1.5</v>
      </c>
      <c r="Y358" t="n">
        <v>0</v>
      </c>
      <c r="Z358" t="n">
        <v>115</v>
      </c>
      <c r="AA358" t="n">
        <v>30</v>
      </c>
      <c r="AB358" t="n">
        <v>0</v>
      </c>
      <c r="AC358" t="inlineStr">
        <is>
          <t>Air</t>
        </is>
      </c>
      <c r="AD358" t="inlineStr">
        <is>
          <t>high</t>
        </is>
      </c>
      <c r="AE358" t="n">
        <v>0</v>
      </c>
      <c r="AF358" t="inlineStr">
        <is>
          <t>Medium</t>
        </is>
      </c>
      <c r="AG358" t="b">
        <v>0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n">
        <v>9.4</v>
      </c>
      <c r="AO358" t="n">
        <v>2</v>
      </c>
      <c r="AP358" t="inlineStr">
        <is>
          <t>T2</t>
        </is>
      </c>
      <c r="AQ358" t="inlineStr"/>
      <c r="AR358" t="inlineStr"/>
      <c r="AS358" t="inlineStr">
        <is>
          <t>xe</t>
        </is>
      </c>
      <c r="AT358" t="inlineStr">
        <is>
          <t>fighter_jet</t>
        </is>
      </c>
      <c r="AU358" t="n">
        <v>1</v>
      </c>
      <c r="AV358" t="inlineStr">
        <is>
          <t>fighter_jet:1</t>
        </is>
      </c>
      <c r="AW358" t="n">
        <v>0</v>
      </c>
      <c r="AX358" t="b">
        <v>0</v>
      </c>
      <c r="AY358" t="inlineStr"/>
      <c r="AZ358">
        <f>IF(AND($AX$358,$AW$358&gt;$AA$358/$Z$358),$AW$358,$AA$358/$Z$358)</f>
        <v/>
      </c>
      <c r="BA358" t="n">
        <v>0.2608695652173913</v>
      </c>
      <c r="BB358" t="n">
        <v>60</v>
      </c>
      <c r="BC358" t="inlineStr"/>
      <c r="BD358" t="inlineStr">
        <is>
          <t>missile</t>
        </is>
      </c>
      <c r="BE358" t="inlineStr">
        <is>
          <t>air-to-air: ~1 s between launches (est.)</t>
        </is>
      </c>
      <c r="BG358" t="inlineStr">
        <is>
          <t>doi</t>
        </is>
      </c>
      <c r="BR358" t="n">
        <v>55</v>
      </c>
      <c r="BS358" t="n">
        <v>115</v>
      </c>
      <c r="CU358" t="inlineStr">
        <is>
          <t>high</t>
        </is>
      </c>
      <c r="DD358" t="n">
        <v>2.12</v>
      </c>
      <c r="DE358" t="n">
        <v>231</v>
      </c>
      <c r="DF358" t="inlineStr">
        <is>
          <t>Fragmentation</t>
        </is>
      </c>
      <c r="DJ358" t="inlineStr">
        <is>
          <t>aa_missile</t>
        </is>
      </c>
      <c r="DS358" t="inlineStr">
        <is>
          <t>Medium</t>
        </is>
      </c>
      <c r="DW358" t="n">
        <v>2</v>
      </c>
      <c r="EB358" t="n">
        <v>2</v>
      </c>
      <c r="EH358" t="inlineStr">
        <is>
          <t>Missile</t>
        </is>
      </c>
      <c r="EJ358" t="n">
        <v>0.8</v>
      </c>
      <c r="EP358" t="n">
        <v>30</v>
      </c>
      <c r="EQ358" t="inlineStr">
        <is>
          <t>AIM-9X Sidewinder</t>
        </is>
      </c>
      <c r="EX358" t="n">
        <v>9.4</v>
      </c>
      <c r="FW358" t="inlineStr">
        <is>
          <t>Air</t>
        </is>
      </c>
      <c r="FZ358" t="n">
        <v>9.4</v>
      </c>
      <c r="GA358" t="inlineStr">
        <is>
          <t>aim_9_sidewinder</t>
        </is>
      </c>
      <c r="GB358" t="inlineStr">
        <is>
          <t>sam_aim_9x_sidewinder</t>
        </is>
      </c>
      <c r="GD358" t="inlineStr">
        <is>
          <t>Assets/MachineBrigade/Resources/Data/balance.json: weapons[63]</t>
        </is>
      </c>
      <c r="GE358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59">
      <c r="A359" t="inlineStr">
        <is>
          <t>zu23</t>
        </is>
      </c>
      <c r="B359" t="inlineStr">
        <is>
          <t>ZU-23-2 23 mm</t>
        </is>
      </c>
      <c r="C359" t="inlineStr">
        <is>
          <t>cal_23</t>
        </is>
      </c>
      <c r="D359" t="inlineStr"/>
      <c r="E359" t="inlineStr"/>
      <c r="F359" t="inlineStr">
        <is>
          <t>autocannon</t>
        </is>
      </c>
      <c r="G359" t="n">
        <v>23</v>
      </c>
      <c r="H359" t="inlineStr"/>
      <c r="I359" t="inlineStr"/>
      <c r="J359" t="inlineStr"/>
      <c r="K359" t="inlineStr">
        <is>
          <t>Fragmentation</t>
        </is>
      </c>
      <c r="L359" t="n">
        <v>1</v>
      </c>
      <c r="M359" t="inlineStr">
        <is>
          <t>Bullet</t>
        </is>
      </c>
      <c r="N359" t="n">
        <v>2</v>
      </c>
      <c r="O359" t="inlineStr">
        <is>
          <t>RIPPLE</t>
        </is>
      </c>
      <c r="P359" t="n">
        <v>1</v>
      </c>
      <c r="Q359" t="n">
        <v>0.1</v>
      </c>
      <c r="R359" t="n">
        <v>0.02</v>
      </c>
      <c r="S359" t="n">
        <v>100</v>
      </c>
      <c r="T359" t="n">
        <v>3.02</v>
      </c>
      <c r="U359" t="n">
        <v>0</v>
      </c>
      <c r="V359" t="n">
        <v>0</v>
      </c>
      <c r="W359" t="n">
        <v>3.5</v>
      </c>
      <c r="X359" t="n">
        <v>0</v>
      </c>
      <c r="Y359" t="n">
        <v>0</v>
      </c>
      <c r="Z359" t="n">
        <v>240</v>
      </c>
      <c r="AA359" t="n">
        <v>38</v>
      </c>
      <c r="AB359" t="n">
        <v>0</v>
      </c>
      <c r="AC359" t="inlineStr">
        <is>
          <t>All</t>
        </is>
      </c>
      <c r="AD359" t="inlineStr"/>
      <c r="AE359" t="n">
        <v>1.6</v>
      </c>
      <c r="AF359" t="inlineStr">
        <is>
          <t>Small</t>
        </is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n">
        <v>23</v>
      </c>
      <c r="AO359" t="n">
        <v>0</v>
      </c>
      <c r="AP359" t="inlineStr">
        <is>
          <t>T1</t>
        </is>
      </c>
      <c r="AQ359" t="inlineStr"/>
      <c r="AR359" t="inlineStr">
        <is>
          <t>zu23_ap</t>
        </is>
      </c>
      <c r="AS359" t="inlineStr">
        <is>
          <t>boss_part;xe</t>
        </is>
      </c>
      <c r="AT359" t="inlineStr">
        <is>
          <t>zu23;zu23_technical</t>
        </is>
      </c>
      <c r="AU359" t="n">
        <v>2</v>
      </c>
      <c r="AV359" t="inlineStr">
        <is>
          <t>zu23:part;zu23_technical:0</t>
        </is>
      </c>
      <c r="AW359" t="n">
        <v>0</v>
      </c>
      <c r="AX359" t="b">
        <v>0</v>
      </c>
      <c r="AY359" t="inlineStr">
        <is>
          <t>KHONG_AP_DUNG</t>
        </is>
      </c>
      <c r="AZ359">
        <f>IF(AND($AX$359,$AW$359&gt;$AA$359/$Z$359),$AW$359,$AA$359/$Z$359)</f>
        <v/>
      </c>
      <c r="BA359" t="n">
        <v>0.1583333333333333</v>
      </c>
      <c r="BB359" t="n">
        <v>1000</v>
      </c>
      <c r="BC359" t="n">
        <v>400</v>
      </c>
      <c r="BD359" t="inlineStr">
        <is>
          <t>aa</t>
        </is>
      </c>
      <c r="BE359" t="inlineStr">
        <is>
          <t>Wikipedia 'ZU-23-2': 2 x 800-1,000 rpm</t>
        </is>
      </c>
      <c r="BG359" t="inlineStr">
        <is>
          <t>doi</t>
        </is>
      </c>
      <c r="BH359" t="n">
        <v>7</v>
      </c>
      <c r="BI359" t="n">
        <v>3.5</v>
      </c>
      <c r="BJ359" t="n">
        <v>0.04</v>
      </c>
      <c r="BK359" t="n">
        <v>0.02</v>
      </c>
      <c r="BX359" t="n">
        <v>1</v>
      </c>
      <c r="BY359" t="n">
        <v>2</v>
      </c>
      <c r="CF359" t="n">
        <v>50</v>
      </c>
      <c r="CG359" t="n">
        <v>100</v>
      </c>
      <c r="CH359" t="n">
        <v>3.04</v>
      </c>
      <c r="CI359" t="n">
        <v>3.02</v>
      </c>
      <c r="CO359" t="n">
        <v>2</v>
      </c>
      <c r="CT359" t="n">
        <v>23</v>
      </c>
      <c r="CW359" t="n">
        <v>100</v>
      </c>
      <c r="CX359" t="n">
        <v>3.02</v>
      </c>
      <c r="DD359" t="n">
        <v>0.02</v>
      </c>
      <c r="DE359" t="n">
        <v>3.5</v>
      </c>
      <c r="DF359" t="inlineStr">
        <is>
          <t>Fragmentation</t>
        </is>
      </c>
      <c r="DJ359" t="inlineStr">
        <is>
          <t>autocannon</t>
        </is>
      </c>
      <c r="DS359" t="inlineStr">
        <is>
          <t>Small</t>
        </is>
      </c>
      <c r="EB359" t="n">
        <v>1</v>
      </c>
      <c r="EH359" t="inlineStr">
        <is>
          <t>Bullet</t>
        </is>
      </c>
      <c r="EK359" t="n">
        <v>240</v>
      </c>
      <c r="EP359" t="n">
        <v>38</v>
      </c>
      <c r="EQ359" t="inlineStr">
        <is>
          <t>ZU-23-2 23 mm</t>
        </is>
      </c>
      <c r="EX359" t="n">
        <v>23</v>
      </c>
      <c r="EZ359" t="n">
        <v>1.6</v>
      </c>
      <c r="FW359" t="inlineStr">
        <is>
          <t>All</t>
        </is>
      </c>
      <c r="GB359" t="inlineStr">
        <is>
          <t>cal_23</t>
        </is>
      </c>
      <c r="GD359" t="inlineStr">
        <is>
          <t>Assets/MachineBrigade/Resources/Data/balance.json: weapons[73]</t>
        </is>
      </c>
      <c r="GE359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60">
      <c r="A360" t="inlineStr">
        <is>
          <t>zu23_ap</t>
        </is>
      </c>
      <c r="B360" t="inlineStr">
        <is>
          <t>ZU-23-2 23 mm AP</t>
        </is>
      </c>
      <c r="C360" t="inlineStr">
        <is>
          <t>cal_23</t>
        </is>
      </c>
      <c r="D360" t="inlineStr"/>
      <c r="E360" t="inlineStr"/>
      <c r="F360" t="inlineStr">
        <is>
          <t>autocannon</t>
        </is>
      </c>
      <c r="G360" t="n">
        <v>23</v>
      </c>
      <c r="H360" t="inlineStr"/>
      <c r="I360" t="inlineStr"/>
      <c r="J360" t="inlineStr"/>
      <c r="K360" t="inlineStr">
        <is>
          <t>Kinetic</t>
        </is>
      </c>
      <c r="L360" t="n">
        <v>2</v>
      </c>
      <c r="M360" t="inlineStr">
        <is>
          <t>Bullet</t>
        </is>
      </c>
      <c r="N360" t="n">
        <v>2</v>
      </c>
      <c r="O360" t="inlineStr">
        <is>
          <t>RIPPLE</t>
        </is>
      </c>
      <c r="P360" t="n">
        <v>1</v>
      </c>
      <c r="Q360" t="n">
        <v>0.1</v>
      </c>
      <c r="R360" t="n">
        <v>0.02</v>
      </c>
      <c r="S360" t="n">
        <v>100</v>
      </c>
      <c r="T360" t="n">
        <v>3.02</v>
      </c>
      <c r="U360" t="n">
        <v>0</v>
      </c>
      <c r="V360" t="n">
        <v>0</v>
      </c>
      <c r="W360" t="n">
        <v>3.5</v>
      </c>
      <c r="X360" t="n">
        <v>0</v>
      </c>
      <c r="Y360" t="n">
        <v>0</v>
      </c>
      <c r="Z360" t="n">
        <v>240</v>
      </c>
      <c r="AA360" t="n">
        <v>38</v>
      </c>
      <c r="AB360" t="n">
        <v>0</v>
      </c>
      <c r="AC360" t="inlineStr">
        <is>
          <t>Ground</t>
        </is>
      </c>
      <c r="AD360" t="inlineStr"/>
      <c r="AE360" t="n">
        <v>1.6</v>
      </c>
      <c r="AF360" t="inlineStr">
        <is>
          <t>Small</t>
        </is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n">
        <v>23</v>
      </c>
      <c r="AO360" t="n">
        <v>0</v>
      </c>
      <c r="AP360" t="inlineStr">
        <is>
          <t>T1</t>
        </is>
      </c>
      <c r="AQ360" t="inlineStr">
        <is>
          <t>zu23</t>
        </is>
      </c>
      <c r="AR360" t="inlineStr"/>
      <c r="AS360" t="inlineStr"/>
      <c r="AT360" t="inlineStr"/>
      <c r="AU360" t="n">
        <v>0</v>
      </c>
      <c r="AV360" t="inlineStr"/>
      <c r="AW360" t="n">
        <v>0</v>
      </c>
      <c r="AX360" t="b">
        <v>0</v>
      </c>
      <c r="AY360" t="inlineStr">
        <is>
          <t>KHONG_AP_DUNG</t>
        </is>
      </c>
      <c r="AZ360">
        <f>IF(AND($AX$360,$AW$360&gt;$AA$360/$Z$360),$AW$360,$AA$360/$Z$360)</f>
        <v/>
      </c>
      <c r="BA360" t="n">
        <v>0.1583333333333333</v>
      </c>
      <c r="BB360" t="n">
        <v>1000</v>
      </c>
      <c r="BC360" t="n">
        <v>400</v>
      </c>
      <c r="BD360" t="inlineStr">
        <is>
          <t>aa</t>
        </is>
      </c>
      <c r="BE360" t="inlineStr">
        <is>
          <t>Wikipedia 'ZU-23-2': 2 x 800-1,000 rpm</t>
        </is>
      </c>
      <c r="BG360" t="inlineStr">
        <is>
          <t>doi</t>
        </is>
      </c>
      <c r="BH360" t="n">
        <v>7</v>
      </c>
      <c r="BI360" t="n">
        <v>3.5</v>
      </c>
      <c r="BJ360" t="n">
        <v>0.04</v>
      </c>
      <c r="BK360" t="n">
        <v>0.02</v>
      </c>
      <c r="BX360" t="n">
        <v>1</v>
      </c>
      <c r="BY360" t="n">
        <v>2</v>
      </c>
      <c r="CF360" t="n">
        <v>50</v>
      </c>
      <c r="CG360" t="n">
        <v>100</v>
      </c>
      <c r="CH360" t="n">
        <v>3.04</v>
      </c>
      <c r="CI360" t="n">
        <v>3.02</v>
      </c>
      <c r="DE360" t="n">
        <v>3.5</v>
      </c>
      <c r="DF360" t="inlineStr">
        <is>
          <t>Kinetic</t>
        </is>
      </c>
      <c r="DM360" t="inlineStr">
        <is>
          <t>ground</t>
        </is>
      </c>
      <c r="DN360" t="inlineStr">
        <is>
          <t>BeltedAutocannon</t>
        </is>
      </c>
      <c r="DT360" t="inlineStr">
        <is>
          <t>zu23</t>
        </is>
      </c>
      <c r="EB360" t="n">
        <v>2</v>
      </c>
      <c r="EE360" t="b">
        <v>1</v>
      </c>
      <c r="EQ360" t="inlineStr">
        <is>
          <t>ZU-23-2 23 mm AP</t>
        </is>
      </c>
      <c r="ES360" t="inlineStr">
        <is>
          <t>ap</t>
        </is>
      </c>
      <c r="EU360" t="inlineStr">
        <is>
          <t>zu23</t>
        </is>
      </c>
      <c r="EY360" t="n">
        <v>0</v>
      </c>
      <c r="FW360" t="inlineStr">
        <is>
          <t>Ground</t>
        </is>
      </c>
      <c r="GA360" t="inlineStr"/>
      <c r="GD360" t="inlineStr">
        <is>
          <t>Assets/MachineBrigade/Resources/Data/balance.json: secondRounds.rounds[65]</t>
        </is>
      </c>
      <c r="GE360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E3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weapons[243].bonuses[0]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weapons[72].bonuses[0]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weapons[104].bonuses[0]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weapons[104].bonuses[1]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weapons[104].bonuses[2]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weapons[41].bonuses[0]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weapons[19].bonuses[0]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weapons[61].bonuses[0]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weapons[100].bonuses[0]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weapons[55].bonuses[0]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weapons[118].bonuses[0]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weapons[118].bonuses[1]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weapons[74].bonuses[0]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weapons[74].bonuses[1]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weapons[74].bonuses[2]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weapons[57].bonuses[0]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weapons[262].bonuses[0]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weapons[32].bonuses[0]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weapons[45].bonuses[0]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weapons[45].bonuses[1]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weapons[103].bonuses[0]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weapons[121].bonuses[0]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weapons[121].bonuses[1]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weapons[12].bonuses[0]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weapons[130].bonuses[0]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weapons[44].bonuses[0]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weapons[95].bonuses[0]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2</v>
      </c>
      <c r="I7" t="inlineStr">
        <is>
          <t>drone_missile;pt14_th_jagm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atgm_heavy;boss_missiles;kornet_multi;kornet_top;kornet_twin;one_shot_kornet;p26_bastion_tiny_kornet_twin;p26_behemoth_tiny_boss_missiles;p26_matriarch_direct_ma_atgm;p26_matriarch_ma_atgm;p26_roc_direct_roc_atgm;p26_roc_roc_atgm;pt14_ixion_kornet;tower_kornet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1</v>
      </c>
      <c r="I15" t="inlineStr">
        <is>
          <t>pt14_co_spike</t>
        </is>
      </c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boss_minigun;bunker_pkm;mg_coax;mg_coax_long;minigun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1</v>
      </c>
      <c r="I29" t="inlineStr">
        <is>
          <t>scylla_2m7</t>
        </is>
      </c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11</v>
      </c>
      <c r="I32" t="inlineStr">
        <is>
          <t>aa_25_triple;aa_25_triple_ap;autocannon_25;autocannon_25_flak;fighter_cannon;fighter_cannon_ap;gunship_25mm;gunship_25mm_flak;pt14_dd_v25;tower_ac25;tower_ac25_flak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29</v>
      </c>
      <c r="I33" t="inlineStr">
        <is>
          <t>autocannon_30;autocannon_30_flak;boss_heli_gun;boss_heli_gun_flak;ciws_aa;ciws_aa_flak;gau_gatling;heli_gun;heli_gun_flak;hover_ciws;hover_ciws_flak;hq_flak;hq_flak_ap;ifv_30;ifv_30_flak;jet_cannon;jet_cannon_flak;p26_jotunn_tiny_twin_30_flak;p26_matriarch_sec_autocannon_30;p26_roc_close_twin_30_bmpt;pt14_ixion_30;pt14_sb_v30;scylla_ak230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13</v>
      </c>
      <c r="I34" t="inlineStr">
        <is>
          <t>boss_flak;boss_flak_ap;flak_35;flak_35_ap;nyx_millennium;p26_behemoth_close_boss_flak;p26_jotunn_close_boss_flak;p26_matriarch_close_boss_flak;p26_moloch_close_boss_flak;p26_nemesis_close_boss_flak;pt14_th_v35;twin_35_ahead;twin_35_ahead_ap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9</v>
      </c>
      <c r="I35" t="inlineStr">
        <is>
          <t>autocannon_40;autocannon_40_flak;bofors_l70;gunship_40mm;gunship_40mm_ap;gunship_40mm_flak;p26_bastion_tiny_autocannon_40;p26_icarus_close_autocannon_40;pt14_mk0_v40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12</v>
      </c>
      <c r="I36" t="inlineStr">
        <is>
          <t>airship_flak;gun_57_air;gun_57_auto;gun_57mm;gun_57mm_he;mothership_cannon;p26_daedalus_dae57;p26_daedalus_sec_dae57;p26_matriarch_tiny_mothership_cannon;p26_typhon_sec_ty57;p26_typhon_ty57;pt14_dd_v57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5</v>
      </c>
      <c r="I37" t="inlineStr">
        <is>
          <t>borer_cannon;borer_cannon_he;naval_76;naval_76_guided;pt14_co_v76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5</v>
      </c>
      <c r="I38" t="inlineStr">
        <is>
          <t>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11</v>
      </c>
      <c r="I39" t="inlineStr">
        <is>
          <t>gun_100_river;gun_105_bunker_he;gunship_105;gunship_105_guided;naval_100;naval_100_guided;p26_roc_roc105;p26_typhon_direct_ty100;p26_typhon_ty100;pt14_sb_v105;siege_gun_105_he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5</v>
      </c>
      <c r="I44" t="inlineStr">
        <is>
          <t>naval_127;naval_130_twin;p26_leviathan_direct_lev127;p26_leviathan_lev127;pt14_hp_v127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39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nyx_ags_155;p26_bastion_b155;p26_bastion_main_b155;p26_behemoth_be152;p26_behemoth_main_be152;p26_leviathan_lev155;p26_leviathan_sec_lev155;p26_nemesis_main_ne152;p26_nemesis_ne152;pt14_hp_155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7</v>
      </c>
      <c r="I47" t="inlineStr">
        <is>
          <t>boss_howitzer;boss_howitzer_guided;cruiser_203;cruiser_203_guided;gun_203_siege;p26_jotunn_jo203;pt14_co_203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2</v>
      </c>
      <c r="I51" t="inlineStr">
        <is>
          <t>hydra_club_s;leviathan_cruise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2</v>
      </c>
      <c r="I55" t="inlineStr">
        <is>
          <t>cruise_missile_ground;nyx_tomahawk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2</v>
      </c>
      <c r="I67" t="inlineStr">
        <is>
          <t>laser_50kw;pt14_th_pd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3</v>
      </c>
      <c r="I72" t="inlineStr">
        <is>
          <t>p26_icarus_direct_ic_laser;p26_icarus_ic_laser;pt14_hp_vlaser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3</v>
      </c>
      <c r="I77" t="inlineStr">
        <is>
          <t>anti_ship_missile;pt14_hp_nsm;scylla_kh35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11</v>
      </c>
      <c r="I87" t="inlineStr">
        <is>
          <t>boss_rockets;grad_cluster;grad_rockets;p26_behemoth_be_rockets;p26_behemoth_sec_be_rockets;p26_nemesis_sec_boss_rockets;pt14_ixion_grad;pt14_train_grad;turret_rockets;turret_rockets_cluster;turret_thermobaric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secondRounds.families[17]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secondRounds.families[10]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3</v>
      </c>
      <c r="F9" t="inlineStr">
        <is>
          <t>mortar_bomb</t>
        </is>
      </c>
      <c r="G9" t="n">
        <v>1.3333</v>
      </c>
      <c r="H9" t="n">
        <v>40</v>
      </c>
      <c r="I9" t="n">
        <v>1.2</v>
      </c>
      <c r="J9" t="n">
        <v>543</v>
      </c>
      <c r="K9" t="n">
        <v>9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mm","projectileSpeed":40,"splash":9,"projectileModel":"mortar_bomb","roundWeight":543,"roundLength":1.2,"projectileScale":1.3333}</t>
        </is>
      </c>
    </row>
    <row r="10">
      <c r="A10" t="inlineStr">
        <is>
          <t>2b11_120_mm</t>
        </is>
      </c>
      <c r="B10" t="inlineStr">
        <is>
          <t>2B11 120 mm</t>
        </is>
      </c>
      <c r="C10" t="inlineStr">
        <is>
          <t>weaponFamilies</t>
        </is>
      </c>
      <c r="D10" t="n">
        <v>2</v>
      </c>
      <c r="F10" t="inlineStr">
        <is>
          <t>mortar_bomb</t>
        </is>
      </c>
      <c r="H10" t="n">
        <v>45</v>
      </c>
      <c r="K10" t="n">
        <v>5</v>
      </c>
      <c r="L10" t="inlineStr">
        <is>
          <t>Assets/MachineBrigade/Resources/Data/balance.json: weaponFamilies[3]</t>
        </is>
      </c>
      <c r="M10" t="inlineStr">
        <is>
          <t>{"id":"2b11_120_mm","real":"2B11 120 mm","projectileSpeed":45,"splash":5,"projectileModel":"mortar_bomb"}</t>
        </is>
      </c>
    </row>
    <row r="11">
      <c r="A11" t="inlineStr">
        <is>
          <t>9m120_ataka</t>
        </is>
      </c>
      <c r="B11" t="inlineStr">
        <is>
          <t>9M120 Ataka</t>
        </is>
      </c>
      <c r="C11" t="inlineStr">
        <is>
          <t>weaponFamilies</t>
        </is>
      </c>
      <c r="D11" t="n">
        <v>0</v>
      </c>
      <c r="F11" t="inlineStr">
        <is>
          <t>atgm_ataka</t>
        </is>
      </c>
      <c r="H11" t="n">
        <v>120</v>
      </c>
      <c r="K11" t="n">
        <v>0</v>
      </c>
      <c r="L11" t="inlineStr">
        <is>
          <t>Assets/MachineBrigade/Resources/Data/balance.json: weaponFamilies[5]</t>
        </is>
      </c>
      <c r="M11" t="inlineStr">
        <is>
          <t>{"id":"9m120_ataka","real":"9M120 Ataka","projectileSpeed":120,"splash":0,"projectileModel":"atgm_ataka"}</t>
        </is>
      </c>
    </row>
    <row r="12">
      <c r="A12" t="inlineStr">
        <is>
          <t>9m133_kornet</t>
        </is>
      </c>
      <c r="B12" t="inlineStr">
        <is>
          <t>9M133 Kornet</t>
        </is>
      </c>
      <c r="C12" t="inlineStr">
        <is>
          <t>weaponFamilies</t>
        </is>
      </c>
      <c r="D12" t="n">
        <v>7</v>
      </c>
      <c r="F12" t="inlineStr">
        <is>
          <t>atgm_kornet</t>
        </is>
      </c>
      <c r="G12" t="n">
        <v>0.7385</v>
      </c>
      <c r="H12" t="n">
        <v>80</v>
      </c>
      <c r="I12" t="n">
        <v>0.96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{"id":"9m133_kornet","real":"9M133 Kornet","projectileSpeed":80,"splash":0,"projectileModel":"atgm_kornet","roundLength":0.96,"projectileScale":0.7385}</t>
        </is>
      </c>
    </row>
    <row r="13">
      <c r="A13" t="inlineStr">
        <is>
          <t>9m317_buk</t>
        </is>
      </c>
      <c r="B13" t="inlineStr">
        <is>
          <t>9M317 Buk</t>
        </is>
      </c>
      <c r="C13" t="inlineStr">
        <is>
          <t>weaponFamilies</t>
        </is>
      </c>
      <c r="D13" t="n">
        <v>2</v>
      </c>
      <c r="F13" t="inlineStr">
        <is>
          <t>buk</t>
        </is>
      </c>
      <c r="G13" t="n">
        <v>1.2333</v>
      </c>
      <c r="H13" t="n">
        <v>145</v>
      </c>
      <c r="I13" t="n">
        <v>4.44</v>
      </c>
      <c r="K13" t="n">
        <v>2</v>
      </c>
      <c r="L13" t="inlineStr">
        <is>
          <t>Assets/MachineBrigade/Resources/Data/balance.json: weaponFamilies[7]</t>
        </is>
      </c>
      <c r="M13" t="inlineStr">
        <is>
          <t>{"id":"9m317_buk","real":"9M317 Buk","projectileSpeed":145,"splash":2,"projectileModel":"buk","roundLength":4.44,"projectileScale":1.2333}</t>
        </is>
      </c>
    </row>
    <row r="14">
      <c r="A14" t="inlineStr">
        <is>
          <t>agm_88_harm</t>
        </is>
      </c>
      <c r="B14" t="inlineStr">
        <is>
          <t>AGM-88 HARM</t>
        </is>
      </c>
      <c r="C14" t="inlineStr">
        <is>
          <t>weaponFamilies</t>
        </is>
      </c>
      <c r="D14" t="n">
        <v>0</v>
      </c>
      <c r="H14" t="n">
        <v>210</v>
      </c>
      <c r="I14" t="n">
        <v>2.09</v>
      </c>
      <c r="J14" t="n">
        <v>360</v>
      </c>
      <c r="K14" t="n">
        <v>4</v>
      </c>
      <c r="L14" t="inlineStr">
        <is>
          <t>Assets/MachineBrigade/Resources/Data/balance.json: weaponFamilies[40]</t>
        </is>
      </c>
      <c r="M14" t="inlineStr">
        <is>
          <t>{"id":"agm_88_harm","real":"AGM-88 HARM","projectileSpeed":210,"splash":4,"roundWeight":360,"roundLength":2.09}</t>
        </is>
      </c>
    </row>
    <row r="15">
      <c r="A15" t="inlineStr">
        <is>
          <t>agm_114_hellfire</t>
        </is>
      </c>
      <c r="B15" t="inlineStr">
        <is>
          <t>AGM-114 Hellfire</t>
        </is>
      </c>
      <c r="C15" t="inlineStr">
        <is>
          <t>weaponFamilies</t>
        </is>
      </c>
      <c r="D15" t="n">
        <v>3</v>
      </c>
      <c r="F15" t="inlineStr">
        <is>
          <t>hellfire_longbow</t>
        </is>
      </c>
      <c r="H15" t="n">
        <v>80</v>
      </c>
      <c r="J15" t="n">
        <v>270</v>
      </c>
      <c r="K15" t="n">
        <v>0</v>
      </c>
      <c r="L15" t="inlineStr">
        <is>
          <t>Assets/MachineBrigade/Resources/Data/balance.json: weaponFamilies[8]</t>
        </is>
      </c>
      <c r="M15" t="inlineStr">
        <is>
          <t>{"id":"agm_114_hellfire","real":"AGM-114 Hellfire","projectileSpeed":80,"splash":0,"projectileModel":"hellfire_longbow","roundWeight":270}</t>
        </is>
      </c>
    </row>
    <row r="16">
      <c r="A16" t="inlineStr">
        <is>
          <t>aim_9_sidewinder</t>
        </is>
      </c>
      <c r="B16" t="inlineStr">
        <is>
          <t>AIM-9 Sidewinder</t>
        </is>
      </c>
      <c r="C16" t="inlineStr">
        <is>
          <t>weaponFamilies</t>
        </is>
      </c>
      <c r="D16" t="n">
        <v>1</v>
      </c>
      <c r="F16" t="inlineStr">
        <is>
          <t>aim9</t>
        </is>
      </c>
      <c r="H16" t="n">
        <v>115</v>
      </c>
      <c r="J16" t="n">
        <v>260</v>
      </c>
      <c r="K16" t="n">
        <v>1.5</v>
      </c>
      <c r="L16" t="inlineStr">
        <is>
          <t>Assets/MachineBrigade/Resources/Data/balance.json: weaponFamilies[9]</t>
        </is>
      </c>
      <c r="M16" t="inlineStr">
        <is>
          <t>{"id":"aim_9_sidewinder","real":"AIM-9 Sidewinder","projectileSpeed":115,"splash":1.5,"projectileModel":"aim9","roundWeight":260}</t>
        </is>
      </c>
    </row>
    <row r="17">
      <c r="A17" t="inlineStr">
        <is>
          <t>ak_630_30_mm</t>
        </is>
      </c>
      <c r="B17" t="inlineStr">
        <is>
          <t>AK-630 30 mm</t>
        </is>
      </c>
      <c r="C17" t="inlineStr">
        <is>
          <t>weaponFamilies</t>
        </is>
      </c>
      <c r="D17" t="n">
        <v>2</v>
      </c>
      <c r="H17" t="n">
        <v>300</v>
      </c>
      <c r="K17" t="n">
        <v>0</v>
      </c>
      <c r="L17" t="inlineStr">
        <is>
          <t>Assets/MachineBrigade/Resources/Data/balance.json: weaponFamilies[10]</t>
        </is>
      </c>
      <c r="M17" t="inlineStr">
        <is>
          <t>{"id":"ak_630_30_mm","real":"AK-630 30 mm","projectileSpeed":300,"splash":0}</t>
        </is>
      </c>
    </row>
    <row r="18">
      <c r="A18" t="inlineStr">
        <is>
          <t>ak_630_30_mm_air_burst</t>
        </is>
      </c>
      <c r="B18" t="inlineStr">
        <is>
          <t>AK-630 30 mm air-burst</t>
        </is>
      </c>
      <c r="C18" t="inlineStr">
        <is>
          <t>secondRounds.families</t>
        </is>
      </c>
      <c r="D18" t="n">
        <v>2</v>
      </c>
      <c r="H18" t="n">
        <v>300</v>
      </c>
      <c r="K18" t="n">
        <v>2.5</v>
      </c>
      <c r="L18" t="inlineStr">
        <is>
          <t>Assets/MachineBrigade/Resources/Data/balance.json: secondRounds.families[9]</t>
        </is>
      </c>
      <c r="M18" t="inlineStr">
        <is>
          <t>{"id":"ak_630_30_mm_air_burst","real":"AK-630 30 mm air-burst","projectileSpeed":300,"splash":2.5}</t>
        </is>
      </c>
    </row>
    <row r="19">
      <c r="A19" t="inlineStr">
        <is>
          <t>apkws</t>
        </is>
      </c>
      <c r="B19" t="inlineStr">
        <is>
          <t>APKWS (laser-guided Hydra 70)</t>
        </is>
      </c>
      <c r="C19" t="inlineStr">
        <is>
          <t>weaponFamilies</t>
        </is>
      </c>
      <c r="D19" t="n">
        <v>1</v>
      </c>
      <c r="F19" t="inlineStr">
        <is>
          <t>apkws</t>
        </is>
      </c>
      <c r="H19" t="n">
        <v>85</v>
      </c>
      <c r="I19" t="n">
        <v>0.8</v>
      </c>
      <c r="J19" t="n">
        <v>15</v>
      </c>
      <c r="K19" t="n">
        <v>2</v>
      </c>
      <c r="L19" t="inlineStr">
        <is>
          <t>Assets/MachineBrigade/Resources/Data/balance.json: weaponFamilies[41]</t>
        </is>
      </c>
      <c r="M19" t="inlineStr">
        <is>
          <t>{"id":"apkws","real":"APKWS (laser-guided Hydra 70)","projectileSpeed":85,"splash":2,"projectileModel":"apkws","roundWeight":15,"roundLength":0.8}</t>
        </is>
      </c>
    </row>
    <row r="20">
      <c r="A20" t="inlineStr">
        <is>
          <t>bm_21_grad_122_mm</t>
        </is>
      </c>
      <c r="B20" t="inlineStr">
        <is>
          <t>BM-21 Grad 122 mm</t>
        </is>
      </c>
      <c r="C20" t="inlineStr">
        <is>
          <t>weaponFamilies</t>
        </is>
      </c>
      <c r="D20" t="n">
        <v>2</v>
      </c>
      <c r="F20" t="inlineStr">
        <is>
          <t>grad</t>
        </is>
      </c>
      <c r="H20" t="n">
        <v>80</v>
      </c>
      <c r="J20" t="n">
        <v>66</v>
      </c>
      <c r="K20" t="n">
        <v>4.5</v>
      </c>
      <c r="L20" t="inlineStr">
        <is>
          <t>Assets/MachineBrigade/Resources/Data/balance.json: weaponFamilies[11]</t>
        </is>
      </c>
      <c r="M20" t="inlineStr">
        <is>
          <t>{"id":"bm_21_grad_122_mm","real":"BM-21 Grad 122 mm","projectileSpeed":80,"splash":4.5,"projectileModel":"grad","roundWeight":66}</t>
        </is>
      </c>
    </row>
    <row r="21">
      <c r="A21" t="inlineStr">
        <is>
          <t>bm_21_grad_122_mm_2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grad_cluster</t>
        </is>
      </c>
      <c r="H21" t="n">
        <v>80</v>
      </c>
      <c r="J21" t="n">
        <v>66</v>
      </c>
      <c r="K21" t="n">
        <v>4</v>
      </c>
      <c r="L21" t="inlineStr">
        <is>
          <t>Assets/MachineBrigade/Resources/Data/balance.json: weaponFamilies[12]</t>
        </is>
      </c>
      <c r="M21" t="inlineStr">
        <is>
          <t>{"id":"bm_21_grad_122_mm_2","real":"BM-21 Grad 122 mm","projectileSpeed":80,"splash":4,"projectileModel":"grad_cluster","roundWeight":66}</t>
        </is>
      </c>
    </row>
    <row r="22">
      <c r="A22" t="inlineStr">
        <is>
          <t>bofors_40_mm_l_70</t>
        </is>
      </c>
      <c r="B22" t="inlineStr">
        <is>
          <t>Bofors 40 mm L/70</t>
        </is>
      </c>
      <c r="C22" t="inlineStr">
        <is>
          <t>weaponFamilies</t>
        </is>
      </c>
      <c r="D22" t="n">
        <v>1</v>
      </c>
      <c r="H22" t="n">
        <v>220</v>
      </c>
      <c r="J22" t="n">
        <v>51</v>
      </c>
      <c r="K22" t="n">
        <v>2.5</v>
      </c>
      <c r="L22" t="inlineStr">
        <is>
          <t>Assets/MachineBrigade/Resources/Data/balance.json: weaponFamilies[36]</t>
        </is>
      </c>
      <c r="M22" t="inlineStr">
        <is>
          <t>{"id":"bofors_40_mm_l_70","real":"Bofors 40 mm L/70","projectileSpeed":220,"splash":2.5,"roundWeight":51}</t>
        </is>
      </c>
    </row>
    <row r="23">
      <c r="A23" t="inlineStr">
        <is>
          <t>cbu_97_sfw</t>
        </is>
      </c>
      <c r="B23" t="inlineStr">
        <is>
          <t>CBU-97 Sensor Fuzed Weapon</t>
        </is>
      </c>
      <c r="C23" t="inlineStr">
        <is>
          <t>weaponFamilies</t>
        </is>
      </c>
      <c r="D23" t="n">
        <v>0</v>
      </c>
      <c r="H23" t="n">
        <v>35</v>
      </c>
      <c r="I23" t="n">
        <v>1.17</v>
      </c>
      <c r="J23" t="n">
        <v>450</v>
      </c>
      <c r="K23" t="n">
        <v>3</v>
      </c>
      <c r="L23" t="inlineStr">
        <is>
          <t>Assets/MachineBrigade/Resources/Data/balance.json: weaponFamilies[37]</t>
        </is>
      </c>
      <c r="M23" t="inlineStr">
        <is>
          <t>{"id":"cbu_97_sfw","real":"CBU-97 Sensor Fuzed Weapon","projectileSpeed":35,"splash":3,"roundWeight":450,"roundLength":1.17}</t>
        </is>
      </c>
    </row>
    <row r="24">
      <c r="A24" t="inlineStr">
        <is>
          <t>coyote_block_2</t>
        </is>
      </c>
      <c r="B24" t="inlineStr">
        <is>
          <t>Coyote Block 2</t>
        </is>
      </c>
      <c r="C24" t="inlineStr">
        <is>
          <t>weaponFamilies</t>
        </is>
      </c>
      <c r="D24" t="n">
        <v>0</v>
      </c>
      <c r="H24" t="n">
        <v>40</v>
      </c>
      <c r="I24" t="n">
        <v>0.8</v>
      </c>
      <c r="J24" t="n">
        <v>5</v>
      </c>
      <c r="K24" t="n">
        <v>2</v>
      </c>
      <c r="L24" t="inlineStr">
        <is>
          <t>Assets/MachineBrigade/Resources/Data/balance.json: weaponFamilies[42]</t>
        </is>
      </c>
      <c r="M24" t="inlineStr">
        <is>
          <t>{"id":"coyote_block_2","real":"Coyote Block 2","projectileSpeed":40,"splash":2,"roundWeight":5,"roundLength":0.8}</t>
        </is>
      </c>
    </row>
    <row r="25">
      <c r="A25" t="inlineStr">
        <is>
          <t>fpv_drone</t>
        </is>
      </c>
      <c r="B25" t="inlineStr">
        <is>
          <t>FPV drone</t>
        </is>
      </c>
      <c r="C25" t="inlineStr">
        <is>
          <t>weaponFamilies</t>
        </is>
      </c>
      <c r="D25" t="n">
        <v>5</v>
      </c>
      <c r="F25" t="inlineStr">
        <is>
          <t>fpv_drone</t>
        </is>
      </c>
      <c r="G25" t="n">
        <v>1.4551</v>
      </c>
      <c r="H25" t="n">
        <v>26</v>
      </c>
      <c r="I25" t="n">
        <v>0.8</v>
      </c>
      <c r="K25" t="n">
        <v>2.5</v>
      </c>
      <c r="L25" t="inlineStr">
        <is>
          <t>Assets/MachineBrigade/Resources/Data/balance.json: weaponFamilies[13]</t>
        </is>
      </c>
      <c r="M25" t="inlineStr">
        <is>
          <t>{"id":"fpv_drone","real":"FPV drone","projectileSpeed":26,"splash":2.5,"projectileModel":"fpv_drone","roundLength":0.8,"projectileScale":1.4551}</t>
        </is>
      </c>
    </row>
    <row r="26">
      <c r="A26" t="inlineStr">
        <is>
          <t>gbu_28</t>
        </is>
      </c>
      <c r="B26" t="inlineStr">
        <is>
          <t>GBU-28</t>
        </is>
      </c>
      <c r="C26" t="inlineStr">
        <is>
          <t>weaponFamilies</t>
        </is>
      </c>
      <c r="D26" t="n">
        <v>0</v>
      </c>
      <c r="H26" t="n">
        <v>35</v>
      </c>
      <c r="I26" t="n">
        <v>2.92</v>
      </c>
      <c r="J26" t="n">
        <v>2100</v>
      </c>
      <c r="K26" t="n">
        <v>6</v>
      </c>
      <c r="L26" t="inlineStr">
        <is>
          <t>Assets/MachineBrigade/Resources/Data/balance.json: weaponFamilies[38]</t>
        </is>
      </c>
      <c r="M26" t="inlineStr">
        <is>
          <t>{"id":"gbu_28","real":"GBU-28","projectileSpeed":35,"splash":6,"roundWeight":2100,"roundLength":2.92}</t>
        </is>
      </c>
    </row>
    <row r="27">
      <c r="A27" t="inlineStr">
        <is>
          <t>hydra_70_mm</t>
        </is>
      </c>
      <c r="B27" t="inlineStr">
        <is>
          <t>Hydra 70 mm</t>
        </is>
      </c>
      <c r="C27" t="inlineStr">
        <is>
          <t>weaponFamilies</t>
        </is>
      </c>
      <c r="D27" t="n">
        <v>2</v>
      </c>
      <c r="F27" t="inlineStr">
        <is>
          <t>hydra</t>
        </is>
      </c>
      <c r="H27" t="n">
        <v>95</v>
      </c>
      <c r="J27" t="n">
        <v>61</v>
      </c>
      <c r="K27" t="n">
        <v>3</v>
      </c>
      <c r="L27" t="inlineStr">
        <is>
          <t>Assets/MachineBrigade/Resources/Data/balance.json: weaponFamilies[14]</t>
        </is>
      </c>
      <c r="M27" t="inlineStr">
        <is>
          <t>{"id":"hydra_70_mm","real":"Hydra 70 mm","projectileSpeed":95,"splash":3,"projectileModel":"hydra","roundWeight":61}</t>
        </is>
      </c>
    </row>
    <row r="28">
      <c r="A28" t="inlineStr">
        <is>
          <t>hydra_70_mm_jet</t>
        </is>
      </c>
      <c r="B28" t="inlineStr">
        <is>
          <t>Hydra 70 mm</t>
        </is>
      </c>
      <c r="C28" t="inlineStr">
        <is>
          <t>weaponFamilies</t>
        </is>
      </c>
      <c r="D28" t="n">
        <v>1</v>
      </c>
      <c r="F28" t="inlineStr">
        <is>
          <t>hydra</t>
        </is>
      </c>
      <c r="H28" t="n">
        <v>100</v>
      </c>
      <c r="J28" t="n">
        <v>61</v>
      </c>
      <c r="K28" t="n">
        <v>3</v>
      </c>
      <c r="L28" t="inlineStr">
        <is>
          <t>Assets/MachineBrigade/Resources/Data/balance.json: weaponFamilies[15]</t>
        </is>
      </c>
      <c r="M28" t="inlineStr">
        <is>
          <t>{"id":"hydra_70_mm_jet","real":"Hydra 70 mm","projectileSpeed":100,"splash":3,"projectileModel":"hydra","roundWeight":61}</t>
        </is>
      </c>
    </row>
    <row r="29">
      <c r="A29" t="inlineStr">
        <is>
          <t>l7_105_mm</t>
        </is>
      </c>
      <c r="B29" t="inlineStr">
        <is>
          <t>L7 105 mm</t>
        </is>
      </c>
      <c r="C29" t="inlineStr">
        <is>
          <t>weaponFamilies</t>
        </is>
      </c>
      <c r="D29" t="n">
        <v>3</v>
      </c>
      <c r="H29" t="n">
        <v>190</v>
      </c>
      <c r="K29" t="n">
        <v>1.5</v>
      </c>
      <c r="L29" t="inlineStr">
        <is>
          <t>Assets/MachineBrigade/Resources/Data/balance.json: weaponFamilies[16]</t>
        </is>
      </c>
      <c r="M29" t="inlineStr">
        <is>
          <t>{"id":"l7_105_mm","real":"L7 105 mm","projectileSpeed":190,"splash":1.5}</t>
        </is>
      </c>
    </row>
    <row r="30">
      <c r="A30" t="inlineStr">
        <is>
          <t>l7_105_mm_he</t>
        </is>
      </c>
      <c r="B30" t="inlineStr">
        <is>
          <t>L7 105 mm HE</t>
        </is>
      </c>
      <c r="C30" t="inlineStr">
        <is>
          <t>secondRounds.families</t>
        </is>
      </c>
      <c r="D30" t="n">
        <v>1</v>
      </c>
      <c r="H30" t="n">
        <v>190</v>
      </c>
      <c r="K30" t="n">
        <v>3</v>
      </c>
      <c r="L30" t="inlineStr">
        <is>
          <t>Assets/MachineBrigade/Resources/Data/balance.json: secondRounds.families[11]</t>
        </is>
      </c>
      <c r="M30" t="inlineStr">
        <is>
          <t>{"id":"l7_105_mm_he","real":"L7 105 mm HE","projectileSpeed":190,"splash":3}</t>
        </is>
      </c>
    </row>
    <row r="31">
      <c r="A31" t="inlineStr">
        <is>
          <t>l7_105_mm_he_bunker</t>
        </is>
      </c>
      <c r="B31" t="inlineStr">
        <is>
          <t>L7 105 mm HE</t>
        </is>
      </c>
      <c r="C31" t="inlineStr">
        <is>
          <t>secondRounds.families</t>
        </is>
      </c>
      <c r="D31" t="n">
        <v>1</v>
      </c>
      <c r="H31" t="n">
        <v>190</v>
      </c>
      <c r="K31" t="n">
        <v>5.5</v>
      </c>
      <c r="L31" t="inlineStr">
        <is>
          <t>Assets/MachineBrigade/Resources/Data/balance.json: secondRounds.families[12]</t>
        </is>
      </c>
      <c r="M31" t="inlineStr">
        <is>
          <t>{"id":"l7_105_mm_he_bunker","real":"L7 105 mm HE","projectileSpeed":190,"splash":5.5}</t>
        </is>
      </c>
    </row>
    <row r="32">
      <c r="A32" t="inlineStr">
        <is>
          <t>m2_browning_12_7_mm</t>
        </is>
      </c>
      <c r="B32" t="inlineStr">
        <is>
          <t>M2 Browning 12.7 mm</t>
        </is>
      </c>
      <c r="C32" t="inlineStr">
        <is>
          <t>weaponFamilies</t>
        </is>
      </c>
      <c r="D32" t="n">
        <v>7</v>
      </c>
      <c r="H32" t="n">
        <v>230</v>
      </c>
      <c r="J32" t="n">
        <v>11</v>
      </c>
      <c r="K32" t="n">
        <v>0</v>
      </c>
      <c r="L32" t="inlineStr">
        <is>
          <t>Assets/MachineBrigade/Resources/Data/balance.json: weaponFamilies[17]</t>
        </is>
      </c>
      <c r="M32" t="inlineStr">
        <is>
          <t>{"id":"m2_browning_12_7_mm","real":"M2 Browning 12.7 mm","projectileSpeed":230,"splash":0,"roundWeight":11}</t>
        </is>
      </c>
    </row>
    <row r="33">
      <c r="A33" t="inlineStr">
        <is>
          <t>m2_browning_12_7_mm_api</t>
        </is>
      </c>
      <c r="B33" t="inlineStr">
        <is>
          <t>M2 Browning 12.7 mm API</t>
        </is>
      </c>
      <c r="C33" t="inlineStr">
        <is>
          <t>secondRounds.families</t>
        </is>
      </c>
      <c r="D33" t="n">
        <v>7</v>
      </c>
      <c r="H33" t="n">
        <v>230</v>
      </c>
      <c r="J33" t="n">
        <v>11</v>
      </c>
      <c r="K33" t="n">
        <v>0</v>
      </c>
      <c r="L33" t="inlineStr">
        <is>
          <t>Assets/MachineBrigade/Resources/Data/balance.json: secondRounds.families[16]</t>
        </is>
      </c>
      <c r="M33" t="inlineStr">
        <is>
          <t>{"id":"m2_browning_12_7_mm_api","real":"M2 Browning 12.7 mm API","projectileSpeed":230,"splash":0,"roundWeight":11}</t>
        </is>
      </c>
    </row>
    <row r="34">
      <c r="A34" t="inlineStr">
        <is>
          <t>m31_gmlrs_227_mm</t>
        </is>
      </c>
      <c r="B34" t="inlineStr">
        <is>
          <t>M31 GMLRS 227 mm</t>
        </is>
      </c>
      <c r="C34" t="inlineStr">
        <is>
          <t>weaponFamilies</t>
        </is>
      </c>
      <c r="D34" t="n">
        <v>2</v>
      </c>
      <c r="F34" t="inlineStr">
        <is>
          <t>gmlrs</t>
        </is>
      </c>
      <c r="H34" t="n">
        <v>85</v>
      </c>
      <c r="J34" t="n">
        <v>160</v>
      </c>
      <c r="K34" t="n">
        <v>4.5</v>
      </c>
      <c r="L34" t="inlineStr">
        <is>
          <t>Assets/MachineBrigade/Resources/Data/balance.json: weaponFamilies[26]</t>
        </is>
      </c>
      <c r="M34" t="inlineStr">
        <is>
          <t>{"id":"m31_gmlrs_227_mm","real":"M31 GMLRS 227 mm","projectileSpeed":85,"splash":4.5,"projectileModel":"gmlrs","roundWeight":160}</t>
        </is>
      </c>
    </row>
    <row r="35">
      <c r="A35" t="inlineStr">
        <is>
          <t>m230_30_mm</t>
        </is>
      </c>
      <c r="B35" t="inlineStr">
        <is>
          <t>M230 30 mm</t>
        </is>
      </c>
      <c r="C35" t="inlineStr">
        <is>
          <t>weaponFamilies</t>
        </is>
      </c>
      <c r="D35" t="n">
        <v>1</v>
      </c>
      <c r="H35" t="n">
        <v>220</v>
      </c>
      <c r="K35" t="n">
        <v>0</v>
      </c>
      <c r="L35" t="inlineStr">
        <is>
          <t>Assets/MachineBrigade/Resources/Data/balance.json: weaponFamilies[18]</t>
        </is>
      </c>
      <c r="M35" t="inlineStr">
        <is>
          <t>{"id":"m230_30_mm","real":"M230 30 mm","projectileSpeed":220,"splash":0}</t>
        </is>
      </c>
    </row>
    <row r="36">
      <c r="A36" t="inlineStr">
        <is>
          <t>m230_30_mm_air_burst</t>
        </is>
      </c>
      <c r="B36" t="inlineStr">
        <is>
          <t>M230 30 mm air-burst</t>
        </is>
      </c>
      <c r="C36" t="inlineStr">
        <is>
          <t>secondRounds.families</t>
        </is>
      </c>
      <c r="D36" t="n">
        <v>2</v>
      </c>
      <c r="H36" t="n">
        <v>220</v>
      </c>
      <c r="K36" t="n">
        <v>2.5</v>
      </c>
      <c r="L36" t="inlineStr">
        <is>
          <t>Assets/MachineBrigade/Resources/Data/balance.json: secondRounds.families[4]</t>
        </is>
      </c>
      <c r="M36" t="inlineStr">
        <is>
          <t>{"id":"m230_30_mm_air_burst","real":"M230 30 mm air-burst","projectileSpeed":220,"splash":2.5}</t>
        </is>
      </c>
    </row>
    <row r="37">
      <c r="A37" t="inlineStr">
        <is>
          <t>m242_bushmaster_25_mm</t>
        </is>
      </c>
      <c r="B37" t="inlineStr">
        <is>
          <t>M242 Bushmaster 25 mm</t>
        </is>
      </c>
      <c r="C37" t="inlineStr">
        <is>
          <t>weaponFamilies</t>
        </is>
      </c>
      <c r="D37" t="n">
        <v>2</v>
      </c>
      <c r="H37" t="n">
        <v>210</v>
      </c>
      <c r="K37" t="n">
        <v>0</v>
      </c>
      <c r="L37" t="inlineStr">
        <is>
          <t>Assets/MachineBrigade/Resources/Data/balance.json: weaponFamilies[19]</t>
        </is>
      </c>
      <c r="M37" t="inlineStr">
        <is>
          <t>{"id":"m242_bushmaster_25_mm","real":"M242 Bushmaster 25 mm","projectileSpeed":210,"splash":0}</t>
        </is>
      </c>
    </row>
    <row r="38">
      <c r="A38" t="inlineStr">
        <is>
          <t>m242_bushmaster_25_mm_air_burst</t>
        </is>
      </c>
      <c r="B38" t="inlineStr">
        <is>
          <t>M242 Bushmaster 25 mm air-burst</t>
        </is>
      </c>
      <c r="C38" t="inlineStr">
        <is>
          <t>secondRounds.families</t>
        </is>
      </c>
      <c r="D38" t="n">
        <v>2</v>
      </c>
      <c r="H38" t="n">
        <v>210</v>
      </c>
      <c r="J38" t="n">
        <v>22</v>
      </c>
      <c r="K38" t="n">
        <v>2</v>
      </c>
      <c r="L38" t="inlineStr">
        <is>
          <t>Assets/MachineBrigade/Resources/Data/balance.json: secondRounds.families[0]</t>
        </is>
      </c>
      <c r="M38" t="inlineStr">
        <is>
          <t>{"id":"m242_bushmaster_25_mm_air_burst","real":"M242 Bushmaster 25 mm air-burst","projectileSpeed":210,"splash":2,"roundWeight":22}</t>
        </is>
      </c>
    </row>
    <row r="39">
      <c r="A39" t="inlineStr">
        <is>
          <t>m284_155_mm</t>
        </is>
      </c>
      <c r="B39" t="inlineStr">
        <is>
          <t>M284 155 mm</t>
        </is>
      </c>
      <c r="C39" t="inlineStr">
        <is>
          <t>weaponFamilies</t>
        </is>
      </c>
      <c r="D39" t="n">
        <v>3</v>
      </c>
      <c r="F39" t="inlineStr">
        <is>
          <t>shell_155</t>
        </is>
      </c>
      <c r="G39" t="n">
        <v>0.7272999999999999</v>
      </c>
      <c r="H39" t="n">
        <v>150</v>
      </c>
      <c r="I39" t="n">
        <v>0.8</v>
      </c>
      <c r="K39" t="n">
        <v>7</v>
      </c>
      <c r="L39" t="inlineStr">
        <is>
          <t>Assets/MachineBrigade/Resources/Data/balance.json: weaponFamilies[20]</t>
        </is>
      </c>
      <c r="M39" t="inlineStr">
        <is>
          <t>{"id":"m284_155_mm","real":"M284 155 mm","projectileSpeed":150,"splash":7,"projectileModel":"shell_155","roundLength":0.8,"projectileScale":0.7273}</t>
        </is>
      </c>
    </row>
    <row r="40">
      <c r="A40" t="inlineStr">
        <is>
          <t>m284_155_mm_2</t>
        </is>
      </c>
      <c r="B40" t="inlineStr">
        <is>
          <t>M284 155 mm</t>
        </is>
      </c>
      <c r="C40" t="inlineStr">
        <is>
          <t>weaponFamilies</t>
        </is>
      </c>
      <c r="D40" t="n">
        <v>2</v>
      </c>
      <c r="F40" t="inlineStr">
        <is>
          <t>shell_155</t>
        </is>
      </c>
      <c r="G40" t="n">
        <v>0.7272999999999999</v>
      </c>
      <c r="H40" t="n">
        <v>55</v>
      </c>
      <c r="I40" t="n">
        <v>0.8</v>
      </c>
      <c r="K40" t="n">
        <v>7</v>
      </c>
      <c r="L40" t="inlineStr">
        <is>
          <t>Assets/MachineBrigade/Resources/Data/balance.json: weaponFamilies[22]</t>
        </is>
      </c>
      <c r="M40" t="inlineStr">
        <is>
          <t>{"id":"m284_155_mm_2","real":"M284 155 mm","projectileSpeed":55,"splash":7,"projectileModel":"shell_155","roundLength":0.8,"projectileScale":0.7273}</t>
        </is>
      </c>
    </row>
    <row r="41">
      <c r="A41" t="inlineStr">
        <is>
          <t>m284_155_mm_casemate</t>
        </is>
      </c>
      <c r="B41" t="inlineStr">
        <is>
          <t>M284 155 mm</t>
        </is>
      </c>
      <c r="C41" t="inlineStr">
        <is>
          <t>weaponFamilies</t>
        </is>
      </c>
      <c r="D41" t="n">
        <v>1</v>
      </c>
      <c r="F41" t="inlineStr">
        <is>
          <t>shell_155</t>
        </is>
      </c>
      <c r="G41" t="n">
        <v>0.7272999999999999</v>
      </c>
      <c r="H41" t="n">
        <v>60</v>
      </c>
      <c r="I41" t="n">
        <v>0.8</v>
      </c>
      <c r="K41" t="n">
        <v>8</v>
      </c>
      <c r="L41" t="inlineStr">
        <is>
          <t>Assets/MachineBrigade/Resources/Data/balance.json: weaponFamilies[25]</t>
        </is>
      </c>
      <c r="M41" t="inlineStr">
        <is>
          <t>{"id":"m284_155_mm_casemate","real":"M284 155 mm","projectileSpeed":60,"splash":8,"projectileModel":"shell_155","roundLength":0.8,"projectileScale":0.7273}</t>
        </is>
      </c>
    </row>
    <row r="42">
      <c r="A42" t="inlineStr">
        <is>
          <t>m284_155_mm_coastal</t>
        </is>
      </c>
      <c r="B42" t="inlineStr">
        <is>
          <t>M284 155 mm</t>
        </is>
      </c>
      <c r="C42" t="inlineStr">
        <is>
          <t>weaponFamilies</t>
        </is>
      </c>
      <c r="D42" t="n">
        <v>2</v>
      </c>
      <c r="F42" t="inlineStr">
        <is>
          <t>shell_155</t>
        </is>
      </c>
      <c r="G42" t="n">
        <v>0.7272999999999999</v>
      </c>
      <c r="H42" t="n">
        <v>70</v>
      </c>
      <c r="I42" t="n">
        <v>0.8</v>
      </c>
      <c r="K42" t="n">
        <v>7</v>
      </c>
      <c r="L42" t="inlineStr">
        <is>
          <t>Assets/MachineBrigade/Resources/Data/balance.json: weaponFamilies[21]</t>
        </is>
      </c>
      <c r="M42" t="inlineStr">
        <is>
          <t>{"id":"m284_155_mm_coastal","real":"M284 155 mm","projectileSpeed":70,"splash":7,"projectileModel":"shell_155","roundLength":0.8,"projectileScale":0.7273}</t>
        </is>
      </c>
    </row>
    <row r="43">
      <c r="A43" t="inlineStr">
        <is>
          <t>m284_155_mm_ext</t>
        </is>
      </c>
      <c r="B43" t="inlineStr">
        <is>
          <t>M284 155 mm</t>
        </is>
      </c>
      <c r="C43" t="inlineStr">
        <is>
          <t>weaponFamilies</t>
        </is>
      </c>
      <c r="D43" t="n">
        <v>1</v>
      </c>
      <c r="F43" t="inlineStr">
        <is>
          <t>shell_155</t>
        </is>
      </c>
      <c r="G43" t="n">
        <v>0.7272999999999999</v>
      </c>
      <c r="H43" t="n">
        <v>60</v>
      </c>
      <c r="I43" t="n">
        <v>0.8</v>
      </c>
      <c r="K43" t="n">
        <v>7</v>
      </c>
      <c r="L43" t="inlineStr">
        <is>
          <t>Assets/MachineBrigade/Resources/Data/balance.json: weaponFamilies[23]</t>
        </is>
      </c>
      <c r="M43" t="inlineStr">
        <is>
          <t>{"id":"m284_155_mm_ext","real":"M284 155 mm","projectileSpeed":60,"splash":7,"projectileModel":"shell_155","roundLength":0.8,"projectileScale":0.7273}</t>
        </is>
      </c>
    </row>
    <row r="44">
      <c r="A44" t="inlineStr">
        <is>
          <t>m284_155_mm_fixed</t>
        </is>
      </c>
      <c r="B44" t="inlineStr">
        <is>
          <t>M284 155 mm</t>
        </is>
      </c>
      <c r="C44" t="inlineStr">
        <is>
          <t>weaponFamilies</t>
        </is>
      </c>
      <c r="D44" t="n">
        <v>1</v>
      </c>
      <c r="F44" t="inlineStr">
        <is>
          <t>shell_155</t>
        </is>
      </c>
      <c r="G44" t="n">
        <v>0.7272999999999999</v>
      </c>
      <c r="H44" t="n">
        <v>65</v>
      </c>
      <c r="I44" t="n">
        <v>0.8</v>
      </c>
      <c r="K44" t="n">
        <v>7</v>
      </c>
      <c r="L44" t="inlineStr">
        <is>
          <t>Assets/MachineBrigade/Resources/Data/balance.json: weaponFamilies[24]</t>
        </is>
      </c>
      <c r="M44" t="inlineStr">
        <is>
          <t>{"id":"m284_155_mm_fixed","real":"M284 155 mm","projectileSpeed":65,"splash":7,"projectileModel":"shell_155","roundLength":0.8,"projectileScale":0.7273}</t>
        </is>
      </c>
    </row>
    <row r="45">
      <c r="A45" t="inlineStr">
        <is>
          <t>m284_155_mm_guided</t>
        </is>
      </c>
      <c r="B45" t="inlineStr">
        <is>
          <t>M284 155 mm guided</t>
        </is>
      </c>
      <c r="C45" t="inlineStr">
        <is>
          <t>secondRounds.families</t>
        </is>
      </c>
      <c r="D45" t="n">
        <v>1</v>
      </c>
      <c r="F45" t="inlineStr">
        <is>
          <t>shell_155</t>
        </is>
      </c>
      <c r="H45" t="n">
        <v>60</v>
      </c>
      <c r="K45" t="n">
        <v>7</v>
      </c>
      <c r="L45" t="inlineStr">
        <is>
          <t>Assets/MachineBrigade/Resources/Data/balance.json: secondRounds.families[6]</t>
        </is>
      </c>
      <c r="M45" t="inlineStr">
        <is>
          <t>{"id":"m284_155_mm_guided","real":"M284 155 mm guided","projectileSpeed":60,"splash":7,"projectileModel":"shell_155"}</t>
        </is>
      </c>
    </row>
    <row r="46">
      <c r="A46" t="inlineStr">
        <is>
          <t>m284_155_mm_guided_casemate</t>
        </is>
      </c>
      <c r="B46" t="inlineStr">
        <is>
          <t>M284 155 mm guided</t>
        </is>
      </c>
      <c r="C46" t="inlineStr">
        <is>
          <t>secondRounds.families</t>
        </is>
      </c>
      <c r="D46" t="n">
        <v>1</v>
      </c>
      <c r="F46" t="inlineStr">
        <is>
          <t>shell_155</t>
        </is>
      </c>
      <c r="H46" t="n">
        <v>65</v>
      </c>
      <c r="K46" t="n">
        <v>7</v>
      </c>
      <c r="L46" t="inlineStr">
        <is>
          <t>Assets/MachineBrigade/Resources/Data/balance.json: secondRounds.families[7]</t>
        </is>
      </c>
      <c r="M46" t="inlineStr">
        <is>
          <t>{"id":"m284_155_mm_guided_casemate","real":"M284 155 mm guided","projectileSpeed":65,"splash":7,"projectileModel":"shell_155"}</t>
        </is>
      </c>
    </row>
    <row r="47">
      <c r="A47" t="inlineStr">
        <is>
          <t>m284_155_mm_guided_coastal</t>
        </is>
      </c>
      <c r="B47" t="inlineStr">
        <is>
          <t>M284 155 mm guided</t>
        </is>
      </c>
      <c r="C47" t="inlineStr">
        <is>
          <t>secondRounds.families</t>
        </is>
      </c>
      <c r="D47" t="n">
        <v>2</v>
      </c>
      <c r="F47" t="inlineStr">
        <is>
          <t>shell_155</t>
        </is>
      </c>
      <c r="H47" t="n">
        <v>75</v>
      </c>
      <c r="K47" t="n">
        <v>7</v>
      </c>
      <c r="L47" t="inlineStr">
        <is>
          <t>Assets/MachineBrigade/Resources/Data/balance.json: secondRounds.families[15]</t>
        </is>
      </c>
      <c r="M47" t="inlineStr">
        <is>
          <t>{"id":"m284_155_mm_guided_coastal","real":"M284 155 mm guided","projectileSpeed":75,"splash":7,"projectileModel":"shell_155"}</t>
        </is>
      </c>
    </row>
    <row r="48">
      <c r="A48" t="inlineStr">
        <is>
          <t>m284_155_mm_guided_direct</t>
        </is>
      </c>
      <c r="B48" t="inlineStr">
        <is>
          <t>M284 155 mm guided</t>
        </is>
      </c>
      <c r="C48" t="inlineStr">
        <is>
          <t>secondRounds.families</t>
        </is>
      </c>
      <c r="D48" t="n">
        <v>1</v>
      </c>
      <c r="F48" t="inlineStr">
        <is>
          <t>shell_155</t>
        </is>
      </c>
      <c r="H48" t="n">
        <v>150</v>
      </c>
      <c r="K48" t="n">
        <v>7</v>
      </c>
      <c r="L48" t="inlineStr">
        <is>
          <t>Assets/MachineBrigade/Resources/Data/balance.json: secondRounds.families[14]</t>
        </is>
      </c>
      <c r="M48" t="inlineStr">
        <is>
          <t>{"id":"m284_155_mm_guided_direct","real":"M284 155 mm guided","projectileSpeed":150,"splash":7,"projectileModel":"shell_155"}</t>
        </is>
      </c>
    </row>
    <row r="49">
      <c r="A49" t="inlineStr">
        <is>
          <t>m284_155_mm_guided_fixed</t>
        </is>
      </c>
      <c r="B49" t="inlineStr">
        <is>
          <t>M284 155 mm guided</t>
        </is>
      </c>
      <c r="C49" t="inlineStr">
        <is>
          <t>secondRounds.families</t>
        </is>
      </c>
      <c r="D49" t="n">
        <v>1</v>
      </c>
      <c r="F49" t="inlineStr">
        <is>
          <t>shell_155</t>
        </is>
      </c>
      <c r="H49" t="n">
        <v>70</v>
      </c>
      <c r="K49" t="n">
        <v>7</v>
      </c>
      <c r="L49" t="inlineStr">
        <is>
          <t>Assets/MachineBrigade/Resources/Data/balance.json: secondRounds.families[8]</t>
        </is>
      </c>
      <c r="M49" t="inlineStr">
        <is>
          <t>{"id":"m284_155_mm_guided_fixed","real":"M284 155 mm guided","projectileSpeed":70,"splash":7,"projectileModel":"shell_155"}</t>
        </is>
      </c>
    </row>
    <row r="50">
      <c r="A50" t="inlineStr">
        <is>
          <t>mim_104_patriot_pac_2</t>
        </is>
      </c>
      <c r="B50" t="inlineStr">
        <is>
          <t>MIM-104 Patriot PAC-2</t>
        </is>
      </c>
      <c r="C50" t="inlineStr">
        <is>
          <t>weaponFamilies</t>
        </is>
      </c>
      <c r="D50" t="n">
        <v>2</v>
      </c>
      <c r="E50" t="inlineStr">
        <is>
          <t>Loft</t>
        </is>
      </c>
      <c r="F50" t="inlineStr">
        <is>
          <t>patriot</t>
        </is>
      </c>
      <c r="G50" t="n">
        <v>1.2471</v>
      </c>
      <c r="H50" t="n">
        <v>165</v>
      </c>
      <c r="I50" t="n">
        <v>4.24</v>
      </c>
      <c r="K50" t="n">
        <v>2.5</v>
      </c>
      <c r="L50" t="inlineStr">
        <is>
          <t>Assets/MachineBrigade/Resources/Data/balance.json: weaponFamilies[27]</t>
        </is>
      </c>
      <c r="M50" t="inlineStr">
        <is>
          <t>{"id":"mim_104_patriot_pac_2","flightProfile":"Loft","real":"MIM-104 Patriot PAC-2","projectileSpeed":165,"splash":2.5,"projectileModel":"patriot","roundLength":4.24,"projectileScale":1.2471}</t>
        </is>
      </c>
    </row>
    <row r="51">
      <c r="A51" t="inlineStr">
        <is>
          <t>mk_19_40_mm</t>
        </is>
      </c>
      <c r="B51" t="inlineStr">
        <is>
          <t>Mk 19 40 mm</t>
        </is>
      </c>
      <c r="C51" t="inlineStr">
        <is>
          <t>weaponFamilies</t>
        </is>
      </c>
      <c r="D51" t="n">
        <v>2</v>
      </c>
      <c r="H51" t="n">
        <v>70</v>
      </c>
      <c r="K51" t="n">
        <v>2</v>
      </c>
      <c r="L51" t="inlineStr">
        <is>
          <t>Assets/MachineBrigade/Resources/Data/balance.json: weaponFamilies[28]</t>
        </is>
      </c>
      <c r="M51" t="inlineStr">
        <is>
          <t>{"id":"mk_19_40_mm","real":"Mk 19 40 mm","projectileSpeed":70,"splash":2}</t>
        </is>
      </c>
    </row>
    <row r="52">
      <c r="A52" t="inlineStr">
        <is>
          <t>nsm_oniks</t>
        </is>
      </c>
      <c r="B52" t="inlineStr">
        <is>
          <t>NSM / P-800 Oniks</t>
        </is>
      </c>
      <c r="C52" t="inlineStr">
        <is>
          <t>weaponFamilies</t>
        </is>
      </c>
      <c r="D52" t="n">
        <v>1</v>
      </c>
      <c r="E52" t="inlineStr">
        <is>
          <t>Loft</t>
        </is>
      </c>
      <c r="H52" t="n">
        <v>95</v>
      </c>
      <c r="I52" t="n">
        <v>3.17</v>
      </c>
      <c r="J52" t="n">
        <v>680</v>
      </c>
      <c r="K52" t="n">
        <v>7</v>
      </c>
      <c r="L52" t="inlineStr">
        <is>
          <t>Assets/MachineBrigade/Resources/Data/balance.json: weaponFamilies[45]</t>
        </is>
      </c>
      <c r="M52" t="inlineStr">
        <is>
          <t>{"id":"nsm_oniks","flightProfile":"Loft","real":"NSM / P-800 Oniks","projectileSpeed":95,"splash":7,"roundWeight":680,"roundLength":3.17}</t>
        </is>
      </c>
    </row>
    <row r="53">
      <c r="A53" t="inlineStr">
        <is>
          <t>nsv_12_7_mm</t>
        </is>
      </c>
      <c r="B53" t="inlineStr">
        <is>
          <t>NSV 12.7 mm</t>
        </is>
      </c>
      <c r="C53" t="inlineStr">
        <is>
          <t>weaponFamilies</t>
        </is>
      </c>
      <c r="D53" t="n">
        <v>3</v>
      </c>
      <c r="H53" t="n">
        <v>240</v>
      </c>
      <c r="J53" t="n">
        <v>14</v>
      </c>
      <c r="K53" t="n">
        <v>0</v>
      </c>
      <c r="L53" t="inlineStr">
        <is>
          <t>Assets/MachineBrigade/Resources/Data/balance.json: weaponFamilies[29]</t>
        </is>
      </c>
      <c r="M53" t="inlineStr">
        <is>
          <t>{"id":"nsv_12_7_mm","real":"NSV 12.7 mm","projectileSpeed":240,"splash":0,"roundWeight":14}</t>
        </is>
      </c>
    </row>
    <row r="54">
      <c r="A54" t="inlineStr">
        <is>
          <t>nsv_12_7_mm_api</t>
        </is>
      </c>
      <c r="B54" t="inlineStr">
        <is>
          <t>NSV 12.7 mm API</t>
        </is>
      </c>
      <c r="C54" t="inlineStr">
        <is>
          <t>secondRounds.families</t>
        </is>
      </c>
      <c r="D54" t="n">
        <v>3</v>
      </c>
      <c r="H54" t="n">
        <v>240</v>
      </c>
      <c r="J54" t="n">
        <v>14</v>
      </c>
      <c r="K54" t="n">
        <v>0</v>
      </c>
      <c r="L54" t="inlineStr">
        <is>
          <t>Assets/MachineBrigade/Resources/Data/balance.json: secondRounds.families[5]</t>
        </is>
      </c>
      <c r="M54" t="inlineStr">
        <is>
          <t>{"id":"nsv_12_7_mm_api","real":"NSV 12.7 mm API","projectileSpeed":240,"splash":0,"roundWeight":14}</t>
        </is>
      </c>
    </row>
    <row r="55">
      <c r="A55" t="inlineStr">
        <is>
          <t>odab_500</t>
        </is>
      </c>
      <c r="B55" t="inlineStr">
        <is>
          <t>ODAB-500</t>
        </is>
      </c>
      <c r="C55" t="inlineStr">
        <is>
          <t>weaponFamilies</t>
        </is>
      </c>
      <c r="D55" t="n">
        <v>0</v>
      </c>
      <c r="H55" t="n">
        <v>35</v>
      </c>
      <c r="I55" t="n">
        <v>1.23</v>
      </c>
      <c r="J55" t="n">
        <v>500</v>
      </c>
      <c r="K55" t="n">
        <v>12</v>
      </c>
      <c r="L55" t="inlineStr">
        <is>
          <t>Assets/MachineBrigade/Resources/Data/balance.json: weaponFamilies[39]</t>
        </is>
      </c>
      <c r="M55" t="inlineStr">
        <is>
          <t>{"id":"odab_500","real":"ODAB-500","projectileSpeed":35,"splash":12,"roundWeight":500,"roundLength":1.23}</t>
        </is>
      </c>
    </row>
    <row r="56">
      <c r="A56" t="inlineStr">
        <is>
          <t>oerlikon_35_mm</t>
        </is>
      </c>
      <c r="B56" t="inlineStr">
        <is>
          <t>Oerlikon 35 mm</t>
        </is>
      </c>
      <c r="C56" t="inlineStr">
        <is>
          <t>weaponFamilies</t>
        </is>
      </c>
      <c r="D56" t="n">
        <v>4</v>
      </c>
      <c r="H56" t="n">
        <v>260</v>
      </c>
      <c r="J56" t="n">
        <v>26</v>
      </c>
      <c r="K56" t="n">
        <v>2.5</v>
      </c>
      <c r="L56" t="inlineStr">
        <is>
          <t>Assets/MachineBrigade/Resources/Data/balance.json: weaponFamilies[30]</t>
        </is>
      </c>
      <c r="M56" t="inlineStr">
        <is>
          <t>{"id":"oerlikon_35_mm","real":"Oerlikon 35 mm","projectileSpeed":260,"splash":2.5,"roundWeight":26}</t>
        </is>
      </c>
    </row>
    <row r="57">
      <c r="A57" t="inlineStr">
        <is>
          <t>oerlikon_35_mm_ap</t>
        </is>
      </c>
      <c r="B57" t="inlineStr">
        <is>
          <t>Oerlikon 35 mm AP</t>
        </is>
      </c>
      <c r="C57" t="inlineStr">
        <is>
          <t>secondRounds.families</t>
        </is>
      </c>
      <c r="D57" t="n">
        <v>2</v>
      </c>
      <c r="H57" t="n">
        <v>260</v>
      </c>
      <c r="J57" t="n">
        <v>26</v>
      </c>
      <c r="K57" t="n">
        <v>0</v>
      </c>
      <c r="L57" t="inlineStr">
        <is>
          <t>Assets/MachineBrigade/Resources/Data/balance.json: secondRounds.families[3]</t>
        </is>
      </c>
      <c r="M57" t="inlineStr">
        <is>
          <t>{"id":"oerlikon_35_mm_ap","real":"Oerlikon 35 mm AP","projectileSpeed":260,"splash":0,"roundWeight":26}</t>
        </is>
      </c>
    </row>
    <row r="58">
      <c r="A58" t="inlineStr">
        <is>
          <t>pkt_m240_7_62_mm</t>
        </is>
      </c>
      <c r="B58" t="inlineStr">
        <is>
          <t>PKT / M240 7.62 mm</t>
        </is>
      </c>
      <c r="C58" t="inlineStr">
        <is>
          <t>weaponFamilies</t>
        </is>
      </c>
      <c r="D58" t="n">
        <v>3</v>
      </c>
      <c r="H58" t="n">
        <v>240</v>
      </c>
      <c r="K58" t="n">
        <v>0</v>
      </c>
      <c r="L58" t="inlineStr">
        <is>
          <t>Assets/MachineBrigade/Resources/Data/balance.json: weaponFamilies[31]</t>
        </is>
      </c>
      <c r="M58" t="inlineStr">
        <is>
          <t>{"id":"pkt_m240_7_62_mm","real":"PKT / M240 7.62 mm","projectileSpeed":240,"splash":0}</t>
        </is>
      </c>
    </row>
    <row r="59">
      <c r="A59" t="inlineStr">
        <is>
          <t>rh_120_l_44_120_mm</t>
        </is>
      </c>
      <c r="B59" t="inlineStr">
        <is>
          <t>Rh-120 L/44 120 mm</t>
        </is>
      </c>
      <c r="C59" t="inlineStr">
        <is>
          <t>weaponFamilies</t>
        </is>
      </c>
      <c r="D59" t="n">
        <v>5</v>
      </c>
      <c r="H59" t="n">
        <v>170</v>
      </c>
      <c r="J59" t="n">
        <v>290</v>
      </c>
      <c r="K59" t="n">
        <v>1.5</v>
      </c>
      <c r="L59" t="inlineStr">
        <is>
          <t>Assets/MachineBrigade/Resources/Data/balance.json: weaponFamilies[32]</t>
        </is>
      </c>
      <c r="M59" t="inlineStr">
        <is>
          <t>{"id":"rh_120_l_44_120_mm","real":"Rh-120 L/44 120 mm","projectileSpeed":170,"splash":1.5,"roundWeight":290}</t>
        </is>
      </c>
    </row>
    <row r="60">
      <c r="A60" t="inlineStr">
        <is>
          <t>rh_120_l_44_120_mm_he</t>
        </is>
      </c>
      <c r="B60" t="inlineStr">
        <is>
          <t>Rh-120 L/44 120 mm HE</t>
        </is>
      </c>
      <c r="C60" t="inlineStr">
        <is>
          <t>secondRounds.families</t>
        </is>
      </c>
      <c r="D60" t="n">
        <v>3</v>
      </c>
      <c r="H60" t="n">
        <v>170</v>
      </c>
      <c r="J60" t="n">
        <v>290</v>
      </c>
      <c r="K60" t="n">
        <v>3</v>
      </c>
      <c r="L60" t="inlineStr">
        <is>
          <t>Assets/MachineBrigade/Resources/Data/balance.json: secondRounds.families[13]</t>
        </is>
      </c>
      <c r="M60" t="inlineStr">
        <is>
          <t>{"id":"rh_120_l_44_120_mm_he","real":"Rh-120 L/44 120 mm HE","projectileSpeed":170,"splash":3,"roundWeight":290}</t>
        </is>
      </c>
    </row>
    <row r="61">
      <c r="A61" t="inlineStr">
        <is>
          <t>s_8_80_mm</t>
        </is>
      </c>
      <c r="B61" t="inlineStr">
        <is>
          <t>S-8 80 mm</t>
        </is>
      </c>
      <c r="C61" t="inlineStr">
        <is>
          <t>weaponFamilies</t>
        </is>
      </c>
      <c r="D61" t="n">
        <v>3</v>
      </c>
      <c r="F61" t="inlineStr">
        <is>
          <t>s8</t>
        </is>
      </c>
      <c r="H61" t="n">
        <v>95</v>
      </c>
      <c r="J61" t="n">
        <v>60</v>
      </c>
      <c r="K61" t="n">
        <v>3</v>
      </c>
      <c r="L61" t="inlineStr">
        <is>
          <t>Assets/MachineBrigade/Resources/Data/balance.json: weaponFamilies[33]</t>
        </is>
      </c>
      <c r="M61" t="inlineStr">
        <is>
          <t>{"id":"s_8_80_mm","real":"S-8 80 mm","projectileSpeed":95,"splash":3,"projectileModel":"s8","roundWeight":60}</t>
        </is>
      </c>
    </row>
    <row r="62">
      <c r="A62" t="inlineStr">
        <is>
          <t>s_8_80_mm_boat</t>
        </is>
      </c>
      <c r="B62" t="inlineStr">
        <is>
          <t>S-8 80 mm</t>
        </is>
      </c>
      <c r="C62" t="inlineStr">
        <is>
          <t>weaponFamilies</t>
        </is>
      </c>
      <c r="D62" t="n">
        <v>1</v>
      </c>
      <c r="F62" t="inlineStr">
        <is>
          <t>s8</t>
        </is>
      </c>
      <c r="H62" t="n">
        <v>90</v>
      </c>
      <c r="J62" t="n">
        <v>60</v>
      </c>
      <c r="K62" t="n">
        <v>3.5</v>
      </c>
      <c r="L62" t="inlineStr">
        <is>
          <t>Assets/MachineBrigade/Resources/Data/balance.json: weaponFamilies[34]</t>
        </is>
      </c>
      <c r="M62" t="inlineStr">
        <is>
          <t>{"id":"s_8_80_mm_boat","real":"S-8 80 mm","projectileSpeed":90,"splash":3.5,"projectileModel":"s8","roundWeight":60}</t>
        </is>
      </c>
    </row>
    <row r="63">
      <c r="A63" t="inlineStr">
        <is>
          <t>smart_155_bonus</t>
        </is>
      </c>
      <c r="B63" t="inlineStr">
        <is>
          <t>SMArt 155 / BONUS</t>
        </is>
      </c>
      <c r="C63" t="inlineStr">
        <is>
          <t>weaponFamilies</t>
        </is>
      </c>
      <c r="D63" t="n">
        <v>0</v>
      </c>
      <c r="F63" t="inlineStr">
        <is>
          <t>smart_155</t>
        </is>
      </c>
      <c r="H63" t="n">
        <v>100</v>
      </c>
      <c r="I63" t="n">
        <v>0.8</v>
      </c>
      <c r="K63" t="n">
        <v>2</v>
      </c>
      <c r="L63" t="inlineStr">
        <is>
          <t>Assets/MachineBrigade/Resources/Data/balance.json: weaponFamilies[43]</t>
        </is>
      </c>
      <c r="M63" t="inlineStr">
        <is>
          <t>{"id":"smart_155_bonus","real":"SMArt 155 / BONUS","projectileSpeed":100,"splash":2,"projectileModel":"smart_155","roundLength":0.8}</t>
        </is>
      </c>
    </row>
    <row r="64">
      <c r="A64" t="inlineStr">
        <is>
          <t>switchblade_300</t>
        </is>
      </c>
      <c r="B64" t="inlineStr">
        <is>
          <t>Switchblade 300</t>
        </is>
      </c>
      <c r="C64" t="inlineStr">
        <is>
          <t>weaponFamilies</t>
        </is>
      </c>
      <c r="D64" t="n">
        <v>0</v>
      </c>
      <c r="H64" t="n">
        <v>30</v>
      </c>
      <c r="I64" t="n">
        <v>0.8</v>
      </c>
      <c r="J64" t="n">
        <v>3</v>
      </c>
      <c r="K64" t="n">
        <v>2</v>
      </c>
      <c r="L64" t="inlineStr">
        <is>
          <t>Assets/MachineBrigade/Resources/Data/balance.json: weaponFamilies[44]</t>
        </is>
      </c>
      <c r="M64" t="inlineStr">
        <is>
          <t>{"id":"switchblade_300","real":"Switchblade 300","projectileSpeed":30,"splash":2,"roundWeight":3,"roundLength":0.8}</t>
        </is>
      </c>
    </row>
    <row r="65">
      <c r="A65" t="inlineStr">
        <is>
          <t>tos_1a_220_mm_thermobaric</t>
        </is>
      </c>
      <c r="B65" t="inlineStr">
        <is>
          <t>TOS-1A 220 mm thermobaric</t>
        </is>
      </c>
      <c r="C65" t="inlineStr">
        <is>
          <t>weaponFamilies</t>
        </is>
      </c>
      <c r="D65" t="n">
        <v>1</v>
      </c>
      <c r="F65" t="inlineStr">
        <is>
          <t>tos_rocket</t>
        </is>
      </c>
      <c r="H65" t="n">
        <v>65</v>
      </c>
      <c r="K65" t="n">
        <v>7</v>
      </c>
      <c r="L65" t="inlineStr">
        <is>
          <t>Assets/MachineBrigade/Resources/Data/balance.json: weaponFamilies[35]</t>
        </is>
      </c>
      <c r="M65" t="inlineStr">
        <is>
          <t>{"id":"tos_1a_220_mm_thermobaric","real":"TOS-1A 220 mm thermobaric","projectileSpeed":65,"splash":7,"projectileModel":"tos_rocket"}</t>
        </is>
      </c>
    </row>
    <row r="66">
      <c r="A66" t="inlineStr">
        <is>
          <t>zala_lancet_3</t>
        </is>
      </c>
      <c r="B66" t="inlineStr">
        <is>
          <t>ZALA Lancet-3</t>
        </is>
      </c>
      <c r="C66" t="inlineStr">
        <is>
          <t>weaponFamilies</t>
        </is>
      </c>
      <c r="D66" t="n">
        <v>3</v>
      </c>
      <c r="F66" t="inlineStr">
        <is>
          <t>lancet</t>
        </is>
      </c>
      <c r="H66" t="n">
        <v>28</v>
      </c>
      <c r="K66" t="n">
        <v>3</v>
      </c>
      <c r="L66" t="inlineStr">
        <is>
          <t>Assets/MachineBrigade/Resources/Data/balance.json: weaponFamilies[46]</t>
        </is>
      </c>
      <c r="M66" t="inlineStr">
        <is>
          <t>{"id":"zala_lancet_3","real":"ZALA Lancet-3","projectileSpeed":28,"splash":3,"projectileModel":"lancet"}</t>
        </is>
      </c>
    </row>
  </sheetData>
  <autoFilter ref="A1:M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457</v>
      </c>
      <c r="J6" t="n">
        <v>6.5</v>
      </c>
      <c r="K6" t="inlineStr">
        <is>
          <t>Light, Structure</t>
        </is>
      </c>
      <c r="L6" t="n">
        <v>7.443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620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600</v>
      </c>
      <c r="J17" t="n">
        <v>8</v>
      </c>
      <c r="K17" t="inlineStr">
        <is>
          <t>Armour (chỉ tinh nhuệ)</t>
        </is>
      </c>
      <c r="L17" t="n">
        <v>16.857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110</v>
      </c>
      <c r="J21" t="n">
        <v>3</v>
      </c>
      <c r="K21" t="inlineStr">
        <is>
          <t>Light, Structure</t>
        </is>
      </c>
      <c r="L21" t="n">
        <v>5.929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371</v>
      </c>
      <c r="J22" t="n">
        <v>3</v>
      </c>
      <c r="K22" t="inlineStr">
        <is>
          <t>Light, Structure</t>
        </is>
      </c>
      <c r="L22" t="n">
        <v>5.583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300</v>
      </c>
      <c r="J23" t="n">
        <v>5.5</v>
      </c>
      <c r="K23" t="inlineStr">
        <is>
          <t>Light, Structure</t>
        </is>
      </c>
      <c r="L23" t="n">
        <v>4.536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371</v>
      </c>
      <c r="J24" t="n">
        <v>3</v>
      </c>
      <c r="K24" t="inlineStr">
        <is>
          <t>Light, Structure</t>
        </is>
      </c>
      <c r="L24" t="n">
        <v>4.762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369</v>
      </c>
      <c r="J25" t="n">
        <v>3</v>
      </c>
      <c r="K25" t="inlineStr">
        <is>
          <t>Light, Structure</t>
        </is>
      </c>
      <c r="L25" t="n">
        <v>5.291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343</v>
      </c>
      <c r="J26" t="n">
        <v>3</v>
      </c>
      <c r="K26" t="inlineStr">
        <is>
          <t>Light, Structure</t>
        </is>
      </c>
      <c r="L26" t="n">
        <v>7.326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343</v>
      </c>
      <c r="J27" t="n">
        <v>3</v>
      </c>
      <c r="K27" t="inlineStr">
        <is>
          <t>Light, Structure</t>
        </is>
      </c>
      <c r="L27" t="n">
        <v>7.283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371</v>
      </c>
      <c r="J28" t="n">
        <v>3</v>
      </c>
      <c r="K28" t="inlineStr">
        <is>
          <t>Light, Structure</t>
        </is>
      </c>
      <c r="L28" t="n">
        <v>8.086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414</v>
      </c>
      <c r="J29" t="n">
        <v>3</v>
      </c>
      <c r="K29" t="inlineStr">
        <is>
          <t>Light, Structure</t>
        </is>
      </c>
      <c r="L29" t="n">
        <v>6.481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457</v>
      </c>
      <c r="J30" t="n">
        <v>6.5</v>
      </c>
      <c r="K30" t="inlineStr">
        <is>
          <t>Light, Structure</t>
        </is>
      </c>
      <c r="L30" t="n">
        <v>8.163</v>
      </c>
      <c r="M30" t="n">
        <v>2</v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457</v>
      </c>
      <c r="J31" t="n">
        <v>6.5</v>
      </c>
      <c r="K31" t="inlineStr">
        <is>
          <t>Light, Structure</t>
        </is>
      </c>
      <c r="L31" t="n">
        <v>9.042999999999999</v>
      </c>
      <c r="M31" t="n">
        <v>2</v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457</v>
      </c>
      <c r="J32" t="n">
        <v>7</v>
      </c>
      <c r="K32" t="inlineStr">
        <is>
          <t>Armour (chỉ tinh nhuệ)</t>
        </is>
      </c>
      <c r="L32" t="n">
        <v>12.579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457</v>
      </c>
      <c r="J33" t="n">
        <v>7</v>
      </c>
      <c r="K33" t="inlineStr">
        <is>
          <t>Light, Structure</t>
        </is>
      </c>
      <c r="L33" t="n">
        <v>7.929</v>
      </c>
      <c r="M33" t="n">
        <v>2</v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457</v>
      </c>
      <c r="J34" t="n">
        <v>7</v>
      </c>
      <c r="K34" t="inlineStr">
        <is>
          <t>Armour (chỉ tinh nhuệ)</t>
        </is>
      </c>
      <c r="L34" t="n">
        <v>7.929</v>
      </c>
      <c r="M34" t="n">
        <v>2</v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457</v>
      </c>
      <c r="J35" t="n">
        <v>7</v>
      </c>
      <c r="K35" t="inlineStr">
        <is>
          <t>Armour (chỉ tinh nhuệ)</t>
        </is>
      </c>
      <c r="L35" t="n">
        <v>7.929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Armour (chỉ tinh nhuệ)</t>
        </is>
      </c>
      <c r="L36" t="n">
        <v>8.93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Air</t>
        </is>
      </c>
      <c r="L37" t="n">
        <v>1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Armour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Air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286</v>
      </c>
      <c r="J40" t="n">
        <v>5.5</v>
      </c>
      <c r="K40" t="inlineStr">
        <is>
          <t>Armour (chỉ tinh nhuệ)</t>
        </is>
      </c>
      <c r="L40" t="n">
        <v>3.919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Air</t>
        </is>
      </c>
      <c r="L41" t="n">
        <v>3.1667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Any (chỉ tinh nhuệ)</t>
        </is>
      </c>
      <c r="L42" t="n">
        <v>5.1111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Air</t>
        </is>
      </c>
      <c r="L46" t="n">
        <v>5.0167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457</v>
      </c>
      <c r="J47" t="n">
        <v>7</v>
      </c>
      <c r="K47" t="inlineStr">
        <is>
          <t>Armour (chỉ tinh nhuệ)</t>
        </is>
      </c>
      <c r="L47" t="n">
        <v>10.204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520</v>
      </c>
      <c r="J48" t="n">
        <v>7</v>
      </c>
      <c r="K48" t="inlineStr">
        <is>
          <t>Armour (chỉ tinh nhuệ)</t>
        </is>
      </c>
      <c r="L48" t="n">
        <v>10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Ground</t>
        </is>
      </c>
      <c r="L49" t="n">
        <v>3.0286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Air</t>
        </is>
      </c>
      <c r="L50" t="n">
        <v>1.6111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Air</t>
        </is>
      </c>
      <c r="L51" t="n">
        <v>1.5526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Armour (chỉ tinh nhuệ)</t>
        </is>
      </c>
      <c r="L52" t="n">
        <v>14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Any (chỉ tinh nhuệ)</t>
        </is>
      </c>
      <c r="L53" t="n">
        <v>5.1111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Any (chỉ tinh nhuệ)</t>
        </is>
      </c>
      <c r="L54" t="n">
        <v>5.1111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171</v>
      </c>
      <c r="J55" t="n">
        <v>3</v>
      </c>
      <c r="K55" t="inlineStr">
        <is>
          <t>Armour (chỉ tinh nhuệ)</t>
        </is>
      </c>
      <c r="L55" t="n">
        <v>4.643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229</v>
      </c>
      <c r="J56" t="n">
        <v>3.5</v>
      </c>
      <c r="K56" t="inlineStr">
        <is>
          <t>Armour (chỉ tinh nhuệ)</t>
        </is>
      </c>
      <c r="L56" t="n">
        <v>5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Armour (chỉ tinh nhuệ)</t>
        </is>
      </c>
      <c r="L57" t="n">
        <v>10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p26_ixion_125/p26_ixion_125_he</t>
        </is>
      </c>
      <c r="B58" t="inlineStr">
        <is>
          <t>p26_ixion_125</t>
        </is>
      </c>
      <c r="C58" t="inlineStr">
        <is>
          <t>p26_ixion_125_he</t>
        </is>
      </c>
      <c r="D58" t="inlineStr">
        <is>
          <t>roundOf</t>
        </is>
      </c>
      <c r="E58" t="inlineStr">
        <is>
          <t>he</t>
        </is>
      </c>
      <c r="F58" t="inlineStr">
        <is>
          <t>cluster</t>
        </is>
      </c>
      <c r="G58" t="inlineStr">
        <is>
          <t>HighExplosive</t>
        </is>
      </c>
      <c r="H58" t="n">
        <v>3</v>
      </c>
      <c r="I58" t="n">
        <v>400.1</v>
      </c>
      <c r="J58" t="n">
        <v>5</v>
      </c>
      <c r="K58" t="inlineStr">
        <is>
          <t>Cluster</t>
        </is>
      </c>
      <c r="L58" t="n">
        <v>7.5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siege_gun_105/siege_gun_105_he</t>
        </is>
      </c>
      <c r="B59" t="inlineStr">
        <is>
          <t>siege_gun_105</t>
        </is>
      </c>
      <c r="C59" t="inlineStr">
        <is>
          <t>siege_gun_105_he</t>
        </is>
      </c>
      <c r="D59" t="inlineStr">
        <is>
          <t>roundOf</t>
        </is>
      </c>
      <c r="E59" t="inlineStr">
        <is>
          <t>he</t>
        </is>
      </c>
      <c r="F59" t="inlineStr">
        <is>
          <t>light;structure</t>
        </is>
      </c>
      <c r="G59" t="inlineStr">
        <is>
          <t>HighExplosive</t>
        </is>
      </c>
      <c r="H59" t="n">
        <v>2</v>
      </c>
      <c r="I59" t="n">
        <v>303</v>
      </c>
      <c r="J59" t="n">
        <v>3</v>
      </c>
      <c r="K59" t="inlineStr">
        <is>
          <t>Light, Structure</t>
        </is>
      </c>
      <c r="L59" t="n">
        <v>6.571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tower_ac25/tower_ac25_flak</t>
        </is>
      </c>
      <c r="B60" t="inlineStr">
        <is>
          <t>tower_ac25</t>
        </is>
      </c>
      <c r="C60" t="inlineStr">
        <is>
          <t>tower_ac25_flak</t>
        </is>
      </c>
      <c r="D60" t="inlineStr">
        <is>
          <t>roundOf</t>
        </is>
      </c>
      <c r="E60" t="inlineStr">
        <is>
          <t>flak</t>
        </is>
      </c>
      <c r="F60" t="inlineStr">
        <is>
          <t>air</t>
        </is>
      </c>
      <c r="G60" t="inlineStr">
        <is>
          <t>Fragmentation</t>
        </is>
      </c>
      <c r="H60" t="n">
        <v>1</v>
      </c>
      <c r="I60" t="n">
        <v>17</v>
      </c>
      <c r="J60" t="n">
        <v>2</v>
      </c>
      <c r="K60" t="inlineStr">
        <is>
          <t>Air</t>
        </is>
      </c>
      <c r="L60" t="n">
        <v>1.425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tower_flak_30/tower_flak_30_ap</t>
        </is>
      </c>
      <c r="B61" t="inlineStr">
        <is>
          <t>tower_flak_30</t>
        </is>
      </c>
      <c r="C61" t="inlineStr">
        <is>
          <t>tower_flak_30_ap</t>
        </is>
      </c>
      <c r="D61" t="inlineStr">
        <is>
          <t>roundOf</t>
        </is>
      </c>
      <c r="E61" t="inlineStr">
        <is>
          <t>ap</t>
        </is>
      </c>
      <c r="F61" t="inlineStr">
        <is>
          <t>ground</t>
        </is>
      </c>
      <c r="G61" t="inlineStr">
        <is>
          <t>Kinetic</t>
        </is>
      </c>
      <c r="H61" t="n">
        <v>2</v>
      </c>
      <c r="I61" t="n">
        <v>7</v>
      </c>
      <c r="J61" t="n">
        <v>0</v>
      </c>
      <c r="K61" t="inlineStr">
        <is>
          <t>Ground</t>
        </is>
      </c>
      <c r="L61" t="n">
        <v>3.0286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tower_hmg/tower_hmg_api</t>
        </is>
      </c>
      <c r="B62" t="inlineStr">
        <is>
          <t>tower_hmg</t>
        </is>
      </c>
      <c r="C62" t="inlineStr">
        <is>
          <t>tower_hmg_api</t>
        </is>
      </c>
      <c r="D62" t="inlineStr">
        <is>
          <t>roundOf</t>
        </is>
      </c>
      <c r="E62" t="inlineStr">
        <is>
          <t>api</t>
        </is>
      </c>
      <c r="F62" t="inlineStr">
        <is>
          <t>any</t>
        </is>
      </c>
      <c r="G62" t="inlineStr">
        <is>
          <t>Kinetic</t>
        </is>
      </c>
      <c r="H62" t="n">
        <v>2</v>
      </c>
      <c r="I62" t="n">
        <v>9.5</v>
      </c>
      <c r="J62" t="n">
        <v>0</v>
      </c>
      <c r="K62" t="inlineStr">
        <is>
          <t>Any (chỉ tinh nhuệ)</t>
        </is>
      </c>
      <c r="L62" t="n">
        <v>4.085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train_gun/train_gun_he</t>
        </is>
      </c>
      <c r="B63" t="inlineStr">
        <is>
          <t>train_gun</t>
        </is>
      </c>
      <c r="C63" t="inlineStr">
        <is>
          <t>train_gun_he</t>
        </is>
      </c>
      <c r="D63" t="inlineStr">
        <is>
          <t>roundOf</t>
        </is>
      </c>
      <c r="E63" t="inlineStr">
        <is>
          <t>he</t>
        </is>
      </c>
      <c r="F63" t="inlineStr">
        <is>
          <t>light;structure</t>
        </is>
      </c>
      <c r="G63" t="inlineStr">
        <is>
          <t>HighExplosive</t>
        </is>
      </c>
      <c r="H63" t="n">
        <v>2</v>
      </c>
      <c r="I63" t="n">
        <v>600</v>
      </c>
      <c r="J63" t="n">
        <v>7</v>
      </c>
      <c r="K63" t="inlineStr">
        <is>
          <t>Light, Structure</t>
        </is>
      </c>
      <c r="L63" t="n">
        <v>8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turret_gun_120/turret_gun_120_he</t>
        </is>
      </c>
      <c r="B64" t="inlineStr">
        <is>
          <t>turret_gun_120</t>
        </is>
      </c>
      <c r="C64" t="inlineStr">
        <is>
          <t>turret_gun_120_he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343</v>
      </c>
      <c r="J64" t="n">
        <v>3</v>
      </c>
      <c r="K64" t="inlineStr">
        <is>
          <t>Light, Structure</t>
        </is>
      </c>
      <c r="L64" t="n">
        <v>4.114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turret_gun_120_long/turret_gun_120_long_he</t>
        </is>
      </c>
      <c r="B65" t="inlineStr">
        <is>
          <t>turret_gun_120_long</t>
        </is>
      </c>
      <c r="C65" t="inlineStr">
        <is>
          <t>turret_gun_120_long_he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343</v>
      </c>
      <c r="J65" t="n">
        <v>3</v>
      </c>
      <c r="K65" t="inlineStr">
        <is>
          <t>Light, Structure</t>
        </is>
      </c>
      <c r="L65" t="n">
        <v>5.571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twin_30_bmpt/twin_30_bmpt_flak</t>
        </is>
      </c>
      <c r="B66" t="inlineStr">
        <is>
          <t>twin_30_bmpt</t>
        </is>
      </c>
      <c r="C66" t="inlineStr">
        <is>
          <t>twin_30_bmpt_flak</t>
        </is>
      </c>
      <c r="D66" t="inlineStr">
        <is>
          <t>roundOf</t>
        </is>
      </c>
      <c r="E66" t="inlineStr">
        <is>
          <t>flak</t>
        </is>
      </c>
      <c r="F66" t="inlineStr">
        <is>
          <t>air</t>
        </is>
      </c>
      <c r="G66" t="inlineStr">
        <is>
          <t>Fragmentation</t>
        </is>
      </c>
      <c r="H66" t="n">
        <v>2</v>
      </c>
      <c r="I66" t="n">
        <v>22</v>
      </c>
      <c r="J66" t="n">
        <v>2.5</v>
      </c>
      <c r="K66" t="inlineStr">
        <is>
          <t>Air</t>
        </is>
      </c>
      <c r="L66" t="n">
        <v>1.5833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twin_30_flak/twin_30_flak_ap</t>
        </is>
      </c>
      <c r="B67" t="inlineStr">
        <is>
          <t>twin_30_flak</t>
        </is>
      </c>
      <c r="C67" t="inlineStr">
        <is>
          <t>twin_30_flak_ap</t>
        </is>
      </c>
      <c r="D67" t="inlineStr">
        <is>
          <t>roundOf</t>
        </is>
      </c>
      <c r="E67" t="inlineStr">
        <is>
          <t>ap</t>
        </is>
      </c>
      <c r="F67" t="inlineStr">
        <is>
          <t>ground</t>
        </is>
      </c>
      <c r="G67" t="inlineStr">
        <is>
          <t>Kinetic</t>
        </is>
      </c>
      <c r="H67" t="n">
        <v>2</v>
      </c>
      <c r="I67" t="n">
        <v>7.5</v>
      </c>
      <c r="J67" t="n">
        <v>0</v>
      </c>
      <c r="K67" t="inlineStr">
        <is>
          <t>Ground</t>
        </is>
      </c>
      <c r="L67" t="n">
        <v>3.025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twin_35_ahead/twin_35_ahead_ap</t>
        </is>
      </c>
      <c r="B68" t="inlineStr">
        <is>
          <t>twin_35_ahead</t>
        </is>
      </c>
      <c r="C68" t="inlineStr">
        <is>
          <t>twin_35_ahead_ap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26</v>
      </c>
      <c r="J68" t="n">
        <v>0</v>
      </c>
      <c r="K68" t="inlineStr">
        <is>
          <t>Ground</t>
        </is>
      </c>
      <c r="L68" t="n">
        <v>1.2137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zu23/zu23_ap</t>
        </is>
      </c>
      <c r="B69" t="inlineStr">
        <is>
          <t>zu23</t>
        </is>
      </c>
      <c r="C69" t="inlineStr">
        <is>
          <t>zu23_ap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3.5</v>
      </c>
      <c r="J69" t="n">
        <v>0</v>
      </c>
      <c r="K69" t="inlineStr">
        <is>
          <t>Ground</t>
        </is>
      </c>
      <c r="L69" t="n">
        <v>3.02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</sheetData>
  <autoFilter ref="A1:O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3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0.9</v>
      </c>
      <c r="C2" t="n">
        <v>1.5</v>
      </c>
      <c r="D2" t="n">
        <v>0.4</v>
      </c>
      <c r="E2" t="inlineStr">
        <is>
          <t>Assets/MachineBrigade/Resources/Data/balance.json: damageTable.Energy</t>
        </is>
      </c>
      <c r="F2" t="inlineStr">
        <is>
          <t>{"Ground":0.9,"Air":1.5,"Structure":0.4}</t>
        </is>
      </c>
    </row>
    <row r="3">
      <c r="A3" t="inlineStr">
        <is>
          <t>Fire</t>
        </is>
      </c>
      <c r="B3" t="n">
        <v>1.35</v>
      </c>
      <c r="C3" t="n">
        <v>0</v>
      </c>
      <c r="D3" t="n">
        <v>1.1</v>
      </c>
      <c r="E3" t="inlineStr">
        <is>
          <t>Assets/MachineBrigade/Resources/Data/balance.json: damageTable.Fire</t>
        </is>
      </c>
      <c r="F3" t="inlineStr">
        <is>
          <t>{"Ground":1.35,"Air":0.0,"Structure":1.1}</t>
        </is>
      </c>
    </row>
    <row r="4">
      <c r="A4" t="inlineStr">
        <is>
          <t>Fragmentation</t>
        </is>
      </c>
      <c r="B4" t="n">
        <v>0.45</v>
      </c>
      <c r="C4" t="n">
        <v>1.35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{"Ground":0.45,"Air":1.35,"Structure":0.1}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1.6</v>
      </c>
      <c r="E5" t="inlineStr">
        <is>
          <t>Assets/MachineBrigade/Resources/Data/balance.json: damageTable.HighExplosive</t>
        </is>
      </c>
      <c r="F5" t="inlineStr">
        <is>
          <t>{"Ground":1.0,"Air":0.0,"Structure":1.6}</t>
        </is>
      </c>
    </row>
    <row r="6">
      <c r="A6" t="inlineStr">
        <is>
          <t>Kinetic</t>
        </is>
      </c>
      <c r="B6" t="n">
        <v>1.2</v>
      </c>
      <c r="C6" t="n">
        <v>0.3</v>
      </c>
      <c r="D6" t="n">
        <v>0.7</v>
      </c>
      <c r="E6" t="inlineStr">
        <is>
          <t>Assets/MachineBrigade/Resources/Data/balance.json: damageTable.Kinetic</t>
        </is>
      </c>
      <c r="F6" t="inlineStr">
        <is>
          <t>{"Ground":1.2,"Air":0.3,"Structure":0.7}</t>
        </is>
      </c>
    </row>
    <row r="7">
      <c r="A7" t="inlineStr">
        <is>
          <t>ShapedCharge</t>
        </is>
      </c>
      <c r="B7" t="n">
        <v>1.3</v>
      </c>
      <c r="C7" t="n">
        <v>0.2</v>
      </c>
      <c r="D7" t="n">
        <v>0.45</v>
      </c>
      <c r="E7" t="inlineStr">
        <is>
          <t>Assets/MachineBrigade/Resources/Data/balance.json: damageTable.ShapedCharge</t>
        </is>
      </c>
      <c r="F7" t="inlineStr">
        <is>
          <t>{"Ground":1.3,"Air":0.2,"Structure":0.45}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0.65</v>
      </c>
      <c r="D5" t="inlineStr">
        <is>
          <t>Assets/MachineBrigade/Resources/Data/balance.json: damageTable.penetration[3]</t>
        </is>
      </c>
      <c r="E5" t="inlineStr">
        <is>
          <t>0.65</t>
        </is>
      </c>
    </row>
    <row r="6">
      <c r="A6" t="inlineStr">
        <is>
          <t>buoc_4</t>
        </is>
      </c>
      <c r="B6" t="inlineStr">
        <is>
          <t>-2</t>
        </is>
      </c>
      <c r="C6" t="n">
        <v>0.4</v>
      </c>
      <c r="D6" t="inlineStr">
        <is>
          <t>Assets/MachineBrigade/Resources/Data/balance.json: damageTable.penetration[4]</t>
        </is>
      </c>
      <c r="E6" t="inlineStr">
        <is>
          <t>0.4</t>
        </is>
      </c>
    </row>
    <row r="7">
      <c r="A7" t="inlineStr">
        <is>
          <t>buoc_5</t>
        </is>
      </c>
      <c r="B7" t="inlineStr">
        <is>
          <t>-3</t>
        </is>
      </c>
      <c r="C7" t="n">
        <v>0.15</v>
      </c>
      <c r="D7" t="inlineStr">
        <is>
          <t>Assets/MachineBrigade/Resources/Data/balance.json: damageTable.penetration[5]</t>
        </is>
      </c>
      <c r="E7" t="inlineStr">
        <is>
          <t>0.15</t>
        </is>
      </c>
    </row>
    <row r="8">
      <c r="A8" t="inlineStr">
        <is>
          <t>buoc_6</t>
        </is>
      </c>
      <c r="B8" t="inlineStr">
        <is>
          <t>-4</t>
        </is>
      </c>
      <c r="C8" t="n">
        <v>0.08</v>
      </c>
      <c r="D8" t="inlineStr">
        <is>
          <t>Assets/MachineBrigade/Resources/Data/balance.json: damageTable.penetration[6]</t>
        </is>
      </c>
      <c r="E8" t="inlineStr">
        <is>
          <t>0.08</t>
        </is>
      </c>
    </row>
  </sheetData>
  <autoFilter ref="A1:E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1.15</v>
      </c>
      <c r="D2" t="inlineStr">
        <is>
          <t>Assets/MachineBrigade/Resources/Data/balance.json: damageTable.topAttack[0]</t>
        </is>
      </c>
      <c r="E2" t="inlineStr">
        <is>
          <t>1.15</t>
        </is>
      </c>
    </row>
    <row r="3">
      <c r="A3" t="inlineStr">
        <is>
          <t>buoc_1</t>
        </is>
      </c>
      <c r="B3" t="inlineStr">
        <is>
          <t>+1</t>
        </is>
      </c>
      <c r="C3" t="n">
        <v>1.1</v>
      </c>
      <c r="D3" t="inlineStr">
        <is>
          <t>Assets/MachineBrigade/Resources/Data/balance.json: damageTable.topAttack[1]</t>
        </is>
      </c>
      <c r="E3" t="inlineStr">
        <is>
          <t>1.1</t>
        </is>
      </c>
    </row>
    <row r="4">
      <c r="A4" t="inlineStr">
        <is>
          <t>buoc_2</t>
        </is>
      </c>
      <c r="B4" t="inlineStr">
        <is>
          <t>0</t>
        </is>
      </c>
      <c r="C4" t="n">
        <v>0.95</v>
      </c>
      <c r="D4" t="inlineStr">
        <is>
          <t>Assets/MachineBrigade/Resources/Data/balance.json: damageTable.topAttack[2]</t>
        </is>
      </c>
      <c r="E4" t="inlineStr">
        <is>
          <t>0.95</t>
        </is>
      </c>
    </row>
    <row r="5">
      <c r="A5" t="inlineStr">
        <is>
          <t>buoc_3</t>
        </is>
      </c>
      <c r="B5" t="inlineStr">
        <is>
          <t>-1</t>
        </is>
      </c>
      <c r="C5" t="n">
        <v>0.75</v>
      </c>
      <c r="D5" t="inlineStr">
        <is>
          <t>Assets/MachineBrigade/Resources/Data/balance.json: damageTable.topAttack[3]</t>
        </is>
      </c>
      <c r="E5" t="inlineStr">
        <is>
          <t>0.75</t>
        </is>
      </c>
    </row>
    <row r="6">
      <c r="A6" t="inlineStr">
        <is>
          <t>buoc_4</t>
        </is>
      </c>
      <c r="B6" t="inlineStr">
        <is>
          <t>-2</t>
        </is>
      </c>
      <c r="C6" t="n">
        <v>0.5</v>
      </c>
      <c r="D6" t="inlineStr">
        <is>
          <t>Assets/MachineBrigade/Resources/Data/balance.json: damageTable.topAttack[4]</t>
        </is>
      </c>
      <c r="E6" t="inlineStr">
        <is>
          <t>0.5</t>
        </is>
      </c>
    </row>
    <row r="7">
      <c r="A7" t="inlineStr">
        <is>
          <t>buoc_5</t>
        </is>
      </c>
      <c r="B7" t="inlineStr">
        <is>
          <t>-3</t>
        </is>
      </c>
      <c r="C7" t="n">
        <v>0.25</v>
      </c>
      <c r="D7" t="inlineStr">
        <is>
          <t>Assets/MachineBrigade/Resources/Data/balance.json: damageTable.topAttack[5]</t>
        </is>
      </c>
      <c r="E7" t="inlineStr">
        <is>
          <t>0.25</t>
        </is>
      </c>
    </row>
    <row r="8">
      <c r="A8" t="inlineStr">
        <is>
          <t>buoc_6</t>
        </is>
      </c>
      <c r="B8" t="inlineStr">
        <is>
          <t>-4</t>
        </is>
      </c>
      <c r="C8" t="n">
        <v>0.12</v>
      </c>
      <c r="D8" t="inlineStr">
        <is>
          <t>Assets/MachineBrigade/Resources/Data/balance.json: damageTable.topAttack[6]</t>
        </is>
      </c>
      <c r="E8" t="inlineStr">
        <is>
          <t>0.12</t>
        </is>
      </c>
    </row>
  </sheetData>
  <autoFilter ref="A1:E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&lt;=+2</t>
        </is>
      </c>
      <c r="C2" t="n">
        <v>1</v>
      </c>
      <c r="D2" t="inlineStr">
        <is>
          <t>Assets/MachineBrigade/Resources/Data/balance.json: damageTable.overpenetration[0]</t>
        </is>
      </c>
      <c r="E2" t="inlineStr">
        <is>
          <t>1.0</t>
        </is>
      </c>
    </row>
    <row r="3">
      <c r="A3" t="inlineStr">
        <is>
          <t>buoc_1</t>
        </is>
      </c>
      <c r="B3" t="inlineStr">
        <is>
          <t>+3</t>
        </is>
      </c>
      <c r="C3" t="n">
        <v>0.95</v>
      </c>
      <c r="D3" t="inlineStr">
        <is>
          <t>Assets/MachineBrigade/Resources/Data/balance.json: damageTable.overpenetration[1]</t>
        </is>
      </c>
      <c r="E3" t="inlineStr">
        <is>
          <t>0.95</t>
        </is>
      </c>
    </row>
    <row r="4">
      <c r="A4" t="inlineStr">
        <is>
          <t>buoc_2</t>
        </is>
      </c>
      <c r="B4" t="inlineStr">
        <is>
          <t>+4</t>
        </is>
      </c>
      <c r="C4" t="n">
        <v>0.85</v>
      </c>
      <c r="D4" t="inlineStr">
        <is>
          <t>Assets/MachineBrigade/Resources/Data/balance.json: damageTable.overpenetration[2]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&gt;=+5</t>
        </is>
      </c>
      <c r="C5" t="n">
        <v>0.75</v>
      </c>
      <c r="D5" t="inlineStr">
        <is>
          <t>Assets/MachineBrigade/Resources/Data/balance.json: damageTable.overpenetration[3]</t>
        </is>
      </c>
      <c r="E5" t="inlineStr">
        <is>
          <t>0.75</t>
        </is>
      </c>
    </row>
  </sheetData>
  <autoFilter ref="A1:E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9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vung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r = 0 (tâm)</t>
        </is>
      </c>
      <c r="C2" t="n">
        <v>1.1</v>
      </c>
      <c r="D2" t="inlineStr">
        <is>
          <t>Assets/MachineBrigade/Resources/Data/balance.json: damageTable.splashFalloff[0]</t>
        </is>
      </c>
      <c r="E2" t="inlineStr">
        <is>
          <t>1.1</t>
        </is>
      </c>
    </row>
    <row r="3">
      <c r="A3" t="inlineStr">
        <is>
          <t>buoc_1</t>
        </is>
      </c>
      <c r="B3" t="inlineStr">
        <is>
          <t>lõi 0-25%</t>
        </is>
      </c>
      <c r="C3" t="n">
        <v>1.08</v>
      </c>
      <c r="D3" t="inlineStr">
        <is>
          <t>Assets/MachineBrigade/Resources/Data/balance.json: damageTable.splashFalloff[1]</t>
        </is>
      </c>
      <c r="E3" t="inlineStr">
        <is>
          <t>1.08</t>
        </is>
      </c>
    </row>
    <row r="4">
      <c r="A4" t="inlineStr">
        <is>
          <t>buoc_2</t>
        </is>
      </c>
      <c r="B4" t="inlineStr">
        <is>
          <t>lõi 25-50%</t>
        </is>
      </c>
      <c r="C4" t="n">
        <v>1.05</v>
      </c>
      <c r="D4" t="inlineStr">
        <is>
          <t>Assets/MachineBrigade/Resources/Data/balance.json: damageTable.splashFalloff[2]</t>
        </is>
      </c>
      <c r="E4" t="inlineStr">
        <is>
          <t>1.05</t>
        </is>
      </c>
    </row>
    <row r="5">
      <c r="A5" t="inlineStr">
        <is>
          <t>buoc_3</t>
        </is>
      </c>
      <c r="B5" t="inlineStr">
        <is>
          <t>lõi 50-100%</t>
        </is>
      </c>
      <c r="C5" t="n">
        <v>1</v>
      </c>
      <c r="D5" t="inlineStr">
        <is>
          <t>Assets/MachineBrigade/Resources/Data/balance.json: damageTable.splashFalloff[3]</t>
        </is>
      </c>
      <c r="E5" t="inlineStr">
        <is>
          <t>1.0</t>
        </is>
      </c>
    </row>
    <row r="6">
      <c r="A6" t="inlineStr">
        <is>
          <t>buoc_4</t>
        </is>
      </c>
      <c r="B6" t="inlineStr">
        <is>
          <t>lõi -&gt; rìa 0-25%</t>
        </is>
      </c>
      <c r="C6" t="n">
        <v>0.85</v>
      </c>
      <c r="D6" t="inlineStr">
        <is>
          <t>Assets/MachineBrigade/Resources/Data/balance.json: damageTable.splashFalloff[4]</t>
        </is>
      </c>
      <c r="E6" t="inlineStr">
        <is>
          <t>0.85</t>
        </is>
      </c>
    </row>
    <row r="7">
      <c r="A7" t="inlineStr">
        <is>
          <t>buoc_5</t>
        </is>
      </c>
      <c r="B7" t="inlineStr">
        <is>
          <t>lõi -&gt; rìa 25-50%</t>
        </is>
      </c>
      <c r="C7" t="n">
        <v>0.65</v>
      </c>
      <c r="D7" t="inlineStr">
        <is>
          <t>Assets/MachineBrigade/Resources/Data/balance.json: damageTable.splashFalloff[5]</t>
        </is>
      </c>
      <c r="E7" t="inlineStr">
        <is>
          <t>0.65</t>
        </is>
      </c>
    </row>
    <row r="8">
      <c r="A8" t="inlineStr">
        <is>
          <t>buoc_6</t>
        </is>
      </c>
      <c r="B8" t="inlineStr">
        <is>
          <t>lõi -&gt; rìa 50-75%</t>
        </is>
      </c>
      <c r="C8" t="n">
        <v>0.45</v>
      </c>
      <c r="D8" t="inlineStr">
        <is>
          <t>Assets/MachineBrigade/Resources/Data/balance.json: damageTable.splashFalloff[6]</t>
        </is>
      </c>
      <c r="E8" t="inlineStr">
        <is>
          <t>0.45</t>
        </is>
      </c>
    </row>
    <row r="9">
      <c r="A9" t="inlineStr">
        <is>
          <t>buoc_7</t>
        </is>
      </c>
      <c r="B9" t="inlineStr">
        <is>
          <t>lõi -&gt; rìa 75-100%</t>
        </is>
      </c>
      <c r="C9" t="n">
        <v>0.25</v>
      </c>
      <c r="D9" t="inlineStr">
        <is>
          <t>Assets/MachineBrigade/Resources/Data/balance.json: damageTable.splashFalloff[7]</t>
        </is>
      </c>
      <c r="E9" t="inlineStr">
        <is>
          <t>0.25</t>
        </is>
      </c>
    </row>
    <row r="10">
      <c r="A10" t="inlineStr">
        <is>
          <t>buoc_8</t>
        </is>
      </c>
      <c r="B10" t="inlineStr">
        <is>
          <t>r &gt;= rìa</t>
        </is>
      </c>
      <c r="C10" t="n">
        <v>0</v>
      </c>
      <c r="D10" t="inlineStr">
        <is>
          <t>Assets/MachineBrigade/Resources/Data/balance.json: damageTable.splashFalloff[8]</t>
        </is>
      </c>
      <c r="E10" t="inlineStr">
        <is>
          <t>0.0</t>
        </is>
      </c>
    </row>
  </sheetData>
  <autoFilter ref="A1:E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11</v>
      </c>
      <c r="X2" t="n">
        <v>4</v>
      </c>
      <c r="AC2" t="inlineStr">
        <is>
          <t>Assets/MachineBrigade/Resources/Data/balance.json: vehicles[138]</t>
        </is>
      </c>
      <c r="AD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C3" t="inlineStr">
        <is>
          <t>Assets/MachineBrigade/Resources/Data/balance.json: vehicles[170]</t>
        </is>
      </c>
      <c r="AD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U4" t="b">
        <v>1</v>
      </c>
      <c r="W4" t="n">
        <v>26</v>
      </c>
      <c r="X4" t="n">
        <v>1.6</v>
      </c>
      <c r="Z4" t="b">
        <v>1</v>
      </c>
      <c r="AC4" t="inlineStr">
        <is>
          <t>Assets/MachineBrigade/Resources/Data/balance.json: vehicles[147]</t>
        </is>
      </c>
      <c r="AD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co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P5" t="n">
        <v>0.5</v>
      </c>
      <c r="R5" t="n">
        <v>4</v>
      </c>
      <c r="W5" t="n">
        <v>35</v>
      </c>
      <c r="X5" t="n">
        <v>0.6</v>
      </c>
      <c r="Z5" t="b">
        <v>1</v>
      </c>
      <c r="AA5" t="n">
        <v>0.3</v>
      </c>
      <c r="AC5" t="inlineStr">
        <is>
          <t>Assets/MachineBrigade/Resources/Data/balance.json: vehicles[72]</t>
        </is>
      </c>
      <c r="AD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co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P6" t="n">
        <v>0.3</v>
      </c>
      <c r="R6" t="n">
        <v>5</v>
      </c>
      <c r="W6" t="n">
        <v>35</v>
      </c>
      <c r="X6" t="n">
        <v>0.35</v>
      </c>
      <c r="Z6" t="b">
        <v>1</v>
      </c>
      <c r="AA6" t="n">
        <v>0.4</v>
      </c>
      <c r="AC6" t="inlineStr">
        <is>
          <t>Assets/MachineBrigade/Resources/Data/balance.json: vehicles[91]</t>
        </is>
      </c>
      <c r="AD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co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6</v>
      </c>
      <c r="S7" t="b">
        <v>0</v>
      </c>
      <c r="V7" t="b">
        <v>1</v>
      </c>
      <c r="W7" t="n">
        <v>60</v>
      </c>
      <c r="Y7" t="n">
        <v>12</v>
      </c>
      <c r="Z7" t="b">
        <v>1</v>
      </c>
      <c r="AA7" t="n">
        <v>0.5</v>
      </c>
      <c r="AC7" t="inlineStr">
        <is>
          <t>Assets/MachineBrigade/Resources/Data/balance.json: vehicles[92]</t>
        </is>
      </c>
      <c r="AD7" t="inlineStr">
        <is>
          <t>{"aps":{"radius":60,"charges":6,"reload":12,"rockets":true,"shells":0.5,"direct":false,"missiles":true}}</t>
        </is>
      </c>
    </row>
    <row r="8">
      <c r="A8" t="inlineStr">
        <is>
          <t>coeus</t>
        </is>
      </c>
      <c r="B8" t="inlineStr">
        <is>
          <t>boss</t>
        </is>
      </c>
      <c r="C8" t="inlineStr"/>
      <c r="D8" t="inlineStr">
        <is>
          <t>khong</t>
        </is>
      </c>
      <c r="E8" t="inlineStr">
        <is>
          <t>khong</t>
        </is>
      </c>
      <c r="F8" t="inlineStr">
        <is>
          <t>khong</t>
        </is>
      </c>
      <c r="G8" t="inlineStr">
        <is>
          <t>khong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AC8" t="inlineStr">
        <is>
          <t>Assets/MachineBrigade/Resources/Data/balance.json: vehicles[175]</t>
        </is>
      </c>
      <c r="AD8" t="inlineStr">
        <is>
          <t>{"aps":null}</t>
        </is>
      </c>
    </row>
    <row r="9">
      <c r="A9" t="inlineStr">
        <is>
          <t>daedalus</t>
        </is>
      </c>
      <c r="B9" t="inlineStr">
        <is>
          <t>boss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khong</t>
        </is>
      </c>
      <c r="I9" t="inlineStr">
        <is>
          <t>khong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R9" t="n">
        <v>2</v>
      </c>
      <c r="U9" t="b">
        <v>1</v>
      </c>
      <c r="W9" t="n">
        <v>31.6</v>
      </c>
      <c r="X9" t="n">
        <v>1.6</v>
      </c>
      <c r="Z9" t="b">
        <v>1</v>
      </c>
      <c r="AC9" t="inlineStr">
        <is>
          <t>Assets/MachineBrigade/Resources/Data/balance.json: vehicles[160]</t>
        </is>
      </c>
      <c r="AD9" t="inlineStr">
        <is>
          <t>{"aps":{"radius":31.6,"charges":2,"recharge":1.6,"rockets":true,"laser":true}}</t>
        </is>
      </c>
    </row>
    <row r="10">
      <c r="A10" t="inlineStr">
        <is>
          <t>headquarters.shield</t>
        </is>
      </c>
      <c r="B10" t="inlineStr">
        <is>
          <t>cong_trinh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co</t>
        </is>
      </c>
      <c r="I10" t="inlineStr">
        <is>
          <t>co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P10" t="n">
        <v>0.5</v>
      </c>
      <c r="R10" t="n">
        <v>6</v>
      </c>
      <c r="W10" t="n">
        <v>45</v>
      </c>
      <c r="X10" t="n">
        <v>0.6</v>
      </c>
      <c r="Z10" t="b">
        <v>1</v>
      </c>
      <c r="AA10" t="n">
        <v>0.3</v>
      </c>
      <c r="AC10" t="inlineStr">
        <is>
          <t>Assets/MachineBrigade/Resources/Data/balance.json: vehicles[63]</t>
        </is>
      </c>
      <c r="AD10" t="inlineStr">
        <is>
          <t>{"aps":{"radius":45,"charges":6,"recharge":0.6,"rockets":true,"shells":0.3,"burst":0.5}}</t>
        </is>
      </c>
    </row>
    <row r="11">
      <c r="A11" t="inlineStr">
        <is>
          <t>icarus_mk0</t>
        </is>
      </c>
      <c r="B11" t="inlineStr">
        <is>
          <t>boss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R11" t="n">
        <v>3</v>
      </c>
      <c r="U11" t="b">
        <v>1</v>
      </c>
      <c r="W11" t="n">
        <v>19.5</v>
      </c>
      <c r="X11" t="n">
        <v>1.4</v>
      </c>
      <c r="Z11" t="b">
        <v>1</v>
      </c>
      <c r="AB11" t="inlineStr">
        <is>
          <t>PointDefense</t>
        </is>
      </c>
      <c r="AC11" t="inlineStr">
        <is>
          <t>Assets/MachineBrigade/Resources/Data/balance.json: vehicles[168]</t>
        </is>
      </c>
      <c r="AD11" t="inlineStr">
        <is>
          <t>{"aps":{"radius":19.5,"charges":3,"recharge":1.4,"rockets":true,"laser":true},"interceptionMode":"PointDefense"}</t>
        </is>
      </c>
    </row>
    <row r="12">
      <c r="A12" t="inlineStr">
        <is>
          <t>iron_beam</t>
        </is>
      </c>
      <c r="B12" t="inlineStr">
        <is>
          <t>xe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R12" t="n">
        <v>1</v>
      </c>
      <c r="U12" t="b">
        <v>1</v>
      </c>
      <c r="W12" t="n">
        <v>30</v>
      </c>
      <c r="X12" t="n">
        <v>0.8</v>
      </c>
      <c r="Z12" t="b">
        <v>1</v>
      </c>
      <c r="AA12" t="n">
        <v>0</v>
      </c>
      <c r="AB12" t="inlineStr">
        <is>
          <t>PointDefense</t>
        </is>
      </c>
      <c r="AC12" t="inlineStr">
        <is>
          <t>Assets/MachineBrigade/Resources/Data/balance.json: vehicles[38]</t>
        </is>
      </c>
      <c r="AD12" t="inlineStr">
        <is>
          <t>{"aps":{"radius":30,"shells":0,"charges":1,"recharge":0.8,"rockets":true,"laser":true},"interceptionMode":"PointDefense"}</t>
        </is>
      </c>
    </row>
    <row r="13">
      <c r="A13" t="inlineStr">
        <is>
          <t>landing_hovercraft</t>
        </is>
      </c>
      <c r="B13" t="inlineStr">
        <is>
          <t>boss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2</v>
      </c>
      <c r="W13" t="n">
        <v>22</v>
      </c>
      <c r="X13" t="n">
        <v>3</v>
      </c>
      <c r="Z13" t="b">
        <v>1</v>
      </c>
      <c r="AC13" t="inlineStr">
        <is>
          <t>Assets/MachineBrigade/Resources/Data/balance.json: vehicles[152]</t>
        </is>
      </c>
      <c r="AD13" t="inlineStr">
        <is>
          <t>{"aps":{"radius":22,"charges":2,"recharge":3,"rockets":true}}</t>
        </is>
      </c>
    </row>
    <row r="14">
      <c r="A14" t="inlineStr">
        <is>
          <t>laser_ad_station</t>
        </is>
      </c>
      <c r="B14" t="inlineStr">
        <is>
          <t>thap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1</v>
      </c>
      <c r="U14" t="b">
        <v>1</v>
      </c>
      <c r="W14" t="n">
        <v>40</v>
      </c>
      <c r="X14" t="n">
        <v>0.8</v>
      </c>
      <c r="Z14" t="b">
        <v>1</v>
      </c>
      <c r="AA14" t="n">
        <v>0</v>
      </c>
      <c r="AC14" t="inlineStr">
        <is>
          <t>Assets/MachineBrigade/Resources/Data/balance.json: vehicles[119]</t>
        </is>
      </c>
      <c r="AD14" t="inlineStr">
        <is>
          <t>{"aps":{"radius":40,"shells":0,"charges":1,"recharge":0.8,"rockets":true,"laser":true}}</t>
        </is>
      </c>
    </row>
    <row r="15">
      <c r="A15" t="inlineStr">
        <is>
          <t>leviathan</t>
        </is>
      </c>
      <c r="B15" t="inlineStr">
        <is>
          <t>boss</t>
        </is>
      </c>
      <c r="C15" t="inlineStr">
        <is>
          <t>POINT_DEFENSE</t>
        </is>
      </c>
      <c r="D15" t="inlineStr">
        <is>
          <t>co</t>
        </is>
      </c>
      <c r="E15" t="inlineStr">
        <is>
          <t>co</t>
        </is>
      </c>
      <c r="F15" t="inlineStr">
        <is>
          <t>co</t>
        </is>
      </c>
      <c r="G15" t="inlineStr">
        <is>
          <t>co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R15" t="n">
        <v>3</v>
      </c>
      <c r="W15" t="n">
        <v>30</v>
      </c>
      <c r="X15" t="n">
        <v>2.2</v>
      </c>
      <c r="Z15" t="b">
        <v>1</v>
      </c>
      <c r="AC15" t="inlineStr">
        <is>
          <t>Assets/MachineBrigade/Resources/Data/balance.json: vehicles[153]</t>
        </is>
      </c>
      <c r="AD15" t="inlineStr">
        <is>
          <t>{"aps":{"radius":30,"charges":3,"recharge":2.2,"rockets":true}}</t>
        </is>
      </c>
    </row>
    <row r="16">
      <c r="A16" t="inlineStr">
        <is>
          <t>main_battle_tank</t>
        </is>
      </c>
      <c r="B16" t="inlineStr">
        <is>
          <t>xe</t>
        </is>
      </c>
      <c r="C16" t="inlineStr">
        <is>
          <t>SELF_APS</t>
        </is>
      </c>
      <c r="D16" t="inlineStr">
        <is>
          <t>khong</t>
        </is>
      </c>
      <c r="E16" t="inlineStr">
        <is>
          <t>khong</t>
        </is>
      </c>
      <c r="F16" t="inlineStr">
        <is>
          <t>khong</t>
        </is>
      </c>
      <c r="G16" t="inlineStr">
        <is>
          <t>khong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M16" t="inlineStr">
        <is>
          <t>trophy_aps: r 20 m, 2 đạn chặn, 20 s/đạn chặn (RetrofitEligible)</t>
        </is>
      </c>
      <c r="N16" t="inlineStr">
        <is>
          <t>directMissile:co;drone:co;directRocket:co;artilleryRocket:khong;mortarShell:khong;artilleryShell:khong;tankShell:khong;bullet:khong;energy:khong</t>
        </is>
      </c>
      <c r="Q16" t="inlineStr">
        <is>
          <t>RetrofitEligible</t>
        </is>
      </c>
      <c r="AC16" t="inlineStr">
        <is>
          <t>Assets/MachineBrigade/Resources/Data/balance.json: vehicles[2]</t>
        </is>
      </c>
      <c r="AD16" t="inlineStr">
        <is>
          <t>{"apsCapability":"RetrofitEligible"}</t>
        </is>
      </c>
    </row>
    <row r="17">
      <c r="A17" t="inlineStr">
        <is>
          <t>mara_behemoth</t>
        </is>
      </c>
      <c r="B17" t="inlineStr">
        <is>
          <t>xe</t>
        </is>
      </c>
      <c r="C17" t="inlineStr">
        <is>
          <t>SELF_APS</t>
        </is>
      </c>
      <c r="D17" t="inlineStr">
        <is>
          <t>co</t>
        </is>
      </c>
      <c r="E17" t="inlineStr">
        <is>
          <t>co</t>
        </is>
      </c>
      <c r="F17" t="inlineStr">
        <is>
          <t>co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2</v>
      </c>
      <c r="W17" t="n">
        <v>11</v>
      </c>
      <c r="X17" t="n">
        <v>10</v>
      </c>
      <c r="AC17" t="inlineStr">
        <is>
          <t>Assets/MachineBrigade/Resources/Data/balance.json: vehicles[178]</t>
        </is>
      </c>
      <c r="AD17" t="inlineStr">
        <is>
          <t>{"aps":{"radius":11,"charges":2,"recharge":10}}</t>
        </is>
      </c>
    </row>
    <row r="18">
      <c r="A18" t="inlineStr">
        <is>
          <t>missile_battery.pac3</t>
        </is>
      </c>
      <c r="B18" t="inlineStr">
        <is>
          <t>thap</t>
        </is>
      </c>
      <c r="C18" t="inlineStr">
        <is>
          <t>SELF_APS</t>
        </is>
      </c>
      <c r="D18" t="inlineStr">
        <is>
          <t>khong</t>
        </is>
      </c>
      <c r="E18" t="inlineStr">
        <is>
          <t>khong</t>
        </is>
      </c>
      <c r="F18" t="inlineStr">
        <is>
          <t>khong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R18" t="n">
        <v>4</v>
      </c>
      <c r="S18" t="b">
        <v>0</v>
      </c>
      <c r="T18" t="b">
        <v>1</v>
      </c>
      <c r="V18" t="b">
        <v>1</v>
      </c>
      <c r="W18" t="n">
        <v>72</v>
      </c>
      <c r="Y18" t="n">
        <v>16</v>
      </c>
      <c r="AC18" t="inlineStr">
        <is>
          <t>Assets/MachineBrigade/Resources/Data/balance.json: vehicles[93]</t>
        </is>
      </c>
      <c r="AD18" t="inlineStr">
        <is>
          <t>{"aps":{"radius":72,"charges":4,"reload":16,"heavy":true,"direct":false,"missiles":true}}</t>
        </is>
      </c>
    </row>
    <row r="19">
      <c r="A19" t="inlineStr">
        <is>
          <t>next_gen_tank</t>
        </is>
      </c>
      <c r="B19" t="inlineStr">
        <is>
          <t>xe</t>
        </is>
      </c>
      <c r="C19" t="inlineStr">
        <is>
          <t>SELF_APS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khong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Q19" t="inlineStr">
        <is>
          <t>BuiltIn</t>
        </is>
      </c>
      <c r="R19" t="n">
        <v>2</v>
      </c>
      <c r="U19" t="b">
        <v>1</v>
      </c>
      <c r="W19" t="n">
        <v>20</v>
      </c>
      <c r="X19" t="n">
        <v>10</v>
      </c>
      <c r="Z19" t="b">
        <v>0</v>
      </c>
      <c r="AA19" t="n">
        <v>0</v>
      </c>
      <c r="AB19" t="inlineStr">
        <is>
          <t>SelfAps</t>
        </is>
      </c>
      <c r="AC19" t="inlineStr">
        <is>
          <t>Assets/MachineBrigade/Resources/Data/balance.json: vehicles[122]</t>
        </is>
      </c>
      <c r="AD19" t="inlineStr">
        <is>
          <t>{"aps":{"radius":20,"shells":0,"charges":2,"recharge":10,"rockets":false,"laser":true},"apsCapability":"BuiltIn","interceptionMode":"SelfAps"}</t>
        </is>
      </c>
    </row>
    <row r="20">
      <c r="A20" t="inlineStr">
        <is>
          <t>sea_corvette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R20" t="n">
        <v>2</v>
      </c>
      <c r="W20" t="n">
        <v>32</v>
      </c>
      <c r="X20" t="n">
        <v>2.5</v>
      </c>
      <c r="Z20" t="b">
        <v>1</v>
      </c>
      <c r="AB20" t="inlineStr">
        <is>
          <t>PointDefense</t>
        </is>
      </c>
      <c r="AC20" t="inlineStr">
        <is>
          <t>Assets/MachineBrigade/Resources/Data/balance.json: vehicles[154]</t>
        </is>
      </c>
      <c r="AD20" t="inlineStr">
        <is>
          <t>{"aps":{"radius":32,"charges":2,"recharge":2.5,"rockets":true},"interceptionMode":"PointDefense"}</t>
        </is>
      </c>
    </row>
    <row r="21">
      <c r="A21" t="inlineStr">
        <is>
          <t>sea_cruiser</t>
        </is>
      </c>
      <c r="B21" t="inlineStr">
        <is>
          <t>xe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2</v>
      </c>
      <c r="W21" t="n">
        <v>30</v>
      </c>
      <c r="X21" t="n">
        <v>2.4</v>
      </c>
      <c r="Z21" t="b">
        <v>1</v>
      </c>
      <c r="AB21" t="inlineStr">
        <is>
          <t>PointDefense</t>
        </is>
      </c>
      <c r="AC21" t="inlineStr">
        <is>
          <t>Assets/MachineBrigade/Resources/Data/balance.json: vehicles[155]</t>
        </is>
      </c>
      <c r="AD21" t="inlineStr">
        <is>
          <t>{"aps":{"radius":30,"charges":2,"recharge":2.4,"rockets":true},"interceptionMode":"PointDefense"}</t>
        </is>
      </c>
    </row>
    <row r="22">
      <c r="A22" t="inlineStr">
        <is>
          <t>silver_bug</t>
        </is>
      </c>
      <c r="B22" t="inlineStr">
        <is>
          <t>boss</t>
        </is>
      </c>
      <c r="C22" t="inlineStr">
        <is>
          <t>POINT_DEFENSE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co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R22" t="n">
        <v>3</v>
      </c>
      <c r="U22" t="b">
        <v>1</v>
      </c>
      <c r="W22" t="n">
        <v>49.6</v>
      </c>
      <c r="X22" t="n">
        <v>1.4</v>
      </c>
      <c r="Z22" t="b">
        <v>1</v>
      </c>
      <c r="AC22" t="inlineStr">
        <is>
          <t>Assets/MachineBrigade/Resources/Data/balance.json: vehicles[144]</t>
        </is>
      </c>
      <c r="AD22" t="inlineStr">
        <is>
          <t>{"aps":{"radius":49.6,"charges":3,"recharge":1.4,"rockets":true,"laser":true}}</t>
        </is>
      </c>
    </row>
    <row r="23">
      <c r="A23" t="inlineStr">
        <is>
          <t>theia</t>
        </is>
      </c>
      <c r="B23" t="inlineStr">
        <is>
          <t>boss</t>
        </is>
      </c>
      <c r="C23" t="inlineStr">
        <is>
          <t>POINT_DEFENSE</t>
        </is>
      </c>
      <c r="D23" t="inlineStr">
        <is>
          <t>co</t>
        </is>
      </c>
      <c r="E23" t="inlineStr">
        <is>
          <t>co</t>
        </is>
      </c>
      <c r="F23" t="inlineStr">
        <is>
          <t>co</t>
        </is>
      </c>
      <c r="G23" t="inlineStr">
        <is>
          <t>co</t>
        </is>
      </c>
      <c r="H23" t="inlineStr">
        <is>
          <t>khong</t>
        </is>
      </c>
      <c r="I23" t="inlineStr">
        <is>
          <t>khong</t>
        </is>
      </c>
      <c r="J23" t="inlineStr">
        <is>
          <t>khong</t>
        </is>
      </c>
      <c r="K23" t="inlineStr">
        <is>
          <t>khong</t>
        </is>
      </c>
      <c r="L23" t="inlineStr">
        <is>
          <t>khong</t>
        </is>
      </c>
      <c r="R23" t="n">
        <v>3</v>
      </c>
      <c r="U23" t="b">
        <v>1</v>
      </c>
      <c r="W23" t="n">
        <v>20</v>
      </c>
      <c r="X23" t="n">
        <v>1.4</v>
      </c>
      <c r="Z23" t="b">
        <v>1</v>
      </c>
      <c r="AC23" t="inlineStr">
        <is>
          <t>Assets/MachineBrigade/Resources/Data/balance.json: vehicles[174]</t>
        </is>
      </c>
      <c r="AD23" t="inlineStr">
        <is>
          <t>{"aps":{"radius":20,"charges":3,"recharge":1.4,"rockets":true,"laser":true}}</t>
        </is>
      </c>
    </row>
    <row r="24">
      <c r="A24" t="inlineStr">
        <is>
          <t>titan_tank</t>
        </is>
      </c>
      <c r="B24" t="inlineStr">
        <is>
          <t>xe</t>
        </is>
      </c>
      <c r="C24" t="inlineStr">
        <is>
          <t>SELF_APS</t>
        </is>
      </c>
      <c r="D24" t="inlineStr">
        <is>
          <t>co</t>
        </is>
      </c>
      <c r="E24" t="inlineStr">
        <is>
          <t>co</t>
        </is>
      </c>
      <c r="F24" t="inlineStr">
        <is>
          <t>co</t>
        </is>
      </c>
      <c r="G24" t="inlineStr">
        <is>
          <t>khong</t>
        </is>
      </c>
      <c r="H24" t="inlineStr">
        <is>
          <t>khong</t>
        </is>
      </c>
      <c r="I24" t="inlineStr">
        <is>
          <t>khong</t>
        </is>
      </c>
      <c r="J24" t="inlineStr">
        <is>
          <t>khong</t>
        </is>
      </c>
      <c r="K24" t="inlineStr">
        <is>
          <t>khong</t>
        </is>
      </c>
      <c r="L24" t="inlineStr">
        <is>
          <t>khong</t>
        </is>
      </c>
      <c r="Q24" t="inlineStr">
        <is>
          <t>BuiltIn</t>
        </is>
      </c>
      <c r="R24" t="n">
        <v>3</v>
      </c>
      <c r="W24" t="n">
        <v>20</v>
      </c>
      <c r="X24" t="n">
        <v>10</v>
      </c>
      <c r="AC24" t="inlineStr">
        <is>
          <t>Assets/MachineBrigade/Resources/Data/balance.json: vehicles[20]</t>
        </is>
      </c>
      <c r="AD24" t="inlineStr">
        <is>
          <t>{"aps":{"radius":20,"recharge":10,"charges":3},"apsCapability":"BuiltIn"}</t>
        </is>
      </c>
    </row>
  </sheetData>
  <autoFilter ref="A1:AD2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5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4;8</t>
        </is>
      </c>
      <c r="F2" t="inlineStr">
        <is>
          <t>FlareDispenser (10_trang_bi/Trang_bi_mo_dun)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4;6</t>
        </is>
      </c>
      <c r="F3" t="inlineStr">
        <is>
          <t>FlareDispenser (10_trang_bi/Trang_bi_mo_dun)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4;6</t>
        </is>
      </c>
      <c r="F4" t="inlineStr">
        <is>
          <t>FlareDispenser (10_trang_bi/Trang_bi_mo_dun)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1;1</t>
        </is>
      </c>
      <c r="F5" t="inlineStr">
        <is>
          <t>FlareDispenser (10_trang_bi/Trang_bi_mo_dun)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1;1</t>
        </is>
      </c>
      <c r="F6" t="inlineStr">
        <is>
          <t>FlareDispenser (10_trang_bi/Trang_bi_mo_dun)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8;16</t>
        </is>
      </c>
      <c r="F7" t="inlineStr">
        <is>
          <t>FlareDispenser (10_trang_bi/Trang_bi_mo_dun)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4;8</t>
        </is>
      </c>
      <c r="F8" t="inlineStr">
        <is>
          <t>FlareDispenser (10_trang_bi/Trang_bi_mo_dun)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8;16</t>
        </is>
      </c>
      <c r="F9" t="inlineStr">
        <is>
          <t>FlareDispenser (10_trang_bi/Trang_bi_mo_dun)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4;6</t>
        </is>
      </c>
      <c r="F10" t="inlineStr">
        <is>
          <t>FlareDispenser (10_trang_bi/Trang_bi_mo_dun)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8;16</t>
        </is>
      </c>
      <c r="F11" t="inlineStr">
        <is>
          <t>FlareDispenser (10_trang_bi/Trang_bi_mo_dun)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4;8</t>
        </is>
      </c>
      <c r="F12" t="inlineStr">
        <is>
          <t>FlareDispenser (10_trang_bi/Trang_bi_mo_dun)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7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dẫn đường 33%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0% vũ khí có vòng cảnh báo</t>
        </is>
      </c>
      <c r="G2" t="n">
        <v>0.8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122</v>
      </c>
      <c r="C3" t="inlineStr">
        <is>
          <t>đón đầu (led, trần 3 s)</t>
        </is>
      </c>
      <c r="D3" t="inlineStr">
        <is>
          <t>nổ lan 35%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100%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52</v>
      </c>
      <c r="C6" t="inlineStr">
        <is>
          <t>dẫn đường (homing)</t>
        </is>
      </c>
      <c r="D6" t="inlineStr">
        <is>
          <t>nổ lan 54%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5.7143</v>
      </c>
      <c r="H6" t="inlineStr">
        <is>
          <t>pháo sáng mồi 79%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29</v>
      </c>
      <c r="C7" t="inlineStr">
        <is>
          <t>dẫn đường 3%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0% vũ khí có vòng cảnh báo</t>
        </is>
      </c>
      <c r="G7" t="n">
        <v>1.75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136</v>
      </c>
      <c r="C8" t="inlineStr">
        <is>
          <t>dẫn đường 10% vũ khí, còn lại đón đầu (trần 3 s)</t>
        </is>
      </c>
      <c r="D8" t="inlineStr">
        <is>
          <t>nổ lan 81%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0% vũ khí có vòng cảnh báo</t>
        </is>
      </c>
      <c r="G8" t="n">
        <v>2.125</v>
      </c>
      <c r="H8" t="inlineStr">
        <is>
          <t>pháo sáng mồi 0% vũ khí (xác suất 0.35)</t>
        </is>
      </c>
      <c r="I8" t="inlineStr">
        <is>
          <t>APS chặn được 100%,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0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0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n">
        <v>26</v>
      </c>
      <c r="G3" t="n">
        <v>1.5</v>
      </c>
      <c r="H3" t="n">
        <v>140</v>
      </c>
      <c r="I3" t="n">
        <v>2.5</v>
      </c>
      <c r="J3" t="n">
        <v>0</v>
      </c>
      <c r="K3" t="n">
        <v>70</v>
      </c>
      <c r="L3" t="n">
        <v>2.692</v>
      </c>
      <c r="O3" t="inlineStr">
        <is>
          <t>fpv_drone</t>
        </is>
      </c>
      <c r="P3" t="n">
        <v>1.66</v>
      </c>
      <c r="Q3" t="n">
        <v>1.44</v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n">
        <v>26</v>
      </c>
      <c r="G4" t="n">
        <v>1.5</v>
      </c>
      <c r="H4" t="n">
        <v>140</v>
      </c>
      <c r="I4" t="n">
        <v>2.5</v>
      </c>
      <c r="J4" t="n">
        <v>0</v>
      </c>
      <c r="K4" t="n">
        <v>70</v>
      </c>
      <c r="L4" t="n">
        <v>2.692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75</v>
      </c>
      <c r="L5" t="n">
        <v>2.885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n">
        <v>28</v>
      </c>
      <c r="G6" t="n">
        <v>3</v>
      </c>
      <c r="H6" t="n">
        <v>240</v>
      </c>
      <c r="I6" t="n">
        <v>3</v>
      </c>
      <c r="J6" t="n">
        <v>0</v>
      </c>
      <c r="K6" t="n">
        <v>100</v>
      </c>
      <c r="L6" t="n">
        <v>3.571</v>
      </c>
      <c r="O6" t="inlineStr">
        <is>
          <t>lancet</t>
        </is>
      </c>
      <c r="P6" t="n">
        <v>2.8</v>
      </c>
      <c r="Q6" t="n">
        <v>1.5</v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n">
        <v>28</v>
      </c>
      <c r="G7" t="n">
        <v>3</v>
      </c>
      <c r="H7" t="n">
        <v>240</v>
      </c>
      <c r="I7" t="n">
        <v>3</v>
      </c>
      <c r="J7" t="n">
        <v>0</v>
      </c>
      <c r="K7" t="n">
        <v>100</v>
      </c>
      <c r="L7" t="n">
        <v>3.571</v>
      </c>
      <c r="O7" t="inlineStr">
        <is>
          <t>lancet</t>
        </is>
      </c>
      <c r="P7" t="n">
        <v>2.8</v>
      </c>
      <c r="Q7" t="n">
        <v>1.5</v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n">
        <v>28</v>
      </c>
      <c r="G8" t="n">
        <v>3</v>
      </c>
      <c r="H8" t="n">
        <v>320</v>
      </c>
      <c r="I8" t="n">
        <v>3</v>
      </c>
      <c r="J8" t="n">
        <v>6</v>
      </c>
      <c r="K8" t="n">
        <v>70</v>
      </c>
      <c r="L8" t="n">
        <v>2.5</v>
      </c>
      <c r="O8" t="inlineStr">
        <is>
          <t>lancet</t>
        </is>
      </c>
      <c r="P8" t="n">
        <v>2.8</v>
      </c>
      <c r="Q8" t="n">
        <v>1.44</v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n">
        <v>28</v>
      </c>
      <c r="G9" t="n">
        <v>3</v>
      </c>
      <c r="H9" t="n">
        <v>240</v>
      </c>
      <c r="I9" t="n">
        <v>3</v>
      </c>
      <c r="J9" t="n">
        <v>0</v>
      </c>
      <c r="K9" t="n">
        <v>70</v>
      </c>
      <c r="L9" t="n">
        <v>2.5</v>
      </c>
      <c r="O9" t="inlineStr">
        <is>
          <t>lancet</t>
        </is>
      </c>
      <c r="P9" t="n">
        <v>2.8</v>
      </c>
      <c r="Q9" t="n">
        <v>1.5</v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drone_mothership;theia</t>
        </is>
      </c>
      <c r="E10" t="n">
        <v>28</v>
      </c>
      <c r="G10" t="n">
        <v>3</v>
      </c>
      <c r="H10" t="n">
        <v>320</v>
      </c>
      <c r="I10" t="n">
        <v>3</v>
      </c>
      <c r="J10" t="n">
        <v>6</v>
      </c>
      <c r="K10" t="n">
        <v>70</v>
      </c>
      <c r="L10" t="n">
        <v>2.5</v>
      </c>
      <c r="O10" t="inlineStr">
        <is>
          <t>lancet</t>
        </is>
      </c>
      <c r="P10" t="n">
        <v>2.8</v>
      </c>
      <c r="Q10" t="n">
        <v>1.44</v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382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n">
        <v>20</v>
      </c>
      <c r="G12" t="n">
        <v>50</v>
      </c>
      <c r="H12" t="n">
        <v>344</v>
      </c>
      <c r="I12" t="n">
        <v>4.5</v>
      </c>
      <c r="J12" t="n">
        <v>0</v>
      </c>
      <c r="K12" t="n">
        <v>150</v>
      </c>
      <c r="L12" t="n">
        <v>7.5</v>
      </c>
      <c r="O12" t="inlineStr">
        <is>
          <t>shahed</t>
        </is>
      </c>
      <c r="P12" t="n">
        <v>5.2</v>
      </c>
      <c r="Q12" t="n">
        <v>1.56</v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400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n">
        <v>26</v>
      </c>
      <c r="G14" t="n">
        <v>1.5</v>
      </c>
      <c r="H14" t="n">
        <v>140</v>
      </c>
      <c r="I14" t="n">
        <v>2.5</v>
      </c>
      <c r="J14" t="n">
        <v>0</v>
      </c>
      <c r="K14" t="n">
        <v>60</v>
      </c>
      <c r="L14" t="n">
        <v>2.308</v>
      </c>
      <c r="O14" t="inlineStr">
        <is>
          <t>fpv_drone</t>
        </is>
      </c>
      <c r="P14" t="n">
        <v>1.66</v>
      </c>
      <c r="Q14" t="n">
        <v>1.44</v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50" customWidth="1" min="3" max="3"/>
    <col width="10" customWidth="1" min="4" max="4"/>
    <col width="17" customWidth="1" min="5" max="5"/>
    <col width="19" customWidth="1" min="6" max="6"/>
    <col width="20" customWidth="1" min="7" max="7"/>
    <col width="17" customWidth="1" min="8" max="8"/>
    <col width="14" customWidth="1" min="9" max="9"/>
    <col width="18" customWidth="1" min="10" max="10"/>
    <col width="9" customWidth="1" min="11" max="11"/>
    <col width="17" customWidth="1" min="12" max="12"/>
    <col width="60" customWidth="1" min="13" max="13"/>
    <col width="16" customWidth="1" min="14" max="14"/>
    <col width="19" customWidth="1" min="15" max="15"/>
    <col width="26" customWidth="1" min="16" max="16"/>
    <col width="17" customWidth="1" min="17" max="17"/>
    <col width="17" customWidth="1" min="18" max="18"/>
    <col width="60" customWidth="1" min="19" max="19"/>
    <col width="60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ten_that</t>
        </is>
      </c>
      <c r="D1" s="1" t="inlineStr">
        <is>
          <t>kieu_dan</t>
        </is>
      </c>
      <c r="E1" s="1" t="inlineStr">
        <is>
          <t>co_can_tam_nhin</t>
        </is>
      </c>
      <c r="F1" s="1" t="inlineStr">
        <is>
          <t>toc_do_quay_deg_s</t>
        </is>
      </c>
      <c r="G1" s="1" t="inlineStr">
        <is>
          <t>gia_toc_ngang_m_s2</t>
        </is>
      </c>
      <c r="H1" s="1" t="inlineStr">
        <is>
          <t>ban_kinh_quay_m</t>
        </is>
      </c>
      <c r="I1" s="1" t="inlineStr">
        <is>
          <t>he_so_bam</t>
        </is>
      </c>
      <c r="J1" s="1" t="inlineStr">
        <is>
          <t>thoi_gian_khoa_s</t>
        </is>
      </c>
      <c r="K1" s="1" t="inlineStr">
        <is>
          <t>quy_dao</t>
        </is>
      </c>
      <c r="L1" s="1" t="inlineStr">
        <is>
          <t>ngoi_can_dich_m</t>
        </is>
      </c>
      <c r="M1" s="1" t="inlineStr">
        <is>
          <t>ty_le_trung</t>
        </is>
      </c>
      <c r="N1" s="1" t="inlineStr">
        <is>
          <t>jam_miss_min_m</t>
        </is>
      </c>
      <c r="O1" s="1" t="inlineStr">
        <is>
          <t>jam_miss_spread_m</t>
        </is>
      </c>
      <c r="P1" s="1" t="inlineStr">
        <is>
          <t>thoi_gian_giua_hai_qua_s</t>
        </is>
      </c>
      <c r="Q1" s="1" t="inlineStr">
        <is>
          <t>so_qua_moi_bang</t>
        </is>
      </c>
      <c r="R1" s="1" t="inlineStr">
        <is>
          <t>vertical_launch</t>
        </is>
      </c>
      <c r="S1" s="1" t="inlineStr">
        <is>
          <t>mang_boi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air_cruise_missile</t>
        </is>
      </c>
      <c r="B2" t="inlineStr">
        <is>
          <t>air_cruise_missile</t>
        </is>
      </c>
      <c r="C2" t="inlineStr">
        <is>
          <t>Kh-101 (400 kg)</t>
        </is>
      </c>
      <c r="D2" t="inlineStr">
        <is>
          <t>khong_dan</t>
        </is>
      </c>
      <c r="E2" t="b">
        <v>0</v>
      </c>
      <c r="F2" t="inlineStr">
        <is>
          <t>KHONG_AP_DUNG</t>
        </is>
      </c>
      <c r="G2" t="inlineStr">
        <is>
          <t>KHONG_AP_DUNG</t>
        </is>
      </c>
      <c r="H2" t="inlineStr">
        <is>
          <t>KHONG_AP_DUNG</t>
        </is>
      </c>
      <c r="I2" t="inlineStr">
        <is>
          <t>KHONG_AP_DUNG</t>
        </is>
      </c>
      <c r="J2" t="inlineStr">
        <is>
          <t>KHONG_AP_DUNG</t>
        </is>
      </c>
      <c r="K2" t="inlineStr">
        <is>
          <t>Direct</t>
        </is>
      </c>
      <c r="L2" t="n">
        <v>7</v>
      </c>
      <c r="M2" t="inlineStr">
        <is>
          <t>xem mô tả cột (phụ thuộc tầm bắn, không phụ thuộc tốc độ mục tiêu)</t>
        </is>
      </c>
      <c r="N2" t="n">
        <v>5</v>
      </c>
      <c r="O2" t="n">
        <v>6</v>
      </c>
      <c r="P2" t="n">
        <v>0.1</v>
      </c>
      <c r="Q2" t="n">
        <v>0</v>
      </c>
      <c r="R2" t="inlineStr">
        <is>
          <t>KHONG_AP_DUNG</t>
        </is>
      </c>
      <c r="S2" t="inlineStr">
        <is>
          <t>heavy_bomber</t>
        </is>
      </c>
      <c r="T2" t="inlineStr">
        <is>
          <t>Assets/MachineBrigade/Resources/Data/balance.json: weapons[air_cruise_missile] (guided/weaponFamilyId) + munitionRules.radarGuided/sightGuided</t>
        </is>
      </c>
      <c r="U2" t="inlineStr"/>
    </row>
    <row r="3">
      <c r="A3" t="inlineStr">
        <is>
          <t>air_to_air</t>
        </is>
      </c>
      <c r="B3" t="inlineStr">
        <is>
          <t>air_to_air</t>
        </is>
      </c>
      <c r="C3" t="inlineStr">
        <is>
          <t>AIM-120 AMRAAM</t>
        </is>
      </c>
      <c r="D3" t="inlineStr">
        <is>
          <t>khong_dan</t>
        </is>
      </c>
      <c r="E3" t="b">
        <v>0</v>
      </c>
      <c r="F3" t="inlineStr">
        <is>
          <t>KHONG_AP_DUNG</t>
        </is>
      </c>
      <c r="G3" t="inlineStr">
        <is>
          <t>KHONG_AP_DUNG</t>
        </is>
      </c>
      <c r="H3" t="inlineStr">
        <is>
          <t>KHONG_AP_DUNG</t>
        </is>
      </c>
      <c r="I3" t="inlineStr">
        <is>
          <t>KHONG_AP_DUNG</t>
        </is>
      </c>
      <c r="J3" t="inlineStr">
        <is>
          <t>KHONG_AP_DUNG</t>
        </is>
      </c>
      <c r="K3" t="inlineStr">
        <is>
          <t>Direct</t>
        </is>
      </c>
      <c r="L3" t="n">
        <v>7</v>
      </c>
      <c r="M3" t="inlineStr">
        <is>
          <t>xem mô tả cột (phụ thuộc tầm bắn, không phụ thuộc tốc độ mục tiêu)</t>
        </is>
      </c>
      <c r="N3" t="n">
        <v>5</v>
      </c>
      <c r="O3" t="n">
        <v>6</v>
      </c>
      <c r="P3" t="n">
        <v>0.1</v>
      </c>
      <c r="Q3" t="n">
        <v>0</v>
      </c>
      <c r="R3" t="inlineStr">
        <is>
          <t>KHONG_AP_DUNG</t>
        </is>
      </c>
      <c r="S3" t="inlineStr">
        <is>
          <t>fighter_jet;stealth_fighter</t>
        </is>
      </c>
      <c r="T3" t="inlineStr">
        <is>
          <t>Assets/MachineBrigade/Resources/Data/balance.json: weapons[air_to_air] (guided/weaponFamilyId) + munitionRules.radarGuided/sightGuided</t>
        </is>
      </c>
      <c r="U3" t="inlineStr"/>
    </row>
    <row r="4">
      <c r="A4" t="inlineStr">
        <is>
          <t>anti_ship_missile</t>
        </is>
      </c>
      <c r="B4" t="inlineStr">
        <is>
          <t>anti_ship_missile</t>
        </is>
      </c>
      <c r="C4" t="inlineStr">
        <is>
          <t>NSM / P-800 Oniks</t>
        </is>
      </c>
      <c r="D4" t="inlineStr">
        <is>
          <t>khong_dan</t>
        </is>
      </c>
      <c r="E4" t="b">
        <v>0</v>
      </c>
      <c r="F4" t="inlineStr">
        <is>
          <t>KHONG_AP_DUNG</t>
        </is>
      </c>
      <c r="G4" t="inlineStr">
        <is>
          <t>KHONG_AP_DUNG</t>
        </is>
      </c>
      <c r="H4" t="inlineStr">
        <is>
          <t>KHONG_AP_DUNG</t>
        </is>
      </c>
      <c r="I4" t="inlineStr">
        <is>
          <t>KHONG_AP_DUNG</t>
        </is>
      </c>
      <c r="J4" t="inlineStr">
        <is>
          <t>KHONG_AP_DUNG</t>
        </is>
      </c>
      <c r="K4" t="inlineStr">
        <is>
          <t>Loft</t>
        </is>
      </c>
      <c r="L4" t="n">
        <v>7</v>
      </c>
      <c r="M4" t="inlineStr">
        <is>
          <t>xem mô tả cột (phụ thuộc tầm bắn, không phụ thuộc tốc độ mục tiêu)</t>
        </is>
      </c>
      <c r="N4" t="n">
        <v>5</v>
      </c>
      <c r="O4" t="n">
        <v>6</v>
      </c>
      <c r="P4" t="n">
        <v>0.1</v>
      </c>
      <c r="Q4" t="n">
        <v>0</v>
      </c>
      <c r="R4" t="inlineStr">
        <is>
          <t>KHONG_AP_DUNG</t>
        </is>
      </c>
      <c r="S4" t="inlineStr"/>
      <c r="T4" t="inlineStr">
        <is>
          <t>Assets/MachineBrigade/Resources/Data/balance.json: weapons[anti_ship_missile] (guided/weaponFamilyId) + munitionRules.radarGuided/sightGuided</t>
        </is>
      </c>
      <c r="U4" t="inlineStr"/>
    </row>
    <row r="5">
      <c r="A5" t="inlineStr">
        <is>
          <t>atgm</t>
        </is>
      </c>
      <c r="B5" t="inlineStr">
        <is>
          <t>atgm</t>
        </is>
      </c>
      <c r="C5" t="inlineStr">
        <is>
          <t>BGM-71 TOW-2</t>
        </is>
      </c>
      <c r="D5" t="inlineStr">
        <is>
          <t>khong_dan</t>
        </is>
      </c>
      <c r="E5" t="b">
        <v>0</v>
      </c>
      <c r="F5" t="inlineStr">
        <is>
          <t>KHONG_AP_DUNG</t>
        </is>
      </c>
      <c r="G5" t="inlineStr">
        <is>
          <t>KHONG_AP_DUNG</t>
        </is>
      </c>
      <c r="H5" t="inlineStr">
        <is>
          <t>KHONG_AP_DUNG</t>
        </is>
      </c>
      <c r="I5" t="inlineStr">
        <is>
          <t>KHONG_AP_DUNG</t>
        </is>
      </c>
      <c r="J5" t="inlineStr">
        <is>
          <t>KHONG_AP_DUNG</t>
        </is>
      </c>
      <c r="K5" t="inlineStr">
        <is>
          <t>Direct</t>
        </is>
      </c>
      <c r="L5" t="n">
        <v>7</v>
      </c>
      <c r="M5" t="inlineStr">
        <is>
          <t>xem mô tả cột (phụ thuộc tầm bắn, không phụ thuộc tốc độ mục tiêu)</t>
        </is>
      </c>
      <c r="N5" t="n">
        <v>5</v>
      </c>
      <c r="O5" t="n">
        <v>6</v>
      </c>
      <c r="P5" t="n">
        <v>0.1</v>
      </c>
      <c r="Q5" t="n">
        <v>0</v>
      </c>
      <c r="R5" t="inlineStr">
        <is>
          <t>KHONG_AP_DUNG</t>
        </is>
      </c>
      <c r="S5" t="inlineStr">
        <is>
          <t>elite_apc;ifv;titan_tank</t>
        </is>
      </c>
      <c r="T5" t="inlineStr">
        <is>
          <t>Assets/MachineBrigade/Resources/Data/balance.json: weapons[atgm] (guided/weaponFamilyId) + munitionRules.radarGuided/sightGuided</t>
        </is>
      </c>
      <c r="U5" t="inlineStr"/>
    </row>
    <row r="6">
      <c r="A6" t="inlineStr">
        <is>
          <t>atgm_heavy</t>
        </is>
      </c>
      <c r="B6" t="inlineStr">
        <is>
          <t>atgm_heavy</t>
        </is>
      </c>
      <c r="C6" t="inlineStr">
        <is>
          <t>9M133 Kornet</t>
        </is>
      </c>
      <c r="D6" t="inlineStr">
        <is>
          <t>khong_dan</t>
        </is>
      </c>
      <c r="E6" t="b">
        <v>0</v>
      </c>
      <c r="F6" t="inlineStr">
        <is>
          <t>KHONG_AP_DUNG</t>
        </is>
      </c>
      <c r="G6" t="inlineStr">
        <is>
          <t>KHONG_AP_DUNG</t>
        </is>
      </c>
      <c r="H6" t="inlineStr">
        <is>
          <t>KHONG_AP_DUNG</t>
        </is>
      </c>
      <c r="I6" t="inlineStr">
        <is>
          <t>KHONG_AP_DUNG</t>
        </is>
      </c>
      <c r="J6" t="inlineStr">
        <is>
          <t>KHONG_AP_DUNG</t>
        </is>
      </c>
      <c r="K6" t="inlineStr">
        <is>
          <t>Direct</t>
        </is>
      </c>
      <c r="L6" t="n">
        <v>7</v>
      </c>
      <c r="M6" t="inlineStr">
        <is>
          <t>xem mô tả cột (phụ thuộc tầm bắn, không phụ thuộc tốc độ mục tiêu)</t>
        </is>
      </c>
      <c r="N6" t="n">
        <v>5</v>
      </c>
      <c r="O6" t="n">
        <v>6</v>
      </c>
      <c r="P6" t="n">
        <v>0.7</v>
      </c>
      <c r="Q6" t="n">
        <v>0</v>
      </c>
      <c r="R6" t="inlineStr">
        <is>
          <t>KHONG_AP_DUNG</t>
        </is>
      </c>
      <c r="S6" t="inlineStr"/>
      <c r="T6" t="inlineStr">
        <is>
          <t>Assets/MachineBrigade/Resources/Data/balance.json: weapons[atgm_heavy] (guided/weaponFamilyId) + munitionRules.radarGuided/sightGuided</t>
        </is>
      </c>
      <c r="U6" t="inlineStr"/>
    </row>
    <row r="7">
      <c r="A7" t="inlineStr">
        <is>
          <t>atgm_post</t>
        </is>
      </c>
      <c r="B7" t="inlineStr">
        <is>
          <t>atgm_post</t>
        </is>
      </c>
      <c r="C7" t="inlineStr">
        <is>
          <t>9M113 Konkurs</t>
        </is>
      </c>
      <c r="D7" t="inlineStr">
        <is>
          <t>khong_dan</t>
        </is>
      </c>
      <c r="E7" t="b">
        <v>0</v>
      </c>
      <c r="F7" t="inlineStr">
        <is>
          <t>KHONG_AP_DUNG</t>
        </is>
      </c>
      <c r="G7" t="inlineStr">
        <is>
          <t>KHONG_AP_DUNG</t>
        </is>
      </c>
      <c r="H7" t="inlineStr">
        <is>
          <t>KHONG_AP_DUNG</t>
        </is>
      </c>
      <c r="I7" t="inlineStr">
        <is>
          <t>KHONG_AP_DUNG</t>
        </is>
      </c>
      <c r="J7" t="inlineStr">
        <is>
          <t>KHONG_AP_DUNG</t>
        </is>
      </c>
      <c r="K7" t="inlineStr">
        <is>
          <t>Direct</t>
        </is>
      </c>
      <c r="L7" t="n">
        <v>7</v>
      </c>
      <c r="M7" t="inlineStr">
        <is>
          <t>xem mô tả cột (phụ thuộc tầm bắn, không phụ thuộc tốc độ mục tiêu)</t>
        </is>
      </c>
      <c r="N7" t="n">
        <v>5</v>
      </c>
      <c r="O7" t="n">
        <v>6</v>
      </c>
      <c r="P7" t="n">
        <v>0.1</v>
      </c>
      <c r="Q7" t="n">
        <v>0</v>
      </c>
      <c r="R7" t="inlineStr">
        <is>
          <t>KHONG_AP_DUNG</t>
        </is>
      </c>
      <c r="S7" t="inlineStr"/>
      <c r="T7" t="inlineStr">
        <is>
          <t>Assets/MachineBrigade/Resources/Data/balance.json: weapons[atgm_post] (guided/weaponFamilyId) + munitionRules.radarGuided/sightGuided</t>
        </is>
      </c>
      <c r="U7" t="inlineStr"/>
    </row>
    <row r="8">
      <c r="A8" t="inlineStr">
        <is>
          <t>boss_missiles</t>
        </is>
      </c>
      <c r="B8" t="inlineStr">
        <is>
          <t>boss_missiles</t>
        </is>
      </c>
      <c r="C8" t="inlineStr">
        <is>
          <t>9M133 Kornet</t>
        </is>
      </c>
      <c r="D8" t="inlineStr">
        <is>
          <t>khong_dan</t>
        </is>
      </c>
      <c r="E8" t="b">
        <v>0</v>
      </c>
      <c r="F8" t="inlineStr">
        <is>
          <t>KHONG_AP_DUNG</t>
        </is>
      </c>
      <c r="G8" t="inlineStr">
        <is>
          <t>KHONG_AP_DUNG</t>
        </is>
      </c>
      <c r="H8" t="inlineStr">
        <is>
          <t>KHONG_AP_DUNG</t>
        </is>
      </c>
      <c r="I8" t="inlineStr">
        <is>
          <t>KHONG_AP_DUNG</t>
        </is>
      </c>
      <c r="J8" t="inlineStr">
        <is>
          <t>KHONG_AP_DUNG</t>
        </is>
      </c>
      <c r="K8" t="inlineStr">
        <is>
          <t>Direct</t>
        </is>
      </c>
      <c r="L8" t="n">
        <v>7</v>
      </c>
      <c r="M8" t="inlineStr">
        <is>
          <t>xem mô tả cột (phụ thuộc tầm bắn, không phụ thuộc tốc độ mục tiêu)</t>
        </is>
      </c>
      <c r="N8" t="n">
        <v>5</v>
      </c>
      <c r="O8" t="n">
        <v>6</v>
      </c>
      <c r="P8" t="n">
        <v>0.1</v>
      </c>
      <c r="Q8" t="n">
        <v>0</v>
      </c>
      <c r="R8" t="inlineStr">
        <is>
          <t>KHONG_AP_DUNG</t>
        </is>
      </c>
      <c r="S8" t="inlineStr">
        <is>
          <t>mara_behemoth</t>
        </is>
      </c>
      <c r="T8" t="inlineStr">
        <is>
          <t>Assets/MachineBrigade/Resources/Data/balance.json: weapons[boss_missiles] (guided/weaponFamilyId) + munitionRules.radarGuided/sightGuided</t>
        </is>
      </c>
      <c r="U8" t="inlineStr"/>
    </row>
    <row r="9">
      <c r="A9" t="inlineStr">
        <is>
          <t>buk_launcher</t>
        </is>
      </c>
      <c r="B9" t="inlineStr">
        <is>
          <t>buk_launcher</t>
        </is>
      </c>
      <c r="C9" t="inlineStr">
        <is>
          <t>9M317 Buk</t>
        </is>
      </c>
      <c r="D9" t="inlineStr">
        <is>
          <t>khong_dan</t>
        </is>
      </c>
      <c r="E9" t="b">
        <v>0</v>
      </c>
      <c r="F9" t="inlineStr">
        <is>
          <t>KHONG_AP_DUNG</t>
        </is>
      </c>
      <c r="G9" t="inlineStr">
        <is>
          <t>KHONG_AP_DUNG</t>
        </is>
      </c>
      <c r="H9" t="inlineStr">
        <is>
          <t>KHONG_AP_DUNG</t>
        </is>
      </c>
      <c r="I9" t="inlineStr">
        <is>
          <t>KHONG_AP_DUNG</t>
        </is>
      </c>
      <c r="J9" t="inlineStr">
        <is>
          <t>KHONG_AP_DUNG</t>
        </is>
      </c>
      <c r="K9" t="inlineStr">
        <is>
          <t>Direct</t>
        </is>
      </c>
      <c r="L9" t="n">
        <v>7</v>
      </c>
      <c r="M9" t="inlineStr">
        <is>
          <t>xem mô tả cột (phụ thuộc tầm bắn, không phụ thuộc tốc độ mục tiêu)</t>
        </is>
      </c>
      <c r="N9" t="n">
        <v>5</v>
      </c>
      <c r="O9" t="n">
        <v>6</v>
      </c>
      <c r="P9" t="n">
        <v>0.5</v>
      </c>
      <c r="Q9" t="n">
        <v>0</v>
      </c>
      <c r="R9" t="inlineStr">
        <is>
          <t>KHONG_AP_DUNG</t>
        </is>
      </c>
      <c r="S9" t="inlineStr">
        <is>
          <t>sam_launcher</t>
        </is>
      </c>
      <c r="T9" t="inlineStr">
        <is>
          <t>Assets/MachineBrigade/Resources/Data/balance.json: weapons[buk_launcher] (guided/weaponFamilyId) + munitionRules.radarGuided/sightGuided</t>
        </is>
      </c>
      <c r="U9" t="inlineStr"/>
    </row>
    <row r="10">
      <c r="A10" t="inlineStr">
        <is>
          <t>cruise_missile_ground</t>
        </is>
      </c>
      <c r="B10" t="inlineStr">
        <is>
          <t>cruise_missile_ground</t>
        </is>
      </c>
      <c r="C10" t="inlineStr">
        <is>
          <t>Typhon MRC (ground-launched Tomahawk)</t>
        </is>
      </c>
      <c r="D10" t="inlineStr">
        <is>
          <t>khong_dan</t>
        </is>
      </c>
      <c r="E10" t="b">
        <v>0</v>
      </c>
      <c r="F10" t="inlineStr">
        <is>
          <t>KHONG_AP_DUNG</t>
        </is>
      </c>
      <c r="G10" t="inlineStr">
        <is>
          <t>KHONG_AP_DUNG</t>
        </is>
      </c>
      <c r="H10" t="inlineStr">
        <is>
          <t>KHONG_AP_DUNG</t>
        </is>
      </c>
      <c r="I10" t="inlineStr">
        <is>
          <t>KHONG_AP_DUNG</t>
        </is>
      </c>
      <c r="J10" t="inlineStr">
        <is>
          <t>KHONG_AP_DUNG</t>
        </is>
      </c>
      <c r="K10" t="inlineStr">
        <is>
          <t>Loft</t>
        </is>
      </c>
      <c r="L10" t="n">
        <v>7</v>
      </c>
      <c r="M10" t="inlineStr">
        <is>
          <t>xem mô tả cột (phụ thuộc tầm bắn, không phụ thuộc tốc độ mục tiêu)</t>
        </is>
      </c>
      <c r="N10" t="n">
        <v>5</v>
      </c>
      <c r="O10" t="n">
        <v>6</v>
      </c>
      <c r="P10" t="n">
        <v>0.1</v>
      </c>
      <c r="Q10" t="n">
        <v>2</v>
      </c>
      <c r="R10" t="inlineStr">
        <is>
          <t>KHONG_AP_DUNG</t>
        </is>
      </c>
      <c r="S10" t="inlineStr">
        <is>
          <t>ground_cruise_missile_vehicle</t>
        </is>
      </c>
      <c r="T10" t="inlineStr">
        <is>
          <t>Assets/MachineBrigade/Resources/Data/balance.json: weapons[cruise_missile_ground] (guided/weaponFamilyId) + munitionRules.radarGuided/sightGuided</t>
        </is>
      </c>
      <c r="U10" t="inlineStr"/>
    </row>
    <row r="11">
      <c r="A11" t="inlineStr">
        <is>
          <t>drone_missile</t>
        </is>
      </c>
      <c r="B11" t="inlineStr">
        <is>
          <t>drone_missile</t>
        </is>
      </c>
      <c r="C11" t="inlineStr">
        <is>
          <t>AGM-114 Hellfire</t>
        </is>
      </c>
      <c r="D11" t="inlineStr">
        <is>
          <t>khong_dan</t>
        </is>
      </c>
      <c r="E11" t="b">
        <v>0</v>
      </c>
      <c r="F11" t="inlineStr">
        <is>
          <t>KHONG_AP_DUNG</t>
        </is>
      </c>
      <c r="G11" t="inlineStr">
        <is>
          <t>KHONG_AP_DUNG</t>
        </is>
      </c>
      <c r="H11" t="inlineStr">
        <is>
          <t>KHONG_AP_DUNG</t>
        </is>
      </c>
      <c r="I11" t="inlineStr">
        <is>
          <t>KHONG_AP_DUNG</t>
        </is>
      </c>
      <c r="J11" t="inlineStr">
        <is>
          <t>KHONG_AP_DUNG</t>
        </is>
      </c>
      <c r="K11" t="inlineStr">
        <is>
          <t>Direct</t>
        </is>
      </c>
      <c r="L11" t="n">
        <v>7</v>
      </c>
      <c r="M11" t="inlineStr">
        <is>
          <t>xem mô tả cột (phụ thuộc tầm bắn, không phụ thuộc tốc độ mục tiêu)</t>
        </is>
      </c>
      <c r="N11" t="n">
        <v>5</v>
      </c>
      <c r="O11" t="n">
        <v>6</v>
      </c>
      <c r="P11" t="n">
        <v>0.1</v>
      </c>
      <c r="Q11" t="n">
        <v>0</v>
      </c>
      <c r="R11" t="inlineStr">
        <is>
          <t>KHONG_AP_DUNG</t>
        </is>
      </c>
      <c r="S11" t="inlineStr">
        <is>
          <t>strike_drone</t>
        </is>
      </c>
      <c r="T11" t="inlineStr">
        <is>
          <t>Assets/MachineBrigade/Resources/Data/balance.json: weapons[drone_missile] (guided/weaponFamilyId) + munitionRules.radarGuided/sightGuided</t>
        </is>
      </c>
      <c r="U11" t="inlineStr"/>
    </row>
    <row r="12">
      <c r="A12" t="inlineStr">
        <is>
          <t>gun_launched_atgm</t>
        </is>
      </c>
      <c r="B12" t="inlineStr">
        <is>
          <t>gun_launched_atgm</t>
        </is>
      </c>
      <c r="C12" t="inlineStr">
        <is>
          <t>gun-launched ATGM (9M117 class)</t>
        </is>
      </c>
      <c r="D12" t="inlineStr">
        <is>
          <t>khong_dan</t>
        </is>
      </c>
      <c r="E12" t="b">
        <v>0</v>
      </c>
      <c r="F12" t="inlineStr">
        <is>
          <t>KHONG_AP_DUNG</t>
        </is>
      </c>
      <c r="G12" t="inlineStr">
        <is>
          <t>KHONG_AP_DUNG</t>
        </is>
      </c>
      <c r="H12" t="inlineStr">
        <is>
          <t>KHONG_AP_DUNG</t>
        </is>
      </c>
      <c r="I12" t="inlineStr">
        <is>
          <t>KHONG_AP_DUNG</t>
        </is>
      </c>
      <c r="J12" t="inlineStr">
        <is>
          <t>KHONG_AP_DUNG</t>
        </is>
      </c>
      <c r="K12" t="inlineStr">
        <is>
          <t>Direct</t>
        </is>
      </c>
      <c r="L12" t="n">
        <v>7</v>
      </c>
      <c r="M12" t="inlineStr">
        <is>
          <t>xem mô tả cột (phụ thuộc tầm bắn, không phụ thuộc tốc độ mục tiêu)</t>
        </is>
      </c>
      <c r="N12" t="n">
        <v>5</v>
      </c>
      <c r="O12" t="n">
        <v>6</v>
      </c>
      <c r="P12" t="n">
        <v>0.1</v>
      </c>
      <c r="Q12" t="n">
        <v>0</v>
      </c>
      <c r="R12" t="inlineStr">
        <is>
          <t>KHONG_AP_DUNG</t>
        </is>
      </c>
      <c r="S12" t="inlineStr">
        <is>
          <t>light_tank</t>
        </is>
      </c>
      <c r="T12" t="inlineStr">
        <is>
          <t>Assets/MachineBrigade/Resources/Data/balance.json: weapons[gun_launched_atgm] (guided/weaponFamilyId) + munitionRules.radarGuided/sightGuided</t>
        </is>
      </c>
      <c r="U12" t="inlineStr"/>
    </row>
    <row r="13">
      <c r="A13" t="inlineStr">
        <is>
          <t>hellfire_standoff</t>
        </is>
      </c>
      <c r="B13" t="inlineStr">
        <is>
          <t>hellfire_standoff</t>
        </is>
      </c>
      <c r="C13" t="inlineStr">
        <is>
          <t>AGM-114L Hellfire Longbow</t>
        </is>
      </c>
      <c r="D13" t="inlineStr">
        <is>
          <t>khong_dan</t>
        </is>
      </c>
      <c r="E13" t="b">
        <v>0</v>
      </c>
      <c r="F13" t="inlineStr">
        <is>
          <t>KHONG_AP_DUNG</t>
        </is>
      </c>
      <c r="G13" t="inlineStr">
        <is>
          <t>KHONG_AP_DUNG</t>
        </is>
      </c>
      <c r="H13" t="inlineStr">
        <is>
          <t>KHONG_AP_DUNG</t>
        </is>
      </c>
      <c r="I13" t="inlineStr">
        <is>
          <t>KHONG_AP_DUNG</t>
        </is>
      </c>
      <c r="J13" t="inlineStr">
        <is>
          <t>KHONG_AP_DUNG</t>
        </is>
      </c>
      <c r="K13" t="inlineStr">
        <is>
          <t>Loft</t>
        </is>
      </c>
      <c r="L13" t="n">
        <v>7</v>
      </c>
      <c r="M13" t="inlineStr">
        <is>
          <t>xem mô tả cột (phụ thuộc tầm bắn, không phụ thuộc tốc độ mục tiêu)</t>
        </is>
      </c>
      <c r="N13" t="n">
        <v>5</v>
      </c>
      <c r="O13" t="n">
        <v>6</v>
      </c>
      <c r="P13" t="n">
        <v>0.45</v>
      </c>
      <c r="Q13" t="n">
        <v>0</v>
      </c>
      <c r="R13" t="inlineStr">
        <is>
          <t>KHONG_AP_DUNG</t>
        </is>
      </c>
      <c r="S13" t="inlineStr">
        <is>
          <t>attack_helicopter</t>
        </is>
      </c>
      <c r="T13" t="inlineStr">
        <is>
          <t>Assets/MachineBrigade/Resources/Data/balance.json: weapons[hellfire_standoff] (guided/weaponFamilyId) + munitionRules.radarGuided/sightGuided</t>
        </is>
      </c>
      <c r="U13" t="inlineStr"/>
    </row>
    <row r="14">
      <c r="A14" t="inlineStr">
        <is>
          <t>hellfire_volley</t>
        </is>
      </c>
      <c r="B14" t="inlineStr">
        <is>
          <t>hellfire_volley</t>
        </is>
      </c>
      <c r="C14" t="inlineStr">
        <is>
          <t>AGM-114L Hellfire Longbow</t>
        </is>
      </c>
      <c r="D14" t="inlineStr">
        <is>
          <t>khong_dan</t>
        </is>
      </c>
      <c r="E14" t="b">
        <v>0</v>
      </c>
      <c r="F14" t="inlineStr">
        <is>
          <t>KHONG_AP_DUNG</t>
        </is>
      </c>
      <c r="G14" t="inlineStr">
        <is>
          <t>KHONG_AP_DUNG</t>
        </is>
      </c>
      <c r="H14" t="inlineStr">
        <is>
          <t>KHONG_AP_DUNG</t>
        </is>
      </c>
      <c r="I14" t="inlineStr">
        <is>
          <t>KHONG_AP_DUNG</t>
        </is>
      </c>
      <c r="J14" t="inlineStr">
        <is>
          <t>KHONG_AP_DUNG</t>
        </is>
      </c>
      <c r="K14" t="inlineStr">
        <is>
          <t>Direct</t>
        </is>
      </c>
      <c r="L14" t="n">
        <v>7</v>
      </c>
      <c r="M14" t="inlineStr">
        <is>
          <t>xem mô tả cột (phụ thuộc tầm bắn, không phụ thuộc tốc độ mục tiêu)</t>
        </is>
      </c>
      <c r="N14" t="n">
        <v>5</v>
      </c>
      <c r="O14" t="n">
        <v>6</v>
      </c>
      <c r="P14" t="n">
        <v>0.45</v>
      </c>
      <c r="Q14" t="n">
        <v>0</v>
      </c>
      <c r="R14" t="inlineStr">
        <is>
          <t>KHONG_AP_DUNG</t>
        </is>
      </c>
      <c r="S14" t="inlineStr">
        <is>
          <t>elite_attack_helicopter</t>
        </is>
      </c>
      <c r="T14" t="inlineStr">
        <is>
          <t>Assets/MachineBrigade/Resources/Data/balance.json: weapons[hellfire_volley] (guided/weaponFamilyId) + munitionRules.radarGuided/sightGuided</t>
        </is>
      </c>
      <c r="U14" t="inlineStr"/>
    </row>
    <row r="15">
      <c r="A15" t="inlineStr">
        <is>
          <t>hydra_club_s</t>
        </is>
      </c>
      <c r="B15" t="inlineStr">
        <is>
          <t>hydra_club_s</t>
        </is>
      </c>
      <c r="C15" t="inlineStr">
        <is>
          <t>3M-54 Club-S (submarine-launched, vertical tubes)</t>
        </is>
      </c>
      <c r="D15" t="inlineStr">
        <is>
          <t>khong_dan</t>
        </is>
      </c>
      <c r="E15" t="b">
        <v>0</v>
      </c>
      <c r="F15" t="inlineStr">
        <is>
          <t>KHONG_AP_DUNG</t>
        </is>
      </c>
      <c r="G15" t="inlineStr">
        <is>
          <t>KHONG_AP_DUNG</t>
        </is>
      </c>
      <c r="H15" t="inlineStr">
        <is>
          <t>KHONG_AP_DUNG</t>
        </is>
      </c>
      <c r="I15" t="inlineStr">
        <is>
          <t>KHONG_AP_DUNG</t>
        </is>
      </c>
      <c r="J15" t="inlineStr">
        <is>
          <t>KHONG_AP_DUNG</t>
        </is>
      </c>
      <c r="K15" t="inlineStr">
        <is>
          <t>Loft</t>
        </is>
      </c>
      <c r="L15" t="n">
        <v>7</v>
      </c>
      <c r="M15" t="inlineStr">
        <is>
          <t>xem mô tả cột (phụ thuộc tầm bắn, không phụ thuộc tốc độ mục tiêu)</t>
        </is>
      </c>
      <c r="N15" t="n">
        <v>5</v>
      </c>
      <c r="O15" t="n">
        <v>6</v>
      </c>
      <c r="P15" t="n">
        <v>0.1</v>
      </c>
      <c r="Q15" t="n">
        <v>0</v>
      </c>
      <c r="R15" t="inlineStr">
        <is>
          <t>KHONG_AP_DUNG</t>
        </is>
      </c>
      <c r="S15" t="inlineStr">
        <is>
          <t>hydra</t>
        </is>
      </c>
      <c r="T15" t="inlineStr">
        <is>
          <t>Assets/MachineBrigade/Resources/Data/balance.json: weapons[hydra_club_s] (guided/weaponFamilyId) + munitionRules.radarGuided/sightGuided</t>
        </is>
      </c>
      <c r="U15" t="inlineStr"/>
    </row>
    <row r="16">
      <c r="A16" t="inlineStr">
        <is>
          <t>igla_v</t>
        </is>
      </c>
      <c r="B16" t="inlineStr">
        <is>
          <t>igla_v</t>
        </is>
      </c>
      <c r="C16" t="inlineStr">
        <is>
          <t>9K38 Igla-V</t>
        </is>
      </c>
      <c r="D16" t="inlineStr">
        <is>
          <t>khong_dan</t>
        </is>
      </c>
      <c r="E16" t="b">
        <v>0</v>
      </c>
      <c r="F16" t="inlineStr">
        <is>
          <t>KHONG_AP_DUNG</t>
        </is>
      </c>
      <c r="G16" t="inlineStr">
        <is>
          <t>KHONG_AP_DUNG</t>
        </is>
      </c>
      <c r="H16" t="inlineStr">
        <is>
          <t>KHONG_AP_DUNG</t>
        </is>
      </c>
      <c r="I16" t="inlineStr">
        <is>
          <t>KHONG_AP_DUNG</t>
        </is>
      </c>
      <c r="J16" t="inlineStr">
        <is>
          <t>KHONG_AP_DUNG</t>
        </is>
      </c>
      <c r="K16" t="inlineStr">
        <is>
          <t>Direct</t>
        </is>
      </c>
      <c r="L16" t="n">
        <v>7</v>
      </c>
      <c r="M16" t="inlineStr">
        <is>
          <t>xem mô tả cột (phụ thuộc tầm bắn, không phụ thuộc tốc độ mục tiêu)</t>
        </is>
      </c>
      <c r="N16" t="n">
        <v>5</v>
      </c>
      <c r="O16" t="n">
        <v>6</v>
      </c>
      <c r="P16" t="n">
        <v>0.1</v>
      </c>
      <c r="Q16" t="n">
        <v>0</v>
      </c>
      <c r="R16" t="inlineStr">
        <is>
          <t>KHONG_AP_DUNG</t>
        </is>
      </c>
      <c r="S16" t="inlineStr"/>
      <c r="T16" t="inlineStr">
        <is>
          <t>Assets/MachineBrigade/Resources/Data/balance.json: weapons[igla_v] (guided/weaponFamilyId) + munitionRules.radarGuided/sightGuided</t>
        </is>
      </c>
      <c r="U16" t="inlineStr"/>
    </row>
    <row r="17">
      <c r="A17" t="inlineStr">
        <is>
          <t>jassm</t>
        </is>
      </c>
      <c r="B17" t="inlineStr">
        <is>
          <t>jassm</t>
        </is>
      </c>
      <c r="C17" t="inlineStr">
        <is>
          <t>AGM-158 JASSM (450 kg)</t>
        </is>
      </c>
      <c r="D17" t="inlineStr">
        <is>
          <t>khong_dan</t>
        </is>
      </c>
      <c r="E17" t="b">
        <v>0</v>
      </c>
      <c r="F17" t="inlineStr">
        <is>
          <t>KHONG_AP_DUNG</t>
        </is>
      </c>
      <c r="G17" t="inlineStr">
        <is>
          <t>KHONG_AP_DUNG</t>
        </is>
      </c>
      <c r="H17" t="inlineStr">
        <is>
          <t>KHONG_AP_DUNG</t>
        </is>
      </c>
      <c r="I17" t="inlineStr">
        <is>
          <t>KHONG_AP_DUNG</t>
        </is>
      </c>
      <c r="J17" t="inlineStr">
        <is>
          <t>KHONG_AP_DUNG</t>
        </is>
      </c>
      <c r="K17" t="inlineStr">
        <is>
          <t>Direct</t>
        </is>
      </c>
      <c r="L17" t="n">
        <v>7</v>
      </c>
      <c r="M17" t="inlineStr">
        <is>
          <t>xem mô tả cột (phụ thuộc tầm bắn, không phụ thuộc tốc độ mục tiêu)</t>
        </is>
      </c>
      <c r="N17" t="n">
        <v>5</v>
      </c>
      <c r="O17" t="n">
        <v>6</v>
      </c>
      <c r="P17" t="n">
        <v>0.6</v>
      </c>
      <c r="Q17" t="n">
        <v>0</v>
      </c>
      <c r="R17" t="inlineStr">
        <is>
          <t>KHONG_AP_DUNG</t>
        </is>
      </c>
      <c r="S17" t="inlineStr">
        <is>
          <t>stealth_bomber;swarm_carrier</t>
        </is>
      </c>
      <c r="T17" t="inlineStr">
        <is>
          <t>Assets/MachineBrigade/Resources/Data/balance.json: weapons[jassm] (guided/weaponFamilyId) + munitionRules.radarGuided/sightGuided</t>
        </is>
      </c>
      <c r="U17" t="inlineStr"/>
    </row>
    <row r="18">
      <c r="A18" t="inlineStr">
        <is>
          <t>kh29</t>
        </is>
      </c>
      <c r="B18" t="inlineStr">
        <is>
          <t>kh29</t>
        </is>
      </c>
      <c r="C18" t="inlineStr">
        <is>
          <t>Kh-29L</t>
        </is>
      </c>
      <c r="D18" t="inlineStr">
        <is>
          <t>khong_dan</t>
        </is>
      </c>
      <c r="E18" t="b">
        <v>0</v>
      </c>
      <c r="F18" t="inlineStr">
        <is>
          <t>KHONG_AP_DUNG</t>
        </is>
      </c>
      <c r="G18" t="inlineStr">
        <is>
          <t>KHONG_AP_DUNG</t>
        </is>
      </c>
      <c r="H18" t="inlineStr">
        <is>
          <t>KHONG_AP_DUNG</t>
        </is>
      </c>
      <c r="I18" t="inlineStr">
        <is>
          <t>KHONG_AP_DUNG</t>
        </is>
      </c>
      <c r="J18" t="inlineStr">
        <is>
          <t>KHONG_AP_DUNG</t>
        </is>
      </c>
      <c r="K18" t="inlineStr">
        <is>
          <t>Direct</t>
        </is>
      </c>
      <c r="L18" t="n">
        <v>7</v>
      </c>
      <c r="M18" t="inlineStr">
        <is>
          <t>xem mô tả cột (phụ thuộc tầm bắn, không phụ thuộc tốc độ mục tiêu)</t>
        </is>
      </c>
      <c r="N18" t="n">
        <v>5</v>
      </c>
      <c r="O18" t="n">
        <v>6</v>
      </c>
      <c r="P18" t="n">
        <v>0.1</v>
      </c>
      <c r="Q18" t="n">
        <v>0</v>
      </c>
      <c r="R18" t="inlineStr">
        <is>
          <t>KHONG_AP_DUNG</t>
        </is>
      </c>
      <c r="S18" t="inlineStr">
        <is>
          <t>attack_jet;elite_attack_jet</t>
        </is>
      </c>
      <c r="T18" t="inlineStr">
        <is>
          <t>Assets/MachineBrigade/Resources/Data/balance.json: weapons[kh29] (guided/weaponFamilyId) + munitionRules.radarGuided/sightGuided</t>
        </is>
      </c>
      <c r="U18" t="inlineStr"/>
    </row>
    <row r="19">
      <c r="A19" t="inlineStr">
        <is>
          <t>kornet_multi</t>
        </is>
      </c>
      <c r="B19" t="inlineStr">
        <is>
          <t>kornet_multi</t>
        </is>
      </c>
      <c r="C19" t="inlineStr">
        <is>
          <t>9M133 Kornet</t>
        </is>
      </c>
      <c r="D19" t="inlineStr">
        <is>
          <t>khong_dan</t>
        </is>
      </c>
      <c r="E19" t="b">
        <v>0</v>
      </c>
      <c r="F19" t="inlineStr">
        <is>
          <t>KHONG_AP_DUNG</t>
        </is>
      </c>
      <c r="G19" t="inlineStr">
        <is>
          <t>KHONG_AP_DUNG</t>
        </is>
      </c>
      <c r="H19" t="inlineStr">
        <is>
          <t>KHONG_AP_DUNG</t>
        </is>
      </c>
      <c r="I19" t="inlineStr">
        <is>
          <t>KHONG_AP_DUNG</t>
        </is>
      </c>
      <c r="J19" t="inlineStr">
        <is>
          <t>KHONG_AP_DUNG</t>
        </is>
      </c>
      <c r="K19" t="inlineStr">
        <is>
          <t>Direct</t>
        </is>
      </c>
      <c r="L19" t="n">
        <v>7</v>
      </c>
      <c r="M19" t="inlineStr">
        <is>
          <t>xem mô tả cột (phụ thuộc tầm bắn, không phụ thuộc tốc độ mục tiêu)</t>
        </is>
      </c>
      <c r="N19" t="n">
        <v>5</v>
      </c>
      <c r="O19" t="n">
        <v>6</v>
      </c>
      <c r="P19" t="n">
        <v>0.6</v>
      </c>
      <c r="Q19" t="n">
        <v>0</v>
      </c>
      <c r="R19" t="inlineStr">
        <is>
          <t>KHONG_AP_DUNG</t>
        </is>
      </c>
      <c r="S19" t="inlineStr">
        <is>
          <t>atgm_tower.multi</t>
        </is>
      </c>
      <c r="T19" t="inlineStr">
        <is>
          <t>Assets/MachineBrigade/Resources/Data/balance.json: weapons[kornet_multi] (guided/weaponFamilyId) + munitionRules.radarGuided/sightGuided</t>
        </is>
      </c>
      <c r="U19" t="inlineStr"/>
    </row>
    <row r="20">
      <c r="A20" t="inlineStr">
        <is>
          <t>kornet_top</t>
        </is>
      </c>
      <c r="B20" t="inlineStr">
        <is>
          <t>kornet_top</t>
        </is>
      </c>
      <c r="C20" t="inlineStr">
        <is>
          <t>9M133 Kornet</t>
        </is>
      </c>
      <c r="D20" t="inlineStr">
        <is>
          <t>khong_dan</t>
        </is>
      </c>
      <c r="E20" t="b">
        <v>0</v>
      </c>
      <c r="F20" t="inlineStr">
        <is>
          <t>KHONG_AP_DUNG</t>
        </is>
      </c>
      <c r="G20" t="inlineStr">
        <is>
          <t>KHONG_AP_DUNG</t>
        </is>
      </c>
      <c r="H20" t="inlineStr">
        <is>
          <t>KHONG_AP_DUNG</t>
        </is>
      </c>
      <c r="I20" t="inlineStr">
        <is>
          <t>KHONG_AP_DUNG</t>
        </is>
      </c>
      <c r="J20" t="inlineStr">
        <is>
          <t>KHONG_AP_DUNG</t>
        </is>
      </c>
      <c r="K20" t="inlineStr">
        <is>
          <t>Loft</t>
        </is>
      </c>
      <c r="L20" t="n">
        <v>7</v>
      </c>
      <c r="M20" t="inlineStr">
        <is>
          <t>xem mô tả cột (phụ thuộc tầm bắn, không phụ thuộc tốc độ mục tiêu)</t>
        </is>
      </c>
      <c r="N20" t="n">
        <v>5</v>
      </c>
      <c r="O20" t="n">
        <v>6</v>
      </c>
      <c r="P20" t="n">
        <v>0.6</v>
      </c>
      <c r="Q20" t="n">
        <v>0</v>
      </c>
      <c r="R20" t="inlineStr">
        <is>
          <t>KHONG_AP_DUNG</t>
        </is>
      </c>
      <c r="S20" t="inlineStr">
        <is>
          <t>atgm_tower.top</t>
        </is>
      </c>
      <c r="T20" t="inlineStr">
        <is>
          <t>Assets/MachineBrigade/Resources/Data/balance.json: weapons[kornet_top] (guided/weaponFamilyId) + munitionRules.radarGuided/sightGuided</t>
        </is>
      </c>
      <c r="U20" t="inlineStr"/>
    </row>
    <row r="21">
      <c r="A21" t="inlineStr">
        <is>
          <t>kornet_twin</t>
        </is>
      </c>
      <c r="B21" t="inlineStr">
        <is>
          <t>kornet_twin</t>
        </is>
      </c>
      <c r="C21" t="inlineStr">
        <is>
          <t>9M133 Kornet</t>
        </is>
      </c>
      <c r="D21" t="inlineStr">
        <is>
          <t>khong_dan</t>
        </is>
      </c>
      <c r="E21" t="b">
        <v>0</v>
      </c>
      <c r="F21" t="inlineStr">
        <is>
          <t>KHONG_AP_DUNG</t>
        </is>
      </c>
      <c r="G21" t="inlineStr">
        <is>
          <t>KHONG_AP_DUNG</t>
        </is>
      </c>
      <c r="H21" t="inlineStr">
        <is>
          <t>KHONG_AP_DUNG</t>
        </is>
      </c>
      <c r="I21" t="inlineStr">
        <is>
          <t>KHONG_AP_DUNG</t>
        </is>
      </c>
      <c r="J21" t="inlineStr">
        <is>
          <t>KHONG_AP_DUNG</t>
        </is>
      </c>
      <c r="K21" t="inlineStr">
        <is>
          <t>Direct</t>
        </is>
      </c>
      <c r="L21" t="n">
        <v>7</v>
      </c>
      <c r="M21" t="inlineStr">
        <is>
          <t>xem mô tả cột (phụ thuộc tầm bắn, không phụ thuộc tốc độ mục tiêu)</t>
        </is>
      </c>
      <c r="N21" t="n">
        <v>5</v>
      </c>
      <c r="O21" t="n">
        <v>6</v>
      </c>
      <c r="P21" t="n">
        <v>0.6</v>
      </c>
      <c r="Q21" t="n">
        <v>0</v>
      </c>
      <c r="R21" t="inlineStr">
        <is>
          <t>KHONG_AP_DUNG</t>
        </is>
      </c>
      <c r="S21" t="inlineStr"/>
      <c r="T21" t="inlineStr">
        <is>
          <t>Assets/MachineBrigade/Resources/Data/balance.json: weapons[kornet_twin] (guided/weaponFamilyId) + munitionRules.radarGuided/sightGuided</t>
        </is>
      </c>
      <c r="U21" t="inlineStr"/>
    </row>
    <row r="22">
      <c r="A22" t="inlineStr">
        <is>
          <t>leviathan_cruise</t>
        </is>
      </c>
      <c r="B22" t="inlineStr">
        <is>
          <t>leviathan_cruise</t>
        </is>
      </c>
      <c r="C22" t="inlineStr">
        <is>
          <t>3M-54 Kalibr</t>
        </is>
      </c>
      <c r="D22" t="inlineStr">
        <is>
          <t>khong_dan</t>
        </is>
      </c>
      <c r="E22" t="b">
        <v>0</v>
      </c>
      <c r="F22" t="inlineStr">
        <is>
          <t>KHONG_AP_DUNG</t>
        </is>
      </c>
      <c r="G22" t="inlineStr">
        <is>
          <t>KHONG_AP_DUNG</t>
        </is>
      </c>
      <c r="H22" t="inlineStr">
        <is>
          <t>KHONG_AP_DUNG</t>
        </is>
      </c>
      <c r="I22" t="inlineStr">
        <is>
          <t>KHONG_AP_DUNG</t>
        </is>
      </c>
      <c r="J22" t="inlineStr">
        <is>
          <t>KHONG_AP_DUNG</t>
        </is>
      </c>
      <c r="K22" t="inlineStr">
        <is>
          <t>Loft</t>
        </is>
      </c>
      <c r="L22" t="n">
        <v>7</v>
      </c>
      <c r="M22" t="inlineStr">
        <is>
          <t>xem mô tả cột (phụ thuộc tầm bắn, không phụ thuộc tốc độ mục tiêu)</t>
        </is>
      </c>
      <c r="N22" t="n">
        <v>5</v>
      </c>
      <c r="O22" t="n">
        <v>6</v>
      </c>
      <c r="P22" t="n">
        <v>0.1</v>
      </c>
      <c r="Q22" t="n">
        <v>0</v>
      </c>
      <c r="R22" t="inlineStr">
        <is>
          <t>KHONG_AP_DUNG</t>
        </is>
      </c>
      <c r="S22" t="inlineStr">
        <is>
          <t>kraken;leviathan;nyx;scylla;typhon</t>
        </is>
      </c>
      <c r="T22" t="inlineStr">
        <is>
          <t>Assets/MachineBrigade/Resources/Data/balance.json: weapons[leviathan_cruise] (guided/weaponFamilyId) + munitionRules.radarGuided/sightGuided</t>
        </is>
      </c>
      <c r="U22" t="inlineStr"/>
    </row>
    <row r="23">
      <c r="A23" t="inlineStr">
        <is>
          <t>maverick</t>
        </is>
      </c>
      <c r="B23" t="inlineStr">
        <is>
          <t>maverick</t>
        </is>
      </c>
      <c r="C23" t="inlineStr">
        <is>
          <t>AGM-65 Maverick</t>
        </is>
      </c>
      <c r="D23" t="inlineStr">
        <is>
          <t>khong_dan</t>
        </is>
      </c>
      <c r="E23" t="b">
        <v>0</v>
      </c>
      <c r="F23" t="inlineStr">
        <is>
          <t>KHONG_AP_DUNG</t>
        </is>
      </c>
      <c r="G23" t="inlineStr">
        <is>
          <t>KHONG_AP_DUNG</t>
        </is>
      </c>
      <c r="H23" t="inlineStr">
        <is>
          <t>KHONG_AP_DUNG</t>
        </is>
      </c>
      <c r="I23" t="inlineStr">
        <is>
          <t>KHONG_AP_DUNG</t>
        </is>
      </c>
      <c r="J23" t="inlineStr">
        <is>
          <t>KHONG_AP_DUNG</t>
        </is>
      </c>
      <c r="K23" t="inlineStr">
        <is>
          <t>Direct</t>
        </is>
      </c>
      <c r="L23" t="n">
        <v>7</v>
      </c>
      <c r="M23" t="inlineStr">
        <is>
          <t>xem mô tả cột (phụ thuộc tầm bắn, không phụ thuộc tốc độ mục tiêu)</t>
        </is>
      </c>
      <c r="N23" t="n">
        <v>5</v>
      </c>
      <c r="O23" t="n">
        <v>6</v>
      </c>
      <c r="P23" t="n">
        <v>0.1</v>
      </c>
      <c r="Q23" t="n">
        <v>0</v>
      </c>
      <c r="R23" t="inlineStr">
        <is>
          <t>KHONG_AP_DUNG</t>
        </is>
      </c>
      <c r="S23" t="inlineStr"/>
      <c r="T23" t="inlineStr">
        <is>
          <t>Assets/MachineBrigade/Resources/Data/balance.json: weapons[maverick] (guided/weaponFamilyId) + munitionRules.radarGuided/sightGuided</t>
        </is>
      </c>
      <c r="U23" t="inlineStr"/>
    </row>
    <row r="24">
      <c r="A24" t="inlineStr">
        <is>
          <t>missile_57e6</t>
        </is>
      </c>
      <c r="B24" t="inlineStr">
        <is>
          <t>missile_57e6</t>
        </is>
      </c>
      <c r="C24" t="inlineStr">
        <is>
          <t>57E6 (Pantsir)</t>
        </is>
      </c>
      <c r="D24" t="inlineStr">
        <is>
          <t>khong_dan</t>
        </is>
      </c>
      <c r="E24" t="b">
        <v>0</v>
      </c>
      <c r="F24" t="inlineStr">
        <is>
          <t>KHONG_AP_DUNG</t>
        </is>
      </c>
      <c r="G24" t="inlineStr">
        <is>
          <t>KHONG_AP_DUNG</t>
        </is>
      </c>
      <c r="H24" t="inlineStr">
        <is>
          <t>KHONG_AP_DUNG</t>
        </is>
      </c>
      <c r="I24" t="inlineStr">
        <is>
          <t>KHONG_AP_DUNG</t>
        </is>
      </c>
      <c r="J24" t="inlineStr">
        <is>
          <t>KHONG_AP_DUNG</t>
        </is>
      </c>
      <c r="K24" t="inlineStr">
        <is>
          <t>Direct</t>
        </is>
      </c>
      <c r="L24" t="n">
        <v>7</v>
      </c>
      <c r="M24" t="inlineStr">
        <is>
          <t>xem mô tả cột (phụ thuộc tầm bắn, không phụ thuộc tốc độ mục tiêu)</t>
        </is>
      </c>
      <c r="N24" t="n">
        <v>5</v>
      </c>
      <c r="O24" t="n">
        <v>6</v>
      </c>
      <c r="P24" t="n">
        <v>0.1</v>
      </c>
      <c r="Q24" t="n">
        <v>0</v>
      </c>
      <c r="R24" t="inlineStr">
        <is>
          <t>KHONG_AP_DUNG</t>
        </is>
      </c>
      <c r="S24" t="inlineStr">
        <is>
          <t>heavy_aa</t>
        </is>
      </c>
      <c r="T24" t="inlineStr">
        <is>
          <t>Assets/MachineBrigade/Resources/Data/balance.json: weapons[missile_57e6] (guided/weaponFamilyId) + munitionRules.radarGuided/sightGuided</t>
        </is>
      </c>
      <c r="U24" t="inlineStr"/>
    </row>
    <row r="25">
      <c r="A25" t="inlineStr">
        <is>
          <t>nyx_tomahawk</t>
        </is>
      </c>
      <c r="B25" t="inlineStr">
        <is>
          <t>nyx_tomahawk</t>
        </is>
      </c>
      <c r="C25" t="inlineStr">
        <is>
          <t>RGM-109E Tomahawk (Mk 41-type 8-cell VLS)</t>
        </is>
      </c>
      <c r="D25" t="inlineStr">
        <is>
          <t>khong_dan</t>
        </is>
      </c>
      <c r="E25" t="b">
        <v>0</v>
      </c>
      <c r="F25" t="inlineStr">
        <is>
          <t>KHONG_AP_DUNG</t>
        </is>
      </c>
      <c r="G25" t="inlineStr">
        <is>
          <t>KHONG_AP_DUNG</t>
        </is>
      </c>
      <c r="H25" t="inlineStr">
        <is>
          <t>KHONG_AP_DUNG</t>
        </is>
      </c>
      <c r="I25" t="inlineStr">
        <is>
          <t>KHONG_AP_DUNG</t>
        </is>
      </c>
      <c r="J25" t="inlineStr">
        <is>
          <t>KHONG_AP_DUNG</t>
        </is>
      </c>
      <c r="K25" t="inlineStr">
        <is>
          <t>Loft</t>
        </is>
      </c>
      <c r="L25" t="n">
        <v>7</v>
      </c>
      <c r="M25" t="inlineStr">
        <is>
          <t>xem mô tả cột (phụ thuộc tầm bắn, không phụ thuộc tốc độ mục tiêu)</t>
        </is>
      </c>
      <c r="N25" t="n">
        <v>5</v>
      </c>
      <c r="O25" t="n">
        <v>6</v>
      </c>
      <c r="P25" t="n">
        <v>0.1</v>
      </c>
      <c r="Q25" t="n">
        <v>2</v>
      </c>
      <c r="R25" t="inlineStr">
        <is>
          <t>KHONG_AP_DUNG</t>
        </is>
      </c>
      <c r="S25" t="inlineStr">
        <is>
          <t>nyx</t>
        </is>
      </c>
      <c r="T25" t="inlineStr">
        <is>
          <t>Assets/MachineBrigade/Resources/Data/balance.json: weapons[nyx_tomahawk] (guided/weaponFamilyId) + munitionRules.radarGuided/sightGuided</t>
        </is>
      </c>
      <c r="U25" t="inlineStr"/>
    </row>
    <row r="26">
      <c r="A26" t="inlineStr">
        <is>
          <t>one_shot_kornet</t>
        </is>
      </c>
      <c r="B26" t="inlineStr">
        <is>
          <t>one_shot_kornet</t>
        </is>
      </c>
      <c r="C26" t="inlineStr">
        <is>
          <t>9M133 Kornet</t>
        </is>
      </c>
      <c r="D26" t="inlineStr">
        <is>
          <t>khong_dan</t>
        </is>
      </c>
      <c r="E26" t="b">
        <v>0</v>
      </c>
      <c r="F26" t="inlineStr">
        <is>
          <t>KHONG_AP_DUNG</t>
        </is>
      </c>
      <c r="G26" t="inlineStr">
        <is>
          <t>KHONG_AP_DUNG</t>
        </is>
      </c>
      <c r="H26" t="inlineStr">
        <is>
          <t>KHONG_AP_DUNG</t>
        </is>
      </c>
      <c r="I26" t="inlineStr">
        <is>
          <t>KHONG_AP_DUNG</t>
        </is>
      </c>
      <c r="J26" t="inlineStr">
        <is>
          <t>KHONG_AP_DUNG</t>
        </is>
      </c>
      <c r="K26" t="inlineStr">
        <is>
          <t>Direct</t>
        </is>
      </c>
      <c r="L26" t="n">
        <v>7</v>
      </c>
      <c r="M26" t="inlineStr">
        <is>
          <t>xem mô tả cột (phụ thuộc tầm bắn, không phụ thuộc tốc độ mục tiêu)</t>
        </is>
      </c>
      <c r="N26" t="n">
        <v>5</v>
      </c>
      <c r="O26" t="n">
        <v>6</v>
      </c>
      <c r="P26" t="n">
        <v>0.6</v>
      </c>
      <c r="Q26" t="n">
        <v>8</v>
      </c>
      <c r="R26" t="inlineStr">
        <is>
          <t>KHONG_AP_DUNG</t>
        </is>
      </c>
      <c r="S26" t="inlineStr">
        <is>
          <t>one_shot_atgm_tower</t>
        </is>
      </c>
      <c r="T26" t="inlineStr">
        <is>
          <t>Assets/MachineBrigade/Resources/Data/balance.json: weapons[one_shot_kornet] (guided/weaponFamilyId) + munitionRules.radarGuided/sightGuided</t>
        </is>
      </c>
      <c r="U26" t="inlineStr"/>
    </row>
    <row r="27">
      <c r="A27" t="inlineStr">
        <is>
          <t>p26_bastion_tiny_kornet_twin</t>
        </is>
      </c>
      <c r="B27" t="inlineStr">
        <is>
          <t>p26_bastion_tiny_kornet_twin</t>
        </is>
      </c>
      <c r="C27" t="inlineStr">
        <is>
          <t>9M133 Kornet</t>
        </is>
      </c>
      <c r="D27" t="inlineStr">
        <is>
          <t>khong_dan</t>
        </is>
      </c>
      <c r="E27" t="b">
        <v>0</v>
      </c>
      <c r="F27" t="inlineStr">
        <is>
          <t>KHONG_AP_DUNG</t>
        </is>
      </c>
      <c r="G27" t="inlineStr">
        <is>
          <t>KHONG_AP_DUNG</t>
        </is>
      </c>
      <c r="H27" t="inlineStr">
        <is>
          <t>KHONG_AP_DUNG</t>
        </is>
      </c>
      <c r="I27" t="inlineStr">
        <is>
          <t>KHONG_AP_DUNG</t>
        </is>
      </c>
      <c r="J27" t="inlineStr">
        <is>
          <t>KHONG_AP_DUNG</t>
        </is>
      </c>
      <c r="K27" t="inlineStr">
        <is>
          <t>Direct</t>
        </is>
      </c>
      <c r="L27" t="n">
        <v>7</v>
      </c>
      <c r="M27" t="inlineStr">
        <is>
          <t>xem mô tả cột (phụ thuộc tầm bắn, không phụ thuộc tốc độ mục tiêu)</t>
        </is>
      </c>
      <c r="N27" t="n">
        <v>5</v>
      </c>
      <c r="O27" t="n">
        <v>6</v>
      </c>
      <c r="P27" t="n">
        <v>0.6</v>
      </c>
      <c r="Q27" t="n">
        <v>0</v>
      </c>
      <c r="R27" t="inlineStr">
        <is>
          <t>KHONG_AP_DUNG</t>
        </is>
      </c>
      <c r="S27" t="inlineStr">
        <is>
          <t>fortress_bastion;monster</t>
        </is>
      </c>
      <c r="T27" t="inlineStr">
        <is>
          <t>Assets/MachineBrigade/Resources/Data/balance.json: weapons[p26_bastion_tiny_kornet_twin] (guided/weaponFamilyId) + munitionRules.radarGuided/sightGuided</t>
        </is>
      </c>
      <c r="U27" t="inlineStr"/>
    </row>
    <row r="28">
      <c r="A28" t="inlineStr">
        <is>
          <t>p26_behemoth_tiny_boss_missiles</t>
        </is>
      </c>
      <c r="B28" t="inlineStr">
        <is>
          <t>p26_behemoth_tiny_boss_missiles</t>
        </is>
      </c>
      <c r="C28" t="inlineStr">
        <is>
          <t>9M133 Kornet</t>
        </is>
      </c>
      <c r="D28" t="inlineStr">
        <is>
          <t>khong_dan</t>
        </is>
      </c>
      <c r="E28" t="b">
        <v>0</v>
      </c>
      <c r="F28" t="inlineStr">
        <is>
          <t>KHONG_AP_DUNG</t>
        </is>
      </c>
      <c r="G28" t="inlineStr">
        <is>
          <t>KHONG_AP_DUNG</t>
        </is>
      </c>
      <c r="H28" t="inlineStr">
        <is>
          <t>KHONG_AP_DUNG</t>
        </is>
      </c>
      <c r="I28" t="inlineStr">
        <is>
          <t>KHONG_AP_DUNG</t>
        </is>
      </c>
      <c r="J28" t="inlineStr">
        <is>
          <t>KHONG_AP_DUNG</t>
        </is>
      </c>
      <c r="K28" t="inlineStr">
        <is>
          <t>Direct</t>
        </is>
      </c>
      <c r="L28" t="n">
        <v>7</v>
      </c>
      <c r="M28" t="inlineStr">
        <is>
          <t>xem mô tả cột (phụ thuộc tầm bắn, không phụ thuộc tốc độ mục tiêu)</t>
        </is>
      </c>
      <c r="N28" t="n">
        <v>5</v>
      </c>
      <c r="O28" t="n">
        <v>6</v>
      </c>
      <c r="P28" t="n">
        <v>0.1</v>
      </c>
      <c r="Q28" t="n">
        <v>0</v>
      </c>
      <c r="R28" t="inlineStr">
        <is>
          <t>KHONG_AP_DUNG</t>
        </is>
      </c>
      <c r="S28" t="inlineStr">
        <is>
          <t>behemoth</t>
        </is>
      </c>
      <c r="T28" t="inlineStr">
        <is>
          <t>Assets/MachineBrigade/Resources/Data/balance.json: weapons[p26_behemoth_tiny_boss_missiles] (guided/weaponFamilyId) + munitionRules.radarGuided/sightGuided</t>
        </is>
      </c>
      <c r="U28" t="inlineStr"/>
    </row>
    <row r="29">
      <c r="A29" t="inlineStr">
        <is>
          <t>p26_matriarch_direct_ma_atgm</t>
        </is>
      </c>
      <c r="B29" t="inlineStr">
        <is>
          <t>p26_matriarch_direct_ma_atgm</t>
        </is>
      </c>
      <c r="C29" t="inlineStr">
        <is>
          <t>9M133 Kornet</t>
        </is>
      </c>
      <c r="D29" t="inlineStr">
        <is>
          <t>khong_dan</t>
        </is>
      </c>
      <c r="E29" t="b">
        <v>0</v>
      </c>
      <c r="F29" t="inlineStr">
        <is>
          <t>KHONG_AP_DUNG</t>
        </is>
      </c>
      <c r="G29" t="inlineStr">
        <is>
          <t>KHONG_AP_DUNG</t>
        </is>
      </c>
      <c r="H29" t="inlineStr">
        <is>
          <t>KHONG_AP_DUNG</t>
        </is>
      </c>
      <c r="I29" t="inlineStr">
        <is>
          <t>KHONG_AP_DUNG</t>
        </is>
      </c>
      <c r="J29" t="inlineStr">
        <is>
          <t>KHONG_AP_DUNG</t>
        </is>
      </c>
      <c r="K29" t="inlineStr">
        <is>
          <t>Direct</t>
        </is>
      </c>
      <c r="L29" t="n">
        <v>7</v>
      </c>
      <c r="M29" t="inlineStr">
        <is>
          <t>xem mô tả cột (phụ thuộc tầm bắn, không phụ thuộc tốc độ mục tiêu)</t>
        </is>
      </c>
      <c r="N29" t="n">
        <v>5</v>
      </c>
      <c r="O29" t="n">
        <v>6</v>
      </c>
      <c r="P29" t="n">
        <v>0.1</v>
      </c>
      <c r="Q29" t="n">
        <v>0</v>
      </c>
      <c r="R29" t="inlineStr">
        <is>
          <t>KHONG_AP_DUNG</t>
        </is>
      </c>
      <c r="S29" t="inlineStr">
        <is>
          <t>drone_mothership</t>
        </is>
      </c>
      <c r="T29" t="inlineStr">
        <is>
          <t>Assets/MachineBrigade/Resources/Data/balance.json: weapons[p26_matriarch_direct_ma_atgm] (guided/weaponFamilyId) + munitionRules.radarGuided/sightGuided</t>
        </is>
      </c>
      <c r="U29" t="inlineStr"/>
    </row>
    <row r="30">
      <c r="A30" t="inlineStr">
        <is>
          <t>p26_matriarch_ma_atgm</t>
        </is>
      </c>
      <c r="B30" t="inlineStr">
        <is>
          <t>p26_matriarch_ma_atgm</t>
        </is>
      </c>
      <c r="C30" t="inlineStr">
        <is>
          <t>9M133 Kornet</t>
        </is>
      </c>
      <c r="D30" t="inlineStr">
        <is>
          <t>khong_dan</t>
        </is>
      </c>
      <c r="E30" t="b">
        <v>0</v>
      </c>
      <c r="F30" t="inlineStr">
        <is>
          <t>KHONG_AP_DUNG</t>
        </is>
      </c>
      <c r="G30" t="inlineStr">
        <is>
          <t>KHONG_AP_DUNG</t>
        </is>
      </c>
      <c r="H30" t="inlineStr">
        <is>
          <t>KHONG_AP_DUNG</t>
        </is>
      </c>
      <c r="I30" t="inlineStr">
        <is>
          <t>KHONG_AP_DUNG</t>
        </is>
      </c>
      <c r="J30" t="inlineStr">
        <is>
          <t>KHONG_AP_DUNG</t>
        </is>
      </c>
      <c r="K30" t="inlineStr">
        <is>
          <t>Direct</t>
        </is>
      </c>
      <c r="L30" t="n">
        <v>7</v>
      </c>
      <c r="M30" t="inlineStr">
        <is>
          <t>xem mô tả cột (phụ thuộc tầm bắn, không phụ thuộc tốc độ mục tiêu)</t>
        </is>
      </c>
      <c r="N30" t="n">
        <v>5</v>
      </c>
      <c r="O30" t="n">
        <v>6</v>
      </c>
      <c r="P30" t="n">
        <v>0.1</v>
      </c>
      <c r="Q30" t="n">
        <v>0</v>
      </c>
      <c r="R30" t="inlineStr">
        <is>
          <t>KHONG_AP_DUNG</t>
        </is>
      </c>
      <c r="S30" t="inlineStr"/>
      <c r="T30" t="inlineStr">
        <is>
          <t>Assets/MachineBrigade/Resources/Data/balance.json: weapons[p26_matriarch_ma_atgm] (guided/weaponFamilyId) + munitionRules.radarGuided/sightGuided</t>
        </is>
      </c>
      <c r="U30" t="inlineStr"/>
    </row>
    <row r="31">
      <c r="A31" t="inlineStr">
        <is>
          <t>p26_roc_direct_roc_atgm</t>
        </is>
      </c>
      <c r="B31" t="inlineStr">
        <is>
          <t>p26_roc_direct_roc_atgm</t>
        </is>
      </c>
      <c r="C31" t="inlineStr">
        <is>
          <t>Kornet (dropped from the bay)</t>
        </is>
      </c>
      <c r="D31" t="inlineStr">
        <is>
          <t>khong_dan</t>
        </is>
      </c>
      <c r="E31" t="b">
        <v>0</v>
      </c>
      <c r="F31" t="inlineStr">
        <is>
          <t>KHONG_AP_DUNG</t>
        </is>
      </c>
      <c r="G31" t="inlineStr">
        <is>
          <t>KHONG_AP_DUNG</t>
        </is>
      </c>
      <c r="H31" t="inlineStr">
        <is>
          <t>KHONG_AP_DUNG</t>
        </is>
      </c>
      <c r="I31" t="inlineStr">
        <is>
          <t>KHONG_AP_DUNG</t>
        </is>
      </c>
      <c r="J31" t="inlineStr">
        <is>
          <t>KHONG_AP_DUNG</t>
        </is>
      </c>
      <c r="K31" t="inlineStr">
        <is>
          <t>Direct</t>
        </is>
      </c>
      <c r="L31" t="n">
        <v>7</v>
      </c>
      <c r="M31" t="inlineStr">
        <is>
          <t>xem mô tả cột (phụ thuộc tầm bắn, không phụ thuộc tốc độ mục tiêu)</t>
        </is>
      </c>
      <c r="N31" t="n">
        <v>5</v>
      </c>
      <c r="O31" t="n">
        <v>6</v>
      </c>
      <c r="P31" t="n">
        <v>0.6</v>
      </c>
      <c r="Q31" t="n">
        <v>0</v>
      </c>
      <c r="R31" t="inlineStr">
        <is>
          <t>KHONG_AP_DUNG</t>
        </is>
      </c>
      <c r="S31" t="inlineStr">
        <is>
          <t>command_airship</t>
        </is>
      </c>
      <c r="T31" t="inlineStr">
        <is>
          <t>Assets/MachineBrigade/Resources/Data/balance.json: weapons[p26_roc_direct_roc_atgm] (guided/weaponFamilyId) + munitionRules.radarGuided/sightGuided</t>
        </is>
      </c>
      <c r="U31" t="inlineStr"/>
    </row>
    <row r="32">
      <c r="A32" t="inlineStr">
        <is>
          <t>p26_roc_roc_atgm</t>
        </is>
      </c>
      <c r="B32" t="inlineStr">
        <is>
          <t>p26_roc_roc_atgm</t>
        </is>
      </c>
      <c r="C32" t="inlineStr">
        <is>
          <t>Kornet (dropped from the bay)</t>
        </is>
      </c>
      <c r="D32" t="inlineStr">
        <is>
          <t>khong_dan</t>
        </is>
      </c>
      <c r="E32" t="b">
        <v>0</v>
      </c>
      <c r="F32" t="inlineStr">
        <is>
          <t>KHONG_AP_DUNG</t>
        </is>
      </c>
      <c r="G32" t="inlineStr">
        <is>
          <t>KHONG_AP_DUNG</t>
        </is>
      </c>
      <c r="H32" t="inlineStr">
        <is>
          <t>KHONG_AP_DUNG</t>
        </is>
      </c>
      <c r="I32" t="inlineStr">
        <is>
          <t>KHONG_AP_DUNG</t>
        </is>
      </c>
      <c r="J32" t="inlineStr">
        <is>
          <t>KHONG_AP_DUNG</t>
        </is>
      </c>
      <c r="K32" t="inlineStr">
        <is>
          <t>Direct</t>
        </is>
      </c>
      <c r="L32" t="n">
        <v>7</v>
      </c>
      <c r="M32" t="inlineStr">
        <is>
          <t>xem mô tả cột (phụ thuộc tầm bắn, không phụ thuộc tốc độ mục tiêu)</t>
        </is>
      </c>
      <c r="N32" t="n">
        <v>5</v>
      </c>
      <c r="O32" t="n">
        <v>6</v>
      </c>
      <c r="P32" t="n">
        <v>0.1</v>
      </c>
      <c r="Q32" t="n">
        <v>0</v>
      </c>
      <c r="R32" t="inlineStr">
        <is>
          <t>KHONG_AP_DUNG</t>
        </is>
      </c>
      <c r="S32" t="inlineStr"/>
      <c r="T32" t="inlineStr">
        <is>
          <t>Assets/MachineBrigade/Resources/Data/balance.json: weapons[p26_roc_roc_atgm] (guided/weaponFamilyId) + munitionRules.radarGuided/sightGuided</t>
        </is>
      </c>
      <c r="U32" t="inlineStr"/>
    </row>
    <row r="33">
      <c r="A33" t="inlineStr">
        <is>
          <t>patriot</t>
        </is>
      </c>
      <c r="B33" t="inlineStr">
        <is>
          <t>patriot</t>
        </is>
      </c>
      <c r="C33" t="inlineStr">
        <is>
          <t>MIM-104 Patriot PAC-2</t>
        </is>
      </c>
      <c r="D33" t="inlineStr">
        <is>
          <t>khong_dan</t>
        </is>
      </c>
      <c r="E33" t="b">
        <v>0</v>
      </c>
      <c r="F33" t="inlineStr">
        <is>
          <t>KHONG_AP_DUNG</t>
        </is>
      </c>
      <c r="G33" t="inlineStr">
        <is>
          <t>KHONG_AP_DUNG</t>
        </is>
      </c>
      <c r="H33" t="inlineStr">
        <is>
          <t>KHONG_AP_DUNG</t>
        </is>
      </c>
      <c r="I33" t="inlineStr">
        <is>
          <t>KHONG_AP_DUNG</t>
        </is>
      </c>
      <c r="J33" t="inlineStr">
        <is>
          <t>KHONG_AP_DUNG</t>
        </is>
      </c>
      <c r="K33" t="inlineStr">
        <is>
          <t>Loft</t>
        </is>
      </c>
      <c r="L33" t="n">
        <v>7</v>
      </c>
      <c r="M33" t="inlineStr">
        <is>
          <t>xem mô tả cột (phụ thuộc tầm bắn, không phụ thuộc tốc độ mục tiêu)</t>
        </is>
      </c>
      <c r="N33" t="n">
        <v>5</v>
      </c>
      <c r="O33" t="n">
        <v>6</v>
      </c>
      <c r="P33" t="n">
        <v>0.45</v>
      </c>
      <c r="Q33" t="n">
        <v>0</v>
      </c>
      <c r="R33" t="inlineStr">
        <is>
          <t>KHONG_AP_DUNG</t>
        </is>
      </c>
      <c r="S33" t="inlineStr">
        <is>
          <t>missile_battery</t>
        </is>
      </c>
      <c r="T33" t="inlineStr">
        <is>
          <t>Assets/MachineBrigade/Resources/Data/balance.json: weapons[patriot] (guided/weaponFamilyId) + munitionRules.radarGuided/sightGuided</t>
        </is>
      </c>
      <c r="U33" t="inlineStr"/>
    </row>
    <row r="34">
      <c r="A34" t="inlineStr">
        <is>
          <t>pt14_co_spike</t>
        </is>
      </c>
      <c r="B34" t="inlineStr">
        <is>
          <t>pt14_co_spike</t>
        </is>
      </c>
      <c r="C34" t="inlineStr">
        <is>
          <t>Spike NLOS (Coeus box launcher)</t>
        </is>
      </c>
      <c r="D34" t="inlineStr">
        <is>
          <t>khong_dan</t>
        </is>
      </c>
      <c r="E34" t="b">
        <v>0</v>
      </c>
      <c r="F34" t="inlineStr">
        <is>
          <t>KHONG_AP_DUNG</t>
        </is>
      </c>
      <c r="G34" t="inlineStr">
        <is>
          <t>KHONG_AP_DUNG</t>
        </is>
      </c>
      <c r="H34" t="inlineStr">
        <is>
          <t>KHONG_AP_DUNG</t>
        </is>
      </c>
      <c r="I34" t="inlineStr">
        <is>
          <t>KHONG_AP_DUNG</t>
        </is>
      </c>
      <c r="J34" t="inlineStr">
        <is>
          <t>KHONG_AP_DUNG</t>
        </is>
      </c>
      <c r="K34" t="inlineStr">
        <is>
          <t>Direct</t>
        </is>
      </c>
      <c r="L34" t="n">
        <v>7</v>
      </c>
      <c r="M34" t="inlineStr">
        <is>
          <t>xem mô tả cột (phụ thuộc tầm bắn, không phụ thuộc tốc độ mục tiêu)</t>
        </is>
      </c>
      <c r="N34" t="n">
        <v>5</v>
      </c>
      <c r="O34" t="n">
        <v>6</v>
      </c>
      <c r="P34" t="n">
        <v>0.8</v>
      </c>
      <c r="Q34" t="n">
        <v>0</v>
      </c>
      <c r="R34" t="inlineStr">
        <is>
          <t>KHONG_AP_DUNG</t>
        </is>
      </c>
      <c r="S34" t="inlineStr">
        <is>
          <t>coeus</t>
        </is>
      </c>
      <c r="T34" t="inlineStr">
        <is>
          <t>Assets/MachineBrigade/Resources/Data/balance.json: weapons[pt14_co_spike] (guided/weaponFamilyId) + munitionRules.radarGuided/sightGuided</t>
        </is>
      </c>
      <c r="U34" t="inlineStr"/>
    </row>
    <row r="35">
      <c r="A35" t="inlineStr">
        <is>
          <t>pt14_hp_nsm</t>
        </is>
      </c>
      <c r="B35" t="inlineStr">
        <is>
          <t>pt14_hp_nsm</t>
        </is>
      </c>
      <c r="C35" t="inlineStr">
        <is>
          <t>NSM Block 1A (Hyperion VLS, land attack)</t>
        </is>
      </c>
      <c r="D35" t="inlineStr">
        <is>
          <t>khong_dan</t>
        </is>
      </c>
      <c r="E35" t="b">
        <v>0</v>
      </c>
      <c r="F35" t="inlineStr">
        <is>
          <t>KHONG_AP_DUNG</t>
        </is>
      </c>
      <c r="G35" t="inlineStr">
        <is>
          <t>KHONG_AP_DUNG</t>
        </is>
      </c>
      <c r="H35" t="inlineStr">
        <is>
          <t>KHONG_AP_DUNG</t>
        </is>
      </c>
      <c r="I35" t="inlineStr">
        <is>
          <t>KHONG_AP_DUNG</t>
        </is>
      </c>
      <c r="J35" t="inlineStr">
        <is>
          <t>KHONG_AP_DUNG</t>
        </is>
      </c>
      <c r="K35" t="inlineStr">
        <is>
          <t>Loft</t>
        </is>
      </c>
      <c r="L35" t="n">
        <v>7</v>
      </c>
      <c r="M35" t="inlineStr">
        <is>
          <t>xem mô tả cột (phụ thuộc tầm bắn, không phụ thuộc tốc độ mục tiêu)</t>
        </is>
      </c>
      <c r="N35" t="n">
        <v>5</v>
      </c>
      <c r="O35" t="n">
        <v>6</v>
      </c>
      <c r="P35" t="n">
        <v>0.6</v>
      </c>
      <c r="Q35" t="n">
        <v>0</v>
      </c>
      <c r="R35" t="inlineStr">
        <is>
          <t>KHONG_AP_DUNG</t>
        </is>
      </c>
      <c r="S35" t="inlineStr">
        <is>
          <t>hyperion</t>
        </is>
      </c>
      <c r="T35" t="inlineStr">
        <is>
          <t>Assets/MachineBrigade/Resources/Data/balance.json: weapons[pt14_hp_nsm] (guided/weaponFamilyId) + munitionRules.radarGuided/sightGuided</t>
        </is>
      </c>
      <c r="U35" t="inlineStr"/>
    </row>
    <row r="36">
      <c r="A36" t="inlineStr">
        <is>
          <t>pt14_ixion_kornet</t>
        </is>
      </c>
      <c r="B36" t="inlineStr">
        <is>
          <t>pt14_ixion_kornet</t>
        </is>
      </c>
      <c r="C36" t="inlineStr">
        <is>
          <t>9M133 Kornet-EM (twin launcher)</t>
        </is>
      </c>
      <c r="D36" t="inlineStr">
        <is>
          <t>khong_dan</t>
        </is>
      </c>
      <c r="E36" t="b">
        <v>0</v>
      </c>
      <c r="F36" t="inlineStr">
        <is>
          <t>KHONG_AP_DUNG</t>
        </is>
      </c>
      <c r="G36" t="inlineStr">
        <is>
          <t>KHONG_AP_DUNG</t>
        </is>
      </c>
      <c r="H36" t="inlineStr">
        <is>
          <t>KHONG_AP_DUNG</t>
        </is>
      </c>
      <c r="I36" t="inlineStr">
        <is>
          <t>KHONG_AP_DUNG</t>
        </is>
      </c>
      <c r="J36" t="inlineStr">
        <is>
          <t>KHONG_AP_DUNG</t>
        </is>
      </c>
      <c r="K36" t="inlineStr">
        <is>
          <t>Direct</t>
        </is>
      </c>
      <c r="L36" t="n">
        <v>7</v>
      </c>
      <c r="M36" t="inlineStr">
        <is>
          <t>xem mô tả cột (phụ thuộc tầm bắn, không phụ thuộc tốc độ mục tiêu)</t>
        </is>
      </c>
      <c r="N36" t="n">
        <v>5</v>
      </c>
      <c r="O36" t="n">
        <v>6</v>
      </c>
      <c r="P36" t="n">
        <v>0.1</v>
      </c>
      <c r="Q36" t="n">
        <v>0</v>
      </c>
      <c r="R36" t="inlineStr">
        <is>
          <t>KHONG_AP_DUNG</t>
        </is>
      </c>
      <c r="S36" t="inlineStr">
        <is>
          <t>ixion</t>
        </is>
      </c>
      <c r="T36" t="inlineStr">
        <is>
          <t>Assets/MachineBrigade/Resources/Data/balance.json: weapons[pt14_ixion_kornet] (guided/weaponFamilyId) + munitionRules.radarGuided/sightGuided</t>
        </is>
      </c>
      <c r="U36" t="inlineStr"/>
    </row>
    <row r="37">
      <c r="A37" t="inlineStr">
        <is>
          <t>pt14_th_jagm</t>
        </is>
      </c>
      <c r="B37" t="inlineStr">
        <is>
          <t>pt14_th_jagm</t>
        </is>
      </c>
      <c r="C37" t="inlineStr">
        <is>
          <t>AGM-179 JAGM (Theia quad pod)</t>
        </is>
      </c>
      <c r="D37" t="inlineStr">
        <is>
          <t>khong_dan</t>
        </is>
      </c>
      <c r="E37" t="b">
        <v>0</v>
      </c>
      <c r="F37" t="inlineStr">
        <is>
          <t>KHONG_AP_DUNG</t>
        </is>
      </c>
      <c r="G37" t="inlineStr">
        <is>
          <t>KHONG_AP_DUNG</t>
        </is>
      </c>
      <c r="H37" t="inlineStr">
        <is>
          <t>KHONG_AP_DUNG</t>
        </is>
      </c>
      <c r="I37" t="inlineStr">
        <is>
          <t>KHONG_AP_DUNG</t>
        </is>
      </c>
      <c r="J37" t="inlineStr">
        <is>
          <t>KHONG_AP_DUNG</t>
        </is>
      </c>
      <c r="K37" t="inlineStr">
        <is>
          <t>Direct</t>
        </is>
      </c>
      <c r="L37" t="n">
        <v>7</v>
      </c>
      <c r="M37" t="inlineStr">
        <is>
          <t>xem mô tả cột (phụ thuộc tầm bắn, không phụ thuộc tốc độ mục tiêu)</t>
        </is>
      </c>
      <c r="N37" t="n">
        <v>5</v>
      </c>
      <c r="O37" t="n">
        <v>6</v>
      </c>
      <c r="P37" t="n">
        <v>0.5</v>
      </c>
      <c r="Q37" t="n">
        <v>0</v>
      </c>
      <c r="R37" t="inlineStr">
        <is>
          <t>KHONG_AP_DUNG</t>
        </is>
      </c>
      <c r="S37" t="inlineStr">
        <is>
          <t>theia</t>
        </is>
      </c>
      <c r="T37" t="inlineStr">
        <is>
          <t>Assets/MachineBrigade/Resources/Data/balance.json: weapons[pt14_th_jagm] (guided/weaponFamilyId) + munitionRules.radarGuided/sightGuided</t>
        </is>
      </c>
      <c r="U37" t="inlineStr"/>
    </row>
    <row r="38">
      <c r="A38" t="inlineStr">
        <is>
          <t>r60</t>
        </is>
      </c>
      <c r="B38" t="inlineStr">
        <is>
          <t>r60</t>
        </is>
      </c>
      <c r="C38" t="inlineStr">
        <is>
          <t>R-60</t>
        </is>
      </c>
      <c r="D38" t="inlineStr">
        <is>
          <t>khong_dan</t>
        </is>
      </c>
      <c r="E38" t="b">
        <v>0</v>
      </c>
      <c r="F38" t="inlineStr">
        <is>
          <t>KHONG_AP_DUNG</t>
        </is>
      </c>
      <c r="G38" t="inlineStr">
        <is>
          <t>KHONG_AP_DUNG</t>
        </is>
      </c>
      <c r="H38" t="inlineStr">
        <is>
          <t>KHONG_AP_DUNG</t>
        </is>
      </c>
      <c r="I38" t="inlineStr">
        <is>
          <t>KHONG_AP_DUNG</t>
        </is>
      </c>
      <c r="J38" t="inlineStr">
        <is>
          <t>KHONG_AP_DUNG</t>
        </is>
      </c>
      <c r="K38" t="inlineStr">
        <is>
          <t>Direct</t>
        </is>
      </c>
      <c r="L38" t="n">
        <v>7</v>
      </c>
      <c r="M38" t="inlineStr">
        <is>
          <t>xem mô tả cột (phụ thuộc tầm bắn, không phụ thuộc tốc độ mục tiêu)</t>
        </is>
      </c>
      <c r="N38" t="n">
        <v>5</v>
      </c>
      <c r="O38" t="n">
        <v>6</v>
      </c>
      <c r="P38" t="n">
        <v>0.1</v>
      </c>
      <c r="Q38" t="n">
        <v>0</v>
      </c>
      <c r="R38" t="inlineStr">
        <is>
          <t>KHONG_AP_DUNG</t>
        </is>
      </c>
      <c r="S38" t="inlineStr">
        <is>
          <t>attack_jet;elite_attack_jet</t>
        </is>
      </c>
      <c r="T38" t="inlineStr">
        <is>
          <t>Assets/MachineBrigade/Resources/Data/balance.json: weapons[r60] (guided/weaponFamilyId) + munitionRules.radarGuided/sightGuided</t>
        </is>
      </c>
      <c r="U38" t="inlineStr"/>
    </row>
    <row r="39">
      <c r="A39" t="inlineStr">
        <is>
          <t>recon_missile</t>
        </is>
      </c>
      <c r="B39" t="inlineStr">
        <is>
          <t>recon_missile</t>
        </is>
      </c>
      <c r="C39" t="inlineStr">
        <is>
          <t>MAM-L</t>
        </is>
      </c>
      <c r="D39" t="inlineStr">
        <is>
          <t>khong_dan</t>
        </is>
      </c>
      <c r="E39" t="b">
        <v>0</v>
      </c>
      <c r="F39" t="inlineStr">
        <is>
          <t>KHONG_AP_DUNG</t>
        </is>
      </c>
      <c r="G39" t="inlineStr">
        <is>
          <t>KHONG_AP_DUNG</t>
        </is>
      </c>
      <c r="H39" t="inlineStr">
        <is>
          <t>KHONG_AP_DUNG</t>
        </is>
      </c>
      <c r="I39" t="inlineStr">
        <is>
          <t>KHONG_AP_DUNG</t>
        </is>
      </c>
      <c r="J39" t="inlineStr">
        <is>
          <t>KHONG_AP_DUNG</t>
        </is>
      </c>
      <c r="K39" t="inlineStr">
        <is>
          <t>Direct</t>
        </is>
      </c>
      <c r="L39" t="n">
        <v>7</v>
      </c>
      <c r="M39" t="inlineStr">
        <is>
          <t>xem mô tả cột (phụ thuộc tầm bắn, không phụ thuộc tốc độ mục tiêu)</t>
        </is>
      </c>
      <c r="N39" t="n">
        <v>5</v>
      </c>
      <c r="O39" t="n">
        <v>6</v>
      </c>
      <c r="P39" t="n">
        <v>0.1</v>
      </c>
      <c r="Q39" t="n">
        <v>0</v>
      </c>
      <c r="R39" t="inlineStr">
        <is>
          <t>KHONG_AP_DUNG</t>
        </is>
      </c>
      <c r="S39" t="inlineStr">
        <is>
          <t>recon_drone</t>
        </is>
      </c>
      <c r="T39" t="inlineStr">
        <is>
          <t>Assets/MachineBrigade/Resources/Data/balance.json: weapons[recon_missile] (guided/weaponFamilyId) + munitionRules.radarGuided/sightGuided</t>
        </is>
      </c>
      <c r="U39" t="inlineStr"/>
    </row>
    <row r="40">
      <c r="A40" t="inlineStr">
        <is>
          <t>sam</t>
        </is>
      </c>
      <c r="B40" t="inlineStr">
        <is>
          <t>sam</t>
        </is>
      </c>
      <c r="C40" t="inlineStr">
        <is>
          <t>Starstreak / Stinger SHORAD</t>
        </is>
      </c>
      <c r="D40" t="inlineStr">
        <is>
          <t>khong_dan</t>
        </is>
      </c>
      <c r="E40" t="b">
        <v>0</v>
      </c>
      <c r="F40" t="inlineStr">
        <is>
          <t>KHONG_AP_DUNG</t>
        </is>
      </c>
      <c r="G40" t="inlineStr">
        <is>
          <t>KHONG_AP_DUNG</t>
        </is>
      </c>
      <c r="H40" t="inlineStr">
        <is>
          <t>KHONG_AP_DUNG</t>
        </is>
      </c>
      <c r="I40" t="inlineStr">
        <is>
          <t>KHONG_AP_DUNG</t>
        </is>
      </c>
      <c r="J40" t="inlineStr">
        <is>
          <t>KHONG_AP_DUNG</t>
        </is>
      </c>
      <c r="K40" t="inlineStr">
        <is>
          <t>Direct</t>
        </is>
      </c>
      <c r="L40" t="n">
        <v>7</v>
      </c>
      <c r="M40" t="inlineStr">
        <is>
          <t>xem mô tả cột (phụ thuộc tầm bắn, không phụ thuộc tốc độ mục tiêu)</t>
        </is>
      </c>
      <c r="N40" t="n">
        <v>5</v>
      </c>
      <c r="O40" t="n">
        <v>6</v>
      </c>
      <c r="P40" t="n">
        <v>0.1</v>
      </c>
      <c r="Q40" t="n">
        <v>0</v>
      </c>
      <c r="R40" t="inlineStr">
        <is>
          <t>KHONG_AP_DUNG</t>
        </is>
      </c>
      <c r="S40" t="inlineStr">
        <is>
          <t>aa_turret;aa_vehicle;elite_aa;manpads_tower;mobile_fortress;nuke_train;typhon</t>
        </is>
      </c>
      <c r="T40" t="inlineStr">
        <is>
          <t>Assets/MachineBrigade/Resources/Data/balance.json: weapons[sam] (guided/weaponFamilyId) + munitionRules.radarGuided/sightGuided</t>
        </is>
      </c>
      <c r="U40" t="inlineStr"/>
    </row>
    <row r="41">
      <c r="A41" t="inlineStr">
        <is>
          <t>sam_48n6</t>
        </is>
      </c>
      <c r="B41" t="inlineStr">
        <is>
          <t>sam_48n6</t>
        </is>
      </c>
      <c r="C41" t="inlineStr">
        <is>
          <t>S-400 48N6</t>
        </is>
      </c>
      <c r="D41" t="inlineStr">
        <is>
          <t>khong_dan</t>
        </is>
      </c>
      <c r="E41" t="b">
        <v>0</v>
      </c>
      <c r="F41" t="inlineStr">
        <is>
          <t>KHONG_AP_DUNG</t>
        </is>
      </c>
      <c r="G41" t="inlineStr">
        <is>
          <t>KHONG_AP_DUNG</t>
        </is>
      </c>
      <c r="H41" t="inlineStr">
        <is>
          <t>KHONG_AP_DUNG</t>
        </is>
      </c>
      <c r="I41" t="inlineStr">
        <is>
          <t>KHONG_AP_DUNG</t>
        </is>
      </c>
      <c r="J41" t="inlineStr">
        <is>
          <t>KHONG_AP_DUNG</t>
        </is>
      </c>
      <c r="K41" t="inlineStr">
        <is>
          <t>Loft</t>
        </is>
      </c>
      <c r="L41" t="n">
        <v>7</v>
      </c>
      <c r="M41" t="inlineStr">
        <is>
          <t>xem mô tả cột (phụ thuộc tầm bắn, không phụ thuộc tốc độ mục tiêu)</t>
        </is>
      </c>
      <c r="N41" t="n">
        <v>5</v>
      </c>
      <c r="O41" t="n">
        <v>6</v>
      </c>
      <c r="P41" t="n">
        <v>0.1</v>
      </c>
      <c r="Q41" t="n">
        <v>0</v>
      </c>
      <c r="R41" t="inlineStr">
        <is>
          <t>KHONG_AP_DUNG</t>
        </is>
      </c>
      <c r="S41" t="inlineStr">
        <is>
          <t>elite_long_sam;long_sam</t>
        </is>
      </c>
      <c r="T41" t="inlineStr">
        <is>
          <t>Assets/MachineBrigade/Resources/Data/balance.json: weapons[sam_48n6] (guided/weaponFamilyId) + munitionRules.radarGuided/sightGuided</t>
        </is>
      </c>
      <c r="U41" t="inlineStr"/>
    </row>
    <row r="42">
      <c r="A42" t="inlineStr">
        <is>
          <t>sam_battery</t>
        </is>
      </c>
      <c r="B42" t="inlineStr">
        <is>
          <t>sam_battery</t>
        </is>
      </c>
      <c r="C42" t="inlineStr">
        <is>
          <t>MIM-104 Patriot PAC-2</t>
        </is>
      </c>
      <c r="D42" t="inlineStr">
        <is>
          <t>khong_dan</t>
        </is>
      </c>
      <c r="E42" t="b">
        <v>0</v>
      </c>
      <c r="F42" t="inlineStr">
        <is>
          <t>KHONG_AP_DUNG</t>
        </is>
      </c>
      <c r="G42" t="inlineStr">
        <is>
          <t>KHONG_AP_DUNG</t>
        </is>
      </c>
      <c r="H42" t="inlineStr">
        <is>
          <t>KHONG_AP_DUNG</t>
        </is>
      </c>
      <c r="I42" t="inlineStr">
        <is>
          <t>KHONG_AP_DUNG</t>
        </is>
      </c>
      <c r="J42" t="inlineStr">
        <is>
          <t>KHONG_AP_DUNG</t>
        </is>
      </c>
      <c r="K42" t="inlineStr">
        <is>
          <t>Loft</t>
        </is>
      </c>
      <c r="L42" t="n">
        <v>7</v>
      </c>
      <c r="M42" t="inlineStr">
        <is>
          <t>xem mô tả cột (phụ thuộc tầm bắn, không phụ thuộc tốc độ mục tiêu)</t>
        </is>
      </c>
      <c r="N42" t="n">
        <v>5</v>
      </c>
      <c r="O42" t="n">
        <v>6</v>
      </c>
      <c r="P42" t="n">
        <v>3</v>
      </c>
      <c r="Q42" t="n">
        <v>0</v>
      </c>
      <c r="R42" t="inlineStr">
        <is>
          <t>KHONG_AP_DUNG</t>
        </is>
      </c>
      <c r="S42" t="inlineStr">
        <is>
          <t>nuke_train</t>
        </is>
      </c>
      <c r="T42" t="inlineStr">
        <is>
          <t>Assets/MachineBrigade/Resources/Data/balance.json: weapons[sam_battery] (guided/weaponFamilyId) + munitionRules.radarGuided/sightGuided</t>
        </is>
      </c>
      <c r="U42" t="inlineStr"/>
    </row>
    <row r="43">
      <c r="A43" t="inlineStr">
        <is>
          <t>sam_battery_lrr</t>
        </is>
      </c>
      <c r="B43" t="inlineStr">
        <is>
          <t>sam_battery_lrr</t>
        </is>
      </c>
      <c r="C43" t="inlineStr">
        <is>
          <t>MIM-104 Patriot PAC-2</t>
        </is>
      </c>
      <c r="D43" t="inlineStr">
        <is>
          <t>khong_dan</t>
        </is>
      </c>
      <c r="E43" t="b">
        <v>0</v>
      </c>
      <c r="F43" t="inlineStr">
        <is>
          <t>KHONG_AP_DUNG</t>
        </is>
      </c>
      <c r="G43" t="inlineStr">
        <is>
          <t>KHONG_AP_DUNG</t>
        </is>
      </c>
      <c r="H43" t="inlineStr">
        <is>
          <t>KHONG_AP_DUNG</t>
        </is>
      </c>
      <c r="I43" t="inlineStr">
        <is>
          <t>KHONG_AP_DUNG</t>
        </is>
      </c>
      <c r="J43" t="inlineStr">
        <is>
          <t>KHONG_AP_DUNG</t>
        </is>
      </c>
      <c r="K43" t="inlineStr">
        <is>
          <t>Loft</t>
        </is>
      </c>
      <c r="L43" t="n">
        <v>7</v>
      </c>
      <c r="M43" t="inlineStr">
        <is>
          <t>xem mô tả cột (phụ thuộc tầm bắn, không phụ thuộc tốc độ mục tiêu)</t>
        </is>
      </c>
      <c r="N43" t="n">
        <v>5</v>
      </c>
      <c r="O43" t="n">
        <v>6</v>
      </c>
      <c r="P43" t="n">
        <v>0.45</v>
      </c>
      <c r="Q43" t="n">
        <v>0</v>
      </c>
      <c r="R43" t="inlineStr">
        <is>
          <t>KHONG_AP_DUNG</t>
        </is>
      </c>
      <c r="S43" t="inlineStr">
        <is>
          <t>missile_battery.lrr</t>
        </is>
      </c>
      <c r="T43" t="inlineStr">
        <is>
          <t>Assets/MachineBrigade/Resources/Data/balance.json: weapons[sam_battery_lrr] (guided/weaponFamilyId) + munitionRules.radarGuided/sightGuided</t>
        </is>
      </c>
      <c r="U43" t="inlineStr"/>
    </row>
    <row r="44">
      <c r="A44" t="inlineStr">
        <is>
          <t>sam_long</t>
        </is>
      </c>
      <c r="B44" t="inlineStr">
        <is>
          <t>sam_long</t>
        </is>
      </c>
      <c r="C44" t="inlineStr">
        <is>
          <t>9M317 Buk</t>
        </is>
      </c>
      <c r="D44" t="inlineStr">
        <is>
          <t>khong_dan</t>
        </is>
      </c>
      <c r="E44" t="b">
        <v>0</v>
      </c>
      <c r="F44" t="inlineStr">
        <is>
          <t>KHONG_AP_DUNG</t>
        </is>
      </c>
      <c r="G44" t="inlineStr">
        <is>
          <t>KHONG_AP_DUNG</t>
        </is>
      </c>
      <c r="H44" t="inlineStr">
        <is>
          <t>KHONG_AP_DUNG</t>
        </is>
      </c>
      <c r="I44" t="inlineStr">
        <is>
          <t>KHONG_AP_DUNG</t>
        </is>
      </c>
      <c r="J44" t="inlineStr">
        <is>
          <t>KHONG_AP_DUNG</t>
        </is>
      </c>
      <c r="K44" t="inlineStr">
        <is>
          <t>Direct</t>
        </is>
      </c>
      <c r="L44" t="n">
        <v>7</v>
      </c>
      <c r="M44" t="inlineStr">
        <is>
          <t>xem mô tả cột (phụ thuộc tầm bắn, không phụ thuộc tốc độ mục tiêu)</t>
        </is>
      </c>
      <c r="N44" t="n">
        <v>5</v>
      </c>
      <c r="O44" t="n">
        <v>6</v>
      </c>
      <c r="P44" t="n">
        <v>0.5</v>
      </c>
      <c r="Q44" t="n">
        <v>0</v>
      </c>
      <c r="R44" t="inlineStr">
        <is>
          <t>KHONG_AP_DUNG</t>
        </is>
      </c>
      <c r="S44" t="inlineStr"/>
      <c r="T44" t="inlineStr">
        <is>
          <t>Assets/MachineBrigade/Resources/Data/balance.json: weapons[sam_long] (guided/weaponFamilyId) + munitionRules.radarGuided/sightGuided</t>
        </is>
      </c>
      <c r="U44" t="inlineStr"/>
    </row>
    <row r="45">
      <c r="A45" t="inlineStr">
        <is>
          <t>sam_pac3</t>
        </is>
      </c>
      <c r="B45" t="inlineStr">
        <is>
          <t>sam_pac3</t>
        </is>
      </c>
      <c r="C45" t="inlineStr">
        <is>
          <t>Patriot PAC-3 MSE</t>
        </is>
      </c>
      <c r="D45" t="inlineStr">
        <is>
          <t>khong_dan</t>
        </is>
      </c>
      <c r="E45" t="b">
        <v>0</v>
      </c>
      <c r="F45" t="inlineStr">
        <is>
          <t>KHONG_AP_DUNG</t>
        </is>
      </c>
      <c r="G45" t="inlineStr">
        <is>
          <t>KHONG_AP_DUNG</t>
        </is>
      </c>
      <c r="H45" t="inlineStr">
        <is>
          <t>KHONG_AP_DUNG</t>
        </is>
      </c>
      <c r="I45" t="inlineStr">
        <is>
          <t>KHONG_AP_DUNG</t>
        </is>
      </c>
      <c r="J45" t="inlineStr">
        <is>
          <t>KHONG_AP_DUNG</t>
        </is>
      </c>
      <c r="K45" t="inlineStr">
        <is>
          <t>Loft</t>
        </is>
      </c>
      <c r="L45" t="n">
        <v>7</v>
      </c>
      <c r="M45" t="inlineStr">
        <is>
          <t>xem mô tả cột (phụ thuộc tầm bắn, không phụ thuộc tốc độ mục tiêu)</t>
        </is>
      </c>
      <c r="N45" t="n">
        <v>5</v>
      </c>
      <c r="O45" t="n">
        <v>6</v>
      </c>
      <c r="P45" t="n">
        <v>0.45</v>
      </c>
      <c r="Q45" t="n">
        <v>0</v>
      </c>
      <c r="R45" t="inlineStr">
        <is>
          <t>KHONG_AP_DUNG</t>
        </is>
      </c>
      <c r="S45" t="inlineStr">
        <is>
          <t>missile_battery.pac3</t>
        </is>
      </c>
      <c r="T45" t="inlineStr">
        <is>
          <t>Assets/MachineBrigade/Resources/Data/balance.json: weapons[sam_pac3] (guided/weaponFamilyId) + munitionRules.radarGuided/sightGuided</t>
        </is>
      </c>
      <c r="U45" t="inlineStr"/>
    </row>
    <row r="46">
      <c r="A46" t="inlineStr">
        <is>
          <t>sam_post</t>
        </is>
      </c>
      <c r="B46" t="inlineStr">
        <is>
          <t>sam_post</t>
        </is>
      </c>
      <c r="C46" t="inlineStr">
        <is>
          <t>9M317 Buk</t>
        </is>
      </c>
      <c r="D46" t="inlineStr">
        <is>
          <t>khong_dan</t>
        </is>
      </c>
      <c r="E46" t="b">
        <v>0</v>
      </c>
      <c r="F46" t="inlineStr">
        <is>
          <t>KHONG_AP_DUNG</t>
        </is>
      </c>
      <c r="G46" t="inlineStr">
        <is>
          <t>KHONG_AP_DUNG</t>
        </is>
      </c>
      <c r="H46" t="inlineStr">
        <is>
          <t>KHONG_AP_DUNG</t>
        </is>
      </c>
      <c r="I46" t="inlineStr">
        <is>
          <t>KHONG_AP_DUNG</t>
        </is>
      </c>
      <c r="J46" t="inlineStr">
        <is>
          <t>KHONG_AP_DUNG</t>
        </is>
      </c>
      <c r="K46" t="inlineStr">
        <is>
          <t>Direct</t>
        </is>
      </c>
      <c r="L46" t="n">
        <v>7</v>
      </c>
      <c r="M46" t="inlineStr">
        <is>
          <t>xem mô tả cột (phụ thuộc tầm bắn, không phụ thuộc tốc độ mục tiêu)</t>
        </is>
      </c>
      <c r="N46" t="n">
        <v>5</v>
      </c>
      <c r="O46" t="n">
        <v>6</v>
      </c>
      <c r="P46" t="n">
        <v>0.5</v>
      </c>
      <c r="Q46" t="n">
        <v>0</v>
      </c>
      <c r="R46" t="inlineStr">
        <is>
          <t>KHONG_AP_DUNG</t>
        </is>
      </c>
      <c r="S46" t="inlineStr">
        <is>
          <t>kraken;leviathan;mobile_fortress;sam_medium;typhon</t>
        </is>
      </c>
      <c r="T46" t="inlineStr">
        <is>
          <t>Assets/MachineBrigade/Resources/Data/balance.json: weapons[sam_post] (guided/weaponFamilyId) + munitionRules.radarGuided/sightGuided</t>
        </is>
      </c>
      <c r="U46" t="inlineStr"/>
    </row>
    <row r="47">
      <c r="A47" t="inlineStr">
        <is>
          <t>scylla_kh35</t>
        </is>
      </c>
      <c r="B47" t="inlineStr">
        <is>
          <t>scylla_kh35</t>
        </is>
      </c>
      <c r="C47" t="inlineStr">
        <is>
          <t>Kh-35U Uran (quad canister bank)</t>
        </is>
      </c>
      <c r="D47" t="inlineStr">
        <is>
          <t>khong_dan</t>
        </is>
      </c>
      <c r="E47" t="b">
        <v>0</v>
      </c>
      <c r="F47" t="inlineStr">
        <is>
          <t>KHONG_AP_DUNG</t>
        </is>
      </c>
      <c r="G47" t="inlineStr">
        <is>
          <t>KHONG_AP_DUNG</t>
        </is>
      </c>
      <c r="H47" t="inlineStr">
        <is>
          <t>KHONG_AP_DUNG</t>
        </is>
      </c>
      <c r="I47" t="inlineStr">
        <is>
          <t>KHONG_AP_DUNG</t>
        </is>
      </c>
      <c r="J47" t="inlineStr">
        <is>
          <t>KHONG_AP_DUNG</t>
        </is>
      </c>
      <c r="K47" t="inlineStr">
        <is>
          <t>Loft</t>
        </is>
      </c>
      <c r="L47" t="n">
        <v>7</v>
      </c>
      <c r="M47" t="inlineStr">
        <is>
          <t>xem mô tả cột (phụ thuộc tầm bắn, không phụ thuộc tốc độ mục tiêu)</t>
        </is>
      </c>
      <c r="N47" t="n">
        <v>5</v>
      </c>
      <c r="O47" t="n">
        <v>6</v>
      </c>
      <c r="P47" t="n">
        <v>0.7</v>
      </c>
      <c r="Q47" t="n">
        <v>0</v>
      </c>
      <c r="R47" t="inlineStr">
        <is>
          <t>KHONG_AP_DUNG</t>
        </is>
      </c>
      <c r="S47" t="inlineStr">
        <is>
          <t>scylla</t>
        </is>
      </c>
      <c r="T47" t="inlineStr">
        <is>
          <t>Assets/MachineBrigade/Resources/Data/balance.json: weapons[scylla_kh35] (guided/weaponFamilyId) + munitionRules.radarGuided/sightGuided</t>
        </is>
      </c>
      <c r="U47" t="inlineStr"/>
    </row>
    <row r="48">
      <c r="A48" t="inlineStr">
        <is>
          <t>stinger_atas</t>
        </is>
      </c>
      <c r="B48" t="inlineStr">
        <is>
          <t>stinger_atas</t>
        </is>
      </c>
      <c r="C48" t="inlineStr">
        <is>
          <t>FIM-92 Stinger (ATAS)</t>
        </is>
      </c>
      <c r="D48" t="inlineStr">
        <is>
          <t>khong_dan</t>
        </is>
      </c>
      <c r="E48" t="b">
        <v>0</v>
      </c>
      <c r="F48" t="inlineStr">
        <is>
          <t>KHONG_AP_DUNG</t>
        </is>
      </c>
      <c r="G48" t="inlineStr">
        <is>
          <t>KHONG_AP_DUNG</t>
        </is>
      </c>
      <c r="H48" t="inlineStr">
        <is>
          <t>KHONG_AP_DUNG</t>
        </is>
      </c>
      <c r="I48" t="inlineStr">
        <is>
          <t>KHONG_AP_DUNG</t>
        </is>
      </c>
      <c r="J48" t="inlineStr">
        <is>
          <t>KHONG_AP_DUNG</t>
        </is>
      </c>
      <c r="K48" t="inlineStr">
        <is>
          <t>Direct</t>
        </is>
      </c>
      <c r="L48" t="n">
        <v>7</v>
      </c>
      <c r="M48" t="inlineStr">
        <is>
          <t>xem mô tả cột (phụ thuộc tầm bắn, không phụ thuộc tốc độ mục tiêu)</t>
        </is>
      </c>
      <c r="N48" t="n">
        <v>5</v>
      </c>
      <c r="O48" t="n">
        <v>6</v>
      </c>
      <c r="P48" t="n">
        <v>0.1</v>
      </c>
      <c r="Q48" t="n">
        <v>0</v>
      </c>
      <c r="R48" t="inlineStr">
        <is>
          <t>KHONG_AP_DUNG</t>
        </is>
      </c>
      <c r="S48" t="inlineStr">
        <is>
          <t>attack_helicopter;elite_attack_helicopter</t>
        </is>
      </c>
      <c r="T48" t="inlineStr">
        <is>
          <t>Assets/MachineBrigade/Resources/Data/balance.json: weapons[stinger_atas] (guided/weaponFamilyId) + munitionRules.radarGuided/sightGuided</t>
        </is>
      </c>
      <c r="U48" t="inlineStr"/>
    </row>
    <row r="49">
      <c r="A49" t="inlineStr">
        <is>
          <t>stinger_post</t>
        </is>
      </c>
      <c r="B49" t="inlineStr">
        <is>
          <t>stinger_post</t>
        </is>
      </c>
      <c r="C49" t="inlineStr">
        <is>
          <t>FIM-92 Stinger (tower post)</t>
        </is>
      </c>
      <c r="D49" t="inlineStr">
        <is>
          <t>khong_dan</t>
        </is>
      </c>
      <c r="E49" t="b">
        <v>0</v>
      </c>
      <c r="F49" t="inlineStr">
        <is>
          <t>KHONG_AP_DUNG</t>
        </is>
      </c>
      <c r="G49" t="inlineStr">
        <is>
          <t>KHONG_AP_DUNG</t>
        </is>
      </c>
      <c r="H49" t="inlineStr">
        <is>
          <t>KHONG_AP_DUNG</t>
        </is>
      </c>
      <c r="I49" t="inlineStr">
        <is>
          <t>KHONG_AP_DUNG</t>
        </is>
      </c>
      <c r="J49" t="inlineStr">
        <is>
          <t>KHONG_AP_DUNG</t>
        </is>
      </c>
      <c r="K49" t="inlineStr">
        <is>
          <t>Direct</t>
        </is>
      </c>
      <c r="L49" t="n">
        <v>7</v>
      </c>
      <c r="M49" t="inlineStr">
        <is>
          <t>xem mô tả cột (phụ thuộc tầm bắn, không phụ thuộc tốc độ mục tiêu)</t>
        </is>
      </c>
      <c r="N49" t="n">
        <v>5</v>
      </c>
      <c r="O49" t="n">
        <v>6</v>
      </c>
      <c r="P49" t="n">
        <v>0.1</v>
      </c>
      <c r="Q49" t="n">
        <v>0</v>
      </c>
      <c r="R49" t="inlineStr">
        <is>
          <t>KHONG_AP_DUNG</t>
        </is>
      </c>
      <c r="S49" t="inlineStr">
        <is>
          <t>aa_turret.sam</t>
        </is>
      </c>
      <c r="T49" t="inlineStr">
        <is>
          <t>Assets/MachineBrigade/Resources/Data/balance.json: weapons[stinger_post] (guided/weaponFamilyId) + munitionRules.radarGuided/sightGuided</t>
        </is>
      </c>
      <c r="U49" t="inlineStr"/>
    </row>
    <row r="50">
      <c r="A50" t="inlineStr">
        <is>
          <t>tamir</t>
        </is>
      </c>
      <c r="B50" t="inlineStr">
        <is>
          <t>tamir</t>
        </is>
      </c>
      <c r="C50" t="inlineStr">
        <is>
          <t>Tamir interceptor (Iron Dome)</t>
        </is>
      </c>
      <c r="D50" t="inlineStr">
        <is>
          <t>khong_dan</t>
        </is>
      </c>
      <c r="E50" t="b">
        <v>0</v>
      </c>
      <c r="F50" t="inlineStr">
        <is>
          <t>KHONG_AP_DUNG</t>
        </is>
      </c>
      <c r="G50" t="inlineStr">
        <is>
          <t>KHONG_AP_DUNG</t>
        </is>
      </c>
      <c r="H50" t="inlineStr">
        <is>
          <t>KHONG_AP_DUNG</t>
        </is>
      </c>
      <c r="I50" t="inlineStr">
        <is>
          <t>KHONG_AP_DUNG</t>
        </is>
      </c>
      <c r="J50" t="inlineStr">
        <is>
          <t>KHONG_AP_DUNG</t>
        </is>
      </c>
      <c r="K50" t="inlineStr">
        <is>
          <t>Loft</t>
        </is>
      </c>
      <c r="L50" t="n">
        <v>7</v>
      </c>
      <c r="M50" t="inlineStr">
        <is>
          <t>xem mô tả cột (phụ thuộc tầm bắn, không phụ thuộc tốc độ mục tiêu)</t>
        </is>
      </c>
      <c r="N50" t="n">
        <v>5</v>
      </c>
      <c r="O50" t="n">
        <v>6</v>
      </c>
      <c r="P50" t="n">
        <v>0.1</v>
      </c>
      <c r="Q50" t="n">
        <v>0</v>
      </c>
      <c r="R50" t="inlineStr">
        <is>
          <t>KHONG_AP_DUNG</t>
        </is>
      </c>
      <c r="S50" t="inlineStr">
        <is>
          <t>c_ram.dome</t>
        </is>
      </c>
      <c r="T50" t="inlineStr">
        <is>
          <t>Assets/MachineBrigade/Resources/Data/balance.json: weapons[tamir] (guided/weaponFamilyId) + munitionRules.radarGuided/sightGuided</t>
        </is>
      </c>
      <c r="U50" t="inlineStr"/>
    </row>
    <row r="51">
      <c r="A51" t="inlineStr">
        <is>
          <t>tower_kornet</t>
        </is>
      </c>
      <c r="B51" t="inlineStr">
        <is>
          <t>tower_kornet</t>
        </is>
      </c>
      <c r="C51" t="inlineStr">
        <is>
          <t>9M133 Kornet</t>
        </is>
      </c>
      <c r="D51" t="inlineStr">
        <is>
          <t>khong_dan</t>
        </is>
      </c>
      <c r="E51" t="b">
        <v>0</v>
      </c>
      <c r="F51" t="inlineStr">
        <is>
          <t>KHONG_AP_DUNG</t>
        </is>
      </c>
      <c r="G51" t="inlineStr">
        <is>
          <t>KHONG_AP_DUNG</t>
        </is>
      </c>
      <c r="H51" t="inlineStr">
        <is>
          <t>KHONG_AP_DUNG</t>
        </is>
      </c>
      <c r="I51" t="inlineStr">
        <is>
          <t>KHONG_AP_DUNG</t>
        </is>
      </c>
      <c r="J51" t="inlineStr">
        <is>
          <t>KHONG_AP_DUNG</t>
        </is>
      </c>
      <c r="K51" t="inlineStr">
        <is>
          <t>Direct</t>
        </is>
      </c>
      <c r="L51" t="n">
        <v>7</v>
      </c>
      <c r="M51" t="inlineStr">
        <is>
          <t>xem mô tả cột (phụ thuộc tầm bắn, không phụ thuộc tốc độ mục tiêu)</t>
        </is>
      </c>
      <c r="N51" t="n">
        <v>5</v>
      </c>
      <c r="O51" t="n">
        <v>6</v>
      </c>
      <c r="P51" t="n">
        <v>0.6</v>
      </c>
      <c r="Q51" t="n">
        <v>0</v>
      </c>
      <c r="R51" t="inlineStr">
        <is>
          <t>KHONG_AP_DUNG</t>
        </is>
      </c>
      <c r="S51" t="inlineStr">
        <is>
          <t>atgm_tower</t>
        </is>
      </c>
      <c r="T51" t="inlineStr">
        <is>
          <t>Assets/MachineBrigade/Resources/Data/balance.json: weapons[tower_kornet] (guided/weaponFamilyId) + munitionRules.radarGuided/sightGuided</t>
        </is>
      </c>
      <c r="U51" t="inlineStr"/>
    </row>
    <row r="52">
      <c r="A52" t="inlineStr">
        <is>
          <t>vikhr</t>
        </is>
      </c>
      <c r="B52" t="inlineStr">
        <is>
          <t>vikhr</t>
        </is>
      </c>
      <c r="C52" t="inlineStr">
        <is>
          <t>9K121 Vikhr</t>
        </is>
      </c>
      <c r="D52" t="inlineStr">
        <is>
          <t>khong_dan</t>
        </is>
      </c>
      <c r="E52" t="b">
        <v>0</v>
      </c>
      <c r="F52" t="inlineStr">
        <is>
          <t>KHONG_AP_DUNG</t>
        </is>
      </c>
      <c r="G52" t="inlineStr">
        <is>
          <t>KHONG_AP_DUNG</t>
        </is>
      </c>
      <c r="H52" t="inlineStr">
        <is>
          <t>KHONG_AP_DUNG</t>
        </is>
      </c>
      <c r="I52" t="inlineStr">
        <is>
          <t>KHONG_AP_DUNG</t>
        </is>
      </c>
      <c r="J52" t="inlineStr">
        <is>
          <t>KHONG_AP_DUNG</t>
        </is>
      </c>
      <c r="K52" t="inlineStr">
        <is>
          <t>Direct</t>
        </is>
      </c>
      <c r="L52" t="n">
        <v>7</v>
      </c>
      <c r="M52" t="inlineStr">
        <is>
          <t>xem mô tả cột (phụ thuộc tầm bắn, không phụ thuộc tốc độ mục tiêu)</t>
        </is>
      </c>
      <c r="N52" t="n">
        <v>5</v>
      </c>
      <c r="O52" t="n">
        <v>6</v>
      </c>
      <c r="P52" t="n">
        <v>0.45</v>
      </c>
      <c r="Q52" t="n">
        <v>0</v>
      </c>
      <c r="R52" t="inlineStr">
        <is>
          <t>KHONG_AP_DUNG</t>
        </is>
      </c>
      <c r="S52" t="inlineStr"/>
      <c r="T52" t="inlineStr">
        <is>
          <t>Assets/MachineBrigade/Resources/Data/balance.json: weapons[vikhr] (guided/weaponFamilyId) + munitionRules.radarGuided/sightGuided</t>
        </is>
      </c>
      <c r="U52" t="inlineStr"/>
    </row>
    <row r="53">
      <c r="A53" t="inlineStr">
        <is>
          <t>wvr_aam</t>
        </is>
      </c>
      <c r="B53" t="inlineStr">
        <is>
          <t>wvr_aam</t>
        </is>
      </c>
      <c r="C53" t="inlineStr">
        <is>
          <t>AIM-9X Sidewinder</t>
        </is>
      </c>
      <c r="D53" t="inlineStr">
        <is>
          <t>khong_dan</t>
        </is>
      </c>
      <c r="E53" t="b">
        <v>0</v>
      </c>
      <c r="F53" t="inlineStr">
        <is>
          <t>KHONG_AP_DUNG</t>
        </is>
      </c>
      <c r="G53" t="inlineStr">
        <is>
          <t>KHONG_AP_DUNG</t>
        </is>
      </c>
      <c r="H53" t="inlineStr">
        <is>
          <t>KHONG_AP_DUNG</t>
        </is>
      </c>
      <c r="I53" t="inlineStr">
        <is>
          <t>KHONG_AP_DUNG</t>
        </is>
      </c>
      <c r="J53" t="inlineStr">
        <is>
          <t>KHONG_AP_DUNG</t>
        </is>
      </c>
      <c r="K53" t="inlineStr">
        <is>
          <t>Direct</t>
        </is>
      </c>
      <c r="L53" t="n">
        <v>7</v>
      </c>
      <c r="M53" t="inlineStr">
        <is>
          <t>xem mô tả cột (phụ thuộc tầm bắn, không phụ thuộc tốc độ mục tiêu)</t>
        </is>
      </c>
      <c r="N53" t="n">
        <v>5</v>
      </c>
      <c r="O53" t="n">
        <v>6</v>
      </c>
      <c r="P53" t="n">
        <v>0.1</v>
      </c>
      <c r="Q53" t="n">
        <v>0</v>
      </c>
      <c r="R53" t="inlineStr">
        <is>
          <t>KHONG_AP_DUNG</t>
        </is>
      </c>
      <c r="S53" t="inlineStr">
        <is>
          <t>fighter_jet</t>
        </is>
      </c>
      <c r="T53" t="inlineStr">
        <is>
          <t>Assets/MachineBrigade/Resources/Data/balance.json: weapons[wvr_aam] (guided/weaponFamilyId) + munitionRules.radarGuided/sightGuided</t>
        </is>
      </c>
      <c r="U53" t="inlineStr"/>
    </row>
  </sheetData>
  <autoFilter ref="A1:U5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inlineStr"/>
      <c r="J6" t="inlineStr"/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50" customWidth="1" min="27" max="27"/>
    <col width="16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5" customWidth="1" min="34" max="34"/>
    <col width="60" customWidth="1" min="35" max="35"/>
    <col width="26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19" customWidth="1" min="42" max="42"/>
    <col width="36" customWidth="1" min="43" max="43"/>
    <col width="21" customWidth="1" min="44" max="44"/>
    <col width="36" customWidth="1" min="45" max="45"/>
    <col width="19" customWidth="1" min="46" max="46"/>
    <col width="60" customWidth="1" min="47" max="47"/>
    <col width="23" customWidth="1" min="48" max="48"/>
    <col width="36" customWidth="1" min="49" max="49"/>
    <col width="19" customWidth="1" min="50" max="50"/>
    <col width="60" customWidth="1" min="51" max="51"/>
    <col width="27" customWidth="1" min="52" max="52"/>
    <col width="31" customWidth="1" min="53" max="53"/>
    <col width="21" customWidth="1" min="54" max="54"/>
    <col width="19" customWidth="1" min="55" max="55"/>
    <col width="26" customWidth="1" min="56" max="56"/>
    <col width="30" customWidth="1" min="57" max="57"/>
    <col width="31" customWidth="1" min="58" max="58"/>
    <col width="25" customWidth="1" min="59" max="59"/>
    <col width="28" customWidth="1" min="60" max="60"/>
    <col width="33" customWidth="1" min="61" max="61"/>
    <col width="20" customWidth="1" min="62" max="62"/>
    <col width="40" customWidth="1" min="63" max="63"/>
    <col width="39" customWidth="1" min="64" max="64"/>
    <col width="20" customWidth="1" min="65" max="65"/>
    <col width="60" customWidth="1" min="66" max="66"/>
    <col width="10" customWidth="1" min="67" max="67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xuyen_qua</t>
        </is>
      </c>
      <c r="AB1" s="1" t="inlineStr">
        <is>
          <t>xuyen_qua_game</t>
        </is>
      </c>
      <c r="AC1" s="1" t="inlineStr">
        <is>
          <t>he_so_xuyen_giap_0</t>
        </is>
      </c>
      <c r="AD1" s="1" t="inlineStr">
        <is>
          <t>he_so_xuyen_giap_0_game</t>
        </is>
      </c>
      <c r="AE1" s="1" t="inlineStr">
        <is>
          <t>he_so_xuyen_giap_2</t>
        </is>
      </c>
      <c r="AF1" s="1" t="inlineStr">
        <is>
          <t>he_so_xuyen_giap_2_game</t>
        </is>
      </c>
      <c r="AG1" s="1" t="inlineStr">
        <is>
          <t>he_so_xuyen_giap_4</t>
        </is>
      </c>
      <c r="AH1" s="1" t="inlineStr">
        <is>
          <t>he_so_xuyen_giap_4_game</t>
        </is>
      </c>
      <c r="AI1" s="1" t="inlineStr">
        <is>
          <t>he_so_xuyen_may_bay</t>
        </is>
      </c>
      <c r="AJ1" s="1" t="inlineStr">
        <is>
          <t>he_so_xuyen_may_bay_game</t>
        </is>
      </c>
      <c r="AK1" s="1" t="inlineStr">
        <is>
          <t>dps_giap_0</t>
        </is>
      </c>
      <c r="AL1" s="1" t="inlineStr">
        <is>
          <t>dps_giap_0_game</t>
        </is>
      </c>
      <c r="AM1" s="1" t="inlineStr">
        <is>
          <t>dps_giap_2</t>
        </is>
      </c>
      <c r="AN1" s="1" t="inlineStr">
        <is>
          <t>dps_giap_2_game</t>
        </is>
      </c>
      <c r="AO1" s="1" t="inlineStr">
        <is>
          <t>dps_giap_4</t>
        </is>
      </c>
      <c r="AP1" s="1" t="inlineStr">
        <is>
          <t>dps_giap_4_game</t>
        </is>
      </c>
      <c r="AQ1" s="1" t="inlineStr">
        <is>
          <t>dps_cong_trinh</t>
        </is>
      </c>
      <c r="AR1" s="1" t="inlineStr">
        <is>
          <t>dps_cong_trinh_game</t>
        </is>
      </c>
      <c r="AS1" s="1" t="inlineStr">
        <is>
          <t>dps_may_bay</t>
        </is>
      </c>
      <c r="AT1" s="1" t="inlineStr">
        <is>
          <t>dps_may_bay_game</t>
        </is>
      </c>
      <c r="AU1" s="1" t="inlineStr">
        <is>
          <t>co_vong_canh_bao</t>
        </is>
      </c>
      <c r="AV1" s="1" t="inlineStr">
        <is>
          <t>co_vong_canh_bao_game</t>
        </is>
      </c>
      <c r="AW1" s="1" t="inlineStr">
        <is>
          <t>bac_canh_bao</t>
        </is>
      </c>
      <c r="AX1" s="1" t="inlineStr">
        <is>
          <t>bac_canh_bao_game</t>
        </is>
      </c>
      <c r="AY1" s="1" t="inlineStr">
        <is>
          <t>thoi_gian_canh_bao_s</t>
        </is>
      </c>
      <c r="AZ1" s="1" t="inlineStr">
        <is>
          <t>thoi_gian_canh_bao_s_game</t>
        </is>
      </c>
      <c r="BA1" s="1" t="inlineStr">
        <is>
          <t>ty_le_chu_ky_so_voi_ngoai_doi</t>
        </is>
      </c>
      <c r="BB1" s="1" t="inlineStr">
        <is>
          <t>ghi_chu_lech</t>
        </is>
      </c>
      <c r="BC1" s="1" t="inlineStr">
        <is>
          <t>cung_ho_nhat_quan</t>
        </is>
      </c>
      <c r="BD1" s="1" t="inlineStr">
        <is>
          <t>toc_do_dan_hieu_dung_m_s</t>
        </is>
      </c>
      <c r="BE1" s="1" t="inlineStr">
        <is>
          <t>toc_do_dan_tran_trang_bi_m_s</t>
        </is>
      </c>
      <c r="BF1" s="1" t="inlineStr">
        <is>
          <t>thoi_gian_bay_tam_toi_thieu_s</t>
        </is>
      </c>
      <c r="BG1" s="1" t="inlineStr">
        <is>
          <t>thoi_gian_bay_nua_tam_s</t>
        </is>
      </c>
      <c r="BH1" s="1" t="inlineStr">
        <is>
          <t>thoi_gian_bay_tam_toi_da_s</t>
        </is>
      </c>
      <c r="BI1" s="1" t="inlineStr">
        <is>
          <t>thoi_gian_bay_tam_toi_da_tran_s</t>
        </is>
      </c>
      <c r="BJ1" s="1" t="inlineStr">
        <is>
          <t>lop_cam_giac_dan</t>
        </is>
      </c>
      <c r="BK1" s="1" t="inlineStr">
        <is>
          <t>canh_bao_toc_do_dan</t>
        </is>
      </c>
      <c r="BL1" s="1" t="inlineStr">
        <is>
          <t>nguon_ke_thua_toc_do</t>
        </is>
      </c>
      <c r="BM1" s="1" t="inlineStr">
        <is>
          <t>khoang_cach_loat_m</t>
        </is>
      </c>
      <c r="BN1" s="1" t="inlineStr">
        <is>
          <t>nguon</t>
        </is>
      </c>
      <c r="BO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0.45</v>
      </c>
      <c r="W2">
        <f>INDEX(Bang_sat_thuong!$C$2:$C$7,MATCH(Vu_khi!$K$2,Bang_sat_thuong!$A$2:$A$7,0))</f>
        <v/>
      </c>
      <c r="X2" t="n">
        <v>1.35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AND(Vu_khi!$K$2="Kinetic",NOT(Vu_khi!$AG$2))</f>
        <v/>
      </c>
      <c r="AB2" t="b">
        <v>0</v>
      </c>
      <c r="AC2">
        <f>IF(Vu_khi!$AG$2,INDEX(Bang_danh_noc!$C$2:$C$8,MIN(7,MAX(1,2-(Vu_khi!$L$2-0)+1))),INDEX(Bang_xuyen_giap!$C$2:$C$8,MIN(7,MAX(1,IF($O$2,MAX(1,2-(Vu_khi!$L$2-0)),2-(Vu_khi!$L$2-0))+1))))*IF($AA$2,INDEX(Bang_xuyen_qua!$C$2:$C$5,MIN(4,MAX(1,(Vu_khi!$L$2)-(0)-1))),1)</f>
        <v/>
      </c>
      <c r="AD2" t="n">
        <v>1</v>
      </c>
      <c r="AE2">
        <f>IF(Vu_khi!$AG$2,INDEX(Bang_danh_noc!$C$2:$C$8,MIN(7,MAX(1,2-(Vu_khi!$L$2-2)+1))),INDEX(Bang_xuyen_giap!$C$2:$C$8,MIN(7,MAX(1,IF($O$2,MAX(1,2-(Vu_khi!$L$2-2)),2-(Vu_khi!$L$2-2))+1))))*IF($AA$2,INDEX(Bang_xuyen_qua!$C$2:$C$5,MIN(4,MAX(1,(Vu_khi!$L$2)-(2)-1))),1)</f>
        <v/>
      </c>
      <c r="AF2" t="n">
        <v>0.65</v>
      </c>
      <c r="AG2">
        <f>IF(Vu_khi!$AG$2,INDEX(Bang_danh_noc!$C$2:$C$8,MIN(7,MAX(1,2-(Vu_khi!$L$2-4)+1))),INDEX(Bang_xuyen_giap!$C$2:$C$8,MIN(7,MAX(1,IF($O$2,MAX(1,2-(Vu_khi!$L$2-4)),2-(Vu_khi!$L$2-4))+1))))*IF($AA$2,INDEX(Bang_xuyen_qua!$C$2:$C$5,MIN(4,MAX(1,(Vu_khi!$L$2)-(4)-1))),1)</f>
        <v/>
      </c>
      <c r="AH2" t="n">
        <v>0.15</v>
      </c>
      <c r="AI2">
        <f>INDEX(Bang_xuyen_giap!$C$2:$C$8,MIN(7,MAX(1,MAX(1,2-(Vu_khi!$L$2-0))+1)))*IF($AA$2,INDEX(Bang_xuyen_qua!$C$2:$C$5,MIN(4,MAX(1,(Vu_khi!$L$2)-(0)-1))),1)</f>
        <v/>
      </c>
      <c r="AJ2" t="n">
        <v>1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IF($Q$2,$M$2*$AG$2*$U$2,0)</f>
        <v/>
      </c>
      <c r="AP2" t="n">
        <v>0</v>
      </c>
      <c r="AQ2">
        <f>IF($Q$2,$M$2*$AE$2*$Y$2,0)</f>
        <v/>
      </c>
      <c r="AR2" t="n">
        <v>0</v>
      </c>
      <c r="AS2">
        <f>IF($S$2,$M$2*$AI$2*$W$2,0)</f>
        <v/>
      </c>
      <c r="AT2" t="n">
        <v>111.0483870967742</v>
      </c>
      <c r="AU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V2" t="b">
        <v>0</v>
      </c>
      <c r="AW2">
        <f>IF(AND($B$2&lt;0,$AU$2),4,$B$2)</f>
        <v/>
      </c>
      <c r="AX2" t="n">
        <v>1</v>
      </c>
      <c r="AY2">
        <f>IF($AW$2&lt;4,0,MIN(MAX(0.5,Canh_bao_vong!$D$4),MAX(IF(Vu_khi!$C$2="cal_406",Canh_bao_vong!$D$7,IF($AW$2&gt;=5,Canh_bao_vong!$D$9,Canh_bao_vong!$D$8)),Canh_bao_vong!$D$2+MAX(0,Vu_khi!$X$2)/MAX(0.1,Canh_bao_vong!$D$5))))</f>
        <v/>
      </c>
      <c r="AZ2" t="n">
        <v>0</v>
      </c>
      <c r="BA2" t="n">
        <v>2.686667</v>
      </c>
      <c r="BB2" t="inlineStr">
        <is>
          <t>ok</t>
        </is>
      </c>
      <c r="BC2" t="b">
        <v>1</v>
      </c>
      <c r="BD2" t="n">
        <v>240</v>
      </c>
      <c r="BE2" t="n">
        <v>312</v>
      </c>
      <c r="BF2" t="n">
        <v>0.044</v>
      </c>
      <c r="BG2" t="n">
        <v>0.08699999999999999</v>
      </c>
      <c r="BH2" t="n">
        <v>0.175</v>
      </c>
      <c r="BI2" t="n">
        <v>0.135</v>
      </c>
      <c r="BJ2" t="inlineStr">
        <is>
          <t>DIRECT_BULLET</t>
        </is>
      </c>
      <c r="BK2" t="inlineStr">
        <is>
          <t>ok</t>
        </is>
      </c>
      <c r="BL2" t="inlineStr">
        <is>
          <t>inherited from zu23</t>
        </is>
      </c>
      <c r="BM2" t="inlineStr"/>
      <c r="BN2" t="inlineStr">
        <is>
          <t>Assets/MachineBrigade/Resources/Data/balance.json: weapons[id=aa_25_triple] (lớp B trên 01_chien_dau/Vu_khi)</t>
        </is>
      </c>
      <c r="BO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1.2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0.7</v>
      </c>
      <c r="AA3">
        <f>AND(Vu_khi!$K$3="Kinetic",NOT(Vu_khi!$AG$3))</f>
        <v/>
      </c>
      <c r="AB3" t="b">
        <v>1</v>
      </c>
      <c r="AC3">
        <f>IF(Vu_khi!$AG$3,INDEX(Bang_danh_noc!$C$2:$C$8,MIN(7,MAX(1,2-(Vu_khi!$L$3-0)+1))),INDEX(Bang_xuyen_giap!$C$2:$C$8,MIN(7,MAX(1,IF($O$3,MAX(1,2-(Vu_khi!$L$3-0)),2-(Vu_khi!$L$3-0))+1))))*IF($AA$3,INDEX(Bang_xuyen_qua!$C$2:$C$5,MIN(4,MAX(1,(Vu_khi!$L$3)-(0)-1))),1)</f>
        <v/>
      </c>
      <c r="AD3" t="n">
        <v>1.2</v>
      </c>
      <c r="AE3">
        <f>IF(Vu_khi!$AG$3,INDEX(Bang_danh_noc!$C$2:$C$8,MIN(7,MAX(1,2-(Vu_khi!$L$3-2)+1))),INDEX(Bang_xuyen_giap!$C$2:$C$8,MIN(7,MAX(1,IF($O$3,MAX(1,2-(Vu_khi!$L$3-2)),2-(Vu_khi!$L$3-2))+1))))*IF($AA$3,INDEX(Bang_xuyen_qua!$C$2:$C$5,MIN(4,MAX(1,(Vu_khi!$L$3)-(2)-1))),1)</f>
        <v/>
      </c>
      <c r="AF3" t="n">
        <v>0.85</v>
      </c>
      <c r="AG3">
        <f>IF(Vu_khi!$AG$3,INDEX(Bang_danh_noc!$C$2:$C$8,MIN(7,MAX(1,2-(Vu_khi!$L$3-4)+1))),INDEX(Bang_xuyen_giap!$C$2:$C$8,MIN(7,MAX(1,IF($O$3,MAX(1,2-(Vu_khi!$L$3-4)),2-(Vu_khi!$L$3-4))+1))))*IF($AA$3,INDEX(Bang_xuyen_qua!$C$2:$C$5,MIN(4,MAX(1,(Vu_khi!$L$3)-(4)-1))),1)</f>
        <v/>
      </c>
      <c r="AH3" t="n">
        <v>0.4</v>
      </c>
      <c r="AI3">
        <f>INDEX(Bang_xuyen_giap!$C$2:$C$8,MIN(7,MAX(1,MAX(1,2-(Vu_khi!$L$3-0))+1)))*IF($AA$3,INDEX(Bang_xuyen_qua!$C$2:$C$5,MIN(4,MAX(1,(Vu_khi!$L$3)-(0)-1))),1)</f>
        <v/>
      </c>
      <c r="AJ3" t="n">
        <v>1</v>
      </c>
      <c r="AK3">
        <f>IF($Q$3,$M$3*$AC$3*$U$3,0)</f>
        <v/>
      </c>
      <c r="AL3" t="n">
        <v>118.4516129032258</v>
      </c>
      <c r="AM3">
        <f>IF($Q$3,$M$3*$AE$3*$U$3,0)</f>
        <v/>
      </c>
      <c r="AN3" t="n">
        <v>83.9032258064516</v>
      </c>
      <c r="AO3">
        <f>IF($Q$3,$M$3*$AG$3*$U$3,0)</f>
        <v/>
      </c>
      <c r="AP3" t="n">
        <v>39.48387096774193</v>
      </c>
      <c r="AQ3">
        <f>IF($Q$3,$M$3*$AE$3*$Y$3,0)</f>
        <v/>
      </c>
      <c r="AR3" t="n">
        <v>48.94354838709677</v>
      </c>
      <c r="AS3">
        <f>IF($S$3,$M$3*$AI$3*$W$3,0)</f>
        <v/>
      </c>
      <c r="AT3" t="n">
        <v>0</v>
      </c>
      <c r="AU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V3" t="b">
        <v>0</v>
      </c>
      <c r="AW3">
        <f>IF(AND($B$3&lt;0,$AU$3),4,$B$3)</f>
        <v/>
      </c>
      <c r="AX3" t="n">
        <v>1</v>
      </c>
      <c r="AY3">
        <f>IF($AW$3&lt;4,0,MIN(MAX(0.5,Canh_bao_vong!$D$4),MAX(IF(Vu_khi!$C$3="cal_406",Canh_bao_vong!$D$7,IF($AW$3&gt;=5,Canh_bao_vong!$D$9,Canh_bao_vong!$D$8)),Canh_bao_vong!$D$2+MAX(0,Vu_khi!$X$3)/MAX(0.1,Canh_bao_vong!$D$5))))</f>
        <v/>
      </c>
      <c r="AZ3" t="n">
        <v>0</v>
      </c>
      <c r="BD3" t="n">
        <v>240</v>
      </c>
      <c r="BE3" t="n">
        <v>312</v>
      </c>
      <c r="BF3" t="n">
        <v>0.044</v>
      </c>
      <c r="BG3" t="n">
        <v>0.08699999999999999</v>
      </c>
      <c r="BH3" t="n">
        <v>0.175</v>
      </c>
      <c r="BI3" t="n">
        <v>0.135</v>
      </c>
      <c r="BJ3" t="inlineStr">
        <is>
          <t>DIRECT_BULLET</t>
        </is>
      </c>
      <c r="BK3" t="inlineStr">
        <is>
          <t>ok</t>
        </is>
      </c>
      <c r="BL3" t="inlineStr">
        <is>
          <t>inherited from aa_25_triple</t>
        </is>
      </c>
      <c r="BM3" t="inlineStr"/>
      <c r="BN3" t="inlineStr">
        <is>
          <t>Assets/MachineBrigade/Resources/Data/balance.json: weapons[id=aa_25_triple_ap] (lớp B trên 01_chien_dau/Vu_khi)</t>
        </is>
      </c>
      <c r="BO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1.6</v>
      </c>
      <c r="AA4">
        <f>AND(Vu_khi!$K$4="Kinetic",NOT(Vu_khi!$AG$4))</f>
        <v/>
      </c>
      <c r="AB4" t="b">
        <v>0</v>
      </c>
      <c r="AC4">
        <f>IF(Vu_khi!$AG$4,INDEX(Bang_danh_noc!$C$2:$C$8,MIN(7,MAX(1,2-(Vu_khi!$L$4-0)+1))),INDEX(Bang_xuyen_giap!$C$2:$C$8,MIN(7,MAX(1,IF($O$4,MAX(1,2-(Vu_khi!$L$4-0)),2-(Vu_khi!$L$4-0))+1))))*IF($AA$4,INDEX(Bang_xuyen_qua!$C$2:$C$5,MIN(4,MAX(1,(Vu_khi!$L$4)-(0)-1))),1)</f>
        <v/>
      </c>
      <c r="AD4" t="n">
        <v>1.2</v>
      </c>
      <c r="AE4">
        <f>IF(Vu_khi!$AG$4,INDEX(Bang_danh_noc!$C$2:$C$8,MIN(7,MAX(1,2-(Vu_khi!$L$4-2)+1))),INDEX(Bang_xuyen_giap!$C$2:$C$8,MIN(7,MAX(1,IF($O$4,MAX(1,2-(Vu_khi!$L$4-2)),2-(Vu_khi!$L$4-2))+1))))*IF($AA$4,INDEX(Bang_xuyen_qua!$C$2:$C$5,MIN(4,MAX(1,(Vu_khi!$L$4)-(2)-1))),1)</f>
        <v/>
      </c>
      <c r="AF4" t="n">
        <v>0.85</v>
      </c>
      <c r="AG4">
        <f>IF(Vu_khi!$AG$4,INDEX(Bang_danh_noc!$C$2:$C$8,MIN(7,MAX(1,2-(Vu_khi!$L$4-4)+1))),INDEX(Bang_xuyen_giap!$C$2:$C$8,MIN(7,MAX(1,IF($O$4,MAX(1,2-(Vu_khi!$L$4-4)),2-(Vu_khi!$L$4-4))+1))))*IF($AA$4,INDEX(Bang_xuyen_qua!$C$2:$C$5,MIN(4,MAX(1,(Vu_khi!$L$4)-(4)-1))),1)</f>
        <v/>
      </c>
      <c r="AH4" t="n">
        <v>0.4</v>
      </c>
      <c r="AI4">
        <f>INDEX(Bang_xuyen_giap!$C$2:$C$8,MIN(7,MAX(1,MAX(1,2-(Vu_khi!$L$4-0))+1)))*IF($AA$4,INDEX(Bang_xuyen_qua!$C$2:$C$5,MIN(4,MAX(1,(Vu_khi!$L$4)-(0)-1))),1)</f>
        <v/>
      </c>
      <c r="AJ4" t="n">
        <v>1</v>
      </c>
      <c r="AK4">
        <f>IF($Q$4,$M$4*$AC$4*$U$4,0)</f>
        <v/>
      </c>
      <c r="AL4" t="n">
        <v>44.57142857142856</v>
      </c>
      <c r="AM4">
        <f>IF($Q$4,$M$4*$AE$4*$U$4,0)</f>
        <v/>
      </c>
      <c r="AN4" t="n">
        <v>31.57142857142857</v>
      </c>
      <c r="AO4">
        <f>IF($Q$4,$M$4*$AG$4*$U$4,0)</f>
        <v/>
      </c>
      <c r="AP4" t="n">
        <v>14.85714285714286</v>
      </c>
      <c r="AQ4">
        <f>IF($Q$4,$M$4*$AE$4*$Y$4,0)</f>
        <v/>
      </c>
      <c r="AR4" t="n">
        <v>50.51428571428571</v>
      </c>
      <c r="AS4">
        <f>IF($S$4,$M$4*$AI$4*$W$4,0)</f>
        <v/>
      </c>
      <c r="AT4" t="n">
        <v>0</v>
      </c>
      <c r="AU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V4" t="b">
        <v>0</v>
      </c>
      <c r="AW4">
        <f>IF(AND($B$4&lt;0,$AU$4),4,$B$4)</f>
        <v/>
      </c>
      <c r="AX4" t="n">
        <v>1</v>
      </c>
      <c r="AY4">
        <f>IF($AW$4&lt;4,0,MIN(MAX(0.5,Canh_bao_vong!$D$4),MAX(IF(Vu_khi!$C$4="cal_406",Canh_bao_vong!$D$7,IF($AW$4&gt;=5,Canh_bao_vong!$D$9,Canh_bao_vong!$D$8)),Canh_bao_vong!$D$2+MAX(0,Vu_khi!$X$4)/MAX(0.1,Canh_bao_vong!$D$5))))</f>
        <v/>
      </c>
      <c r="AZ4" t="n">
        <v>0</v>
      </c>
      <c r="BA4" t="n">
        <v>4.375</v>
      </c>
      <c r="BB4" t="inlineStr">
        <is>
          <t>ok</t>
        </is>
      </c>
      <c r="BC4" t="inlineStr"/>
      <c r="BD4" t="n">
        <v>70</v>
      </c>
      <c r="BE4" t="n">
        <v>91</v>
      </c>
      <c r="BF4" t="n">
        <v>0.107</v>
      </c>
      <c r="BG4" t="n">
        <v>0.214</v>
      </c>
      <c r="BH4" t="n">
        <v>0.429</v>
      </c>
      <c r="BI4" t="n">
        <v>0.33</v>
      </c>
      <c r="BJ4" t="inlineStr">
        <is>
          <t>DIRECT_BULLET</t>
        </is>
      </c>
      <c r="BK4" t="inlineStr">
        <is>
          <t>ok</t>
        </is>
      </c>
      <c r="BL4" t="inlineStr">
        <is>
          <t>family mk_19_40_mm</t>
        </is>
      </c>
      <c r="BM4" t="inlineStr"/>
      <c r="BN4" t="inlineStr">
        <is>
          <t>Assets/MachineBrigade/Resources/Data/balance.json: weapons[id=agl_40] (lớp B trên 01_chien_dau/Vu_khi)</t>
        </is>
      </c>
      <c r="BO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1.6</v>
      </c>
      <c r="AA5">
        <f>AND(Vu_khi!$K$5="Kinetic",NOT(Vu_khi!$AG$5))</f>
        <v/>
      </c>
      <c r="AB5" t="b">
        <v>0</v>
      </c>
      <c r="AC5">
        <f>IF(Vu_khi!$AG$5,INDEX(Bang_danh_noc!$C$2:$C$8,MIN(7,MAX(1,2-(Vu_khi!$L$5-0)+1))),INDEX(Bang_xuyen_giap!$C$2:$C$8,MIN(7,MAX(1,IF($O$5,MAX(1,2-(Vu_khi!$L$5-0)),2-(Vu_khi!$L$5-0))+1))))*IF($AA$5,INDEX(Bang_xuyen_qua!$C$2:$C$5,MIN(4,MAX(1,(Vu_khi!$L$5)-(0)-1))),1)</f>
        <v/>
      </c>
      <c r="AD5" t="n">
        <v>1.2</v>
      </c>
      <c r="AE5">
        <f>IF(Vu_khi!$AG$5,INDEX(Bang_danh_noc!$C$2:$C$8,MIN(7,MAX(1,2-(Vu_khi!$L$5-2)+1))),INDEX(Bang_xuyen_giap!$C$2:$C$8,MIN(7,MAX(1,IF($O$5,MAX(1,2-(Vu_khi!$L$5-2)),2-(Vu_khi!$L$5-2))+1))))*IF($AA$5,INDEX(Bang_xuyen_qua!$C$2:$C$5,MIN(4,MAX(1,(Vu_khi!$L$5)-(2)-1))),1)</f>
        <v/>
      </c>
      <c r="AF5" t="n">
        <v>1</v>
      </c>
      <c r="AG5">
        <f>IF(Vu_khi!$AG$5,INDEX(Bang_danh_noc!$C$2:$C$8,MIN(7,MAX(1,2-(Vu_khi!$L$5-4)+1))),INDEX(Bang_xuyen_giap!$C$2:$C$8,MIN(7,MAX(1,IF($O$5,MAX(1,2-(Vu_khi!$L$5-4)),2-(Vu_khi!$L$5-4))+1))))*IF($AA$5,INDEX(Bang_xuyen_qua!$C$2:$C$5,MIN(4,MAX(1,(Vu_khi!$L$5)-(4)-1))),1)</f>
        <v/>
      </c>
      <c r="AH5" t="n">
        <v>0.65</v>
      </c>
      <c r="AI5">
        <f>INDEX(Bang_xuyen_giap!$C$2:$C$8,MIN(7,MAX(1,MAX(1,2-(Vu_khi!$L$5-0))+1)))*IF($AA$5,INDEX(Bang_xuyen_qua!$C$2:$C$5,MIN(4,MAX(1,(Vu_khi!$L$5)-(0)-1))),1)</f>
        <v/>
      </c>
      <c r="AJ5" t="n">
        <v>1</v>
      </c>
      <c r="AK5">
        <f>IF($Q$5,$M$5*$AC$5*$U$5,0)</f>
        <v/>
      </c>
      <c r="AL5" t="n">
        <v>40.5</v>
      </c>
      <c r="AM5">
        <f>IF($Q$5,$M$5*$AE$5*$U$5,0)</f>
        <v/>
      </c>
      <c r="AN5" t="n">
        <v>33.75</v>
      </c>
      <c r="AO5">
        <f>IF($Q$5,$M$5*$AG$5*$U$5,0)</f>
        <v/>
      </c>
      <c r="AP5" t="n">
        <v>21.9375</v>
      </c>
      <c r="AQ5">
        <f>IF($Q$5,$M$5*$AE$5*$Y$5,0)</f>
        <v/>
      </c>
      <c r="AR5" t="n">
        <v>54</v>
      </c>
      <c r="AS5">
        <f>IF($S$5,$M$5*$AI$5*$W$5,0)</f>
        <v/>
      </c>
      <c r="AT5" t="n">
        <v>0</v>
      </c>
      <c r="AU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V5" t="b">
        <v>0</v>
      </c>
      <c r="AW5">
        <f>IF(AND($B$5&lt;0,$AU$5),4,$B$5)</f>
        <v/>
      </c>
      <c r="AX5" t="n">
        <v>4</v>
      </c>
      <c r="AY5">
        <f>IF($AW$5&lt;4,0,MIN(MAX(0.5,Canh_bao_vong!$D$4),MAX(IF(Vu_khi!$C$5="cal_406",Canh_bao_vong!$D$7,IF($AW$5&gt;=5,Canh_bao_vong!$D$9,Canh_bao_vong!$D$8)),Canh_bao_vong!$D$2+MAX(0,Vu_khi!$X$5)/MAX(0.1,Canh_bao_vong!$D$5))))</f>
        <v/>
      </c>
      <c r="AZ5" t="n">
        <v>2.5</v>
      </c>
      <c r="BA5" t="inlineStr"/>
      <c r="BB5" t="inlineStr">
        <is>
          <t>ok</t>
        </is>
      </c>
      <c r="BC5" t="inlineStr"/>
      <c r="BD5" t="n">
        <v>65</v>
      </c>
      <c r="BE5" t="n">
        <v>84.5</v>
      </c>
      <c r="BF5" t="n">
        <v>0.423</v>
      </c>
      <c r="BG5" t="n">
        <v>0.846</v>
      </c>
      <c r="BH5" t="n">
        <v>1.692</v>
      </c>
      <c r="BI5" t="n">
        <v>1.302</v>
      </c>
      <c r="BJ5" t="inlineStr">
        <is>
          <t>CRUISE</t>
        </is>
      </c>
      <c r="BK5" t="inlineStr">
        <is>
          <t>ok</t>
        </is>
      </c>
      <c r="BL5" t="inlineStr">
        <is>
          <t>own line</t>
        </is>
      </c>
      <c r="BM5" t="inlineStr"/>
      <c r="BN5" t="inlineStr">
        <is>
          <t>Assets/MachineBrigade/Resources/Data/balance.json: weapons[id=air_cruise_missile] (lớp B trên 01_chien_dau/Vu_khi)</t>
        </is>
      </c>
      <c r="BO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0.45</v>
      </c>
      <c r="W6">
        <f>INDEX(Bang_sat_thuong!$C$2:$C$7,MATCH(Vu_khi!$K$6,Bang_sat_thuong!$A$2:$A$7,0))</f>
        <v/>
      </c>
      <c r="X6" t="n">
        <v>1.35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AND(Vu_khi!$K$6="Kinetic",NOT(Vu_khi!$AG$6))</f>
        <v/>
      </c>
      <c r="AB6" t="b">
        <v>0</v>
      </c>
      <c r="AC6">
        <f>IF(Vu_khi!$AG$6,INDEX(Bang_danh_noc!$C$2:$C$8,MIN(7,MAX(1,2-(Vu_khi!$L$6-0)+1))),INDEX(Bang_xuyen_giap!$C$2:$C$8,MIN(7,MAX(1,IF($O$6,MAX(1,2-(Vu_khi!$L$6-0)),2-(Vu_khi!$L$6-0))+1))))*IF($AA$6,INDEX(Bang_xuyen_qua!$C$2:$C$5,MIN(4,MAX(1,(Vu_khi!$L$6)-(0)-1))),1)</f>
        <v/>
      </c>
      <c r="AD6" t="n">
        <v>1.2</v>
      </c>
      <c r="AE6">
        <f>IF(Vu_khi!$AG$6,INDEX(Bang_danh_noc!$C$2:$C$8,MIN(7,MAX(1,2-(Vu_khi!$L$6-2)+1))),INDEX(Bang_xuyen_giap!$C$2:$C$8,MIN(7,MAX(1,IF($O$6,MAX(1,2-(Vu_khi!$L$6-2)),2-(Vu_khi!$L$6-2))+1))))*IF($AA$6,INDEX(Bang_xuyen_qua!$C$2:$C$5,MIN(4,MAX(1,(Vu_khi!$L$6)-(2)-1))),1)</f>
        <v/>
      </c>
      <c r="AF6" t="n">
        <v>1</v>
      </c>
      <c r="AG6">
        <f>IF(Vu_khi!$AG$6,INDEX(Bang_danh_noc!$C$2:$C$8,MIN(7,MAX(1,2-(Vu_khi!$L$6-4)+1))),INDEX(Bang_xuyen_giap!$C$2:$C$8,MIN(7,MAX(1,IF($O$6,MAX(1,2-(Vu_khi!$L$6-4)),2-(Vu_khi!$L$6-4))+1))))*IF($AA$6,INDEX(Bang_xuyen_qua!$C$2:$C$5,MIN(4,MAX(1,(Vu_khi!$L$6)-(4)-1))),1)</f>
        <v/>
      </c>
      <c r="AH6" t="n">
        <v>0.65</v>
      </c>
      <c r="AI6">
        <f>INDEX(Bang_xuyen_giap!$C$2:$C$8,MIN(7,MAX(1,MAX(1,2-(Vu_khi!$L$6-0))+1)))*IF($AA$6,INDEX(Bang_xuyen_qua!$C$2:$C$5,MIN(4,MAX(1,(Vu_khi!$L$6)-(0)-1))),1)</f>
        <v/>
      </c>
      <c r="AJ6" t="n">
        <v>1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IF($Q$6,$M$6*$AG$6*$U$6,0)</f>
        <v/>
      </c>
      <c r="AP6" t="n">
        <v>0</v>
      </c>
      <c r="AQ6">
        <f>IF($Q$6,$M$6*$AE$6*$Y$6,0)</f>
        <v/>
      </c>
      <c r="AR6" t="n">
        <v>0</v>
      </c>
      <c r="AS6">
        <f>IF($S$6,$M$6*$AI$6*$W$6,0)</f>
        <v/>
      </c>
      <c r="AT6" t="n">
        <v>99.47368421052632</v>
      </c>
      <c r="AU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V6" t="b">
        <v>0</v>
      </c>
      <c r="AW6">
        <f>IF(AND($B$6&lt;0,$AU$6),4,$B$6)</f>
        <v/>
      </c>
      <c r="AX6" t="n">
        <v>2</v>
      </c>
      <c r="AY6">
        <f>IF($AW$6&lt;4,0,MIN(MAX(0.5,Canh_bao_vong!$D$4),MAX(IF(Vu_khi!$C$6="cal_406",Canh_bao_vong!$D$7,IF($AW$6&gt;=5,Canh_bao_vong!$D$9,Canh_bao_vong!$D$8)),Canh_bao_vong!$D$2+MAX(0,Vu_khi!$X$6)/MAX(0.1,Canh_bao_vong!$D$5))))</f>
        <v/>
      </c>
      <c r="AZ6" t="n">
        <v>0</v>
      </c>
      <c r="BA6" t="inlineStr"/>
      <c r="BB6" t="inlineStr">
        <is>
          <t>ok</t>
        </is>
      </c>
      <c r="BC6" t="inlineStr"/>
      <c r="BD6" t="n">
        <v>140</v>
      </c>
      <c r="BE6" t="n">
        <v>182</v>
      </c>
      <c r="BF6" t="n">
        <v>0.107</v>
      </c>
      <c r="BG6" t="n">
        <v>0.214</v>
      </c>
      <c r="BH6" t="n">
        <v>0.429</v>
      </c>
      <c r="BI6" t="n">
        <v>0.33</v>
      </c>
      <c r="BJ6" t="inlineStr">
        <is>
          <t>AIR_DEFENCE_MISSILE</t>
        </is>
      </c>
      <c r="BK6" t="inlineStr">
        <is>
          <t>ok</t>
        </is>
      </c>
      <c r="BL6" t="inlineStr">
        <is>
          <t>own line</t>
        </is>
      </c>
      <c r="BM6" t="inlineStr"/>
      <c r="BN6" t="inlineStr">
        <is>
          <t>Assets/MachineBrigade/Resources/Data/balance.json: weapons[id=air_to_air] (lớp B trên 01_chien_dau/Vu_khi)</t>
        </is>
      </c>
      <c r="BO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1.3</v>
      </c>
      <c r="W7">
        <f>INDEX(Bang_sat_thuong!$C$2:$C$7,MATCH(Vu_khi!$K$7,Bang_sat_thuong!$A$2:$A$7,0))</f>
        <v/>
      </c>
      <c r="X7" t="n">
        <v>0.2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0.45</v>
      </c>
      <c r="AA7">
        <f>AND(Vu_khi!$K$7="Kinetic",NOT(Vu_khi!$AG$7))</f>
        <v/>
      </c>
      <c r="AB7" t="b">
        <v>0</v>
      </c>
      <c r="AC7">
        <f>IF(Vu_khi!$AG$7,INDEX(Bang_danh_noc!$C$2:$C$8,MIN(7,MAX(1,2-(Vu_khi!$L$7-0)+1))),INDEX(Bang_xuyen_giap!$C$2:$C$8,MIN(7,MAX(1,IF($O$7,MAX(1,2-(Vu_khi!$L$7-0)),2-(Vu_khi!$L$7-0))+1))))*IF($AA$7,INDEX(Bang_xuyen_qua!$C$2:$C$5,MIN(4,MAX(1,(Vu_khi!$L$7)-(0)-1))),1)</f>
        <v/>
      </c>
      <c r="AD7" t="n">
        <v>1.15</v>
      </c>
      <c r="AE7">
        <f>IF(Vu_khi!$AG$7,INDEX(Bang_danh_noc!$C$2:$C$8,MIN(7,MAX(1,2-(Vu_khi!$L$7-2)+1))),INDEX(Bang_xuyen_giap!$C$2:$C$8,MIN(7,MAX(1,IF($O$7,MAX(1,2-(Vu_khi!$L$7-2)),2-(Vu_khi!$L$7-2))+1))))*IF($AA$7,INDEX(Bang_xuyen_qua!$C$2:$C$5,MIN(4,MAX(1,(Vu_khi!$L$7)-(2)-1))),1)</f>
        <v/>
      </c>
      <c r="AF7" t="n">
        <v>1.1</v>
      </c>
      <c r="AG7">
        <f>IF(Vu_khi!$AG$7,INDEX(Bang_danh_noc!$C$2:$C$8,MIN(7,MAX(1,2-(Vu_khi!$L$7-4)+1))),INDEX(Bang_xuyen_giap!$C$2:$C$8,MIN(7,MAX(1,IF($O$7,MAX(1,2-(Vu_khi!$L$7-4)),2-(Vu_khi!$L$7-4))+1))))*IF($AA$7,INDEX(Bang_xuyen_qua!$C$2:$C$5,MIN(4,MAX(1,(Vu_khi!$L$7)-(4)-1))),1)</f>
        <v/>
      </c>
      <c r="AH7" t="n">
        <v>0.75</v>
      </c>
      <c r="AI7">
        <f>INDEX(Bang_xuyen_giap!$C$2:$C$8,MIN(7,MAX(1,MAX(1,2-(Vu_khi!$L$7-0))+1)))*IF($AA$7,INDEX(Bang_xuyen_qua!$C$2:$C$5,MIN(4,MAX(1,(Vu_khi!$L$7)-(0)-1))),1)</f>
        <v/>
      </c>
      <c r="AJ7" t="n">
        <v>1</v>
      </c>
      <c r="AK7">
        <f>IF($Q$7,$M$7*$AC$7*$U$7,0)</f>
        <v/>
      </c>
      <c r="AL7" t="n">
        <v>69.38121546961327</v>
      </c>
      <c r="AM7">
        <f>IF($Q$7,$M$7*$AE$7*$U$7,0)</f>
        <v/>
      </c>
      <c r="AN7" t="n">
        <v>66.36464088397791</v>
      </c>
      <c r="AO7">
        <f>IF($Q$7,$M$7*$AG$7*$U$7,0)</f>
        <v/>
      </c>
      <c r="AP7" t="n">
        <v>45.2486187845304</v>
      </c>
      <c r="AQ7">
        <f>IF($Q$7,$M$7*$AE$7*$Y$7,0)</f>
        <v/>
      </c>
      <c r="AR7" t="n">
        <v>22.97237569060774</v>
      </c>
      <c r="AS7">
        <f>IF($S$7,$M$7*$AI$7*$W$7,0)</f>
        <v/>
      </c>
      <c r="AT7" t="n">
        <v>0</v>
      </c>
      <c r="AU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V7" t="b">
        <v>0</v>
      </c>
      <c r="AW7">
        <f>IF(AND($B$7&lt;0,$AU$7),4,$B$7)</f>
        <v/>
      </c>
      <c r="AX7" t="n">
        <v>2</v>
      </c>
      <c r="AY7">
        <f>IF($AW$7&lt;4,0,MIN(MAX(0.5,Canh_bao_vong!$D$4),MAX(IF(Vu_khi!$C$7="cal_406",Canh_bao_vong!$D$7,IF($AW$7&gt;=5,Canh_bao_vong!$D$9,Canh_bao_vong!$D$8)),Canh_bao_vong!$D$2+MAX(0,Vu_khi!$X$7)/MAX(0.1,Canh_bao_vong!$D$5))))</f>
        <v/>
      </c>
      <c r="AZ7" t="n">
        <v>0</v>
      </c>
      <c r="BA7" t="inlineStr"/>
      <c r="BB7" t="inlineStr">
        <is>
          <t>ok</t>
        </is>
      </c>
      <c r="BC7" t="inlineStr"/>
      <c r="BD7" t="n">
        <v>26</v>
      </c>
      <c r="BE7" t="n">
        <v>33.8</v>
      </c>
      <c r="BF7" t="n">
        <v>0.673</v>
      </c>
      <c r="BG7" t="n">
        <v>1.346</v>
      </c>
      <c r="BH7" t="n">
        <v>2.692</v>
      </c>
      <c r="BI7" t="n">
        <v>2.071</v>
      </c>
      <c r="BJ7" t="inlineStr">
        <is>
          <t>DRONE</t>
        </is>
      </c>
      <c r="BK7" t="inlineStr">
        <is>
          <t>ok</t>
        </is>
      </c>
      <c r="BL7" t="inlineStr">
        <is>
          <t>family fpv_drone</t>
        </is>
      </c>
      <c r="BM7" t="inlineStr"/>
      <c r="BN7" t="inlineStr">
        <is>
          <t>Assets/MachineBrigade/Resources/Data/balance.json: weapons[id=airship_drones] (lớp B trên 01_chien_dau/Vu_khi)</t>
        </is>
      </c>
      <c r="BO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0.45</v>
      </c>
      <c r="W8">
        <f>INDEX(Bang_sat_thuong!$C$2:$C$7,MATCH(Vu_khi!$K$8,Bang_sat_thuong!$A$2:$A$7,0))</f>
        <v/>
      </c>
      <c r="X8" t="n">
        <v>1.35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AND(Vu_khi!$K$8="Kinetic",NOT(Vu_khi!$AG$8))</f>
        <v/>
      </c>
      <c r="AB8" t="b">
        <v>0</v>
      </c>
      <c r="AC8">
        <f>IF(Vu_khi!$AG$8,INDEX(Bang_danh_noc!$C$2:$C$8,MIN(7,MAX(1,2-(Vu_khi!$L$8-0)+1))),INDEX(Bang_xuyen_giap!$C$2:$C$8,MIN(7,MAX(1,IF($O$8,MAX(1,2-(Vu_khi!$L$8-0)),2-(Vu_khi!$L$8-0))+1))))*IF($AA$8,INDEX(Bang_xuyen_qua!$C$2:$C$5,MIN(4,MAX(1,(Vu_khi!$L$8)-(0)-1))),1)</f>
        <v/>
      </c>
      <c r="AD8" t="n">
        <v>1.2</v>
      </c>
      <c r="AE8">
        <f>IF(Vu_khi!$AG$8,INDEX(Bang_danh_noc!$C$2:$C$8,MIN(7,MAX(1,2-(Vu_khi!$L$8-2)+1))),INDEX(Bang_xuyen_giap!$C$2:$C$8,MIN(7,MAX(1,IF($O$8,MAX(1,2-(Vu_khi!$L$8-2)),2-(Vu_khi!$L$8-2))+1))))*IF($AA$8,INDEX(Bang_xuyen_qua!$C$2:$C$5,MIN(4,MAX(1,(Vu_khi!$L$8)-(2)-1))),1)</f>
        <v/>
      </c>
      <c r="AF8" t="n">
        <v>0.85</v>
      </c>
      <c r="AG8">
        <f>IF(Vu_khi!$AG$8,INDEX(Bang_danh_noc!$C$2:$C$8,MIN(7,MAX(1,2-(Vu_khi!$L$8-4)+1))),INDEX(Bang_xuyen_giap!$C$2:$C$8,MIN(7,MAX(1,IF($O$8,MAX(1,2-(Vu_khi!$L$8-4)),2-(Vu_khi!$L$8-4))+1))))*IF($AA$8,INDEX(Bang_xuyen_qua!$C$2:$C$5,MIN(4,MAX(1,(Vu_khi!$L$8)-(4)-1))),1)</f>
        <v/>
      </c>
      <c r="AH8" t="n">
        <v>0.4</v>
      </c>
      <c r="AI8">
        <f>INDEX(Bang_xuyen_giap!$C$2:$C$8,MIN(7,MAX(1,MAX(1,2-(Vu_khi!$L$8-0))+1)))*IF($AA$8,INDEX(Bang_xuyen_qua!$C$2:$C$5,MIN(4,MAX(1,(Vu_khi!$L$8)-(0)-1))),1)</f>
        <v/>
      </c>
      <c r="AJ8" t="n">
        <v>1</v>
      </c>
      <c r="AK8">
        <f>IF($Q$8,$M$8*$AC$8*$U$8,0)</f>
        <v/>
      </c>
      <c r="AL8" t="n">
        <v>61.96721311475411</v>
      </c>
      <c r="AM8">
        <f>IF($Q$8,$M$8*$AE$8*$U$8,0)</f>
        <v/>
      </c>
      <c r="AN8" t="n">
        <v>43.89344262295082</v>
      </c>
      <c r="AO8">
        <f>IF($Q$8,$M$8*$AG$8*$U$8,0)</f>
        <v/>
      </c>
      <c r="AP8" t="n">
        <v>20.65573770491804</v>
      </c>
      <c r="AQ8">
        <f>IF($Q$8,$M$8*$AE$8*$Y$8,0)</f>
        <v/>
      </c>
      <c r="AR8" t="n">
        <v>9.754098360655739</v>
      </c>
      <c r="AS8">
        <f>IF($S$8,$M$8*$AI$8*$W$8,0)</f>
        <v/>
      </c>
      <c r="AT8" t="n">
        <v>154.9180327868853</v>
      </c>
      <c r="AU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V8" t="b">
        <v>0</v>
      </c>
      <c r="AW8">
        <f>IF(AND($B$8&lt;0,$AU$8),4,$B$8)</f>
        <v/>
      </c>
      <c r="AX8" t="n">
        <v>2</v>
      </c>
      <c r="AY8">
        <f>IF($AW$8&lt;4,0,MIN(MAX(0.5,Canh_bao_vong!$D$4),MAX(IF(Vu_khi!$C$8="cal_406",Canh_bao_vong!$D$7,IF($AW$8&gt;=5,Canh_bao_vong!$D$9,Canh_bao_vong!$D$8)),Canh_bao_vong!$D$2+MAX(0,Vu_khi!$X$8)/MAX(0.1,Canh_bao_vong!$D$5))))</f>
        <v/>
      </c>
      <c r="AZ8" t="n">
        <v>0</v>
      </c>
      <c r="BA8" t="n">
        <v>1.22</v>
      </c>
      <c r="BB8" t="inlineStr">
        <is>
          <t>ok</t>
        </is>
      </c>
      <c r="BC8" t="inlineStr"/>
      <c r="BD8" t="n">
        <v>280</v>
      </c>
      <c r="BE8" t="n">
        <v>364</v>
      </c>
      <c r="BF8" t="n">
        <v>0.043</v>
      </c>
      <c r="BG8" t="n">
        <v>0.08599999999999999</v>
      </c>
      <c r="BH8" t="n">
        <v>0.171</v>
      </c>
      <c r="BI8" t="n">
        <v>0.132</v>
      </c>
      <c r="BJ8" t="inlineStr">
        <is>
          <t>DIRECT_BULLET</t>
        </is>
      </c>
      <c r="BK8" t="inlineStr">
        <is>
          <t>ok</t>
        </is>
      </c>
      <c r="BL8" t="inlineStr">
        <is>
          <t>own line</t>
        </is>
      </c>
      <c r="BM8" t="inlineStr"/>
      <c r="BN8" t="inlineStr">
        <is>
          <t>Assets/MachineBrigade/Resources/Data/balance.json: weapons[id=airship_flak] (lớp B trên 01_chien_dau/Vu_khi)</t>
        </is>
      </c>
      <c r="BO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15.357</v>
      </c>
      <c r="I9">
        <f>Vu_khi!$W$9*MAX(1,$E$9)</f>
        <v/>
      </c>
      <c r="J9" t="n">
        <v>856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55.74005339584554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1.6</v>
      </c>
      <c r="AA9">
        <f>AND(Vu_khi!$K$9="Kinetic",NOT(Vu_khi!$AG$9))</f>
        <v/>
      </c>
      <c r="AB9" t="b">
        <v>0</v>
      </c>
      <c r="AC9">
        <f>IF(Vu_khi!$AG$9,INDEX(Bang_danh_noc!$C$2:$C$8,MIN(7,MAX(1,2-(Vu_khi!$L$9-0)+1))),INDEX(Bang_xuyen_giap!$C$2:$C$8,MIN(7,MAX(1,IF($O$9,MAX(1,2-(Vu_khi!$L$9-0)),2-(Vu_khi!$L$9-0))+1))))*IF($AA$9,INDEX(Bang_xuyen_qua!$C$2:$C$5,MIN(4,MAX(1,(Vu_khi!$L$9)-(0)-1))),1)</f>
        <v/>
      </c>
      <c r="AD9" t="n">
        <v>1</v>
      </c>
      <c r="AE9">
        <f>IF(Vu_khi!$AG$9,INDEX(Bang_danh_noc!$C$2:$C$8,MIN(7,MAX(1,2-(Vu_khi!$L$9-2)+1))),INDEX(Bang_xuyen_giap!$C$2:$C$8,MIN(7,MAX(1,IF($O$9,MAX(1,2-(Vu_khi!$L$9-2)),2-(Vu_khi!$L$9-2))+1))))*IF($AA$9,INDEX(Bang_xuyen_qua!$C$2:$C$5,MIN(4,MAX(1,(Vu_khi!$L$9)-(2)-1))),1)</f>
        <v/>
      </c>
      <c r="AF9" t="n">
        <v>0.85</v>
      </c>
      <c r="AG9">
        <f>IF(Vu_khi!$AG$9,INDEX(Bang_danh_noc!$C$2:$C$8,MIN(7,MAX(1,2-(Vu_khi!$L$9-4)+1))),INDEX(Bang_xuyen_giap!$C$2:$C$8,MIN(7,MAX(1,IF($O$9,MAX(1,2-(Vu_khi!$L$9-4)),2-(Vu_khi!$L$9-4))+1))))*IF($AA$9,INDEX(Bang_xuyen_qua!$C$2:$C$5,MIN(4,MAX(1,(Vu_khi!$L$9)-(4)-1))),1)</f>
        <v/>
      </c>
      <c r="AH9" t="n">
        <v>0.4</v>
      </c>
      <c r="AI9">
        <f>INDEX(Bang_xuyen_giap!$C$2:$C$8,MIN(7,MAX(1,MAX(1,2-(Vu_khi!$L$9-0))+1)))*IF($AA$9,INDEX(Bang_xuyen_qua!$C$2:$C$5,MIN(4,MAX(1,(Vu_khi!$L$9)-(0)-1))),1)</f>
        <v/>
      </c>
      <c r="AJ9" t="n">
        <v>1</v>
      </c>
      <c r="AK9">
        <f>IF($Q$9,$M$9*$AC$9*$U$9,0)</f>
        <v/>
      </c>
      <c r="AL9" t="n">
        <v>55.74005339584554</v>
      </c>
      <c r="AM9">
        <f>IF($Q$9,$M$9*$AE$9*$U$9,0)</f>
        <v/>
      </c>
      <c r="AN9" t="n">
        <v>47.37904538646871</v>
      </c>
      <c r="AO9">
        <f>IF($Q$9,$M$9*$AG$9*$U$9,0)</f>
        <v/>
      </c>
      <c r="AP9" t="n">
        <v>22.29602135833822</v>
      </c>
      <c r="AQ9">
        <f>IF($Q$9,$M$9*$AE$9*$Y$9,0)</f>
        <v/>
      </c>
      <c r="AR9" t="n">
        <v>75.80647261834994</v>
      </c>
      <c r="AS9">
        <f>IF($S$9,$M$9*$AI$9*$W$9,0)</f>
        <v/>
      </c>
      <c r="AT9" t="n">
        <v>0</v>
      </c>
      <c r="AU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V9" t="b">
        <v>0</v>
      </c>
      <c r="AW9">
        <f>IF(AND($B$9&lt;0,$AU$9),4,$B$9)</f>
        <v/>
      </c>
      <c r="AX9" t="n">
        <v>3</v>
      </c>
      <c r="AY9">
        <f>IF($AW$9&lt;4,0,MIN(MAX(0.5,Canh_bao_vong!$D$4),MAX(IF(Vu_khi!$C$9="cal_406",Canh_bao_vong!$D$7,IF($AW$9&gt;=5,Canh_bao_vong!$D$9,Canh_bao_vong!$D$8)),Canh_bao_vong!$D$2+MAX(0,Vu_khi!$X$9)/MAX(0.1,Canh_bao_vong!$D$5))))</f>
        <v/>
      </c>
      <c r="AZ9" t="n">
        <v>0</v>
      </c>
      <c r="BA9" t="n">
        <v>1.164573</v>
      </c>
      <c r="BB9" t="inlineStr">
        <is>
          <t>NHANH_QUA</t>
        </is>
      </c>
      <c r="BC9" t="inlineStr"/>
      <c r="BD9" t="n">
        <v>45</v>
      </c>
      <c r="BE9" t="n">
        <v>58.5</v>
      </c>
      <c r="BF9" t="n">
        <v>0.222</v>
      </c>
      <c r="BG9" t="n">
        <v>0.667</v>
      </c>
      <c r="BH9" t="n">
        <v>1.333</v>
      </c>
      <c r="BI9" t="n">
        <v>1.026</v>
      </c>
      <c r="BJ9" t="inlineStr">
        <is>
          <t>MORTAR</t>
        </is>
      </c>
      <c r="BK9" t="inlineStr">
        <is>
          <t>ok</t>
        </is>
      </c>
      <c r="BL9" t="inlineStr">
        <is>
          <t>own line</t>
        </is>
      </c>
      <c r="BM9" t="inlineStr"/>
      <c r="BN9" t="inlineStr">
        <is>
          <t>Assets/MachineBrigade/Resources/Data/balance.json: weapons[id=amos_120] (lớp B trên 01_chien_dau/Vu_khi)</t>
        </is>
      </c>
      <c r="BO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1.6</v>
      </c>
      <c r="AA10">
        <f>AND(Vu_khi!$K$10="Kinetic",NOT(Vu_khi!$AG$10))</f>
        <v/>
      </c>
      <c r="AB10" t="b">
        <v>0</v>
      </c>
      <c r="AC10">
        <f>IF(Vu_khi!$AG$10,INDEX(Bang_danh_noc!$C$2:$C$8,MIN(7,MAX(1,2-(Vu_khi!$L$10-0)+1))),INDEX(Bang_xuyen_giap!$C$2:$C$8,MIN(7,MAX(1,IF($O$10,MAX(1,2-(Vu_khi!$L$10-0)),2-(Vu_khi!$L$10-0))+1))))*IF($AA$10,INDEX(Bang_xuyen_qua!$C$2:$C$5,MIN(4,MAX(1,(Vu_khi!$L$10)-(0)-1))),1)</f>
        <v/>
      </c>
      <c r="AD10" t="n">
        <v>1.2</v>
      </c>
      <c r="AE10">
        <f>IF(Vu_khi!$AG$10,INDEX(Bang_danh_noc!$C$2:$C$8,MIN(7,MAX(1,2-(Vu_khi!$L$10-2)+1))),INDEX(Bang_xuyen_giap!$C$2:$C$8,MIN(7,MAX(1,IF($O$10,MAX(1,2-(Vu_khi!$L$10-2)),2-(Vu_khi!$L$10-2))+1))))*IF($AA$10,INDEX(Bang_xuyen_qua!$C$2:$C$5,MIN(4,MAX(1,(Vu_khi!$L$10)-(2)-1))),1)</f>
        <v/>
      </c>
      <c r="AF10" t="n">
        <v>1.2</v>
      </c>
      <c r="AG10">
        <f>IF(Vu_khi!$AG$10,INDEX(Bang_danh_noc!$C$2:$C$8,MIN(7,MAX(1,2-(Vu_khi!$L$10-4)+1))),INDEX(Bang_xuyen_giap!$C$2:$C$8,MIN(7,MAX(1,IF($O$10,MAX(1,2-(Vu_khi!$L$10-4)),2-(Vu_khi!$L$10-4))+1))))*IF($AA$10,INDEX(Bang_xuyen_qua!$C$2:$C$5,MIN(4,MAX(1,(Vu_khi!$L$10)-(4)-1))),1)</f>
        <v/>
      </c>
      <c r="AH10" t="n">
        <v>0.85</v>
      </c>
      <c r="AI10">
        <f>INDEX(Bang_xuyen_giap!$C$2:$C$8,MIN(7,MAX(1,MAX(1,2-(Vu_khi!$L$10-0))+1)))*IF($AA$10,INDEX(Bang_xuyen_qua!$C$2:$C$5,MIN(4,MAX(1,(Vu_khi!$L$10)-(0)-1))),1)</f>
        <v/>
      </c>
      <c r="AJ10" t="n">
        <v>1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18</v>
      </c>
      <c r="AO10">
        <f>IF($Q$10,$M$10*$AG$10*$U$10,0)</f>
        <v/>
      </c>
      <c r="AP10" t="n">
        <v>12.75</v>
      </c>
      <c r="AQ10">
        <f>IF($Q$10,$M$10*$AE$10*$Y$10,0)</f>
        <v/>
      </c>
      <c r="AR10" t="n">
        <v>28.8</v>
      </c>
      <c r="AS10">
        <f>IF($S$10,$M$10*$AI$10*$W$10,0)</f>
        <v/>
      </c>
      <c r="AT10" t="n">
        <v>0</v>
      </c>
      <c r="AU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V10" t="b">
        <v>0</v>
      </c>
      <c r="AW10">
        <f>IF(AND($B$10&lt;0,$AU$10),4,$B$10)</f>
        <v/>
      </c>
      <c r="AX10" t="n">
        <v>4</v>
      </c>
      <c r="AY10">
        <f>IF($AW$10&lt;4,0,MIN(MAX(0.5,Canh_bao_vong!$D$4),MAX(IF(Vu_khi!$C$10="cal_406",Canh_bao_vong!$D$7,IF($AW$10&gt;=5,Canh_bao_vong!$D$9,Canh_bao_vong!$D$8)),Canh_bao_vong!$D$2+MAX(0,Vu_khi!$X$10)/MAX(0.1,Canh_bao_vong!$D$5))))</f>
        <v/>
      </c>
      <c r="AZ10" t="n">
        <v>2.5</v>
      </c>
      <c r="BA10" t="n">
        <v>10</v>
      </c>
      <c r="BB10" t="inlineStr">
        <is>
          <t>CHAM_QUA</t>
        </is>
      </c>
      <c r="BC10" t="inlineStr"/>
      <c r="BD10" t="n">
        <v>95</v>
      </c>
      <c r="BE10" t="n">
        <v>123.5</v>
      </c>
      <c r="BF10" t="n">
        <v>0.368</v>
      </c>
      <c r="BG10" t="n">
        <v>0.737</v>
      </c>
      <c r="BH10" t="n">
        <v>1.474</v>
      </c>
      <c r="BI10" t="n">
        <v>1.134</v>
      </c>
      <c r="BJ10" t="inlineStr">
        <is>
          <t>ANTI_SHIP_MISSILE</t>
        </is>
      </c>
      <c r="BK10" t="inlineStr">
        <is>
          <t>ok</t>
        </is>
      </c>
      <c r="BL10" t="inlineStr">
        <is>
          <t>family nsm_oniks</t>
        </is>
      </c>
      <c r="BM10" t="inlineStr"/>
      <c r="BN10" t="inlineStr">
        <is>
          <t>Assets/MachineBrigade/Resources/Data/balance.json: weapons[id=anti_ship_missile] (lớp B trên 01_chien_dau/Vu_khi)</t>
        </is>
      </c>
      <c r="BO10" t="inlineStr"/>
    </row>
    <row r="11">
      <c r="A11" t="inlineStr">
        <is>
          <t>apkws_rocket</t>
        </is>
      </c>
      <c r="B11" t="n">
        <v>2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1</v>
      </c>
      <c r="I11">
        <f>Vu_khi!$W$11*MAX(1,$E$11)</f>
        <v/>
      </c>
      <c r="J11" t="n">
        <v>90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90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1</v>
      </c>
      <c r="U11">
        <f>INDEX(Bang_sat_thuong!$B$2:$B$7,MATCH(Vu_khi!$K$11,Bang_sat_thuong!$A$2:$A$7,0))</f>
        <v/>
      </c>
      <c r="V11" t="n">
        <v>1.3</v>
      </c>
      <c r="W11">
        <f>INDEX(Bang_sat_thuong!$C$2:$C$7,MATCH(Vu_khi!$K$11,Bang_sat_thuong!$A$2:$A$7,0))</f>
        <v/>
      </c>
      <c r="X11" t="n">
        <v>0.2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0.45</v>
      </c>
      <c r="AA11">
        <f>AND(Vu_khi!$K$11="Kinetic",NOT(Vu_khi!$AG$11))</f>
        <v/>
      </c>
      <c r="AB11" t="b">
        <v>0</v>
      </c>
      <c r="AC11">
        <f>IF(Vu_khi!$AG$11,INDEX(Bang_danh_noc!$C$2:$C$8,MIN(7,MAX(1,2-(Vu_khi!$L$11-0)+1))),INDEX(Bang_xuyen_giap!$C$2:$C$8,MIN(7,MAX(1,IF($O$11,MAX(1,2-(Vu_khi!$L$11-0)),2-(Vu_khi!$L$11-0))+1))))*IF($AA$11,INDEX(Bang_xuyen_qua!$C$2:$C$5,MIN(4,MAX(1,(Vu_khi!$L$11)-(0)-1))),1)</f>
        <v/>
      </c>
      <c r="AD11" t="n">
        <v>1.2</v>
      </c>
      <c r="AE11">
        <f>IF(Vu_khi!$AG$11,INDEX(Bang_danh_noc!$C$2:$C$8,MIN(7,MAX(1,2-(Vu_khi!$L$11-2)+1))),INDEX(Bang_xuyen_giap!$C$2:$C$8,MIN(7,MAX(1,IF($O$11,MAX(1,2-(Vu_khi!$L$11-2)),2-(Vu_khi!$L$11-2))+1))))*IF($AA$11,INDEX(Bang_xuyen_qua!$C$2:$C$5,MIN(4,MAX(1,(Vu_khi!$L$11)-(2)-1))),1)</f>
        <v/>
      </c>
      <c r="AF11" t="n">
        <v>0.85</v>
      </c>
      <c r="AG11">
        <f>IF(Vu_khi!$AG$11,INDEX(Bang_danh_noc!$C$2:$C$8,MIN(7,MAX(1,2-(Vu_khi!$L$11-4)+1))),INDEX(Bang_xuyen_giap!$C$2:$C$8,MIN(7,MAX(1,IF($O$11,MAX(1,2-(Vu_khi!$L$11-4)),2-(Vu_khi!$L$11-4))+1))))*IF($AA$11,INDEX(Bang_xuyen_qua!$C$2:$C$5,MIN(4,MAX(1,(Vu_khi!$L$11)-(4)-1))),1)</f>
        <v/>
      </c>
      <c r="AH11" t="n">
        <v>0.4</v>
      </c>
      <c r="AI11">
        <f>INDEX(Bang_xuyen_giap!$C$2:$C$8,MIN(7,MAX(1,MAX(1,2-(Vu_khi!$L$11-0))+1)))*IF($AA$11,INDEX(Bang_xuyen_qua!$C$2:$C$5,MIN(4,MAX(1,(Vu_khi!$L$11)-(0)-1))),1)</f>
        <v/>
      </c>
      <c r="AJ11" t="n">
        <v>1</v>
      </c>
      <c r="AK11">
        <f>IF($Q$11,$M$11*$AC$11*$U$11,0)</f>
        <v/>
      </c>
      <c r="AL11" t="n">
        <v>140.4</v>
      </c>
      <c r="AM11">
        <f>IF($Q$11,$M$11*$AE$11*$U$11,0)</f>
        <v/>
      </c>
      <c r="AN11" t="n">
        <v>99.45</v>
      </c>
      <c r="AO11">
        <f>IF($Q$11,$M$11*$AG$11*$U$11,0)</f>
        <v/>
      </c>
      <c r="AP11" t="n">
        <v>46.8</v>
      </c>
      <c r="AQ11">
        <f>IF($Q$11,$M$11*$AE$11*$Y$11,0)</f>
        <v/>
      </c>
      <c r="AR11" t="n">
        <v>34.425</v>
      </c>
      <c r="AS11">
        <f>IF($S$11,$M$11*$AI$11*$W$11,0)</f>
        <v/>
      </c>
      <c r="AT11" t="n">
        <v>18</v>
      </c>
      <c r="AU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V11" t="b">
        <v>0</v>
      </c>
      <c r="AW11">
        <f>IF(AND($B$11&lt;0,$AU$11),4,$B$11)</f>
        <v/>
      </c>
      <c r="AX11" t="n">
        <v>2</v>
      </c>
      <c r="AY11">
        <f>IF($AW$11&lt;4,0,MIN(MAX(0.5,Canh_bao_vong!$D$4),MAX(IF(Vu_khi!$C$11="cal_406",Canh_bao_vong!$D$7,IF($AW$11&gt;=5,Canh_bao_vong!$D$9,Canh_bao_vong!$D$8)),Canh_bao_vong!$D$2+MAX(0,Vu_khi!$X$11)/MAX(0.1,Canh_bao_vong!$D$5))))</f>
        <v/>
      </c>
      <c r="AZ11" t="n">
        <v>0</v>
      </c>
      <c r="BA11" t="n">
        <v>15</v>
      </c>
      <c r="BB11" t="inlineStr">
        <is>
          <t>ok</t>
        </is>
      </c>
      <c r="BC11" t="inlineStr"/>
      <c r="BD11" t="n">
        <v>85</v>
      </c>
      <c r="BE11" t="n">
        <v>110.5</v>
      </c>
      <c r="BF11" t="n">
        <v>0.118</v>
      </c>
      <c r="BG11" t="n">
        <v>0.235</v>
      </c>
      <c r="BH11" t="n">
        <v>0.471</v>
      </c>
      <c r="BI11" t="n">
        <v>0.362</v>
      </c>
      <c r="BJ11" t="inlineStr">
        <is>
          <t>AIRCRAFT_ROCKET</t>
        </is>
      </c>
      <c r="BK11" t="inlineStr">
        <is>
          <t>ok</t>
        </is>
      </c>
      <c r="BL11" t="inlineStr">
        <is>
          <t>family apkws</t>
        </is>
      </c>
      <c r="BM11" t="inlineStr"/>
      <c r="BN11" t="inlineStr">
        <is>
          <t>Assets/MachineBrigade/Resources/Data/balance.json: weapons[id=apkws_rocket] (lớp B trên 01_chien_dau/Vu_khi)</t>
        </is>
      </c>
      <c r="BO11" t="inlineStr"/>
    </row>
    <row r="12">
      <c r="A12" t="inlineStr">
        <is>
          <t>atgm</t>
        </is>
      </c>
      <c r="B12" t="n">
        <v>2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12.33</v>
      </c>
      <c r="I12">
        <f>Vu_khi!$W$12*MAX(1,$E$12)</f>
        <v/>
      </c>
      <c r="J12" t="n">
        <v>210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17.0316301703163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1.3</v>
      </c>
      <c r="W12">
        <f>INDEX(Bang_sat_thuong!$C$2:$C$7,MATCH(Vu_khi!$K$12,Bang_sat_thuong!$A$2:$A$7,0))</f>
        <v/>
      </c>
      <c r="X12" t="n">
        <v>0.2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0.45</v>
      </c>
      <c r="AA12">
        <f>AND(Vu_khi!$K$12="Kinetic",NOT(Vu_khi!$AG$12))</f>
        <v/>
      </c>
      <c r="AB12" t="b">
        <v>0</v>
      </c>
      <c r="AC12">
        <f>IF(Vu_khi!$AG$12,INDEX(Bang_danh_noc!$C$2:$C$8,MIN(7,MAX(1,2-(Vu_khi!$L$12-0)+1))),INDEX(Bang_xuyen_giap!$C$2:$C$8,MIN(7,MAX(1,IF($O$12,MAX(1,2-(Vu_khi!$L$12-0)),2-(Vu_khi!$L$12-0))+1))))*IF($AA$12,INDEX(Bang_xuyen_qua!$C$2:$C$5,MIN(4,MAX(1,(Vu_khi!$L$12)-(0)-1))),1)</f>
        <v/>
      </c>
      <c r="AD12" t="n">
        <v>1.2</v>
      </c>
      <c r="AE12">
        <f>IF(Vu_khi!$AG$12,INDEX(Bang_danh_noc!$C$2:$C$8,MIN(7,MAX(1,2-(Vu_khi!$L$12-2)+1))),INDEX(Bang_xuyen_giap!$C$2:$C$8,MIN(7,MAX(1,IF($O$12,MAX(1,2-(Vu_khi!$L$12-2)),2-(Vu_khi!$L$12-2))+1))))*IF($AA$12,INDEX(Bang_xuyen_qua!$C$2:$C$5,MIN(4,MAX(1,(Vu_khi!$L$12)-(2)-1))),1)</f>
        <v/>
      </c>
      <c r="AF12" t="n">
        <v>1.2</v>
      </c>
      <c r="AG12">
        <f>IF(Vu_khi!$AG$12,INDEX(Bang_danh_noc!$C$2:$C$8,MIN(7,MAX(1,2-(Vu_khi!$L$12-4)+1))),INDEX(Bang_xuyen_giap!$C$2:$C$8,MIN(7,MAX(1,IF($O$12,MAX(1,2-(Vu_khi!$L$12-4)),2-(Vu_khi!$L$12-4))+1))))*IF($AA$12,INDEX(Bang_xuyen_qua!$C$2:$C$5,MIN(4,MAX(1,(Vu_khi!$L$12)-(4)-1))),1)</f>
        <v/>
      </c>
      <c r="AH12" t="n">
        <v>0.85</v>
      </c>
      <c r="AI12">
        <f>INDEX(Bang_xuyen_giap!$C$2:$C$8,MIN(7,MAX(1,MAX(1,2-(Vu_khi!$L$12-0))+1)))*IF($AA$12,INDEX(Bang_xuyen_qua!$C$2:$C$5,MIN(4,MAX(1,(Vu_khi!$L$12)-(0)-1))),1)</f>
        <v/>
      </c>
      <c r="AJ12" t="n">
        <v>1</v>
      </c>
      <c r="AK12">
        <f>IF($Q$12,$M$12*$AC$12*$U$12,0)</f>
        <v/>
      </c>
      <c r="AL12" t="n">
        <v>26.56934306569343</v>
      </c>
      <c r="AM12">
        <f>IF($Q$12,$M$12*$AE$12*$U$12,0)</f>
        <v/>
      </c>
      <c r="AN12" t="n">
        <v>26.56934306569343</v>
      </c>
      <c r="AO12">
        <f>IF($Q$12,$M$12*$AG$12*$U$12,0)</f>
        <v/>
      </c>
      <c r="AP12" t="n">
        <v>18.81995133819951</v>
      </c>
      <c r="AQ12">
        <f>IF($Q$12,$M$12*$AE$12*$Y$12,0)</f>
        <v/>
      </c>
      <c r="AR12" t="n">
        <v>9.197080291970803</v>
      </c>
      <c r="AS12">
        <f>IF($S$12,$M$12*$AI$12*$W$12,0)</f>
        <v/>
      </c>
      <c r="AT12" t="n">
        <v>0</v>
      </c>
      <c r="AU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V12" t="b">
        <v>0</v>
      </c>
      <c r="AW12">
        <f>IF(AND($B$12&lt;0,$AU$12),4,$B$12)</f>
        <v/>
      </c>
      <c r="AX12" t="n">
        <v>2</v>
      </c>
      <c r="AY12">
        <f>IF($AW$12&lt;4,0,MIN(MAX(0.5,Canh_bao_vong!$D$4),MAX(IF(Vu_khi!$C$12="cal_406",Canh_bao_vong!$D$7,IF($AW$12&gt;=5,Canh_bao_vong!$D$9,Canh_bao_vong!$D$8)),Canh_bao_vong!$D$2+MAX(0,Vu_khi!$X$12)/MAX(0.1,Canh_bao_vong!$D$5))))</f>
        <v/>
      </c>
      <c r="AZ12" t="n">
        <v>0</v>
      </c>
      <c r="BA12" t="n">
        <v>0.6165</v>
      </c>
      <c r="BB12" t="inlineStr">
        <is>
          <t>ok</t>
        </is>
      </c>
      <c r="BC12" t="inlineStr"/>
      <c r="BD12" t="n">
        <v>80</v>
      </c>
      <c r="BE12" t="n">
        <v>104</v>
      </c>
      <c r="BF12" t="n">
        <v>0.125</v>
      </c>
      <c r="BG12" t="n">
        <v>0.25</v>
      </c>
      <c r="BH12" t="n">
        <v>0.5</v>
      </c>
      <c r="BI12" t="n">
        <v>0.385</v>
      </c>
      <c r="BJ12" t="inlineStr">
        <is>
          <t>TACTICAL_MISSILE</t>
        </is>
      </c>
      <c r="BK12" t="inlineStr">
        <is>
          <t>ok</t>
        </is>
      </c>
      <c r="BL12" t="inlineStr">
        <is>
          <t>own line</t>
        </is>
      </c>
      <c r="BM12" t="inlineStr"/>
      <c r="BN12" t="inlineStr">
        <is>
          <t>Assets/MachineBrigade/Resources/Data/balance.json: weapons[id=atgm] (lớp B trên 01_chien_dau/Vu_khi)</t>
        </is>
      </c>
      <c r="BO12" t="inlineStr"/>
    </row>
    <row r="13">
      <c r="A13" t="inlineStr">
        <is>
          <t>atgm_heavy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2</v>
      </c>
      <c r="G13">
        <f>IF(Vu_khi!$S$13&gt;0,(Vu_khi!$S$13-1)*Vu_khi!$R$13+Vu_khi!$T$13,Vu_khi!$R$13+(Vu_khi!$P$13-1)*Vu_khi!$Q$13)</f>
        <v/>
      </c>
      <c r="H13" t="n">
        <v>7.5</v>
      </c>
      <c r="I13">
        <f>Vu_khi!$W$13*MAX(1,$E$13)</f>
        <v/>
      </c>
      <c r="J13" t="n">
        <v>460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61.33333333333334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1.3</v>
      </c>
      <c r="W13">
        <f>INDEX(Bang_sat_thuong!$C$2:$C$7,MATCH(Vu_khi!$K$13,Bang_sat_thuong!$A$2:$A$7,0))</f>
        <v/>
      </c>
      <c r="X13" t="n">
        <v>0.2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0.45</v>
      </c>
      <c r="AA13">
        <f>AND(Vu_khi!$K$13="Kinetic",NOT(Vu_khi!$AG$13))</f>
        <v/>
      </c>
      <c r="AB13" t="b">
        <v>0</v>
      </c>
      <c r="AC13">
        <f>IF(Vu_khi!$AG$13,INDEX(Bang_danh_noc!$C$2:$C$8,MIN(7,MAX(1,2-(Vu_khi!$L$13-0)+1))),INDEX(Bang_xuyen_giap!$C$2:$C$8,MIN(7,MAX(1,IF($O$13,MAX(1,2-(Vu_khi!$L$13-0)),2-(Vu_khi!$L$13-0))+1))))*IF($AA$13,INDEX(Bang_xuyen_qua!$C$2:$C$5,MIN(4,MAX(1,(Vu_khi!$L$13)-(0)-1))),1)</f>
        <v/>
      </c>
      <c r="AD13" t="n">
        <v>1.2</v>
      </c>
      <c r="AE13">
        <f>IF(Vu_khi!$AG$13,INDEX(Bang_danh_noc!$C$2:$C$8,MIN(7,MAX(1,2-(Vu_khi!$L$13-2)+1))),INDEX(Bang_xuyen_giap!$C$2:$C$8,MIN(7,MAX(1,IF($O$13,MAX(1,2-(Vu_khi!$L$13-2)),2-(Vu_khi!$L$13-2))+1))))*IF($AA$13,INDEX(Bang_xuyen_qua!$C$2:$C$5,MIN(4,MAX(1,(Vu_khi!$L$13)-(2)-1))),1)</f>
        <v/>
      </c>
      <c r="AF13" t="n">
        <v>1.2</v>
      </c>
      <c r="AG13">
        <f>IF(Vu_khi!$AG$13,INDEX(Bang_danh_noc!$C$2:$C$8,MIN(7,MAX(1,2-(Vu_khi!$L$13-4)+1))),INDEX(Bang_xuyen_giap!$C$2:$C$8,MIN(7,MAX(1,IF($O$13,MAX(1,2-(Vu_khi!$L$13-4)),2-(Vu_khi!$L$13-4))+1))))*IF($AA$13,INDEX(Bang_xuyen_qua!$C$2:$C$5,MIN(4,MAX(1,(Vu_khi!$L$13)-(4)-1))),1)</f>
        <v/>
      </c>
      <c r="AH13" t="n">
        <v>0.85</v>
      </c>
      <c r="AI13">
        <f>INDEX(Bang_xuyen_giap!$C$2:$C$8,MIN(7,MAX(1,MAX(1,2-(Vu_khi!$L$13-0))+1)))*IF($AA$13,INDEX(Bang_xuyen_qua!$C$2:$C$5,MIN(4,MAX(1,(Vu_khi!$L$13)-(0)-1))),1)</f>
        <v/>
      </c>
      <c r="AJ13" t="n">
        <v>1</v>
      </c>
      <c r="AK13">
        <f>IF($Q$13,$M$13*$AC$13*$U$13,0)</f>
        <v/>
      </c>
      <c r="AL13" t="n">
        <v>95.68000000000001</v>
      </c>
      <c r="AM13">
        <f>IF($Q$13,$M$13*$AE$13*$U$13,0)</f>
        <v/>
      </c>
      <c r="AN13" t="n">
        <v>95.68000000000001</v>
      </c>
      <c r="AO13">
        <f>IF($Q$13,$M$13*$AG$13*$U$13,0)</f>
        <v/>
      </c>
      <c r="AP13" t="n">
        <v>67.77333333333334</v>
      </c>
      <c r="AQ13">
        <f>IF($Q$13,$M$13*$AE$13*$Y$13,0)</f>
        <v/>
      </c>
      <c r="AR13" t="n">
        <v>33.12</v>
      </c>
      <c r="AS13">
        <f>IF($S$13,$M$13*$AI$13*$W$13,0)</f>
        <v/>
      </c>
      <c r="AT13" t="n">
        <v>0</v>
      </c>
      <c r="AU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V13" t="b">
        <v>0</v>
      </c>
      <c r="AW13">
        <f>IF(AND($B$13&lt;0,$AU$13),4,$B$13)</f>
        <v/>
      </c>
      <c r="AX13" t="n">
        <v>2</v>
      </c>
      <c r="AY13">
        <f>IF($AW$13&lt;4,0,MIN(MAX(0.5,Canh_bao_vong!$D$4),MAX(IF(Vu_khi!$C$13="cal_406",Canh_bao_vong!$D$7,IF($AW$13&gt;=5,Canh_bao_vong!$D$9,Canh_bao_vong!$D$8)),Canh_bao_vong!$D$2+MAX(0,Vu_khi!$X$13)/MAX(0.1,Canh_bao_vong!$D$5))))</f>
        <v/>
      </c>
      <c r="AZ13" t="n">
        <v>0</v>
      </c>
      <c r="BA13" t="n">
        <v>0.375</v>
      </c>
      <c r="BB13" t="inlineStr">
        <is>
          <t>NHANH_QUA</t>
        </is>
      </c>
      <c r="BC13" t="inlineStr"/>
      <c r="BD13" t="n">
        <v>80</v>
      </c>
      <c r="BE13" t="n">
        <v>104</v>
      </c>
      <c r="BF13" t="n">
        <v>0.131</v>
      </c>
      <c r="BG13" t="n">
        <v>0.263</v>
      </c>
      <c r="BH13" t="n">
        <v>0.525</v>
      </c>
      <c r="BI13" t="n">
        <v>0.404</v>
      </c>
      <c r="BJ13" t="inlineStr">
        <is>
          <t>TACTICAL_MISSILE</t>
        </is>
      </c>
      <c r="BK13" t="inlineStr">
        <is>
          <t>ok</t>
        </is>
      </c>
      <c r="BL13" t="inlineStr">
        <is>
          <t>family 9m133_kornet</t>
        </is>
      </c>
      <c r="BM13" t="n">
        <v>56</v>
      </c>
      <c r="BN13" t="inlineStr">
        <is>
          <t>Assets/MachineBrigade/Resources/Data/balance.json: weapons[id=atgm_heavy] (lớp B trên 01_chien_dau/Vu_khi)</t>
        </is>
      </c>
      <c r="BO13" t="inlineStr"/>
    </row>
    <row r="14">
      <c r="A14" t="inlineStr">
        <is>
          <t>atgm_post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12.1</v>
      </c>
      <c r="I14">
        <f>Vu_khi!$W$14*MAX(1,$E$14)</f>
        <v/>
      </c>
      <c r="J14" t="n">
        <v>190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15.70247933884298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1.3</v>
      </c>
      <c r="W14">
        <f>INDEX(Bang_sat_thuong!$C$2:$C$7,MATCH(Vu_khi!$K$14,Bang_sat_thuong!$A$2:$A$7,0))</f>
        <v/>
      </c>
      <c r="X14" t="n">
        <v>0.2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0.45</v>
      </c>
      <c r="AA14">
        <f>AND(Vu_khi!$K$14="Kinetic",NOT(Vu_khi!$AG$14))</f>
        <v/>
      </c>
      <c r="AB14" t="b">
        <v>0</v>
      </c>
      <c r="AC14">
        <f>IF(Vu_khi!$AG$14,INDEX(Bang_danh_noc!$C$2:$C$8,MIN(7,MAX(1,2-(Vu_khi!$L$14-0)+1))),INDEX(Bang_xuyen_giap!$C$2:$C$8,MIN(7,MAX(1,IF($O$14,MAX(1,2-(Vu_khi!$L$14-0)),2-(Vu_khi!$L$14-0))+1))))*IF($AA$14,INDEX(Bang_xuyen_qua!$C$2:$C$5,MIN(4,MAX(1,(Vu_khi!$L$14)-(0)-1))),1)</f>
        <v/>
      </c>
      <c r="AD14" t="n">
        <v>1.2</v>
      </c>
      <c r="AE14">
        <f>IF(Vu_khi!$AG$14,INDEX(Bang_danh_noc!$C$2:$C$8,MIN(7,MAX(1,2-(Vu_khi!$L$14-2)+1))),INDEX(Bang_xuyen_giap!$C$2:$C$8,MIN(7,MAX(1,IF($O$14,MAX(1,2-(Vu_khi!$L$14-2)),2-(Vu_khi!$L$14-2))+1))))*IF($AA$14,INDEX(Bang_xuyen_qua!$C$2:$C$5,MIN(4,MAX(1,(Vu_khi!$L$14)-(2)-1))),1)</f>
        <v/>
      </c>
      <c r="AF14" t="n">
        <v>1</v>
      </c>
      <c r="AG14">
        <f>IF(Vu_khi!$AG$14,INDEX(Bang_danh_noc!$C$2:$C$8,MIN(7,MAX(1,2-(Vu_khi!$L$14-4)+1))),INDEX(Bang_xuyen_giap!$C$2:$C$8,MIN(7,MAX(1,IF($O$14,MAX(1,2-(Vu_khi!$L$14-4)),2-(Vu_khi!$L$14-4))+1))))*IF($AA$14,INDEX(Bang_xuyen_qua!$C$2:$C$5,MIN(4,MAX(1,(Vu_khi!$L$14)-(4)-1))),1)</f>
        <v/>
      </c>
      <c r="AH14" t="n">
        <v>0.65</v>
      </c>
      <c r="AI14">
        <f>INDEX(Bang_xuyen_giap!$C$2:$C$8,MIN(7,MAX(1,MAX(1,2-(Vu_khi!$L$14-0))+1)))*IF($AA$14,INDEX(Bang_xuyen_qua!$C$2:$C$5,MIN(4,MAX(1,(Vu_khi!$L$14)-(0)-1))),1)</f>
        <v/>
      </c>
      <c r="AJ14" t="n">
        <v>1</v>
      </c>
      <c r="AK14">
        <f>IF($Q$14,$M$14*$AC$14*$U$14,0)</f>
        <v/>
      </c>
      <c r="AL14" t="n">
        <v>24.49586776859504</v>
      </c>
      <c r="AM14">
        <f>IF($Q$14,$M$14*$AE$14*$U$14,0)</f>
        <v/>
      </c>
      <c r="AN14" t="n">
        <v>20.41322314049587</v>
      </c>
      <c r="AO14">
        <f>IF($Q$14,$M$14*$AG$14*$U$14,0)</f>
        <v/>
      </c>
      <c r="AP14" t="n">
        <v>13.26859504132232</v>
      </c>
      <c r="AQ14">
        <f>IF($Q$14,$M$14*$AE$14*$Y$14,0)</f>
        <v/>
      </c>
      <c r="AR14" t="n">
        <v>7.066115702479339</v>
      </c>
      <c r="AS14">
        <f>IF($S$14,$M$14*$AI$14*$W$14,0)</f>
        <v/>
      </c>
      <c r="AT14" t="n">
        <v>0</v>
      </c>
      <c r="AU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V14" t="b">
        <v>0</v>
      </c>
      <c r="AW14">
        <f>IF(AND($B$14&lt;0,$AU$14),4,$B$14)</f>
        <v/>
      </c>
      <c r="AX14" t="n">
        <v>2</v>
      </c>
      <c r="AY14">
        <f>IF($AW$14&lt;4,0,MIN(MAX(0.5,Canh_bao_vong!$D$4),MAX(IF(Vu_khi!$C$14="cal_406",Canh_bao_vong!$D$7,IF($AW$14&gt;=5,Canh_bao_vong!$D$9,Canh_bao_vong!$D$8)),Canh_bao_vong!$D$2+MAX(0,Vu_khi!$X$14)/MAX(0.1,Canh_bao_vong!$D$5))))</f>
        <v/>
      </c>
      <c r="AZ14" t="n">
        <v>0</v>
      </c>
      <c r="BA14" t="n">
        <v>0.605</v>
      </c>
      <c r="BB14" t="inlineStr">
        <is>
          <t>ok</t>
        </is>
      </c>
      <c r="BC14" t="inlineStr"/>
      <c r="BD14" t="n">
        <v>60</v>
      </c>
      <c r="BE14" t="n">
        <v>78</v>
      </c>
      <c r="BF14" t="n">
        <v>0.142</v>
      </c>
      <c r="BG14" t="n">
        <v>0.283</v>
      </c>
      <c r="BH14" t="n">
        <v>0.5669999999999999</v>
      </c>
      <c r="BI14" t="n">
        <v>0.436</v>
      </c>
      <c r="BJ14" t="inlineStr">
        <is>
          <t>TACTICAL_MISSILE</t>
        </is>
      </c>
      <c r="BK14" t="inlineStr">
        <is>
          <t>ok</t>
        </is>
      </c>
      <c r="BL14" t="inlineStr">
        <is>
          <t>own line</t>
        </is>
      </c>
      <c r="BM14" t="inlineStr"/>
      <c r="BN14" t="inlineStr">
        <is>
          <t>Assets/MachineBrigade/Resources/Data/balance.json: weapons[id=atgm_post] (lớp B trên 01_chien_dau/Vu_khi)</t>
        </is>
      </c>
      <c r="BO14" t="inlineStr"/>
    </row>
    <row r="15">
      <c r="A15" t="inlineStr">
        <is>
          <t>autocannon_25</t>
        </is>
      </c>
      <c r="B15" t="n">
        <v>1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8</v>
      </c>
      <c r="G15">
        <f>IF(Vu_khi!$S$15&gt;0,(Vu_khi!$S$15-1)*Vu_khi!$R$15+Vu_khi!$T$15,Vu_khi!$R$15+(Vu_khi!$P$15-1)*Vu_khi!$Q$15)</f>
        <v/>
      </c>
      <c r="H15" t="n">
        <v>2.633599999999999</v>
      </c>
      <c r="I15">
        <f>Vu_khi!$W$15*MAX(1,$E$15)</f>
        <v/>
      </c>
      <c r="J15" t="n">
        <v>136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51.64034021871204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1.2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0.7</v>
      </c>
      <c r="AA15">
        <f>AND(Vu_khi!$K$15="Kinetic",NOT(Vu_khi!$AG$15))</f>
        <v/>
      </c>
      <c r="AB15" t="b">
        <v>1</v>
      </c>
      <c r="AC15">
        <f>IF(Vu_khi!$AG$15,INDEX(Bang_danh_noc!$C$2:$C$8,MIN(7,MAX(1,2-(Vu_khi!$L$15-0)+1))),INDEX(Bang_xuyen_giap!$C$2:$C$8,MIN(7,MAX(1,IF($O$15,MAX(1,2-(Vu_khi!$L$15-0)),2-(Vu_khi!$L$15-0))+1))))*IF($AA$15,INDEX(Bang_xuyen_qua!$C$2:$C$5,MIN(4,MAX(1,(Vu_khi!$L$15)-(0)-1))),1)</f>
        <v/>
      </c>
      <c r="AD15" t="n">
        <v>1.2</v>
      </c>
      <c r="AE15">
        <f>IF(Vu_khi!$AG$15,INDEX(Bang_danh_noc!$C$2:$C$8,MIN(7,MAX(1,2-(Vu_khi!$L$15-2)+1))),INDEX(Bang_xuyen_giap!$C$2:$C$8,MIN(7,MAX(1,IF($O$15,MAX(1,2-(Vu_khi!$L$15-2)),2-(Vu_khi!$L$15-2))+1))))*IF($AA$15,INDEX(Bang_xuyen_qua!$C$2:$C$5,MIN(4,MAX(1,(Vu_khi!$L$15)-(2)-1))),1)</f>
        <v/>
      </c>
      <c r="AF15" t="n">
        <v>0.85</v>
      </c>
      <c r="AG15">
        <f>IF(Vu_khi!$AG$15,INDEX(Bang_danh_noc!$C$2:$C$8,MIN(7,MAX(1,2-(Vu_khi!$L$15-4)+1))),INDEX(Bang_xuyen_giap!$C$2:$C$8,MIN(7,MAX(1,IF($O$15,MAX(1,2-(Vu_khi!$L$15-4)),2-(Vu_khi!$L$15-4))+1))))*IF($AA$15,INDEX(Bang_xuyen_qua!$C$2:$C$5,MIN(4,MAX(1,(Vu_khi!$L$15)-(4)-1))),1)</f>
        <v/>
      </c>
      <c r="AH15" t="n">
        <v>0.4</v>
      </c>
      <c r="AI15">
        <f>INDEX(Bang_xuyen_giap!$C$2:$C$8,MIN(7,MAX(1,MAX(1,2-(Vu_khi!$L$15-0))+1)))*IF($AA$15,INDEX(Bang_xuyen_qua!$C$2:$C$5,MIN(4,MAX(1,(Vu_khi!$L$15)-(0)-1))),1)</f>
        <v/>
      </c>
      <c r="AJ15" t="n">
        <v>1</v>
      </c>
      <c r="AK15">
        <f>IF($Q$15,$M$15*$AC$15*$U$15,0)</f>
        <v/>
      </c>
      <c r="AL15" t="n">
        <v>74.36208991494533</v>
      </c>
      <c r="AM15">
        <f>IF($Q$15,$M$15*$AE$15*$U$15,0)</f>
        <v/>
      </c>
      <c r="AN15" t="n">
        <v>52.67314702308628</v>
      </c>
      <c r="AO15">
        <f>IF($Q$15,$M$15*$AG$15*$U$15,0)</f>
        <v/>
      </c>
      <c r="AP15" t="n">
        <v>24.78736330498178</v>
      </c>
      <c r="AQ15">
        <f>IF($Q$15,$M$15*$AE$15*$Y$15,0)</f>
        <v/>
      </c>
      <c r="AR15" t="n">
        <v>30.72600243013366</v>
      </c>
      <c r="AS15">
        <f>IF($S$15,$M$15*$AI$15*$W$15,0)</f>
        <v/>
      </c>
      <c r="AT15" t="n">
        <v>0</v>
      </c>
      <c r="AU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V15" t="b">
        <v>0</v>
      </c>
      <c r="AW15">
        <f>IF(AND($B$15&lt;0,$AU$15),4,$B$15)</f>
        <v/>
      </c>
      <c r="AX15" t="n">
        <v>1</v>
      </c>
      <c r="AY15">
        <f>IF($AW$15&lt;4,0,MIN(MAX(0.5,Canh_bao_vong!$D$4),MAX(IF(Vu_khi!$C$15="cal_406",Canh_bao_vong!$D$7,IF($AW$15&gt;=5,Canh_bao_vong!$D$9,Canh_bao_vong!$D$8)),Canh_bao_vong!$D$2+MAX(0,Vu_khi!$X$15)/MAX(0.1,Canh_bao_vong!$D$5))))</f>
        <v/>
      </c>
      <c r="AZ15" t="n">
        <v>0</v>
      </c>
      <c r="BA15" t="n">
        <v>2.743333</v>
      </c>
      <c r="BB15" t="inlineStr">
        <is>
          <t>ok</t>
        </is>
      </c>
      <c r="BC15" t="inlineStr"/>
      <c r="BD15" t="n">
        <v>210</v>
      </c>
      <c r="BE15" t="n">
        <v>273</v>
      </c>
      <c r="BF15" t="n">
        <v>0.036</v>
      </c>
      <c r="BG15" t="n">
        <v>0.07099999999999999</v>
      </c>
      <c r="BH15" t="n">
        <v>0.143</v>
      </c>
      <c r="BI15" t="n">
        <v>0.11</v>
      </c>
      <c r="BJ15" t="inlineStr">
        <is>
          <t>DIRECT_BULLET</t>
        </is>
      </c>
      <c r="BK15" t="inlineStr">
        <is>
          <t>ok</t>
        </is>
      </c>
      <c r="BL15" t="inlineStr">
        <is>
          <t>family m242_bushmaster_25_mm</t>
        </is>
      </c>
      <c r="BM15" t="inlineStr"/>
      <c r="BN15" t="inlineStr">
        <is>
          <t>Assets/MachineBrigade/Resources/Data/balance.json: weapons[id=autocannon_25] (lớp B trên 01_chien_dau/Vu_khi)</t>
        </is>
      </c>
      <c r="BO15" t="inlineStr"/>
    </row>
    <row r="16">
      <c r="A16" t="inlineStr">
        <is>
          <t>autocannon_25_flak</t>
        </is>
      </c>
      <c r="B16" t="n">
        <v>1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8</v>
      </c>
      <c r="G16">
        <f>IF(Vu_khi!$S$16&gt;0,(Vu_khi!$S$16-1)*Vu_khi!$R$16+Vu_khi!$T$16,Vu_khi!$R$16+(Vu_khi!$P$16-1)*Vu_khi!$Q$16)</f>
        <v/>
      </c>
      <c r="H16" t="n">
        <v>2.633599999999999</v>
      </c>
      <c r="I16">
        <f>Vu_khi!$W$16*MAX(1,$E$16)</f>
        <v/>
      </c>
      <c r="J16" t="n">
        <v>136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51.64034021871204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0</v>
      </c>
      <c r="S16">
        <f>AND(NOT(Vu_khi!$AJ$16),OR(Vu_khi!$AC$16="Air",Vu_khi!$AC$16="All"))</f>
        <v/>
      </c>
      <c r="T16" t="b">
        <v>1</v>
      </c>
      <c r="U16">
        <f>INDEX(Bang_sat_thuong!$B$2:$B$7,MATCH(Vu_khi!$K$16,Bang_sat_thuong!$A$2:$A$7,0))</f>
        <v/>
      </c>
      <c r="V16" t="n">
        <v>0.45</v>
      </c>
      <c r="W16">
        <f>INDEX(Bang_sat_thuong!$C$2:$C$7,MATCH(Vu_khi!$K$16,Bang_sat_thuong!$A$2:$A$7,0))</f>
        <v/>
      </c>
      <c r="X16" t="n">
        <v>1.35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0.1</v>
      </c>
      <c r="AA16">
        <f>AND(Vu_khi!$K$16="Kinetic",NOT(Vu_khi!$AG$16))</f>
        <v/>
      </c>
      <c r="AB16" t="b">
        <v>0</v>
      </c>
      <c r="AC16">
        <f>IF(Vu_khi!$AG$16,INDEX(Bang_danh_noc!$C$2:$C$8,MIN(7,MAX(1,2-(Vu_khi!$L$16-0)+1))),INDEX(Bang_xuyen_giap!$C$2:$C$8,MIN(7,MAX(1,IF($O$16,MAX(1,2-(Vu_khi!$L$16-0)),2-(Vu_khi!$L$16-0))+1))))*IF($AA$16,INDEX(Bang_xuyen_qua!$C$2:$C$5,MIN(4,MAX(1,(Vu_khi!$L$16)-(0)-1))),1)</f>
        <v/>
      </c>
      <c r="AD16" t="n">
        <v>1</v>
      </c>
      <c r="AE16">
        <f>IF(Vu_khi!$AG$16,INDEX(Bang_danh_noc!$C$2:$C$8,MIN(7,MAX(1,2-(Vu_khi!$L$16-2)+1))),INDEX(Bang_xuyen_giap!$C$2:$C$8,MIN(7,MAX(1,IF($O$16,MAX(1,2-(Vu_khi!$L$16-2)),2-(Vu_khi!$L$16-2))+1))))*IF($AA$16,INDEX(Bang_xuyen_qua!$C$2:$C$5,MIN(4,MAX(1,(Vu_khi!$L$16)-(2)-1))),1)</f>
        <v/>
      </c>
      <c r="AF16" t="n">
        <v>0.65</v>
      </c>
      <c r="AG16">
        <f>IF(Vu_khi!$AG$16,INDEX(Bang_danh_noc!$C$2:$C$8,MIN(7,MAX(1,2-(Vu_khi!$L$16-4)+1))),INDEX(Bang_xuyen_giap!$C$2:$C$8,MIN(7,MAX(1,IF($O$16,MAX(1,2-(Vu_khi!$L$16-4)),2-(Vu_khi!$L$16-4))+1))))*IF($AA$16,INDEX(Bang_xuyen_qua!$C$2:$C$5,MIN(4,MAX(1,(Vu_khi!$L$16)-(4)-1))),1)</f>
        <v/>
      </c>
      <c r="AH16" t="n">
        <v>0.15</v>
      </c>
      <c r="AI16">
        <f>INDEX(Bang_xuyen_giap!$C$2:$C$8,MIN(7,MAX(1,MAX(1,2-(Vu_khi!$L$16-0))+1)))*IF($AA$16,INDEX(Bang_xuyen_qua!$C$2:$C$5,MIN(4,MAX(1,(Vu_khi!$L$16)-(0)-1))),1)</f>
        <v/>
      </c>
      <c r="AJ16" t="n">
        <v>1</v>
      </c>
      <c r="AK16">
        <f>IF($Q$16,$M$16*$AC$16*$U$16,0)</f>
        <v/>
      </c>
      <c r="AL16" t="n">
        <v>0</v>
      </c>
      <c r="AM16">
        <f>IF($Q$16,$M$16*$AE$16*$U$16,0)</f>
        <v/>
      </c>
      <c r="AN16" t="n">
        <v>0</v>
      </c>
      <c r="AO16">
        <f>IF($Q$16,$M$16*$AG$16*$U$16,0)</f>
        <v/>
      </c>
      <c r="AP16" t="n">
        <v>0</v>
      </c>
      <c r="AQ16">
        <f>IF($Q$16,$M$16*$AE$16*$Y$16,0)</f>
        <v/>
      </c>
      <c r="AR16" t="n">
        <v>0</v>
      </c>
      <c r="AS16">
        <f>IF($S$16,$M$16*$AI$16*$W$16,0)</f>
        <v/>
      </c>
      <c r="AT16" t="n">
        <v>69.71445929526126</v>
      </c>
      <c r="AU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V16" t="b">
        <v>0</v>
      </c>
      <c r="AW16">
        <f>IF(AND($B$16&lt;0,$AU$16),4,$B$16)</f>
        <v/>
      </c>
      <c r="AX16" t="n">
        <v>1</v>
      </c>
      <c r="AY16">
        <f>IF($AW$16&lt;4,0,MIN(MAX(0.5,Canh_bao_vong!$D$4),MAX(IF(Vu_khi!$C$16="cal_406",Canh_bao_vong!$D$7,IF($AW$16&gt;=5,Canh_bao_vong!$D$9,Canh_bao_vong!$D$8)),Canh_bao_vong!$D$2+MAX(0,Vu_khi!$X$16)/MAX(0.1,Canh_bao_vong!$D$5))))</f>
        <v/>
      </c>
      <c r="AZ16" t="n">
        <v>0</v>
      </c>
      <c r="BD16" t="n">
        <v>210</v>
      </c>
      <c r="BE16" t="n">
        <v>273</v>
      </c>
      <c r="BF16" t="n">
        <v>0.036</v>
      </c>
      <c r="BG16" t="n">
        <v>0.07099999999999999</v>
      </c>
      <c r="BH16" t="n">
        <v>0.143</v>
      </c>
      <c r="BI16" t="n">
        <v>0.11</v>
      </c>
      <c r="BJ16" t="inlineStr">
        <is>
          <t>DIRECT_BULLET</t>
        </is>
      </c>
      <c r="BK16" t="inlineStr">
        <is>
          <t>ok</t>
        </is>
      </c>
      <c r="BL16" t="inlineStr">
        <is>
          <t>family m242_bushmaster_25_mm_air_burst</t>
        </is>
      </c>
      <c r="BM16" t="inlineStr"/>
      <c r="BN16" t="inlineStr">
        <is>
          <t>Assets/MachineBrigade/Resources/Data/balance.json: weapons[id=autocannon_25_flak] (lớp B trên 01_chien_dau/Vu_khi)</t>
        </is>
      </c>
      <c r="BO16" t="inlineStr"/>
    </row>
    <row r="17">
      <c r="A17" t="inlineStr">
        <is>
          <t>autocannon_30</t>
        </is>
      </c>
      <c r="B17" t="n">
        <v>1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10</v>
      </c>
      <c r="G17">
        <f>IF(Vu_khi!$S$17&gt;0,(Vu_khi!$S$17-1)*Vu_khi!$R$17+Vu_khi!$T$17,Vu_khi!$R$17+(Vu_khi!$P$17-1)*Vu_khi!$Q$17)</f>
        <v/>
      </c>
      <c r="H17" t="n">
        <v>2.611</v>
      </c>
      <c r="I17">
        <f>Vu_khi!$W$17*MAX(1,$E$17)</f>
        <v/>
      </c>
      <c r="J17" t="n">
        <v>220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84.25890463423977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1.2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0.7</v>
      </c>
      <c r="AA17">
        <f>AND(Vu_khi!$K$17="Kinetic",NOT(Vu_khi!$AG$17))</f>
        <v/>
      </c>
      <c r="AB17" t="b">
        <v>1</v>
      </c>
      <c r="AC17">
        <f>IF(Vu_khi!$AG$17,INDEX(Bang_danh_noc!$C$2:$C$8,MIN(7,MAX(1,2-(Vu_khi!$L$17-0)+1))),INDEX(Bang_xuyen_giap!$C$2:$C$8,MIN(7,MAX(1,IF($O$17,MAX(1,2-(Vu_khi!$L$17-0)),2-(Vu_khi!$L$17-0))+1))))*IF($AA$17,INDEX(Bang_xuyen_qua!$C$2:$C$5,MIN(4,MAX(1,(Vu_khi!$L$17)-(0)-1))),1)</f>
        <v/>
      </c>
      <c r="AD17" t="n">
        <v>1.2</v>
      </c>
      <c r="AE17">
        <f>IF(Vu_khi!$AG$17,INDEX(Bang_danh_noc!$C$2:$C$8,MIN(7,MAX(1,2-(Vu_khi!$L$17-2)+1))),INDEX(Bang_xuyen_giap!$C$2:$C$8,MIN(7,MAX(1,IF($O$17,MAX(1,2-(Vu_khi!$L$17-2)),2-(Vu_khi!$L$17-2))+1))))*IF($AA$17,INDEX(Bang_xuyen_qua!$C$2:$C$5,MIN(4,MAX(1,(Vu_khi!$L$17)-(2)-1))),1)</f>
        <v/>
      </c>
      <c r="AF17" t="n">
        <v>0.85</v>
      </c>
      <c r="AG17">
        <f>IF(Vu_khi!$AG$17,INDEX(Bang_danh_noc!$C$2:$C$8,MIN(7,MAX(1,2-(Vu_khi!$L$17-4)+1))),INDEX(Bang_xuyen_giap!$C$2:$C$8,MIN(7,MAX(1,IF($O$17,MAX(1,2-(Vu_khi!$L$17-4)),2-(Vu_khi!$L$17-4))+1))))*IF($AA$17,INDEX(Bang_xuyen_qua!$C$2:$C$5,MIN(4,MAX(1,(Vu_khi!$L$17)-(4)-1))),1)</f>
        <v/>
      </c>
      <c r="AH17" t="n">
        <v>0.4</v>
      </c>
      <c r="AI17">
        <f>INDEX(Bang_xuyen_giap!$C$2:$C$8,MIN(7,MAX(1,MAX(1,2-(Vu_khi!$L$17-0))+1)))*IF($AA$17,INDEX(Bang_xuyen_qua!$C$2:$C$5,MIN(4,MAX(1,(Vu_khi!$L$17)-(0)-1))),1)</f>
        <v/>
      </c>
      <c r="AJ17" t="n">
        <v>1</v>
      </c>
      <c r="AK17">
        <f>IF($Q$17,$M$17*$AC$17*$U$17,0)</f>
        <v/>
      </c>
      <c r="AL17" t="n">
        <v>121.3328226733053</v>
      </c>
      <c r="AM17">
        <f>IF($Q$17,$M$17*$AE$17*$U$17,0)</f>
        <v/>
      </c>
      <c r="AN17" t="n">
        <v>85.94408272692456</v>
      </c>
      <c r="AO17">
        <f>IF($Q$17,$M$17*$AG$17*$U$17,0)</f>
        <v/>
      </c>
      <c r="AP17" t="n">
        <v>40.44427422443509</v>
      </c>
      <c r="AQ17">
        <f>IF($Q$17,$M$17*$AE$17*$Y$17,0)</f>
        <v/>
      </c>
      <c r="AR17" t="n">
        <v>50.13404825737266</v>
      </c>
      <c r="AS17">
        <f>IF($S$17,$M$17*$AI$17*$W$17,0)</f>
        <v/>
      </c>
      <c r="AT17" t="n">
        <v>0</v>
      </c>
      <c r="AU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V17" t="b">
        <v>0</v>
      </c>
      <c r="AW17">
        <f>IF(AND($B$17&lt;0,$AU$17),4,$B$17)</f>
        <v/>
      </c>
      <c r="AX17" t="n">
        <v>1</v>
      </c>
      <c r="AY17">
        <f>IF($AW$17&lt;4,0,MIN(MAX(0.5,Canh_bao_vong!$D$4),MAX(IF(Vu_khi!$C$17="cal_406",Canh_bao_vong!$D$7,IF($AW$17&gt;=5,Canh_bao_vong!$D$9,Canh_bao_vong!$D$8)),Canh_bao_vong!$D$2+MAX(0,Vu_khi!$X$17)/MAX(0.1,Canh_bao_vong!$D$5))))</f>
        <v/>
      </c>
      <c r="AZ17" t="n">
        <v>0</v>
      </c>
      <c r="BA17" t="n">
        <v>3.481333</v>
      </c>
      <c r="BB17" t="inlineStr">
        <is>
          <t>ok</t>
        </is>
      </c>
      <c r="BC17" t="inlineStr"/>
      <c r="BD17" t="n">
        <v>200</v>
      </c>
      <c r="BE17" t="n">
        <v>260</v>
      </c>
      <c r="BF17" t="n">
        <v>0.037</v>
      </c>
      <c r="BG17" t="n">
        <v>0.075</v>
      </c>
      <c r="BH17" t="n">
        <v>0.15</v>
      </c>
      <c r="BI17" t="n">
        <v>0.115</v>
      </c>
      <c r="BJ17" t="inlineStr">
        <is>
          <t>DIRECT_BULLET</t>
        </is>
      </c>
      <c r="BK17" t="inlineStr">
        <is>
          <t>ok</t>
        </is>
      </c>
      <c r="BL17" t="inlineStr">
        <is>
          <t>family 2a42_30_mm</t>
        </is>
      </c>
      <c r="BM17" t="inlineStr"/>
      <c r="BN17" t="inlineStr">
        <is>
          <t>Assets/MachineBrigade/Resources/Data/balance.json: weapons[id=autocannon_30] (lớp B trên 01_chien_dau/Vu_khi)</t>
        </is>
      </c>
      <c r="BO17" t="inlineStr"/>
    </row>
    <row r="18">
      <c r="A18" t="inlineStr">
        <is>
          <t>autocannon_30_flak</t>
        </is>
      </c>
      <c r="B18" t="n">
        <v>1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10</v>
      </c>
      <c r="G18">
        <f>IF(Vu_khi!$S$18&gt;0,(Vu_khi!$S$18-1)*Vu_khi!$R$18+Vu_khi!$T$18,Vu_khi!$R$18+(Vu_khi!$P$18-1)*Vu_khi!$Q$18)</f>
        <v/>
      </c>
      <c r="H18" t="n">
        <v>2.611</v>
      </c>
      <c r="I18">
        <f>Vu_khi!$W$18*MAX(1,$E$18)</f>
        <v/>
      </c>
      <c r="J18" t="n">
        <v>220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84.25890463423977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0</v>
      </c>
      <c r="S18">
        <f>AND(NOT(Vu_khi!$AJ$18),OR(Vu_khi!$AC$18="Air",Vu_khi!$AC$18="All"))</f>
        <v/>
      </c>
      <c r="T18" t="b">
        <v>1</v>
      </c>
      <c r="U18">
        <f>INDEX(Bang_sat_thuong!$B$2:$B$7,MATCH(Vu_khi!$K$18,Bang_sat_thuong!$A$2:$A$7,0))</f>
        <v/>
      </c>
      <c r="V18" t="n">
        <v>0.45</v>
      </c>
      <c r="W18">
        <f>INDEX(Bang_sat_thuong!$C$2:$C$7,MATCH(Vu_khi!$K$18,Bang_sat_thuong!$A$2:$A$7,0))</f>
        <v/>
      </c>
      <c r="X18" t="n">
        <v>1.35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0.1</v>
      </c>
      <c r="AA18">
        <f>AND(Vu_khi!$K$18="Kinetic",NOT(Vu_khi!$AG$18))</f>
        <v/>
      </c>
      <c r="AB18" t="b">
        <v>0</v>
      </c>
      <c r="AC18">
        <f>IF(Vu_khi!$AG$18,INDEX(Bang_danh_noc!$C$2:$C$8,MIN(7,MAX(1,2-(Vu_khi!$L$18-0)+1))),INDEX(Bang_xuyen_giap!$C$2:$C$8,MIN(7,MAX(1,IF($O$18,MAX(1,2-(Vu_khi!$L$18-0)),2-(Vu_khi!$L$18-0))+1))))*IF($AA$18,INDEX(Bang_xuyen_qua!$C$2:$C$5,MIN(4,MAX(1,(Vu_khi!$L$18)-(0)-1))),1)</f>
        <v/>
      </c>
      <c r="AD18" t="n">
        <v>1.2</v>
      </c>
      <c r="AE18">
        <f>IF(Vu_khi!$AG$18,INDEX(Bang_danh_noc!$C$2:$C$8,MIN(7,MAX(1,2-(Vu_khi!$L$18-2)+1))),INDEX(Bang_xuyen_giap!$C$2:$C$8,MIN(7,MAX(1,IF($O$18,MAX(1,2-(Vu_khi!$L$18-2)),2-(Vu_khi!$L$18-2))+1))))*IF($AA$18,INDEX(Bang_xuyen_qua!$C$2:$C$5,MIN(4,MAX(1,(Vu_khi!$L$18)-(2)-1))),1)</f>
        <v/>
      </c>
      <c r="AF18" t="n">
        <v>0.85</v>
      </c>
      <c r="AG18">
        <f>IF(Vu_khi!$AG$18,INDEX(Bang_danh_noc!$C$2:$C$8,MIN(7,MAX(1,2-(Vu_khi!$L$18-4)+1))),INDEX(Bang_xuyen_giap!$C$2:$C$8,MIN(7,MAX(1,IF($O$18,MAX(1,2-(Vu_khi!$L$18-4)),2-(Vu_khi!$L$18-4))+1))))*IF($AA$18,INDEX(Bang_xuyen_qua!$C$2:$C$5,MIN(4,MAX(1,(Vu_khi!$L$18)-(4)-1))),1)</f>
        <v/>
      </c>
      <c r="AH18" t="n">
        <v>0.4</v>
      </c>
      <c r="AI18">
        <f>INDEX(Bang_xuyen_giap!$C$2:$C$8,MIN(7,MAX(1,MAX(1,2-(Vu_khi!$L$18-0))+1)))*IF($AA$18,INDEX(Bang_xuyen_qua!$C$2:$C$5,MIN(4,MAX(1,(Vu_khi!$L$18)-(0)-1))),1)</f>
        <v/>
      </c>
      <c r="AJ18" t="n">
        <v>1</v>
      </c>
      <c r="AK18">
        <f>IF($Q$18,$M$18*$AC$18*$U$18,0)</f>
        <v/>
      </c>
      <c r="AL18" t="n">
        <v>0</v>
      </c>
      <c r="AM18">
        <f>IF($Q$18,$M$18*$AE$18*$U$18,0)</f>
        <v/>
      </c>
      <c r="AN18" t="n">
        <v>0</v>
      </c>
      <c r="AO18">
        <f>IF($Q$18,$M$18*$AG$18*$U$18,0)</f>
        <v/>
      </c>
      <c r="AP18" t="n">
        <v>0</v>
      </c>
      <c r="AQ18">
        <f>IF($Q$18,$M$18*$AE$18*$Y$18,0)</f>
        <v/>
      </c>
      <c r="AR18" t="n">
        <v>0</v>
      </c>
      <c r="AS18">
        <f>IF($S$18,$M$18*$AI$18*$W$18,0)</f>
        <v/>
      </c>
      <c r="AT18" t="n">
        <v>113.7495212562237</v>
      </c>
      <c r="AU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V18" t="b">
        <v>0</v>
      </c>
      <c r="AW18">
        <f>IF(AND($B$18&lt;0,$AU$18),4,$B$18)</f>
        <v/>
      </c>
      <c r="AX18" t="n">
        <v>1</v>
      </c>
      <c r="AY18">
        <f>IF($AW$18&lt;4,0,MIN(MAX(0.5,Canh_bao_vong!$D$4),MAX(IF(Vu_khi!$C$18="cal_406",Canh_bao_vong!$D$7,IF($AW$18&gt;=5,Canh_bao_vong!$D$9,Canh_bao_vong!$D$8)),Canh_bao_vong!$D$2+MAX(0,Vu_khi!$X$18)/MAX(0.1,Canh_bao_vong!$D$5))))</f>
        <v/>
      </c>
      <c r="AZ18" t="n">
        <v>0</v>
      </c>
      <c r="BD18" t="n">
        <v>200</v>
      </c>
      <c r="BE18" t="n">
        <v>260</v>
      </c>
      <c r="BF18" t="n">
        <v>0.037</v>
      </c>
      <c r="BG18" t="n">
        <v>0.075</v>
      </c>
      <c r="BH18" t="n">
        <v>0.15</v>
      </c>
      <c r="BI18" t="n">
        <v>0.115</v>
      </c>
      <c r="BJ18" t="inlineStr">
        <is>
          <t>DIRECT_BULLET</t>
        </is>
      </c>
      <c r="BK18" t="inlineStr">
        <is>
          <t>ok</t>
        </is>
      </c>
      <c r="BL18" t="inlineStr">
        <is>
          <t>family 2a42_30_mm_air_burst</t>
        </is>
      </c>
      <c r="BM18" t="inlineStr"/>
      <c r="BN18" t="inlineStr">
        <is>
          <t>Assets/MachineBrigade/Resources/Data/balance.json: weapons[id=autocannon_30_flak] (lớp B trên 01_chien_dau/Vu_khi)</t>
        </is>
      </c>
      <c r="BO18" t="inlineStr"/>
    </row>
    <row r="19">
      <c r="A19" t="inlineStr">
        <is>
          <t>autocannon_40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10</v>
      </c>
      <c r="G19">
        <f>IF(Vu_khi!$S$19&gt;0,(Vu_khi!$S$19-1)*Vu_khi!$R$19+Vu_khi!$T$19,Vu_khi!$R$19+(Vu_khi!$P$19-1)*Vu_khi!$Q$19)</f>
        <v/>
      </c>
      <c r="H19" t="n">
        <v>3.52</v>
      </c>
      <c r="I19">
        <f>Vu_khi!$W$19*MAX(1,$E$19)</f>
        <v/>
      </c>
      <c r="J19" t="n">
        <v>300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85.22727272727273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1</v>
      </c>
      <c r="U19">
        <f>INDEX(Bang_sat_thuong!$B$2:$B$7,MATCH(Vu_khi!$K$19,Bang_sat_thuong!$A$2:$A$7,0))</f>
        <v/>
      </c>
      <c r="V19" t="n">
        <v>1.2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0.7</v>
      </c>
      <c r="AA19">
        <f>AND(Vu_khi!$K$19="Kinetic",NOT(Vu_khi!$AG$19))</f>
        <v/>
      </c>
      <c r="AB19" t="b">
        <v>1</v>
      </c>
      <c r="AC19">
        <f>IF(Vu_khi!$AG$19,INDEX(Bang_danh_noc!$C$2:$C$8,MIN(7,MAX(1,2-(Vu_khi!$L$19-0)+1))),INDEX(Bang_xuyen_giap!$C$2:$C$8,MIN(7,MAX(1,IF($O$19,MAX(1,2-(Vu_khi!$L$19-0)),2-(Vu_khi!$L$19-0))+1))))*IF($AA$19,INDEX(Bang_xuyen_qua!$C$2:$C$5,MIN(4,MAX(1,(Vu_khi!$L$19)-(0)-1))),1)</f>
        <v/>
      </c>
      <c r="AD19" t="n">
        <v>1.2</v>
      </c>
      <c r="AE19">
        <f>IF(Vu_khi!$AG$19,INDEX(Bang_danh_noc!$C$2:$C$8,MIN(7,MAX(1,2-(Vu_khi!$L$19-2)+1))),INDEX(Bang_xuyen_giap!$C$2:$C$8,MIN(7,MAX(1,IF($O$19,MAX(1,2-(Vu_khi!$L$19-2)),2-(Vu_khi!$L$19-2))+1))))*IF($AA$19,INDEX(Bang_xuyen_qua!$C$2:$C$5,MIN(4,MAX(1,(Vu_khi!$L$19)-(2)-1))),1)</f>
        <v/>
      </c>
      <c r="AF19" t="n">
        <v>0.85</v>
      </c>
      <c r="AG19">
        <f>IF(Vu_khi!$AG$19,INDEX(Bang_danh_noc!$C$2:$C$8,MIN(7,MAX(1,2-(Vu_khi!$L$19-4)+1))),INDEX(Bang_xuyen_giap!$C$2:$C$8,MIN(7,MAX(1,IF($O$19,MAX(1,2-(Vu_khi!$L$19-4)),2-(Vu_khi!$L$19-4))+1))))*IF($AA$19,INDEX(Bang_xuyen_qua!$C$2:$C$5,MIN(4,MAX(1,(Vu_khi!$L$19)-(4)-1))),1)</f>
        <v/>
      </c>
      <c r="AH19" t="n">
        <v>0.4</v>
      </c>
      <c r="AI19">
        <f>INDEX(Bang_xuyen_giap!$C$2:$C$8,MIN(7,MAX(1,MAX(1,2-(Vu_khi!$L$19-0))+1)))*IF($AA$19,INDEX(Bang_xuyen_qua!$C$2:$C$5,MIN(4,MAX(1,(Vu_khi!$L$19)-(0)-1))),1)</f>
        <v/>
      </c>
      <c r="AJ19" t="n">
        <v>1</v>
      </c>
      <c r="AK19">
        <f>IF($Q$19,$M$19*$AC$19*$U$19,0)</f>
        <v/>
      </c>
      <c r="AL19" t="n">
        <v>122.7272727272727</v>
      </c>
      <c r="AM19">
        <f>IF($Q$19,$M$19*$AE$19*$U$19,0)</f>
        <v/>
      </c>
      <c r="AN19" t="n">
        <v>86.93181818181819</v>
      </c>
      <c r="AO19">
        <f>IF($Q$19,$M$19*$AG$19*$U$19,0)</f>
        <v/>
      </c>
      <c r="AP19" t="n">
        <v>40.90909090909091</v>
      </c>
      <c r="AQ19">
        <f>IF($Q$19,$M$19*$AE$19*$Y$19,0)</f>
        <v/>
      </c>
      <c r="AR19" t="n">
        <v>50.71022727272727</v>
      </c>
      <c r="AS19">
        <f>IF($S$19,$M$19*$AI$19*$W$19,0)</f>
        <v/>
      </c>
      <c r="AT19" t="n">
        <v>25.56818181818182</v>
      </c>
      <c r="AU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V19" t="b">
        <v>0</v>
      </c>
      <c r="AW19">
        <f>IF(AND($B$19&lt;0,$AU$19),4,$B$19)</f>
        <v/>
      </c>
      <c r="AX19" t="n">
        <v>1</v>
      </c>
      <c r="AY19">
        <f>IF($AW$19&lt;4,0,MIN(MAX(0.5,Canh_bao_vong!$D$4),MAX(IF(Vu_khi!$C$19="cal_406",Canh_bao_vong!$D$7,IF($AW$19&gt;=5,Canh_bao_vong!$D$9,Canh_bao_vong!$D$8)),Canh_bao_vong!$D$2+MAX(0,Vu_khi!$X$19)/MAX(0.1,Canh_bao_vong!$D$5))))</f>
        <v/>
      </c>
      <c r="AZ19" t="n">
        <v>0</v>
      </c>
      <c r="BA19" t="n">
        <v>1.936</v>
      </c>
      <c r="BB19" t="inlineStr">
        <is>
          <t>ok</t>
        </is>
      </c>
      <c r="BC19" t="inlineStr"/>
      <c r="BD19" t="n">
        <v>210</v>
      </c>
      <c r="BE19" t="n">
        <v>273</v>
      </c>
      <c r="BF19" t="n">
        <v>0.033</v>
      </c>
      <c r="BG19" t="n">
        <v>0.067</v>
      </c>
      <c r="BH19" t="n">
        <v>0.133</v>
      </c>
      <c r="BI19" t="n">
        <v>0.103</v>
      </c>
      <c r="BJ19" t="inlineStr">
        <is>
          <t>DIRECT_BULLET</t>
        </is>
      </c>
      <c r="BK19" t="inlineStr">
        <is>
          <t>ok</t>
        </is>
      </c>
      <c r="BL19" t="inlineStr">
        <is>
          <t>own line</t>
        </is>
      </c>
      <c r="BM19" t="inlineStr"/>
      <c r="BN19" t="inlineStr">
        <is>
          <t>Assets/MachineBrigade/Resources/Data/balance.json: weapons[id=autocannon_40] (lớp B trên 01_chien_dau/Vu_khi)</t>
        </is>
      </c>
      <c r="BO19" t="inlineStr"/>
    </row>
    <row r="20">
      <c r="A20" t="inlineStr">
        <is>
          <t>autocannon_40_flak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10</v>
      </c>
      <c r="G20">
        <f>IF(Vu_khi!$S$20&gt;0,(Vu_khi!$S$20-1)*Vu_khi!$R$20+Vu_khi!$T$20,Vu_khi!$R$20+(Vu_khi!$P$20-1)*Vu_khi!$Q$20)</f>
        <v/>
      </c>
      <c r="H20" t="n">
        <v>3.52</v>
      </c>
      <c r="I20">
        <f>Vu_khi!$W$20*MAX(1,$E$20)</f>
        <v/>
      </c>
      <c r="J20" t="n">
        <v>300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85.22727272727273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0.45</v>
      </c>
      <c r="W20">
        <f>INDEX(Bang_sat_thuong!$C$2:$C$7,MATCH(Vu_khi!$K$20,Bang_sat_thuong!$A$2:$A$7,0))</f>
        <v/>
      </c>
      <c r="X20" t="n">
        <v>1.35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AND(Vu_khi!$K$20="Kinetic",NOT(Vu_khi!$AG$20))</f>
        <v/>
      </c>
      <c r="AB20" t="b">
        <v>0</v>
      </c>
      <c r="AC20">
        <f>IF(Vu_khi!$AG$20,INDEX(Bang_danh_noc!$C$2:$C$8,MIN(7,MAX(1,2-(Vu_khi!$L$20-0)+1))),INDEX(Bang_xuyen_giap!$C$2:$C$8,MIN(7,MAX(1,IF($O$20,MAX(1,2-(Vu_khi!$L$20-0)),2-(Vu_khi!$L$20-0))+1))))*IF($AA$20,INDEX(Bang_xuyen_qua!$C$2:$C$5,MIN(4,MAX(1,(Vu_khi!$L$20)-(0)-1))),1)</f>
        <v/>
      </c>
      <c r="AD20" t="n">
        <v>1.2</v>
      </c>
      <c r="AE20">
        <f>IF(Vu_khi!$AG$20,INDEX(Bang_danh_noc!$C$2:$C$8,MIN(7,MAX(1,2-(Vu_khi!$L$20-2)+1))),INDEX(Bang_xuyen_giap!$C$2:$C$8,MIN(7,MAX(1,IF($O$20,MAX(1,2-(Vu_khi!$L$20-2)),2-(Vu_khi!$L$20-2))+1))))*IF($AA$20,INDEX(Bang_xuyen_qua!$C$2:$C$5,MIN(4,MAX(1,(Vu_khi!$L$20)-(2)-1))),1)</f>
        <v/>
      </c>
      <c r="AF20" t="n">
        <v>0.85</v>
      </c>
      <c r="AG20">
        <f>IF(Vu_khi!$AG$20,INDEX(Bang_danh_noc!$C$2:$C$8,MIN(7,MAX(1,2-(Vu_khi!$L$20-4)+1))),INDEX(Bang_xuyen_giap!$C$2:$C$8,MIN(7,MAX(1,IF($O$20,MAX(1,2-(Vu_khi!$L$20-4)),2-(Vu_khi!$L$20-4))+1))))*IF($AA$20,INDEX(Bang_xuyen_qua!$C$2:$C$5,MIN(4,MAX(1,(Vu_khi!$L$20)-(4)-1))),1)</f>
        <v/>
      </c>
      <c r="AH20" t="n">
        <v>0.4</v>
      </c>
      <c r="AI20">
        <f>INDEX(Bang_xuyen_giap!$C$2:$C$8,MIN(7,MAX(1,MAX(1,2-(Vu_khi!$L$20-0))+1)))*IF($AA$20,INDEX(Bang_xuyen_qua!$C$2:$C$5,MIN(4,MAX(1,(Vu_khi!$L$20)-(0)-1))),1)</f>
        <v/>
      </c>
      <c r="AJ20" t="n">
        <v>1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IF($Q$20,$M$20*$AG$20*$U$20,0)</f>
        <v/>
      </c>
      <c r="AP20" t="n">
        <v>0</v>
      </c>
      <c r="AQ20">
        <f>IF($Q$20,$M$20*$AE$20*$Y$20,0)</f>
        <v/>
      </c>
      <c r="AR20" t="n">
        <v>0</v>
      </c>
      <c r="AS20">
        <f>IF($S$20,$M$20*$AI$20*$W$20,0)</f>
        <v/>
      </c>
      <c r="AT20" t="n">
        <v>115.0568181818182</v>
      </c>
      <c r="AU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V20" t="b">
        <v>0</v>
      </c>
      <c r="AW20">
        <f>IF(AND($B$20&lt;0,$AU$20),4,$B$20)</f>
        <v/>
      </c>
      <c r="AX20" t="n">
        <v>1</v>
      </c>
      <c r="AY20">
        <f>IF($AW$20&lt;4,0,MIN(MAX(0.5,Canh_bao_vong!$D$4),MAX(IF(Vu_khi!$C$20="cal_406",Canh_bao_vong!$D$7,IF($AW$20&gt;=5,Canh_bao_vong!$D$9,Canh_bao_vong!$D$8)),Canh_bao_vong!$D$2+MAX(0,Vu_khi!$X$20)/MAX(0.1,Canh_bao_vong!$D$5))))</f>
        <v/>
      </c>
      <c r="AZ20" t="n">
        <v>0</v>
      </c>
      <c r="BD20" t="n">
        <v>210</v>
      </c>
      <c r="BE20" t="n">
        <v>273</v>
      </c>
      <c r="BF20" t="n">
        <v>0.033</v>
      </c>
      <c r="BG20" t="n">
        <v>0.067</v>
      </c>
      <c r="BH20" t="n">
        <v>0.133</v>
      </c>
      <c r="BI20" t="n">
        <v>0.103</v>
      </c>
      <c r="BJ20" t="inlineStr">
        <is>
          <t>DIRECT_BULLET</t>
        </is>
      </c>
      <c r="BK20" t="inlineStr">
        <is>
          <t>ok</t>
        </is>
      </c>
      <c r="BL20" t="inlineStr">
        <is>
          <t>inherited from autocannon_40</t>
        </is>
      </c>
      <c r="BM20" t="inlineStr"/>
      <c r="BN20" t="inlineStr">
        <is>
          <t>Assets/MachineBrigade/Resources/Data/balance.json: weapons[id=autocannon_40_flak] (lớp B trên 01_chien_dau/Vu_khi)</t>
        </is>
      </c>
      <c r="BO20" t="inlineStr"/>
    </row>
    <row r="21">
      <c r="A21" t="inlineStr">
        <is>
          <t>ballistic_missile</t>
        </is>
      </c>
      <c r="B21" t="n">
        <v>4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2</v>
      </c>
      <c r="G21">
        <f>IF(Vu_khi!$S$21&gt;0,(Vu_khi!$S$21-1)*Vu_khi!$R$21+Vu_khi!$T$21,Vu_khi!$R$21+(Vu_khi!$P$21-1)*Vu_khi!$Q$21)</f>
        <v/>
      </c>
      <c r="H21" t="n">
        <v>24.21</v>
      </c>
      <c r="I21">
        <f>Vu_khi!$W$21*MAX(1,$E$21)</f>
        <v/>
      </c>
      <c r="J21" t="n">
        <v>1260</v>
      </c>
      <c r="K21">
        <f>IF(Vu_khi!$V$21&gt;0,Vu_khi!$V$21,MIN(28,MAX(10,Vu_khi!$U$21*Vu_khi!$R$21*0.4)))</f>
        <v/>
      </c>
      <c r="L21" t="n">
        <v>18.168</v>
      </c>
      <c r="M21">
        <f>IF(Vu_khi!$W$21&lt;=0,0,IF(Vu_khi!$U$21&gt;0,$I$21*Vu_khi!$U$21/(MAX(0.05,$G$21)*Vu_khi!$U$21+$K$21),$I$21/MAX(0.05,$G$21)))</f>
        <v/>
      </c>
      <c r="N21" t="n">
        <v>37.84465669489997</v>
      </c>
      <c r="O21">
        <f>OR(Vu_khi!$AG$21,Vu_khi!$AB$21&gt;0,Vu_khi!$AH$21,Vu_khi!$M$21="Bomb",Vu_khi!$M$21="Drone")</f>
        <v/>
      </c>
      <c r="P21" t="b">
        <v>1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1.6</v>
      </c>
      <c r="AA21">
        <f>AND(Vu_khi!$K$21="Kinetic",NOT(Vu_khi!$AG$21))</f>
        <v/>
      </c>
      <c r="AB21" t="b">
        <v>0</v>
      </c>
      <c r="AC21">
        <f>IF(Vu_khi!$AG$21,INDEX(Bang_danh_noc!$C$2:$C$8,MIN(7,MAX(1,2-(Vu_khi!$L$21-0)+1))),INDEX(Bang_xuyen_giap!$C$2:$C$8,MIN(7,MAX(1,IF($O$21,MAX(1,2-(Vu_khi!$L$21-0)),2-(Vu_khi!$L$21-0))+1))))*IF($AA$21,INDEX(Bang_xuyen_qua!$C$2:$C$5,MIN(4,MAX(1,(Vu_khi!$L$21)-(0)-1))),1)</f>
        <v/>
      </c>
      <c r="AD21" t="n">
        <v>1</v>
      </c>
      <c r="AE21">
        <f>IF(Vu_khi!$AG$21,INDEX(Bang_danh_noc!$C$2:$C$8,MIN(7,MAX(1,2-(Vu_khi!$L$21-2)+1))),INDEX(Bang_xuyen_giap!$C$2:$C$8,MIN(7,MAX(1,IF($O$21,MAX(1,2-(Vu_khi!$L$21-2)),2-(Vu_khi!$L$21-2))+1))))*IF($AA$21,INDEX(Bang_xuyen_qua!$C$2:$C$5,MIN(4,MAX(1,(Vu_khi!$L$21)-(2)-1))),1)</f>
        <v/>
      </c>
      <c r="AF21" t="n">
        <v>1</v>
      </c>
      <c r="AG21">
        <f>IF(Vu_khi!$AG$21,INDEX(Bang_danh_noc!$C$2:$C$8,MIN(7,MAX(1,2-(Vu_khi!$L$21-4)+1))),INDEX(Bang_xuyen_giap!$C$2:$C$8,MIN(7,MAX(1,IF($O$21,MAX(1,2-(Vu_khi!$L$21-4)),2-(Vu_khi!$L$21-4))+1))))*IF($AA$21,INDEX(Bang_xuyen_qua!$C$2:$C$5,MIN(4,MAX(1,(Vu_khi!$L$21)-(4)-1))),1)</f>
        <v/>
      </c>
      <c r="AH21" t="n">
        <v>0.85</v>
      </c>
      <c r="AI21">
        <f>INDEX(Bang_xuyen_giap!$C$2:$C$8,MIN(7,MAX(1,MAX(1,2-(Vu_khi!$L$21-0))+1)))*IF($AA$21,INDEX(Bang_xuyen_qua!$C$2:$C$5,MIN(4,MAX(1,(Vu_khi!$L$21)-(0)-1))),1)</f>
        <v/>
      </c>
      <c r="AJ21" t="n">
        <v>1</v>
      </c>
      <c r="AK21">
        <f>IF($Q$21,$M$21*$AC$21*$U$21,0)</f>
        <v/>
      </c>
      <c r="AL21" t="n">
        <v>37.84465669489997</v>
      </c>
      <c r="AM21">
        <f>IF($Q$21,$M$21*$AE$21*$U$21,0)</f>
        <v/>
      </c>
      <c r="AN21" t="n">
        <v>37.84465669489997</v>
      </c>
      <c r="AO21">
        <f>IF($Q$21,$M$21*$AG$21*$U$21,0)</f>
        <v/>
      </c>
      <c r="AP21" t="n">
        <v>32.16795819066498</v>
      </c>
      <c r="AQ21">
        <f>IF($Q$21,$M$21*$AE$21*$Y$21,0)</f>
        <v/>
      </c>
      <c r="AR21" t="n">
        <v>60.55145071183996</v>
      </c>
      <c r="AS21">
        <f>IF($S$21,$M$21*$AI$21*$W$21,0)</f>
        <v/>
      </c>
      <c r="AT21" t="n">
        <v>0</v>
      </c>
      <c r="AU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V21" t="b">
        <v>1</v>
      </c>
      <c r="AW21">
        <f>IF(AND($B$21&lt;0,$AU$21),4,$B$21)</f>
        <v/>
      </c>
      <c r="AX21" t="n">
        <v>4</v>
      </c>
      <c r="AY21">
        <f>IF($AW$21&lt;4,0,MIN(MAX(0.5,Canh_bao_vong!$D$4),MAX(IF(Vu_khi!$C$21="cal_406",Canh_bao_vong!$D$7,IF($AW$21&gt;=5,Canh_bao_vong!$D$9,Canh_bao_vong!$D$8)),Canh_bao_vong!$D$2+MAX(0,Vu_khi!$X$21)/MAX(0.1,Canh_bao_vong!$D$5))))</f>
        <v/>
      </c>
      <c r="AZ21" t="n">
        <v>2.722222222222222</v>
      </c>
      <c r="BA21" t="n">
        <v>0.4035</v>
      </c>
      <c r="BB21" t="inlineStr">
        <is>
          <t>NHANH_QUA</t>
        </is>
      </c>
      <c r="BC21" t="inlineStr"/>
      <c r="BD21" t="n">
        <v>200</v>
      </c>
      <c r="BE21" t="n">
        <v>260</v>
      </c>
      <c r="BF21" t="n">
        <v>0.2</v>
      </c>
      <c r="BG21" t="n">
        <v>0.45</v>
      </c>
      <c r="BH21" t="n">
        <v>0.9</v>
      </c>
      <c r="BI21" t="n">
        <v>0.6919999999999999</v>
      </c>
      <c r="BJ21" t="inlineStr">
        <is>
          <t>BALLISTIC_MISSILE</t>
        </is>
      </c>
      <c r="BK21" t="inlineStr">
        <is>
          <t>ok</t>
        </is>
      </c>
      <c r="BL21" t="inlineStr">
        <is>
          <t>own line</t>
        </is>
      </c>
      <c r="BM21" t="n">
        <v>300</v>
      </c>
      <c r="BN21" t="inlineStr">
        <is>
          <t>Assets/MachineBrigade/Resources/Data/balance.json: weapons[id=ballistic_missile] (lớp B trên 01_chien_dau/Vu_khi)</t>
        </is>
      </c>
      <c r="BO21" t="inlineStr"/>
    </row>
    <row r="22">
      <c r="A22" t="inlineStr">
        <is>
          <t>bastion_gun</t>
        </is>
      </c>
      <c r="B22" t="n">
        <v>3</v>
      </c>
      <c r="C22">
        <f>IF(Vu_khi!$O$22="SIMULTANEOUS",MAX(1,Vu_khi!$N$22),1)</f>
        <v/>
      </c>
      <c r="D22" t="n">
        <v>2</v>
      </c>
      <c r="E22">
        <f>IF(Vu_khi!$S$22&gt;0,Vu_khi!$S$22,Vu_khi!$P$22*$C$22)</f>
        <v/>
      </c>
      <c r="F22" t="n">
        <v>2</v>
      </c>
      <c r="G22">
        <f>IF(Vu_khi!$S$22&gt;0,(Vu_khi!$S$22-1)*Vu_khi!$R$22+Vu_khi!$T$22,Vu_khi!$R$22+(Vu_khi!$P$22-1)*Vu_khi!$Q$22)</f>
        <v/>
      </c>
      <c r="H22" t="n">
        <v>7.443</v>
      </c>
      <c r="I22">
        <f>Vu_khi!$W$22*MAX(1,$E$22)</f>
        <v/>
      </c>
      <c r="J22" t="n">
        <v>914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122.7999462582292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0</v>
      </c>
      <c r="U22">
        <f>INDEX(Bang_sat_thuong!$B$2:$B$7,MATCH(Vu_khi!$K$22,Bang_sat_thuong!$A$2:$A$7,0))</f>
        <v/>
      </c>
      <c r="V22" t="n">
        <v>1.2</v>
      </c>
      <c r="W22">
        <f>INDEX(Bang_sat_thuong!$C$2:$C$7,MATCH(Vu_khi!$K$22,Bang_sat_thuong!$A$2:$A$7,0))</f>
        <v/>
      </c>
      <c r="X22" t="n">
        <v>0.3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0.7</v>
      </c>
      <c r="AA22">
        <f>AND(Vu_khi!$K$22="Kinetic",NOT(Vu_khi!$AG$22))</f>
        <v/>
      </c>
      <c r="AB22" t="b">
        <v>1</v>
      </c>
      <c r="AC22">
        <f>IF(Vu_khi!$AG$22,INDEX(Bang_danh_noc!$C$2:$C$8,MIN(7,MAX(1,2-(Vu_khi!$L$22-0)+1))),INDEX(Bang_xuyen_giap!$C$2:$C$8,MIN(7,MAX(1,IF($O$22,MAX(1,2-(Vu_khi!$L$22-0)),2-(Vu_khi!$L$22-0))+1))))*IF($AA$22,INDEX(Bang_xuyen_qua!$C$2:$C$5,MIN(4,MAX(1,(Vu_khi!$L$22)-(0)-1))),1)</f>
        <v/>
      </c>
      <c r="AD22" t="n">
        <v>1.02</v>
      </c>
      <c r="AE22">
        <f>IF(Vu_khi!$AG$22,INDEX(Bang_danh_noc!$C$2:$C$8,MIN(7,MAX(1,2-(Vu_khi!$L$22-2)+1))),INDEX(Bang_xuyen_giap!$C$2:$C$8,MIN(7,MAX(1,IF($O$22,MAX(1,2-(Vu_khi!$L$22-2)),2-(Vu_khi!$L$22-2))+1))))*IF($AA$22,INDEX(Bang_xuyen_qua!$C$2:$C$5,MIN(4,MAX(1,(Vu_khi!$L$22)-(2)-1))),1)</f>
        <v/>
      </c>
      <c r="AF22" t="n">
        <v>1.2</v>
      </c>
      <c r="AG22">
        <f>IF(Vu_khi!$AG$22,INDEX(Bang_danh_noc!$C$2:$C$8,MIN(7,MAX(1,2-(Vu_khi!$L$22-4)+1))),INDEX(Bang_xuyen_giap!$C$2:$C$8,MIN(7,MAX(1,IF($O$22,MAX(1,2-(Vu_khi!$L$22-4)),2-(Vu_khi!$L$22-4))+1))))*IF($AA$22,INDEX(Bang_xuyen_qua!$C$2:$C$5,MIN(4,MAX(1,(Vu_khi!$L$22)-(4)-1))),1)</f>
        <v/>
      </c>
      <c r="AH22" t="n">
        <v>0.85</v>
      </c>
      <c r="AI22">
        <f>INDEX(Bang_xuyen_giap!$C$2:$C$8,MIN(7,MAX(1,MAX(1,2-(Vu_khi!$L$22-0))+1)))*IF($AA$22,INDEX(Bang_xuyen_qua!$C$2:$C$5,MIN(4,MAX(1,(Vu_khi!$L$22)-(0)-1))),1)</f>
        <v/>
      </c>
      <c r="AJ22" t="n">
        <v>0.85</v>
      </c>
      <c r="AK22">
        <f>IF($Q$22,$M$22*$AC$22*$U$22,0)</f>
        <v/>
      </c>
      <c r="AL22" t="n">
        <v>150.3071342200726</v>
      </c>
      <c r="AM22">
        <f>IF($Q$22,$M$22*$AE$22*$U$22,0)</f>
        <v/>
      </c>
      <c r="AN22" t="n">
        <v>176.83192261185</v>
      </c>
      <c r="AO22">
        <f>IF($Q$22,$M$22*$AG$22*$U$22,0)</f>
        <v/>
      </c>
      <c r="AP22" t="n">
        <v>125.2559451833938</v>
      </c>
      <c r="AQ22">
        <f>IF($Q$22,$M$22*$AE$22*$Y$22,0)</f>
        <v/>
      </c>
      <c r="AR22" t="n">
        <v>103.1519548569125</v>
      </c>
      <c r="AS22">
        <f>IF($S$22,$M$22*$AI$22*$W$22,0)</f>
        <v/>
      </c>
      <c r="AT22" t="n">
        <v>0</v>
      </c>
      <c r="AU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V22" t="b">
        <v>0</v>
      </c>
      <c r="AW22">
        <f>IF(AND($B$22&lt;0,$AU$22),4,$B$22)</f>
        <v/>
      </c>
      <c r="AX22" t="n">
        <v>3</v>
      </c>
      <c r="AY22">
        <f>IF($AW$22&lt;4,0,MIN(MAX(0.5,Canh_bao_vong!$D$4),MAX(IF(Vu_khi!$C$22="cal_406",Canh_bao_vong!$D$7,IF($AW$22&gt;=5,Canh_bao_vong!$D$9,Canh_bao_vong!$D$8)),Canh_bao_vong!$D$2+MAX(0,Vu_khi!$X$22)/MAX(0.1,Canh_bao_vong!$D$5))))</f>
        <v/>
      </c>
      <c r="AZ22" t="n">
        <v>0</v>
      </c>
      <c r="BA22" t="n">
        <v>0.86835</v>
      </c>
      <c r="BB22" t="inlineStr">
        <is>
          <t>LECH_DOT_1</t>
        </is>
      </c>
      <c r="BC22" t="inlineStr"/>
      <c r="BD22" t="n">
        <v>160</v>
      </c>
      <c r="BE22" t="n">
        <v>208</v>
      </c>
      <c r="BF22" t="n">
        <v>0.062</v>
      </c>
      <c r="BG22" t="n">
        <v>0.125</v>
      </c>
      <c r="BH22" t="n">
        <v>0.25</v>
      </c>
      <c r="BI22" t="n">
        <v>0.192</v>
      </c>
      <c r="BJ22" t="inlineStr">
        <is>
          <t>DIRECT_FAST</t>
        </is>
      </c>
      <c r="BK22" t="inlineStr">
        <is>
          <t>ok</t>
        </is>
      </c>
      <c r="BL22" t="inlineStr">
        <is>
          <t>family 2a83_152_mm</t>
        </is>
      </c>
      <c r="BM22" t="inlineStr"/>
      <c r="BN22" t="inlineStr">
        <is>
          <t>Assets/MachineBrigade/Resources/Data/balance.json: weapons[id=bastion_gun] (lớp B trên 01_chien_dau/Vu_khi)</t>
        </is>
      </c>
      <c r="BO22" t="inlineStr"/>
    </row>
    <row r="23">
      <c r="A23" t="inlineStr">
        <is>
          <t>bastion_gun_he</t>
        </is>
      </c>
      <c r="B23" t="n">
        <v>3</v>
      </c>
      <c r="C23">
        <f>IF(Vu_khi!$O$23="SIMULTANEOUS",MAX(1,Vu_khi!$N$23),1)</f>
        <v/>
      </c>
      <c r="D23" t="n">
        <v>2</v>
      </c>
      <c r="E23">
        <f>IF(Vu_khi!$S$23&gt;0,Vu_khi!$S$23,Vu_khi!$P$23*$C$23)</f>
        <v/>
      </c>
      <c r="F23" t="n">
        <v>2</v>
      </c>
      <c r="G23">
        <f>IF(Vu_khi!$S$23&gt;0,(Vu_khi!$S$23-1)*Vu_khi!$R$23+Vu_khi!$T$23,Vu_khi!$R$23+(Vu_khi!$P$23-1)*Vu_khi!$Q$23)</f>
        <v/>
      </c>
      <c r="H23" t="n">
        <v>7.443</v>
      </c>
      <c r="I23">
        <f>Vu_khi!$W$23*MAX(1,$E$23)</f>
        <v/>
      </c>
      <c r="J23" t="n">
        <v>914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122.7999462582292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0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1.6</v>
      </c>
      <c r="AA23">
        <f>AND(Vu_khi!$K$23="Kinetic",NOT(Vu_khi!$AG$23))</f>
        <v/>
      </c>
      <c r="AB23" t="b">
        <v>0</v>
      </c>
      <c r="AC23">
        <f>IF(Vu_khi!$AG$23,INDEX(Bang_danh_noc!$C$2:$C$8,MIN(7,MAX(1,2-(Vu_khi!$L$23-0)+1))),INDEX(Bang_xuyen_giap!$C$2:$C$8,MIN(7,MAX(1,IF($O$23,MAX(1,2-(Vu_khi!$L$23-0)),2-(Vu_khi!$L$23-0))+1))))*IF($AA$23,INDEX(Bang_xuyen_qua!$C$2:$C$5,MIN(4,MAX(1,(Vu_khi!$L$23)-(0)-1))),1)</f>
        <v/>
      </c>
      <c r="AD23" t="n">
        <v>1.2</v>
      </c>
      <c r="AE23">
        <f>IF(Vu_khi!$AG$23,INDEX(Bang_danh_noc!$C$2:$C$8,MIN(7,MAX(1,2-(Vu_khi!$L$23-2)+1))),INDEX(Bang_xuyen_giap!$C$2:$C$8,MIN(7,MAX(1,IF($O$23,MAX(1,2-(Vu_khi!$L$23-2)),2-(Vu_khi!$L$23-2))+1))))*IF($AA$23,INDEX(Bang_xuyen_qua!$C$2:$C$5,MIN(4,MAX(1,(Vu_khi!$L$23)-(2)-1))),1)</f>
        <v/>
      </c>
      <c r="AF23" t="n">
        <v>1</v>
      </c>
      <c r="AG23">
        <f>IF(Vu_khi!$AG$23,INDEX(Bang_danh_noc!$C$2:$C$8,MIN(7,MAX(1,2-(Vu_khi!$L$23-4)+1))),INDEX(Bang_xuyen_giap!$C$2:$C$8,MIN(7,MAX(1,IF($O$23,MAX(1,2-(Vu_khi!$L$23-4)),2-(Vu_khi!$L$23-4))+1))))*IF($AA$23,INDEX(Bang_xuyen_qua!$C$2:$C$5,MIN(4,MAX(1,(Vu_khi!$L$23)-(4)-1))),1)</f>
        <v/>
      </c>
      <c r="AH23" t="n">
        <v>0.65</v>
      </c>
      <c r="AI23">
        <f>INDEX(Bang_xuyen_giap!$C$2:$C$8,MIN(7,MAX(1,MAX(1,2-(Vu_khi!$L$23-0))+1)))*IF($AA$23,INDEX(Bang_xuyen_qua!$C$2:$C$5,MIN(4,MAX(1,(Vu_khi!$L$23)-(0)-1))),1)</f>
        <v/>
      </c>
      <c r="AJ23" t="n">
        <v>1</v>
      </c>
      <c r="AK23">
        <f>IF($Q$23,$M$23*$AC$23*$U$23,0)</f>
        <v/>
      </c>
      <c r="AL23" t="n">
        <v>147.359935509875</v>
      </c>
      <c r="AM23">
        <f>IF($Q$23,$M$23*$AE$23*$U$23,0)</f>
        <v/>
      </c>
      <c r="AN23" t="n">
        <v>122.7999462582292</v>
      </c>
      <c r="AO23">
        <f>IF($Q$23,$M$23*$AG$23*$U$23,0)</f>
        <v/>
      </c>
      <c r="AP23" t="n">
        <v>79.819965067849</v>
      </c>
      <c r="AQ23">
        <f>IF($Q$23,$M$23*$AE$23*$Y$23,0)</f>
        <v/>
      </c>
      <c r="AR23" t="n">
        <v>196.4799140131668</v>
      </c>
      <c r="AS23">
        <f>IF($S$23,$M$23*$AI$23*$W$23,0)</f>
        <v/>
      </c>
      <c r="AT23" t="n">
        <v>0</v>
      </c>
      <c r="AU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V23" t="b">
        <v>0</v>
      </c>
      <c r="AW23">
        <f>IF(AND($B$23&lt;0,$AU$23),4,$B$23)</f>
        <v/>
      </c>
      <c r="AX23" t="n">
        <v>3</v>
      </c>
      <c r="AY23">
        <f>IF($AW$23&lt;4,0,MIN(MAX(0.5,Canh_bao_vong!$D$4),MAX(IF(Vu_khi!$C$23="cal_406",Canh_bao_vong!$D$7,IF($AW$23&gt;=5,Canh_bao_vong!$D$9,Canh_bao_vong!$D$8)),Canh_bao_vong!$D$2+MAX(0,Vu_khi!$X$23)/MAX(0.1,Canh_bao_vong!$D$5))))</f>
        <v/>
      </c>
      <c r="AZ23" t="n">
        <v>0</v>
      </c>
      <c r="BD23" t="n">
        <v>150</v>
      </c>
      <c r="BE23" t="n">
        <v>195</v>
      </c>
      <c r="BF23" t="n">
        <v>0.067</v>
      </c>
      <c r="BG23" t="n">
        <v>0.133</v>
      </c>
      <c r="BH23" t="n">
        <v>0.267</v>
      </c>
      <c r="BI23" t="n">
        <v>0.205</v>
      </c>
      <c r="BJ23" t="inlineStr">
        <is>
          <t>DIRECT_FAST</t>
        </is>
      </c>
      <c r="BK23" t="inlineStr">
        <is>
          <t>ok</t>
        </is>
      </c>
      <c r="BL23" t="inlineStr">
        <is>
          <t>family 2a83_152_mm_he_frag</t>
        </is>
      </c>
      <c r="BM23" t="inlineStr"/>
      <c r="BN23" t="inlineStr">
        <is>
          <t>Assets/MachineBrigade/Resources/Data/balance.json: weapons[id=bastion_gun_he] (lớp B trên 01_chien_dau/Vu_khi)</t>
        </is>
      </c>
      <c r="BO23" t="inlineStr"/>
    </row>
    <row r="24">
      <c r="A24" t="inlineStr">
        <is>
          <t>boat_rockets</t>
        </is>
      </c>
      <c r="B24" t="n">
        <v>2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8.08</v>
      </c>
      <c r="I24">
        <f>Vu_khi!$W$24*MAX(1,$E$24)</f>
        <v/>
      </c>
      <c r="J24" t="n">
        <v>320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39.6039603960396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</v>
      </c>
      <c r="W24">
        <f>INDEX(Bang_sat_thuong!$C$2:$C$7,MATCH(Vu_khi!$K$24,Bang_sat_thuong!$A$2:$A$7,0))</f>
        <v/>
      </c>
      <c r="X24" t="n">
        <v>0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1.6</v>
      </c>
      <c r="AA24">
        <f>AND(Vu_khi!$K$24="Kinetic",NOT(Vu_khi!$AG$24))</f>
        <v/>
      </c>
      <c r="AB24" t="b">
        <v>0</v>
      </c>
      <c r="AC24">
        <f>IF(Vu_khi!$AG$24,INDEX(Bang_danh_noc!$C$2:$C$8,MIN(7,MAX(1,2-(Vu_khi!$L$24-0)+1))),INDEX(Bang_xuyen_giap!$C$2:$C$8,MIN(7,MAX(1,IF($O$24,MAX(1,2-(Vu_khi!$L$24-0)),2-(Vu_khi!$L$24-0))+1))))*IF($AA$24,INDEX(Bang_xuyen_qua!$C$2:$C$5,MIN(4,MAX(1,(Vu_khi!$L$24)-(0)-1))),1)</f>
        <v/>
      </c>
      <c r="AD24" t="n">
        <v>1.2</v>
      </c>
      <c r="AE24">
        <f>IF(Vu_khi!$AG$24,INDEX(Bang_danh_noc!$C$2:$C$8,MIN(7,MAX(1,2-(Vu_khi!$L$24-2)+1))),INDEX(Bang_xuyen_giap!$C$2:$C$8,MIN(7,MAX(1,IF($O$24,MAX(1,2-(Vu_khi!$L$24-2)),2-(Vu_khi!$L$24-2))+1))))*IF($AA$24,INDEX(Bang_xuyen_qua!$C$2:$C$5,MIN(4,MAX(1,(Vu_khi!$L$24)-(2)-1))),1)</f>
        <v/>
      </c>
      <c r="AF24" t="n">
        <v>0.85</v>
      </c>
      <c r="AG24">
        <f>IF(Vu_khi!$AG$24,INDEX(Bang_danh_noc!$C$2:$C$8,MIN(7,MAX(1,2-(Vu_khi!$L$24-4)+1))),INDEX(Bang_xuyen_giap!$C$2:$C$8,MIN(7,MAX(1,IF($O$24,MAX(1,2-(Vu_khi!$L$24-4)),2-(Vu_khi!$L$24-4))+1))))*IF($AA$24,INDEX(Bang_xuyen_qua!$C$2:$C$5,MIN(4,MAX(1,(Vu_khi!$L$24)-(4)-1))),1)</f>
        <v/>
      </c>
      <c r="AH24" t="n">
        <v>0.4</v>
      </c>
      <c r="AI24">
        <f>INDEX(Bang_xuyen_giap!$C$2:$C$8,MIN(7,MAX(1,MAX(1,2-(Vu_khi!$L$24-0))+1)))*IF($AA$24,INDEX(Bang_xuyen_qua!$C$2:$C$5,MIN(4,MAX(1,(Vu_khi!$L$24)-(0)-1))),1)</f>
        <v/>
      </c>
      <c r="AJ24" t="n">
        <v>1</v>
      </c>
      <c r="AK24">
        <f>IF($Q$24,$M$24*$AC$24*$U$24,0)</f>
        <v/>
      </c>
      <c r="AL24" t="n">
        <v>47.52475247524752</v>
      </c>
      <c r="AM24">
        <f>IF($Q$24,$M$24*$AE$24*$U$24,0)</f>
        <v/>
      </c>
      <c r="AN24" t="n">
        <v>33.66336633663366</v>
      </c>
      <c r="AO24">
        <f>IF($Q$24,$M$24*$AG$24*$U$24,0)</f>
        <v/>
      </c>
      <c r="AP24" t="n">
        <v>15.84158415841584</v>
      </c>
      <c r="AQ24">
        <f>IF($Q$24,$M$24*$AE$24*$Y$24,0)</f>
        <v/>
      </c>
      <c r="AR24" t="n">
        <v>53.86138613861387</v>
      </c>
      <c r="AS24">
        <f>IF($S$24,$M$24*$AI$24*$W$24,0)</f>
        <v/>
      </c>
      <c r="AT24" t="n">
        <v>0</v>
      </c>
      <c r="AU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V24" t="b">
        <v>0</v>
      </c>
      <c r="AW24">
        <f>IF(AND($B$24&lt;0,$AU$24),4,$B$24)</f>
        <v/>
      </c>
      <c r="AX24" t="n">
        <v>2</v>
      </c>
      <c r="AY24">
        <f>IF($AW$24&lt;4,0,MIN(MAX(0.5,Canh_bao_vong!$D$4),MAX(IF(Vu_khi!$C$24="cal_406",Canh_bao_vong!$D$7,IF($AW$24&gt;=5,Canh_bao_vong!$D$9,Canh_bao_vong!$D$8)),Canh_bao_vong!$D$2+MAX(0,Vu_khi!$X$24)/MAX(0.1,Canh_bao_vong!$D$5))))</f>
        <v/>
      </c>
      <c r="AZ24" t="n">
        <v>0</v>
      </c>
      <c r="BA24" t="n">
        <v>1.8</v>
      </c>
      <c r="BB24" t="inlineStr">
        <is>
          <t>ok</t>
        </is>
      </c>
      <c r="BC24" t="inlineStr"/>
      <c r="BD24" t="n">
        <v>90</v>
      </c>
      <c r="BE24" t="n">
        <v>117</v>
      </c>
      <c r="BF24" t="n">
        <v>0.153</v>
      </c>
      <c r="BG24" t="n">
        <v>0.306</v>
      </c>
      <c r="BH24" t="n">
        <v>0.611</v>
      </c>
      <c r="BI24" t="n">
        <v>0.47</v>
      </c>
      <c r="BJ24" t="inlineStr">
        <is>
          <t>AIRCRAFT_ROCKET</t>
        </is>
      </c>
      <c r="BK24" t="inlineStr">
        <is>
          <t>ok</t>
        </is>
      </c>
      <c r="BL24" t="inlineStr">
        <is>
          <t>family s_8_80_mm_boat</t>
        </is>
      </c>
      <c r="BM24" t="n">
        <v>10.8</v>
      </c>
      <c r="BN24" t="inlineStr">
        <is>
          <t>Assets/MachineBrigade/Resources/Data/balance.json: weapons[id=boat_rockets] (lớp B trên 01_chien_dau/Vu_khi)</t>
        </is>
      </c>
      <c r="BO24" t="inlineStr"/>
    </row>
    <row r="25">
      <c r="A25" t="inlineStr">
        <is>
          <t>bofors_l70</t>
        </is>
      </c>
      <c r="B25" t="n">
        <v>1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20</v>
      </c>
      <c r="G25">
        <f>IF(Vu_khi!$S$25&gt;0,(Vu_khi!$S$25-1)*Vu_khi!$R$25+Vu_khi!$T$25,Vu_khi!$R$25+(Vu_khi!$P$25-1)*Vu_khi!$Q$25)</f>
        <v/>
      </c>
      <c r="H25" t="n">
        <v>7.75</v>
      </c>
      <c r="I25">
        <f>Vu_khi!$W$25*MAX(1,$E$25)</f>
        <v/>
      </c>
      <c r="J25" t="n">
        <v>600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77.41935483870968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1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0.45</v>
      </c>
      <c r="W25">
        <f>INDEX(Bang_sat_thuong!$C$2:$C$7,MATCH(Vu_khi!$K$25,Bang_sat_thuong!$A$2:$A$7,0))</f>
        <v/>
      </c>
      <c r="X25" t="n">
        <v>1.35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AND(Vu_khi!$K$25="Kinetic",NOT(Vu_khi!$AG$25))</f>
        <v/>
      </c>
      <c r="AB25" t="b">
        <v>0</v>
      </c>
      <c r="AC25">
        <f>IF(Vu_khi!$AG$25,INDEX(Bang_danh_noc!$C$2:$C$8,MIN(7,MAX(1,2-(Vu_khi!$L$25-0)+1))),INDEX(Bang_xuyen_giap!$C$2:$C$8,MIN(7,MAX(1,IF($O$25,MAX(1,2-(Vu_khi!$L$25-0)),2-(Vu_khi!$L$25-0))+1))))*IF($AA$25,INDEX(Bang_xuyen_qua!$C$2:$C$5,MIN(4,MAX(1,(Vu_khi!$L$25)-(0)-1))),1)</f>
        <v/>
      </c>
      <c r="AD25" t="n">
        <v>1.2</v>
      </c>
      <c r="AE25">
        <f>IF(Vu_khi!$AG$25,INDEX(Bang_danh_noc!$C$2:$C$8,MIN(7,MAX(1,2-(Vu_khi!$L$25-2)+1))),INDEX(Bang_xuyen_giap!$C$2:$C$8,MIN(7,MAX(1,IF($O$25,MAX(1,2-(Vu_khi!$L$25-2)),2-(Vu_khi!$L$25-2))+1))))*IF($AA$25,INDEX(Bang_xuyen_qua!$C$2:$C$5,MIN(4,MAX(1,(Vu_khi!$L$25)-(2)-1))),1)</f>
        <v/>
      </c>
      <c r="AF25" t="n">
        <v>0.85</v>
      </c>
      <c r="AG25">
        <f>IF(Vu_khi!$AG$25,INDEX(Bang_danh_noc!$C$2:$C$8,MIN(7,MAX(1,2-(Vu_khi!$L$25-4)+1))),INDEX(Bang_xuyen_giap!$C$2:$C$8,MIN(7,MAX(1,IF($O$25,MAX(1,2-(Vu_khi!$L$25-4)),2-(Vu_khi!$L$25-4))+1))))*IF($AA$25,INDEX(Bang_xuyen_qua!$C$2:$C$5,MIN(4,MAX(1,(Vu_khi!$L$25)-(4)-1))),1)</f>
        <v/>
      </c>
      <c r="AH25" t="n">
        <v>0.4</v>
      </c>
      <c r="AI25">
        <f>INDEX(Bang_xuyen_giap!$C$2:$C$8,MIN(7,MAX(1,MAX(1,2-(Vu_khi!$L$25-0))+1)))*IF($AA$25,INDEX(Bang_xuyen_qua!$C$2:$C$5,MIN(4,MAX(1,(Vu_khi!$L$25)-(0)-1))),1)</f>
        <v/>
      </c>
      <c r="AJ25" t="n">
        <v>1</v>
      </c>
      <c r="AK25">
        <f>IF($Q$25,$M$25*$AC$25*$U$25,0)</f>
        <v/>
      </c>
      <c r="AL25" t="n">
        <v>41.80645161290323</v>
      </c>
      <c r="AM25">
        <f>IF($Q$25,$M$25*$AE$25*$U$25,0)</f>
        <v/>
      </c>
      <c r="AN25" t="n">
        <v>29.61290322580645</v>
      </c>
      <c r="AO25">
        <f>IF($Q$25,$M$25*$AG$25*$U$25,0)</f>
        <v/>
      </c>
      <c r="AP25" t="n">
        <v>13.93548387096774</v>
      </c>
      <c r="AQ25">
        <f>IF($Q$25,$M$25*$AE$25*$Y$25,0)</f>
        <v/>
      </c>
      <c r="AR25" t="n">
        <v>6.580645161290323</v>
      </c>
      <c r="AS25">
        <f>IF($S$25,$M$25*$AI$25*$W$25,0)</f>
        <v/>
      </c>
      <c r="AT25" t="n">
        <v>104.5161290322581</v>
      </c>
      <c r="AU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V25" t="b">
        <v>0</v>
      </c>
      <c r="AW25">
        <f>IF(AND($B$25&lt;0,$AU$25),4,$B$25)</f>
        <v/>
      </c>
      <c r="AX25" t="n">
        <v>1</v>
      </c>
      <c r="AY25">
        <f>IF($AW$25&lt;4,0,MIN(MAX(0.5,Canh_bao_vong!$D$4),MAX(IF(Vu_khi!$C$25="cal_406",Canh_bao_vong!$D$7,IF($AW$25&gt;=5,Canh_bao_vong!$D$9,Canh_bao_vong!$D$8)),Canh_bao_vong!$D$2+MAX(0,Vu_khi!$X$25)/MAX(0.1,Canh_bao_vong!$D$5))))</f>
        <v/>
      </c>
      <c r="AZ25" t="n">
        <v>0</v>
      </c>
      <c r="BA25" t="n">
        <v>2.13125</v>
      </c>
      <c r="BB25" t="inlineStr">
        <is>
          <t>ok</t>
        </is>
      </c>
      <c r="BC25" t="inlineStr"/>
      <c r="BD25" t="n">
        <v>220</v>
      </c>
      <c r="BE25" t="n">
        <v>286</v>
      </c>
      <c r="BF25" t="n">
        <v>0.055</v>
      </c>
      <c r="BG25" t="n">
        <v>0.109</v>
      </c>
      <c r="BH25" t="n">
        <v>0.218</v>
      </c>
      <c r="BI25" t="n">
        <v>0.168</v>
      </c>
      <c r="BJ25" t="inlineStr">
        <is>
          <t>DIRECT_BULLET</t>
        </is>
      </c>
      <c r="BK25" t="inlineStr">
        <is>
          <t>ok</t>
        </is>
      </c>
      <c r="BL25" t="inlineStr">
        <is>
          <t>family bofors_40_mm_l_70</t>
        </is>
      </c>
      <c r="BM25" t="inlineStr"/>
      <c r="BN25" t="inlineStr">
        <is>
          <t>Assets/MachineBrigade/Resources/Data/balance.json: weapons[id=bofors_l70] (lớp B trên 01_chien_dau/Vu_khi)</t>
        </is>
      </c>
      <c r="BO25" t="inlineStr"/>
    </row>
    <row r="26">
      <c r="A26" t="inlineStr">
        <is>
          <t>bomber_payload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7</v>
      </c>
      <c r="G26">
        <f>IF(Vu_khi!$S$26&gt;0,(Vu_khi!$S$26-1)*Vu_khi!$R$26+Vu_khi!$T$26,Vu_khi!$R$26+(Vu_khi!$P$26-1)*Vu_khi!$Q$26)</f>
        <v/>
      </c>
      <c r="H26" t="n">
        <v>12.4</v>
      </c>
      <c r="I26">
        <f>Vu_khi!$W$26*MAX(1,$E$26)</f>
        <v/>
      </c>
      <c r="J26" t="n">
        <v>2940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237.0967741935484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1.6</v>
      </c>
      <c r="AA26">
        <f>AND(Vu_khi!$K$26="Kinetic",NOT(Vu_khi!$AG$26))</f>
        <v/>
      </c>
      <c r="AB26" t="b">
        <v>0</v>
      </c>
      <c r="AC26">
        <f>IF(Vu_khi!$AG$26,INDEX(Bang_danh_noc!$C$2:$C$8,MIN(7,MAX(1,2-(Vu_khi!$L$26-0)+1))),INDEX(Bang_xuyen_giap!$C$2:$C$8,MIN(7,MAX(1,IF($O$26,MAX(1,2-(Vu_khi!$L$26-0)),2-(Vu_khi!$L$26-0))+1))))*IF($AA$26,INDEX(Bang_xuyen_qua!$C$2:$C$5,MIN(4,MAX(1,(Vu_khi!$L$26)-(0)-1))),1)</f>
        <v/>
      </c>
      <c r="AD26" t="n">
        <v>1.15</v>
      </c>
      <c r="AE26">
        <f>IF(Vu_khi!$AG$26,INDEX(Bang_danh_noc!$C$2:$C$8,MIN(7,MAX(1,2-(Vu_khi!$L$26-2)+1))),INDEX(Bang_xuyen_giap!$C$2:$C$8,MIN(7,MAX(1,IF($O$26,MAX(1,2-(Vu_khi!$L$26-2)),2-(Vu_khi!$L$26-2))+1))))*IF($AA$26,INDEX(Bang_xuyen_qua!$C$2:$C$5,MIN(4,MAX(1,(Vu_khi!$L$26)-(2)-1))),1)</f>
        <v/>
      </c>
      <c r="AF26" t="n">
        <v>1.1</v>
      </c>
      <c r="AG26">
        <f>IF(Vu_khi!$AG$26,INDEX(Bang_danh_noc!$C$2:$C$8,MIN(7,MAX(1,2-(Vu_khi!$L$26-4)+1))),INDEX(Bang_xuyen_giap!$C$2:$C$8,MIN(7,MAX(1,IF($O$26,MAX(1,2-(Vu_khi!$L$26-4)),2-(Vu_khi!$L$26-4))+1))))*IF($AA$26,INDEX(Bang_xuyen_qua!$C$2:$C$5,MIN(4,MAX(1,(Vu_khi!$L$26)-(4)-1))),1)</f>
        <v/>
      </c>
      <c r="AH26" t="n">
        <v>0.75</v>
      </c>
      <c r="AI26">
        <f>INDEX(Bang_xuyen_giap!$C$2:$C$8,MIN(7,MAX(1,MAX(1,2-(Vu_khi!$L$26-0))+1)))*IF($AA$26,INDEX(Bang_xuyen_qua!$C$2:$C$5,MIN(4,MAX(1,(Vu_khi!$L$26)-(0)-1))),1)</f>
        <v/>
      </c>
      <c r="AJ26" t="n">
        <v>1</v>
      </c>
      <c r="AK26">
        <f>IF($Q$26,$M$26*$AC$26*$U$26,0)</f>
        <v/>
      </c>
      <c r="AL26" t="n">
        <v>272.6612903225807</v>
      </c>
      <c r="AM26">
        <f>IF($Q$26,$M$26*$AE$26*$U$26,0)</f>
        <v/>
      </c>
      <c r="AN26" t="n">
        <v>260.8064516129033</v>
      </c>
      <c r="AO26">
        <f>IF($Q$26,$M$26*$AG$26*$U$26,0)</f>
        <v/>
      </c>
      <c r="AP26" t="n">
        <v>177.8225806451613</v>
      </c>
      <c r="AQ26">
        <f>IF($Q$26,$M$26*$AE$26*$Y$26,0)</f>
        <v/>
      </c>
      <c r="AR26" t="n">
        <v>417.2903225806452</v>
      </c>
      <c r="AS26">
        <f>IF($S$26,$M$26*$AI$26*$W$26,0)</f>
        <v/>
      </c>
      <c r="AT26" t="n">
        <v>0</v>
      </c>
      <c r="AU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V26" t="b">
        <v>1</v>
      </c>
      <c r="AW26">
        <f>IF(AND($B$26&lt;0,$AU$26),4,$B$26)</f>
        <v/>
      </c>
      <c r="AX26" t="n">
        <v>4</v>
      </c>
      <c r="AY26">
        <f>IF($AW$26&lt;4,0,MIN(MAX(0.5,Canh_bao_vong!$D$4),MAX(IF(Vu_khi!$C$26="cal_406",Canh_bao_vong!$D$7,IF($AW$26&gt;=5,Canh_bao_vong!$D$9,Canh_bao_vong!$D$8)),Canh_bao_vong!$D$2+MAX(0,Vu_khi!$X$26)/MAX(0.1,Canh_bao_vong!$D$5))))</f>
        <v/>
      </c>
      <c r="AZ26" t="n">
        <v>2.722222222222222</v>
      </c>
      <c r="BA26" t="n">
        <v>2</v>
      </c>
      <c r="BB26" t="inlineStr">
        <is>
          <t>ok</t>
        </is>
      </c>
      <c r="BC26" t="inlineStr"/>
      <c r="BD26" t="n">
        <v>35</v>
      </c>
      <c r="BE26" t="n">
        <v>45.5</v>
      </c>
      <c r="BF26" t="n">
        <v>0.2</v>
      </c>
      <c r="BG26" t="n">
        <v>0.4</v>
      </c>
      <c r="BH26" t="n">
        <v>0.8</v>
      </c>
      <c r="BI26" t="n">
        <v>0.615</v>
      </c>
      <c r="BJ26" t="inlineStr">
        <is>
          <t>BOMB</t>
        </is>
      </c>
      <c r="BK26" t="inlineStr">
        <is>
          <t>ok</t>
        </is>
      </c>
      <c r="BL26" t="inlineStr">
        <is>
          <t>own line</t>
        </is>
      </c>
      <c r="BM26" t="inlineStr"/>
      <c r="BN26" t="inlineStr">
        <is>
          <t>Assets/MachineBrigade/Resources/Data/balance.json: weapons[id=bomber_payload] (lớp B trên 01_chien_dau/Vu_khi)</t>
        </is>
      </c>
      <c r="BO26" t="inlineStr"/>
    </row>
    <row r="27">
      <c r="A27" t="inlineStr">
        <is>
          <t>bomber_tail_guns</t>
        </is>
      </c>
      <c r="B27" t="n">
        <v>0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26</v>
      </c>
      <c r="G27">
        <f>IF(Vu_khi!$S$27&gt;0,(Vu_khi!$S$27-1)*Vu_khi!$R$27+Vu_khi!$T$27,Vu_khi!$R$27+(Vu_khi!$P$27-1)*Vu_khi!$Q$27)</f>
        <v/>
      </c>
      <c r="H27" t="n">
        <v>3.1975</v>
      </c>
      <c r="I27">
        <f>Vu_khi!$W$27*MAX(1,$E$27)</f>
        <v/>
      </c>
      <c r="J27" t="n">
        <v>247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77.24784988272089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0</v>
      </c>
      <c r="S27">
        <f>AND(NOT(Vu_khi!$AJ$27),OR(Vu_khi!$AC$27="Air",Vu_khi!$AC$27="All"))</f>
        <v/>
      </c>
      <c r="T27" t="b">
        <v>1</v>
      </c>
      <c r="U27">
        <f>INDEX(Bang_sat_thuong!$B$2:$B$7,MATCH(Vu_khi!$K$27,Bang_sat_thuong!$A$2:$A$7,0))</f>
        <v/>
      </c>
      <c r="V27" t="n">
        <v>1.2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0.7</v>
      </c>
      <c r="AA27">
        <f>AND(Vu_khi!$K$27="Kinetic",NOT(Vu_khi!$AG$27))</f>
        <v/>
      </c>
      <c r="AB27" t="b">
        <v>1</v>
      </c>
      <c r="AC27">
        <f>IF(Vu_khi!$AG$27,INDEX(Bang_danh_noc!$C$2:$C$8,MIN(7,MAX(1,2-(Vu_khi!$L$27-0)+1))),INDEX(Bang_xuyen_giap!$C$2:$C$8,MIN(7,MAX(1,IF($O$27,MAX(1,2-(Vu_khi!$L$27-0)),2-(Vu_khi!$L$27-0))+1))))*IF($AA$27,INDEX(Bang_xuyen_qua!$C$2:$C$5,MIN(4,MAX(1,(Vu_khi!$L$27)-(0)-1))),1)</f>
        <v/>
      </c>
      <c r="AD27" t="n">
        <v>1</v>
      </c>
      <c r="AE27">
        <f>IF(Vu_khi!$AG$27,INDEX(Bang_danh_noc!$C$2:$C$8,MIN(7,MAX(1,2-(Vu_khi!$L$27-2)+1))),INDEX(Bang_xuyen_giap!$C$2:$C$8,MIN(7,MAX(1,IF($O$27,MAX(1,2-(Vu_khi!$L$27-2)),2-(Vu_khi!$L$27-2))+1))))*IF($AA$27,INDEX(Bang_xuyen_qua!$C$2:$C$5,MIN(4,MAX(1,(Vu_khi!$L$27)-(2)-1))),1)</f>
        <v/>
      </c>
      <c r="AF27" t="n">
        <v>0.65</v>
      </c>
      <c r="AG27">
        <f>IF(Vu_khi!$AG$27,INDEX(Bang_danh_noc!$C$2:$C$8,MIN(7,MAX(1,2-(Vu_khi!$L$27-4)+1))),INDEX(Bang_xuyen_giap!$C$2:$C$8,MIN(7,MAX(1,IF($O$27,MAX(1,2-(Vu_khi!$L$27-4)),2-(Vu_khi!$L$27-4))+1))))*IF($AA$27,INDEX(Bang_xuyen_qua!$C$2:$C$5,MIN(4,MAX(1,(Vu_khi!$L$27)-(4)-1))),1)</f>
        <v/>
      </c>
      <c r="AH27" t="n">
        <v>0.15</v>
      </c>
      <c r="AI27">
        <f>INDEX(Bang_xuyen_giap!$C$2:$C$8,MIN(7,MAX(1,MAX(1,2-(Vu_khi!$L$27-0))+1)))*IF($AA$27,INDEX(Bang_xuyen_qua!$C$2:$C$5,MIN(4,MAX(1,(Vu_khi!$L$27)-(0)-1))),1)</f>
        <v/>
      </c>
      <c r="AJ27" t="n">
        <v>1</v>
      </c>
      <c r="AK27">
        <f>IF($Q$27,$M$27*$AC$27*$U$27,0)</f>
        <v/>
      </c>
      <c r="AL27" t="n">
        <v>0</v>
      </c>
      <c r="AM27">
        <f>IF($Q$27,$M$27*$AE$27*$U$27,0)</f>
        <v/>
      </c>
      <c r="AN27" t="n">
        <v>0</v>
      </c>
      <c r="AO27">
        <f>IF($Q$27,$M$27*$AG$27*$U$27,0)</f>
        <v/>
      </c>
      <c r="AP27" t="n">
        <v>0</v>
      </c>
      <c r="AQ27">
        <f>IF($Q$27,$M$27*$AE$27*$Y$27,0)</f>
        <v/>
      </c>
      <c r="AR27" t="n">
        <v>0</v>
      </c>
      <c r="AS27">
        <f>IF($S$27,$M$27*$AI$27*$W$27,0)</f>
        <v/>
      </c>
      <c r="AT27" t="n">
        <v>23.17435496481626</v>
      </c>
      <c r="AU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V27" t="b">
        <v>0</v>
      </c>
      <c r="AW27">
        <f>IF(AND($B$27&lt;0,$AU$27),4,$B$27)</f>
        <v/>
      </c>
      <c r="AX27" t="n">
        <v>0</v>
      </c>
      <c r="AY27">
        <f>IF($AW$27&lt;4,0,MIN(MAX(0.5,Canh_bao_vong!$D$4),MAX(IF(Vu_khi!$C$27="cal_406",Canh_bao_vong!$D$7,IF($AW$27&gt;=5,Canh_bao_vong!$D$9,Canh_bao_vong!$D$8)),Canh_bao_vong!$D$2+MAX(0,Vu_khi!$X$27)/MAX(0.1,Canh_bao_vong!$D$5))))</f>
        <v/>
      </c>
      <c r="AZ27" t="n">
        <v>0</v>
      </c>
      <c r="BA27" t="n">
        <v>9.838462</v>
      </c>
      <c r="BB27" t="inlineStr">
        <is>
          <t>ok</t>
        </is>
      </c>
      <c r="BC27" t="inlineStr"/>
      <c r="BD27" t="n">
        <v>240</v>
      </c>
      <c r="BE27" t="n">
        <v>312</v>
      </c>
      <c r="BF27" t="n">
        <v>0.031</v>
      </c>
      <c r="BG27" t="n">
        <v>0.062</v>
      </c>
      <c r="BH27" t="n">
        <v>0.125</v>
      </c>
      <c r="BI27" t="n">
        <v>0.096</v>
      </c>
      <c r="BJ27" t="inlineStr">
        <is>
          <t>DIRECT_BULLET</t>
        </is>
      </c>
      <c r="BK27" t="inlineStr">
        <is>
          <t>ok</t>
        </is>
      </c>
      <c r="BL27" t="inlineStr">
        <is>
          <t>own line</t>
        </is>
      </c>
      <c r="BM27" t="inlineStr"/>
      <c r="BN27" t="inlineStr">
        <is>
          <t>Assets/MachineBrigade/Resources/Data/balance.json: weapons[id=bomber_tail_guns] (lớp B trên 01_chien_dau/Vu_khi)</t>
        </is>
      </c>
      <c r="BO27" t="inlineStr"/>
    </row>
    <row r="28">
      <c r="A28" t="inlineStr">
        <is>
          <t>bomber_tail_guns_api</t>
        </is>
      </c>
      <c r="B28" t="n">
        <v>0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26</v>
      </c>
      <c r="G28">
        <f>IF(Vu_khi!$S$28&gt;0,(Vu_khi!$S$28-1)*Vu_khi!$R$28+Vu_khi!$T$28,Vu_khi!$R$28+(Vu_khi!$P$28-1)*Vu_khi!$Q$28)</f>
        <v/>
      </c>
      <c r="H28" t="n">
        <v>3.1975</v>
      </c>
      <c r="I28">
        <f>Vu_khi!$W$28*MAX(1,$E$28)</f>
        <v/>
      </c>
      <c r="J28" t="n">
        <v>247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77.24784988272089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0</v>
      </c>
      <c r="S28">
        <f>AND(NOT(Vu_khi!$AJ$28),OR(Vu_khi!$AC$28="Air",Vu_khi!$AC$28="All"))</f>
        <v/>
      </c>
      <c r="T28" t="b">
        <v>1</v>
      </c>
      <c r="U28">
        <f>INDEX(Bang_sat_thuong!$B$2:$B$7,MATCH(Vu_khi!$K$28,Bang_sat_thuong!$A$2:$A$7,0))</f>
        <v/>
      </c>
      <c r="V28" t="n">
        <v>1.2</v>
      </c>
      <c r="W28">
        <f>INDEX(Bang_sat_thuong!$C$2:$C$7,MATCH(Vu_khi!$K$28,Bang_sat_thuong!$A$2:$A$7,0))</f>
        <v/>
      </c>
      <c r="X28" t="n">
        <v>0.3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0.7</v>
      </c>
      <c r="AA28">
        <f>AND(Vu_khi!$K$28="Kinetic",NOT(Vu_khi!$AG$28))</f>
        <v/>
      </c>
      <c r="AB28" t="b">
        <v>1</v>
      </c>
      <c r="AC28">
        <f>IF(Vu_khi!$AG$28,INDEX(Bang_danh_noc!$C$2:$C$8,MIN(7,MAX(1,2-(Vu_khi!$L$28-0)+1))),INDEX(Bang_xuyen_giap!$C$2:$C$8,MIN(7,MAX(1,IF($O$28,MAX(1,2-(Vu_khi!$L$28-0)),2-(Vu_khi!$L$28-0))+1))))*IF($AA$28,INDEX(Bang_xuyen_qua!$C$2:$C$5,MIN(4,MAX(1,(Vu_khi!$L$28)-(0)-1))),1)</f>
        <v/>
      </c>
      <c r="AD28" t="n">
        <v>1.2</v>
      </c>
      <c r="AE28">
        <f>IF(Vu_khi!$AG$28,INDEX(Bang_danh_noc!$C$2:$C$8,MIN(7,MAX(1,2-(Vu_khi!$L$28-2)+1))),INDEX(Bang_xuyen_giap!$C$2:$C$8,MIN(7,MAX(1,IF($O$28,MAX(1,2-(Vu_khi!$L$28-2)),2-(Vu_khi!$L$28-2))+1))))*IF($AA$28,INDEX(Bang_xuyen_qua!$C$2:$C$5,MIN(4,MAX(1,(Vu_khi!$L$28)-(2)-1))),1)</f>
        <v/>
      </c>
      <c r="AF28" t="n">
        <v>0.85</v>
      </c>
      <c r="AG28">
        <f>IF(Vu_khi!$AG$28,INDEX(Bang_danh_noc!$C$2:$C$8,MIN(7,MAX(1,2-(Vu_khi!$L$28-4)+1))),INDEX(Bang_xuyen_giap!$C$2:$C$8,MIN(7,MAX(1,IF($O$28,MAX(1,2-(Vu_khi!$L$28-4)),2-(Vu_khi!$L$28-4))+1))))*IF($AA$28,INDEX(Bang_xuyen_qua!$C$2:$C$5,MIN(4,MAX(1,(Vu_khi!$L$28)-(4)-1))),1)</f>
        <v/>
      </c>
      <c r="AH28" t="n">
        <v>0.4</v>
      </c>
      <c r="AI28">
        <f>INDEX(Bang_xuyen_giap!$C$2:$C$8,MIN(7,MAX(1,MAX(1,2-(Vu_khi!$L$28-0))+1)))*IF($AA$28,INDEX(Bang_xuyen_qua!$C$2:$C$5,MIN(4,MAX(1,(Vu_khi!$L$28)-(0)-1))),1)</f>
        <v/>
      </c>
      <c r="AJ28" t="n">
        <v>1</v>
      </c>
      <c r="AK28">
        <f>IF($Q$28,$M$28*$AC$28*$U$28,0)</f>
        <v/>
      </c>
      <c r="AL28" t="n">
        <v>0</v>
      </c>
      <c r="AM28">
        <f>IF($Q$28,$M$28*$AE$28*$U$28,0)</f>
        <v/>
      </c>
      <c r="AN28" t="n">
        <v>0</v>
      </c>
      <c r="AO28">
        <f>IF($Q$28,$M$28*$AG$28*$U$28,0)</f>
        <v/>
      </c>
      <c r="AP28" t="n">
        <v>0</v>
      </c>
      <c r="AQ28">
        <f>IF($Q$28,$M$28*$AE$28*$Y$28,0)</f>
        <v/>
      </c>
      <c r="AR28" t="n">
        <v>0</v>
      </c>
      <c r="AS28">
        <f>IF($S$28,$M$28*$AI$28*$W$28,0)</f>
        <v/>
      </c>
      <c r="AT28" t="n">
        <v>23.17435496481626</v>
      </c>
      <c r="AU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V28" t="b">
        <v>0</v>
      </c>
      <c r="AW28">
        <f>IF(AND($B$28&lt;0,$AU$28),4,$B$28)</f>
        <v/>
      </c>
      <c r="AX28" t="n">
        <v>0</v>
      </c>
      <c r="AY28">
        <f>IF($AW$28&lt;4,0,MIN(MAX(0.5,Canh_bao_vong!$D$4),MAX(IF(Vu_khi!$C$28="cal_406",Canh_bao_vong!$D$7,IF($AW$28&gt;=5,Canh_bao_vong!$D$9,Canh_bao_vong!$D$8)),Canh_bao_vong!$D$2+MAX(0,Vu_khi!$X$28)/MAX(0.1,Canh_bao_vong!$D$5))))</f>
        <v/>
      </c>
      <c r="AZ28" t="n">
        <v>0</v>
      </c>
      <c r="BD28" t="n">
        <v>240</v>
      </c>
      <c r="BE28" t="n">
        <v>312</v>
      </c>
      <c r="BF28" t="n">
        <v>0.031</v>
      </c>
      <c r="BG28" t="n">
        <v>0.062</v>
      </c>
      <c r="BH28" t="n">
        <v>0.125</v>
      </c>
      <c r="BI28" t="n">
        <v>0.096</v>
      </c>
      <c r="BJ28" t="inlineStr">
        <is>
          <t>DIRECT_BULLET</t>
        </is>
      </c>
      <c r="BK28" t="inlineStr">
        <is>
          <t>ok</t>
        </is>
      </c>
      <c r="BL28" t="inlineStr">
        <is>
          <t>inherited from bomber_tail_guns</t>
        </is>
      </c>
      <c r="BM28" t="inlineStr"/>
      <c r="BN28" t="inlineStr">
        <is>
          <t>Assets/MachineBrigade/Resources/Data/balance.json: weapons[id=bomber_tail_guns_api] (lớp B trên 01_chien_dau/Vu_khi)</t>
        </is>
      </c>
      <c r="BO28" t="inlineStr"/>
    </row>
    <row r="29">
      <c r="A29" t="inlineStr">
        <is>
          <t>borer_cannon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</v>
      </c>
      <c r="G29">
        <f>IF(Vu_khi!$S$29&gt;0,(Vu_khi!$S$29-1)*Vu_khi!$R$29+Vu_khi!$T$29,Vu_khi!$R$29+(Vu_khi!$P$29-1)*Vu_khi!$Q$29)</f>
        <v/>
      </c>
      <c r="H29" t="n">
        <v>6</v>
      </c>
      <c r="I29">
        <f>Vu_khi!$W$29*MAX(1,$E$29)</f>
        <v/>
      </c>
      <c r="J29" t="n">
        <v>120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20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1.2</v>
      </c>
      <c r="W29">
        <f>INDEX(Bang_sat_thuong!$C$2:$C$7,MATCH(Vu_khi!$K$29,Bang_sat_thuong!$A$2:$A$7,0))</f>
        <v/>
      </c>
      <c r="X29" t="n">
        <v>0.3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0.7</v>
      </c>
      <c r="AA29">
        <f>AND(Vu_khi!$K$29="Kinetic",NOT(Vu_khi!$AG$29))</f>
        <v/>
      </c>
      <c r="AB29" t="b">
        <v>1</v>
      </c>
      <c r="AC29">
        <f>IF(Vu_khi!$AG$29,INDEX(Bang_danh_noc!$C$2:$C$8,MIN(7,MAX(1,2-(Vu_khi!$L$29-0)+1))),INDEX(Bang_xuyen_giap!$C$2:$C$8,MIN(7,MAX(1,IF($O$29,MAX(1,2-(Vu_khi!$L$29-0)),2-(Vu_khi!$L$29-0))+1))))*IF($AA$29,INDEX(Bang_xuyen_qua!$C$2:$C$5,MIN(4,MAX(1,(Vu_khi!$L$29)-(0)-1))),1)</f>
        <v/>
      </c>
      <c r="AD29" t="n">
        <v>1.14</v>
      </c>
      <c r="AE29">
        <f>IF(Vu_khi!$AG$29,INDEX(Bang_danh_noc!$C$2:$C$8,MIN(7,MAX(1,2-(Vu_khi!$L$29-2)+1))),INDEX(Bang_xuyen_giap!$C$2:$C$8,MIN(7,MAX(1,IF($O$29,MAX(1,2-(Vu_khi!$L$29-2)),2-(Vu_khi!$L$29-2))+1))))*IF($AA$29,INDEX(Bang_xuyen_qua!$C$2:$C$5,MIN(4,MAX(1,(Vu_khi!$L$29)-(2)-1))),1)</f>
        <v/>
      </c>
      <c r="AF29" t="n">
        <v>1</v>
      </c>
      <c r="AG29">
        <f>IF(Vu_khi!$AG$29,INDEX(Bang_danh_noc!$C$2:$C$8,MIN(7,MAX(1,2-(Vu_khi!$L$29-4)+1))),INDEX(Bang_xuyen_giap!$C$2:$C$8,MIN(7,MAX(1,IF($O$29,MAX(1,2-(Vu_khi!$L$29-4)),2-(Vu_khi!$L$29-4))+1))))*IF($AA$29,INDEX(Bang_xuyen_qua!$C$2:$C$5,MIN(4,MAX(1,(Vu_khi!$L$29)-(4)-1))),1)</f>
        <v/>
      </c>
      <c r="AH29" t="n">
        <v>0.65</v>
      </c>
      <c r="AI29">
        <f>INDEX(Bang_xuyen_giap!$C$2:$C$8,MIN(7,MAX(1,MAX(1,2-(Vu_khi!$L$29-0))+1)))*IF($AA$29,INDEX(Bang_xuyen_qua!$C$2:$C$5,MIN(4,MAX(1,(Vu_khi!$L$29)-(0)-1))),1)</f>
        <v/>
      </c>
      <c r="AJ29" t="n">
        <v>0.95</v>
      </c>
      <c r="AK29">
        <f>IF($Q$29,$M$29*$AC$29*$U$29,0)</f>
        <v/>
      </c>
      <c r="AL29" t="n">
        <v>27.36</v>
      </c>
      <c r="AM29">
        <f>IF($Q$29,$M$29*$AE$29*$U$29,0)</f>
        <v/>
      </c>
      <c r="AN29" t="n">
        <v>24</v>
      </c>
      <c r="AO29">
        <f>IF($Q$29,$M$29*$AG$29*$U$29,0)</f>
        <v/>
      </c>
      <c r="AP29" t="n">
        <v>15.6</v>
      </c>
      <c r="AQ29">
        <f>IF($Q$29,$M$29*$AE$29*$Y$29,0)</f>
        <v/>
      </c>
      <c r="AR29" t="n">
        <v>14</v>
      </c>
      <c r="AS29">
        <f>IF($S$29,$M$29*$AI$29*$W$29,0)</f>
        <v/>
      </c>
      <c r="AT29" t="n">
        <v>0</v>
      </c>
      <c r="AU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V29" t="b">
        <v>0</v>
      </c>
      <c r="AW29">
        <f>IF(AND($B$29&lt;0,$AU$29),4,$B$29)</f>
        <v/>
      </c>
      <c r="AX29" t="n">
        <v>2</v>
      </c>
      <c r="AY29">
        <f>IF($AW$29&lt;4,0,MIN(MAX(0.5,Canh_bao_vong!$D$4),MAX(IF(Vu_khi!$C$29="cal_406",Canh_bao_vong!$D$7,IF($AW$29&gt;=5,Canh_bao_vong!$D$9,Canh_bao_vong!$D$8)),Canh_bao_vong!$D$2+MAX(0,Vu_khi!$X$29)/MAX(0.1,Canh_bao_vong!$D$5))))</f>
        <v/>
      </c>
      <c r="AZ29" t="n">
        <v>0</v>
      </c>
      <c r="BA29" t="n">
        <v>0.7</v>
      </c>
      <c r="BB29" t="inlineStr">
        <is>
          <t>ok</t>
        </is>
      </c>
      <c r="BC29" t="b">
        <v>1</v>
      </c>
      <c r="BD29" t="n">
        <v>170</v>
      </c>
      <c r="BE29" t="n">
        <v>221</v>
      </c>
      <c r="BF29" t="n">
        <v>0.05</v>
      </c>
      <c r="BG29" t="n">
        <v>0.1</v>
      </c>
      <c r="BH29" t="n">
        <v>0.2</v>
      </c>
      <c r="BI29" t="n">
        <v>0.154</v>
      </c>
      <c r="BJ29" t="inlineStr">
        <is>
          <t>DIRECT_FAST</t>
        </is>
      </c>
      <c r="BK29" t="inlineStr">
        <is>
          <t>ok</t>
        </is>
      </c>
      <c r="BL29" t="inlineStr">
        <is>
          <t>own line</t>
        </is>
      </c>
      <c r="BM29" t="inlineStr"/>
      <c r="BN29" t="inlineStr">
        <is>
          <t>Assets/MachineBrigade/Resources/Data/balance.json: weapons[id=borer_cannon] (lớp B trên 01_chien_dau/Vu_khi)</t>
        </is>
      </c>
      <c r="BO29" t="inlineStr"/>
    </row>
    <row r="30">
      <c r="A30" t="inlineStr">
        <is>
          <t>borer_cannon_he</t>
        </is>
      </c>
      <c r="B30" t="n">
        <v>2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1</v>
      </c>
      <c r="G30">
        <f>IF(Vu_khi!$S$30&gt;0,(Vu_khi!$S$30-1)*Vu_khi!$R$30+Vu_khi!$T$30,Vu_khi!$R$30+(Vu_khi!$P$30-1)*Vu_khi!$Q$30)</f>
        <v/>
      </c>
      <c r="H30" t="n">
        <v>6</v>
      </c>
      <c r="I30">
        <f>Vu_khi!$W$30*MAX(1,$E$30)</f>
        <v/>
      </c>
      <c r="J30" t="n">
        <v>120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20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0</v>
      </c>
      <c r="U30">
        <f>INDEX(Bang_sat_thuong!$B$2:$B$7,MATCH(Vu_khi!$K$30,Bang_sat_thuong!$A$2:$A$7,0))</f>
        <v/>
      </c>
      <c r="V30" t="n">
        <v>1</v>
      </c>
      <c r="W30">
        <f>INDEX(Bang_sat_thuong!$C$2:$C$7,MATCH(Vu_khi!$K$30,Bang_sat_thuong!$A$2:$A$7,0))</f>
        <v/>
      </c>
      <c r="X30" t="n">
        <v>0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1.6</v>
      </c>
      <c r="AA30">
        <f>AND(Vu_khi!$K$30="Kinetic",NOT(Vu_khi!$AG$30))</f>
        <v/>
      </c>
      <c r="AB30" t="b">
        <v>0</v>
      </c>
      <c r="AC30">
        <f>IF(Vu_khi!$AG$30,INDEX(Bang_danh_noc!$C$2:$C$8,MIN(7,MAX(1,2-(Vu_khi!$L$30-0)+1))),INDEX(Bang_xuyen_giap!$C$2:$C$8,MIN(7,MAX(1,IF($O$30,MAX(1,2-(Vu_khi!$L$30-0)),2-(Vu_khi!$L$30-0))+1))))*IF($AA$30,INDEX(Bang_xuyen_qua!$C$2:$C$5,MIN(4,MAX(1,(Vu_khi!$L$30)-(0)-1))),1)</f>
        <v/>
      </c>
      <c r="AD30" t="n">
        <v>1.2</v>
      </c>
      <c r="AE30">
        <f>IF(Vu_khi!$AG$30,INDEX(Bang_danh_noc!$C$2:$C$8,MIN(7,MAX(1,2-(Vu_khi!$L$30-2)+1))),INDEX(Bang_xuyen_giap!$C$2:$C$8,MIN(7,MAX(1,IF($O$30,MAX(1,2-(Vu_khi!$L$30-2)),2-(Vu_khi!$L$30-2))+1))))*IF($AA$30,INDEX(Bang_xuyen_qua!$C$2:$C$5,MIN(4,MAX(1,(Vu_khi!$L$30)-(2)-1))),1)</f>
        <v/>
      </c>
      <c r="AF30" t="n">
        <v>0.85</v>
      </c>
      <c r="AG30">
        <f>IF(Vu_khi!$AG$30,INDEX(Bang_danh_noc!$C$2:$C$8,MIN(7,MAX(1,2-(Vu_khi!$L$30-4)+1))),INDEX(Bang_xuyen_giap!$C$2:$C$8,MIN(7,MAX(1,IF($O$30,MAX(1,2-(Vu_khi!$L$30-4)),2-(Vu_khi!$L$30-4))+1))))*IF($AA$30,INDEX(Bang_xuyen_qua!$C$2:$C$5,MIN(4,MAX(1,(Vu_khi!$L$30)-(4)-1))),1)</f>
        <v/>
      </c>
      <c r="AH30" t="n">
        <v>0.4</v>
      </c>
      <c r="AI30">
        <f>INDEX(Bang_xuyen_giap!$C$2:$C$8,MIN(7,MAX(1,MAX(1,2-(Vu_khi!$L$30-0))+1)))*IF($AA$30,INDEX(Bang_xuyen_qua!$C$2:$C$5,MIN(4,MAX(1,(Vu_khi!$L$30)-(0)-1))),1)</f>
        <v/>
      </c>
      <c r="AJ30" t="n">
        <v>1</v>
      </c>
      <c r="AK30">
        <f>IF($Q$30,$M$30*$AC$30*$U$30,0)</f>
        <v/>
      </c>
      <c r="AL30" t="n">
        <v>24</v>
      </c>
      <c r="AM30">
        <f>IF($Q$30,$M$30*$AE$30*$U$30,0)</f>
        <v/>
      </c>
      <c r="AN30" t="n">
        <v>17</v>
      </c>
      <c r="AO30">
        <f>IF($Q$30,$M$30*$AG$30*$U$30,0)</f>
        <v/>
      </c>
      <c r="AP30" t="n">
        <v>8</v>
      </c>
      <c r="AQ30">
        <f>IF($Q$30,$M$30*$AE$30*$Y$30,0)</f>
        <v/>
      </c>
      <c r="AR30" t="n">
        <v>27.2</v>
      </c>
      <c r="AS30">
        <f>IF($S$30,$M$30*$AI$30*$W$30,0)</f>
        <v/>
      </c>
      <c r="AT30" t="n">
        <v>0</v>
      </c>
      <c r="AU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V30" t="b">
        <v>0</v>
      </c>
      <c r="AW30">
        <f>IF(AND($B$30&lt;0,$AU$30),4,$B$30)</f>
        <v/>
      </c>
      <c r="AX30" t="n">
        <v>2</v>
      </c>
      <c r="AY30">
        <f>IF($AW$30&lt;4,0,MIN(MAX(0.5,Canh_bao_vong!$D$4),MAX(IF(Vu_khi!$C$30="cal_406",Canh_bao_vong!$D$7,IF($AW$30&gt;=5,Canh_bao_vong!$D$9,Canh_bao_vong!$D$8)),Canh_bao_vong!$D$2+MAX(0,Vu_khi!$X$30)/MAX(0.1,Canh_bao_vong!$D$5))))</f>
        <v/>
      </c>
      <c r="AZ30" t="n">
        <v>0</v>
      </c>
      <c r="BD30" t="n">
        <v>170</v>
      </c>
      <c r="BE30" t="n">
        <v>221</v>
      </c>
      <c r="BF30" t="n">
        <v>0.05</v>
      </c>
      <c r="BG30" t="n">
        <v>0.1</v>
      </c>
      <c r="BH30" t="n">
        <v>0.2</v>
      </c>
      <c r="BI30" t="n">
        <v>0.154</v>
      </c>
      <c r="BJ30" t="inlineStr">
        <is>
          <t>DIRECT_FAST</t>
        </is>
      </c>
      <c r="BK30" t="inlineStr">
        <is>
          <t>ok</t>
        </is>
      </c>
      <c r="BL30" t="inlineStr">
        <is>
          <t>inherited from borer_cannon</t>
        </is>
      </c>
      <c r="BM30" t="inlineStr"/>
      <c r="BN30" t="inlineStr">
        <is>
          <t>Assets/MachineBrigade/Resources/Data/balance.json: weapons[id=borer_cannon_he] (lớp B trên 01_chien_dau/Vu_khi)</t>
        </is>
      </c>
      <c r="BO30" t="inlineStr"/>
    </row>
    <row r="31">
      <c r="A31" t="inlineStr">
        <is>
          <t>borer_drill</t>
        </is>
      </c>
      <c r="B31" t="n">
        <v>0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1</v>
      </c>
      <c r="G31">
        <f>IF(Vu_khi!$S$31&gt;0,(Vu_khi!$S$31-1)*Vu_khi!$R$31+Vu_khi!$T$31,Vu_khi!$R$31+(Vu_khi!$P$31-1)*Vu_khi!$Q$31)</f>
        <v/>
      </c>
      <c r="H31" t="n">
        <v>1.5</v>
      </c>
      <c r="I31">
        <f>Vu_khi!$W$31*MAX(1,$E$31)</f>
        <v/>
      </c>
      <c r="J31" t="n">
        <v>260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173.3333333333333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1.2</v>
      </c>
      <c r="W31">
        <f>INDEX(Bang_sat_thuong!$C$2:$C$7,MATCH(Vu_khi!$K$31,Bang_sat_thuong!$A$2:$A$7,0))</f>
        <v/>
      </c>
      <c r="X31" t="n">
        <v>0.3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0.7</v>
      </c>
      <c r="AA31">
        <f>AND(Vu_khi!$K$31="Kinetic",NOT(Vu_khi!$AG$31))</f>
        <v/>
      </c>
      <c r="AB31" t="b">
        <v>1</v>
      </c>
      <c r="AC31">
        <f>IF(Vu_khi!$AG$31,INDEX(Bang_danh_noc!$C$2:$C$8,MIN(7,MAX(1,2-(Vu_khi!$L$31-0)+1))),INDEX(Bang_xuyen_giap!$C$2:$C$8,MIN(7,MAX(1,IF($O$31,MAX(1,2-(Vu_khi!$L$31-0)),2-(Vu_khi!$L$31-0))+1))))*IF($AA$31,INDEX(Bang_xuyen_qua!$C$2:$C$5,MIN(4,MAX(1,(Vu_khi!$L$31)-(0)-1))),1)</f>
        <v/>
      </c>
      <c r="AD31" t="n">
        <v>0.8999999999999999</v>
      </c>
      <c r="AE31">
        <f>IF(Vu_khi!$AG$31,INDEX(Bang_danh_noc!$C$2:$C$8,MIN(7,MAX(1,2-(Vu_khi!$L$31-2)+1))),INDEX(Bang_xuyen_giap!$C$2:$C$8,MIN(7,MAX(1,IF($O$31,MAX(1,2-(Vu_khi!$L$31-2)),2-(Vu_khi!$L$31-2))+1))))*IF($AA$31,INDEX(Bang_xuyen_qua!$C$2:$C$5,MIN(4,MAX(1,(Vu_khi!$L$31)-(2)-1))),1)</f>
        <v/>
      </c>
      <c r="AF31" t="n">
        <v>1.14</v>
      </c>
      <c r="AG31">
        <f>IF(Vu_khi!$AG$31,INDEX(Bang_danh_noc!$C$2:$C$8,MIN(7,MAX(1,2-(Vu_khi!$L$31-4)+1))),INDEX(Bang_xuyen_giap!$C$2:$C$8,MIN(7,MAX(1,IF($O$31,MAX(1,2-(Vu_khi!$L$31-4)),2-(Vu_khi!$L$31-4))+1))))*IF($AA$31,INDEX(Bang_xuyen_qua!$C$2:$C$5,MIN(4,MAX(1,(Vu_khi!$L$31)-(4)-1))),1)</f>
        <v/>
      </c>
      <c r="AH31" t="n">
        <v>1</v>
      </c>
      <c r="AI31">
        <f>INDEX(Bang_xuyen_giap!$C$2:$C$8,MIN(7,MAX(1,MAX(1,2-(Vu_khi!$L$31-0))+1)))*IF($AA$31,INDEX(Bang_xuyen_qua!$C$2:$C$5,MIN(4,MAX(1,(Vu_khi!$L$31)-(0)-1))),1)</f>
        <v/>
      </c>
      <c r="AJ31" t="n">
        <v>0.75</v>
      </c>
      <c r="AK31">
        <f>IF($Q$31,$M$31*$AC$31*$U$31,0)</f>
        <v/>
      </c>
      <c r="AL31" t="n">
        <v>187.2</v>
      </c>
      <c r="AM31">
        <f>IF($Q$31,$M$31*$AE$31*$U$31,0)</f>
        <v/>
      </c>
      <c r="AN31" t="n">
        <v>237.12</v>
      </c>
      <c r="AO31">
        <f>IF($Q$31,$M$31*$AG$31*$U$31,0)</f>
        <v/>
      </c>
      <c r="AP31" t="n">
        <v>208</v>
      </c>
      <c r="AQ31">
        <f>IF($Q$31,$M$31*$AE$31*$Y$31,0)</f>
        <v/>
      </c>
      <c r="AR31" t="n">
        <v>138.32</v>
      </c>
      <c r="AS31">
        <f>IF($S$31,$M$31*$AI$31*$W$31,0)</f>
        <v/>
      </c>
      <c r="AT31" t="n">
        <v>0</v>
      </c>
      <c r="AU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V31" t="b">
        <v>0</v>
      </c>
      <c r="AW31">
        <f>IF(AND($B$31&lt;0,$AU$31),4,$B$31)</f>
        <v/>
      </c>
      <c r="AX31" t="n">
        <v>0</v>
      </c>
      <c r="AY31">
        <f>IF($AW$31&lt;4,0,MIN(MAX(0.5,Canh_bao_vong!$D$4),MAX(IF(Vu_khi!$C$31="cal_406",Canh_bao_vong!$D$7,IF($AW$31&gt;=5,Canh_bao_vong!$D$9,Canh_bao_vong!$D$8)),Canh_bao_vong!$D$2+MAX(0,Vu_khi!$X$31)/MAX(0.1,Canh_bao_vong!$D$5))))</f>
        <v/>
      </c>
      <c r="AZ31" t="n">
        <v>0</v>
      </c>
      <c r="BA31" t="inlineStr"/>
      <c r="BB31" t="inlineStr">
        <is>
          <t>ok</t>
        </is>
      </c>
      <c r="BC31" t="b">
        <v>1</v>
      </c>
      <c r="BD31" t="n">
        <v>400</v>
      </c>
      <c r="BE31" t="n">
        <v>520</v>
      </c>
      <c r="BF31" t="n">
        <v>0.004</v>
      </c>
      <c r="BG31" t="n">
        <v>0.008999999999999999</v>
      </c>
      <c r="BH31" t="n">
        <v>0.018</v>
      </c>
      <c r="BI31" t="n">
        <v>0.013</v>
      </c>
      <c r="BJ31" t="inlineStr">
        <is>
          <t>BEAM_OR_MELEE</t>
        </is>
      </c>
      <c r="BK31" t="inlineStr">
        <is>
          <t>ok</t>
        </is>
      </c>
      <c r="BL31" t="inlineStr">
        <is>
          <t>own line</t>
        </is>
      </c>
      <c r="BM31" t="inlineStr"/>
      <c r="BN31" t="inlineStr">
        <is>
          <t>Assets/MachineBrigade/Resources/Data/balance.json: weapons[id=borer_drill] (lớp B trên 01_chien_dau/Vu_khi)</t>
        </is>
      </c>
      <c r="BO31" t="inlineStr"/>
    </row>
    <row r="32">
      <c r="A32" t="inlineStr">
        <is>
          <t>boss_flak</t>
        </is>
      </c>
      <c r="B32" t="n">
        <v>1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41</v>
      </c>
      <c r="G32">
        <f>IF(Vu_khi!$S$32&gt;0,(Vu_khi!$S$32-1)*Vu_khi!$R$32+Vu_khi!$T$32,Vu_khi!$R$32+(Vu_khi!$P$32-1)*Vu_khi!$Q$32)</f>
        <v/>
      </c>
      <c r="H32" t="n">
        <v>5.38</v>
      </c>
      <c r="I32">
        <f>Vu_khi!$W$32*MAX(1,$E$32)</f>
        <v/>
      </c>
      <c r="J32" t="n">
        <v>1025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190.5204460966543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0.45</v>
      </c>
      <c r="W32">
        <f>INDEX(Bang_sat_thuong!$C$2:$C$7,MATCH(Vu_khi!$K$32,Bang_sat_thuong!$A$2:$A$7,0))</f>
        <v/>
      </c>
      <c r="X32" t="n">
        <v>1.35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0.1</v>
      </c>
      <c r="AA32">
        <f>AND(Vu_khi!$K$32="Kinetic",NOT(Vu_khi!$AG$32))</f>
        <v/>
      </c>
      <c r="AB32" t="b">
        <v>0</v>
      </c>
      <c r="AC32">
        <f>IF(Vu_khi!$AG$32,INDEX(Bang_danh_noc!$C$2:$C$8,MIN(7,MAX(1,2-(Vu_khi!$L$32-0)+1))),INDEX(Bang_xuyen_giap!$C$2:$C$8,MIN(7,MAX(1,IF($O$32,MAX(1,2-(Vu_khi!$L$32-0)),2-(Vu_khi!$L$32-0))+1))))*IF($AA$32,INDEX(Bang_xuyen_qua!$C$2:$C$5,MIN(4,MAX(1,(Vu_khi!$L$32)-(0)-1))),1)</f>
        <v/>
      </c>
      <c r="AD32" t="n">
        <v>1.2</v>
      </c>
      <c r="AE32">
        <f>IF(Vu_khi!$AG$32,INDEX(Bang_danh_noc!$C$2:$C$8,MIN(7,MAX(1,2-(Vu_khi!$L$32-2)+1))),INDEX(Bang_xuyen_giap!$C$2:$C$8,MIN(7,MAX(1,IF($O$32,MAX(1,2-(Vu_khi!$L$32-2)),2-(Vu_khi!$L$32-2))+1))))*IF($AA$32,INDEX(Bang_xuyen_qua!$C$2:$C$5,MIN(4,MAX(1,(Vu_khi!$L$32)-(2)-1))),1)</f>
        <v/>
      </c>
      <c r="AF32" t="n">
        <v>0.85</v>
      </c>
      <c r="AG32">
        <f>IF(Vu_khi!$AG$32,INDEX(Bang_danh_noc!$C$2:$C$8,MIN(7,MAX(1,2-(Vu_khi!$L$32-4)+1))),INDEX(Bang_xuyen_giap!$C$2:$C$8,MIN(7,MAX(1,IF($O$32,MAX(1,2-(Vu_khi!$L$32-4)),2-(Vu_khi!$L$32-4))+1))))*IF($AA$32,INDEX(Bang_xuyen_qua!$C$2:$C$5,MIN(4,MAX(1,(Vu_khi!$L$32)-(4)-1))),1)</f>
        <v/>
      </c>
      <c r="AH32" t="n">
        <v>0.4</v>
      </c>
      <c r="AI32">
        <f>INDEX(Bang_xuyen_giap!$C$2:$C$8,MIN(7,MAX(1,MAX(1,2-(Vu_khi!$L$32-0))+1)))*IF($AA$32,INDEX(Bang_xuyen_qua!$C$2:$C$5,MIN(4,MAX(1,(Vu_khi!$L$32)-(0)-1))),1)</f>
        <v/>
      </c>
      <c r="AJ32" t="n">
        <v>1</v>
      </c>
      <c r="AK32">
        <f>IF($Q$32,$M$32*$AC$32*$U$32,0)</f>
        <v/>
      </c>
      <c r="AL32" t="n">
        <v>102.8810408921933</v>
      </c>
      <c r="AM32">
        <f>IF($Q$32,$M$32*$AE$32*$U$32,0)</f>
        <v/>
      </c>
      <c r="AN32" t="n">
        <v>72.87407063197026</v>
      </c>
      <c r="AO32">
        <f>IF($Q$32,$M$32*$AG$32*$U$32,0)</f>
        <v/>
      </c>
      <c r="AP32" t="n">
        <v>34.29368029739777</v>
      </c>
      <c r="AQ32">
        <f>IF($Q$32,$M$32*$AE$32*$Y$32,0)</f>
        <v/>
      </c>
      <c r="AR32" t="n">
        <v>16.19423791821561</v>
      </c>
      <c r="AS32">
        <f>IF($S$32,$M$32*$AI$32*$W$32,0)</f>
        <v/>
      </c>
      <c r="AT32" t="n">
        <v>257.2026022304833</v>
      </c>
      <c r="AU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V32" t="b">
        <v>0</v>
      </c>
      <c r="AW32">
        <f>IF(AND($B$32&lt;0,$AU$32),4,$B$32)</f>
        <v/>
      </c>
      <c r="AX32" t="n">
        <v>1</v>
      </c>
      <c r="AY32">
        <f>IF($AW$32&lt;4,0,MIN(MAX(0.5,Canh_bao_vong!$D$4),MAX(IF(Vu_khi!$C$32="cal_406",Canh_bao_vong!$D$7,IF($AW$32&gt;=5,Canh_bao_vong!$D$9,Canh_bao_vong!$D$8)),Canh_bao_vong!$D$2+MAX(0,Vu_khi!$X$32)/MAX(0.1,Canh_bao_vong!$D$5))))</f>
        <v/>
      </c>
      <c r="AZ32" t="n">
        <v>0</v>
      </c>
      <c r="BA32" t="n">
        <v>2.405691</v>
      </c>
      <c r="BB32" t="inlineStr">
        <is>
          <t>ok</t>
        </is>
      </c>
      <c r="BC32" t="b">
        <v>1</v>
      </c>
      <c r="BD32" t="n">
        <v>260</v>
      </c>
      <c r="BE32" t="n">
        <v>338</v>
      </c>
      <c r="BF32" t="n">
        <v>0.038</v>
      </c>
      <c r="BG32" t="n">
        <v>0.077</v>
      </c>
      <c r="BH32" t="n">
        <v>0.154</v>
      </c>
      <c r="BI32" t="n">
        <v>0.118</v>
      </c>
      <c r="BJ32" t="inlineStr">
        <is>
          <t>DIRECT_BULLET</t>
        </is>
      </c>
      <c r="BK32" t="inlineStr">
        <is>
          <t>ok</t>
        </is>
      </c>
      <c r="BL32" t="inlineStr">
        <is>
          <t>family oerlikon_35_mm</t>
        </is>
      </c>
      <c r="BM32" t="inlineStr"/>
      <c r="BN32" t="inlineStr">
        <is>
          <t>Assets/MachineBrigade/Resources/Data/balance.json: weapons[id=boss_flak] (lớp B trên 01_chien_dau/Vu_khi)</t>
        </is>
      </c>
      <c r="BO32" t="inlineStr"/>
    </row>
    <row r="33">
      <c r="A33" t="inlineStr">
        <is>
          <t>boss_flak_ap</t>
        </is>
      </c>
      <c r="B33" t="n">
        <v>1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41</v>
      </c>
      <c r="G33">
        <f>IF(Vu_khi!$S$33&gt;0,(Vu_khi!$S$33-1)*Vu_khi!$R$33+Vu_khi!$T$33,Vu_khi!$R$33+(Vu_khi!$P$33-1)*Vu_khi!$Q$33)</f>
        <v/>
      </c>
      <c r="H33" t="n">
        <v>5.38</v>
      </c>
      <c r="I33">
        <f>Vu_khi!$W$33*MAX(1,$E$33)</f>
        <v/>
      </c>
      <c r="J33" t="n">
        <v>1025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190.5204460966543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0</v>
      </c>
      <c r="U33">
        <f>INDEX(Bang_sat_thuong!$B$2:$B$7,MATCH(Vu_khi!$K$33,Bang_sat_thuong!$A$2:$A$7,0))</f>
        <v/>
      </c>
      <c r="V33" t="n">
        <v>1.2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0.7</v>
      </c>
      <c r="AA33">
        <f>AND(Vu_khi!$K$33="Kinetic",NOT(Vu_khi!$AG$33))</f>
        <v/>
      </c>
      <c r="AB33" t="b">
        <v>1</v>
      </c>
      <c r="AC33">
        <f>IF(Vu_khi!$AG$33,INDEX(Bang_danh_noc!$C$2:$C$8,MIN(7,MAX(1,2-(Vu_khi!$L$33-0)+1))),INDEX(Bang_xuyen_giap!$C$2:$C$8,MIN(7,MAX(1,IF($O$33,MAX(1,2-(Vu_khi!$L$33-0)),2-(Vu_khi!$L$33-0))+1))))*IF($AA$33,INDEX(Bang_xuyen_qua!$C$2:$C$5,MIN(4,MAX(1,(Vu_khi!$L$33)-(0)-1))),1)</f>
        <v/>
      </c>
      <c r="AD33" t="n">
        <v>1.2</v>
      </c>
      <c r="AE33">
        <f>IF(Vu_khi!$AG$33,INDEX(Bang_danh_noc!$C$2:$C$8,MIN(7,MAX(1,2-(Vu_khi!$L$33-2)+1))),INDEX(Bang_xuyen_giap!$C$2:$C$8,MIN(7,MAX(1,IF($O$33,MAX(1,2-(Vu_khi!$L$33-2)),2-(Vu_khi!$L$33-2))+1))))*IF($AA$33,INDEX(Bang_xuyen_qua!$C$2:$C$5,MIN(4,MAX(1,(Vu_khi!$L$33)-(2)-1))),1)</f>
        <v/>
      </c>
      <c r="AF33" t="n">
        <v>0.85</v>
      </c>
      <c r="AG33">
        <f>IF(Vu_khi!$AG$33,INDEX(Bang_danh_noc!$C$2:$C$8,MIN(7,MAX(1,2-(Vu_khi!$L$33-4)+1))),INDEX(Bang_xuyen_giap!$C$2:$C$8,MIN(7,MAX(1,IF($O$33,MAX(1,2-(Vu_khi!$L$33-4)),2-(Vu_khi!$L$33-4))+1))))*IF($AA$33,INDEX(Bang_xuyen_qua!$C$2:$C$5,MIN(4,MAX(1,(Vu_khi!$L$33)-(4)-1))),1)</f>
        <v/>
      </c>
      <c r="AH33" t="n">
        <v>0.4</v>
      </c>
      <c r="AI33">
        <f>INDEX(Bang_xuyen_giap!$C$2:$C$8,MIN(7,MAX(1,MAX(1,2-(Vu_khi!$L$33-0))+1)))*IF($AA$33,INDEX(Bang_xuyen_qua!$C$2:$C$5,MIN(4,MAX(1,(Vu_khi!$L$33)-(0)-1))),1)</f>
        <v/>
      </c>
      <c r="AJ33" t="n">
        <v>1</v>
      </c>
      <c r="AK33">
        <f>IF($Q$33,$M$33*$AC$33*$U$33,0)</f>
        <v/>
      </c>
      <c r="AL33" t="n">
        <v>274.3494423791822</v>
      </c>
      <c r="AM33">
        <f>IF($Q$33,$M$33*$AE$33*$U$33,0)</f>
        <v/>
      </c>
      <c r="AN33" t="n">
        <v>194.3308550185874</v>
      </c>
      <c r="AO33">
        <f>IF($Q$33,$M$33*$AG$33*$U$33,0)</f>
        <v/>
      </c>
      <c r="AP33" t="n">
        <v>91.44981412639405</v>
      </c>
      <c r="AQ33">
        <f>IF($Q$33,$M$33*$AE$33*$Y$33,0)</f>
        <v/>
      </c>
      <c r="AR33" t="n">
        <v>113.3596654275093</v>
      </c>
      <c r="AS33">
        <f>IF($S$33,$M$33*$AI$33*$W$33,0)</f>
        <v/>
      </c>
      <c r="AT33" t="n">
        <v>0</v>
      </c>
      <c r="AU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V33" t="b">
        <v>0</v>
      </c>
      <c r="AW33">
        <f>IF(AND($B$33&lt;0,$AU$33),4,$B$33)</f>
        <v/>
      </c>
      <c r="AX33" t="n">
        <v>1</v>
      </c>
      <c r="AY33">
        <f>IF($AW$33&lt;4,0,MIN(MAX(0.5,Canh_bao_vong!$D$4),MAX(IF(Vu_khi!$C$33="cal_406",Canh_bao_vong!$D$7,IF($AW$33&gt;=5,Canh_bao_vong!$D$9,Canh_bao_vong!$D$8)),Canh_bao_vong!$D$2+MAX(0,Vu_khi!$X$33)/MAX(0.1,Canh_bao_vong!$D$5))))</f>
        <v/>
      </c>
      <c r="AZ33" t="n">
        <v>0</v>
      </c>
      <c r="BD33" t="n">
        <v>260</v>
      </c>
      <c r="BE33" t="n">
        <v>338</v>
      </c>
      <c r="BF33" t="n">
        <v>0.038</v>
      </c>
      <c r="BG33" t="n">
        <v>0.077</v>
      </c>
      <c r="BH33" t="n">
        <v>0.154</v>
      </c>
      <c r="BI33" t="n">
        <v>0.118</v>
      </c>
      <c r="BJ33" t="inlineStr">
        <is>
          <t>DIRECT_BULLET</t>
        </is>
      </c>
      <c r="BK33" t="inlineStr">
        <is>
          <t>ok</t>
        </is>
      </c>
      <c r="BL33" t="inlineStr">
        <is>
          <t>family oerlikon_35_mm_ap</t>
        </is>
      </c>
      <c r="BM33" t="inlineStr"/>
      <c r="BN33" t="inlineStr">
        <is>
          <t>Assets/MachineBrigade/Resources/Data/balance.json: weapons[id=boss_flak_ap] (lớp B trên 01_chien_dau/Vu_khi)</t>
        </is>
      </c>
      <c r="BO33" t="inlineStr"/>
    </row>
    <row r="34">
      <c r="A34" t="inlineStr">
        <is>
          <t>boss_flamer</t>
        </is>
      </c>
      <c r="B34" t="n">
        <v>1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0.25</v>
      </c>
      <c r="I34">
        <f>Vu_khi!$W$34*MAX(1,$E$34)</f>
        <v/>
      </c>
      <c r="J34" t="n">
        <v>30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1.35</v>
      </c>
      <c r="W34">
        <f>INDEX(Bang_sat_thuong!$C$2:$C$7,MATCH(Vu_khi!$K$34,Bang_sat_thuong!$A$2:$A$7,0))</f>
        <v/>
      </c>
      <c r="X34" t="n">
        <v>0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1.1</v>
      </c>
      <c r="AA34">
        <f>AND(Vu_khi!$K$34="Kinetic",NOT(Vu_khi!$AG$34))</f>
        <v/>
      </c>
      <c r="AB34" t="b">
        <v>0</v>
      </c>
      <c r="AC34">
        <f>IF(Vu_khi!$AG$34,INDEX(Bang_danh_noc!$C$2:$C$8,MIN(7,MAX(1,2-(Vu_khi!$L$34-0)+1))),INDEX(Bang_xuyen_giap!$C$2:$C$8,MIN(7,MAX(1,IF($O$34,MAX(1,2-(Vu_khi!$L$34-0)),2-(Vu_khi!$L$34-0))+1))))*IF($AA$34,INDEX(Bang_xuyen_qua!$C$2:$C$5,MIN(4,MAX(1,(Vu_khi!$L$34)-(0)-1))),1)</f>
        <v/>
      </c>
      <c r="AD34" t="n">
        <v>1.2</v>
      </c>
      <c r="AE34">
        <f>IF(Vu_khi!$AG$34,INDEX(Bang_danh_noc!$C$2:$C$8,MIN(7,MAX(1,2-(Vu_khi!$L$34-2)+1))),INDEX(Bang_xuyen_giap!$C$2:$C$8,MIN(7,MAX(1,IF($O$34,MAX(1,2-(Vu_khi!$L$34-2)),2-(Vu_khi!$L$34-2))+1))))*IF($AA$34,INDEX(Bang_xuyen_qua!$C$2:$C$5,MIN(4,MAX(1,(Vu_khi!$L$34)-(2)-1))),1)</f>
        <v/>
      </c>
      <c r="AF34" t="n">
        <v>0.85</v>
      </c>
      <c r="AG34">
        <f>IF(Vu_khi!$AG$34,INDEX(Bang_danh_noc!$C$2:$C$8,MIN(7,MAX(1,2-(Vu_khi!$L$34-4)+1))),INDEX(Bang_xuyen_giap!$C$2:$C$8,MIN(7,MAX(1,IF($O$34,MAX(1,2-(Vu_khi!$L$34-4)),2-(Vu_khi!$L$34-4))+1))))*IF($AA$34,INDEX(Bang_xuyen_qua!$C$2:$C$5,MIN(4,MAX(1,(Vu_khi!$L$34)-(4)-1))),1)</f>
        <v/>
      </c>
      <c r="AH34" t="n">
        <v>0.4</v>
      </c>
      <c r="AI34">
        <f>INDEX(Bang_xuyen_giap!$C$2:$C$8,MIN(7,MAX(1,MAX(1,2-(Vu_khi!$L$34-0))+1)))*IF($AA$34,INDEX(Bang_xuyen_qua!$C$2:$C$5,MIN(4,MAX(1,(Vu_khi!$L$34)-(0)-1))),1)</f>
        <v/>
      </c>
      <c r="AJ34" t="n">
        <v>1</v>
      </c>
      <c r="AK34">
        <f>IF($Q$34,$M$34*$AC$34*$U$34,0)</f>
        <v/>
      </c>
      <c r="AL34" t="n">
        <v>194.4</v>
      </c>
      <c r="AM34">
        <f>IF($Q$34,$M$34*$AE$34*$U$34,0)</f>
        <v/>
      </c>
      <c r="AN34" t="n">
        <v>137.7</v>
      </c>
      <c r="AO34">
        <f>IF($Q$34,$M$34*$AG$34*$U$34,0)</f>
        <v/>
      </c>
      <c r="AP34" t="n">
        <v>64.80000000000001</v>
      </c>
      <c r="AQ34">
        <f>IF($Q$34,$M$34*$AE$34*$Y$34,0)</f>
        <v/>
      </c>
      <c r="AR34" t="n">
        <v>112.2</v>
      </c>
      <c r="AS34">
        <f>IF($S$34,$M$34*$AI$34*$W$34,0)</f>
        <v/>
      </c>
      <c r="AT34" t="n">
        <v>0</v>
      </c>
      <c r="AU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V34" t="b">
        <v>0</v>
      </c>
      <c r="AW34">
        <f>IF(AND($B$34&lt;0,$AU$34),4,$B$34)</f>
        <v/>
      </c>
      <c r="AX34" t="n">
        <v>1</v>
      </c>
      <c r="AY34">
        <f>IF($AW$34&lt;4,0,MIN(MAX(0.5,Canh_bao_vong!$D$4),MAX(IF(Vu_khi!$C$34="cal_406",Canh_bao_vong!$D$7,IF($AW$34&gt;=5,Canh_bao_vong!$D$9,Canh_bao_vong!$D$8)),Canh_bao_vong!$D$2+MAX(0,Vu_khi!$X$34)/MAX(0.1,Canh_bao_vong!$D$5))))</f>
        <v/>
      </c>
      <c r="AZ34" t="n">
        <v>0</v>
      </c>
      <c r="BA34" t="inlineStr"/>
      <c r="BB34" t="inlineStr">
        <is>
          <t>ok</t>
        </is>
      </c>
      <c r="BC34" t="b">
        <v>1</v>
      </c>
      <c r="BD34" t="n">
        <v>38</v>
      </c>
      <c r="BE34" t="n">
        <v>49.4</v>
      </c>
      <c r="BF34" t="n">
        <v>0.132</v>
      </c>
      <c r="BG34" t="n">
        <v>0.263</v>
      </c>
      <c r="BH34" t="n">
        <v>0.526</v>
      </c>
      <c r="BI34" t="n">
        <v>0.405</v>
      </c>
      <c r="BJ34" t="inlineStr">
        <is>
          <t>BEAM_OR_MELEE</t>
        </is>
      </c>
      <c r="BK34" t="inlineStr">
        <is>
          <t>ok</t>
        </is>
      </c>
      <c r="BL34" t="inlineStr">
        <is>
          <t>own line</t>
        </is>
      </c>
      <c r="BM34" t="inlineStr"/>
      <c r="BN34" t="inlineStr">
        <is>
          <t>Assets/MachineBrigade/Resources/Data/balance.json: weapons[id=boss_flamer] (lớp B trên 01_chien_dau/Vu_khi)</t>
        </is>
      </c>
      <c r="BO34" t="inlineStr"/>
    </row>
    <row r="35">
      <c r="A35" t="inlineStr">
        <is>
          <t>boss_heli_gun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40</v>
      </c>
      <c r="G35">
        <f>IF(Vu_khi!$S$35&gt;0,(Vu_khi!$S$35-1)*Vu_khi!$R$35+Vu_khi!$T$35,Vu_khi!$R$35+(Vu_khi!$P$35-1)*Vu_khi!$Q$35)</f>
        <v/>
      </c>
      <c r="H35" t="n">
        <v>9.668299999999999</v>
      </c>
      <c r="I35">
        <f>Vu_khi!$W$35*MAX(1,$E$35)</f>
        <v/>
      </c>
      <c r="J35" t="n">
        <v>880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91.01910366869048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1</v>
      </c>
      <c r="U35">
        <f>INDEX(Bang_sat_thuong!$B$2:$B$7,MATCH(Vu_khi!$K$35,Bang_sat_thuong!$A$2:$A$7,0))</f>
        <v/>
      </c>
      <c r="V35" t="n">
        <v>1.2</v>
      </c>
      <c r="W35">
        <f>INDEX(Bang_sat_thuong!$C$2:$C$7,MATCH(Vu_khi!$K$35,Bang_sat_thuong!$A$2:$A$7,0))</f>
        <v/>
      </c>
      <c r="X35" t="n">
        <v>0.3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0.7</v>
      </c>
      <c r="AA35">
        <f>AND(Vu_khi!$K$35="Kinetic",NOT(Vu_khi!$AG$35))</f>
        <v/>
      </c>
      <c r="AB35" t="b">
        <v>1</v>
      </c>
      <c r="AC35">
        <f>IF(Vu_khi!$AG$35,INDEX(Bang_danh_noc!$C$2:$C$8,MIN(7,MAX(1,2-(Vu_khi!$L$35-0)+1))),INDEX(Bang_xuyen_giap!$C$2:$C$8,MIN(7,MAX(1,IF($O$35,MAX(1,2-(Vu_khi!$L$35-0)),2-(Vu_khi!$L$35-0))+1))))*IF($AA$35,INDEX(Bang_xuyen_qua!$C$2:$C$5,MIN(4,MAX(1,(Vu_khi!$L$35)-(0)-1))),1)</f>
        <v/>
      </c>
      <c r="AD35" t="n">
        <v>1.2</v>
      </c>
      <c r="AE35">
        <f>IF(Vu_khi!$AG$35,INDEX(Bang_danh_noc!$C$2:$C$8,MIN(7,MAX(1,2-(Vu_khi!$L$35-2)+1))),INDEX(Bang_xuyen_giap!$C$2:$C$8,MIN(7,MAX(1,IF($O$35,MAX(1,2-(Vu_khi!$L$35-2)),2-(Vu_khi!$L$35-2))+1))))*IF($AA$35,INDEX(Bang_xuyen_qua!$C$2:$C$5,MIN(4,MAX(1,(Vu_khi!$L$35)-(2)-1))),1)</f>
        <v/>
      </c>
      <c r="AF35" t="n">
        <v>0.85</v>
      </c>
      <c r="AG35">
        <f>IF(Vu_khi!$AG$35,INDEX(Bang_danh_noc!$C$2:$C$8,MIN(7,MAX(1,2-(Vu_khi!$L$35-4)+1))),INDEX(Bang_xuyen_giap!$C$2:$C$8,MIN(7,MAX(1,IF($O$35,MAX(1,2-(Vu_khi!$L$35-4)),2-(Vu_khi!$L$35-4))+1))))*IF($AA$35,INDEX(Bang_xuyen_qua!$C$2:$C$5,MIN(4,MAX(1,(Vu_khi!$L$35)-(4)-1))),1)</f>
        <v/>
      </c>
      <c r="AH35" t="n">
        <v>0.4</v>
      </c>
      <c r="AI35">
        <f>INDEX(Bang_xuyen_giap!$C$2:$C$8,MIN(7,MAX(1,MAX(1,2-(Vu_khi!$L$35-0))+1)))*IF($AA$35,INDEX(Bang_xuyen_qua!$C$2:$C$5,MIN(4,MAX(1,(Vu_khi!$L$35)-(0)-1))),1)</f>
        <v/>
      </c>
      <c r="AJ35" t="n">
        <v>1</v>
      </c>
      <c r="AK35">
        <f>IF($Q$35,$M$35*$AC$35*$U$35,0)</f>
        <v/>
      </c>
      <c r="AL35" t="n">
        <v>131.0675092829143</v>
      </c>
      <c r="AM35">
        <f>IF($Q$35,$M$35*$AE$35*$U$35,0)</f>
        <v/>
      </c>
      <c r="AN35" t="n">
        <v>92.83948574206428</v>
      </c>
      <c r="AO35">
        <f>IF($Q$35,$M$35*$AG$35*$U$35,0)</f>
        <v/>
      </c>
      <c r="AP35" t="n">
        <v>43.68916976097142</v>
      </c>
      <c r="AQ35">
        <f>IF($Q$35,$M$35*$AE$35*$Y$35,0)</f>
        <v/>
      </c>
      <c r="AR35" t="n">
        <v>54.15636668287083</v>
      </c>
      <c r="AS35">
        <f>IF($S$35,$M$35*$AI$35*$W$35,0)</f>
        <v/>
      </c>
      <c r="AT35" t="n">
        <v>27.30573110060714</v>
      </c>
      <c r="AU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V35" t="b">
        <v>0</v>
      </c>
      <c r="AW35">
        <f>IF(AND($B$35&lt;0,$AU$35),4,$B$35)</f>
        <v/>
      </c>
      <c r="AX35" t="n">
        <v>1</v>
      </c>
      <c r="AY35">
        <f>IF($AW$35&lt;4,0,MIN(MAX(0.5,Canh_bao_vong!$D$4),MAX(IF(Vu_khi!$C$35="cal_406",Canh_bao_vong!$D$7,IF($AW$35&gt;=5,Canh_bao_vong!$D$9,Canh_bao_vong!$D$8)),Canh_bao_vong!$D$2+MAX(0,Vu_khi!$X$35)/MAX(0.1,Canh_bao_vong!$D$5))))</f>
        <v/>
      </c>
      <c r="AZ35" t="n">
        <v>0</v>
      </c>
      <c r="BA35" t="n">
        <v>2.517786</v>
      </c>
      <c r="BB35" t="inlineStr">
        <is>
          <t>ok</t>
        </is>
      </c>
      <c r="BC35" t="b">
        <v>1</v>
      </c>
      <c r="BD35" t="n">
        <v>200</v>
      </c>
      <c r="BE35" t="n">
        <v>260</v>
      </c>
      <c r="BF35" t="n">
        <v>0.033</v>
      </c>
      <c r="BG35" t="n">
        <v>0.065</v>
      </c>
      <c r="BH35" t="n">
        <v>0.13</v>
      </c>
      <c r="BI35" t="n">
        <v>0.1</v>
      </c>
      <c r="BJ35" t="inlineStr">
        <is>
          <t>DIRECT_BULLET</t>
        </is>
      </c>
      <c r="BK35" t="inlineStr">
        <is>
          <t>ok</t>
        </is>
      </c>
      <c r="BL35" t="inlineStr">
        <is>
          <t>own line (over heli_gun)</t>
        </is>
      </c>
      <c r="BM35" t="inlineStr"/>
      <c r="BN35" t="inlineStr">
        <is>
          <t>Assets/MachineBrigade/Resources/Data/balance.json: weapons[id=boss_heli_gun] (lớp B trên 01_chien_dau/Vu_khi)</t>
        </is>
      </c>
      <c r="BO35" t="inlineStr"/>
    </row>
    <row r="36">
      <c r="A36" t="inlineStr">
        <is>
          <t>boss_heli_gun_flak</t>
        </is>
      </c>
      <c r="B36" t="n">
        <v>1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40</v>
      </c>
      <c r="G36">
        <f>IF(Vu_khi!$S$36&gt;0,(Vu_khi!$S$36-1)*Vu_khi!$R$36+Vu_khi!$T$36,Vu_khi!$R$36+(Vu_khi!$P$36-1)*Vu_khi!$Q$36)</f>
        <v/>
      </c>
      <c r="H36" t="n">
        <v>9.668299999999999</v>
      </c>
      <c r="I36">
        <f>Vu_khi!$W$36*MAX(1,$E$36)</f>
        <v/>
      </c>
      <c r="J36" t="n">
        <v>880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91.01910366869048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0</v>
      </c>
      <c r="S36">
        <f>AND(NOT(Vu_khi!$AJ$36),OR(Vu_khi!$AC$36="Air",Vu_khi!$AC$36="All"))</f>
        <v/>
      </c>
      <c r="T36" t="b">
        <v>1</v>
      </c>
      <c r="U36">
        <f>INDEX(Bang_sat_thuong!$B$2:$B$7,MATCH(Vu_khi!$K$36,Bang_sat_thuong!$A$2:$A$7,0))</f>
        <v/>
      </c>
      <c r="V36" t="n">
        <v>0.45</v>
      </c>
      <c r="W36">
        <f>INDEX(Bang_sat_thuong!$C$2:$C$7,MATCH(Vu_khi!$K$36,Bang_sat_thuong!$A$2:$A$7,0))</f>
        <v/>
      </c>
      <c r="X36" t="n">
        <v>1.35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0.1</v>
      </c>
      <c r="AA36">
        <f>AND(Vu_khi!$K$36="Kinetic",NOT(Vu_khi!$AG$36))</f>
        <v/>
      </c>
      <c r="AB36" t="b">
        <v>0</v>
      </c>
      <c r="AC36">
        <f>IF(Vu_khi!$AG$36,INDEX(Bang_danh_noc!$C$2:$C$8,MIN(7,MAX(1,2-(Vu_khi!$L$36-0)+1))),INDEX(Bang_xuyen_giap!$C$2:$C$8,MIN(7,MAX(1,IF($O$36,MAX(1,2-(Vu_khi!$L$36-0)),2-(Vu_khi!$L$36-0))+1))))*IF($AA$36,INDEX(Bang_xuyen_qua!$C$2:$C$5,MIN(4,MAX(1,(Vu_khi!$L$36)-(0)-1))),1)</f>
        <v/>
      </c>
      <c r="AD36" t="n">
        <v>1.2</v>
      </c>
      <c r="AE36">
        <f>IF(Vu_khi!$AG$36,INDEX(Bang_danh_noc!$C$2:$C$8,MIN(7,MAX(1,2-(Vu_khi!$L$36-2)+1))),INDEX(Bang_xuyen_giap!$C$2:$C$8,MIN(7,MAX(1,IF($O$36,MAX(1,2-(Vu_khi!$L$36-2)),2-(Vu_khi!$L$36-2))+1))))*IF($AA$36,INDEX(Bang_xuyen_qua!$C$2:$C$5,MIN(4,MAX(1,(Vu_khi!$L$36)-(2)-1))),1)</f>
        <v/>
      </c>
      <c r="AF36" t="n">
        <v>0.85</v>
      </c>
      <c r="AG36">
        <f>IF(Vu_khi!$AG$36,INDEX(Bang_danh_noc!$C$2:$C$8,MIN(7,MAX(1,2-(Vu_khi!$L$36-4)+1))),INDEX(Bang_xuyen_giap!$C$2:$C$8,MIN(7,MAX(1,IF($O$36,MAX(1,2-(Vu_khi!$L$36-4)),2-(Vu_khi!$L$36-4))+1))))*IF($AA$36,INDEX(Bang_xuyen_qua!$C$2:$C$5,MIN(4,MAX(1,(Vu_khi!$L$36)-(4)-1))),1)</f>
        <v/>
      </c>
      <c r="AH36" t="n">
        <v>0.4</v>
      </c>
      <c r="AI36">
        <f>INDEX(Bang_xuyen_giap!$C$2:$C$8,MIN(7,MAX(1,MAX(1,2-(Vu_khi!$L$36-0))+1)))*IF($AA$36,INDEX(Bang_xuyen_qua!$C$2:$C$5,MIN(4,MAX(1,(Vu_khi!$L$36)-(0)-1))),1)</f>
        <v/>
      </c>
      <c r="AJ36" t="n">
        <v>1</v>
      </c>
      <c r="AK36">
        <f>IF($Q$36,$M$36*$AC$36*$U$36,0)</f>
        <v/>
      </c>
      <c r="AL36" t="n">
        <v>0</v>
      </c>
      <c r="AM36">
        <f>IF($Q$36,$M$36*$AE$36*$U$36,0)</f>
        <v/>
      </c>
      <c r="AN36" t="n">
        <v>0</v>
      </c>
      <c r="AO36">
        <f>IF($Q$36,$M$36*$AG$36*$U$36,0)</f>
        <v/>
      </c>
      <c r="AP36" t="n">
        <v>0</v>
      </c>
      <c r="AQ36">
        <f>IF($Q$36,$M$36*$AE$36*$Y$36,0)</f>
        <v/>
      </c>
      <c r="AR36" t="n">
        <v>0</v>
      </c>
      <c r="AS36">
        <f>IF($S$36,$M$36*$AI$36*$W$36,0)</f>
        <v/>
      </c>
      <c r="AT36" t="n">
        <v>122.8757899527321</v>
      </c>
      <c r="AU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V36" t="b">
        <v>0</v>
      </c>
      <c r="AW36">
        <f>IF(AND($B$36&lt;0,$AU$36),4,$B$36)</f>
        <v/>
      </c>
      <c r="AX36" t="n">
        <v>1</v>
      </c>
      <c r="AY36">
        <f>IF($AW$36&lt;4,0,MIN(MAX(0.5,Canh_bao_vong!$D$4),MAX(IF(Vu_khi!$C$36="cal_406",Canh_bao_vong!$D$7,IF($AW$36&gt;=5,Canh_bao_vong!$D$9,Canh_bao_vong!$D$8)),Canh_bao_vong!$D$2+MAX(0,Vu_khi!$X$36)/MAX(0.1,Canh_bao_vong!$D$5))))</f>
        <v/>
      </c>
      <c r="AZ36" t="n">
        <v>0</v>
      </c>
      <c r="BD36" t="n">
        <v>220</v>
      </c>
      <c r="BE36" t="n">
        <v>286</v>
      </c>
      <c r="BF36" t="n">
        <v>0.03</v>
      </c>
      <c r="BG36" t="n">
        <v>0.059</v>
      </c>
      <c r="BH36" t="n">
        <v>0.118</v>
      </c>
      <c r="BI36" t="n">
        <v>0.091</v>
      </c>
      <c r="BJ36" t="inlineStr">
        <is>
          <t>DIRECT_BULLET</t>
        </is>
      </c>
      <c r="BK36" t="inlineStr">
        <is>
          <t>ok</t>
        </is>
      </c>
      <c r="BL36" t="inlineStr">
        <is>
          <t>family m230_30_mm_air_burst</t>
        </is>
      </c>
      <c r="BM36" t="inlineStr"/>
      <c r="BN36" t="inlineStr">
        <is>
          <t>Assets/MachineBrigade/Resources/Data/balance.json: weapons[id=boss_heli_gun_flak] (lớp B trên 01_chien_dau/Vu_khi)</t>
        </is>
      </c>
      <c r="BO36" t="inlineStr"/>
    </row>
    <row r="37">
      <c r="A37" t="inlineStr">
        <is>
          <t>boss_hmg</t>
        </is>
      </c>
      <c r="B37" t="n">
        <v>0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100</v>
      </c>
      <c r="G37">
        <f>IF(Vu_khi!$S$37&gt;0,(Vu_khi!$S$37-1)*Vu_khi!$R$37+Vu_khi!$T$37,Vu_khi!$R$37+(Vu_khi!$P$37-1)*Vu_khi!$Q$37)</f>
        <v/>
      </c>
      <c r="H37" t="n">
        <v>13.2467</v>
      </c>
      <c r="I37">
        <f>Vu_khi!$W$37*MAX(1,$E$37)</f>
        <v/>
      </c>
      <c r="J37" t="n">
        <v>1500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113.235749280953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1.2</v>
      </c>
      <c r="W37">
        <f>INDEX(Bang_sat_thuong!$C$2:$C$7,MATCH(Vu_khi!$K$37,Bang_sat_thuong!$A$2:$A$7,0))</f>
        <v/>
      </c>
      <c r="X37" t="n">
        <v>0.3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0.7</v>
      </c>
      <c r="AA37">
        <f>AND(Vu_khi!$K$37="Kinetic",NOT(Vu_khi!$AG$37))</f>
        <v/>
      </c>
      <c r="AB37" t="b">
        <v>1</v>
      </c>
      <c r="AC37">
        <f>IF(Vu_khi!$AG$37,INDEX(Bang_danh_noc!$C$2:$C$8,MIN(7,MAX(1,2-(Vu_khi!$L$37-0)+1))),INDEX(Bang_xuyen_giap!$C$2:$C$8,MIN(7,MAX(1,IF($O$37,MAX(1,2-(Vu_khi!$L$37-0)),2-(Vu_khi!$L$37-0))+1))))*IF($AA$37,INDEX(Bang_xuyen_qua!$C$2:$C$5,MIN(4,MAX(1,(Vu_khi!$L$37)-(0)-1))),1)</f>
        <v/>
      </c>
      <c r="AD37" t="n">
        <v>1</v>
      </c>
      <c r="AE37">
        <f>IF(Vu_khi!$AG$37,INDEX(Bang_danh_noc!$C$2:$C$8,MIN(7,MAX(1,2-(Vu_khi!$L$37-2)+1))),INDEX(Bang_xuyen_giap!$C$2:$C$8,MIN(7,MAX(1,IF($O$37,MAX(1,2-(Vu_khi!$L$37-2)),2-(Vu_khi!$L$37-2))+1))))*IF($AA$37,INDEX(Bang_xuyen_qua!$C$2:$C$5,MIN(4,MAX(1,(Vu_khi!$L$37)-(2)-1))),1)</f>
        <v/>
      </c>
      <c r="AF37" t="n">
        <v>0.65</v>
      </c>
      <c r="AG37">
        <f>IF(Vu_khi!$AG$37,INDEX(Bang_danh_noc!$C$2:$C$8,MIN(7,MAX(1,2-(Vu_khi!$L$37-4)+1))),INDEX(Bang_xuyen_giap!$C$2:$C$8,MIN(7,MAX(1,IF($O$37,MAX(1,2-(Vu_khi!$L$37-4)),2-(Vu_khi!$L$37-4))+1))))*IF($AA$37,INDEX(Bang_xuyen_qua!$C$2:$C$5,MIN(4,MAX(1,(Vu_khi!$L$37)-(4)-1))),1)</f>
        <v/>
      </c>
      <c r="AH37" t="n">
        <v>0.15</v>
      </c>
      <c r="AI37">
        <f>INDEX(Bang_xuyen_giap!$C$2:$C$8,MIN(7,MAX(1,MAX(1,2-(Vu_khi!$L$37-0))+1)))*IF($AA$37,INDEX(Bang_xuyen_qua!$C$2:$C$5,MIN(4,MAX(1,(Vu_khi!$L$37)-(0)-1))),1)</f>
        <v/>
      </c>
      <c r="AJ37" t="n">
        <v>1</v>
      </c>
      <c r="AK37">
        <f>IF($Q$37,$M$37*$AC$37*$U$37,0)</f>
        <v/>
      </c>
      <c r="AL37" t="n">
        <v>135.8828991371436</v>
      </c>
      <c r="AM37">
        <f>IF($Q$37,$M$37*$AE$37*$U$37,0)</f>
        <v/>
      </c>
      <c r="AN37" t="n">
        <v>88.32388443914333</v>
      </c>
      <c r="AO37">
        <f>IF($Q$37,$M$37*$AG$37*$U$37,0)</f>
        <v/>
      </c>
      <c r="AP37" t="n">
        <v>20.38243487057154</v>
      </c>
      <c r="AQ37">
        <f>IF($Q$37,$M$37*$AE$37*$Y$37,0)</f>
        <v/>
      </c>
      <c r="AR37" t="n">
        <v>51.5222659228336</v>
      </c>
      <c r="AS37">
        <f>IF($S$37,$M$37*$AI$37*$W$37,0)</f>
        <v/>
      </c>
      <c r="AT37" t="n">
        <v>33.97072478428589</v>
      </c>
      <c r="AU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V37" t="b">
        <v>0</v>
      </c>
      <c r="AW37">
        <f>IF(AND($B$37&lt;0,$AU$37),4,$B$37)</f>
        <v/>
      </c>
      <c r="AX37" t="n">
        <v>0</v>
      </c>
      <c r="AY37">
        <f>IF($AW$37&lt;4,0,MIN(MAX(0.5,Canh_bao_vong!$D$4),MAX(IF(Vu_khi!$C$37="cal_406",Canh_bao_vong!$D$7,IF($AW$37&gt;=5,Canh_bao_vong!$D$9,Canh_bao_vong!$D$8)),Canh_bao_vong!$D$2+MAX(0,Vu_khi!$X$37)/MAX(0.1,Canh_bao_vong!$D$5))))</f>
        <v/>
      </c>
      <c r="AZ37" t="n">
        <v>0</v>
      </c>
      <c r="BA37" t="n">
        <v>1.766227</v>
      </c>
      <c r="BB37" t="inlineStr">
        <is>
          <t>ok</t>
        </is>
      </c>
      <c r="BC37" t="b">
        <v>1</v>
      </c>
      <c r="BD37" t="n">
        <v>240</v>
      </c>
      <c r="BE37" t="n">
        <v>312</v>
      </c>
      <c r="BF37" t="n">
        <v>0.031</v>
      </c>
      <c r="BG37" t="n">
        <v>0.062</v>
      </c>
      <c r="BH37" t="n">
        <v>0.125</v>
      </c>
      <c r="BI37" t="n">
        <v>0.096</v>
      </c>
      <c r="BJ37" t="inlineStr">
        <is>
          <t>DIRECT_BULLET</t>
        </is>
      </c>
      <c r="BK37" t="inlineStr">
        <is>
          <t>ok</t>
        </is>
      </c>
      <c r="BL37" t="inlineStr">
        <is>
          <t>family nsv_12_7_mm</t>
        </is>
      </c>
      <c r="BM37" t="inlineStr"/>
      <c r="BN37" t="inlineStr">
        <is>
          <t>Assets/MachineBrigade/Resources/Data/balance.json: weapons[id=boss_hmg] (lớp B trên 01_chien_dau/Vu_khi)</t>
        </is>
      </c>
      <c r="BO37" t="inlineStr"/>
    </row>
    <row r="38">
      <c r="A38" t="inlineStr">
        <is>
          <t>boss_hmg_api</t>
        </is>
      </c>
      <c r="B38" t="n">
        <v>0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100</v>
      </c>
      <c r="G38">
        <f>IF(Vu_khi!$S$38&gt;0,(Vu_khi!$S$38-1)*Vu_khi!$R$38+Vu_khi!$T$38,Vu_khi!$R$38+(Vu_khi!$P$38-1)*Vu_khi!$Q$38)</f>
        <v/>
      </c>
      <c r="H38" t="n">
        <v>13.2467</v>
      </c>
      <c r="I38">
        <f>Vu_khi!$W$38*MAX(1,$E$38)</f>
        <v/>
      </c>
      <c r="J38" t="n">
        <v>1500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113.235749280953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1.2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0.7</v>
      </c>
      <c r="AA38">
        <f>AND(Vu_khi!$K$38="Kinetic",NOT(Vu_khi!$AG$38))</f>
        <v/>
      </c>
      <c r="AB38" t="b">
        <v>1</v>
      </c>
      <c r="AC38">
        <f>IF(Vu_khi!$AG$38,INDEX(Bang_danh_noc!$C$2:$C$8,MIN(7,MAX(1,2-(Vu_khi!$L$38-0)+1))),INDEX(Bang_xuyen_giap!$C$2:$C$8,MIN(7,MAX(1,IF($O$38,MAX(1,2-(Vu_khi!$L$38-0)),2-(Vu_khi!$L$38-0))+1))))*IF($AA$38,INDEX(Bang_xuyen_qua!$C$2:$C$5,MIN(4,MAX(1,(Vu_khi!$L$38)-(0)-1))),1)</f>
        <v/>
      </c>
      <c r="AD38" t="n">
        <v>1.2</v>
      </c>
      <c r="AE38">
        <f>IF(Vu_khi!$AG$38,INDEX(Bang_danh_noc!$C$2:$C$8,MIN(7,MAX(1,2-(Vu_khi!$L$38-2)+1))),INDEX(Bang_xuyen_giap!$C$2:$C$8,MIN(7,MAX(1,IF($O$38,MAX(1,2-(Vu_khi!$L$38-2)),2-(Vu_khi!$L$38-2))+1))))*IF($AA$38,INDEX(Bang_xuyen_qua!$C$2:$C$5,MIN(4,MAX(1,(Vu_khi!$L$38)-(2)-1))),1)</f>
        <v/>
      </c>
      <c r="AF38" t="n">
        <v>0.85</v>
      </c>
      <c r="AG38">
        <f>IF(Vu_khi!$AG$38,INDEX(Bang_danh_noc!$C$2:$C$8,MIN(7,MAX(1,2-(Vu_khi!$L$38-4)+1))),INDEX(Bang_xuyen_giap!$C$2:$C$8,MIN(7,MAX(1,IF($O$38,MAX(1,2-(Vu_khi!$L$38-4)),2-(Vu_khi!$L$38-4))+1))))*IF($AA$38,INDEX(Bang_xuyen_qua!$C$2:$C$5,MIN(4,MAX(1,(Vu_khi!$L$38)-(4)-1))),1)</f>
        <v/>
      </c>
      <c r="AH38" t="n">
        <v>0.4</v>
      </c>
      <c r="AI38">
        <f>INDEX(Bang_xuyen_giap!$C$2:$C$8,MIN(7,MAX(1,MAX(1,2-(Vu_khi!$L$38-0))+1)))*IF($AA$38,INDEX(Bang_xuyen_qua!$C$2:$C$5,MIN(4,MAX(1,(Vu_khi!$L$38)-(0)-1))),1)</f>
        <v/>
      </c>
      <c r="AJ38" t="n">
        <v>1</v>
      </c>
      <c r="AK38">
        <f>IF($Q$38,$M$38*$AC$38*$U$38,0)</f>
        <v/>
      </c>
      <c r="AL38" t="n">
        <v>163.0594789645723</v>
      </c>
      <c r="AM38">
        <f>IF($Q$38,$M$38*$AE$38*$U$38,0)</f>
        <v/>
      </c>
      <c r="AN38" t="n">
        <v>115.5004642665721</v>
      </c>
      <c r="AO38">
        <f>IF($Q$38,$M$38*$AG$38*$U$38,0)</f>
        <v/>
      </c>
      <c r="AP38" t="n">
        <v>54.35315965485743</v>
      </c>
      <c r="AQ38">
        <f>IF($Q$38,$M$38*$AE$38*$Y$38,0)</f>
        <v/>
      </c>
      <c r="AR38" t="n">
        <v>67.37527082216702</v>
      </c>
      <c r="AS38">
        <f>IF($S$38,$M$38*$AI$38*$W$38,0)</f>
        <v/>
      </c>
      <c r="AT38" t="n">
        <v>33.97072478428589</v>
      </c>
      <c r="AU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V38" t="b">
        <v>0</v>
      </c>
      <c r="AW38">
        <f>IF(AND($B$38&lt;0,$AU$38),4,$B$38)</f>
        <v/>
      </c>
      <c r="AX38" t="n">
        <v>0</v>
      </c>
      <c r="AY38">
        <f>IF($AW$38&lt;4,0,MIN(MAX(0.5,Canh_bao_vong!$D$4),MAX(IF(Vu_khi!$C$38="cal_406",Canh_bao_vong!$D$7,IF($AW$38&gt;=5,Canh_bao_vong!$D$9,Canh_bao_vong!$D$8)),Canh_bao_vong!$D$2+MAX(0,Vu_khi!$X$38)/MAX(0.1,Canh_bao_vong!$D$5))))</f>
        <v/>
      </c>
      <c r="AZ38" t="n">
        <v>0</v>
      </c>
      <c r="BD38" t="n">
        <v>240</v>
      </c>
      <c r="BE38" t="n">
        <v>312</v>
      </c>
      <c r="BF38" t="n">
        <v>0.031</v>
      </c>
      <c r="BG38" t="n">
        <v>0.062</v>
      </c>
      <c r="BH38" t="n">
        <v>0.125</v>
      </c>
      <c r="BI38" t="n">
        <v>0.096</v>
      </c>
      <c r="BJ38" t="inlineStr">
        <is>
          <t>DIRECT_BULLET</t>
        </is>
      </c>
      <c r="BK38" t="inlineStr">
        <is>
          <t>ok</t>
        </is>
      </c>
      <c r="BL38" t="inlineStr">
        <is>
          <t>family nsv_12_7_mm_api</t>
        </is>
      </c>
      <c r="BM38" t="inlineStr"/>
      <c r="BN38" t="inlineStr">
        <is>
          <t>Assets/MachineBrigade/Resources/Data/balance.json: weapons[id=boss_hmg_api] (lớp B trên 01_chien_dau/Vu_khi)</t>
        </is>
      </c>
      <c r="BO38" t="inlineStr"/>
    </row>
    <row r="39">
      <c r="A39" t="inlineStr">
        <is>
          <t>boss_howitzer</t>
        </is>
      </c>
      <c r="B39" t="n">
        <v>4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9.44</v>
      </c>
      <c r="I39">
        <f>Vu_khi!$W$39*MAX(1,$E$39)</f>
        <v/>
      </c>
      <c r="J39" t="n">
        <v>420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44.49152542372882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1.6</v>
      </c>
      <c r="AA39">
        <f>AND(Vu_khi!$K$39="Kinetic",NOT(Vu_khi!$AG$39))</f>
        <v/>
      </c>
      <c r="AB39" t="b">
        <v>0</v>
      </c>
      <c r="AC39">
        <f>IF(Vu_khi!$AG$39,INDEX(Bang_danh_noc!$C$2:$C$8,MIN(7,MAX(1,2-(Vu_khi!$L$39-0)+1))),INDEX(Bang_xuyen_giap!$C$2:$C$8,MIN(7,MAX(1,IF($O$39,MAX(1,2-(Vu_khi!$L$39-0)),2-(Vu_khi!$L$39-0))+1))))*IF($AA$39,INDEX(Bang_xuyen_qua!$C$2:$C$5,MIN(4,MAX(1,(Vu_khi!$L$39)-(0)-1))),1)</f>
        <v/>
      </c>
      <c r="AD39" t="n">
        <v>1.2</v>
      </c>
      <c r="AE39">
        <f>IF(Vu_khi!$AG$39,INDEX(Bang_danh_noc!$C$2:$C$8,MIN(7,MAX(1,2-(Vu_khi!$L$39-2)+1))),INDEX(Bang_xuyen_giap!$C$2:$C$8,MIN(7,MAX(1,IF($O$39,MAX(1,2-(Vu_khi!$L$39-2)),2-(Vu_khi!$L$39-2))+1))))*IF($AA$39,INDEX(Bang_xuyen_qua!$C$2:$C$5,MIN(4,MAX(1,(Vu_khi!$L$39)-(2)-1))),1)</f>
        <v/>
      </c>
      <c r="AF39" t="n">
        <v>1.2</v>
      </c>
      <c r="AG39">
        <f>IF(Vu_khi!$AG$39,INDEX(Bang_danh_noc!$C$2:$C$8,MIN(7,MAX(1,2-(Vu_khi!$L$39-4)+1))),INDEX(Bang_xuyen_giap!$C$2:$C$8,MIN(7,MAX(1,IF($O$39,MAX(1,2-(Vu_khi!$L$39-4)),2-(Vu_khi!$L$39-4))+1))))*IF($AA$39,INDEX(Bang_xuyen_qua!$C$2:$C$5,MIN(4,MAX(1,(Vu_khi!$L$39)-(4)-1))),1)</f>
        <v/>
      </c>
      <c r="AH39" t="n">
        <v>0.85</v>
      </c>
      <c r="AI39">
        <f>INDEX(Bang_xuyen_giap!$C$2:$C$8,MIN(7,MAX(1,MAX(1,2-(Vu_khi!$L$39-0))+1)))*IF($AA$39,INDEX(Bang_xuyen_qua!$C$2:$C$5,MIN(4,MAX(1,(Vu_khi!$L$39)-(0)-1))),1)</f>
        <v/>
      </c>
      <c r="AJ39" t="n">
        <v>1</v>
      </c>
      <c r="AK39">
        <f>IF($Q$39,$M$39*$AC$39*$U$39,0)</f>
        <v/>
      </c>
      <c r="AL39" t="n">
        <v>53.38983050847458</v>
      </c>
      <c r="AM39">
        <f>IF($Q$39,$M$39*$AE$39*$U$39,0)</f>
        <v/>
      </c>
      <c r="AN39" t="n">
        <v>53.38983050847458</v>
      </c>
      <c r="AO39">
        <f>IF($Q$39,$M$39*$AG$39*$U$39,0)</f>
        <v/>
      </c>
      <c r="AP39" t="n">
        <v>37.81779661016949</v>
      </c>
      <c r="AQ39">
        <f>IF($Q$39,$M$39*$AE$39*$Y$39,0)</f>
        <v/>
      </c>
      <c r="AR39" t="n">
        <v>85.42372881355932</v>
      </c>
      <c r="AS39">
        <f>IF($S$39,$M$39*$AI$39*$W$39,0)</f>
        <v/>
      </c>
      <c r="AT39" t="n">
        <v>0</v>
      </c>
      <c r="AU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V39" t="b">
        <v>1</v>
      </c>
      <c r="AW39">
        <f>IF(AND($B$39&lt;0,$AU$39),4,$B$39)</f>
        <v/>
      </c>
      <c r="AX39" t="n">
        <v>4</v>
      </c>
      <c r="AY39">
        <f>IF($AW$39&lt;4,0,MIN(MAX(0.5,Canh_bao_vong!$D$4),MAX(IF(Vu_khi!$C$39="cal_406",Canh_bao_vong!$D$7,IF($AW$39&gt;=5,Canh_bao_vong!$D$9,Canh_bao_vong!$D$8)),Canh_bao_vong!$D$2+MAX(0,Vu_khi!$X$39)/MAX(0.1,Canh_bao_vong!$D$5))))</f>
        <v/>
      </c>
      <c r="AZ39" t="n">
        <v>2.5</v>
      </c>
      <c r="BA39" t="n">
        <v>0.275333</v>
      </c>
      <c r="BB39" t="inlineStr">
        <is>
          <t>NHANH_QUA</t>
        </is>
      </c>
      <c r="BC39" t="inlineStr"/>
      <c r="BD39" t="n">
        <v>60</v>
      </c>
      <c r="BE39" t="n">
        <v>78</v>
      </c>
      <c r="BF39" t="n">
        <v>0.25</v>
      </c>
      <c r="BG39" t="n">
        <v>0.5</v>
      </c>
      <c r="BH39" t="n">
        <v>1</v>
      </c>
      <c r="BI39" t="n">
        <v>0.769</v>
      </c>
      <c r="BJ39" t="inlineStr">
        <is>
          <t>HOWITZER</t>
        </is>
      </c>
      <c r="BK39" t="inlineStr">
        <is>
          <t>ok</t>
        </is>
      </c>
      <c r="BL39" t="inlineStr">
        <is>
          <t>own line</t>
        </is>
      </c>
      <c r="BM39" t="inlineStr"/>
      <c r="BN39" t="inlineStr">
        <is>
          <t>Assets/MachineBrigade/Resources/Data/balance.json: weapons[id=boss_howitzer] (lớp B trên 01_chien_dau/Vu_khi)</t>
        </is>
      </c>
      <c r="BO39" t="inlineStr"/>
    </row>
    <row r="40">
      <c r="A40" t="inlineStr">
        <is>
          <t>boss_howitzer_guided</t>
        </is>
      </c>
      <c r="B40" t="n">
        <v>4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</v>
      </c>
      <c r="G40">
        <f>IF(Vu_khi!$S$40&gt;0,(Vu_khi!$S$40-1)*Vu_khi!$R$40+Vu_khi!$T$40,Vu_khi!$R$40+(Vu_khi!$P$40-1)*Vu_khi!$Q$40)</f>
        <v/>
      </c>
      <c r="H40" t="n">
        <v>9.44</v>
      </c>
      <c r="I40">
        <f>Vu_khi!$W$40*MAX(1,$E$40)</f>
        <v/>
      </c>
      <c r="J40" t="n">
        <v>420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44.49152542372882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0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1.6</v>
      </c>
      <c r="AA40">
        <f>AND(Vu_khi!$K$40="Kinetic",NOT(Vu_khi!$AG$40))</f>
        <v/>
      </c>
      <c r="AB40" t="b">
        <v>0</v>
      </c>
      <c r="AC40">
        <f>IF(Vu_khi!$AG$40,INDEX(Bang_danh_noc!$C$2:$C$8,MIN(7,MAX(1,2-(Vu_khi!$L$40-0)+1))),INDEX(Bang_xuyen_giap!$C$2:$C$8,MIN(7,MAX(1,IF($O$40,MAX(1,2-(Vu_khi!$L$40-0)),2-(Vu_khi!$L$40-0))+1))))*IF($AA$40,INDEX(Bang_xuyen_qua!$C$2:$C$5,MIN(4,MAX(1,(Vu_khi!$L$40)-(0)-1))),1)</f>
        <v/>
      </c>
      <c r="AD40" t="n">
        <v>1.2</v>
      </c>
      <c r="AE40">
        <f>IF(Vu_khi!$AG$40,INDEX(Bang_danh_noc!$C$2:$C$8,MIN(7,MAX(1,2-(Vu_khi!$L$40-2)+1))),INDEX(Bang_xuyen_giap!$C$2:$C$8,MIN(7,MAX(1,IF($O$40,MAX(1,2-(Vu_khi!$L$40-2)),2-(Vu_khi!$L$40-2))+1))))*IF($AA$40,INDEX(Bang_xuyen_qua!$C$2:$C$5,MIN(4,MAX(1,(Vu_khi!$L$40)-(2)-1))),1)</f>
        <v/>
      </c>
      <c r="AF40" t="n">
        <v>1.2</v>
      </c>
      <c r="AG40">
        <f>IF(Vu_khi!$AG$40,INDEX(Bang_danh_noc!$C$2:$C$8,MIN(7,MAX(1,2-(Vu_khi!$L$40-4)+1))),INDEX(Bang_xuyen_giap!$C$2:$C$8,MIN(7,MAX(1,IF($O$40,MAX(1,2-(Vu_khi!$L$40-4)),2-(Vu_khi!$L$40-4))+1))))*IF($AA$40,INDEX(Bang_xuyen_qua!$C$2:$C$5,MIN(4,MAX(1,(Vu_khi!$L$40)-(4)-1))),1)</f>
        <v/>
      </c>
      <c r="AH40" t="n">
        <v>0.85</v>
      </c>
      <c r="AI40">
        <f>INDEX(Bang_xuyen_giap!$C$2:$C$8,MIN(7,MAX(1,MAX(1,2-(Vu_khi!$L$40-0))+1)))*IF($AA$40,INDEX(Bang_xuyen_qua!$C$2:$C$5,MIN(4,MAX(1,(Vu_khi!$L$40)-(0)-1))),1)</f>
        <v/>
      </c>
      <c r="AJ40" t="n">
        <v>1</v>
      </c>
      <c r="AK40">
        <f>IF($Q$40,$M$40*$AC$40*$U$40,0)</f>
        <v/>
      </c>
      <c r="AL40" t="n">
        <v>53.38983050847458</v>
      </c>
      <c r="AM40">
        <f>IF($Q$40,$M$40*$AE$40*$U$40,0)</f>
        <v/>
      </c>
      <c r="AN40" t="n">
        <v>53.38983050847458</v>
      </c>
      <c r="AO40">
        <f>IF($Q$40,$M$40*$AG$40*$U$40,0)</f>
        <v/>
      </c>
      <c r="AP40" t="n">
        <v>37.81779661016949</v>
      </c>
      <c r="AQ40">
        <f>IF($Q$40,$M$40*$AE$40*$Y$40,0)</f>
        <v/>
      </c>
      <c r="AR40" t="n">
        <v>85.42372881355932</v>
      </c>
      <c r="AS40">
        <f>IF($S$40,$M$40*$AI$40*$W$40,0)</f>
        <v/>
      </c>
      <c r="AT40" t="n">
        <v>0</v>
      </c>
      <c r="AU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V40" t="b">
        <v>1</v>
      </c>
      <c r="AW40">
        <f>IF(AND($B$40&lt;0,$AU$40),4,$B$40)</f>
        <v/>
      </c>
      <c r="AX40" t="n">
        <v>4</v>
      </c>
      <c r="AY40">
        <f>IF($AW$40&lt;4,0,MIN(MAX(0.5,Canh_bao_vong!$D$4),MAX(IF(Vu_khi!$C$40="cal_406",Canh_bao_vong!$D$7,IF($AW$40&gt;=5,Canh_bao_vong!$D$9,Canh_bao_vong!$D$8)),Canh_bao_vong!$D$2+MAX(0,Vu_khi!$X$40)/MAX(0.1,Canh_bao_vong!$D$5))))</f>
        <v/>
      </c>
      <c r="AZ40" t="n">
        <v>2.5</v>
      </c>
      <c r="BD40" t="n">
        <v>60</v>
      </c>
      <c r="BE40" t="n">
        <v>78</v>
      </c>
      <c r="BF40" t="n">
        <v>0.25</v>
      </c>
      <c r="BG40" t="n">
        <v>0.5</v>
      </c>
      <c r="BH40" t="n">
        <v>1</v>
      </c>
      <c r="BI40" t="n">
        <v>0.769</v>
      </c>
      <c r="BJ40" t="inlineStr">
        <is>
          <t>HOWITZER</t>
        </is>
      </c>
      <c r="BK40" t="inlineStr">
        <is>
          <t>ok</t>
        </is>
      </c>
      <c r="BL40" t="inlineStr">
        <is>
          <t>inherited from boss_howitzer</t>
        </is>
      </c>
      <c r="BM40" t="inlineStr"/>
      <c r="BN40" t="inlineStr">
        <is>
          <t>Assets/MachineBrigade/Resources/Data/balance.json: weapons[id=boss_howitzer_guided] (lớp B trên 01_chien_dau/Vu_khi)</t>
        </is>
      </c>
      <c r="BO40" t="inlineStr"/>
    </row>
    <row r="41">
      <c r="A41" t="inlineStr">
        <is>
          <t>boss_minigun</t>
        </is>
      </c>
      <c r="B41" t="n">
        <v>0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6.7608</v>
      </c>
      <c r="I41">
        <f>Vu_khi!$W$41*MAX(1,$E$41)</f>
        <v/>
      </c>
      <c r="J41" t="n">
        <v>220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32.54052774819548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1.2</v>
      </c>
      <c r="W41">
        <f>INDEX(Bang_sat_thuong!$C$2:$C$7,MATCH(Vu_khi!$K$41,Bang_sat_thuong!$A$2:$A$7,0))</f>
        <v/>
      </c>
      <c r="X41" t="n">
        <v>0.3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0.7</v>
      </c>
      <c r="AA41">
        <f>AND(Vu_khi!$K$41="Kinetic",NOT(Vu_khi!$AG$41))</f>
        <v/>
      </c>
      <c r="AB41" t="b">
        <v>1</v>
      </c>
      <c r="AC41">
        <f>IF(Vu_khi!$AG$41,INDEX(Bang_danh_noc!$C$2:$C$8,MIN(7,MAX(1,2-(Vu_khi!$L$41-0)+1))),INDEX(Bang_xuyen_giap!$C$2:$C$8,MIN(7,MAX(1,IF($O$41,MAX(1,2-(Vu_khi!$L$41-0)),2-(Vu_khi!$L$41-0))+1))))*IF($AA$41,INDEX(Bang_xuyen_qua!$C$2:$C$5,MIN(4,MAX(1,(Vu_khi!$L$41)-(0)-1))),1)</f>
        <v/>
      </c>
      <c r="AD41" t="n">
        <v>0.85</v>
      </c>
      <c r="AE41">
        <f>IF(Vu_khi!$AG$41,INDEX(Bang_danh_noc!$C$2:$C$8,MIN(7,MAX(1,2-(Vu_khi!$L$41-2)+1))),INDEX(Bang_xuyen_giap!$C$2:$C$8,MIN(7,MAX(1,IF($O$41,MAX(1,2-(Vu_khi!$L$41-2)),2-(Vu_khi!$L$41-2))+1))))*IF($AA$41,INDEX(Bang_xuyen_qua!$C$2:$C$5,MIN(4,MAX(1,(Vu_khi!$L$41)-(2)-1))),1)</f>
        <v/>
      </c>
      <c r="AF41" t="n">
        <v>0.4</v>
      </c>
      <c r="AG41">
        <f>IF(Vu_khi!$AG$41,INDEX(Bang_danh_noc!$C$2:$C$8,MIN(7,MAX(1,2-(Vu_khi!$L$41-4)+1))),INDEX(Bang_xuyen_giap!$C$2:$C$8,MIN(7,MAX(1,IF($O$41,MAX(1,2-(Vu_khi!$L$41-4)),2-(Vu_khi!$L$41-4))+1))))*IF($AA$41,INDEX(Bang_xuyen_qua!$C$2:$C$5,MIN(4,MAX(1,(Vu_khi!$L$41)-(4)-1))),1)</f>
        <v/>
      </c>
      <c r="AH41" t="n">
        <v>0.08</v>
      </c>
      <c r="AI41">
        <f>INDEX(Bang_xuyen_giap!$C$2:$C$8,MIN(7,MAX(1,MAX(1,2-(Vu_khi!$L$41-0))+1)))*IF($AA$41,INDEX(Bang_xuyen_qua!$C$2:$C$5,MIN(4,MAX(1,(Vu_khi!$L$41)-(0)-1))),1)</f>
        <v/>
      </c>
      <c r="AJ41" t="n">
        <v>0.85</v>
      </c>
      <c r="AK41">
        <f>IF($Q$41,$M$41*$AC$41*$U$41,0)</f>
        <v/>
      </c>
      <c r="AL41" t="n">
        <v>33.19133830315939</v>
      </c>
      <c r="AM41">
        <f>IF($Q$41,$M$41*$AE$41*$U$41,0)</f>
        <v/>
      </c>
      <c r="AN41" t="n">
        <v>15.61945331913383</v>
      </c>
      <c r="AO41">
        <f>IF($Q$41,$M$41*$AG$41*$U$41,0)</f>
        <v/>
      </c>
      <c r="AP41" t="n">
        <v>3.123890663826766</v>
      </c>
      <c r="AQ41">
        <f>IF($Q$41,$M$41*$AE$41*$Y$41,0)</f>
        <v/>
      </c>
      <c r="AR41" t="n">
        <v>9.111347769494733</v>
      </c>
      <c r="AS41">
        <f>IF($S$41,$M$41*$AI$41*$W$41,0)</f>
        <v/>
      </c>
      <c r="AT41" t="n">
        <v>8.297834575789848</v>
      </c>
      <c r="AU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V41" t="b">
        <v>0</v>
      </c>
      <c r="AW41">
        <f>IF(AND($B$41&lt;0,$AU$41),4,$B$41)</f>
        <v/>
      </c>
      <c r="AX41" t="n">
        <v>0</v>
      </c>
      <c r="AY41">
        <f>IF($AW$41&lt;4,0,MIN(MAX(0.5,Canh_bao_vong!$D$4),MAX(IF(Vu_khi!$C$41="cal_406",Canh_bao_vong!$D$7,IF($AW$41&gt;=5,Canh_bao_vong!$D$9,Canh_bao_vong!$D$8)),Canh_bao_vong!$D$2+MAX(0,Vu_khi!$X$41)/MAX(0.1,Canh_bao_vong!$D$5))))</f>
        <v/>
      </c>
      <c r="AZ41" t="n">
        <v>0</v>
      </c>
      <c r="BA41" t="n">
        <v>16.902</v>
      </c>
      <c r="BB41" t="inlineStr">
        <is>
          <t>ok</t>
        </is>
      </c>
      <c r="BC41" t="b">
        <v>1</v>
      </c>
      <c r="BD41" t="n">
        <v>240</v>
      </c>
      <c r="BE41" t="n">
        <v>312</v>
      </c>
      <c r="BF41" t="n">
        <v>0.025</v>
      </c>
      <c r="BG41" t="n">
        <v>0.05</v>
      </c>
      <c r="BH41" t="n">
        <v>0.1</v>
      </c>
      <c r="BI41" t="n">
        <v>0.077</v>
      </c>
      <c r="BJ41" t="inlineStr">
        <is>
          <t>DIRECT_BULLET</t>
        </is>
      </c>
      <c r="BK41" t="inlineStr">
        <is>
          <t>ok</t>
        </is>
      </c>
      <c r="BL41" t="inlineStr">
        <is>
          <t>inherited from minigun</t>
        </is>
      </c>
      <c r="BM41" t="inlineStr"/>
      <c r="BN41" t="inlineStr">
        <is>
          <t>Assets/MachineBrigade/Resources/Data/balance.json: weapons[id=boss_minigun] (lớp B trên 01_chien_dau/Vu_khi)</t>
        </is>
      </c>
      <c r="BO41" t="inlineStr"/>
    </row>
    <row r="42">
      <c r="A42" t="inlineStr">
        <is>
          <t>boss_missiles</t>
        </is>
      </c>
      <c r="B42" t="n">
        <v>2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</v>
      </c>
      <c r="G42">
        <f>IF(Vu_khi!$S$42&gt;0,(Vu_khi!$S$42-1)*Vu_khi!$R$42+Vu_khi!$T$42,Vu_khi!$R$42+(Vu_khi!$P$42-1)*Vu_khi!$Q$42)</f>
        <v/>
      </c>
      <c r="H42" t="n">
        <v>6.39</v>
      </c>
      <c r="I42">
        <f>Vu_khi!$W$42*MAX(1,$E$42)</f>
        <v/>
      </c>
      <c r="J42" t="n">
        <v>230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35.99374021909233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0</v>
      </c>
      <c r="U42">
        <f>INDEX(Bang_sat_thuong!$B$2:$B$7,MATCH(Vu_khi!$K$42,Bang_sat_thuong!$A$2:$A$7,0))</f>
        <v/>
      </c>
      <c r="V42" t="n">
        <v>1.3</v>
      </c>
      <c r="W42">
        <f>INDEX(Bang_sat_thuong!$C$2:$C$7,MATCH(Vu_khi!$K$42,Bang_sat_thuong!$A$2:$A$7,0))</f>
        <v/>
      </c>
      <c r="X42" t="n">
        <v>0.2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0.45</v>
      </c>
      <c r="AA42">
        <f>AND(Vu_khi!$K$42="Kinetic",NOT(Vu_khi!$AG$42))</f>
        <v/>
      </c>
      <c r="AB42" t="b">
        <v>0</v>
      </c>
      <c r="AC42">
        <f>IF(Vu_khi!$AG$42,INDEX(Bang_danh_noc!$C$2:$C$8,MIN(7,MAX(1,2-(Vu_khi!$L$42-0)+1))),INDEX(Bang_xuyen_giap!$C$2:$C$8,MIN(7,MAX(1,IF($O$42,MAX(1,2-(Vu_khi!$L$42-0)),2-(Vu_khi!$L$42-0))+1))))*IF($AA$42,INDEX(Bang_xuyen_qua!$C$2:$C$5,MIN(4,MAX(1,(Vu_khi!$L$42)-(0)-1))),1)</f>
        <v/>
      </c>
      <c r="AD42" t="n">
        <v>1.2</v>
      </c>
      <c r="AE42">
        <f>IF(Vu_khi!$AG$42,INDEX(Bang_danh_noc!$C$2:$C$8,MIN(7,MAX(1,2-(Vu_khi!$L$42-2)+1))),INDEX(Bang_xuyen_giap!$C$2:$C$8,MIN(7,MAX(1,IF($O$42,MAX(1,2-(Vu_khi!$L$42-2)),2-(Vu_khi!$L$42-2))+1))))*IF($AA$42,INDEX(Bang_xuyen_qua!$C$2:$C$5,MIN(4,MAX(1,(Vu_khi!$L$42)-(2)-1))),1)</f>
        <v/>
      </c>
      <c r="AF42" t="n">
        <v>1.2</v>
      </c>
      <c r="AG42">
        <f>IF(Vu_khi!$AG$42,INDEX(Bang_danh_noc!$C$2:$C$8,MIN(7,MAX(1,2-(Vu_khi!$L$42-4)+1))),INDEX(Bang_xuyen_giap!$C$2:$C$8,MIN(7,MAX(1,IF($O$42,MAX(1,2-(Vu_khi!$L$42-4)),2-(Vu_khi!$L$42-4))+1))))*IF($AA$42,INDEX(Bang_xuyen_qua!$C$2:$C$5,MIN(4,MAX(1,(Vu_khi!$L$42)-(4)-1))),1)</f>
        <v/>
      </c>
      <c r="AH42" t="n">
        <v>0.85</v>
      </c>
      <c r="AI42">
        <f>INDEX(Bang_xuyen_giap!$C$2:$C$8,MIN(7,MAX(1,MAX(1,2-(Vu_khi!$L$42-0))+1)))*IF($AA$42,INDEX(Bang_xuyen_qua!$C$2:$C$5,MIN(4,MAX(1,(Vu_khi!$L$42)-(0)-1))),1)</f>
        <v/>
      </c>
      <c r="AJ42" t="n">
        <v>1</v>
      </c>
      <c r="AK42">
        <f>IF($Q$42,$M$42*$AC$42*$U$42,0)</f>
        <v/>
      </c>
      <c r="AL42" t="n">
        <v>56.15023474178404</v>
      </c>
      <c r="AM42">
        <f>IF($Q$42,$M$42*$AE$42*$U$42,0)</f>
        <v/>
      </c>
      <c r="AN42" t="n">
        <v>56.15023474178404</v>
      </c>
      <c r="AO42">
        <f>IF($Q$42,$M$42*$AG$42*$U$42,0)</f>
        <v/>
      </c>
      <c r="AP42" t="n">
        <v>39.77308294209703</v>
      </c>
      <c r="AQ42">
        <f>IF($Q$42,$M$42*$AE$42*$Y$42,0)</f>
        <v/>
      </c>
      <c r="AR42" t="n">
        <v>19.43661971830986</v>
      </c>
      <c r="AS42">
        <f>IF($S$42,$M$42*$AI$42*$W$42,0)</f>
        <v/>
      </c>
      <c r="AT42" t="n">
        <v>0</v>
      </c>
      <c r="AU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V42" t="b">
        <v>0</v>
      </c>
      <c r="AW42">
        <f>IF(AND($B$42&lt;0,$AU$42),4,$B$42)</f>
        <v/>
      </c>
      <c r="AX42" t="n">
        <v>2</v>
      </c>
      <c r="AY42">
        <f>IF($AW$42&lt;4,0,MIN(MAX(0.5,Canh_bao_vong!$D$4),MAX(IF(Vu_khi!$C$42="cal_406",Canh_bao_vong!$D$7,IF($AW$42&gt;=5,Canh_bao_vong!$D$9,Canh_bao_vong!$D$8)),Canh_bao_vong!$D$2+MAX(0,Vu_khi!$X$42)/MAX(0.1,Canh_bao_vong!$D$5))))</f>
        <v/>
      </c>
      <c r="AZ42" t="n">
        <v>0</v>
      </c>
      <c r="BA42" t="n">
        <v>0.3195</v>
      </c>
      <c r="BB42" t="inlineStr">
        <is>
          <t>NHANH_QUA</t>
        </is>
      </c>
      <c r="BC42" t="inlineStr"/>
      <c r="BD42" t="n">
        <v>80</v>
      </c>
      <c r="BE42" t="n">
        <v>104</v>
      </c>
      <c r="BF42" t="n">
        <v>0.141</v>
      </c>
      <c r="BG42" t="n">
        <v>0.281</v>
      </c>
      <c r="BH42" t="n">
        <v>0.5620000000000001</v>
      </c>
      <c r="BI42" t="n">
        <v>0.433</v>
      </c>
      <c r="BJ42" t="inlineStr">
        <is>
          <t>TACTICAL_MISSILE</t>
        </is>
      </c>
      <c r="BK42" t="inlineStr">
        <is>
          <t>ok</t>
        </is>
      </c>
      <c r="BL42" t="inlineStr">
        <is>
          <t>family 9m133_kornet</t>
        </is>
      </c>
      <c r="BM42" t="inlineStr"/>
      <c r="BN42" t="inlineStr">
        <is>
          <t>Assets/MachineBrigade/Resources/Data/balance.json: weapons[id=boss_missiles] (lớp B trên 01_chien_dau/Vu_khi)</t>
        </is>
      </c>
      <c r="BO42" t="inlineStr"/>
    </row>
    <row r="43">
      <c r="A43" t="inlineStr">
        <is>
          <t>boss_mortar</t>
        </is>
      </c>
      <c r="B43" t="n">
        <v>4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</v>
      </c>
      <c r="G43">
        <f>IF(Vu_khi!$S$43&gt;0,(Vu_khi!$S$43-1)*Vu_khi!$R$43+Vu_khi!$T$43,Vu_khi!$R$43+(Vu_khi!$P$43-1)*Vu_khi!$Q$43)</f>
        <v/>
      </c>
      <c r="H43" t="n">
        <v>9.779999999999999</v>
      </c>
      <c r="I43">
        <f>Vu_khi!$W$43*MAX(1,$E$43)</f>
        <v/>
      </c>
      <c r="J43" t="n">
        <v>450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46.01226993865031</v>
      </c>
      <c r="O43">
        <f>OR(Vu_khi!$AG$43,Vu_khi!$AB$43&gt;0,Vu_khi!$AH$43,Vu_khi!$M$43="Bomb",Vu_khi!$M$43="Drone")</f>
        <v/>
      </c>
      <c r="P43" t="b">
        <v>1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0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1.6</v>
      </c>
      <c r="AA43">
        <f>AND(Vu_khi!$K$43="Kinetic",NOT(Vu_khi!$AG$43))</f>
        <v/>
      </c>
      <c r="AB43" t="b">
        <v>0</v>
      </c>
      <c r="AC43">
        <f>IF(Vu_khi!$AG$43,INDEX(Bang_danh_noc!$C$2:$C$8,MIN(7,MAX(1,2-(Vu_khi!$L$43-0)+1))),INDEX(Bang_xuyen_giap!$C$2:$C$8,MIN(7,MAX(1,IF($O$43,MAX(1,2-(Vu_khi!$L$43-0)),2-(Vu_khi!$L$43-0))+1))))*IF($AA$43,INDEX(Bang_xuyen_qua!$C$2:$C$5,MIN(4,MAX(1,(Vu_khi!$L$43)-(0)-1))),1)</f>
        <v/>
      </c>
      <c r="AD43" t="n">
        <v>1</v>
      </c>
      <c r="AE43">
        <f>IF(Vu_khi!$AG$43,INDEX(Bang_danh_noc!$C$2:$C$8,MIN(7,MAX(1,2-(Vu_khi!$L$43-2)+1))),INDEX(Bang_xuyen_giap!$C$2:$C$8,MIN(7,MAX(1,IF($O$43,MAX(1,2-(Vu_khi!$L$43-2)),2-(Vu_khi!$L$43-2))+1))))*IF($AA$43,INDEX(Bang_xuyen_qua!$C$2:$C$5,MIN(4,MAX(1,(Vu_khi!$L$43)-(2)-1))),1)</f>
        <v/>
      </c>
      <c r="AF43" t="n">
        <v>1</v>
      </c>
      <c r="AG43">
        <f>IF(Vu_khi!$AG$43,INDEX(Bang_danh_noc!$C$2:$C$8,MIN(7,MAX(1,2-(Vu_khi!$L$43-4)+1))),INDEX(Bang_xuyen_giap!$C$2:$C$8,MIN(7,MAX(1,IF($O$43,MAX(1,2-(Vu_khi!$L$43-4)),2-(Vu_khi!$L$43-4))+1))))*IF($AA$43,INDEX(Bang_xuyen_qua!$C$2:$C$5,MIN(4,MAX(1,(Vu_khi!$L$43)-(4)-1))),1)</f>
        <v/>
      </c>
      <c r="AH43" t="n">
        <v>0.85</v>
      </c>
      <c r="AI43">
        <f>INDEX(Bang_xuyen_giap!$C$2:$C$8,MIN(7,MAX(1,MAX(1,2-(Vu_khi!$L$43-0))+1)))*IF($AA$43,INDEX(Bang_xuyen_qua!$C$2:$C$5,MIN(4,MAX(1,(Vu_khi!$L$43)-(0)-1))),1)</f>
        <v/>
      </c>
      <c r="AJ43" t="n">
        <v>1</v>
      </c>
      <c r="AK43">
        <f>IF($Q$43,$M$43*$AC$43*$U$43,0)</f>
        <v/>
      </c>
      <c r="AL43" t="n">
        <v>46.01226993865031</v>
      </c>
      <c r="AM43">
        <f>IF($Q$43,$M$43*$AE$43*$U$43,0)</f>
        <v/>
      </c>
      <c r="AN43" t="n">
        <v>46.01226993865031</v>
      </c>
      <c r="AO43">
        <f>IF($Q$43,$M$43*$AG$43*$U$43,0)</f>
        <v/>
      </c>
      <c r="AP43" t="n">
        <v>39.11042944785277</v>
      </c>
      <c r="AQ43">
        <f>IF($Q$43,$M$43*$AE$43*$Y$43,0)</f>
        <v/>
      </c>
      <c r="AR43" t="n">
        <v>73.61963190184051</v>
      </c>
      <c r="AS43">
        <f>IF($S$43,$M$43*$AI$43*$W$43,0)</f>
        <v/>
      </c>
      <c r="AT43" t="n">
        <v>0</v>
      </c>
      <c r="AU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V43" t="b">
        <v>1</v>
      </c>
      <c r="AW43">
        <f>IF(AND($B$43&lt;0,$AU$43),4,$B$43)</f>
        <v/>
      </c>
      <c r="AX43" t="n">
        <v>4</v>
      </c>
      <c r="AY43">
        <f>IF($AW$43&lt;4,0,MIN(MAX(0.5,Canh_bao_vong!$D$4),MAX(IF(Vu_khi!$C$43="cal_406",Canh_bao_vong!$D$7,IF($AW$43&gt;=5,Canh_bao_vong!$D$9,Canh_bao_vong!$D$8)),Canh_bao_vong!$D$2+MAX(0,Vu_khi!$X$43)/MAX(0.1,Canh_bao_vong!$D$5))))</f>
        <v/>
      </c>
      <c r="AZ43" t="n">
        <v>2.5</v>
      </c>
      <c r="BA43" t="n">
        <v>0.1141</v>
      </c>
      <c r="BB43" t="inlineStr">
        <is>
          <t>NHANH_QUA</t>
        </is>
      </c>
      <c r="BC43" t="inlineStr"/>
      <c r="BD43" t="n">
        <v>40</v>
      </c>
      <c r="BE43" t="n">
        <v>52</v>
      </c>
      <c r="BF43" t="n">
        <v>0.3</v>
      </c>
      <c r="BG43" t="n">
        <v>1</v>
      </c>
      <c r="BH43" t="n">
        <v>2</v>
      </c>
      <c r="BI43" t="n">
        <v>1.538</v>
      </c>
      <c r="BJ43" t="inlineStr">
        <is>
          <t>MORTAR</t>
        </is>
      </c>
      <c r="BK43" t="inlineStr">
        <is>
          <t>ok</t>
        </is>
      </c>
      <c r="BL43" t="inlineStr">
        <is>
          <t>family 2b8_240_mm</t>
        </is>
      </c>
      <c r="BM43" t="inlineStr"/>
      <c r="BN43" t="inlineStr">
        <is>
          <t>Assets/MachineBrigade/Resources/Data/balance.json: weapons[id=boss_mortar] (lớp B trên 01_chien_dau/Vu_khi)</t>
        </is>
      </c>
      <c r="BO43" t="inlineStr"/>
    </row>
    <row r="44">
      <c r="A44" t="inlineStr">
        <is>
          <t>boss_railgun</t>
        </is>
      </c>
      <c r="B44" t="n">
        <v>3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8</v>
      </c>
      <c r="I44">
        <f>Vu_khi!$W$44*MAX(1,$E$44)</f>
        <v/>
      </c>
      <c r="J44" t="n">
        <v>720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90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1.2</v>
      </c>
      <c r="W44">
        <f>INDEX(Bang_sat_thuong!$C$2:$C$7,MATCH(Vu_khi!$K$44,Bang_sat_thuong!$A$2:$A$7,0))</f>
        <v/>
      </c>
      <c r="X44" t="n">
        <v>0.3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0.7</v>
      </c>
      <c r="AA44">
        <f>AND(Vu_khi!$K$44="Kinetic",NOT(Vu_khi!$AG$44))</f>
        <v/>
      </c>
      <c r="AB44" t="b">
        <v>1</v>
      </c>
      <c r="AC44">
        <f>IF(Vu_khi!$AG$44,INDEX(Bang_danh_noc!$C$2:$C$8,MIN(7,MAX(1,2-(Vu_khi!$L$44-0)+1))),INDEX(Bang_xuyen_giap!$C$2:$C$8,MIN(7,MAX(1,IF($O$44,MAX(1,2-(Vu_khi!$L$44-0)),2-(Vu_khi!$L$44-0))+1))))*IF($AA$44,INDEX(Bang_xuyen_qua!$C$2:$C$5,MIN(4,MAX(1,(Vu_khi!$L$44)-(0)-1))),1)</f>
        <v/>
      </c>
      <c r="AD44" t="n">
        <v>0.8999999999999999</v>
      </c>
      <c r="AE44">
        <f>IF(Vu_khi!$AG$44,INDEX(Bang_danh_noc!$C$2:$C$8,MIN(7,MAX(1,2-(Vu_khi!$L$44-2)+1))),INDEX(Bang_xuyen_giap!$C$2:$C$8,MIN(7,MAX(1,IF($O$44,MAX(1,2-(Vu_khi!$L$44-2)),2-(Vu_khi!$L$44-2))+1))))*IF($AA$44,INDEX(Bang_xuyen_qua!$C$2:$C$5,MIN(4,MAX(1,(Vu_khi!$L$44)-(2)-1))),1)</f>
        <v/>
      </c>
      <c r="AF44" t="n">
        <v>1.14</v>
      </c>
      <c r="AG44">
        <f>IF(Vu_khi!$AG$44,INDEX(Bang_danh_noc!$C$2:$C$8,MIN(7,MAX(1,2-(Vu_khi!$L$44-4)+1))),INDEX(Bang_xuyen_giap!$C$2:$C$8,MIN(7,MAX(1,IF($O$44,MAX(1,2-(Vu_khi!$L$44-4)),2-(Vu_khi!$L$44-4))+1))))*IF($AA$44,INDEX(Bang_xuyen_qua!$C$2:$C$5,MIN(4,MAX(1,(Vu_khi!$L$44)-(4)-1))),1)</f>
        <v/>
      </c>
      <c r="AH44" t="n">
        <v>1</v>
      </c>
      <c r="AI44">
        <f>INDEX(Bang_xuyen_giap!$C$2:$C$8,MIN(7,MAX(1,MAX(1,2-(Vu_khi!$L$44-0))+1)))*IF($AA$44,INDEX(Bang_xuyen_qua!$C$2:$C$5,MIN(4,MAX(1,(Vu_khi!$L$44)-(0)-1))),1)</f>
        <v/>
      </c>
      <c r="AJ44" t="n">
        <v>0.75</v>
      </c>
      <c r="AK44">
        <f>IF($Q$44,$M$44*$AC$44*$U$44,0)</f>
        <v/>
      </c>
      <c r="AL44" t="n">
        <v>97.19999999999999</v>
      </c>
      <c r="AM44">
        <f>IF($Q$44,$M$44*$AE$44*$U$44,0)</f>
        <v/>
      </c>
      <c r="AN44" t="n">
        <v>123.12</v>
      </c>
      <c r="AO44">
        <f>IF($Q$44,$M$44*$AG$44*$U$44,0)</f>
        <v/>
      </c>
      <c r="AP44" t="n">
        <v>108</v>
      </c>
      <c r="AQ44">
        <f>IF($Q$44,$M$44*$AE$44*$Y$44,0)</f>
        <v/>
      </c>
      <c r="AR44" t="n">
        <v>71.81999999999999</v>
      </c>
      <c r="AS44">
        <f>IF($S$44,$M$44*$AI$44*$W$44,0)</f>
        <v/>
      </c>
      <c r="AT44" t="n">
        <v>0</v>
      </c>
      <c r="AU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V44" t="b">
        <v>0</v>
      </c>
      <c r="AW44">
        <f>IF(AND($B$44&lt;0,$AU$44),4,$B$44)</f>
        <v/>
      </c>
      <c r="AX44" t="n">
        <v>3</v>
      </c>
      <c r="AY44">
        <f>IF($AW$44&lt;4,0,MIN(MAX(0.5,Canh_bao_vong!$D$4),MAX(IF(Vu_khi!$C$44="cal_406",Canh_bao_vong!$D$7,IF($AW$44&gt;=5,Canh_bao_vong!$D$9,Canh_bao_vong!$D$8)),Canh_bao_vong!$D$2+MAX(0,Vu_khi!$X$44)/MAX(0.1,Canh_bao_vong!$D$5))))</f>
        <v/>
      </c>
      <c r="AZ44" t="n">
        <v>0</v>
      </c>
      <c r="BA44" t="inlineStr"/>
      <c r="BB44" t="inlineStr">
        <is>
          <t>ok</t>
        </is>
      </c>
      <c r="BC44" t="b">
        <v>1</v>
      </c>
      <c r="BD44" t="n">
        <v>700</v>
      </c>
      <c r="BE44" t="n">
        <v>910</v>
      </c>
      <c r="BF44" t="n">
        <v>0.029</v>
      </c>
      <c r="BG44" t="n">
        <v>0.057</v>
      </c>
      <c r="BH44" t="n">
        <v>0.114</v>
      </c>
      <c r="BI44" t="n">
        <v>0.08799999999999999</v>
      </c>
      <c r="BJ44" t="inlineStr">
        <is>
          <t>DIRECT_BULLET</t>
        </is>
      </c>
      <c r="BK44" t="inlineStr">
        <is>
          <t>ok</t>
        </is>
      </c>
      <c r="BL44" t="inlineStr">
        <is>
          <t>own line</t>
        </is>
      </c>
      <c r="BM44" t="inlineStr"/>
      <c r="BN44" t="inlineStr">
        <is>
          <t>Assets/MachineBrigade/Resources/Data/balance.json: weapons[id=boss_railgun] (lớp B trên 01_chien_dau/Vu_khi)</t>
        </is>
      </c>
      <c r="BO44" t="inlineStr"/>
    </row>
    <row r="45">
      <c r="A45" t="inlineStr">
        <is>
          <t>boss_rockets</t>
        </is>
      </c>
      <c r="B45" t="n">
        <v>3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13</v>
      </c>
      <c r="G45">
        <f>IF(Vu_khi!$S$45&gt;0,(Vu_khi!$S$45-1)*Vu_khi!$R$45+Vu_khi!$T$45,Vu_khi!$R$45+(Vu_khi!$P$45-1)*Vu_khi!$Q$45)</f>
        <v/>
      </c>
      <c r="H45" t="n">
        <v>8.44</v>
      </c>
      <c r="I45">
        <f>Vu_khi!$W$45*MAX(1,$E$45)</f>
        <v/>
      </c>
      <c r="J45" t="n">
        <v>2600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308.0568720379147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1.6</v>
      </c>
      <c r="AA45">
        <f>AND(Vu_khi!$K$45="Kinetic",NOT(Vu_khi!$AG$45))</f>
        <v/>
      </c>
      <c r="AB45" t="b">
        <v>0</v>
      </c>
      <c r="AC45">
        <f>IF(Vu_khi!$AG$45,INDEX(Bang_danh_noc!$C$2:$C$8,MIN(7,MAX(1,2-(Vu_khi!$L$45-0)+1))),INDEX(Bang_xuyen_giap!$C$2:$C$8,MIN(7,MAX(1,IF($O$45,MAX(1,2-(Vu_khi!$L$45-0)),2-(Vu_khi!$L$45-0))+1))))*IF($AA$45,INDEX(Bang_xuyen_qua!$C$2:$C$5,MIN(4,MAX(1,(Vu_khi!$L$45)-(0)-1))),1)</f>
        <v/>
      </c>
      <c r="AD45" t="n">
        <v>1.2</v>
      </c>
      <c r="AE45">
        <f>IF(Vu_khi!$AG$45,INDEX(Bang_danh_noc!$C$2:$C$8,MIN(7,MAX(1,2-(Vu_khi!$L$45-2)+1))),INDEX(Bang_xuyen_giap!$C$2:$C$8,MIN(7,MAX(1,IF($O$45,MAX(1,2-(Vu_khi!$L$45-2)),2-(Vu_khi!$L$45-2))+1))))*IF($AA$45,INDEX(Bang_xuyen_qua!$C$2:$C$5,MIN(4,MAX(1,(Vu_khi!$L$45)-(2)-1))),1)</f>
        <v/>
      </c>
      <c r="AF45" t="n">
        <v>0.85</v>
      </c>
      <c r="AG45">
        <f>IF(Vu_khi!$AG$45,INDEX(Bang_danh_noc!$C$2:$C$8,MIN(7,MAX(1,2-(Vu_khi!$L$45-4)+1))),INDEX(Bang_xuyen_giap!$C$2:$C$8,MIN(7,MAX(1,IF($O$45,MAX(1,2-(Vu_khi!$L$45-4)),2-(Vu_khi!$L$45-4))+1))))*IF($AA$45,INDEX(Bang_xuyen_qua!$C$2:$C$5,MIN(4,MAX(1,(Vu_khi!$L$45)-(4)-1))),1)</f>
        <v/>
      </c>
      <c r="AH45" t="n">
        <v>0.4</v>
      </c>
      <c r="AI45">
        <f>INDEX(Bang_xuyen_giap!$C$2:$C$8,MIN(7,MAX(1,MAX(1,2-(Vu_khi!$L$45-0))+1)))*IF($AA$45,INDEX(Bang_xuyen_qua!$C$2:$C$5,MIN(4,MAX(1,(Vu_khi!$L$45)-(0)-1))),1)</f>
        <v/>
      </c>
      <c r="AJ45" t="n">
        <v>1</v>
      </c>
      <c r="AK45">
        <f>IF($Q$45,$M$45*$AC$45*$U$45,0)</f>
        <v/>
      </c>
      <c r="AL45" t="n">
        <v>369.6682464454977</v>
      </c>
      <c r="AM45">
        <f>IF($Q$45,$M$45*$AE$45*$U$45,0)</f>
        <v/>
      </c>
      <c r="AN45" t="n">
        <v>261.8483412322275</v>
      </c>
      <c r="AO45">
        <f>IF($Q$45,$M$45*$AG$45*$U$45,0)</f>
        <v/>
      </c>
      <c r="AP45" t="n">
        <v>123.2227488151659</v>
      </c>
      <c r="AQ45">
        <f>IF($Q$45,$M$45*$AE$45*$Y$45,0)</f>
        <v/>
      </c>
      <c r="AR45" t="n">
        <v>418.9573459715641</v>
      </c>
      <c r="AS45">
        <f>IF($S$45,$M$45*$AI$45*$W$45,0)</f>
        <v/>
      </c>
      <c r="AT45" t="n">
        <v>0</v>
      </c>
      <c r="AU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V45" t="b">
        <v>0</v>
      </c>
      <c r="AW45">
        <f>IF(AND($B$45&lt;0,$AU$45),4,$B$45)</f>
        <v/>
      </c>
      <c r="AX45" t="n">
        <v>3</v>
      </c>
      <c r="AY45">
        <f>IF($AW$45&lt;4,0,MIN(MAX(0.5,Canh_bao_vong!$D$4),MAX(IF(Vu_khi!$C$45="cal_406",Canh_bao_vong!$D$7,IF($AW$45&gt;=5,Canh_bao_vong!$D$9,Canh_bao_vong!$D$8)),Canh_bao_vong!$D$2+MAX(0,Vu_khi!$X$45)/MAX(0.1,Canh_bao_vong!$D$5))))</f>
        <v/>
      </c>
      <c r="AZ45" t="n">
        <v>0</v>
      </c>
      <c r="BA45" t="n">
        <v>1</v>
      </c>
      <c r="BB45" t="inlineStr">
        <is>
          <t>ok</t>
        </is>
      </c>
      <c r="BC45" t="inlineStr"/>
      <c r="BD45" t="n">
        <v>80</v>
      </c>
      <c r="BE45" t="n">
        <v>104</v>
      </c>
      <c r="BF45" t="n">
        <v>0.141</v>
      </c>
      <c r="BG45" t="n">
        <v>0.281</v>
      </c>
      <c r="BH45" t="n">
        <v>0.5620000000000001</v>
      </c>
      <c r="BI45" t="n">
        <v>0.433</v>
      </c>
      <c r="BJ45" t="inlineStr">
        <is>
          <t>ROCKET_ARTILLERY</t>
        </is>
      </c>
      <c r="BK45" t="inlineStr">
        <is>
          <t>TOO_FAST_FOR_CLASS;TOO_FAST_AT_GEAR_CAP</t>
        </is>
      </c>
      <c r="BL45" t="inlineStr">
        <is>
          <t>own line</t>
        </is>
      </c>
      <c r="BM45" t="n">
        <v>40</v>
      </c>
      <c r="BN45" t="inlineStr">
        <is>
          <t>Assets/MachineBrigade/Resources/Data/balance.json: weapons[id=boss_rockets] (lớp B trên 01_chien_dau/Vu_khi)</t>
        </is>
      </c>
      <c r="BO45" t="inlineStr"/>
    </row>
    <row r="46">
      <c r="A46" t="inlineStr">
        <is>
          <t>boss_thermo</t>
        </is>
      </c>
      <c r="B46" t="n">
        <v>3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</v>
      </c>
      <c r="G46">
        <f>IF(Vu_khi!$S$46&gt;0,(Vu_khi!$S$46-1)*Vu_khi!$R$46+Vu_khi!$T$46,Vu_khi!$R$46+(Vu_khi!$P$46-1)*Vu_khi!$Q$46)</f>
        <v/>
      </c>
      <c r="H46" t="n">
        <v>6.255</v>
      </c>
      <c r="I46">
        <f>Vu_khi!$W$46*MAX(1,$E$46)</f>
        <v/>
      </c>
      <c r="J46" t="n">
        <v>291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46.52278177458034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2</v>
      </c>
      <c r="AA46">
        <f>AND(Vu_khi!$K$46="Kinetic",NOT(Vu_khi!$AG$46))</f>
        <v/>
      </c>
      <c r="AB46" t="b">
        <v>0</v>
      </c>
      <c r="AC46">
        <f>IF(Vu_khi!$AG$46,INDEX(Bang_danh_noc!$C$2:$C$8,MIN(7,MAX(1,2-(Vu_khi!$L$46-0)+1))),INDEX(Bang_xuyen_giap!$C$2:$C$8,MIN(7,MAX(1,IF($O$46,MAX(1,2-(Vu_khi!$L$46-0)),2-(Vu_khi!$L$46-0))+1))))*IF($AA$46,INDEX(Bang_xuyen_qua!$C$2:$C$5,MIN(4,MAX(1,(Vu_khi!$L$46)-(0)-1))),1)</f>
        <v/>
      </c>
      <c r="AD46" t="n">
        <v>1.2</v>
      </c>
      <c r="AE46">
        <f>IF(Vu_khi!$AG$46,INDEX(Bang_danh_noc!$C$2:$C$8,MIN(7,MAX(1,2-(Vu_khi!$L$46-2)+1))),INDEX(Bang_xuyen_giap!$C$2:$C$8,MIN(7,MAX(1,IF($O$46,MAX(1,2-(Vu_khi!$L$46-2)),2-(Vu_khi!$L$46-2))+1))))*IF($AA$46,INDEX(Bang_xuyen_qua!$C$2:$C$5,MIN(4,MAX(1,(Vu_khi!$L$46)-(2)-1))),1)</f>
        <v/>
      </c>
      <c r="AF46" t="n">
        <v>1</v>
      </c>
      <c r="AG46">
        <f>IF(Vu_khi!$AG$46,INDEX(Bang_danh_noc!$C$2:$C$8,MIN(7,MAX(1,2-(Vu_khi!$L$46-4)+1))),INDEX(Bang_xuyen_giap!$C$2:$C$8,MIN(7,MAX(1,IF($O$46,MAX(1,2-(Vu_khi!$L$46-4)),2-(Vu_khi!$L$46-4))+1))))*IF($AA$46,INDEX(Bang_xuyen_qua!$C$2:$C$5,MIN(4,MAX(1,(Vu_khi!$L$46)-(4)-1))),1)</f>
        <v/>
      </c>
      <c r="AH46" t="n">
        <v>0.65</v>
      </c>
      <c r="AI46">
        <f>INDEX(Bang_xuyen_giap!$C$2:$C$8,MIN(7,MAX(1,MAX(1,2-(Vu_khi!$L$46-0))+1)))*IF($AA$46,INDEX(Bang_xuyen_qua!$C$2:$C$5,MIN(4,MAX(1,(Vu_khi!$L$46)-(0)-1))),1)</f>
        <v/>
      </c>
      <c r="AJ46" t="n">
        <v>1</v>
      </c>
      <c r="AK46">
        <f>IF($Q$46,$M$46*$AC$46*$U$46,0)</f>
        <v/>
      </c>
      <c r="AL46" t="n">
        <v>55.8273381294964</v>
      </c>
      <c r="AM46">
        <f>IF($Q$46,$M$46*$AE$46*$U$46,0)</f>
        <v/>
      </c>
      <c r="AN46" t="n">
        <v>46.52278177458034</v>
      </c>
      <c r="AO46">
        <f>IF($Q$46,$M$46*$AG$46*$U$46,0)</f>
        <v/>
      </c>
      <c r="AP46" t="n">
        <v>30.23980815347722</v>
      </c>
      <c r="AQ46">
        <f>IF($Q$46,$M$46*$AE$46*$Y$46,0)</f>
        <v/>
      </c>
      <c r="AR46" t="n">
        <v>93.04556354916068</v>
      </c>
      <c r="AS46">
        <f>IF($S$46,$M$46*$AI$46*$W$46,0)</f>
        <v/>
      </c>
      <c r="AT46" t="n">
        <v>0</v>
      </c>
      <c r="AU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V46" t="b">
        <v>0</v>
      </c>
      <c r="AW46">
        <f>IF(AND($B$46&lt;0,$AU$46),4,$B$46)</f>
        <v/>
      </c>
      <c r="AX46" t="n">
        <v>3</v>
      </c>
      <c r="AY46">
        <f>IF($AW$46&lt;4,0,MIN(MAX(0.5,Canh_bao_vong!$D$4),MAX(IF(Vu_khi!$C$46="cal_406",Canh_bao_vong!$D$7,IF($AW$46&gt;=5,Canh_bao_vong!$D$9,Canh_bao_vong!$D$8)),Canh_bao_vong!$D$2+MAX(0,Vu_khi!$X$46)/MAX(0.1,Canh_bao_vong!$D$5))))</f>
        <v/>
      </c>
      <c r="AZ46" t="n">
        <v>0</v>
      </c>
      <c r="BA46" t="n">
        <v>0.5838</v>
      </c>
      <c r="BB46" t="inlineStr">
        <is>
          <t>NHANH_QUA;LECH_DOT_1</t>
        </is>
      </c>
      <c r="BC46" t="b">
        <v>1</v>
      </c>
      <c r="BD46" t="n">
        <v>170</v>
      </c>
      <c r="BE46" t="n">
        <v>221</v>
      </c>
      <c r="BF46" t="n">
        <v>0.068</v>
      </c>
      <c r="BG46" t="n">
        <v>0.135</v>
      </c>
      <c r="BH46" t="n">
        <v>0.271</v>
      </c>
      <c r="BI46" t="n">
        <v>0.208</v>
      </c>
      <c r="BJ46" t="inlineStr">
        <is>
          <t>DIRECT_FAST</t>
        </is>
      </c>
      <c r="BK46" t="inlineStr">
        <is>
          <t>ok</t>
        </is>
      </c>
      <c r="BL46" t="inlineStr">
        <is>
          <t>own line</t>
        </is>
      </c>
      <c r="BM46" t="inlineStr"/>
      <c r="BN46" t="inlineStr">
        <is>
          <t>Assets/MachineBrigade/Resources/Data/balance.json: weapons[id=boss_thermo] (lớp B trên 01_chien_dau/Vu_khi)</t>
        </is>
      </c>
      <c r="BO46" t="inlineStr"/>
    </row>
    <row r="47">
      <c r="A47" t="inlineStr">
        <is>
          <t>buk_launcher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2</v>
      </c>
      <c r="G47">
        <f>IF(Vu_khi!$S$47&gt;0,(Vu_khi!$S$47-1)*Vu_khi!$R$47+Vu_khi!$T$47,Vu_khi!$R$47+(Vu_khi!$P$47-1)*Vu_khi!$Q$47)</f>
        <v/>
      </c>
      <c r="H47" t="n">
        <v>3.3</v>
      </c>
      <c r="I47">
        <f>Vu_khi!$W$47*MAX(1,$E$47)</f>
        <v/>
      </c>
      <c r="J47" t="n">
        <v>640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193.9393939393939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0</v>
      </c>
      <c r="S47">
        <f>AND(NOT(Vu_khi!$AJ$47),OR(Vu_khi!$AC$47="Air",Vu_khi!$AC$47="All"))</f>
        <v/>
      </c>
      <c r="T47" t="b">
        <v>1</v>
      </c>
      <c r="U47">
        <f>INDEX(Bang_sat_thuong!$B$2:$B$7,MATCH(Vu_khi!$K$47,Bang_sat_thuong!$A$2:$A$7,0))</f>
        <v/>
      </c>
      <c r="V47" t="n">
        <v>0.45</v>
      </c>
      <c r="W47">
        <f>INDEX(Bang_sat_thuong!$C$2:$C$7,MATCH(Vu_khi!$K$47,Bang_sat_thuong!$A$2:$A$7,0))</f>
        <v/>
      </c>
      <c r="X47" t="n">
        <v>1.35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0.1</v>
      </c>
      <c r="AA47">
        <f>AND(Vu_khi!$K$47="Kinetic",NOT(Vu_khi!$AG$47))</f>
        <v/>
      </c>
      <c r="AB47" t="b">
        <v>0</v>
      </c>
      <c r="AC47">
        <f>IF(Vu_khi!$AG$47,INDEX(Bang_danh_noc!$C$2:$C$8,MIN(7,MAX(1,2-(Vu_khi!$L$47-0)+1))),INDEX(Bang_xuyen_giap!$C$2:$C$8,MIN(7,MAX(1,IF($O$47,MAX(1,2-(Vu_khi!$L$47-0)),2-(Vu_khi!$L$47-0))+1))))*IF($AA$47,INDEX(Bang_xuyen_qua!$C$2:$C$5,MIN(4,MAX(1,(Vu_khi!$L$47)-(0)-1))),1)</f>
        <v/>
      </c>
      <c r="AD47" t="n">
        <v>1.2</v>
      </c>
      <c r="AE47">
        <f>IF(Vu_khi!$AG$47,INDEX(Bang_danh_noc!$C$2:$C$8,MIN(7,MAX(1,2-(Vu_khi!$L$47-2)+1))),INDEX(Bang_xuyen_giap!$C$2:$C$8,MIN(7,MAX(1,IF($O$47,MAX(1,2-(Vu_khi!$L$47-2)),2-(Vu_khi!$L$47-2))+1))))*IF($AA$47,INDEX(Bang_xuyen_qua!$C$2:$C$5,MIN(4,MAX(1,(Vu_khi!$L$47)-(2)-1))),1)</f>
        <v/>
      </c>
      <c r="AF47" t="n">
        <v>1</v>
      </c>
      <c r="AG47">
        <f>IF(Vu_khi!$AG$47,INDEX(Bang_danh_noc!$C$2:$C$8,MIN(7,MAX(1,2-(Vu_khi!$L$47-4)+1))),INDEX(Bang_xuyen_giap!$C$2:$C$8,MIN(7,MAX(1,IF($O$47,MAX(1,2-(Vu_khi!$L$47-4)),2-(Vu_khi!$L$47-4))+1))))*IF($AA$47,INDEX(Bang_xuyen_qua!$C$2:$C$5,MIN(4,MAX(1,(Vu_khi!$L$47)-(4)-1))),1)</f>
        <v/>
      </c>
      <c r="AH47" t="n">
        <v>0.65</v>
      </c>
      <c r="AI47">
        <f>INDEX(Bang_xuyen_giap!$C$2:$C$8,MIN(7,MAX(1,MAX(1,2-(Vu_khi!$L$47-0))+1)))*IF($AA$47,INDEX(Bang_xuyen_qua!$C$2:$C$5,MIN(4,MAX(1,(Vu_khi!$L$47)-(0)-1))),1)</f>
        <v/>
      </c>
      <c r="AJ47" t="n">
        <v>1</v>
      </c>
      <c r="AK47">
        <f>IF($Q$47,$M$47*$AC$47*$U$47,0)</f>
        <v/>
      </c>
      <c r="AL47" t="n">
        <v>0</v>
      </c>
      <c r="AM47">
        <f>IF($Q$47,$M$47*$AE$47*$U$47,0)</f>
        <v/>
      </c>
      <c r="AN47" t="n">
        <v>0</v>
      </c>
      <c r="AO47">
        <f>IF($Q$47,$M$47*$AG$47*$U$47,0)</f>
        <v/>
      </c>
      <c r="AP47" t="n">
        <v>0</v>
      </c>
      <c r="AQ47">
        <f>IF($Q$47,$M$47*$AE$47*$Y$47,0)</f>
        <v/>
      </c>
      <c r="AR47" t="n">
        <v>0</v>
      </c>
      <c r="AS47">
        <f>IF($S$47,$M$47*$AI$47*$W$47,0)</f>
        <v/>
      </c>
      <c r="AT47" t="n">
        <v>261.8181818181818</v>
      </c>
      <c r="AU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V47" t="b">
        <v>0</v>
      </c>
      <c r="AW47">
        <f>IF(AND($B$47&lt;0,$AU$47),4,$B$47)</f>
        <v/>
      </c>
      <c r="AX47" t="n">
        <v>2</v>
      </c>
      <c r="AY47">
        <f>IF($AW$47&lt;4,0,MIN(MAX(0.5,Canh_bao_vong!$D$4),MAX(IF(Vu_khi!$C$47="cal_406",Canh_bao_vong!$D$7,IF($AW$47&gt;=5,Canh_bao_vong!$D$9,Canh_bao_vong!$D$8)),Canh_bao_vong!$D$2+MAX(0,Vu_khi!$X$47)/MAX(0.1,Canh_bao_vong!$D$5))))</f>
        <v/>
      </c>
      <c r="AZ47" t="n">
        <v>0</v>
      </c>
      <c r="BA47" t="n">
        <v>0.4125</v>
      </c>
      <c r="BB47" t="inlineStr">
        <is>
          <t>NHANH_QUA</t>
        </is>
      </c>
      <c r="BC47" t="inlineStr"/>
      <c r="BD47" t="n">
        <v>145</v>
      </c>
      <c r="BE47" t="n">
        <v>188.5</v>
      </c>
      <c r="BF47" t="n">
        <v>0.095</v>
      </c>
      <c r="BG47" t="n">
        <v>0.19</v>
      </c>
      <c r="BH47" t="n">
        <v>0.379</v>
      </c>
      <c r="BI47" t="n">
        <v>0.292</v>
      </c>
      <c r="BJ47" t="inlineStr">
        <is>
          <t>AIR_DEFENCE_MISSILE</t>
        </is>
      </c>
      <c r="BK47" t="inlineStr">
        <is>
          <t>ok</t>
        </is>
      </c>
      <c r="BL47" t="inlineStr">
        <is>
          <t>family 9m317_buk</t>
        </is>
      </c>
      <c r="BM47" t="n">
        <v>72.5</v>
      </c>
      <c r="BN47" t="inlineStr">
        <is>
          <t>Assets/MachineBrigade/Resources/Data/balance.json: weapons[id=buk_launcher] (lớp B trên 01_chien_dau/Vu_khi)</t>
        </is>
      </c>
      <c r="BO47" t="inlineStr"/>
    </row>
    <row r="48">
      <c r="A48" t="inlineStr">
        <is>
          <t>bunker_flame</t>
        </is>
      </c>
      <c r="B48" t="n">
        <v>1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0.195</v>
      </c>
      <c r="I48">
        <f>Vu_khi!$W$48*MAX(1,$E$48)</f>
        <v/>
      </c>
      <c r="J48" t="n">
        <v>26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133.3333333333333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1.35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1.1</v>
      </c>
      <c r="AA48">
        <f>AND(Vu_khi!$K$48="Kinetic",NOT(Vu_khi!$AG$48))</f>
        <v/>
      </c>
      <c r="AB48" t="b">
        <v>0</v>
      </c>
      <c r="AC48">
        <f>IF(Vu_khi!$AG$48,INDEX(Bang_danh_noc!$C$2:$C$8,MIN(7,MAX(1,2-(Vu_khi!$L$48-0)+1))),INDEX(Bang_xuyen_giap!$C$2:$C$8,MIN(7,MAX(1,IF($O$48,MAX(1,2-(Vu_khi!$L$48-0)),2-(Vu_khi!$L$48-0))+1))))*IF($AA$48,INDEX(Bang_xuyen_qua!$C$2:$C$5,MIN(4,MAX(1,(Vu_khi!$L$48)-(0)-1))),1)</f>
        <v/>
      </c>
      <c r="AD48" t="n">
        <v>1</v>
      </c>
      <c r="AE48">
        <f>IF(Vu_khi!$AG$48,INDEX(Bang_danh_noc!$C$2:$C$8,MIN(7,MAX(1,2-(Vu_khi!$L$48-2)+1))),INDEX(Bang_xuyen_giap!$C$2:$C$8,MIN(7,MAX(1,IF($O$48,MAX(1,2-(Vu_khi!$L$48-2)),2-(Vu_khi!$L$48-2))+1))))*IF($AA$48,INDEX(Bang_xuyen_qua!$C$2:$C$5,MIN(4,MAX(1,(Vu_khi!$L$48)-(2)-1))),1)</f>
        <v/>
      </c>
      <c r="AF48" t="n">
        <v>0.65</v>
      </c>
      <c r="AG48">
        <f>IF(Vu_khi!$AG$48,INDEX(Bang_danh_noc!$C$2:$C$8,MIN(7,MAX(1,2-(Vu_khi!$L$48-4)+1))),INDEX(Bang_xuyen_giap!$C$2:$C$8,MIN(7,MAX(1,IF($O$48,MAX(1,2-(Vu_khi!$L$48-4)),2-(Vu_khi!$L$48-4))+1))))*IF($AA$48,INDEX(Bang_xuyen_qua!$C$2:$C$5,MIN(4,MAX(1,(Vu_khi!$L$48)-(4)-1))),1)</f>
        <v/>
      </c>
      <c r="AH48" t="n">
        <v>0.15</v>
      </c>
      <c r="AI48">
        <f>INDEX(Bang_xuyen_giap!$C$2:$C$8,MIN(7,MAX(1,MAX(1,2-(Vu_khi!$L$48-0))+1)))*IF($AA$48,INDEX(Bang_xuyen_qua!$C$2:$C$5,MIN(4,MAX(1,(Vu_khi!$L$48)-(0)-1))),1)</f>
        <v/>
      </c>
      <c r="AJ48" t="n">
        <v>1</v>
      </c>
      <c r="AK48">
        <f>IF($Q$48,$M$48*$AC$48*$U$48,0)</f>
        <v/>
      </c>
      <c r="AL48" t="n">
        <v>180</v>
      </c>
      <c r="AM48">
        <f>IF($Q$48,$M$48*$AE$48*$U$48,0)</f>
        <v/>
      </c>
      <c r="AN48" t="n">
        <v>117</v>
      </c>
      <c r="AO48">
        <f>IF($Q$48,$M$48*$AG$48*$U$48,0)</f>
        <v/>
      </c>
      <c r="AP48" t="n">
        <v>27</v>
      </c>
      <c r="AQ48">
        <f>IF($Q$48,$M$48*$AE$48*$Y$48,0)</f>
        <v/>
      </c>
      <c r="AR48" t="n">
        <v>95.33333333333336</v>
      </c>
      <c r="AS48">
        <f>IF($S$48,$M$48*$AI$48*$W$48,0)</f>
        <v/>
      </c>
      <c r="AT48" t="n">
        <v>0</v>
      </c>
      <c r="AU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V48" t="b">
        <v>0</v>
      </c>
      <c r="AW48">
        <f>IF(AND($B$48&lt;0,$AU$48),4,$B$48)</f>
        <v/>
      </c>
      <c r="AX48" t="n">
        <v>1</v>
      </c>
      <c r="AY48">
        <f>IF($AW$48&lt;4,0,MIN(MAX(0.5,Canh_bao_vong!$D$4),MAX(IF(Vu_khi!$C$48="cal_406",Canh_bao_vong!$D$7,IF($AW$48&gt;=5,Canh_bao_vong!$D$9,Canh_bao_vong!$D$8)),Canh_bao_vong!$D$2+MAX(0,Vu_khi!$X$48)/MAX(0.1,Canh_bao_vong!$D$5))))</f>
        <v/>
      </c>
      <c r="AZ48" t="n">
        <v>0</v>
      </c>
      <c r="BA48" t="inlineStr"/>
      <c r="BB48" t="inlineStr">
        <is>
          <t>ok</t>
        </is>
      </c>
      <c r="BC48" t="inlineStr"/>
      <c r="BD48" t="n">
        <v>36</v>
      </c>
      <c r="BE48" t="n">
        <v>46.8</v>
      </c>
      <c r="BF48" t="n">
        <v>0.111</v>
      </c>
      <c r="BG48" t="n">
        <v>0.222</v>
      </c>
      <c r="BH48" t="n">
        <v>0.444</v>
      </c>
      <c r="BI48" t="n">
        <v>0.342</v>
      </c>
      <c r="BJ48" t="inlineStr">
        <is>
          <t>BEAM_OR_MELEE</t>
        </is>
      </c>
      <c r="BK48" t="inlineStr">
        <is>
          <t>ok</t>
        </is>
      </c>
      <c r="BL48" t="inlineStr">
        <is>
          <t>inherited from flamethrower</t>
        </is>
      </c>
      <c r="BM48" t="inlineStr"/>
      <c r="BN48" t="inlineStr">
        <is>
          <t>Assets/MachineBrigade/Resources/Data/balance.json: weapons[id=bunker_flame] (lớp B trên 01_chien_dau/Vu_khi)</t>
        </is>
      </c>
      <c r="BO48" t="inlineStr"/>
    </row>
    <row r="49">
      <c r="A49" t="inlineStr">
        <is>
          <t>bunker_hmg</t>
        </is>
      </c>
      <c r="B49" t="n">
        <v>0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150</v>
      </c>
      <c r="G49">
        <f>IF(Vu_khi!$S$49&gt;0,(Vu_khi!$S$49-1)*Vu_khi!$R$49+Vu_khi!$T$49,Vu_khi!$R$49+(Vu_khi!$P$49-1)*Vu_khi!$Q$49)</f>
        <v/>
      </c>
      <c r="H49" t="n">
        <v>13.3</v>
      </c>
      <c r="I49">
        <f>Vu_khi!$W$49*MAX(1,$E$49)</f>
        <v/>
      </c>
      <c r="J49" t="n">
        <v>1425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107.1428571428571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1</v>
      </c>
      <c r="U49">
        <f>INDEX(Bang_sat_thuong!$B$2:$B$7,MATCH(Vu_khi!$K$49,Bang_sat_thuong!$A$2:$A$7,0))</f>
        <v/>
      </c>
      <c r="V49" t="n">
        <v>1.2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0.7</v>
      </c>
      <c r="AA49">
        <f>AND(Vu_khi!$K$49="Kinetic",NOT(Vu_khi!$AG$49))</f>
        <v/>
      </c>
      <c r="AB49" t="b">
        <v>1</v>
      </c>
      <c r="AC49">
        <f>IF(Vu_khi!$AG$49,INDEX(Bang_danh_noc!$C$2:$C$8,MIN(7,MAX(1,2-(Vu_khi!$L$49-0)+1))),INDEX(Bang_xuyen_giap!$C$2:$C$8,MIN(7,MAX(1,IF($O$49,MAX(1,2-(Vu_khi!$L$49-0)),2-(Vu_khi!$L$49-0))+1))))*IF($AA$49,INDEX(Bang_xuyen_qua!$C$2:$C$5,MIN(4,MAX(1,(Vu_khi!$L$49)-(0)-1))),1)</f>
        <v/>
      </c>
      <c r="AD49" t="n">
        <v>1</v>
      </c>
      <c r="AE49">
        <f>IF(Vu_khi!$AG$49,INDEX(Bang_danh_noc!$C$2:$C$8,MIN(7,MAX(1,2-(Vu_khi!$L$49-2)+1))),INDEX(Bang_xuyen_giap!$C$2:$C$8,MIN(7,MAX(1,IF($O$49,MAX(1,2-(Vu_khi!$L$49-2)),2-(Vu_khi!$L$49-2))+1))))*IF($AA$49,INDEX(Bang_xuyen_qua!$C$2:$C$5,MIN(4,MAX(1,(Vu_khi!$L$49)-(2)-1))),1)</f>
        <v/>
      </c>
      <c r="AF49" t="n">
        <v>0.65</v>
      </c>
      <c r="AG49">
        <f>IF(Vu_khi!$AG$49,INDEX(Bang_danh_noc!$C$2:$C$8,MIN(7,MAX(1,2-(Vu_khi!$L$49-4)+1))),INDEX(Bang_xuyen_giap!$C$2:$C$8,MIN(7,MAX(1,IF($O$49,MAX(1,2-(Vu_khi!$L$49-4)),2-(Vu_khi!$L$49-4))+1))))*IF($AA$49,INDEX(Bang_xuyen_qua!$C$2:$C$5,MIN(4,MAX(1,(Vu_khi!$L$49)-(4)-1))),1)</f>
        <v/>
      </c>
      <c r="AH49" t="n">
        <v>0.15</v>
      </c>
      <c r="AI49">
        <f>INDEX(Bang_xuyen_giap!$C$2:$C$8,MIN(7,MAX(1,MAX(1,2-(Vu_khi!$L$49-0))+1)))*IF($AA$49,INDEX(Bang_xuyen_qua!$C$2:$C$5,MIN(4,MAX(1,(Vu_khi!$L$49)-(0)-1))),1)</f>
        <v/>
      </c>
      <c r="AJ49" t="n">
        <v>1</v>
      </c>
      <c r="AK49">
        <f>IF($Q$49,$M$49*$AC$49*$U$49,0)</f>
        <v/>
      </c>
      <c r="AL49" t="n">
        <v>128.5714285714286</v>
      </c>
      <c r="AM49">
        <f>IF($Q$49,$M$49*$AE$49*$U$49,0)</f>
        <v/>
      </c>
      <c r="AN49" t="n">
        <v>83.57142857142857</v>
      </c>
      <c r="AO49">
        <f>IF($Q$49,$M$49*$AG$49*$U$49,0)</f>
        <v/>
      </c>
      <c r="AP49" t="n">
        <v>19.28571428571428</v>
      </c>
      <c r="AQ49">
        <f>IF($Q$49,$M$49*$AE$49*$Y$49,0)</f>
        <v/>
      </c>
      <c r="AR49" t="n">
        <v>48.74999999999999</v>
      </c>
      <c r="AS49">
        <f>IF($S$49,$M$49*$AI$49*$W$49,0)</f>
        <v/>
      </c>
      <c r="AT49" t="n">
        <v>32.14285714285714</v>
      </c>
      <c r="AU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V49" t="b">
        <v>0</v>
      </c>
      <c r="AW49">
        <f>IF(AND($B$49&lt;0,$AU$49),4,$B$49)</f>
        <v/>
      </c>
      <c r="AX49" t="n">
        <v>0</v>
      </c>
      <c r="AY49">
        <f>IF($AW$49&lt;4,0,MIN(MAX(0.5,Canh_bao_vong!$D$4),MAX(IF(Vu_khi!$C$49="cal_406",Canh_bao_vong!$D$7,IF($AW$49&gt;=5,Canh_bao_vong!$D$9,Canh_bao_vong!$D$8)),Canh_bao_vong!$D$2+MAX(0,Vu_khi!$X$49)/MAX(0.1,Canh_bao_vong!$D$5))))</f>
        <v/>
      </c>
      <c r="AZ49" t="n">
        <v>0</v>
      </c>
      <c r="BA49" t="n">
        <v>1.182222</v>
      </c>
      <c r="BB49" t="inlineStr">
        <is>
          <t>ok</t>
        </is>
      </c>
      <c r="BC49" t="inlineStr"/>
      <c r="BD49" t="n">
        <v>240</v>
      </c>
      <c r="BE49" t="n">
        <v>312</v>
      </c>
      <c r="BF49" t="n">
        <v>0.033</v>
      </c>
      <c r="BG49" t="n">
        <v>0.067</v>
      </c>
      <c r="BH49" t="n">
        <v>0.133</v>
      </c>
      <c r="BI49" t="n">
        <v>0.103</v>
      </c>
      <c r="BJ49" t="inlineStr">
        <is>
          <t>DIRECT_BULLET</t>
        </is>
      </c>
      <c r="BK49" t="inlineStr">
        <is>
          <t>ok</t>
        </is>
      </c>
      <c r="BL49" t="inlineStr">
        <is>
          <t>family nsv_12_7_mm</t>
        </is>
      </c>
      <c r="BM49" t="inlineStr"/>
      <c r="BN49" t="inlineStr">
        <is>
          <t>Assets/MachineBrigade/Resources/Data/balance.json: weapons[id=bunker_hmg] (lớp B trên 01_chien_dau/Vu_khi)</t>
        </is>
      </c>
      <c r="BO49" t="inlineStr"/>
    </row>
    <row r="50">
      <c r="A50" t="inlineStr">
        <is>
          <t>bunker_hmg_api</t>
        </is>
      </c>
      <c r="B50" t="n">
        <v>0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150</v>
      </c>
      <c r="G50">
        <f>IF(Vu_khi!$S$50&gt;0,(Vu_khi!$S$50-1)*Vu_khi!$R$50+Vu_khi!$T$50,Vu_khi!$R$50+(Vu_khi!$P$50-1)*Vu_khi!$Q$50)</f>
        <v/>
      </c>
      <c r="H50" t="n">
        <v>13.3</v>
      </c>
      <c r="I50">
        <f>Vu_khi!$W$50*MAX(1,$E$50)</f>
        <v/>
      </c>
      <c r="J50" t="n">
        <v>1425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107.1428571428571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1.2</v>
      </c>
      <c r="W50">
        <f>INDEX(Bang_sat_thuong!$C$2:$C$7,MATCH(Vu_khi!$K$50,Bang_sat_thuong!$A$2:$A$7,0))</f>
        <v/>
      </c>
      <c r="X50" t="n">
        <v>0.3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0.7</v>
      </c>
      <c r="AA50">
        <f>AND(Vu_khi!$K$50="Kinetic",NOT(Vu_khi!$AG$50))</f>
        <v/>
      </c>
      <c r="AB50" t="b">
        <v>1</v>
      </c>
      <c r="AC50">
        <f>IF(Vu_khi!$AG$50,INDEX(Bang_danh_noc!$C$2:$C$8,MIN(7,MAX(1,2-(Vu_khi!$L$50-0)+1))),INDEX(Bang_xuyen_giap!$C$2:$C$8,MIN(7,MAX(1,IF($O$50,MAX(1,2-(Vu_khi!$L$50-0)),2-(Vu_khi!$L$50-0))+1))))*IF($AA$50,INDEX(Bang_xuyen_qua!$C$2:$C$5,MIN(4,MAX(1,(Vu_khi!$L$50)-(0)-1))),1)</f>
        <v/>
      </c>
      <c r="AD50" t="n">
        <v>1.2</v>
      </c>
      <c r="AE50">
        <f>IF(Vu_khi!$AG$50,INDEX(Bang_danh_noc!$C$2:$C$8,MIN(7,MAX(1,2-(Vu_khi!$L$50-2)+1))),INDEX(Bang_xuyen_giap!$C$2:$C$8,MIN(7,MAX(1,IF($O$50,MAX(1,2-(Vu_khi!$L$50-2)),2-(Vu_khi!$L$50-2))+1))))*IF($AA$50,INDEX(Bang_xuyen_qua!$C$2:$C$5,MIN(4,MAX(1,(Vu_khi!$L$50)-(2)-1))),1)</f>
        <v/>
      </c>
      <c r="AF50" t="n">
        <v>0.85</v>
      </c>
      <c r="AG50">
        <f>IF(Vu_khi!$AG$50,INDEX(Bang_danh_noc!$C$2:$C$8,MIN(7,MAX(1,2-(Vu_khi!$L$50-4)+1))),INDEX(Bang_xuyen_giap!$C$2:$C$8,MIN(7,MAX(1,IF($O$50,MAX(1,2-(Vu_khi!$L$50-4)),2-(Vu_khi!$L$50-4))+1))))*IF($AA$50,INDEX(Bang_xuyen_qua!$C$2:$C$5,MIN(4,MAX(1,(Vu_khi!$L$50)-(4)-1))),1)</f>
        <v/>
      </c>
      <c r="AH50" t="n">
        <v>0.4</v>
      </c>
      <c r="AI50">
        <f>INDEX(Bang_xuyen_giap!$C$2:$C$8,MIN(7,MAX(1,MAX(1,2-(Vu_khi!$L$50-0))+1)))*IF($AA$50,INDEX(Bang_xuyen_qua!$C$2:$C$5,MIN(4,MAX(1,(Vu_khi!$L$50)-(0)-1))),1)</f>
        <v/>
      </c>
      <c r="AJ50" t="n">
        <v>1</v>
      </c>
      <c r="AK50">
        <f>IF($Q$50,$M$50*$AC$50*$U$50,0)</f>
        <v/>
      </c>
      <c r="AL50" t="n">
        <v>154.2857142857143</v>
      </c>
      <c r="AM50">
        <f>IF($Q$50,$M$50*$AE$50*$U$50,0)</f>
        <v/>
      </c>
      <c r="AN50" t="n">
        <v>109.2857142857143</v>
      </c>
      <c r="AO50">
        <f>IF($Q$50,$M$50*$AG$50*$U$50,0)</f>
        <v/>
      </c>
      <c r="AP50" t="n">
        <v>51.42857142857142</v>
      </c>
      <c r="AQ50">
        <f>IF($Q$50,$M$50*$AE$50*$Y$50,0)</f>
        <v/>
      </c>
      <c r="AR50" t="n">
        <v>63.74999999999999</v>
      </c>
      <c r="AS50">
        <f>IF($S$50,$M$50*$AI$50*$W$50,0)</f>
        <v/>
      </c>
      <c r="AT50" t="n">
        <v>32.14285714285714</v>
      </c>
      <c r="AU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V50" t="b">
        <v>0</v>
      </c>
      <c r="AW50">
        <f>IF(AND($B$50&lt;0,$AU$50),4,$B$50)</f>
        <v/>
      </c>
      <c r="AX50" t="n">
        <v>0</v>
      </c>
      <c r="AY50">
        <f>IF($AW$50&lt;4,0,MIN(MAX(0.5,Canh_bao_vong!$D$4),MAX(IF(Vu_khi!$C$50="cal_406",Canh_bao_vong!$D$7,IF($AW$50&gt;=5,Canh_bao_vong!$D$9,Canh_bao_vong!$D$8)),Canh_bao_vong!$D$2+MAX(0,Vu_khi!$X$50)/MAX(0.1,Canh_bao_vong!$D$5))))</f>
        <v/>
      </c>
      <c r="AZ50" t="n">
        <v>0</v>
      </c>
      <c r="BD50" t="n">
        <v>240</v>
      </c>
      <c r="BE50" t="n">
        <v>312</v>
      </c>
      <c r="BF50" t="n">
        <v>0.033</v>
      </c>
      <c r="BG50" t="n">
        <v>0.067</v>
      </c>
      <c r="BH50" t="n">
        <v>0.133</v>
      </c>
      <c r="BI50" t="n">
        <v>0.103</v>
      </c>
      <c r="BJ50" t="inlineStr">
        <is>
          <t>DIRECT_BULLET</t>
        </is>
      </c>
      <c r="BK50" t="inlineStr">
        <is>
          <t>ok</t>
        </is>
      </c>
      <c r="BL50" t="inlineStr">
        <is>
          <t>family nsv_12_7_mm_api</t>
        </is>
      </c>
      <c r="BM50" t="inlineStr"/>
      <c r="BN50" t="inlineStr">
        <is>
          <t>Assets/MachineBrigade/Resources/Data/balance.json: weapons[id=bunker_hmg_api] (lớp B trên 01_chien_dau/Vu_khi)</t>
        </is>
      </c>
      <c r="BO50" t="inlineStr"/>
    </row>
    <row r="51">
      <c r="A51" t="inlineStr">
        <is>
          <t>bunker_hmg_twin</t>
        </is>
      </c>
      <c r="B51" t="n">
        <v>0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150</v>
      </c>
      <c r="G51">
        <f>IF(Vu_khi!$S$51&gt;0,(Vu_khi!$S$51-1)*Vu_khi!$R$51+Vu_khi!$T$51,Vu_khi!$R$51+(Vu_khi!$P$51-1)*Vu_khi!$Q$51)</f>
        <v/>
      </c>
      <c r="H51" t="n">
        <v>11.5</v>
      </c>
      <c r="I51">
        <f>Vu_khi!$W$51*MAX(1,$E$51)</f>
        <v/>
      </c>
      <c r="J51" t="n">
        <v>1425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123.9130434782609</v>
      </c>
      <c r="O51">
        <f>OR(Vu_khi!$AG$51,Vu_khi!$AB$51&gt;0,Vu_khi!$AH$51,Vu_khi!$M$51="Bomb",Vu_khi!$M$51="Drone")</f>
        <v/>
      </c>
      <c r="P51" t="b">
        <v>0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1</v>
      </c>
      <c r="U51">
        <f>INDEX(Bang_sat_thuong!$B$2:$B$7,MATCH(Vu_khi!$K$51,Bang_sat_thuong!$A$2:$A$7,0))</f>
        <v/>
      </c>
      <c r="V51" t="n">
        <v>1.2</v>
      </c>
      <c r="W51">
        <f>INDEX(Bang_sat_thuong!$C$2:$C$7,MATCH(Vu_khi!$K$51,Bang_sat_thuong!$A$2:$A$7,0))</f>
        <v/>
      </c>
      <c r="X51" t="n">
        <v>0.3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0.7</v>
      </c>
      <c r="AA51">
        <f>AND(Vu_khi!$K$51="Kinetic",NOT(Vu_khi!$AG$51))</f>
        <v/>
      </c>
      <c r="AB51" t="b">
        <v>1</v>
      </c>
      <c r="AC51">
        <f>IF(Vu_khi!$AG$51,INDEX(Bang_danh_noc!$C$2:$C$8,MIN(7,MAX(1,2-(Vu_khi!$L$51-0)+1))),INDEX(Bang_xuyen_giap!$C$2:$C$8,MIN(7,MAX(1,IF($O$51,MAX(1,2-(Vu_khi!$L$51-0)),2-(Vu_khi!$L$51-0))+1))))*IF($AA$51,INDEX(Bang_xuyen_qua!$C$2:$C$5,MIN(4,MAX(1,(Vu_khi!$L$51)-(0)-1))),1)</f>
        <v/>
      </c>
      <c r="AD51" t="n">
        <v>1</v>
      </c>
      <c r="AE51">
        <f>IF(Vu_khi!$AG$51,INDEX(Bang_danh_noc!$C$2:$C$8,MIN(7,MAX(1,2-(Vu_khi!$L$51-2)+1))),INDEX(Bang_xuyen_giap!$C$2:$C$8,MIN(7,MAX(1,IF($O$51,MAX(1,2-(Vu_khi!$L$51-2)),2-(Vu_khi!$L$51-2))+1))))*IF($AA$51,INDEX(Bang_xuyen_qua!$C$2:$C$5,MIN(4,MAX(1,(Vu_khi!$L$51)-(2)-1))),1)</f>
        <v/>
      </c>
      <c r="AF51" t="n">
        <v>0.65</v>
      </c>
      <c r="AG51">
        <f>IF(Vu_khi!$AG$51,INDEX(Bang_danh_noc!$C$2:$C$8,MIN(7,MAX(1,2-(Vu_khi!$L$51-4)+1))),INDEX(Bang_xuyen_giap!$C$2:$C$8,MIN(7,MAX(1,IF($O$51,MAX(1,2-(Vu_khi!$L$51-4)),2-(Vu_khi!$L$51-4))+1))))*IF($AA$51,INDEX(Bang_xuyen_qua!$C$2:$C$5,MIN(4,MAX(1,(Vu_khi!$L$51)-(4)-1))),1)</f>
        <v/>
      </c>
      <c r="AH51" t="n">
        <v>0.15</v>
      </c>
      <c r="AI51">
        <f>INDEX(Bang_xuyen_giap!$C$2:$C$8,MIN(7,MAX(1,MAX(1,2-(Vu_khi!$L$51-0))+1)))*IF($AA$51,INDEX(Bang_xuyen_qua!$C$2:$C$5,MIN(4,MAX(1,(Vu_khi!$L$51)-(0)-1))),1)</f>
        <v/>
      </c>
      <c r="AJ51" t="n">
        <v>1</v>
      </c>
      <c r="AK51">
        <f>IF($Q$51,$M$51*$AC$51*$U$51,0)</f>
        <v/>
      </c>
      <c r="AL51" t="n">
        <v>148.695652173913</v>
      </c>
      <c r="AM51">
        <f>IF($Q$51,$M$51*$AE$51*$U$51,0)</f>
        <v/>
      </c>
      <c r="AN51" t="n">
        <v>96.65217391304348</v>
      </c>
      <c r="AO51">
        <f>IF($Q$51,$M$51*$AG$51*$U$51,0)</f>
        <v/>
      </c>
      <c r="AP51" t="n">
        <v>22.30434782608696</v>
      </c>
      <c r="AQ51">
        <f>IF($Q$51,$M$51*$AE$51*$Y$51,0)</f>
        <v/>
      </c>
      <c r="AR51" t="n">
        <v>56.3804347826087</v>
      </c>
      <c r="AS51">
        <f>IF($S$51,$M$51*$AI$51*$W$51,0)</f>
        <v/>
      </c>
      <c r="AT51" t="n">
        <v>37.17391304347826</v>
      </c>
      <c r="AU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V51" t="b">
        <v>0</v>
      </c>
      <c r="AW51">
        <f>IF(AND($B$51&lt;0,$AU$51),4,$B$51)</f>
        <v/>
      </c>
      <c r="AX51" t="n">
        <v>0</v>
      </c>
      <c r="AY51">
        <f>IF($AW$51&lt;4,0,MIN(MAX(0.5,Canh_bao_vong!$D$4),MAX(IF(Vu_khi!$C$51="cal_406",Canh_bao_vong!$D$7,IF($AW$51&gt;=5,Canh_bao_vong!$D$9,Canh_bao_vong!$D$8)),Canh_bao_vong!$D$2+MAX(0,Vu_khi!$X$51)/MAX(0.1,Canh_bao_vong!$D$5))))</f>
        <v/>
      </c>
      <c r="AZ51" t="n">
        <v>0</v>
      </c>
      <c r="BA51" t="n">
        <v>2.044444</v>
      </c>
      <c r="BB51" t="inlineStr">
        <is>
          <t>ok</t>
        </is>
      </c>
      <c r="BC51" t="inlineStr"/>
      <c r="BD51" t="n">
        <v>240</v>
      </c>
      <c r="BE51" t="n">
        <v>312</v>
      </c>
      <c r="BF51" t="n">
        <v>0.029</v>
      </c>
      <c r="BG51" t="n">
        <v>0.058</v>
      </c>
      <c r="BH51" t="n">
        <v>0.117</v>
      </c>
      <c r="BI51" t="n">
        <v>0.09</v>
      </c>
      <c r="BJ51" t="inlineStr">
        <is>
          <t>DIRECT_BULLET</t>
        </is>
      </c>
      <c r="BK51" t="inlineStr">
        <is>
          <t>ok</t>
        </is>
      </c>
      <c r="BL51" t="inlineStr">
        <is>
          <t>family nsv_12_7_mm</t>
        </is>
      </c>
      <c r="BM51" t="inlineStr"/>
      <c r="BN51" t="inlineStr">
        <is>
          <t>Assets/MachineBrigade/Resources/Data/balance.json: weapons[id=bunker_hmg_twin] (lớp B trên 01_chien_dau/Vu_khi)</t>
        </is>
      </c>
      <c r="BO51" t="inlineStr"/>
    </row>
    <row r="52">
      <c r="A52" t="inlineStr">
        <is>
          <t>bunker_hmg_twin_api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150</v>
      </c>
      <c r="G52">
        <f>IF(Vu_khi!$S$52&gt;0,(Vu_khi!$S$52-1)*Vu_khi!$R$52+Vu_khi!$T$52,Vu_khi!$R$52+(Vu_khi!$P$52-1)*Vu_khi!$Q$52)</f>
        <v/>
      </c>
      <c r="H52" t="n">
        <v>11.5</v>
      </c>
      <c r="I52">
        <f>Vu_khi!$W$52*MAX(1,$E$52)</f>
        <v/>
      </c>
      <c r="J52" t="n">
        <v>1425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123.9130434782609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1.2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0.7</v>
      </c>
      <c r="AA52">
        <f>AND(Vu_khi!$K$52="Kinetic",NOT(Vu_khi!$AG$52))</f>
        <v/>
      </c>
      <c r="AB52" t="b">
        <v>1</v>
      </c>
      <c r="AC52">
        <f>IF(Vu_khi!$AG$52,INDEX(Bang_danh_noc!$C$2:$C$8,MIN(7,MAX(1,2-(Vu_khi!$L$52-0)+1))),INDEX(Bang_xuyen_giap!$C$2:$C$8,MIN(7,MAX(1,IF($O$52,MAX(1,2-(Vu_khi!$L$52-0)),2-(Vu_khi!$L$52-0))+1))))*IF($AA$52,INDEX(Bang_xuyen_qua!$C$2:$C$5,MIN(4,MAX(1,(Vu_khi!$L$52)-(0)-1))),1)</f>
        <v/>
      </c>
      <c r="AD52" t="n">
        <v>1.2</v>
      </c>
      <c r="AE52">
        <f>IF(Vu_khi!$AG$52,INDEX(Bang_danh_noc!$C$2:$C$8,MIN(7,MAX(1,2-(Vu_khi!$L$52-2)+1))),INDEX(Bang_xuyen_giap!$C$2:$C$8,MIN(7,MAX(1,IF($O$52,MAX(1,2-(Vu_khi!$L$52-2)),2-(Vu_khi!$L$52-2))+1))))*IF($AA$52,INDEX(Bang_xuyen_qua!$C$2:$C$5,MIN(4,MAX(1,(Vu_khi!$L$52)-(2)-1))),1)</f>
        <v/>
      </c>
      <c r="AF52" t="n">
        <v>0.85</v>
      </c>
      <c r="AG52">
        <f>IF(Vu_khi!$AG$52,INDEX(Bang_danh_noc!$C$2:$C$8,MIN(7,MAX(1,2-(Vu_khi!$L$52-4)+1))),INDEX(Bang_xuyen_giap!$C$2:$C$8,MIN(7,MAX(1,IF($O$52,MAX(1,2-(Vu_khi!$L$52-4)),2-(Vu_khi!$L$52-4))+1))))*IF($AA$52,INDEX(Bang_xuyen_qua!$C$2:$C$5,MIN(4,MAX(1,(Vu_khi!$L$52)-(4)-1))),1)</f>
        <v/>
      </c>
      <c r="AH52" t="n">
        <v>0.4</v>
      </c>
      <c r="AI52">
        <f>INDEX(Bang_xuyen_giap!$C$2:$C$8,MIN(7,MAX(1,MAX(1,2-(Vu_khi!$L$52-0))+1)))*IF($AA$52,INDEX(Bang_xuyen_qua!$C$2:$C$5,MIN(4,MAX(1,(Vu_khi!$L$52)-(0)-1))),1)</f>
        <v/>
      </c>
      <c r="AJ52" t="n">
        <v>1</v>
      </c>
      <c r="AK52">
        <f>IF($Q$52,$M$52*$AC$52*$U$52,0)</f>
        <v/>
      </c>
      <c r="AL52" t="n">
        <v>178.4347826086957</v>
      </c>
      <c r="AM52">
        <f>IF($Q$52,$M$52*$AE$52*$U$52,0)</f>
        <v/>
      </c>
      <c r="AN52" t="n">
        <v>126.3913043478261</v>
      </c>
      <c r="AO52">
        <f>IF($Q$52,$M$52*$AG$52*$U$52,0)</f>
        <v/>
      </c>
      <c r="AP52" t="n">
        <v>59.47826086956522</v>
      </c>
      <c r="AQ52">
        <f>IF($Q$52,$M$52*$AE$52*$Y$52,0)</f>
        <v/>
      </c>
      <c r="AR52" t="n">
        <v>73.72826086956522</v>
      </c>
      <c r="AS52">
        <f>IF($S$52,$M$52*$AI$52*$W$52,0)</f>
        <v/>
      </c>
      <c r="AT52" t="n">
        <v>37.17391304347826</v>
      </c>
      <c r="AU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V52" t="b">
        <v>0</v>
      </c>
      <c r="AW52">
        <f>IF(AND($B$52&lt;0,$AU$52),4,$B$52)</f>
        <v/>
      </c>
      <c r="AX52" t="n">
        <v>0</v>
      </c>
      <c r="AY52">
        <f>IF($AW$52&lt;4,0,MIN(MAX(0.5,Canh_bao_vong!$D$4),MAX(IF(Vu_khi!$C$52="cal_406",Canh_bao_vong!$D$7,IF($AW$52&gt;=5,Canh_bao_vong!$D$9,Canh_bao_vong!$D$8)),Canh_bao_vong!$D$2+MAX(0,Vu_khi!$X$52)/MAX(0.1,Canh_bao_vong!$D$5))))</f>
        <v/>
      </c>
      <c r="AZ52" t="n">
        <v>0</v>
      </c>
      <c r="BD52" t="n">
        <v>240</v>
      </c>
      <c r="BE52" t="n">
        <v>312</v>
      </c>
      <c r="BF52" t="n">
        <v>0.029</v>
      </c>
      <c r="BG52" t="n">
        <v>0.058</v>
      </c>
      <c r="BH52" t="n">
        <v>0.117</v>
      </c>
      <c r="BI52" t="n">
        <v>0.09</v>
      </c>
      <c r="BJ52" t="inlineStr">
        <is>
          <t>DIRECT_BULLET</t>
        </is>
      </c>
      <c r="BK52" t="inlineStr">
        <is>
          <t>ok</t>
        </is>
      </c>
      <c r="BL52" t="inlineStr">
        <is>
          <t>family nsv_12_7_mm_api</t>
        </is>
      </c>
      <c r="BM52" t="inlineStr"/>
      <c r="BN52" t="inlineStr">
        <is>
          <t>Assets/MachineBrigade/Resources/Data/balance.json: weapons[id=bunker_hmg_twin_api] (lớp B trên 01_chien_dau/Vu_khi)</t>
        </is>
      </c>
      <c r="BO52" t="inlineStr"/>
    </row>
    <row r="53">
      <c r="A53" t="inlineStr">
        <is>
          <t>bunker_pkm</t>
        </is>
      </c>
      <c r="B53" t="n">
        <v>0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100</v>
      </c>
      <c r="G53">
        <f>IF(Vu_khi!$S$53&gt;0,(Vu_khi!$S$53-1)*Vu_khi!$R$53+Vu_khi!$T$53,Vu_khi!$R$53+(Vu_khi!$P$53-1)*Vu_khi!$Q$53)</f>
        <v/>
      </c>
      <c r="H53" t="n">
        <v>15.108</v>
      </c>
      <c r="I53">
        <f>Vu_khi!$W$53*MAX(1,$E$53)</f>
        <v/>
      </c>
      <c r="J53" t="n">
        <v>160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10.5904156738152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1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1.2</v>
      </c>
      <c r="W53">
        <f>INDEX(Bang_sat_thuong!$C$2:$C$7,MATCH(Vu_khi!$K$53,Bang_sat_thuong!$A$2:$A$7,0))</f>
        <v/>
      </c>
      <c r="X53" t="n">
        <v>0.3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0.7</v>
      </c>
      <c r="AA53">
        <f>AND(Vu_khi!$K$53="Kinetic",NOT(Vu_khi!$AG$53))</f>
        <v/>
      </c>
      <c r="AB53" t="b">
        <v>1</v>
      </c>
      <c r="AC53">
        <f>IF(Vu_khi!$AG$53,INDEX(Bang_danh_noc!$C$2:$C$8,MIN(7,MAX(1,2-(Vu_khi!$L$53-0)+1))),INDEX(Bang_xuyen_giap!$C$2:$C$8,MIN(7,MAX(1,IF($O$53,MAX(1,2-(Vu_khi!$L$53-0)),2-(Vu_khi!$L$53-0))+1))))*IF($AA$53,INDEX(Bang_xuyen_qua!$C$2:$C$5,MIN(4,MAX(1,(Vu_khi!$L$53)-(0)-1))),1)</f>
        <v/>
      </c>
      <c r="AD53" t="n">
        <v>0.85</v>
      </c>
      <c r="AE53">
        <f>IF(Vu_khi!$AG$53,INDEX(Bang_danh_noc!$C$2:$C$8,MIN(7,MAX(1,2-(Vu_khi!$L$53-2)+1))),INDEX(Bang_xuyen_giap!$C$2:$C$8,MIN(7,MAX(1,IF($O$53,MAX(1,2-(Vu_khi!$L$53-2)),2-(Vu_khi!$L$53-2))+1))))*IF($AA$53,INDEX(Bang_xuyen_qua!$C$2:$C$5,MIN(4,MAX(1,(Vu_khi!$L$53)-(2)-1))),1)</f>
        <v/>
      </c>
      <c r="AF53" t="n">
        <v>0.4</v>
      </c>
      <c r="AG53">
        <f>IF(Vu_khi!$AG$53,INDEX(Bang_danh_noc!$C$2:$C$8,MIN(7,MAX(1,2-(Vu_khi!$L$53-4)+1))),INDEX(Bang_xuyen_giap!$C$2:$C$8,MIN(7,MAX(1,IF($O$53,MAX(1,2-(Vu_khi!$L$53-4)),2-(Vu_khi!$L$53-4))+1))))*IF($AA$53,INDEX(Bang_xuyen_qua!$C$2:$C$5,MIN(4,MAX(1,(Vu_khi!$L$53)-(4)-1))),1)</f>
        <v/>
      </c>
      <c r="AH53" t="n">
        <v>0.08</v>
      </c>
      <c r="AI53">
        <f>INDEX(Bang_xuyen_giap!$C$2:$C$8,MIN(7,MAX(1,MAX(1,2-(Vu_khi!$L$53-0))+1)))*IF($AA$53,INDEX(Bang_xuyen_qua!$C$2:$C$5,MIN(4,MAX(1,(Vu_khi!$L$53)-(0)-1))),1)</f>
        <v/>
      </c>
      <c r="AJ53" t="n">
        <v>0.85</v>
      </c>
      <c r="AK53">
        <f>IF($Q$53,$M$53*$AC$53*$U$53,0)</f>
        <v/>
      </c>
      <c r="AL53" t="n">
        <v>10.8022239872915</v>
      </c>
      <c r="AM53">
        <f>IF($Q$53,$M$53*$AE$53*$U$53,0)</f>
        <v/>
      </c>
      <c r="AN53" t="n">
        <v>5.083399523431295</v>
      </c>
      <c r="AO53">
        <f>IF($Q$53,$M$53*$AG$53*$U$53,0)</f>
        <v/>
      </c>
      <c r="AP53" t="n">
        <v>1.016679904686259</v>
      </c>
      <c r="AQ53">
        <f>IF($Q$53,$M$53*$AE$53*$Y$53,0)</f>
        <v/>
      </c>
      <c r="AR53" t="n">
        <v>2.965316388668255</v>
      </c>
      <c r="AS53">
        <f>IF($S$53,$M$53*$AI$53*$W$53,0)</f>
        <v/>
      </c>
      <c r="AT53" t="n">
        <v>2.700555996822875</v>
      </c>
      <c r="AU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V53" t="b">
        <v>0</v>
      </c>
      <c r="AW53">
        <f>IF(AND($B$53&lt;0,$AU$53),4,$B$53)</f>
        <v/>
      </c>
      <c r="AX53" t="n">
        <v>0</v>
      </c>
      <c r="AY53">
        <f>IF($AW$53&lt;4,0,MIN(MAX(0.5,Canh_bao_vong!$D$4),MAX(IF(Vu_khi!$C$53="cal_406",Canh_bao_vong!$D$7,IF($AW$53&gt;=5,Canh_bao_vong!$D$9,Canh_bao_vong!$D$8)),Canh_bao_vong!$D$2+MAX(0,Vu_khi!$X$53)/MAX(0.1,Canh_bao_vong!$D$5))))</f>
        <v/>
      </c>
      <c r="AZ53" t="n">
        <v>0</v>
      </c>
      <c r="BA53" t="inlineStr"/>
      <c r="BB53" t="inlineStr">
        <is>
          <t>LECH_DOT_1</t>
        </is>
      </c>
      <c r="BC53" t="inlineStr"/>
      <c r="BD53" t="n">
        <v>240</v>
      </c>
      <c r="BE53" t="n">
        <v>312</v>
      </c>
      <c r="BF53" t="n">
        <v>0.029</v>
      </c>
      <c r="BG53" t="n">
        <v>0.058</v>
      </c>
      <c r="BH53" t="n">
        <v>0.117</v>
      </c>
      <c r="BI53" t="n">
        <v>0.09</v>
      </c>
      <c r="BJ53" t="inlineStr">
        <is>
          <t>DIRECT_BULLET</t>
        </is>
      </c>
      <c r="BK53" t="inlineStr">
        <is>
          <t>ok</t>
        </is>
      </c>
      <c r="BL53" t="inlineStr">
        <is>
          <t>family pkt_m240_7_62_mm</t>
        </is>
      </c>
      <c r="BM53" t="inlineStr"/>
      <c r="BN53" t="inlineStr">
        <is>
          <t>Assets/MachineBrigade/Resources/Data/balance.json: weapons[id=bunker_pkm] (lớp B trên 01_chien_dau/Vu_khi)</t>
        </is>
      </c>
      <c r="BO53" t="inlineStr"/>
    </row>
    <row r="54">
      <c r="A54" t="inlineStr">
        <is>
          <t>c_ram_gatling</t>
        </is>
      </c>
      <c r="B54" t="n">
        <v>1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200</v>
      </c>
      <c r="G54">
        <f>IF(Vu_khi!$S$54&gt;0,(Vu_khi!$S$54-1)*Vu_khi!$R$54+Vu_khi!$T$54,Vu_khi!$R$54+(Vu_khi!$P$54-1)*Vu_khi!$Q$54)</f>
        <v/>
      </c>
      <c r="H54" t="n">
        <v>7</v>
      </c>
      <c r="I54">
        <f>Vu_khi!$W$54*MAX(1,$E$54)</f>
        <v/>
      </c>
      <c r="J54" t="n">
        <v>400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57.14285714285715</v>
      </c>
      <c r="O54">
        <f>OR(Vu_khi!$AG$54,Vu_khi!$AB$54&gt;0,Vu_khi!$AH$54,Vu_khi!$M$54="Bomb",Vu_khi!$M$54="Drone")</f>
        <v/>
      </c>
      <c r="P54" t="b">
        <v>0</v>
      </c>
      <c r="Q54">
        <f>AND(NOT(Vu_khi!$AJ$54),OR(Vu_khi!$AC$54="Ground",Vu_khi!$AC$54="All"))</f>
        <v/>
      </c>
      <c r="R54" t="b">
        <v>0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0.45</v>
      </c>
      <c r="W54">
        <f>INDEX(Bang_sat_thuong!$C$2:$C$7,MATCH(Vu_khi!$K$54,Bang_sat_thuong!$A$2:$A$7,0))</f>
        <v/>
      </c>
      <c r="X54" t="n">
        <v>1.35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0.1</v>
      </c>
      <c r="AA54">
        <f>AND(Vu_khi!$K$54="Kinetic",NOT(Vu_khi!$AG$54))</f>
        <v/>
      </c>
      <c r="AB54" t="b">
        <v>0</v>
      </c>
      <c r="AC54">
        <f>IF(Vu_khi!$AG$54,INDEX(Bang_danh_noc!$C$2:$C$8,MIN(7,MAX(1,2-(Vu_khi!$L$54-0)+1))),INDEX(Bang_xuyen_giap!$C$2:$C$8,MIN(7,MAX(1,IF($O$54,MAX(1,2-(Vu_khi!$L$54-0)),2-(Vu_khi!$L$54-0))+1))))*IF($AA$54,INDEX(Bang_xuyen_qua!$C$2:$C$5,MIN(4,MAX(1,(Vu_khi!$L$54)-(0)-1))),1)</f>
        <v/>
      </c>
      <c r="AD54" t="n">
        <v>1</v>
      </c>
      <c r="AE54">
        <f>IF(Vu_khi!$AG$54,INDEX(Bang_danh_noc!$C$2:$C$8,MIN(7,MAX(1,2-(Vu_khi!$L$54-2)+1))),INDEX(Bang_xuyen_giap!$C$2:$C$8,MIN(7,MAX(1,IF($O$54,MAX(1,2-(Vu_khi!$L$54-2)),2-(Vu_khi!$L$54-2))+1))))*IF($AA$54,INDEX(Bang_xuyen_qua!$C$2:$C$5,MIN(4,MAX(1,(Vu_khi!$L$54)-(2)-1))),1)</f>
        <v/>
      </c>
      <c r="AF54" t="n">
        <v>0.65</v>
      </c>
      <c r="AG54">
        <f>IF(Vu_khi!$AG$54,INDEX(Bang_danh_noc!$C$2:$C$8,MIN(7,MAX(1,2-(Vu_khi!$L$54-4)+1))),INDEX(Bang_xuyen_giap!$C$2:$C$8,MIN(7,MAX(1,IF($O$54,MAX(1,2-(Vu_khi!$L$54-4)),2-(Vu_khi!$L$54-4))+1))))*IF($AA$54,INDEX(Bang_xuyen_qua!$C$2:$C$5,MIN(4,MAX(1,(Vu_khi!$L$54)-(4)-1))),1)</f>
        <v/>
      </c>
      <c r="AH54" t="n">
        <v>0.15</v>
      </c>
      <c r="AI54">
        <f>INDEX(Bang_xuyen_giap!$C$2:$C$8,MIN(7,MAX(1,MAX(1,2-(Vu_khi!$L$54-0))+1)))*IF($AA$54,INDEX(Bang_xuyen_qua!$C$2:$C$5,MIN(4,MAX(1,(Vu_khi!$L$54)-(0)-1))),1)</f>
        <v/>
      </c>
      <c r="AJ54" t="n">
        <v>1</v>
      </c>
      <c r="AK54">
        <f>IF($Q$54,$M$54*$AC$54*$U$54,0)</f>
        <v/>
      </c>
      <c r="AL54" t="n">
        <v>0</v>
      </c>
      <c r="AM54">
        <f>IF($Q$54,$M$54*$AE$54*$U$54,0)</f>
        <v/>
      </c>
      <c r="AN54" t="n">
        <v>0</v>
      </c>
      <c r="AO54">
        <f>IF($Q$54,$M$54*$AG$54*$U$54,0)</f>
        <v/>
      </c>
      <c r="AP54" t="n">
        <v>0</v>
      </c>
      <c r="AQ54">
        <f>IF($Q$54,$M$54*$AE$54*$Y$54,0)</f>
        <v/>
      </c>
      <c r="AR54" t="n">
        <v>0</v>
      </c>
      <c r="AS54">
        <f>IF($S$54,$M$54*$AI$54*$W$54,0)</f>
        <v/>
      </c>
      <c r="AT54" t="n">
        <v>0</v>
      </c>
      <c r="AU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V54" t="b">
        <v>0</v>
      </c>
      <c r="AW54">
        <f>IF(AND($B$54&lt;0,$AU$54),4,$B$54)</f>
        <v/>
      </c>
      <c r="AX54" t="n">
        <v>1</v>
      </c>
      <c r="AY54">
        <f>IF($AW$54&lt;4,0,MIN(MAX(0.5,Canh_bao_vong!$D$4),MAX(IF(Vu_khi!$C$54="cal_406",Canh_bao_vong!$D$7,IF($AW$54&gt;=5,Canh_bao_vong!$D$9,Canh_bao_vong!$D$8)),Canh_bao_vong!$D$2+MAX(0,Vu_khi!$X$54)/MAX(0.1,Canh_bao_vong!$D$5))))</f>
        <v/>
      </c>
      <c r="AZ54" t="n">
        <v>0</v>
      </c>
      <c r="BA54" t="n">
        <v>2.625</v>
      </c>
      <c r="BB54" t="inlineStr">
        <is>
          <t>ok</t>
        </is>
      </c>
      <c r="BC54" t="inlineStr"/>
      <c r="BD54" t="n">
        <v>380</v>
      </c>
      <c r="BE54" t="n">
        <v>494</v>
      </c>
      <c r="BF54" t="n">
        <v>0.021</v>
      </c>
      <c r="BG54" t="n">
        <v>0.042</v>
      </c>
      <c r="BH54" t="n">
        <v>0.08400000000000001</v>
      </c>
      <c r="BI54" t="n">
        <v>0.065</v>
      </c>
      <c r="BJ54" t="inlineStr">
        <is>
          <t>DIRECT_BULLET</t>
        </is>
      </c>
      <c r="BK54" t="inlineStr">
        <is>
          <t>ok</t>
        </is>
      </c>
      <c r="BL54" t="inlineStr">
        <is>
          <t>own line</t>
        </is>
      </c>
      <c r="BM54" t="inlineStr"/>
      <c r="BN54" t="inlineStr">
        <is>
          <t>Assets/MachineBrigade/Resources/Data/balance.json: weapons[id=c_ram_gatling] (lớp B trên 01_chien_dau/Vu_khi)</t>
        </is>
      </c>
      <c r="BO54" t="inlineStr"/>
    </row>
    <row r="55">
      <c r="A55" t="inlineStr">
        <is>
          <t>casemate_155</t>
        </is>
      </c>
      <c r="B55" t="n">
        <v>3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12.81</v>
      </c>
      <c r="I55">
        <f>Vu_khi!$W$55*MAX(1,$E$55)</f>
        <v/>
      </c>
      <c r="J55" t="n">
        <v>620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48.39968774395004</v>
      </c>
      <c r="O55">
        <f>OR(Vu_khi!$AG$55,Vu_khi!$AB$55&gt;0,Vu_khi!$AH$55,Vu_khi!$M$55="Bomb",Vu_khi!$M$55="Drone")</f>
        <v/>
      </c>
      <c r="P55" t="b">
        <v>1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1.6</v>
      </c>
      <c r="AA55">
        <f>AND(Vu_khi!$K$55="Kinetic",NOT(Vu_khi!$AG$55))</f>
        <v/>
      </c>
      <c r="AB55" t="b">
        <v>0</v>
      </c>
      <c r="AC55">
        <f>IF(Vu_khi!$AG$55,INDEX(Bang_danh_noc!$C$2:$C$8,MIN(7,MAX(1,2-(Vu_khi!$L$55-0)+1))),INDEX(Bang_xuyen_giap!$C$2:$C$8,MIN(7,MAX(1,IF($O$55,MAX(1,2-(Vu_khi!$L$55-0)),2-(Vu_khi!$L$55-0))+1))))*IF($AA$55,INDEX(Bang_xuyen_qua!$C$2:$C$5,MIN(4,MAX(1,(Vu_khi!$L$55)-(0)-1))),1)</f>
        <v/>
      </c>
      <c r="AD55" t="n">
        <v>1</v>
      </c>
      <c r="AE55">
        <f>IF(Vu_khi!$AG$55,INDEX(Bang_danh_noc!$C$2:$C$8,MIN(7,MAX(1,2-(Vu_khi!$L$55-2)+1))),INDEX(Bang_xuyen_giap!$C$2:$C$8,MIN(7,MAX(1,IF($O$55,MAX(1,2-(Vu_khi!$L$55-2)),2-(Vu_khi!$L$55-2))+1))))*IF($AA$55,INDEX(Bang_xuyen_qua!$C$2:$C$5,MIN(4,MAX(1,(Vu_khi!$L$55)-(2)-1))),1)</f>
        <v/>
      </c>
      <c r="AF55" t="n">
        <v>1</v>
      </c>
      <c r="AG55">
        <f>IF(Vu_khi!$AG$55,INDEX(Bang_danh_noc!$C$2:$C$8,MIN(7,MAX(1,2-(Vu_khi!$L$55-4)+1))),INDEX(Bang_xuyen_giap!$C$2:$C$8,MIN(7,MAX(1,IF($O$55,MAX(1,2-(Vu_khi!$L$55-4)),2-(Vu_khi!$L$55-4))+1))))*IF($AA$55,INDEX(Bang_xuyen_qua!$C$2:$C$5,MIN(4,MAX(1,(Vu_khi!$L$55)-(4)-1))),1)</f>
        <v/>
      </c>
      <c r="AH55" t="n">
        <v>0.65</v>
      </c>
      <c r="AI55">
        <f>INDEX(Bang_xuyen_giap!$C$2:$C$8,MIN(7,MAX(1,MAX(1,2-(Vu_khi!$L$55-0))+1)))*IF($AA$55,INDEX(Bang_xuyen_qua!$C$2:$C$5,MIN(4,MAX(1,(Vu_khi!$L$55)-(0)-1))),1)</f>
        <v/>
      </c>
      <c r="AJ55" t="n">
        <v>1</v>
      </c>
      <c r="AK55">
        <f>IF($Q$55,$M$55*$AC$55*$U$55,0)</f>
        <v/>
      </c>
      <c r="AL55" t="n">
        <v>48.39968774395004</v>
      </c>
      <c r="AM55">
        <f>IF($Q$55,$M$55*$AE$55*$U$55,0)</f>
        <v/>
      </c>
      <c r="AN55" t="n">
        <v>48.39968774395004</v>
      </c>
      <c r="AO55">
        <f>IF($Q$55,$M$55*$AG$55*$U$55,0)</f>
        <v/>
      </c>
      <c r="AP55" t="n">
        <v>31.45979703356753</v>
      </c>
      <c r="AQ55">
        <f>IF($Q$55,$M$55*$AE$55*$Y$55,0)</f>
        <v/>
      </c>
      <c r="AR55" t="n">
        <v>77.43950039032006</v>
      </c>
      <c r="AS55">
        <f>IF($S$55,$M$55*$AI$55*$W$55,0)</f>
        <v/>
      </c>
      <c r="AT55" t="n">
        <v>0</v>
      </c>
      <c r="AU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V55" t="b">
        <v>0</v>
      </c>
      <c r="AW55">
        <f>IF(AND($B$55&lt;0,$AU$55),4,$B$55)</f>
        <v/>
      </c>
      <c r="AX55" t="n">
        <v>3</v>
      </c>
      <c r="AY55">
        <f>IF($AW$55&lt;4,0,MIN(MAX(0.5,Canh_bao_vong!$D$4),MAX(IF(Vu_khi!$C$55="cal_406",Canh_bao_vong!$D$7,IF($AW$55&gt;=5,Canh_bao_vong!$D$9,Canh_bao_vong!$D$8)),Canh_bao_vong!$D$2+MAX(0,Vu_khi!$X$55)/MAX(0.1,Canh_bao_vong!$D$5))))</f>
        <v/>
      </c>
      <c r="AZ55" t="n">
        <v>0</v>
      </c>
      <c r="BA55" t="n">
        <v>0.5978</v>
      </c>
      <c r="BB55" t="inlineStr">
        <is>
          <t>NHANH_QUA</t>
        </is>
      </c>
      <c r="BC55" t="inlineStr"/>
      <c r="BD55" t="n">
        <v>60</v>
      </c>
      <c r="BE55" t="n">
        <v>78</v>
      </c>
      <c r="BF55" t="n">
        <v>0.333</v>
      </c>
      <c r="BG55" t="n">
        <v>0.625</v>
      </c>
      <c r="BH55" t="n">
        <v>1.25</v>
      </c>
      <c r="BI55" t="n">
        <v>0.962</v>
      </c>
      <c r="BJ55" t="inlineStr">
        <is>
          <t>HOWITZER</t>
        </is>
      </c>
      <c r="BK55" t="inlineStr">
        <is>
          <t>ok</t>
        </is>
      </c>
      <c r="BL55" t="inlineStr">
        <is>
          <t>family m284_155_mm_casemate</t>
        </is>
      </c>
      <c r="BM55" t="inlineStr"/>
      <c r="BN55" t="inlineStr">
        <is>
          <t>Assets/MachineBrigade/Resources/Data/balance.json: weapons[id=casemate_155] (lớp B trên 01_chien_dau/Vu_khi)</t>
        </is>
      </c>
      <c r="BO55" t="inlineStr"/>
    </row>
    <row r="56">
      <c r="A56" t="inlineStr">
        <is>
          <t>casemate_155_guided</t>
        </is>
      </c>
      <c r="B56" t="n">
        <v>3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</v>
      </c>
      <c r="G56">
        <f>IF(Vu_khi!$S$56&gt;0,(Vu_khi!$S$56-1)*Vu_khi!$R$56+Vu_khi!$T$56,Vu_khi!$R$56+(Vu_khi!$P$56-1)*Vu_khi!$Q$56)</f>
        <v/>
      </c>
      <c r="H56" t="n">
        <v>12.81</v>
      </c>
      <c r="I56">
        <f>Vu_khi!$W$56*MAX(1,$E$56)</f>
        <v/>
      </c>
      <c r="J56" t="n">
        <v>620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48.39968774395004</v>
      </c>
      <c r="O56">
        <f>OR(Vu_khi!$AG$56,Vu_khi!$AB$56&gt;0,Vu_khi!$AH$56,Vu_khi!$M$56="Bomb",Vu_khi!$M$56="Drone")</f>
        <v/>
      </c>
      <c r="P56" t="b">
        <v>1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0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1.6</v>
      </c>
      <c r="AA56">
        <f>AND(Vu_khi!$K$56="Kinetic",NOT(Vu_khi!$AG$56))</f>
        <v/>
      </c>
      <c r="AB56" t="b">
        <v>0</v>
      </c>
      <c r="AC56">
        <f>IF(Vu_khi!$AG$56,INDEX(Bang_danh_noc!$C$2:$C$8,MIN(7,MAX(1,2-(Vu_khi!$L$56-0)+1))),INDEX(Bang_xuyen_giap!$C$2:$C$8,MIN(7,MAX(1,IF($O$56,MAX(1,2-(Vu_khi!$L$56-0)),2-(Vu_khi!$L$56-0))+1))))*IF($AA$56,INDEX(Bang_xuyen_qua!$C$2:$C$5,MIN(4,MAX(1,(Vu_khi!$L$56)-(0)-1))),1)</f>
        <v/>
      </c>
      <c r="AD56" t="n">
        <v>1</v>
      </c>
      <c r="AE56">
        <f>IF(Vu_khi!$AG$56,INDEX(Bang_danh_noc!$C$2:$C$8,MIN(7,MAX(1,2-(Vu_khi!$L$56-2)+1))),INDEX(Bang_xuyen_giap!$C$2:$C$8,MIN(7,MAX(1,IF($O$56,MAX(1,2-(Vu_khi!$L$56-2)),2-(Vu_khi!$L$56-2))+1))))*IF($AA$56,INDEX(Bang_xuyen_qua!$C$2:$C$5,MIN(4,MAX(1,(Vu_khi!$L$56)-(2)-1))),1)</f>
        <v/>
      </c>
      <c r="AF56" t="n">
        <v>1</v>
      </c>
      <c r="AG56">
        <f>IF(Vu_khi!$AG$56,INDEX(Bang_danh_noc!$C$2:$C$8,MIN(7,MAX(1,2-(Vu_khi!$L$56-4)+1))),INDEX(Bang_xuyen_giap!$C$2:$C$8,MIN(7,MAX(1,IF($O$56,MAX(1,2-(Vu_khi!$L$56-4)),2-(Vu_khi!$L$56-4))+1))))*IF($AA$56,INDEX(Bang_xuyen_qua!$C$2:$C$5,MIN(4,MAX(1,(Vu_khi!$L$56)-(4)-1))),1)</f>
        <v/>
      </c>
      <c r="AH56" t="n">
        <v>0.65</v>
      </c>
      <c r="AI56">
        <f>INDEX(Bang_xuyen_giap!$C$2:$C$8,MIN(7,MAX(1,MAX(1,2-(Vu_khi!$L$56-0))+1)))*IF($AA$56,INDEX(Bang_xuyen_qua!$C$2:$C$5,MIN(4,MAX(1,(Vu_khi!$L$56)-(0)-1))),1)</f>
        <v/>
      </c>
      <c r="AJ56" t="n">
        <v>1</v>
      </c>
      <c r="AK56">
        <f>IF($Q$56,$M$56*$AC$56*$U$56,0)</f>
        <v/>
      </c>
      <c r="AL56" t="n">
        <v>48.39968774395004</v>
      </c>
      <c r="AM56">
        <f>IF($Q$56,$M$56*$AE$56*$U$56,0)</f>
        <v/>
      </c>
      <c r="AN56" t="n">
        <v>48.39968774395004</v>
      </c>
      <c r="AO56">
        <f>IF($Q$56,$M$56*$AG$56*$U$56,0)</f>
        <v/>
      </c>
      <c r="AP56" t="n">
        <v>31.45979703356753</v>
      </c>
      <c r="AQ56">
        <f>IF($Q$56,$M$56*$AE$56*$Y$56,0)</f>
        <v/>
      </c>
      <c r="AR56" t="n">
        <v>77.43950039032006</v>
      </c>
      <c r="AS56">
        <f>IF($S$56,$M$56*$AI$56*$W$56,0)</f>
        <v/>
      </c>
      <c r="AT56" t="n">
        <v>0</v>
      </c>
      <c r="AU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V56" t="b">
        <v>0</v>
      </c>
      <c r="AW56">
        <f>IF(AND($B$56&lt;0,$AU$56),4,$B$56)</f>
        <v/>
      </c>
      <c r="AX56" t="n">
        <v>3</v>
      </c>
      <c r="AY56">
        <f>IF($AW$56&lt;4,0,MIN(MAX(0.5,Canh_bao_vong!$D$4),MAX(IF(Vu_khi!$C$56="cal_406",Canh_bao_vong!$D$7,IF($AW$56&gt;=5,Canh_bao_vong!$D$9,Canh_bao_vong!$D$8)),Canh_bao_vong!$D$2+MAX(0,Vu_khi!$X$56)/MAX(0.1,Canh_bao_vong!$D$5))))</f>
        <v/>
      </c>
      <c r="AZ56" t="n">
        <v>0</v>
      </c>
      <c r="BD56" t="n">
        <v>65</v>
      </c>
      <c r="BE56" t="n">
        <v>84.5</v>
      </c>
      <c r="BF56" t="n">
        <v>0.308</v>
      </c>
      <c r="BG56" t="n">
        <v>0.577</v>
      </c>
      <c r="BH56" t="n">
        <v>1.154</v>
      </c>
      <c r="BI56" t="n">
        <v>0.888</v>
      </c>
      <c r="BJ56" t="inlineStr">
        <is>
          <t>HOWITZER</t>
        </is>
      </c>
      <c r="BK56" t="inlineStr">
        <is>
          <t>ok</t>
        </is>
      </c>
      <c r="BL56" t="inlineStr">
        <is>
          <t>family m284_155_mm_guided_casemate</t>
        </is>
      </c>
      <c r="BM56" t="inlineStr"/>
      <c r="BN56" t="inlineStr">
        <is>
          <t>Assets/MachineBrigade/Resources/Data/balance.json: weapons[id=casemate_155_guided] (lớp B trên 01_chien_dau/Vu_khi)</t>
        </is>
      </c>
      <c r="BO56" t="inlineStr"/>
    </row>
    <row r="57">
      <c r="A57" t="inlineStr">
        <is>
          <t>ciws_aa</t>
        </is>
      </c>
      <c r="B57" t="n">
        <v>1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60</v>
      </c>
      <c r="G57">
        <f>IF(Vu_khi!$S$57&gt;0,(Vu_khi!$S$57-1)*Vu_khi!$R$57+Vu_khi!$T$57,Vu_khi!$R$57+(Vu_khi!$P$57-1)*Vu_khi!$Q$57)</f>
        <v/>
      </c>
      <c r="H57" t="n">
        <v>6.002</v>
      </c>
      <c r="I57">
        <f>Vu_khi!$W$57*MAX(1,$E$57)</f>
        <v/>
      </c>
      <c r="J57" t="n">
        <v>720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119.9600133288904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0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1.2</v>
      </c>
      <c r="W57">
        <f>INDEX(Bang_sat_thuong!$C$2:$C$7,MATCH(Vu_khi!$K$57,Bang_sat_thuong!$A$2:$A$7,0))</f>
        <v/>
      </c>
      <c r="X57" t="n">
        <v>0.3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0.7</v>
      </c>
      <c r="AA57">
        <f>AND(Vu_khi!$K$57="Kinetic",NOT(Vu_khi!$AG$57))</f>
        <v/>
      </c>
      <c r="AB57" t="b">
        <v>1</v>
      </c>
      <c r="AC57">
        <f>IF(Vu_khi!$AG$57,INDEX(Bang_danh_noc!$C$2:$C$8,MIN(7,MAX(1,2-(Vu_khi!$L$57-0)+1))),INDEX(Bang_xuyen_giap!$C$2:$C$8,MIN(7,MAX(1,IF($O$57,MAX(1,2-(Vu_khi!$L$57-0)),2-(Vu_khi!$L$57-0))+1))))*IF($AA$57,INDEX(Bang_xuyen_qua!$C$2:$C$5,MIN(4,MAX(1,(Vu_khi!$L$57)-(0)-1))),1)</f>
        <v/>
      </c>
      <c r="AD57" t="n">
        <v>1.2</v>
      </c>
      <c r="AE57">
        <f>IF(Vu_khi!$AG$57,INDEX(Bang_danh_noc!$C$2:$C$8,MIN(7,MAX(1,2-(Vu_khi!$L$57-2)+1))),INDEX(Bang_xuyen_giap!$C$2:$C$8,MIN(7,MAX(1,IF($O$57,MAX(1,2-(Vu_khi!$L$57-2)),2-(Vu_khi!$L$57-2))+1))))*IF($AA$57,INDEX(Bang_xuyen_qua!$C$2:$C$5,MIN(4,MAX(1,(Vu_khi!$L$57)-(2)-1))),1)</f>
        <v/>
      </c>
      <c r="AF57" t="n">
        <v>0.85</v>
      </c>
      <c r="AG57">
        <f>IF(Vu_khi!$AG$57,INDEX(Bang_danh_noc!$C$2:$C$8,MIN(7,MAX(1,2-(Vu_khi!$L$57-4)+1))),INDEX(Bang_xuyen_giap!$C$2:$C$8,MIN(7,MAX(1,IF($O$57,MAX(1,2-(Vu_khi!$L$57-4)),2-(Vu_khi!$L$57-4))+1))))*IF($AA$57,INDEX(Bang_xuyen_qua!$C$2:$C$5,MIN(4,MAX(1,(Vu_khi!$L$57)-(4)-1))),1)</f>
        <v/>
      </c>
      <c r="AH57" t="n">
        <v>0.4</v>
      </c>
      <c r="AI57">
        <f>INDEX(Bang_xuyen_giap!$C$2:$C$8,MIN(7,MAX(1,MAX(1,2-(Vu_khi!$L$57-0))+1)))*IF($AA$57,INDEX(Bang_xuyen_qua!$C$2:$C$5,MIN(4,MAX(1,(Vu_khi!$L$57)-(0)-1))),1)</f>
        <v/>
      </c>
      <c r="AJ57" t="n">
        <v>1</v>
      </c>
      <c r="AK57">
        <f>IF($Q$57,$M$57*$AC$57*$U$57,0)</f>
        <v/>
      </c>
      <c r="AL57" t="n">
        <v>0</v>
      </c>
      <c r="AM57">
        <f>IF($Q$57,$M$57*$AE$57*$U$57,0)</f>
        <v/>
      </c>
      <c r="AN57" t="n">
        <v>0</v>
      </c>
      <c r="AO57">
        <f>IF($Q$57,$M$57*$AG$57*$U$57,0)</f>
        <v/>
      </c>
      <c r="AP57" t="n">
        <v>0</v>
      </c>
      <c r="AQ57">
        <f>IF($Q$57,$M$57*$AE$57*$Y$57,0)</f>
        <v/>
      </c>
      <c r="AR57" t="n">
        <v>0</v>
      </c>
      <c r="AS57">
        <f>IF($S$57,$M$57*$AI$57*$W$57,0)</f>
        <v/>
      </c>
      <c r="AT57" t="n">
        <v>35.98800399866711</v>
      </c>
      <c r="AU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V57" t="b">
        <v>0</v>
      </c>
      <c r="AW57">
        <f>IF(AND($B$57&lt;0,$AU$57),4,$B$57)</f>
        <v/>
      </c>
      <c r="AX57" t="n">
        <v>1</v>
      </c>
      <c r="AY57">
        <f>IF($AW$57&lt;4,0,MIN(MAX(0.5,Canh_bao_vong!$D$4),MAX(IF(Vu_khi!$C$57="cal_406",Canh_bao_vong!$D$7,IF($AW$57&gt;=5,Canh_bao_vong!$D$9,Canh_bao_vong!$D$8)),Canh_bao_vong!$D$2+MAX(0,Vu_khi!$X$57)/MAX(0.1,Canh_bao_vong!$D$5))))</f>
        <v/>
      </c>
      <c r="AZ57" t="n">
        <v>0</v>
      </c>
      <c r="BA57" t="n">
        <v>8.336111000000001</v>
      </c>
      <c r="BB57" t="inlineStr">
        <is>
          <t>ok</t>
        </is>
      </c>
      <c r="BC57" t="b">
        <v>1</v>
      </c>
      <c r="BD57" t="n">
        <v>300</v>
      </c>
      <c r="BE57" t="n">
        <v>390</v>
      </c>
      <c r="BF57" t="n">
        <v>0.028</v>
      </c>
      <c r="BG57" t="n">
        <v>0.057</v>
      </c>
      <c r="BH57" t="n">
        <v>0.113</v>
      </c>
      <c r="BI57" t="n">
        <v>0.08699999999999999</v>
      </c>
      <c r="BJ57" t="inlineStr">
        <is>
          <t>DIRECT_BULLET</t>
        </is>
      </c>
      <c r="BK57" t="inlineStr">
        <is>
          <t>ok</t>
        </is>
      </c>
      <c r="BL57" t="inlineStr">
        <is>
          <t>family ak_630_30_mm</t>
        </is>
      </c>
      <c r="BM57" t="inlineStr"/>
      <c r="BN57" t="inlineStr">
        <is>
          <t>Assets/MachineBrigade/Resources/Data/balance.json: weapons[id=ciws_aa] (lớp B trên 01_chien_dau/Vu_khi)</t>
        </is>
      </c>
      <c r="BO57" t="inlineStr"/>
    </row>
    <row r="58">
      <c r="A58" t="inlineStr">
        <is>
          <t>ciws_aa_flak</t>
        </is>
      </c>
      <c r="B58" t="n">
        <v>1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60</v>
      </c>
      <c r="G58">
        <f>IF(Vu_khi!$S$58&gt;0,(Vu_khi!$S$58-1)*Vu_khi!$R$58+Vu_khi!$T$58,Vu_khi!$R$58+(Vu_khi!$P$58-1)*Vu_khi!$Q$58)</f>
        <v/>
      </c>
      <c r="H58" t="n">
        <v>6.002</v>
      </c>
      <c r="I58">
        <f>Vu_khi!$W$58*MAX(1,$E$58)</f>
        <v/>
      </c>
      <c r="J58" t="n">
        <v>720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119.9600133288904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0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0.45</v>
      </c>
      <c r="W58">
        <f>INDEX(Bang_sat_thuong!$C$2:$C$7,MATCH(Vu_khi!$K$58,Bang_sat_thuong!$A$2:$A$7,0))</f>
        <v/>
      </c>
      <c r="X58" t="n">
        <v>1.35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0.1</v>
      </c>
      <c r="AA58">
        <f>AND(Vu_khi!$K$58="Kinetic",NOT(Vu_khi!$AG$58))</f>
        <v/>
      </c>
      <c r="AB58" t="b">
        <v>0</v>
      </c>
      <c r="AC58">
        <f>IF(Vu_khi!$AG$58,INDEX(Bang_danh_noc!$C$2:$C$8,MIN(7,MAX(1,2-(Vu_khi!$L$58-0)+1))),INDEX(Bang_xuyen_giap!$C$2:$C$8,MIN(7,MAX(1,IF($O$58,MAX(1,2-(Vu_khi!$L$58-0)),2-(Vu_khi!$L$58-0))+1))))*IF($AA$58,INDEX(Bang_xuyen_qua!$C$2:$C$5,MIN(4,MAX(1,(Vu_khi!$L$58)-(0)-1))),1)</f>
        <v/>
      </c>
      <c r="AD58" t="n">
        <v>1.2</v>
      </c>
      <c r="AE58">
        <f>IF(Vu_khi!$AG$58,INDEX(Bang_danh_noc!$C$2:$C$8,MIN(7,MAX(1,2-(Vu_khi!$L$58-2)+1))),INDEX(Bang_xuyen_giap!$C$2:$C$8,MIN(7,MAX(1,IF($O$58,MAX(1,2-(Vu_khi!$L$58-2)),2-(Vu_khi!$L$58-2))+1))))*IF($AA$58,INDEX(Bang_xuyen_qua!$C$2:$C$5,MIN(4,MAX(1,(Vu_khi!$L$58)-(2)-1))),1)</f>
        <v/>
      </c>
      <c r="AF58" t="n">
        <v>0.85</v>
      </c>
      <c r="AG58">
        <f>IF(Vu_khi!$AG$58,INDEX(Bang_danh_noc!$C$2:$C$8,MIN(7,MAX(1,2-(Vu_khi!$L$58-4)+1))),INDEX(Bang_xuyen_giap!$C$2:$C$8,MIN(7,MAX(1,IF($O$58,MAX(1,2-(Vu_khi!$L$58-4)),2-(Vu_khi!$L$58-4))+1))))*IF($AA$58,INDEX(Bang_xuyen_qua!$C$2:$C$5,MIN(4,MAX(1,(Vu_khi!$L$58)-(4)-1))),1)</f>
        <v/>
      </c>
      <c r="AH58" t="n">
        <v>0.4</v>
      </c>
      <c r="AI58">
        <f>INDEX(Bang_xuyen_giap!$C$2:$C$8,MIN(7,MAX(1,MAX(1,2-(Vu_khi!$L$58-0))+1)))*IF($AA$58,INDEX(Bang_xuyen_qua!$C$2:$C$5,MIN(4,MAX(1,(Vu_khi!$L$58)-(0)-1))),1)</f>
        <v/>
      </c>
      <c r="AJ58" t="n">
        <v>1</v>
      </c>
      <c r="AK58">
        <f>IF($Q$58,$M$58*$AC$58*$U$58,0)</f>
        <v/>
      </c>
      <c r="AL58" t="n">
        <v>0</v>
      </c>
      <c r="AM58">
        <f>IF($Q$58,$M$58*$AE$58*$U$58,0)</f>
        <v/>
      </c>
      <c r="AN58" t="n">
        <v>0</v>
      </c>
      <c r="AO58">
        <f>IF($Q$58,$M$58*$AG$58*$U$58,0)</f>
        <v/>
      </c>
      <c r="AP58" t="n">
        <v>0</v>
      </c>
      <c r="AQ58">
        <f>IF($Q$58,$M$58*$AE$58*$Y$58,0)</f>
        <v/>
      </c>
      <c r="AR58" t="n">
        <v>0</v>
      </c>
      <c r="AS58">
        <f>IF($S$58,$M$58*$AI$58*$W$58,0)</f>
        <v/>
      </c>
      <c r="AT58" t="n">
        <v>161.946017994002</v>
      </c>
      <c r="AU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V58" t="b">
        <v>0</v>
      </c>
      <c r="AW58">
        <f>IF(AND($B$58&lt;0,$AU$58),4,$B$58)</f>
        <v/>
      </c>
      <c r="AX58" t="n">
        <v>1</v>
      </c>
      <c r="AY58">
        <f>IF($AW$58&lt;4,0,MIN(MAX(0.5,Canh_bao_vong!$D$4),MAX(IF(Vu_khi!$C$58="cal_406",Canh_bao_vong!$D$7,IF($AW$58&gt;=5,Canh_bao_vong!$D$9,Canh_bao_vong!$D$8)),Canh_bao_vong!$D$2+MAX(0,Vu_khi!$X$58)/MAX(0.1,Canh_bao_vong!$D$5))))</f>
        <v/>
      </c>
      <c r="AZ58" t="n">
        <v>0</v>
      </c>
      <c r="BD58" t="n">
        <v>300</v>
      </c>
      <c r="BE58" t="n">
        <v>390</v>
      </c>
      <c r="BF58" t="n">
        <v>0.028</v>
      </c>
      <c r="BG58" t="n">
        <v>0.057</v>
      </c>
      <c r="BH58" t="n">
        <v>0.113</v>
      </c>
      <c r="BI58" t="n">
        <v>0.08699999999999999</v>
      </c>
      <c r="BJ58" t="inlineStr">
        <is>
          <t>DIRECT_BULLET</t>
        </is>
      </c>
      <c r="BK58" t="inlineStr">
        <is>
          <t>ok</t>
        </is>
      </c>
      <c r="BL58" t="inlineStr">
        <is>
          <t>family ak_630_30_mm_air_burst</t>
        </is>
      </c>
      <c r="BM58" t="inlineStr"/>
      <c r="BN58" t="inlineStr">
        <is>
          <t>Assets/MachineBrigade/Resources/Data/balance.json: weapons[id=ciws_aa_flak] (lớp B trên 01_chien_dau/Vu_khi)</t>
        </is>
      </c>
      <c r="BO58" t="inlineStr"/>
    </row>
    <row r="59">
      <c r="A59" t="inlineStr">
        <is>
          <t>coilgun</t>
        </is>
      </c>
      <c r="B59" t="n">
        <v>3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2</v>
      </c>
      <c r="G59">
        <f>IF(Vu_khi!$S$59&gt;0,(Vu_khi!$S$59-1)*Vu_khi!$R$59+Vu_khi!$T$59,Vu_khi!$R$59+(Vu_khi!$P$59-1)*Vu_khi!$Q$59)</f>
        <v/>
      </c>
      <c r="H59" t="n">
        <v>4.79</v>
      </c>
      <c r="I59">
        <f>Vu_khi!$W$59*MAX(1,$E$59)</f>
        <v/>
      </c>
      <c r="J59" t="n">
        <v>500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104.384133611691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1.2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0.7</v>
      </c>
      <c r="AA59">
        <f>AND(Vu_khi!$K$59="Kinetic",NOT(Vu_khi!$AG$59))</f>
        <v/>
      </c>
      <c r="AB59" t="b">
        <v>1</v>
      </c>
      <c r="AC59">
        <f>IF(Vu_khi!$AG$59,INDEX(Bang_danh_noc!$C$2:$C$8,MIN(7,MAX(1,2-(Vu_khi!$L$59-0)+1))),INDEX(Bang_xuyen_giap!$C$2:$C$8,MIN(7,MAX(1,IF($O$59,MAX(1,2-(Vu_khi!$L$59-0)),2-(Vu_khi!$L$59-0))+1))))*IF($AA$59,INDEX(Bang_xuyen_qua!$C$2:$C$5,MIN(4,MAX(1,(Vu_khi!$L$59)-(0)-1))),1)</f>
        <v/>
      </c>
      <c r="AD59" t="n">
        <v>1.02</v>
      </c>
      <c r="AE59">
        <f>IF(Vu_khi!$AG$59,INDEX(Bang_danh_noc!$C$2:$C$8,MIN(7,MAX(1,2-(Vu_khi!$L$59-2)+1))),INDEX(Bang_xuyen_giap!$C$2:$C$8,MIN(7,MAX(1,IF($O$59,MAX(1,2-(Vu_khi!$L$59-2)),2-(Vu_khi!$L$59-2))+1))))*IF($AA$59,INDEX(Bang_xuyen_qua!$C$2:$C$5,MIN(4,MAX(1,(Vu_khi!$L$59)-(2)-1))),1)</f>
        <v/>
      </c>
      <c r="AF59" t="n">
        <v>1.2</v>
      </c>
      <c r="AG59">
        <f>IF(Vu_khi!$AG$59,INDEX(Bang_danh_noc!$C$2:$C$8,MIN(7,MAX(1,2-(Vu_khi!$L$59-4)+1))),INDEX(Bang_xuyen_giap!$C$2:$C$8,MIN(7,MAX(1,IF($O$59,MAX(1,2-(Vu_khi!$L$59-4)),2-(Vu_khi!$L$59-4))+1))))*IF($AA$59,INDEX(Bang_xuyen_qua!$C$2:$C$5,MIN(4,MAX(1,(Vu_khi!$L$59)-(4)-1))),1)</f>
        <v/>
      </c>
      <c r="AH59" t="n">
        <v>0.85</v>
      </c>
      <c r="AI59">
        <f>INDEX(Bang_xuyen_giap!$C$2:$C$8,MIN(7,MAX(1,MAX(1,2-(Vu_khi!$L$59-0))+1)))*IF($AA$59,INDEX(Bang_xuyen_qua!$C$2:$C$5,MIN(4,MAX(1,(Vu_khi!$L$59)-(0)-1))),1)</f>
        <v/>
      </c>
      <c r="AJ59" t="n">
        <v>0.85</v>
      </c>
      <c r="AK59">
        <f>IF($Q$59,$M$59*$AC$59*$U$59,0)</f>
        <v/>
      </c>
      <c r="AL59" t="n">
        <v>127.7661795407098</v>
      </c>
      <c r="AM59">
        <f>IF($Q$59,$M$59*$AE$59*$U$59,0)</f>
        <v/>
      </c>
      <c r="AN59" t="n">
        <v>150.3131524008351</v>
      </c>
      <c r="AO59">
        <f>IF($Q$59,$M$59*$AG$59*$U$59,0)</f>
        <v/>
      </c>
      <c r="AP59" t="n">
        <v>106.4718162839249</v>
      </c>
      <c r="AQ59">
        <f>IF($Q$59,$M$59*$AE$59*$Y$59,0)</f>
        <v/>
      </c>
      <c r="AR59" t="n">
        <v>87.68267223382045</v>
      </c>
      <c r="AS59">
        <f>IF($S$59,$M$59*$AI$59*$W$59,0)</f>
        <v/>
      </c>
      <c r="AT59" t="n">
        <v>26.61795407098121</v>
      </c>
      <c r="AU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V59" t="b">
        <v>0</v>
      </c>
      <c r="AW59">
        <f>IF(AND($B$59&lt;0,$AU$59),4,$B$59)</f>
        <v/>
      </c>
      <c r="AX59" t="n">
        <v>3</v>
      </c>
      <c r="AY59">
        <f>IF($AW$59&lt;4,0,MIN(MAX(0.5,Canh_bao_vong!$D$4),MAX(IF(Vu_khi!$C$59="cal_406",Canh_bao_vong!$D$7,IF($AW$59&gt;=5,Canh_bao_vong!$D$9,Canh_bao_vong!$D$8)),Canh_bao_vong!$D$2+MAX(0,Vu_khi!$X$59)/MAX(0.1,Canh_bao_vong!$D$5))))</f>
        <v/>
      </c>
      <c r="AZ59" t="n">
        <v>0</v>
      </c>
      <c r="BA59" t="inlineStr"/>
      <c r="BB59" t="inlineStr">
        <is>
          <t>ok</t>
        </is>
      </c>
      <c r="BC59" t="b">
        <v>1</v>
      </c>
      <c r="BD59" t="n">
        <v>420</v>
      </c>
      <c r="BE59" t="n">
        <v>546</v>
      </c>
      <c r="BF59" t="n">
        <v>0.033</v>
      </c>
      <c r="BG59" t="n">
        <v>0.065</v>
      </c>
      <c r="BH59" t="n">
        <v>0.131</v>
      </c>
      <c r="BI59" t="n">
        <v>0.101</v>
      </c>
      <c r="BJ59" t="inlineStr">
        <is>
          <t>DIRECT_BULLET</t>
        </is>
      </c>
      <c r="BK59" t="inlineStr">
        <is>
          <t>ok</t>
        </is>
      </c>
      <c r="BL59" t="inlineStr">
        <is>
          <t>own line</t>
        </is>
      </c>
      <c r="BM59" t="inlineStr"/>
      <c r="BN59" t="inlineStr">
        <is>
          <t>Assets/MachineBrigade/Resources/Data/balance.json: weapons[id=coilgun] (lớp B trên 01_chien_dau/Vu_khi)</t>
        </is>
      </c>
      <c r="BO59" t="inlineStr"/>
    </row>
    <row r="60">
      <c r="A60" t="inlineStr">
        <is>
          <t>cruise_missile_ground</t>
        </is>
      </c>
      <c r="B60" t="n">
        <v>4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2</v>
      </c>
      <c r="G60">
        <f>IF(Vu_khi!$S$60&gt;0,(Vu_khi!$S$60-1)*Vu_khi!$R$60+Vu_khi!$T$60,Vu_khi!$R$60+(Vu_khi!$P$60-1)*Vu_khi!$Q$60)</f>
        <v/>
      </c>
      <c r="H60" t="n">
        <v>45</v>
      </c>
      <c r="I60">
        <f>Vu_khi!$W$60*MAX(1,$E$60)</f>
        <v/>
      </c>
      <c r="J60" t="n">
        <v>900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20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1</v>
      </c>
      <c r="S60">
        <f>AND(NOT(Vu_khi!$AJ$60),OR(Vu_khi!$AC$60="Air",Vu_khi!$AC$60="All"))</f>
        <v/>
      </c>
      <c r="T60" t="b">
        <v>1</v>
      </c>
      <c r="U60">
        <f>INDEX(Bang_sat_thuong!$B$2:$B$7,MATCH(Vu_khi!$K$60,Bang_sat_thuong!$A$2:$A$7,0))</f>
        <v/>
      </c>
      <c r="V60" t="n">
        <v>1.3</v>
      </c>
      <c r="W60">
        <f>INDEX(Bang_sat_thuong!$C$2:$C$7,MATCH(Vu_khi!$K$60,Bang_sat_thuong!$A$2:$A$7,0))</f>
        <v/>
      </c>
      <c r="X60" t="n">
        <v>0.2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0.45</v>
      </c>
      <c r="AA60">
        <f>AND(Vu_khi!$K$60="Kinetic",NOT(Vu_khi!$AG$60))</f>
        <v/>
      </c>
      <c r="AB60" t="b">
        <v>0</v>
      </c>
      <c r="AC60">
        <f>IF(Vu_khi!$AG$60,INDEX(Bang_danh_noc!$C$2:$C$8,MIN(7,MAX(1,2-(Vu_khi!$L$60-0)+1))),INDEX(Bang_xuyen_giap!$C$2:$C$8,MIN(7,MAX(1,IF($O$60,MAX(1,2-(Vu_khi!$L$60-0)),2-(Vu_khi!$L$60-0))+1))))*IF($AA$60,INDEX(Bang_xuyen_qua!$C$2:$C$5,MIN(4,MAX(1,(Vu_khi!$L$60)-(0)-1))),1)</f>
        <v/>
      </c>
      <c r="AD60" t="n">
        <v>1.2</v>
      </c>
      <c r="AE60">
        <f>IF(Vu_khi!$AG$60,INDEX(Bang_danh_noc!$C$2:$C$8,MIN(7,MAX(1,2-(Vu_khi!$L$60-2)+1))),INDEX(Bang_xuyen_giap!$C$2:$C$8,MIN(7,MAX(1,IF($O$60,MAX(1,2-(Vu_khi!$L$60-2)),2-(Vu_khi!$L$60-2))+1))))*IF($AA$60,INDEX(Bang_xuyen_qua!$C$2:$C$5,MIN(4,MAX(1,(Vu_khi!$L$60)-(2)-1))),1)</f>
        <v/>
      </c>
      <c r="AF60" t="n">
        <v>1.2</v>
      </c>
      <c r="AG60">
        <f>IF(Vu_khi!$AG$60,INDEX(Bang_danh_noc!$C$2:$C$8,MIN(7,MAX(1,2-(Vu_khi!$L$60-4)+1))),INDEX(Bang_xuyen_giap!$C$2:$C$8,MIN(7,MAX(1,IF($O$60,MAX(1,2-(Vu_khi!$L$60-4)),2-(Vu_khi!$L$60-4))+1))))*IF($AA$60,INDEX(Bang_xuyen_qua!$C$2:$C$5,MIN(4,MAX(1,(Vu_khi!$L$60)-(4)-1))),1)</f>
        <v/>
      </c>
      <c r="AH60" t="n">
        <v>0.85</v>
      </c>
      <c r="AI60">
        <f>INDEX(Bang_xuyen_giap!$C$2:$C$8,MIN(7,MAX(1,MAX(1,2-(Vu_khi!$L$60-0))+1)))*IF($AA$60,INDEX(Bang_xuyen_qua!$C$2:$C$5,MIN(4,MAX(1,(Vu_khi!$L$60)-(0)-1))),1)</f>
        <v/>
      </c>
      <c r="AJ60" t="n">
        <v>1</v>
      </c>
      <c r="AK60">
        <f>IF($Q$60,$M$60*$AC$60*$U$60,0)</f>
        <v/>
      </c>
      <c r="AL60" t="n">
        <v>31.2</v>
      </c>
      <c r="AM60">
        <f>IF($Q$60,$M$60*$AE$60*$U$60,0)</f>
        <v/>
      </c>
      <c r="AN60" t="n">
        <v>31.2</v>
      </c>
      <c r="AO60">
        <f>IF($Q$60,$M$60*$AG$60*$U$60,0)</f>
        <v/>
      </c>
      <c r="AP60" t="n">
        <v>22.1</v>
      </c>
      <c r="AQ60">
        <f>IF($Q$60,$M$60*$AE$60*$Y$60,0)</f>
        <v/>
      </c>
      <c r="AR60" t="n">
        <v>10.8</v>
      </c>
      <c r="AS60">
        <f>IF($S$60,$M$60*$AI$60*$W$60,0)</f>
        <v/>
      </c>
      <c r="AT60" t="n">
        <v>4</v>
      </c>
      <c r="AU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V60" t="b">
        <v>0</v>
      </c>
      <c r="AW60">
        <f>IF(AND($B$60&lt;0,$AU$60),4,$B$60)</f>
        <v/>
      </c>
      <c r="AX60" t="n">
        <v>4</v>
      </c>
      <c r="AY60">
        <f>IF($AW$60&lt;4,0,MIN(MAX(0.5,Canh_bao_vong!$D$4),MAX(IF(Vu_khi!$C$60="cal_406",Canh_bao_vong!$D$7,IF($AW$60&gt;=5,Canh_bao_vong!$D$9,Canh_bao_vong!$D$8)),Canh_bao_vong!$D$2+MAX(0,Vu_khi!$X$60)/MAX(0.1,Canh_bao_vong!$D$5))))</f>
        <v/>
      </c>
      <c r="AZ60" t="n">
        <v>2.5</v>
      </c>
      <c r="BA60" t="n">
        <v>7.5</v>
      </c>
      <c r="BB60" t="inlineStr">
        <is>
          <t>CHAM_QUA</t>
        </is>
      </c>
      <c r="BC60" t="inlineStr"/>
      <c r="BD60" t="n">
        <v>70</v>
      </c>
      <c r="BE60" t="n">
        <v>91</v>
      </c>
      <c r="BF60" t="n">
        <v>0.643</v>
      </c>
      <c r="BG60" t="n">
        <v>1.286</v>
      </c>
      <c r="BH60" t="n">
        <v>2.571</v>
      </c>
      <c r="BI60" t="n">
        <v>1.978</v>
      </c>
      <c r="BJ60" t="inlineStr">
        <is>
          <t>CRUISE</t>
        </is>
      </c>
      <c r="BK60" t="inlineStr">
        <is>
          <t>ok</t>
        </is>
      </c>
      <c r="BL60" t="inlineStr">
        <is>
          <t>own line</t>
        </is>
      </c>
      <c r="BM60" t="inlineStr"/>
      <c r="BN60" t="inlineStr">
        <is>
          <t>Assets/MachineBrigade/Resources/Data/balance.json: weapons[id=cruise_missile_ground] (lớp B trên 01_chien_dau/Vu_khi)</t>
        </is>
      </c>
      <c r="BO60" t="inlineStr"/>
    </row>
    <row r="61">
      <c r="A61" t="inlineStr">
        <is>
          <t>cruiser_203</t>
        </is>
      </c>
      <c r="B61" t="n">
        <v>4</v>
      </c>
      <c r="C61">
        <f>IF(Vu_khi!$O$61="SIMULTANEOUS",MAX(1,Vu_khi!$N$61),1)</f>
        <v/>
      </c>
      <c r="D61" t="n">
        <v>2</v>
      </c>
      <c r="E61">
        <f>IF(Vu_khi!$S$61&gt;0,Vu_khi!$S$61,Vu_khi!$P$61*$C$61)</f>
        <v/>
      </c>
      <c r="F61" t="n">
        <v>2</v>
      </c>
      <c r="G61">
        <f>IF(Vu_khi!$S$61&gt;0,(Vu_khi!$S$61-1)*Vu_khi!$R$61+Vu_khi!$T$61,Vu_khi!$R$61+(Vu_khi!$P$61-1)*Vu_khi!$Q$61)</f>
        <v/>
      </c>
      <c r="H61" t="n">
        <v>16.857</v>
      </c>
      <c r="I61">
        <f>Vu_khi!$W$61*MAX(1,$E$61)</f>
        <v/>
      </c>
      <c r="J61" t="n">
        <v>1200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71.18704395799965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1.6</v>
      </c>
      <c r="AA61">
        <f>AND(Vu_khi!$K$61="Kinetic",NOT(Vu_khi!$AG$61))</f>
        <v/>
      </c>
      <c r="AB61" t="b">
        <v>0</v>
      </c>
      <c r="AC61">
        <f>IF(Vu_khi!$AG$61,INDEX(Bang_danh_noc!$C$2:$C$8,MIN(7,MAX(1,2-(Vu_khi!$L$61-0)+1))),INDEX(Bang_xuyen_giap!$C$2:$C$8,MIN(7,MAX(1,IF($O$61,MAX(1,2-(Vu_khi!$L$61-0)),2-(Vu_khi!$L$61-0))+1))))*IF($AA$61,INDEX(Bang_xuyen_qua!$C$2:$C$5,MIN(4,MAX(1,(Vu_khi!$L$61)-(0)-1))),1)</f>
        <v/>
      </c>
      <c r="AD61" t="n">
        <v>1.2</v>
      </c>
      <c r="AE61">
        <f>IF(Vu_khi!$AG$61,INDEX(Bang_danh_noc!$C$2:$C$8,MIN(7,MAX(1,2-(Vu_khi!$L$61-2)+1))),INDEX(Bang_xuyen_giap!$C$2:$C$8,MIN(7,MAX(1,IF($O$61,MAX(1,2-(Vu_khi!$L$61-2)),2-(Vu_khi!$L$61-2))+1))))*IF($AA$61,INDEX(Bang_xuyen_qua!$C$2:$C$5,MIN(4,MAX(1,(Vu_khi!$L$61)-(2)-1))),1)</f>
        <v/>
      </c>
      <c r="AF61" t="n">
        <v>1.2</v>
      </c>
      <c r="AG61">
        <f>IF(Vu_khi!$AG$61,INDEX(Bang_danh_noc!$C$2:$C$8,MIN(7,MAX(1,2-(Vu_khi!$L$61-4)+1))),INDEX(Bang_xuyen_giap!$C$2:$C$8,MIN(7,MAX(1,IF($O$61,MAX(1,2-(Vu_khi!$L$61-4)),2-(Vu_khi!$L$61-4))+1))))*IF($AA$61,INDEX(Bang_xuyen_qua!$C$2:$C$5,MIN(4,MAX(1,(Vu_khi!$L$61)-(4)-1))),1)</f>
        <v/>
      </c>
      <c r="AH61" t="n">
        <v>0.85</v>
      </c>
      <c r="AI61">
        <f>INDEX(Bang_xuyen_giap!$C$2:$C$8,MIN(7,MAX(1,MAX(1,2-(Vu_khi!$L$61-0))+1)))*IF($AA$61,INDEX(Bang_xuyen_qua!$C$2:$C$5,MIN(4,MAX(1,(Vu_khi!$L$61)-(0)-1))),1)</f>
        <v/>
      </c>
      <c r="AJ61" t="n">
        <v>1</v>
      </c>
      <c r="AK61">
        <f>IF($Q$61,$M$61*$AC$61*$U$61,0)</f>
        <v/>
      </c>
      <c r="AL61" t="n">
        <v>85.42445274959958</v>
      </c>
      <c r="AM61">
        <f>IF($Q$61,$M$61*$AE$61*$U$61,0)</f>
        <v/>
      </c>
      <c r="AN61" t="n">
        <v>85.42445274959958</v>
      </c>
      <c r="AO61">
        <f>IF($Q$61,$M$61*$AG$61*$U$61,0)</f>
        <v/>
      </c>
      <c r="AP61" t="n">
        <v>60.5089873642997</v>
      </c>
      <c r="AQ61">
        <f>IF($Q$61,$M$61*$AE$61*$Y$61,0)</f>
        <v/>
      </c>
      <c r="AR61" t="n">
        <v>136.6791243993593</v>
      </c>
      <c r="AS61">
        <f>IF($S$61,$M$61*$AI$61*$W$61,0)</f>
        <v/>
      </c>
      <c r="AT61" t="n">
        <v>0</v>
      </c>
      <c r="AU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V61" t="b">
        <v>1</v>
      </c>
      <c r="AW61">
        <f>IF(AND($B$61&lt;0,$AU$61),4,$B$61)</f>
        <v/>
      </c>
      <c r="AX61" t="n">
        <v>4</v>
      </c>
      <c r="AY61">
        <f>IF($AW$61&lt;4,0,MIN(MAX(0.5,Canh_bao_vong!$D$4),MAX(IF(Vu_khi!$C$61="cal_406",Canh_bao_vong!$D$7,IF($AW$61&gt;=5,Canh_bao_vong!$D$9,Canh_bao_vong!$D$8)),Canh_bao_vong!$D$2+MAX(0,Vu_khi!$X$61)/MAX(0.1,Canh_bao_vong!$D$5))))</f>
        <v/>
      </c>
      <c r="AZ61" t="n">
        <v>2.5</v>
      </c>
      <c r="BA61" t="n">
        <v>2.35998</v>
      </c>
      <c r="BB61" t="inlineStr">
        <is>
          <t>CHAM_QUA;LECH_DOT_1</t>
        </is>
      </c>
      <c r="BC61" t="inlineStr"/>
      <c r="BD61" t="n">
        <v>85</v>
      </c>
      <c r="BE61" t="n">
        <v>110.5</v>
      </c>
      <c r="BF61" t="n">
        <v>0.309</v>
      </c>
      <c r="BG61" t="n">
        <v>0.618</v>
      </c>
      <c r="BH61" t="n">
        <v>1.235</v>
      </c>
      <c r="BI61" t="n">
        <v>0.95</v>
      </c>
      <c r="BJ61" t="inlineStr">
        <is>
          <t>NAVAL_DIRECT</t>
        </is>
      </c>
      <c r="BK61" t="inlineStr">
        <is>
          <t>ok</t>
        </is>
      </c>
      <c r="BL61" t="inlineStr">
        <is>
          <t>own line (over naval_76)</t>
        </is>
      </c>
      <c r="BM61" t="inlineStr"/>
      <c r="BN61" t="inlineStr">
        <is>
          <t>Assets/MachineBrigade/Resources/Data/balance.json: weapons[id=cruiser_203] (lớp B trên 01_chien_dau/Vu_khi)</t>
        </is>
      </c>
      <c r="BO61" t="inlineStr"/>
    </row>
    <row r="62">
      <c r="A62" t="inlineStr">
        <is>
          <t>cruiser_203_guided</t>
        </is>
      </c>
      <c r="B62" t="n">
        <v>4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16.857</v>
      </c>
      <c r="I62">
        <f>Vu_khi!$W$62*MAX(1,$E$62)</f>
        <v/>
      </c>
      <c r="J62" t="n">
        <v>600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35.59352197899982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1.6</v>
      </c>
      <c r="AA62">
        <f>AND(Vu_khi!$K$62="Kinetic",NOT(Vu_khi!$AG$62))</f>
        <v/>
      </c>
      <c r="AB62" t="b">
        <v>0</v>
      </c>
      <c r="AC62">
        <f>IF(Vu_khi!$AG$62,INDEX(Bang_danh_noc!$C$2:$C$8,MIN(7,MAX(1,2-(Vu_khi!$L$62-0)+1))),INDEX(Bang_xuyen_giap!$C$2:$C$8,MIN(7,MAX(1,IF($O$62,MAX(1,2-(Vu_khi!$L$62-0)),2-(Vu_khi!$L$62-0))+1))))*IF($AA$62,INDEX(Bang_xuyen_qua!$C$2:$C$5,MIN(4,MAX(1,(Vu_khi!$L$62)-(0)-1))),1)</f>
        <v/>
      </c>
      <c r="AD62" t="n">
        <v>1.2</v>
      </c>
      <c r="AE62">
        <f>IF(Vu_khi!$AG$62,INDEX(Bang_danh_noc!$C$2:$C$8,MIN(7,MAX(1,2-(Vu_khi!$L$62-2)+1))),INDEX(Bang_xuyen_giap!$C$2:$C$8,MIN(7,MAX(1,IF($O$62,MAX(1,2-(Vu_khi!$L$62-2)),2-(Vu_khi!$L$62-2))+1))))*IF($AA$62,INDEX(Bang_xuyen_qua!$C$2:$C$5,MIN(4,MAX(1,(Vu_khi!$L$62)-(2)-1))),1)</f>
        <v/>
      </c>
      <c r="AF62" t="n">
        <v>1.2</v>
      </c>
      <c r="AG62">
        <f>IF(Vu_khi!$AG$62,INDEX(Bang_danh_noc!$C$2:$C$8,MIN(7,MAX(1,2-(Vu_khi!$L$62-4)+1))),INDEX(Bang_xuyen_giap!$C$2:$C$8,MIN(7,MAX(1,IF($O$62,MAX(1,2-(Vu_khi!$L$62-4)),2-(Vu_khi!$L$62-4))+1))))*IF($AA$62,INDEX(Bang_xuyen_qua!$C$2:$C$5,MIN(4,MAX(1,(Vu_khi!$L$62)-(4)-1))),1)</f>
        <v/>
      </c>
      <c r="AH62" t="n">
        <v>0.85</v>
      </c>
      <c r="AI62">
        <f>INDEX(Bang_xuyen_giap!$C$2:$C$8,MIN(7,MAX(1,MAX(1,2-(Vu_khi!$L$62-0))+1)))*IF($AA$62,INDEX(Bang_xuyen_qua!$C$2:$C$5,MIN(4,MAX(1,(Vu_khi!$L$62)-(0)-1))),1)</f>
        <v/>
      </c>
      <c r="AJ62" t="n">
        <v>1</v>
      </c>
      <c r="AK62">
        <f>IF($Q$62,$M$62*$AC$62*$U$62,0)</f>
        <v/>
      </c>
      <c r="AL62" t="n">
        <v>42.71222637479979</v>
      </c>
      <c r="AM62">
        <f>IF($Q$62,$M$62*$AE$62*$U$62,0)</f>
        <v/>
      </c>
      <c r="AN62" t="n">
        <v>42.71222637479979</v>
      </c>
      <c r="AO62">
        <f>IF($Q$62,$M$62*$AG$62*$U$62,0)</f>
        <v/>
      </c>
      <c r="AP62" t="n">
        <v>30.25449368214985</v>
      </c>
      <c r="AQ62">
        <f>IF($Q$62,$M$62*$AE$62*$Y$62,0)</f>
        <v/>
      </c>
      <c r="AR62" t="n">
        <v>68.33956219967966</v>
      </c>
      <c r="AS62">
        <f>IF($S$62,$M$62*$AI$62*$W$62,0)</f>
        <v/>
      </c>
      <c r="AT62" t="n">
        <v>0</v>
      </c>
      <c r="AU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V62" t="b">
        <v>1</v>
      </c>
      <c r="AW62">
        <f>IF(AND($B$62&lt;0,$AU$62),4,$B$62)</f>
        <v/>
      </c>
      <c r="AX62" t="n">
        <v>4</v>
      </c>
      <c r="AY62">
        <f>IF($AW$62&lt;4,0,MIN(MAX(0.5,Canh_bao_vong!$D$4),MAX(IF(Vu_khi!$C$62="cal_406",Canh_bao_vong!$D$7,IF($AW$62&gt;=5,Canh_bao_vong!$D$9,Canh_bao_vong!$D$8)),Canh_bao_vong!$D$2+MAX(0,Vu_khi!$X$62)/MAX(0.1,Canh_bao_vong!$D$5))))</f>
        <v/>
      </c>
      <c r="AZ62" t="n">
        <v>2.5</v>
      </c>
      <c r="BD62" t="n">
        <v>85</v>
      </c>
      <c r="BE62" t="n">
        <v>110.5</v>
      </c>
      <c r="BF62" t="n">
        <v>0.309</v>
      </c>
      <c r="BG62" t="n">
        <v>0.618</v>
      </c>
      <c r="BH62" t="n">
        <v>1.235</v>
      </c>
      <c r="BI62" t="n">
        <v>0.95</v>
      </c>
      <c r="BJ62" t="inlineStr">
        <is>
          <t>NAVAL_DIRECT</t>
        </is>
      </c>
      <c r="BK62" t="inlineStr">
        <is>
          <t>ok</t>
        </is>
      </c>
      <c r="BL62" t="inlineStr">
        <is>
          <t>inherited from cruiser_203</t>
        </is>
      </c>
      <c r="BM62" t="inlineStr"/>
      <c r="BN62" t="inlineStr">
        <is>
          <t>Assets/MachineBrigade/Resources/Data/balance.json: weapons[id=cruiser_203_guided] (lớp B trên 01_chien_dau/Vu_khi)</t>
        </is>
      </c>
      <c r="BO62" t="inlineStr"/>
    </row>
    <row r="63">
      <c r="A63" t="inlineStr">
        <is>
          <t>detonator</t>
        </is>
      </c>
      <c r="B63" t="n">
        <v>4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</v>
      </c>
      <c r="I63">
        <f>Vu_khi!$W$63*MAX(1,$E$63)</f>
        <v/>
      </c>
      <c r="J63" t="n">
        <v>770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770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1.6</v>
      </c>
      <c r="AA63">
        <f>AND(Vu_khi!$K$63="Kinetic",NOT(Vu_khi!$AG$63))</f>
        <v/>
      </c>
      <c r="AB63" t="b">
        <v>0</v>
      </c>
      <c r="AC63">
        <f>IF(Vu_khi!$AG$63,INDEX(Bang_danh_noc!$C$2:$C$8,MIN(7,MAX(1,2-(Vu_khi!$L$63-0)+1))),INDEX(Bang_xuyen_giap!$C$2:$C$8,MIN(7,MAX(1,IF($O$63,MAX(1,2-(Vu_khi!$L$63-0)),2-(Vu_khi!$L$63-0))+1))))*IF($AA$63,INDEX(Bang_xuyen_qua!$C$2:$C$5,MIN(4,MAX(1,(Vu_khi!$L$63)-(0)-1))),1)</f>
        <v/>
      </c>
      <c r="AD63" t="n">
        <v>1.2</v>
      </c>
      <c r="AE63">
        <f>IF(Vu_khi!$AG$63,INDEX(Bang_danh_noc!$C$2:$C$8,MIN(7,MAX(1,2-(Vu_khi!$L$63-2)+1))),INDEX(Bang_xuyen_giap!$C$2:$C$8,MIN(7,MAX(1,IF($O$63,MAX(1,2-(Vu_khi!$L$63-2)),2-(Vu_khi!$L$63-2))+1))))*IF($AA$63,INDEX(Bang_xuyen_qua!$C$2:$C$5,MIN(4,MAX(1,(Vu_khi!$L$63)-(2)-1))),1)</f>
        <v/>
      </c>
      <c r="AF63" t="n">
        <v>1.2</v>
      </c>
      <c r="AG63">
        <f>IF(Vu_khi!$AG$63,INDEX(Bang_danh_noc!$C$2:$C$8,MIN(7,MAX(1,2-(Vu_khi!$L$63-4)+1))),INDEX(Bang_xuyen_giap!$C$2:$C$8,MIN(7,MAX(1,IF($O$63,MAX(1,2-(Vu_khi!$L$63-4)),2-(Vu_khi!$L$63-4))+1))))*IF($AA$63,INDEX(Bang_xuyen_qua!$C$2:$C$5,MIN(4,MAX(1,(Vu_khi!$L$63)-(4)-1))),1)</f>
        <v/>
      </c>
      <c r="AH63" t="n">
        <v>0.85</v>
      </c>
      <c r="AI63">
        <f>INDEX(Bang_xuyen_giap!$C$2:$C$8,MIN(7,MAX(1,MAX(1,2-(Vu_khi!$L$63-0))+1)))*IF($AA$63,INDEX(Bang_xuyen_qua!$C$2:$C$5,MIN(4,MAX(1,(Vu_khi!$L$63)-(0)-1))),1)</f>
        <v/>
      </c>
      <c r="AJ63" t="n">
        <v>1</v>
      </c>
      <c r="AK63">
        <f>IF($Q$63,$M$63*$AC$63*$U$63,0)</f>
        <v/>
      </c>
      <c r="AL63" t="n">
        <v>924</v>
      </c>
      <c r="AM63">
        <f>IF($Q$63,$M$63*$AE$63*$U$63,0)</f>
        <v/>
      </c>
      <c r="AN63" t="n">
        <v>924</v>
      </c>
      <c r="AO63">
        <f>IF($Q$63,$M$63*$AG$63*$U$63,0)</f>
        <v/>
      </c>
      <c r="AP63" t="n">
        <v>654.5</v>
      </c>
      <c r="AQ63">
        <f>IF($Q$63,$M$63*$AE$63*$Y$63,0)</f>
        <v/>
      </c>
      <c r="AR63" t="n">
        <v>1478.4</v>
      </c>
      <c r="AS63">
        <f>IF($S$63,$M$63*$AI$63*$W$63,0)</f>
        <v/>
      </c>
      <c r="AT63" t="n">
        <v>0</v>
      </c>
      <c r="AU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V63" t="b">
        <v>1</v>
      </c>
      <c r="AW63">
        <f>IF(AND($B$63&lt;0,$AU$63),4,$B$63)</f>
        <v/>
      </c>
      <c r="AX63" t="n">
        <v>4</v>
      </c>
      <c r="AY63">
        <f>IF($AW$63&lt;4,0,MIN(MAX(0.5,Canh_bao_vong!$D$4),MAX(IF(Vu_khi!$C$63="cal_406",Canh_bao_vong!$D$7,IF($AW$63&gt;=5,Canh_bao_vong!$D$9,Canh_bao_vong!$D$8)),Canh_bao_vong!$D$2+MAX(0,Vu_khi!$X$63)/MAX(0.1,Canh_bao_vong!$D$5))))</f>
        <v/>
      </c>
      <c r="AZ63" t="n">
        <v>2.722222222222222</v>
      </c>
      <c r="BA63" t="inlineStr"/>
      <c r="BB63" t="inlineStr">
        <is>
          <t>ok</t>
        </is>
      </c>
      <c r="BC63" t="inlineStr"/>
      <c r="BD63" t="n">
        <v>100</v>
      </c>
      <c r="BE63" t="n">
        <v>130</v>
      </c>
      <c r="BF63" t="n">
        <v>0.007</v>
      </c>
      <c r="BG63" t="n">
        <v>0.015</v>
      </c>
      <c r="BH63" t="n">
        <v>0.03</v>
      </c>
      <c r="BI63" t="n">
        <v>0.023</v>
      </c>
      <c r="BJ63" t="inlineStr">
        <is>
          <t>BOMB</t>
        </is>
      </c>
      <c r="BK63" t="inlineStr">
        <is>
          <t>ok</t>
        </is>
      </c>
      <c r="BL63" t="inlineStr">
        <is>
          <t>own line</t>
        </is>
      </c>
      <c r="BM63" t="inlineStr"/>
      <c r="BN63" t="inlineStr">
        <is>
          <t>Assets/MachineBrigade/Resources/Data/balance.json: weapons[id=detonator] (lớp B trên 01_chien_dau/Vu_khi)</t>
        </is>
      </c>
      <c r="BO63" t="inlineStr"/>
    </row>
    <row r="64">
      <c r="A64" t="inlineStr">
        <is>
          <t>dozer_blade</t>
        </is>
      </c>
      <c r="B64" t="n">
        <v>0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1</v>
      </c>
      <c r="G64">
        <f>IF(Vu_khi!$S$64&gt;0,(Vu_khi!$S$64-1)*Vu_khi!$R$64+Vu_khi!$T$64,Vu_khi!$R$64+(Vu_khi!$P$64-1)*Vu_khi!$Q$64)</f>
        <v/>
      </c>
      <c r="H64" t="n">
        <v>1.6</v>
      </c>
      <c r="I64">
        <f>Vu_khi!$W$64*MAX(1,$E$64)</f>
        <v/>
      </c>
      <c r="J64" t="n">
        <v>110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68.75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1.2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0.7</v>
      </c>
      <c r="AA64">
        <f>AND(Vu_khi!$K$64="Kinetic",NOT(Vu_khi!$AG$64))</f>
        <v/>
      </c>
      <c r="AB64" t="b">
        <v>1</v>
      </c>
      <c r="AC64">
        <f>IF(Vu_khi!$AG$64,INDEX(Bang_danh_noc!$C$2:$C$8,MIN(7,MAX(1,2-(Vu_khi!$L$64-0)+1))),INDEX(Bang_xuyen_giap!$C$2:$C$8,MIN(7,MAX(1,IF($O$64,MAX(1,2-(Vu_khi!$L$64-0)),2-(Vu_khi!$L$64-0))+1))))*IF($AA$64,INDEX(Bang_xuyen_qua!$C$2:$C$5,MIN(4,MAX(1,(Vu_khi!$L$64)-(0)-1))),1)</f>
        <v/>
      </c>
      <c r="AD64" t="n">
        <v>1.14</v>
      </c>
      <c r="AE64">
        <f>IF(Vu_khi!$AG$64,INDEX(Bang_danh_noc!$C$2:$C$8,MIN(7,MAX(1,2-(Vu_khi!$L$64-2)+1))),INDEX(Bang_xuyen_giap!$C$2:$C$8,MIN(7,MAX(1,IF($O$64,MAX(1,2-(Vu_khi!$L$64-2)),2-(Vu_khi!$L$64-2))+1))))*IF($AA$64,INDEX(Bang_xuyen_qua!$C$2:$C$5,MIN(4,MAX(1,(Vu_khi!$L$64)-(2)-1))),1)</f>
        <v/>
      </c>
      <c r="AF64" t="n">
        <v>1</v>
      </c>
      <c r="AG64">
        <f>IF(Vu_khi!$AG$64,INDEX(Bang_danh_noc!$C$2:$C$8,MIN(7,MAX(1,2-(Vu_khi!$L$64-4)+1))),INDEX(Bang_xuyen_giap!$C$2:$C$8,MIN(7,MAX(1,IF($O$64,MAX(1,2-(Vu_khi!$L$64-4)),2-(Vu_khi!$L$64-4))+1))))*IF($AA$64,INDEX(Bang_xuyen_qua!$C$2:$C$5,MIN(4,MAX(1,(Vu_khi!$L$64)-(4)-1))),1)</f>
        <v/>
      </c>
      <c r="AH64" t="n">
        <v>0.65</v>
      </c>
      <c r="AI64">
        <f>INDEX(Bang_xuyen_giap!$C$2:$C$8,MIN(7,MAX(1,MAX(1,2-(Vu_khi!$L$64-0))+1)))*IF($AA$64,INDEX(Bang_xuyen_qua!$C$2:$C$5,MIN(4,MAX(1,(Vu_khi!$L$64)-(0)-1))),1)</f>
        <v/>
      </c>
      <c r="AJ64" t="n">
        <v>0.95</v>
      </c>
      <c r="AK64">
        <f>IF($Q$64,$M$64*$AC$64*$U$64,0)</f>
        <v/>
      </c>
      <c r="AL64" t="n">
        <v>94.05</v>
      </c>
      <c r="AM64">
        <f>IF($Q$64,$M$64*$AE$64*$U$64,0)</f>
        <v/>
      </c>
      <c r="AN64" t="n">
        <v>82.5</v>
      </c>
      <c r="AO64">
        <f>IF($Q$64,$M$64*$AG$64*$U$64,0)</f>
        <v/>
      </c>
      <c r="AP64" t="n">
        <v>53.625</v>
      </c>
      <c r="AQ64">
        <f>IF($Q$64,$M$64*$AE$64*$Y$64,0)</f>
        <v/>
      </c>
      <c r="AR64" t="n">
        <v>48.125</v>
      </c>
      <c r="AS64">
        <f>IF($S$64,$M$64*$AI$64*$W$64,0)</f>
        <v/>
      </c>
      <c r="AT64" t="n">
        <v>0</v>
      </c>
      <c r="AU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V64" t="b">
        <v>0</v>
      </c>
      <c r="AW64">
        <f>IF(AND($B$64&lt;0,$AU$64),4,$B$64)</f>
        <v/>
      </c>
      <c r="AX64" t="n">
        <v>0</v>
      </c>
      <c r="AY64">
        <f>IF($AW$64&lt;4,0,MIN(MAX(0.5,Canh_bao_vong!$D$4),MAX(IF(Vu_khi!$C$64="cal_406",Canh_bao_vong!$D$7,IF($AW$64&gt;=5,Canh_bao_vong!$D$9,Canh_bao_vong!$D$8)),Canh_bao_vong!$D$2+MAX(0,Vu_khi!$X$64)/MAX(0.1,Canh_bao_vong!$D$5))))</f>
        <v/>
      </c>
      <c r="AZ64" t="n">
        <v>0</v>
      </c>
      <c r="BA64" t="inlineStr"/>
      <c r="BB64" t="inlineStr">
        <is>
          <t>ok</t>
        </is>
      </c>
      <c r="BC64" t="inlineStr"/>
      <c r="BD64" t="n">
        <v>400</v>
      </c>
      <c r="BE64" t="n">
        <v>520</v>
      </c>
      <c r="BF64" t="n">
        <v>0.003</v>
      </c>
      <c r="BG64" t="n">
        <v>0.005</v>
      </c>
      <c r="BH64" t="n">
        <v>0.01</v>
      </c>
      <c r="BI64" t="n">
        <v>0.008</v>
      </c>
      <c r="BJ64" t="inlineStr">
        <is>
          <t>BEAM_OR_MELEE</t>
        </is>
      </c>
      <c r="BK64" t="inlineStr">
        <is>
          <t>ok</t>
        </is>
      </c>
      <c r="BL64" t="inlineStr">
        <is>
          <t>own line</t>
        </is>
      </c>
      <c r="BM64" t="inlineStr"/>
      <c r="BN64" t="inlineStr">
        <is>
          <t>Assets/MachineBrigade/Resources/Data/balance.json: weapons[id=dozer_blade] (lớp B trên 01_chien_dau/Vu_khi)</t>
        </is>
      </c>
      <c r="BO64" t="inlineStr"/>
    </row>
    <row r="65">
      <c r="A65" t="inlineStr">
        <is>
          <t>drone_gun</t>
        </is>
      </c>
      <c r="B65" t="n">
        <v>0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0.158</v>
      </c>
      <c r="I65">
        <f>Vu_khi!$W$65*MAX(1,$E$65)</f>
        <v/>
      </c>
      <c r="J65" t="n">
        <v>9.5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60.12658227848101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1.2</v>
      </c>
      <c r="W65">
        <f>INDEX(Bang_sat_thuong!$C$2:$C$7,MATCH(Vu_khi!$K$65,Bang_sat_thuong!$A$2:$A$7,0))</f>
        <v/>
      </c>
      <c r="X65" t="n">
        <v>0.3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0.7</v>
      </c>
      <c r="AA65">
        <f>AND(Vu_khi!$K$65="Kinetic",NOT(Vu_khi!$AG$65))</f>
        <v/>
      </c>
      <c r="AB65" t="b">
        <v>1</v>
      </c>
      <c r="AC65">
        <f>IF(Vu_khi!$AG$65,INDEX(Bang_danh_noc!$C$2:$C$8,MIN(7,MAX(1,2-(Vu_khi!$L$65-0)+1))),INDEX(Bang_xuyen_giap!$C$2:$C$8,MIN(7,MAX(1,IF($O$65,MAX(1,2-(Vu_khi!$L$65-0)),2-(Vu_khi!$L$65-0))+1))))*IF($AA$65,INDEX(Bang_xuyen_qua!$C$2:$C$5,MIN(4,MAX(1,(Vu_khi!$L$65)-(0)-1))),1)</f>
        <v/>
      </c>
      <c r="AD65" t="n">
        <v>1</v>
      </c>
      <c r="AE65">
        <f>IF(Vu_khi!$AG$65,INDEX(Bang_danh_noc!$C$2:$C$8,MIN(7,MAX(1,2-(Vu_khi!$L$65-2)+1))),INDEX(Bang_xuyen_giap!$C$2:$C$8,MIN(7,MAX(1,IF($O$65,MAX(1,2-(Vu_khi!$L$65-2)),2-(Vu_khi!$L$65-2))+1))))*IF($AA$65,INDEX(Bang_xuyen_qua!$C$2:$C$5,MIN(4,MAX(1,(Vu_khi!$L$65)-(2)-1))),1)</f>
        <v/>
      </c>
      <c r="AF65" t="n">
        <v>0.65</v>
      </c>
      <c r="AG65">
        <f>IF(Vu_khi!$AG$65,INDEX(Bang_danh_noc!$C$2:$C$8,MIN(7,MAX(1,2-(Vu_khi!$L$65-4)+1))),INDEX(Bang_xuyen_giap!$C$2:$C$8,MIN(7,MAX(1,IF($O$65,MAX(1,2-(Vu_khi!$L$65-4)),2-(Vu_khi!$L$65-4))+1))))*IF($AA$65,INDEX(Bang_xuyen_qua!$C$2:$C$5,MIN(4,MAX(1,(Vu_khi!$L$65)-(4)-1))),1)</f>
        <v/>
      </c>
      <c r="AH65" t="n">
        <v>0.15</v>
      </c>
      <c r="AI65">
        <f>INDEX(Bang_xuyen_giap!$C$2:$C$8,MIN(7,MAX(1,MAX(1,2-(Vu_khi!$L$65-0))+1)))*IF($AA$65,INDEX(Bang_xuyen_qua!$C$2:$C$5,MIN(4,MAX(1,(Vu_khi!$L$65)-(0)-1))),1)</f>
        <v/>
      </c>
      <c r="AJ65" t="n">
        <v>1</v>
      </c>
      <c r="AK65">
        <f>IF($Q$65,$M$65*$AC$65*$U$65,0)</f>
        <v/>
      </c>
      <c r="AL65" t="n">
        <v>72.15189873417721</v>
      </c>
      <c r="AM65">
        <f>IF($Q$65,$M$65*$AE$65*$U$65,0)</f>
        <v/>
      </c>
      <c r="AN65" t="n">
        <v>46.89873417721519</v>
      </c>
      <c r="AO65">
        <f>IF($Q$65,$M$65*$AG$65*$U$65,0)</f>
        <v/>
      </c>
      <c r="AP65" t="n">
        <v>10.82278481012658</v>
      </c>
      <c r="AQ65">
        <f>IF($Q$65,$M$65*$AE$65*$Y$65,0)</f>
        <v/>
      </c>
      <c r="AR65" t="n">
        <v>27.35759493670886</v>
      </c>
      <c r="AS65">
        <f>IF($S$65,$M$65*$AI$65*$W$65,0)</f>
        <v/>
      </c>
      <c r="AT65" t="n">
        <v>0</v>
      </c>
      <c r="AU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V65" t="b">
        <v>0</v>
      </c>
      <c r="AW65">
        <f>IF(AND($B$65&lt;0,$AU$65),4,$B$65)</f>
        <v/>
      </c>
      <c r="AX65" t="n">
        <v>0</v>
      </c>
      <c r="AY65">
        <f>IF($AW$65&lt;4,0,MIN(MAX(0.5,Canh_bao_vong!$D$4),MAX(IF(Vu_khi!$C$65="cal_406",Canh_bao_vong!$D$7,IF($AW$65&gt;=5,Canh_bao_vong!$D$9,Canh_bao_vong!$D$8)),Canh_bao_vong!$D$2+MAX(0,Vu_khi!$X$65)/MAX(0.1,Canh_bao_vong!$D$5))))</f>
        <v/>
      </c>
      <c r="AZ65" t="n">
        <v>0</v>
      </c>
      <c r="BA65" t="n">
        <v>3.16</v>
      </c>
      <c r="BB65" t="inlineStr">
        <is>
          <t>ok</t>
        </is>
      </c>
      <c r="BC65" t="inlineStr"/>
      <c r="BD65" t="n">
        <v>220</v>
      </c>
      <c r="BE65" t="n">
        <v>286</v>
      </c>
      <c r="BF65" t="n">
        <v>0.03</v>
      </c>
      <c r="BG65" t="n">
        <v>0.059</v>
      </c>
      <c r="BH65" t="n">
        <v>0.118</v>
      </c>
      <c r="BI65" t="n">
        <v>0.091</v>
      </c>
      <c r="BJ65" t="inlineStr">
        <is>
          <t>DIRECT_BULLET</t>
        </is>
      </c>
      <c r="BK65" t="inlineStr">
        <is>
          <t>ok</t>
        </is>
      </c>
      <c r="BL65" t="inlineStr">
        <is>
          <t>own line</t>
        </is>
      </c>
      <c r="BM65" t="inlineStr"/>
      <c r="BN65" t="inlineStr">
        <is>
          <t>Assets/MachineBrigade/Resources/Data/balance.json: weapons[id=drone_gun] (lớp B trên 01_chien_dau/Vu_khi)</t>
        </is>
      </c>
      <c r="BO65" t="inlineStr"/>
    </row>
    <row r="66">
      <c r="A66" t="inlineStr">
        <is>
          <t>drone_missile</t>
        </is>
      </c>
      <c r="B66" t="n">
        <v>2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1</v>
      </c>
      <c r="G66">
        <f>IF(Vu_khi!$S$66&gt;0,(Vu_khi!$S$66-1)*Vu_khi!$R$66+Vu_khi!$T$66,Vu_khi!$R$66+(Vu_khi!$P$66-1)*Vu_khi!$Q$66)</f>
        <v/>
      </c>
      <c r="H66" t="n">
        <v>3.58</v>
      </c>
      <c r="I66">
        <f>Vu_khi!$W$66*MAX(1,$E$66)</f>
        <v/>
      </c>
      <c r="J66" t="n">
        <v>260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72.62569832402235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0</v>
      </c>
      <c r="U66">
        <f>INDEX(Bang_sat_thuong!$B$2:$B$7,MATCH(Vu_khi!$K$66,Bang_sat_thuong!$A$2:$A$7,0))</f>
        <v/>
      </c>
      <c r="V66" t="n">
        <v>1.3</v>
      </c>
      <c r="W66">
        <f>INDEX(Bang_sat_thuong!$C$2:$C$7,MATCH(Vu_khi!$K$66,Bang_sat_thuong!$A$2:$A$7,0))</f>
        <v/>
      </c>
      <c r="X66" t="n">
        <v>0.2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0.45</v>
      </c>
      <c r="AA66">
        <f>AND(Vu_khi!$K$66="Kinetic",NOT(Vu_khi!$AG$66))</f>
        <v/>
      </c>
      <c r="AB66" t="b">
        <v>0</v>
      </c>
      <c r="AC66">
        <f>IF(Vu_khi!$AG$66,INDEX(Bang_danh_noc!$C$2:$C$8,MIN(7,MAX(1,2-(Vu_khi!$L$66-0)+1))),INDEX(Bang_xuyen_giap!$C$2:$C$8,MIN(7,MAX(1,IF($O$66,MAX(1,2-(Vu_khi!$L$66-0)),2-(Vu_khi!$L$66-0))+1))))*IF($AA$66,INDEX(Bang_xuyen_qua!$C$2:$C$5,MIN(4,MAX(1,(Vu_khi!$L$66)-(0)-1))),1)</f>
        <v/>
      </c>
      <c r="AD66" t="n">
        <v>1.2</v>
      </c>
      <c r="AE66">
        <f>IF(Vu_khi!$AG$66,INDEX(Bang_danh_noc!$C$2:$C$8,MIN(7,MAX(1,2-(Vu_khi!$L$66-2)+1))),INDEX(Bang_xuyen_giap!$C$2:$C$8,MIN(7,MAX(1,IF($O$66,MAX(1,2-(Vu_khi!$L$66-2)),2-(Vu_khi!$L$66-2))+1))))*IF($AA$66,INDEX(Bang_xuyen_qua!$C$2:$C$5,MIN(4,MAX(1,(Vu_khi!$L$66)-(2)-1))),1)</f>
        <v/>
      </c>
      <c r="AF66" t="n">
        <v>1.2</v>
      </c>
      <c r="AG66">
        <f>IF(Vu_khi!$AG$66,INDEX(Bang_danh_noc!$C$2:$C$8,MIN(7,MAX(1,2-(Vu_khi!$L$66-4)+1))),INDEX(Bang_xuyen_giap!$C$2:$C$8,MIN(7,MAX(1,IF($O$66,MAX(1,2-(Vu_khi!$L$66-4)),2-(Vu_khi!$L$66-4))+1))))*IF($AA$66,INDEX(Bang_xuyen_qua!$C$2:$C$5,MIN(4,MAX(1,(Vu_khi!$L$66)-(4)-1))),1)</f>
        <v/>
      </c>
      <c r="AH66" t="n">
        <v>0.85</v>
      </c>
      <c r="AI66">
        <f>INDEX(Bang_xuyen_giap!$C$2:$C$8,MIN(7,MAX(1,MAX(1,2-(Vu_khi!$L$66-0))+1)))*IF($AA$66,INDEX(Bang_xuyen_qua!$C$2:$C$5,MIN(4,MAX(1,(Vu_khi!$L$66)-(0)-1))),1)</f>
        <v/>
      </c>
      <c r="AJ66" t="n">
        <v>1</v>
      </c>
      <c r="AK66">
        <f>IF($Q$66,$M$66*$AC$66*$U$66,0)</f>
        <v/>
      </c>
      <c r="AL66" t="n">
        <v>113.2960893854749</v>
      </c>
      <c r="AM66">
        <f>IF($Q$66,$M$66*$AE$66*$U$66,0)</f>
        <v/>
      </c>
      <c r="AN66" t="n">
        <v>113.2960893854749</v>
      </c>
      <c r="AO66">
        <f>IF($Q$66,$M$66*$AG$66*$U$66,0)</f>
        <v/>
      </c>
      <c r="AP66" t="n">
        <v>80.2513966480447</v>
      </c>
      <c r="AQ66">
        <f>IF($Q$66,$M$66*$AE$66*$Y$66,0)</f>
        <v/>
      </c>
      <c r="AR66" t="n">
        <v>39.21787709497207</v>
      </c>
      <c r="AS66">
        <f>IF($S$66,$M$66*$AI$66*$W$66,0)</f>
        <v/>
      </c>
      <c r="AT66" t="n">
        <v>0</v>
      </c>
      <c r="AU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V66" t="b">
        <v>0</v>
      </c>
      <c r="AW66">
        <f>IF(AND($B$66&lt;0,$AU$66),4,$B$66)</f>
        <v/>
      </c>
      <c r="AX66" t="n">
        <v>2</v>
      </c>
      <c r="AY66">
        <f>IF($AW$66&lt;4,0,MIN(MAX(0.5,Canh_bao_vong!$D$4),MAX(IF(Vu_khi!$C$66="cal_406",Canh_bao_vong!$D$7,IF($AW$66&gt;=5,Canh_bao_vong!$D$9,Canh_bao_vong!$D$8)),Canh_bao_vong!$D$2+MAX(0,Vu_khi!$X$66)/MAX(0.1,Canh_bao_vong!$D$5))))</f>
        <v/>
      </c>
      <c r="AZ66" t="n">
        <v>0</v>
      </c>
      <c r="BA66" t="inlineStr"/>
      <c r="BB66" t="inlineStr">
        <is>
          <t>ok</t>
        </is>
      </c>
      <c r="BC66" t="inlineStr"/>
      <c r="BD66" t="n">
        <v>80</v>
      </c>
      <c r="BE66" t="n">
        <v>104</v>
      </c>
      <c r="BF66" t="n">
        <v>0.15</v>
      </c>
      <c r="BG66" t="n">
        <v>0.3</v>
      </c>
      <c r="BH66" t="n">
        <v>0.6</v>
      </c>
      <c r="BI66" t="n">
        <v>0.462</v>
      </c>
      <c r="BJ66" t="inlineStr">
        <is>
          <t>TACTICAL_MISSILE</t>
        </is>
      </c>
      <c r="BK66" t="inlineStr">
        <is>
          <t>ok</t>
        </is>
      </c>
      <c r="BL66" t="inlineStr">
        <is>
          <t>family agm_114_hellfire</t>
        </is>
      </c>
      <c r="BM66" t="inlineStr"/>
      <c r="BN66" t="inlineStr">
        <is>
          <t>Assets/MachineBrigade/Resources/Data/balance.json: weapons[id=drone_missile] (lớp B trên 01_chien_dau/Vu_khi)</t>
        </is>
      </c>
      <c r="BO66" t="inlineStr"/>
    </row>
    <row r="67">
      <c r="A67" t="inlineStr">
        <is>
          <t>fighter_cannon</t>
        </is>
      </c>
      <c r="B67" t="n">
        <v>1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44</v>
      </c>
      <c r="G67">
        <f>IF(Vu_khi!$S$67&gt;0,(Vu_khi!$S$67-1)*Vu_khi!$R$67+Vu_khi!$T$67,Vu_khi!$R$67+(Vu_khi!$P$67-1)*Vu_khi!$Q$67)</f>
        <v/>
      </c>
      <c r="H67" t="n">
        <v>5.9493</v>
      </c>
      <c r="I67">
        <f>Vu_khi!$W$67*MAX(1,$E$67)</f>
        <v/>
      </c>
      <c r="J67" t="n">
        <v>792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133.1249054510615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1</v>
      </c>
      <c r="U67">
        <f>INDEX(Bang_sat_thuong!$B$2:$B$7,MATCH(Vu_khi!$K$67,Bang_sat_thuong!$A$2:$A$7,0))</f>
        <v/>
      </c>
      <c r="V67" t="n">
        <v>0.45</v>
      </c>
      <c r="W67">
        <f>INDEX(Bang_sat_thuong!$C$2:$C$7,MATCH(Vu_khi!$K$67,Bang_sat_thuong!$A$2:$A$7,0))</f>
        <v/>
      </c>
      <c r="X67" t="n">
        <v>1.35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0.1</v>
      </c>
      <c r="AA67">
        <f>AND(Vu_khi!$K$67="Kinetic",NOT(Vu_khi!$AG$67))</f>
        <v/>
      </c>
      <c r="AB67" t="b">
        <v>0</v>
      </c>
      <c r="AC67">
        <f>IF(Vu_khi!$AG$67,INDEX(Bang_danh_noc!$C$2:$C$8,MIN(7,MAX(1,2-(Vu_khi!$L$67-0)+1))),INDEX(Bang_xuyen_giap!$C$2:$C$8,MIN(7,MAX(1,IF($O$67,MAX(1,2-(Vu_khi!$L$67-0)),2-(Vu_khi!$L$67-0))+1))))*IF($AA$67,INDEX(Bang_xuyen_qua!$C$2:$C$5,MIN(4,MAX(1,(Vu_khi!$L$67)-(0)-1))),1)</f>
        <v/>
      </c>
      <c r="AD67" t="n">
        <v>1.2</v>
      </c>
      <c r="AE67">
        <f>IF(Vu_khi!$AG$67,INDEX(Bang_danh_noc!$C$2:$C$8,MIN(7,MAX(1,2-(Vu_khi!$L$67-2)+1))),INDEX(Bang_xuyen_giap!$C$2:$C$8,MIN(7,MAX(1,IF($O$67,MAX(1,2-(Vu_khi!$L$67-2)),2-(Vu_khi!$L$67-2))+1))))*IF($AA$67,INDEX(Bang_xuyen_qua!$C$2:$C$5,MIN(4,MAX(1,(Vu_khi!$L$67)-(2)-1))),1)</f>
        <v/>
      </c>
      <c r="AF67" t="n">
        <v>0.85</v>
      </c>
      <c r="AG67">
        <f>IF(Vu_khi!$AG$67,INDEX(Bang_danh_noc!$C$2:$C$8,MIN(7,MAX(1,2-(Vu_khi!$L$67-4)+1))),INDEX(Bang_xuyen_giap!$C$2:$C$8,MIN(7,MAX(1,IF($O$67,MAX(1,2-(Vu_khi!$L$67-4)),2-(Vu_khi!$L$67-4))+1))))*IF($AA$67,INDEX(Bang_xuyen_qua!$C$2:$C$5,MIN(4,MAX(1,(Vu_khi!$L$67)-(4)-1))),1)</f>
        <v/>
      </c>
      <c r="AH67" t="n">
        <v>0.4</v>
      </c>
      <c r="AI67">
        <f>INDEX(Bang_xuyen_giap!$C$2:$C$8,MIN(7,MAX(1,MAX(1,2-(Vu_khi!$L$67-0))+1)))*IF($AA$67,INDEX(Bang_xuyen_qua!$C$2:$C$5,MIN(4,MAX(1,(Vu_khi!$L$67)-(0)-1))),1)</f>
        <v/>
      </c>
      <c r="AJ67" t="n">
        <v>1</v>
      </c>
      <c r="AK67">
        <f>IF($Q$67,$M$67*$AC$67*$U$67,0)</f>
        <v/>
      </c>
      <c r="AL67" t="n">
        <v>71.88744894357319</v>
      </c>
      <c r="AM67">
        <f>IF($Q$67,$M$67*$AE$67*$U$67,0)</f>
        <v/>
      </c>
      <c r="AN67" t="n">
        <v>50.92027633503101</v>
      </c>
      <c r="AO67">
        <f>IF($Q$67,$M$67*$AG$67*$U$67,0)</f>
        <v/>
      </c>
      <c r="AP67" t="n">
        <v>23.96248298119107</v>
      </c>
      <c r="AQ67">
        <f>IF($Q$67,$M$67*$AE$67*$Y$67,0)</f>
        <v/>
      </c>
      <c r="AR67" t="n">
        <v>11.31561696334023</v>
      </c>
      <c r="AS67">
        <f>IF($S$67,$M$67*$AI$67*$W$67,0)</f>
        <v/>
      </c>
      <c r="AT67" t="n">
        <v>179.718622358933</v>
      </c>
      <c r="AU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V67" t="b">
        <v>0</v>
      </c>
      <c r="AW67">
        <f>IF(AND($B$67&lt;0,$AU$67),4,$B$67)</f>
        <v/>
      </c>
      <c r="AX67" t="n">
        <v>1</v>
      </c>
      <c r="AY67">
        <f>IF($AW$67&lt;4,0,MIN(MAX(0.5,Canh_bao_vong!$D$4),MAX(IF(Vu_khi!$C$67="cal_406",Canh_bao_vong!$D$7,IF($AW$67&gt;=5,Canh_bao_vong!$D$9,Canh_bao_vong!$D$8)),Canh_bao_vong!$D$2+MAX(0,Vu_khi!$X$67)/MAX(0.1,Canh_bao_vong!$D$5))))</f>
        <v/>
      </c>
      <c r="AZ67" t="n">
        <v>0</v>
      </c>
      <c r="BA67" t="n">
        <v>7.436625</v>
      </c>
      <c r="BB67" t="inlineStr">
        <is>
          <t>ok</t>
        </is>
      </c>
      <c r="BC67" t="inlineStr"/>
      <c r="BD67" t="n">
        <v>320</v>
      </c>
      <c r="BE67" t="n">
        <v>416</v>
      </c>
      <c r="BF67" t="n">
        <v>0.023</v>
      </c>
      <c r="BG67" t="n">
        <v>0.047</v>
      </c>
      <c r="BH67" t="n">
        <v>0.094</v>
      </c>
      <c r="BI67" t="n">
        <v>0.07199999999999999</v>
      </c>
      <c r="BJ67" t="inlineStr">
        <is>
          <t>DIRECT_BULLET</t>
        </is>
      </c>
      <c r="BK67" t="inlineStr">
        <is>
          <t>ok</t>
        </is>
      </c>
      <c r="BL67" t="inlineStr">
        <is>
          <t>own line</t>
        </is>
      </c>
      <c r="BM67" t="inlineStr"/>
      <c r="BN67" t="inlineStr">
        <is>
          <t>Assets/MachineBrigade/Resources/Data/balance.json: weapons[id=fighter_cannon] (lớp B trên 01_chien_dau/Vu_khi)</t>
        </is>
      </c>
      <c r="BO67" t="inlineStr"/>
    </row>
    <row r="68">
      <c r="A68" t="inlineStr">
        <is>
          <t>fighter_cannon_ap</t>
        </is>
      </c>
      <c r="B68" t="n">
        <v>1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44</v>
      </c>
      <c r="G68">
        <f>IF(Vu_khi!$S$68&gt;0,(Vu_khi!$S$68-1)*Vu_khi!$R$68+Vu_khi!$T$68,Vu_khi!$R$68+(Vu_khi!$P$68-1)*Vu_khi!$Q$68)</f>
        <v/>
      </c>
      <c r="H68" t="n">
        <v>5.9493</v>
      </c>
      <c r="I68">
        <f>Vu_khi!$W$68*MAX(1,$E$68)</f>
        <v/>
      </c>
      <c r="J68" t="n">
        <v>792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133.1249054510615</v>
      </c>
      <c r="O68">
        <f>OR(Vu_khi!$AG$68,Vu_khi!$AB$68&gt;0,Vu_khi!$AH$68,Vu_khi!$M$68="Bomb",Vu_khi!$M$68="Drone")</f>
        <v/>
      </c>
      <c r="P68" t="b">
        <v>0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0</v>
      </c>
      <c r="U68">
        <f>INDEX(Bang_sat_thuong!$B$2:$B$7,MATCH(Vu_khi!$K$68,Bang_sat_thuong!$A$2:$A$7,0))</f>
        <v/>
      </c>
      <c r="V68" t="n">
        <v>1.2</v>
      </c>
      <c r="W68">
        <f>INDEX(Bang_sat_thuong!$C$2:$C$7,MATCH(Vu_khi!$K$68,Bang_sat_thuong!$A$2:$A$7,0))</f>
        <v/>
      </c>
      <c r="X68" t="n">
        <v>0.3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0.7</v>
      </c>
      <c r="AA68">
        <f>AND(Vu_khi!$K$68="Kinetic",NOT(Vu_khi!$AG$68))</f>
        <v/>
      </c>
      <c r="AB68" t="b">
        <v>1</v>
      </c>
      <c r="AC68">
        <f>IF(Vu_khi!$AG$68,INDEX(Bang_danh_noc!$C$2:$C$8,MIN(7,MAX(1,2-(Vu_khi!$L$68-0)+1))),INDEX(Bang_xuyen_giap!$C$2:$C$8,MIN(7,MAX(1,IF($O$68,MAX(1,2-(Vu_khi!$L$68-0)),2-(Vu_khi!$L$68-0))+1))))*IF($AA$68,INDEX(Bang_xuyen_qua!$C$2:$C$5,MIN(4,MAX(1,(Vu_khi!$L$68)-(0)-1))),1)</f>
        <v/>
      </c>
      <c r="AD68" t="n">
        <v>1.2</v>
      </c>
      <c r="AE68">
        <f>IF(Vu_khi!$AG$68,INDEX(Bang_danh_noc!$C$2:$C$8,MIN(7,MAX(1,2-(Vu_khi!$L$68-2)+1))),INDEX(Bang_xuyen_giap!$C$2:$C$8,MIN(7,MAX(1,IF($O$68,MAX(1,2-(Vu_khi!$L$68-2)),2-(Vu_khi!$L$68-2))+1))))*IF($AA$68,INDEX(Bang_xuyen_qua!$C$2:$C$5,MIN(4,MAX(1,(Vu_khi!$L$68)-(2)-1))),1)</f>
        <v/>
      </c>
      <c r="AF68" t="n">
        <v>0.85</v>
      </c>
      <c r="AG68">
        <f>IF(Vu_khi!$AG$68,INDEX(Bang_danh_noc!$C$2:$C$8,MIN(7,MAX(1,2-(Vu_khi!$L$68-4)+1))),INDEX(Bang_xuyen_giap!$C$2:$C$8,MIN(7,MAX(1,IF($O$68,MAX(1,2-(Vu_khi!$L$68-4)),2-(Vu_khi!$L$68-4))+1))))*IF($AA$68,INDEX(Bang_xuyen_qua!$C$2:$C$5,MIN(4,MAX(1,(Vu_khi!$L$68)-(4)-1))),1)</f>
        <v/>
      </c>
      <c r="AH68" t="n">
        <v>0.4</v>
      </c>
      <c r="AI68">
        <f>INDEX(Bang_xuyen_giap!$C$2:$C$8,MIN(7,MAX(1,MAX(1,2-(Vu_khi!$L$68-0))+1)))*IF($AA$68,INDEX(Bang_xuyen_qua!$C$2:$C$5,MIN(4,MAX(1,(Vu_khi!$L$68)-(0)-1))),1)</f>
        <v/>
      </c>
      <c r="AJ68" t="n">
        <v>1</v>
      </c>
      <c r="AK68">
        <f>IF($Q$68,$M$68*$AC$68*$U$68,0)</f>
        <v/>
      </c>
      <c r="AL68" t="n">
        <v>191.6998638495285</v>
      </c>
      <c r="AM68">
        <f>IF($Q$68,$M$68*$AE$68*$U$68,0)</f>
        <v/>
      </c>
      <c r="AN68" t="n">
        <v>135.7874035600827</v>
      </c>
      <c r="AO68">
        <f>IF($Q$68,$M$68*$AG$68*$U$68,0)</f>
        <v/>
      </c>
      <c r="AP68" t="n">
        <v>63.8999546165095</v>
      </c>
      <c r="AQ68">
        <f>IF($Q$68,$M$68*$AE$68*$Y$68,0)</f>
        <v/>
      </c>
      <c r="AR68" t="n">
        <v>79.20931874338157</v>
      </c>
      <c r="AS68">
        <f>IF($S$68,$M$68*$AI$68*$W$68,0)</f>
        <v/>
      </c>
      <c r="AT68" t="n">
        <v>0</v>
      </c>
      <c r="AU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V68" t="b">
        <v>0</v>
      </c>
      <c r="AW68">
        <f>IF(AND($B$68&lt;0,$AU$68),4,$B$68)</f>
        <v/>
      </c>
      <c r="AX68" t="n">
        <v>1</v>
      </c>
      <c r="AY68">
        <f>IF($AW$68&lt;4,0,MIN(MAX(0.5,Canh_bao_vong!$D$4),MAX(IF(Vu_khi!$C$68="cal_406",Canh_bao_vong!$D$7,IF($AW$68&gt;=5,Canh_bao_vong!$D$9,Canh_bao_vong!$D$8)),Canh_bao_vong!$D$2+MAX(0,Vu_khi!$X$68)/MAX(0.1,Canh_bao_vong!$D$5))))</f>
        <v/>
      </c>
      <c r="AZ68" t="n">
        <v>0</v>
      </c>
      <c r="BD68" t="n">
        <v>320</v>
      </c>
      <c r="BE68" t="n">
        <v>416</v>
      </c>
      <c r="BF68" t="n">
        <v>0.023</v>
      </c>
      <c r="BG68" t="n">
        <v>0.047</v>
      </c>
      <c r="BH68" t="n">
        <v>0.094</v>
      </c>
      <c r="BI68" t="n">
        <v>0.07199999999999999</v>
      </c>
      <c r="BJ68" t="inlineStr">
        <is>
          <t>DIRECT_BULLET</t>
        </is>
      </c>
      <c r="BK68" t="inlineStr">
        <is>
          <t>ok</t>
        </is>
      </c>
      <c r="BL68" t="inlineStr">
        <is>
          <t>inherited from fighter_cannon</t>
        </is>
      </c>
      <c r="BM68" t="inlineStr"/>
      <c r="BN68" t="inlineStr">
        <is>
          <t>Assets/MachineBrigade/Resources/Data/balance.json: weapons[id=fighter_cannon_ap] (lớp B trên 01_chien_dau/Vu_khi)</t>
        </is>
      </c>
      <c r="BO68" t="inlineStr"/>
    </row>
    <row r="69">
      <c r="A69" t="inlineStr">
        <is>
          <t>flak_35</t>
        </is>
      </c>
      <c r="B69" t="n">
        <v>1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22</v>
      </c>
      <c r="G69">
        <f>IF(Vu_khi!$S$69&gt;0,(Vu_khi!$S$69-1)*Vu_khi!$R$69+Vu_khi!$T$69,Vu_khi!$R$69+(Vu_khi!$P$69-1)*Vu_khi!$Q$69)</f>
        <v/>
      </c>
      <c r="H69" t="n">
        <v>6.5</v>
      </c>
      <c r="I69">
        <f>Vu_khi!$W$69*MAX(1,$E$69)</f>
        <v/>
      </c>
      <c r="J69" t="n">
        <v>572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88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1</v>
      </c>
      <c r="U69">
        <f>INDEX(Bang_sat_thuong!$B$2:$B$7,MATCH(Vu_khi!$K$69,Bang_sat_thuong!$A$2:$A$7,0))</f>
        <v/>
      </c>
      <c r="V69" t="n">
        <v>0.45</v>
      </c>
      <c r="W69">
        <f>INDEX(Bang_sat_thuong!$C$2:$C$7,MATCH(Vu_khi!$K$69,Bang_sat_thuong!$A$2:$A$7,0))</f>
        <v/>
      </c>
      <c r="X69" t="n">
        <v>1.35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0.1</v>
      </c>
      <c r="AA69">
        <f>AND(Vu_khi!$K$69="Kinetic",NOT(Vu_khi!$AG$69))</f>
        <v/>
      </c>
      <c r="AB69" t="b">
        <v>0</v>
      </c>
      <c r="AC69">
        <f>IF(Vu_khi!$AG$69,INDEX(Bang_danh_noc!$C$2:$C$8,MIN(7,MAX(1,2-(Vu_khi!$L$69-0)+1))),INDEX(Bang_xuyen_giap!$C$2:$C$8,MIN(7,MAX(1,IF($O$69,MAX(1,2-(Vu_khi!$L$69-0)),2-(Vu_khi!$L$69-0))+1))))*IF($AA$69,INDEX(Bang_xuyen_qua!$C$2:$C$5,MIN(4,MAX(1,(Vu_khi!$L$69)-(0)-1))),1)</f>
        <v/>
      </c>
      <c r="AD69" t="n">
        <v>1.2</v>
      </c>
      <c r="AE69">
        <f>IF(Vu_khi!$AG$69,INDEX(Bang_danh_noc!$C$2:$C$8,MIN(7,MAX(1,2-(Vu_khi!$L$69-2)+1))),INDEX(Bang_xuyen_giap!$C$2:$C$8,MIN(7,MAX(1,IF($O$69,MAX(1,2-(Vu_khi!$L$69-2)),2-(Vu_khi!$L$69-2))+1))))*IF($AA$69,INDEX(Bang_xuyen_qua!$C$2:$C$5,MIN(4,MAX(1,(Vu_khi!$L$69)-(2)-1))),1)</f>
        <v/>
      </c>
      <c r="AF69" t="n">
        <v>0.85</v>
      </c>
      <c r="AG69">
        <f>IF(Vu_khi!$AG$69,INDEX(Bang_danh_noc!$C$2:$C$8,MIN(7,MAX(1,2-(Vu_khi!$L$69-4)+1))),INDEX(Bang_xuyen_giap!$C$2:$C$8,MIN(7,MAX(1,IF($O$69,MAX(1,2-(Vu_khi!$L$69-4)),2-(Vu_khi!$L$69-4))+1))))*IF($AA$69,INDEX(Bang_xuyen_qua!$C$2:$C$5,MIN(4,MAX(1,(Vu_khi!$L$69)-(4)-1))),1)</f>
        <v/>
      </c>
      <c r="AH69" t="n">
        <v>0.4</v>
      </c>
      <c r="AI69">
        <f>INDEX(Bang_xuyen_giap!$C$2:$C$8,MIN(7,MAX(1,MAX(1,2-(Vu_khi!$L$69-0))+1)))*IF($AA$69,INDEX(Bang_xuyen_qua!$C$2:$C$5,MIN(4,MAX(1,(Vu_khi!$L$69)-(0)-1))),1)</f>
        <v/>
      </c>
      <c r="AJ69" t="n">
        <v>1</v>
      </c>
      <c r="AK69">
        <f>IF($Q$69,$M$69*$AC$69*$U$69,0)</f>
        <v/>
      </c>
      <c r="AL69" t="n">
        <v>47.52</v>
      </c>
      <c r="AM69">
        <f>IF($Q$69,$M$69*$AE$69*$U$69,0)</f>
        <v/>
      </c>
      <c r="AN69" t="n">
        <v>33.66</v>
      </c>
      <c r="AO69">
        <f>IF($Q$69,$M$69*$AG$69*$U$69,0)</f>
        <v/>
      </c>
      <c r="AP69" t="n">
        <v>15.84</v>
      </c>
      <c r="AQ69">
        <f>IF($Q$69,$M$69*$AE$69*$Y$69,0)</f>
        <v/>
      </c>
      <c r="AR69" t="n">
        <v>7.48</v>
      </c>
      <c r="AS69">
        <f>IF($S$69,$M$69*$AI$69*$W$69,0)</f>
        <v/>
      </c>
      <c r="AT69" t="n">
        <v>118.8</v>
      </c>
      <c r="AU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V69" t="b">
        <v>0</v>
      </c>
      <c r="AW69">
        <f>IF(AND($B$69&lt;0,$AU$69),4,$B$69)</f>
        <v/>
      </c>
      <c r="AX69" t="n">
        <v>1</v>
      </c>
      <c r="AY69">
        <f>IF($AW$69&lt;4,0,MIN(MAX(0.5,Canh_bao_vong!$D$4),MAX(IF(Vu_khi!$C$69="cal_406",Canh_bao_vong!$D$7,IF($AW$69&gt;=5,Canh_bao_vong!$D$9,Canh_bao_vong!$D$8)),Canh_bao_vong!$D$2+MAX(0,Vu_khi!$X$69)/MAX(0.1,Canh_bao_vong!$D$5))))</f>
        <v/>
      </c>
      <c r="AZ69" t="n">
        <v>0</v>
      </c>
      <c r="BA69" t="n">
        <v>5.416667</v>
      </c>
      <c r="BB69" t="inlineStr">
        <is>
          <t>CHAM_QUA</t>
        </is>
      </c>
      <c r="BC69" t="inlineStr"/>
      <c r="BD69" t="n">
        <v>260</v>
      </c>
      <c r="BE69" t="n">
        <v>338</v>
      </c>
      <c r="BF69" t="n">
        <v>0.035</v>
      </c>
      <c r="BG69" t="n">
        <v>0.06900000000000001</v>
      </c>
      <c r="BH69" t="n">
        <v>0.138</v>
      </c>
      <c r="BI69" t="n">
        <v>0.107</v>
      </c>
      <c r="BJ69" t="inlineStr">
        <is>
          <t>DIRECT_BULLET</t>
        </is>
      </c>
      <c r="BK69" t="inlineStr">
        <is>
          <t>ok</t>
        </is>
      </c>
      <c r="BL69" t="inlineStr">
        <is>
          <t>family oerlikon_35_mm</t>
        </is>
      </c>
      <c r="BM69" t="inlineStr"/>
      <c r="BN69" t="inlineStr">
        <is>
          <t>Assets/MachineBrigade/Resources/Data/balance.json: weapons[id=flak_35] (lớp B trên 01_chien_dau/Vu_khi)</t>
        </is>
      </c>
      <c r="BO69" t="inlineStr"/>
    </row>
    <row r="70">
      <c r="A70" t="inlineStr">
        <is>
          <t>flak_35_ap</t>
        </is>
      </c>
      <c r="B70" t="n">
        <v>1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22</v>
      </c>
      <c r="G70">
        <f>IF(Vu_khi!$S$70&gt;0,(Vu_khi!$S$70-1)*Vu_khi!$R$70+Vu_khi!$T$70,Vu_khi!$R$70+(Vu_khi!$P$70-1)*Vu_khi!$Q$70)</f>
        <v/>
      </c>
      <c r="H70" t="n">
        <v>6.5</v>
      </c>
      <c r="I70">
        <f>Vu_khi!$W$70*MAX(1,$E$70)</f>
        <v/>
      </c>
      <c r="J70" t="n">
        <v>572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88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0</v>
      </c>
      <c r="U70">
        <f>INDEX(Bang_sat_thuong!$B$2:$B$7,MATCH(Vu_khi!$K$70,Bang_sat_thuong!$A$2:$A$7,0))</f>
        <v/>
      </c>
      <c r="V70" t="n">
        <v>1.2</v>
      </c>
      <c r="W70">
        <f>INDEX(Bang_sat_thuong!$C$2:$C$7,MATCH(Vu_khi!$K$70,Bang_sat_thuong!$A$2:$A$7,0))</f>
        <v/>
      </c>
      <c r="X70" t="n">
        <v>0.3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0.7</v>
      </c>
      <c r="AA70">
        <f>AND(Vu_khi!$K$70="Kinetic",NOT(Vu_khi!$AG$70))</f>
        <v/>
      </c>
      <c r="AB70" t="b">
        <v>1</v>
      </c>
      <c r="AC70">
        <f>IF(Vu_khi!$AG$70,INDEX(Bang_danh_noc!$C$2:$C$8,MIN(7,MAX(1,2-(Vu_khi!$L$70-0)+1))),INDEX(Bang_xuyen_giap!$C$2:$C$8,MIN(7,MAX(1,IF($O$70,MAX(1,2-(Vu_khi!$L$70-0)),2-(Vu_khi!$L$70-0))+1))))*IF($AA$70,INDEX(Bang_xuyen_qua!$C$2:$C$5,MIN(4,MAX(1,(Vu_khi!$L$70)-(0)-1))),1)</f>
        <v/>
      </c>
      <c r="AD70" t="n">
        <v>1.2</v>
      </c>
      <c r="AE70">
        <f>IF(Vu_khi!$AG$70,INDEX(Bang_danh_noc!$C$2:$C$8,MIN(7,MAX(1,2-(Vu_khi!$L$70-2)+1))),INDEX(Bang_xuyen_giap!$C$2:$C$8,MIN(7,MAX(1,IF($O$70,MAX(1,2-(Vu_khi!$L$70-2)),2-(Vu_khi!$L$70-2))+1))))*IF($AA$70,INDEX(Bang_xuyen_qua!$C$2:$C$5,MIN(4,MAX(1,(Vu_khi!$L$70)-(2)-1))),1)</f>
        <v/>
      </c>
      <c r="AF70" t="n">
        <v>0.85</v>
      </c>
      <c r="AG70">
        <f>IF(Vu_khi!$AG$70,INDEX(Bang_danh_noc!$C$2:$C$8,MIN(7,MAX(1,2-(Vu_khi!$L$70-4)+1))),INDEX(Bang_xuyen_giap!$C$2:$C$8,MIN(7,MAX(1,IF($O$70,MAX(1,2-(Vu_khi!$L$70-4)),2-(Vu_khi!$L$70-4))+1))))*IF($AA$70,INDEX(Bang_xuyen_qua!$C$2:$C$5,MIN(4,MAX(1,(Vu_khi!$L$70)-(4)-1))),1)</f>
        <v/>
      </c>
      <c r="AH70" t="n">
        <v>0.4</v>
      </c>
      <c r="AI70">
        <f>INDEX(Bang_xuyen_giap!$C$2:$C$8,MIN(7,MAX(1,MAX(1,2-(Vu_khi!$L$70-0))+1)))*IF($AA$70,INDEX(Bang_xuyen_qua!$C$2:$C$5,MIN(4,MAX(1,(Vu_khi!$L$70)-(0)-1))),1)</f>
        <v/>
      </c>
      <c r="AJ70" t="n">
        <v>1</v>
      </c>
      <c r="AK70">
        <f>IF($Q$70,$M$70*$AC$70*$U$70,0)</f>
        <v/>
      </c>
      <c r="AL70" t="n">
        <v>126.72</v>
      </c>
      <c r="AM70">
        <f>IF($Q$70,$M$70*$AE$70*$U$70,0)</f>
        <v/>
      </c>
      <c r="AN70" t="n">
        <v>89.76000000000001</v>
      </c>
      <c r="AO70">
        <f>IF($Q$70,$M$70*$AG$70*$U$70,0)</f>
        <v/>
      </c>
      <c r="AP70" t="n">
        <v>42.23999999999999</v>
      </c>
      <c r="AQ70">
        <f>IF($Q$70,$M$70*$AE$70*$Y$70,0)</f>
        <v/>
      </c>
      <c r="AR70" t="n">
        <v>52.36</v>
      </c>
      <c r="AS70">
        <f>IF($S$70,$M$70*$AI$70*$W$70,0)</f>
        <v/>
      </c>
      <c r="AT70" t="n">
        <v>0</v>
      </c>
      <c r="AU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V70" t="b">
        <v>0</v>
      </c>
      <c r="AW70">
        <f>IF(AND($B$70&lt;0,$AU$70),4,$B$70)</f>
        <v/>
      </c>
      <c r="AX70" t="n">
        <v>1</v>
      </c>
      <c r="AY70">
        <f>IF($AW$70&lt;4,0,MIN(MAX(0.5,Canh_bao_vong!$D$4),MAX(IF(Vu_khi!$C$70="cal_406",Canh_bao_vong!$D$7,IF($AW$70&gt;=5,Canh_bao_vong!$D$9,Canh_bao_vong!$D$8)),Canh_bao_vong!$D$2+MAX(0,Vu_khi!$X$70)/MAX(0.1,Canh_bao_vong!$D$5))))</f>
        <v/>
      </c>
      <c r="AZ70" t="n">
        <v>0</v>
      </c>
      <c r="BD70" t="n">
        <v>260</v>
      </c>
      <c r="BE70" t="n">
        <v>338</v>
      </c>
      <c r="BF70" t="n">
        <v>0.035</v>
      </c>
      <c r="BG70" t="n">
        <v>0.06900000000000001</v>
      </c>
      <c r="BH70" t="n">
        <v>0.138</v>
      </c>
      <c r="BI70" t="n">
        <v>0.107</v>
      </c>
      <c r="BJ70" t="inlineStr">
        <is>
          <t>DIRECT_BULLET</t>
        </is>
      </c>
      <c r="BK70" t="inlineStr">
        <is>
          <t>ok</t>
        </is>
      </c>
      <c r="BL70" t="inlineStr">
        <is>
          <t>family oerlikon_35_mm_ap</t>
        </is>
      </c>
      <c r="BM70" t="inlineStr"/>
      <c r="BN70" t="inlineStr">
        <is>
          <t>Assets/MachineBrigade/Resources/Data/balance.json: weapons[id=flak_35_ap] (lớp B trên 01_chien_dau/Vu_khi)</t>
        </is>
      </c>
      <c r="BO70" t="inlineStr"/>
    </row>
    <row r="71">
      <c r="A71" t="inlineStr">
        <is>
          <t>flak_quad</t>
        </is>
      </c>
      <c r="B71" t="n">
        <v>1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54</v>
      </c>
      <c r="G71">
        <f>IF(Vu_khi!$S$71&gt;0,(Vu_khi!$S$71-1)*Vu_khi!$R$71+Vu_khi!$T$71,Vu_khi!$R$71+(Vu_khi!$P$71-1)*Vu_khi!$Q$71)</f>
        <v/>
      </c>
      <c r="H71" t="n">
        <v>3.2172</v>
      </c>
      <c r="I71">
        <f>Vu_khi!$W$71*MAX(1,$E$71)</f>
        <v/>
      </c>
      <c r="J71" t="n">
        <v>756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234.9869451697128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1</v>
      </c>
      <c r="U71">
        <f>INDEX(Bang_sat_thuong!$B$2:$B$7,MATCH(Vu_khi!$K$71,Bang_sat_thuong!$A$2:$A$7,0))</f>
        <v/>
      </c>
      <c r="V71" t="n">
        <v>0.45</v>
      </c>
      <c r="W71">
        <f>INDEX(Bang_sat_thuong!$C$2:$C$7,MATCH(Vu_khi!$K$71,Bang_sat_thuong!$A$2:$A$7,0))</f>
        <v/>
      </c>
      <c r="X71" t="n">
        <v>1.35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0.1</v>
      </c>
      <c r="AA71">
        <f>AND(Vu_khi!$K$71="Kinetic",NOT(Vu_khi!$AG$71))</f>
        <v/>
      </c>
      <c r="AB71" t="b">
        <v>0</v>
      </c>
      <c r="AC71">
        <f>IF(Vu_khi!$AG$71,INDEX(Bang_danh_noc!$C$2:$C$8,MIN(7,MAX(1,2-(Vu_khi!$L$71-0)+1))),INDEX(Bang_xuyen_giap!$C$2:$C$8,MIN(7,MAX(1,IF($O$71,MAX(1,2-(Vu_khi!$L$71-0)),2-(Vu_khi!$L$71-0))+1))))*IF($AA$71,INDEX(Bang_xuyen_qua!$C$2:$C$5,MIN(4,MAX(1,(Vu_khi!$L$71)-(0)-1))),1)</f>
        <v/>
      </c>
      <c r="AD71" t="n">
        <v>1</v>
      </c>
      <c r="AE71">
        <f>IF(Vu_khi!$AG$71,INDEX(Bang_danh_noc!$C$2:$C$8,MIN(7,MAX(1,2-(Vu_khi!$L$71-2)+1))),INDEX(Bang_xuyen_giap!$C$2:$C$8,MIN(7,MAX(1,IF($O$71,MAX(1,2-(Vu_khi!$L$71-2)),2-(Vu_khi!$L$71-2))+1))))*IF($AA$71,INDEX(Bang_xuyen_qua!$C$2:$C$5,MIN(4,MAX(1,(Vu_khi!$L$71)-(2)-1))),1)</f>
        <v/>
      </c>
      <c r="AF71" t="n">
        <v>0.65</v>
      </c>
      <c r="AG71">
        <f>IF(Vu_khi!$AG$71,INDEX(Bang_danh_noc!$C$2:$C$8,MIN(7,MAX(1,2-(Vu_khi!$L$71-4)+1))),INDEX(Bang_xuyen_giap!$C$2:$C$8,MIN(7,MAX(1,IF($O$71,MAX(1,2-(Vu_khi!$L$71-4)),2-(Vu_khi!$L$71-4))+1))))*IF($AA$71,INDEX(Bang_xuyen_qua!$C$2:$C$5,MIN(4,MAX(1,(Vu_khi!$L$71)-(4)-1))),1)</f>
        <v/>
      </c>
      <c r="AH71" t="n">
        <v>0.15</v>
      </c>
      <c r="AI71">
        <f>INDEX(Bang_xuyen_giap!$C$2:$C$8,MIN(7,MAX(1,MAX(1,2-(Vu_khi!$L$71-0))+1)))*IF($AA$71,INDEX(Bang_xuyen_qua!$C$2:$C$5,MIN(4,MAX(1,(Vu_khi!$L$71)-(0)-1))),1)</f>
        <v/>
      </c>
      <c r="AJ71" t="n">
        <v>1</v>
      </c>
      <c r="AK71">
        <f>IF($Q$71,$M$71*$AC$71*$U$71,0)</f>
        <v/>
      </c>
      <c r="AL71" t="n">
        <v>105.7441253263707</v>
      </c>
      <c r="AM71">
        <f>IF($Q$71,$M$71*$AE$71*$U$71,0)</f>
        <v/>
      </c>
      <c r="AN71" t="n">
        <v>68.73368146214099</v>
      </c>
      <c r="AO71">
        <f>IF($Q$71,$M$71*$AG$71*$U$71,0)</f>
        <v/>
      </c>
      <c r="AP71" t="n">
        <v>15.86161879895561</v>
      </c>
      <c r="AQ71">
        <f>IF($Q$71,$M$71*$AE$71*$Y$71,0)</f>
        <v/>
      </c>
      <c r="AR71" t="n">
        <v>15.27415143603133</v>
      </c>
      <c r="AS71">
        <f>IF($S$71,$M$71*$AI$71*$W$71,0)</f>
        <v/>
      </c>
      <c r="AT71" t="n">
        <v>317.2323759791123</v>
      </c>
      <c r="AU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V71" t="b">
        <v>0</v>
      </c>
      <c r="AW71">
        <f>IF(AND($B$71&lt;0,$AU$71),4,$B$71)</f>
        <v/>
      </c>
      <c r="AX71" t="n">
        <v>1</v>
      </c>
      <c r="AY71">
        <f>IF($AW$71&lt;4,0,MIN(MAX(0.5,Canh_bao_vong!$D$4),MAX(IF(Vu_khi!$C$71="cal_406",Canh_bao_vong!$D$7,IF($AW$71&gt;=5,Canh_bao_vong!$D$9,Canh_bao_vong!$D$8)),Canh_bao_vong!$D$2+MAX(0,Vu_khi!$X$71)/MAX(0.1,Canh_bao_vong!$D$5))))</f>
        <v/>
      </c>
      <c r="AZ71" t="n">
        <v>0</v>
      </c>
      <c r="BA71" t="n">
        <v>3.971852</v>
      </c>
      <c r="BB71" t="inlineStr">
        <is>
          <t>ok</t>
        </is>
      </c>
      <c r="BC71" t="inlineStr"/>
      <c r="BD71" t="n">
        <v>300</v>
      </c>
      <c r="BE71" t="n">
        <v>390</v>
      </c>
      <c r="BF71" t="n">
        <v>0.038</v>
      </c>
      <c r="BG71" t="n">
        <v>0.077</v>
      </c>
      <c r="BH71" t="n">
        <v>0.153</v>
      </c>
      <c r="BI71" t="n">
        <v>0.118</v>
      </c>
      <c r="BJ71" t="inlineStr">
        <is>
          <t>DIRECT_BULLET</t>
        </is>
      </c>
      <c r="BK71" t="inlineStr">
        <is>
          <t>ok</t>
        </is>
      </c>
      <c r="BL71" t="inlineStr">
        <is>
          <t>own line</t>
        </is>
      </c>
      <c r="BM71" t="inlineStr"/>
      <c r="BN71" t="inlineStr">
        <is>
          <t>Assets/MachineBrigade/Resources/Data/balance.json: weapons[id=flak_quad] (lớp B trên 01_chien_dau/Vu_khi)</t>
        </is>
      </c>
      <c r="BO71" t="inlineStr"/>
    </row>
    <row r="72">
      <c r="A72" t="inlineStr">
        <is>
          <t>flak_quad_ap</t>
        </is>
      </c>
      <c r="B72" t="n">
        <v>1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54</v>
      </c>
      <c r="G72">
        <f>IF(Vu_khi!$S$72&gt;0,(Vu_khi!$S$72-1)*Vu_khi!$R$72+Vu_khi!$T$72,Vu_khi!$R$72+(Vu_khi!$P$72-1)*Vu_khi!$Q$72)</f>
        <v/>
      </c>
      <c r="H72" t="n">
        <v>3.2172</v>
      </c>
      <c r="I72">
        <f>Vu_khi!$W$72*MAX(1,$E$72)</f>
        <v/>
      </c>
      <c r="J72" t="n">
        <v>756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234.9869451697128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1.2</v>
      </c>
      <c r="W72">
        <f>INDEX(Bang_sat_thuong!$C$2:$C$7,MATCH(Vu_khi!$K$72,Bang_sat_thuong!$A$2:$A$7,0))</f>
        <v/>
      </c>
      <c r="X72" t="n">
        <v>0.3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0.7</v>
      </c>
      <c r="AA72">
        <f>AND(Vu_khi!$K$72="Kinetic",NOT(Vu_khi!$AG$72))</f>
        <v/>
      </c>
      <c r="AB72" t="b">
        <v>1</v>
      </c>
      <c r="AC72">
        <f>IF(Vu_khi!$AG$72,INDEX(Bang_danh_noc!$C$2:$C$8,MIN(7,MAX(1,2-(Vu_khi!$L$72-0)+1))),INDEX(Bang_xuyen_giap!$C$2:$C$8,MIN(7,MAX(1,IF($O$72,MAX(1,2-(Vu_khi!$L$72-0)),2-(Vu_khi!$L$72-0))+1))))*IF($AA$72,INDEX(Bang_xuyen_qua!$C$2:$C$5,MIN(4,MAX(1,(Vu_khi!$L$72)-(0)-1))),1)</f>
        <v/>
      </c>
      <c r="AD72" t="n">
        <v>1.2</v>
      </c>
      <c r="AE72">
        <f>IF(Vu_khi!$AG$72,INDEX(Bang_danh_noc!$C$2:$C$8,MIN(7,MAX(1,2-(Vu_khi!$L$72-2)+1))),INDEX(Bang_xuyen_giap!$C$2:$C$8,MIN(7,MAX(1,IF($O$72,MAX(1,2-(Vu_khi!$L$72-2)),2-(Vu_khi!$L$72-2))+1))))*IF($AA$72,INDEX(Bang_xuyen_qua!$C$2:$C$5,MIN(4,MAX(1,(Vu_khi!$L$72)-(2)-1))),1)</f>
        <v/>
      </c>
      <c r="AF72" t="n">
        <v>0.85</v>
      </c>
      <c r="AG72">
        <f>IF(Vu_khi!$AG$72,INDEX(Bang_danh_noc!$C$2:$C$8,MIN(7,MAX(1,2-(Vu_khi!$L$72-4)+1))),INDEX(Bang_xuyen_giap!$C$2:$C$8,MIN(7,MAX(1,IF($O$72,MAX(1,2-(Vu_khi!$L$72-4)),2-(Vu_khi!$L$72-4))+1))))*IF($AA$72,INDEX(Bang_xuyen_qua!$C$2:$C$5,MIN(4,MAX(1,(Vu_khi!$L$72)-(4)-1))),1)</f>
        <v/>
      </c>
      <c r="AH72" t="n">
        <v>0.4</v>
      </c>
      <c r="AI72">
        <f>INDEX(Bang_xuyen_giap!$C$2:$C$8,MIN(7,MAX(1,MAX(1,2-(Vu_khi!$L$72-0))+1)))*IF($AA$72,INDEX(Bang_xuyen_qua!$C$2:$C$5,MIN(4,MAX(1,(Vu_khi!$L$72)-(0)-1))),1)</f>
        <v/>
      </c>
      <c r="AJ72" t="n">
        <v>1</v>
      </c>
      <c r="AK72">
        <f>IF($Q$72,$M$72*$AC$72*$U$72,0)</f>
        <v/>
      </c>
      <c r="AL72" t="n">
        <v>338.3812010443864</v>
      </c>
      <c r="AM72">
        <f>IF($Q$72,$M$72*$AE$72*$U$72,0)</f>
        <v/>
      </c>
      <c r="AN72" t="n">
        <v>239.686684073107</v>
      </c>
      <c r="AO72">
        <f>IF($Q$72,$M$72*$AG$72*$U$72,0)</f>
        <v/>
      </c>
      <c r="AP72" t="n">
        <v>112.7937336814621</v>
      </c>
      <c r="AQ72">
        <f>IF($Q$72,$M$72*$AE$72*$Y$72,0)</f>
        <v/>
      </c>
      <c r="AR72" t="n">
        <v>139.8172323759791</v>
      </c>
      <c r="AS72">
        <f>IF($S$72,$M$72*$AI$72*$W$72,0)</f>
        <v/>
      </c>
      <c r="AT72" t="n">
        <v>0</v>
      </c>
      <c r="AU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V72" t="b">
        <v>0</v>
      </c>
      <c r="AW72">
        <f>IF(AND($B$72&lt;0,$AU$72),4,$B$72)</f>
        <v/>
      </c>
      <c r="AX72" t="n">
        <v>1</v>
      </c>
      <c r="AY72">
        <f>IF($AW$72&lt;4,0,MIN(MAX(0.5,Canh_bao_vong!$D$4),MAX(IF(Vu_khi!$C$72="cal_406",Canh_bao_vong!$D$7,IF($AW$72&gt;=5,Canh_bao_vong!$D$9,Canh_bao_vong!$D$8)),Canh_bao_vong!$D$2+MAX(0,Vu_khi!$X$72)/MAX(0.1,Canh_bao_vong!$D$5))))</f>
        <v/>
      </c>
      <c r="AZ72" t="n">
        <v>0</v>
      </c>
      <c r="BD72" t="n">
        <v>300</v>
      </c>
      <c r="BE72" t="n">
        <v>390</v>
      </c>
      <c r="BF72" t="n">
        <v>0.038</v>
      </c>
      <c r="BG72" t="n">
        <v>0.077</v>
      </c>
      <c r="BH72" t="n">
        <v>0.153</v>
      </c>
      <c r="BI72" t="n">
        <v>0.118</v>
      </c>
      <c r="BJ72" t="inlineStr">
        <is>
          <t>DIRECT_BULLET</t>
        </is>
      </c>
      <c r="BK72" t="inlineStr">
        <is>
          <t>ok</t>
        </is>
      </c>
      <c r="BL72" t="inlineStr">
        <is>
          <t>inherited from flak_quad</t>
        </is>
      </c>
      <c r="BM72" t="inlineStr"/>
      <c r="BN72" t="inlineStr">
        <is>
          <t>Assets/MachineBrigade/Resources/Data/balance.json: weapons[id=flak_quad_ap] (lớp B trên 01_chien_dau/Vu_khi)</t>
        </is>
      </c>
      <c r="BO72" t="inlineStr"/>
    </row>
    <row r="73">
      <c r="A73" t="inlineStr">
        <is>
          <t>flamethrower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1</v>
      </c>
      <c r="G73">
        <f>IF(Vu_khi!$S$73&gt;0,(Vu_khi!$S$73-1)*Vu_khi!$R$73+Vu_khi!$T$73,Vu_khi!$R$73+(Vu_khi!$P$73-1)*Vu_khi!$Q$73)</f>
        <v/>
      </c>
      <c r="H73" t="n">
        <v>0.25</v>
      </c>
      <c r="I73">
        <f>Vu_khi!$W$73*MAX(1,$E$73)</f>
        <v/>
      </c>
      <c r="J73" t="n">
        <v>21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84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1.35</v>
      </c>
      <c r="W73">
        <f>INDEX(Bang_sat_thuong!$C$2:$C$7,MATCH(Vu_khi!$K$73,Bang_sat_thuong!$A$2:$A$7,0))</f>
        <v/>
      </c>
      <c r="X73" t="n">
        <v>0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1.1</v>
      </c>
      <c r="AA73">
        <f>AND(Vu_khi!$K$73="Kinetic",NOT(Vu_khi!$AG$73))</f>
        <v/>
      </c>
      <c r="AB73" t="b">
        <v>0</v>
      </c>
      <c r="AC73">
        <f>IF(Vu_khi!$AG$73,INDEX(Bang_danh_noc!$C$2:$C$8,MIN(7,MAX(1,2-(Vu_khi!$L$73-0)+1))),INDEX(Bang_xuyen_giap!$C$2:$C$8,MIN(7,MAX(1,IF($O$73,MAX(1,2-(Vu_khi!$L$73-0)),2-(Vu_khi!$L$73-0))+1))))*IF($AA$73,INDEX(Bang_xuyen_qua!$C$2:$C$5,MIN(4,MAX(1,(Vu_khi!$L$73)-(0)-1))),1)</f>
        <v/>
      </c>
      <c r="AD73" t="n">
        <v>1</v>
      </c>
      <c r="AE73">
        <f>IF(Vu_khi!$AG$73,INDEX(Bang_danh_noc!$C$2:$C$8,MIN(7,MAX(1,2-(Vu_khi!$L$73-2)+1))),INDEX(Bang_xuyen_giap!$C$2:$C$8,MIN(7,MAX(1,IF($O$73,MAX(1,2-(Vu_khi!$L$73-2)),2-(Vu_khi!$L$73-2))+1))))*IF($AA$73,INDEX(Bang_xuyen_qua!$C$2:$C$5,MIN(4,MAX(1,(Vu_khi!$L$73)-(2)-1))),1)</f>
        <v/>
      </c>
      <c r="AF73" t="n">
        <v>0.65</v>
      </c>
      <c r="AG73">
        <f>IF(Vu_khi!$AG$73,INDEX(Bang_danh_noc!$C$2:$C$8,MIN(7,MAX(1,2-(Vu_khi!$L$73-4)+1))),INDEX(Bang_xuyen_giap!$C$2:$C$8,MIN(7,MAX(1,IF($O$73,MAX(1,2-(Vu_khi!$L$73-4)),2-(Vu_khi!$L$73-4))+1))))*IF($AA$73,INDEX(Bang_xuyen_qua!$C$2:$C$5,MIN(4,MAX(1,(Vu_khi!$L$73)-(4)-1))),1)</f>
        <v/>
      </c>
      <c r="AH73" t="n">
        <v>0.15</v>
      </c>
      <c r="AI73">
        <f>INDEX(Bang_xuyen_giap!$C$2:$C$8,MIN(7,MAX(1,MAX(1,2-(Vu_khi!$L$73-0))+1)))*IF($AA$73,INDEX(Bang_xuyen_qua!$C$2:$C$5,MIN(4,MAX(1,(Vu_khi!$L$73)-(0)-1))),1)</f>
        <v/>
      </c>
      <c r="AJ73" t="n">
        <v>1</v>
      </c>
      <c r="AK73">
        <f>IF($Q$73,$M$73*$AC$73*$U$73,0)</f>
        <v/>
      </c>
      <c r="AL73" t="n">
        <v>113.4</v>
      </c>
      <c r="AM73">
        <f>IF($Q$73,$M$73*$AE$73*$U$73,0)</f>
        <v/>
      </c>
      <c r="AN73" t="n">
        <v>73.71000000000001</v>
      </c>
      <c r="AO73">
        <f>IF($Q$73,$M$73*$AG$73*$U$73,0)</f>
        <v/>
      </c>
      <c r="AP73" t="n">
        <v>17.01</v>
      </c>
      <c r="AQ73">
        <f>IF($Q$73,$M$73*$AE$73*$Y$73,0)</f>
        <v/>
      </c>
      <c r="AR73" t="n">
        <v>60.06000000000001</v>
      </c>
      <c r="AS73">
        <f>IF($S$73,$M$73*$AI$73*$W$73,0)</f>
        <v/>
      </c>
      <c r="AT73" t="n">
        <v>0</v>
      </c>
      <c r="AU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V73" t="b">
        <v>0</v>
      </c>
      <c r="AW73">
        <f>IF(AND($B$73&lt;0,$AU$73),4,$B$73)</f>
        <v/>
      </c>
      <c r="AX73" t="n">
        <v>1</v>
      </c>
      <c r="AY73">
        <f>IF($AW$73&lt;4,0,MIN(MAX(0.5,Canh_bao_vong!$D$4),MAX(IF(Vu_khi!$C$73="cal_406",Canh_bao_vong!$D$7,IF($AW$73&gt;=5,Canh_bao_vong!$D$9,Canh_bao_vong!$D$8)),Canh_bao_vong!$D$2+MAX(0,Vu_khi!$X$73)/MAX(0.1,Canh_bao_vong!$D$5))))</f>
        <v/>
      </c>
      <c r="AZ73" t="n">
        <v>0</v>
      </c>
      <c r="BA73" t="inlineStr"/>
      <c r="BB73" t="inlineStr">
        <is>
          <t>ok</t>
        </is>
      </c>
      <c r="BC73" t="inlineStr"/>
      <c r="BD73" t="n">
        <v>36</v>
      </c>
      <c r="BE73" t="n">
        <v>46.8</v>
      </c>
      <c r="BF73" t="n">
        <v>0.09</v>
      </c>
      <c r="BG73" t="n">
        <v>0.181</v>
      </c>
      <c r="BH73" t="n">
        <v>0.361</v>
      </c>
      <c r="BI73" t="n">
        <v>0.278</v>
      </c>
      <c r="BJ73" t="inlineStr">
        <is>
          <t>BEAM_OR_MELEE</t>
        </is>
      </c>
      <c r="BK73" t="inlineStr">
        <is>
          <t>ok</t>
        </is>
      </c>
      <c r="BL73" t="inlineStr">
        <is>
          <t>own line</t>
        </is>
      </c>
      <c r="BM73" t="inlineStr"/>
      <c r="BN73" t="inlineStr">
        <is>
          <t>Assets/MachineBrigade/Resources/Data/balance.json: weapons[id=flamethrower] (lớp B trên 01_chien_dau/Vu_khi)</t>
        </is>
      </c>
      <c r="BO73" t="inlineStr"/>
    </row>
    <row r="74">
      <c r="A74" t="inlineStr">
        <is>
          <t>focus_laser</t>
        </is>
      </c>
      <c r="B74" t="n">
        <v>1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80</v>
      </c>
      <c r="G74">
        <f>IF(Vu_khi!$S$74&gt;0,(Vu_khi!$S$74-1)*Vu_khi!$R$74+Vu_khi!$T$74,Vu_khi!$R$74+(Vu_khi!$P$74-1)*Vu_khi!$Q$74)</f>
        <v/>
      </c>
      <c r="H74" t="n">
        <v>9.4</v>
      </c>
      <c r="I74">
        <f>Vu_khi!$W$74*MAX(1,$E$74)</f>
        <v/>
      </c>
      <c r="J74" t="n">
        <v>1000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106.3829787234042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0.9</v>
      </c>
      <c r="W74">
        <f>INDEX(Bang_sat_thuong!$C$2:$C$7,MATCH(Vu_khi!$K$74,Bang_sat_thuong!$A$2:$A$7,0))</f>
        <v/>
      </c>
      <c r="X74" t="n">
        <v>1.5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0.4</v>
      </c>
      <c r="AA74">
        <f>AND(Vu_khi!$K$74="Kinetic",NOT(Vu_khi!$AG$74))</f>
        <v/>
      </c>
      <c r="AB74" t="b">
        <v>0</v>
      </c>
      <c r="AC74">
        <f>IF(Vu_khi!$AG$74,INDEX(Bang_danh_noc!$C$2:$C$8,MIN(7,MAX(1,2-(Vu_khi!$L$74-0)+1))),INDEX(Bang_xuyen_giap!$C$2:$C$8,MIN(7,MAX(1,IF($O$74,MAX(1,2-(Vu_khi!$L$74-0)),2-(Vu_khi!$L$74-0))+1))))*IF($AA$74,INDEX(Bang_xuyen_qua!$C$2:$C$5,MIN(4,MAX(1,(Vu_khi!$L$74)-(0)-1))),1)</f>
        <v/>
      </c>
      <c r="AD74" t="n">
        <v>1.2</v>
      </c>
      <c r="AE74">
        <f>IF(Vu_khi!$AG$74,INDEX(Bang_danh_noc!$C$2:$C$8,MIN(7,MAX(1,2-(Vu_khi!$L$74-2)+1))),INDEX(Bang_xuyen_giap!$C$2:$C$8,MIN(7,MAX(1,IF($O$74,MAX(1,2-(Vu_khi!$L$74-2)),2-(Vu_khi!$L$74-2))+1))))*IF($AA$74,INDEX(Bang_xuyen_qua!$C$2:$C$5,MIN(4,MAX(1,(Vu_khi!$L$74)-(2)-1))),1)</f>
        <v/>
      </c>
      <c r="AF74" t="n">
        <v>1.2</v>
      </c>
      <c r="AG74">
        <f>IF(Vu_khi!$AG$74,INDEX(Bang_danh_noc!$C$2:$C$8,MIN(7,MAX(1,2-(Vu_khi!$L$74-4)+1))),INDEX(Bang_xuyen_giap!$C$2:$C$8,MIN(7,MAX(1,IF($O$74,MAX(1,2-(Vu_khi!$L$74-4)),2-(Vu_khi!$L$74-4))+1))))*IF($AA$74,INDEX(Bang_xuyen_qua!$C$2:$C$5,MIN(4,MAX(1,(Vu_khi!$L$74)-(4)-1))),1)</f>
        <v/>
      </c>
      <c r="AH74" t="n">
        <v>0.85</v>
      </c>
      <c r="AI74">
        <f>INDEX(Bang_xuyen_giap!$C$2:$C$8,MIN(7,MAX(1,MAX(1,2-(Vu_khi!$L$74-0))+1)))*IF($AA$74,INDEX(Bang_xuyen_qua!$C$2:$C$5,MIN(4,MAX(1,(Vu_khi!$L$74)-(0)-1))),1)</f>
        <v/>
      </c>
      <c r="AJ74" t="n">
        <v>1</v>
      </c>
      <c r="AK74">
        <f>IF($Q$74,$M$74*$AC$74*$U$74,0)</f>
        <v/>
      </c>
      <c r="AL74" t="n">
        <v>114.8936170212766</v>
      </c>
      <c r="AM74">
        <f>IF($Q$74,$M$74*$AE$74*$U$74,0)</f>
        <v/>
      </c>
      <c r="AN74" t="n">
        <v>114.8936170212766</v>
      </c>
      <c r="AO74">
        <f>IF($Q$74,$M$74*$AG$74*$U$74,0)</f>
        <v/>
      </c>
      <c r="AP74" t="n">
        <v>81.38297872340425</v>
      </c>
      <c r="AQ74">
        <f>IF($Q$74,$M$74*$AE$74*$Y$74,0)</f>
        <v/>
      </c>
      <c r="AR74" t="n">
        <v>51.06382978723403</v>
      </c>
      <c r="AS74">
        <f>IF($S$74,$M$74*$AI$74*$W$74,0)</f>
        <v/>
      </c>
      <c r="AT74" t="n">
        <v>0</v>
      </c>
      <c r="AU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V74" t="b">
        <v>0</v>
      </c>
      <c r="AW74">
        <f>IF(AND($B$74&lt;0,$AU$74),4,$B$74)</f>
        <v/>
      </c>
      <c r="AX74" t="n">
        <v>1</v>
      </c>
      <c r="AY74">
        <f>IF($AW$74&lt;4,0,MIN(MAX(0.5,Canh_bao_vong!$D$4),MAX(IF(Vu_khi!$C$74="cal_406",Canh_bao_vong!$D$7,IF($AW$74&gt;=5,Canh_bao_vong!$D$9,Canh_bao_vong!$D$8)),Canh_bao_vong!$D$2+MAX(0,Vu_khi!$X$74)/MAX(0.1,Canh_bao_vong!$D$5))))</f>
        <v/>
      </c>
      <c r="AZ74" t="n">
        <v>0</v>
      </c>
      <c r="BA74" t="inlineStr"/>
      <c r="BB74" t="inlineStr">
        <is>
          <t>ok</t>
        </is>
      </c>
      <c r="BC74" t="inlineStr"/>
      <c r="BD74" t="n">
        <v>3000</v>
      </c>
      <c r="BE74" t="n">
        <v>3900</v>
      </c>
      <c r="BF74" t="n">
        <v>0.003</v>
      </c>
      <c r="BG74" t="n">
        <v>0.007</v>
      </c>
      <c r="BH74" t="n">
        <v>0.013</v>
      </c>
      <c r="BI74" t="n">
        <v>0.01</v>
      </c>
      <c r="BJ74" t="inlineStr">
        <is>
          <t>BEAM_OR_MELEE</t>
        </is>
      </c>
      <c r="BK74" t="inlineStr">
        <is>
          <t>ok</t>
        </is>
      </c>
      <c r="BL74" t="inlineStr">
        <is>
          <t>own line</t>
        </is>
      </c>
      <c r="BM74" t="inlineStr"/>
      <c r="BN74" t="inlineStr">
        <is>
          <t>Assets/MachineBrigade/Resources/Data/balance.json: weapons[id=focus_laser] (lớp B trên 01_chien_dau/Vu_khi)</t>
        </is>
      </c>
      <c r="BO74" t="inlineStr"/>
    </row>
    <row r="75">
      <c r="A75" t="inlineStr">
        <is>
          <t>fpv_hangar</t>
        </is>
      </c>
      <c r="B75" t="n">
        <v>2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4</v>
      </c>
      <c r="G75">
        <f>IF(Vu_khi!$S$75&gt;0,(Vu_khi!$S$75-1)*Vu_khi!$R$75+Vu_khi!$T$75,Vu_khi!$R$75+(Vu_khi!$P$75-1)*Vu_khi!$Q$75)</f>
        <v/>
      </c>
      <c r="H75" t="n">
        <v>10.5</v>
      </c>
      <c r="I75">
        <f>Vu_khi!$W$75*MAX(1,$E$75)</f>
        <v/>
      </c>
      <c r="J75" t="n">
        <v>560</v>
      </c>
      <c r="K75">
        <f>IF(Vu_khi!$V$75&gt;0,Vu_khi!$V$75,MIN(28,MAX(10,Vu_khi!$U$75*Vu_khi!$R$75*0.4)))</f>
        <v/>
      </c>
      <c r="L75" t="n">
        <v>9</v>
      </c>
      <c r="M75">
        <f>IF(Vu_khi!$W$75&lt;=0,0,IF(Vu_khi!$U$75&gt;0,$I$75*Vu_khi!$U$75/(MAX(0.05,$G$75)*Vu_khi!$U$75+$K$75),$I$75/MAX(0.05,$G$75)))</f>
        <v/>
      </c>
      <c r="N75" t="n">
        <v>53.33333333333334</v>
      </c>
      <c r="O75">
        <f>OR(Vu_khi!$AG$75,Vu_khi!$AB$75&gt;0,Vu_khi!$AH$75,Vu_khi!$M$75="Bomb",Vu_khi!$M$75="Drone")</f>
        <v/>
      </c>
      <c r="P75" t="b">
        <v>1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1.3</v>
      </c>
      <c r="W75">
        <f>INDEX(Bang_sat_thuong!$C$2:$C$7,MATCH(Vu_khi!$K$75,Bang_sat_thuong!$A$2:$A$7,0))</f>
        <v/>
      </c>
      <c r="X75" t="n">
        <v>0.2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0.45</v>
      </c>
      <c r="AA75">
        <f>AND(Vu_khi!$K$75="Kinetic",NOT(Vu_khi!$AG$75))</f>
        <v/>
      </c>
      <c r="AB75" t="b">
        <v>0</v>
      </c>
      <c r="AC75">
        <f>IF(Vu_khi!$AG$75,INDEX(Bang_danh_noc!$C$2:$C$8,MIN(7,MAX(1,2-(Vu_khi!$L$75-0)+1))),INDEX(Bang_xuyen_giap!$C$2:$C$8,MIN(7,MAX(1,IF($O$75,MAX(1,2-(Vu_khi!$L$75-0)),2-(Vu_khi!$L$75-0))+1))))*IF($AA$75,INDEX(Bang_xuyen_qua!$C$2:$C$5,MIN(4,MAX(1,(Vu_khi!$L$75)-(0)-1))),1)</f>
        <v/>
      </c>
      <c r="AD75" t="n">
        <v>1.15</v>
      </c>
      <c r="AE75">
        <f>IF(Vu_khi!$AG$75,INDEX(Bang_danh_noc!$C$2:$C$8,MIN(7,MAX(1,2-(Vu_khi!$L$75-2)+1))),INDEX(Bang_xuyen_giap!$C$2:$C$8,MIN(7,MAX(1,IF($O$75,MAX(1,2-(Vu_khi!$L$75-2)),2-(Vu_khi!$L$75-2))+1))))*IF($AA$75,INDEX(Bang_xuyen_qua!$C$2:$C$5,MIN(4,MAX(1,(Vu_khi!$L$75)-(2)-1))),1)</f>
        <v/>
      </c>
      <c r="AF75" t="n">
        <v>1.1</v>
      </c>
      <c r="AG75">
        <f>IF(Vu_khi!$AG$75,INDEX(Bang_danh_noc!$C$2:$C$8,MIN(7,MAX(1,2-(Vu_khi!$L$75-4)+1))),INDEX(Bang_xuyen_giap!$C$2:$C$8,MIN(7,MAX(1,IF($O$75,MAX(1,2-(Vu_khi!$L$75-4)),2-(Vu_khi!$L$75-4))+1))))*IF($AA$75,INDEX(Bang_xuyen_qua!$C$2:$C$5,MIN(4,MAX(1,(Vu_khi!$L$75)-(4)-1))),1)</f>
        <v/>
      </c>
      <c r="AH75" t="n">
        <v>0.75</v>
      </c>
      <c r="AI75">
        <f>INDEX(Bang_xuyen_giap!$C$2:$C$8,MIN(7,MAX(1,MAX(1,2-(Vu_khi!$L$75-0))+1)))*IF($AA$75,INDEX(Bang_xuyen_qua!$C$2:$C$5,MIN(4,MAX(1,(Vu_khi!$L$75)-(0)-1))),1)</f>
        <v/>
      </c>
      <c r="AJ75" t="n">
        <v>1</v>
      </c>
      <c r="AK75">
        <f>IF($Q$75,$M$75*$AC$75*$U$75,0)</f>
        <v/>
      </c>
      <c r="AL75" t="n">
        <v>79.73333333333333</v>
      </c>
      <c r="AM75">
        <f>IF($Q$75,$M$75*$AE$75*$U$75,0)</f>
        <v/>
      </c>
      <c r="AN75" t="n">
        <v>76.26666666666668</v>
      </c>
      <c r="AO75">
        <f>IF($Q$75,$M$75*$AG$75*$U$75,0)</f>
        <v/>
      </c>
      <c r="AP75" t="n">
        <v>52.00000000000001</v>
      </c>
      <c r="AQ75">
        <f>IF($Q$75,$M$75*$AE$75*$Y$75,0)</f>
        <v/>
      </c>
      <c r="AR75" t="n">
        <v>26.4</v>
      </c>
      <c r="AS75">
        <f>IF($S$75,$M$75*$AI$75*$W$75,0)</f>
        <v/>
      </c>
      <c r="AT75" t="n">
        <v>0</v>
      </c>
      <c r="AU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V75" t="b">
        <v>0</v>
      </c>
      <c r="AW75">
        <f>IF(AND($B$75&lt;0,$AU$75),4,$B$75)</f>
        <v/>
      </c>
      <c r="AX75" t="n">
        <v>2</v>
      </c>
      <c r="AY75">
        <f>IF($AW$75&lt;4,0,MIN(MAX(0.5,Canh_bao_vong!$D$4),MAX(IF(Vu_khi!$C$75="cal_406",Canh_bao_vong!$D$7,IF($AW$75&gt;=5,Canh_bao_vong!$D$9,Canh_bao_vong!$D$8)),Canh_bao_vong!$D$2+MAX(0,Vu_khi!$X$75)/MAX(0.1,Canh_bao_vong!$D$5))))</f>
        <v/>
      </c>
      <c r="AZ75" t="n">
        <v>0</v>
      </c>
      <c r="BA75" t="inlineStr"/>
      <c r="BB75" t="inlineStr">
        <is>
          <t>ok</t>
        </is>
      </c>
      <c r="BC75" t="inlineStr"/>
      <c r="BD75" t="n">
        <v>26</v>
      </c>
      <c r="BE75" t="n">
        <v>33.8</v>
      </c>
      <c r="BF75" t="n">
        <v>0.308</v>
      </c>
      <c r="BG75" t="n">
        <v>1.346</v>
      </c>
      <c r="BH75" t="n">
        <v>2.692</v>
      </c>
      <c r="BI75" t="n">
        <v>2.071</v>
      </c>
      <c r="BJ75" t="inlineStr">
        <is>
          <t>DRONE</t>
        </is>
      </c>
      <c r="BK75" t="inlineStr">
        <is>
          <t>ok</t>
        </is>
      </c>
      <c r="BL75" t="inlineStr">
        <is>
          <t>family fpv_drone</t>
        </is>
      </c>
      <c r="BM75" t="inlineStr"/>
      <c r="BN75" t="inlineStr">
        <is>
          <t>Assets/MachineBrigade/Resources/Data/balance.json: weapons[id=fpv_hangar] (lớp B trên 01_chien_dau/Vu_khi)</t>
        </is>
      </c>
      <c r="BO75" t="inlineStr"/>
    </row>
    <row r="76">
      <c r="A76" t="inlineStr">
        <is>
          <t>fpv_hangar_swarm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4</v>
      </c>
      <c r="G76">
        <f>IF(Vu_khi!$S$76&gt;0,(Vu_khi!$S$76-1)*Vu_khi!$R$76+Vu_khi!$T$76,Vu_khi!$R$76+(Vu_khi!$P$76-1)*Vu_khi!$Q$76)</f>
        <v/>
      </c>
      <c r="H76" t="n">
        <v>7.899999999999999</v>
      </c>
      <c r="I76">
        <f>Vu_khi!$W$76*MAX(1,$E$76)</f>
        <v/>
      </c>
      <c r="J76" t="n">
        <v>560</v>
      </c>
      <c r="K76">
        <f>IF(Vu_khi!$V$76&gt;0,Vu_khi!$V$76,MIN(28,MAX(10,Vu_khi!$U$76*Vu_khi!$R$76*0.4)))</f>
        <v/>
      </c>
      <c r="L76" t="n">
        <v>9</v>
      </c>
      <c r="M76">
        <f>IF(Vu_khi!$W$76&lt;=0,0,IF(Vu_khi!$U$76&gt;0,$I$76*Vu_khi!$U$76/(MAX(0.05,$G$76)*Vu_khi!$U$76+$K$76),$I$76/MAX(0.05,$G$76)))</f>
        <v/>
      </c>
      <c r="N76" t="n">
        <v>70.8860759493671</v>
      </c>
      <c r="O76">
        <f>OR(Vu_khi!$AG$76,Vu_khi!$AB$76&gt;0,Vu_khi!$AH$76,Vu_khi!$M$76="Bomb",Vu_khi!$M$76="Drone")</f>
        <v/>
      </c>
      <c r="P76" t="b">
        <v>1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1.3</v>
      </c>
      <c r="W76">
        <f>INDEX(Bang_sat_thuong!$C$2:$C$7,MATCH(Vu_khi!$K$76,Bang_sat_thuong!$A$2:$A$7,0))</f>
        <v/>
      </c>
      <c r="X76" t="n">
        <v>0.2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0.45</v>
      </c>
      <c r="AA76">
        <f>AND(Vu_khi!$K$76="Kinetic",NOT(Vu_khi!$AG$76))</f>
        <v/>
      </c>
      <c r="AB76" t="b">
        <v>0</v>
      </c>
      <c r="AC76">
        <f>IF(Vu_khi!$AG$76,INDEX(Bang_danh_noc!$C$2:$C$8,MIN(7,MAX(1,2-(Vu_khi!$L$76-0)+1))),INDEX(Bang_xuyen_giap!$C$2:$C$8,MIN(7,MAX(1,IF($O$76,MAX(1,2-(Vu_khi!$L$76-0)),2-(Vu_khi!$L$76-0))+1))))*IF($AA$76,INDEX(Bang_xuyen_qua!$C$2:$C$5,MIN(4,MAX(1,(Vu_khi!$L$76)-(0)-1))),1)</f>
        <v/>
      </c>
      <c r="AD76" t="n">
        <v>1.15</v>
      </c>
      <c r="AE76">
        <f>IF(Vu_khi!$AG$76,INDEX(Bang_danh_noc!$C$2:$C$8,MIN(7,MAX(1,2-(Vu_khi!$L$76-2)+1))),INDEX(Bang_xuyen_giap!$C$2:$C$8,MIN(7,MAX(1,IF($O$76,MAX(1,2-(Vu_khi!$L$76-2)),2-(Vu_khi!$L$76-2))+1))))*IF($AA$76,INDEX(Bang_xuyen_qua!$C$2:$C$5,MIN(4,MAX(1,(Vu_khi!$L$76)-(2)-1))),1)</f>
        <v/>
      </c>
      <c r="AF76" t="n">
        <v>1.1</v>
      </c>
      <c r="AG76">
        <f>IF(Vu_khi!$AG$76,INDEX(Bang_danh_noc!$C$2:$C$8,MIN(7,MAX(1,2-(Vu_khi!$L$76-4)+1))),INDEX(Bang_xuyen_giap!$C$2:$C$8,MIN(7,MAX(1,IF($O$76,MAX(1,2-(Vu_khi!$L$76-4)),2-(Vu_khi!$L$76-4))+1))))*IF($AA$76,INDEX(Bang_xuyen_qua!$C$2:$C$5,MIN(4,MAX(1,(Vu_khi!$L$76)-(4)-1))),1)</f>
        <v/>
      </c>
      <c r="AH76" t="n">
        <v>0.75</v>
      </c>
      <c r="AI76">
        <f>INDEX(Bang_xuyen_giap!$C$2:$C$8,MIN(7,MAX(1,MAX(1,2-(Vu_khi!$L$76-0))+1)))*IF($AA$76,INDEX(Bang_xuyen_qua!$C$2:$C$5,MIN(4,MAX(1,(Vu_khi!$L$76)-(0)-1))),1)</f>
        <v/>
      </c>
      <c r="AJ76" t="n">
        <v>1</v>
      </c>
      <c r="AK76">
        <f>IF($Q$76,$M$76*$AC$76*$U$76,0)</f>
        <v/>
      </c>
      <c r="AL76" t="n">
        <v>105.9746835443038</v>
      </c>
      <c r="AM76">
        <f>IF($Q$76,$M$76*$AE$76*$U$76,0)</f>
        <v/>
      </c>
      <c r="AN76" t="n">
        <v>101.367088607595</v>
      </c>
      <c r="AO76">
        <f>IF($Q$76,$M$76*$AG$76*$U$76,0)</f>
        <v/>
      </c>
      <c r="AP76" t="n">
        <v>69.11392405063293</v>
      </c>
      <c r="AQ76">
        <f>IF($Q$76,$M$76*$AE$76*$Y$76,0)</f>
        <v/>
      </c>
      <c r="AR76" t="n">
        <v>35.08860759493672</v>
      </c>
      <c r="AS76">
        <f>IF($S$76,$M$76*$AI$76*$W$76,0)</f>
        <v/>
      </c>
      <c r="AT76" t="n">
        <v>0</v>
      </c>
      <c r="AU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V76" t="b">
        <v>0</v>
      </c>
      <c r="AW76">
        <f>IF(AND($B$76&lt;0,$AU$76),4,$B$76)</f>
        <v/>
      </c>
      <c r="AX76" t="n">
        <v>2</v>
      </c>
      <c r="AY76">
        <f>IF($AW$76&lt;4,0,MIN(MAX(0.5,Canh_bao_vong!$D$4),MAX(IF(Vu_khi!$C$76="cal_406",Canh_bao_vong!$D$7,IF($AW$76&gt;=5,Canh_bao_vong!$D$9,Canh_bao_vong!$D$8)),Canh_bao_vong!$D$2+MAX(0,Vu_khi!$X$76)/MAX(0.1,Canh_bao_vong!$D$5))))</f>
        <v/>
      </c>
      <c r="AZ76" t="n">
        <v>0</v>
      </c>
      <c r="BA76" t="inlineStr"/>
      <c r="BB76" t="inlineStr">
        <is>
          <t>ok</t>
        </is>
      </c>
      <c r="BC76" t="inlineStr"/>
      <c r="BD76" t="n">
        <v>26</v>
      </c>
      <c r="BE76" t="n">
        <v>33.8</v>
      </c>
      <c r="BF76" t="n">
        <v>0.308</v>
      </c>
      <c r="BG76" t="n">
        <v>1.346</v>
      </c>
      <c r="BH76" t="n">
        <v>2.692</v>
      </c>
      <c r="BI76" t="n">
        <v>2.071</v>
      </c>
      <c r="BJ76" t="inlineStr">
        <is>
          <t>DRONE</t>
        </is>
      </c>
      <c r="BK76" t="inlineStr">
        <is>
          <t>ok</t>
        </is>
      </c>
      <c r="BL76" t="inlineStr">
        <is>
          <t>family fpv_drone</t>
        </is>
      </c>
      <c r="BM76" t="inlineStr"/>
      <c r="BN76" t="inlineStr">
        <is>
          <t>Assets/MachineBrigade/Resources/Data/balance.json: weapons[id=fpv_hangar_swarm] (lớp B trên 01_chien_dau/Vu_khi)</t>
        </is>
      </c>
      <c r="BO76" t="inlineStr"/>
    </row>
    <row r="77">
      <c r="A77" t="inlineStr">
        <is>
          <t>fpv_swarm</t>
        </is>
      </c>
      <c r="B77" t="n">
        <v>2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1</v>
      </c>
      <c r="G77">
        <f>IF(Vu_khi!$S$77&gt;0,(Vu_khi!$S$77-1)*Vu_khi!$R$77+Vu_khi!$T$77,Vu_khi!$R$77+(Vu_khi!$P$77-1)*Vu_khi!$Q$77)</f>
        <v/>
      </c>
      <c r="H77" t="n">
        <v>2.8</v>
      </c>
      <c r="I77">
        <f>Vu_khi!$W$77*MAX(1,$E$77)</f>
        <v/>
      </c>
      <c r="J77" t="n">
        <v>140</v>
      </c>
      <c r="K77">
        <f>IF(Vu_khi!$V$77&gt;0,Vu_khi!$V$77,MIN(28,MAX(10,Vu_khi!$U$77*Vu_khi!$R$77*0.4)))</f>
        <v/>
      </c>
      <c r="L77" t="n">
        <v>9</v>
      </c>
      <c r="M77">
        <f>IF(Vu_khi!$W$77&lt;=0,0,IF(Vu_khi!$U$77&gt;0,$I$77*Vu_khi!$U$77/(MAX(0.05,$G$77)*Vu_khi!$U$77+$K$77),$I$77/MAX(0.05,$G$77)))</f>
        <v/>
      </c>
      <c r="N77" t="n">
        <v>41.63568773234201</v>
      </c>
      <c r="O77">
        <f>OR(Vu_khi!$AG$77,Vu_khi!$AB$77&gt;0,Vu_khi!$AH$77,Vu_khi!$M$77="Bomb",Vu_khi!$M$77="Drone")</f>
        <v/>
      </c>
      <c r="P77" t="b">
        <v>1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0</v>
      </c>
      <c r="U77">
        <f>INDEX(Bang_sat_thuong!$B$2:$B$7,MATCH(Vu_khi!$K$77,Bang_sat_thuong!$A$2:$A$7,0))</f>
        <v/>
      </c>
      <c r="V77" t="n">
        <v>1.3</v>
      </c>
      <c r="W77">
        <f>INDEX(Bang_sat_thuong!$C$2:$C$7,MATCH(Vu_khi!$K$77,Bang_sat_thuong!$A$2:$A$7,0))</f>
        <v/>
      </c>
      <c r="X77" t="n">
        <v>0.2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0.45</v>
      </c>
      <c r="AA77">
        <f>AND(Vu_khi!$K$77="Kinetic",NOT(Vu_khi!$AG$77))</f>
        <v/>
      </c>
      <c r="AB77" t="b">
        <v>0</v>
      </c>
      <c r="AC77">
        <f>IF(Vu_khi!$AG$77,INDEX(Bang_danh_noc!$C$2:$C$8,MIN(7,MAX(1,2-(Vu_khi!$L$77-0)+1))),INDEX(Bang_xuyen_giap!$C$2:$C$8,MIN(7,MAX(1,IF($O$77,MAX(1,2-(Vu_khi!$L$77-0)),2-(Vu_khi!$L$77-0))+1))))*IF($AA$77,INDEX(Bang_xuyen_qua!$C$2:$C$5,MIN(4,MAX(1,(Vu_khi!$L$77)-(0)-1))),1)</f>
        <v/>
      </c>
      <c r="AD77" t="n">
        <v>1.15</v>
      </c>
      <c r="AE77">
        <f>IF(Vu_khi!$AG$77,INDEX(Bang_danh_noc!$C$2:$C$8,MIN(7,MAX(1,2-(Vu_khi!$L$77-2)+1))),INDEX(Bang_xuyen_giap!$C$2:$C$8,MIN(7,MAX(1,IF($O$77,MAX(1,2-(Vu_khi!$L$77-2)),2-(Vu_khi!$L$77-2))+1))))*IF($AA$77,INDEX(Bang_xuyen_qua!$C$2:$C$5,MIN(4,MAX(1,(Vu_khi!$L$77)-(2)-1))),1)</f>
        <v/>
      </c>
      <c r="AF77" t="n">
        <v>1.1</v>
      </c>
      <c r="AG77">
        <f>IF(Vu_khi!$AG$77,INDEX(Bang_danh_noc!$C$2:$C$8,MIN(7,MAX(1,2-(Vu_khi!$L$77-4)+1))),INDEX(Bang_xuyen_giap!$C$2:$C$8,MIN(7,MAX(1,IF($O$77,MAX(1,2-(Vu_khi!$L$77-4)),2-(Vu_khi!$L$77-4))+1))))*IF($AA$77,INDEX(Bang_xuyen_qua!$C$2:$C$5,MIN(4,MAX(1,(Vu_khi!$L$77)-(4)-1))),1)</f>
        <v/>
      </c>
      <c r="AH77" t="n">
        <v>0.75</v>
      </c>
      <c r="AI77">
        <f>INDEX(Bang_xuyen_giap!$C$2:$C$8,MIN(7,MAX(1,MAX(1,2-(Vu_khi!$L$77-0))+1)))*IF($AA$77,INDEX(Bang_xuyen_qua!$C$2:$C$5,MIN(4,MAX(1,(Vu_khi!$L$77)-(0)-1))),1)</f>
        <v/>
      </c>
      <c r="AJ77" t="n">
        <v>1</v>
      </c>
      <c r="AK77">
        <f>IF($Q$77,$M$77*$AC$77*$U$77,0)</f>
        <v/>
      </c>
      <c r="AL77" t="n">
        <v>62.2453531598513</v>
      </c>
      <c r="AM77">
        <f>IF($Q$77,$M$77*$AE$77*$U$77,0)</f>
        <v/>
      </c>
      <c r="AN77" t="n">
        <v>59.53903345724908</v>
      </c>
      <c r="AO77">
        <f>IF($Q$77,$M$77*$AG$77*$U$77,0)</f>
        <v/>
      </c>
      <c r="AP77" t="n">
        <v>40.59479553903346</v>
      </c>
      <c r="AQ77">
        <f>IF($Q$77,$M$77*$AE$77*$Y$77,0)</f>
        <v/>
      </c>
      <c r="AR77" t="n">
        <v>20.6096654275093</v>
      </c>
      <c r="AS77">
        <f>IF($S$77,$M$77*$AI$77*$W$77,0)</f>
        <v/>
      </c>
      <c r="AT77" t="n">
        <v>0</v>
      </c>
      <c r="AU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V77" t="b">
        <v>0</v>
      </c>
      <c r="AW77">
        <f>IF(AND($B$77&lt;0,$AU$77),4,$B$77)</f>
        <v/>
      </c>
      <c r="AX77" t="n">
        <v>2</v>
      </c>
      <c r="AY77">
        <f>IF($AW$77&lt;4,0,MIN(MAX(0.5,Canh_bao_vong!$D$4),MAX(IF(Vu_khi!$C$77="cal_406",Canh_bao_vong!$D$7,IF($AW$77&gt;=5,Canh_bao_vong!$D$9,Canh_bao_vong!$D$8)),Canh_bao_vong!$D$2+MAX(0,Vu_khi!$X$77)/MAX(0.1,Canh_bao_vong!$D$5))))</f>
        <v/>
      </c>
      <c r="AZ77" t="n">
        <v>0</v>
      </c>
      <c r="BA77" t="inlineStr"/>
      <c r="BB77" t="inlineStr">
        <is>
          <t>ok</t>
        </is>
      </c>
      <c r="BC77" t="inlineStr"/>
      <c r="BD77" t="n">
        <v>26</v>
      </c>
      <c r="BE77" t="n">
        <v>33.8</v>
      </c>
      <c r="BF77" t="n">
        <v>0.462</v>
      </c>
      <c r="BG77" t="n">
        <v>1.442</v>
      </c>
      <c r="BH77" t="n">
        <v>2.885</v>
      </c>
      <c r="BI77" t="n">
        <v>2.219</v>
      </c>
      <c r="BJ77" t="inlineStr">
        <is>
          <t>DRONE</t>
        </is>
      </c>
      <c r="BK77" t="inlineStr">
        <is>
          <t>ok</t>
        </is>
      </c>
      <c r="BL77" t="inlineStr">
        <is>
          <t>family fpv_drone</t>
        </is>
      </c>
      <c r="BM77" t="inlineStr"/>
      <c r="BN77" t="inlineStr">
        <is>
          <t>Assets/MachineBrigade/Resources/Data/balance.json: weapons[id=fpv_swarm] (lớp B trên 01_chien_dau/Vu_khi)</t>
        </is>
      </c>
      <c r="BO77" t="inlineStr"/>
    </row>
    <row r="78">
      <c r="A78" t="inlineStr">
        <is>
          <t>gau_gatling</t>
        </is>
      </c>
      <c r="B78" t="n">
        <v>1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113</v>
      </c>
      <c r="G78">
        <f>IF(Vu_khi!$S$78&gt;0,(Vu_khi!$S$78-1)*Vu_khi!$R$78+Vu_khi!$T$78,Vu_khi!$R$78+(Vu_khi!$P$78-1)*Vu_khi!$Q$78)</f>
        <v/>
      </c>
      <c r="H78" t="n">
        <v>4.6604</v>
      </c>
      <c r="I78">
        <f>Vu_khi!$W$78*MAX(1,$E$78)</f>
        <v/>
      </c>
      <c r="J78" t="n">
        <v>2486</v>
      </c>
      <c r="K78">
        <f>IF(Vu_khi!$V$78&gt;0,Vu_khi!$V$78,MIN(28,MAX(10,Vu_khi!$U$78*Vu_khi!$R$78*0.4)))</f>
        <v/>
      </c>
      <c r="L78" t="n">
        <v>10</v>
      </c>
      <c r="M78">
        <f>IF(Vu_khi!$W$78&lt;=0,0,IF(Vu_khi!$U$78&gt;0,$I$78*Vu_khi!$U$78/(MAX(0.05,$G$78)*Vu_khi!$U$78+$K$78),$I$78/MAX(0.05,$G$78)))</f>
        <v/>
      </c>
      <c r="N78" t="n">
        <v>533.4306068148657</v>
      </c>
      <c r="O78">
        <f>OR(Vu_khi!$AG$78,Vu_khi!$AB$78&gt;0,Vu_khi!$AH$78,Vu_khi!$M$78="Bomb",Vu_khi!$M$78="Drone")</f>
        <v/>
      </c>
      <c r="P78" t="b">
        <v>0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1.2</v>
      </c>
      <c r="W78">
        <f>INDEX(Bang_sat_thuong!$C$2:$C$7,MATCH(Vu_khi!$K$78,Bang_sat_thuong!$A$2:$A$7,0))</f>
        <v/>
      </c>
      <c r="X78" t="n">
        <v>0.3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0.7</v>
      </c>
      <c r="AA78">
        <f>AND(Vu_khi!$K$78="Kinetic",NOT(Vu_khi!$AG$78))</f>
        <v/>
      </c>
      <c r="AB78" t="b">
        <v>1</v>
      </c>
      <c r="AC78">
        <f>IF(Vu_khi!$AG$78,INDEX(Bang_danh_noc!$C$2:$C$8,MIN(7,MAX(1,2-(Vu_khi!$L$78-0)+1))),INDEX(Bang_xuyen_giap!$C$2:$C$8,MIN(7,MAX(1,IF($O$78,MAX(1,2-(Vu_khi!$L$78-0)),2-(Vu_khi!$L$78-0))+1))))*IF($AA$78,INDEX(Bang_xuyen_qua!$C$2:$C$5,MIN(4,MAX(1,(Vu_khi!$L$78)-(0)-1))),1)</f>
        <v/>
      </c>
      <c r="AD78" t="n">
        <v>1.14</v>
      </c>
      <c r="AE78">
        <f>IF(Vu_khi!$AG$78,INDEX(Bang_danh_noc!$C$2:$C$8,MIN(7,MAX(1,2-(Vu_khi!$L$78-2)+1))),INDEX(Bang_xuyen_giap!$C$2:$C$8,MIN(7,MAX(1,IF($O$78,MAX(1,2-(Vu_khi!$L$78-2)),2-(Vu_khi!$L$78-2))+1))))*IF($AA$78,INDEX(Bang_xuyen_qua!$C$2:$C$5,MIN(4,MAX(1,(Vu_khi!$L$78)-(2)-1))),1)</f>
        <v/>
      </c>
      <c r="AF78" t="n">
        <v>1</v>
      </c>
      <c r="AG78">
        <f>IF(Vu_khi!$AG$78,INDEX(Bang_danh_noc!$C$2:$C$8,MIN(7,MAX(1,2-(Vu_khi!$L$78-4)+1))),INDEX(Bang_xuyen_giap!$C$2:$C$8,MIN(7,MAX(1,IF($O$78,MAX(1,2-(Vu_khi!$L$78-4)),2-(Vu_khi!$L$78-4))+1))))*IF($AA$78,INDEX(Bang_xuyen_qua!$C$2:$C$5,MIN(4,MAX(1,(Vu_khi!$L$78)-(4)-1))),1)</f>
        <v/>
      </c>
      <c r="AH78" t="n">
        <v>0.65</v>
      </c>
      <c r="AI78">
        <f>INDEX(Bang_xuyen_giap!$C$2:$C$8,MIN(7,MAX(1,MAX(1,2-(Vu_khi!$L$78-0))+1)))*IF($AA$78,INDEX(Bang_xuyen_qua!$C$2:$C$5,MIN(4,MAX(1,(Vu_khi!$L$78)-(0)-1))),1)</f>
        <v/>
      </c>
      <c r="AJ78" t="n">
        <v>0.95</v>
      </c>
      <c r="AK78">
        <f>IF($Q$78,$M$78*$AC$78*$U$78,0)</f>
        <v/>
      </c>
      <c r="AL78" t="n">
        <v>729.7330701227362</v>
      </c>
      <c r="AM78">
        <f>IF($Q$78,$M$78*$AE$78*$U$78,0)</f>
        <v/>
      </c>
      <c r="AN78" t="n">
        <v>640.1167281778388</v>
      </c>
      <c r="AO78">
        <f>IF($Q$78,$M$78*$AG$78*$U$78,0)</f>
        <v/>
      </c>
      <c r="AP78" t="n">
        <v>416.0758733155952</v>
      </c>
      <c r="AQ78">
        <f>IF($Q$78,$M$78*$AE$78*$Y$78,0)</f>
        <v/>
      </c>
      <c r="AR78" t="n">
        <v>373.4014247704059</v>
      </c>
      <c r="AS78">
        <f>IF($S$78,$M$78*$AI$78*$W$78,0)</f>
        <v/>
      </c>
      <c r="AT78" t="n">
        <v>0</v>
      </c>
      <c r="AU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V78" t="b">
        <v>0</v>
      </c>
      <c r="AW78">
        <f>IF(AND($B$78&lt;0,$AU$78),4,$B$78)</f>
        <v/>
      </c>
      <c r="AX78" t="n">
        <v>1</v>
      </c>
      <c r="AY78">
        <f>IF($AW$78&lt;4,0,MIN(MAX(0.5,Canh_bao_vong!$D$4),MAX(IF(Vu_khi!$C$78="cal_406",Canh_bao_vong!$D$7,IF($AW$78&gt;=5,Canh_bao_vong!$D$9,Canh_bao_vong!$D$8)),Canh_bao_vong!$D$2+MAX(0,Vu_khi!$X$78)/MAX(0.1,Canh_bao_vong!$D$5))))</f>
        <v/>
      </c>
      <c r="AZ78" t="n">
        <v>0</v>
      </c>
      <c r="BA78" t="n">
        <v>2.680761</v>
      </c>
      <c r="BB78" t="inlineStr">
        <is>
          <t>ok</t>
        </is>
      </c>
      <c r="BC78" t="inlineStr"/>
      <c r="BD78" t="n">
        <v>320</v>
      </c>
      <c r="BE78" t="n">
        <v>416</v>
      </c>
      <c r="BF78" t="n">
        <v>0.025</v>
      </c>
      <c r="BG78" t="n">
        <v>0.05</v>
      </c>
      <c r="BH78" t="n">
        <v>0.1</v>
      </c>
      <c r="BI78" t="n">
        <v>0.077</v>
      </c>
      <c r="BJ78" t="inlineStr">
        <is>
          <t>DIRECT_BULLET</t>
        </is>
      </c>
      <c r="BK78" t="inlineStr">
        <is>
          <t>ok</t>
        </is>
      </c>
      <c r="BL78" t="inlineStr">
        <is>
          <t>own line</t>
        </is>
      </c>
      <c r="BM78" t="inlineStr"/>
      <c r="BN78" t="inlineStr">
        <is>
          <t>Assets/MachineBrigade/Resources/Data/balance.json: weapons[id=gau_gatling] (lớp B trên 01_chien_dau/Vu_khi)</t>
        </is>
      </c>
      <c r="BO78" t="inlineStr"/>
    </row>
    <row r="79">
      <c r="A79" t="inlineStr">
        <is>
          <t>grad_cluster</t>
        </is>
      </c>
      <c r="B79" t="n">
        <v>3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11</v>
      </c>
      <c r="G79">
        <f>IF(Vu_khi!$S$79&gt;0,(Vu_khi!$S$79-1)*Vu_khi!$R$79+Vu_khi!$T$79,Vu_khi!$R$79+(Vu_khi!$P$79-1)*Vu_khi!$Q$79)</f>
        <v/>
      </c>
      <c r="H79" t="n">
        <v>13</v>
      </c>
      <c r="I79">
        <f>Vu_khi!$W$79*MAX(1,$E$79)</f>
        <v/>
      </c>
      <c r="J79" t="n">
        <v>627</v>
      </c>
      <c r="K79">
        <f>IF(Vu_khi!$V$79&gt;0,Vu_khi!$V$79,MIN(28,MAX(10,Vu_khi!$U$79*Vu_khi!$R$79*0.4)))</f>
        <v/>
      </c>
      <c r="L79" t="n">
        <v>13.67</v>
      </c>
      <c r="M79">
        <f>IF(Vu_khi!$W$79&lt;=0,0,IF(Vu_khi!$U$79&gt;0,$I$79*Vu_khi!$U$79/(MAX(0.05,$G$79)*Vu_khi!$U$79+$K$79),$I$79/MAX(0.05,$G$79)))</f>
        <v/>
      </c>
      <c r="N79" t="n">
        <v>35.71292956142016</v>
      </c>
      <c r="O79">
        <f>OR(Vu_khi!$AG$79,Vu_khi!$AB$79&gt;0,Vu_khi!$AH$79,Vu_khi!$M$79="Bomb",Vu_khi!$M$79="Drone")</f>
        <v/>
      </c>
      <c r="P79" t="b">
        <v>1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1</v>
      </c>
      <c r="W79">
        <f>INDEX(Bang_sat_thuong!$C$2:$C$7,MATCH(Vu_khi!$K$79,Bang_sat_thuong!$A$2:$A$7,0))</f>
        <v/>
      </c>
      <c r="X79" t="n">
        <v>0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1.6</v>
      </c>
      <c r="AA79">
        <f>AND(Vu_khi!$K$79="Kinetic",NOT(Vu_khi!$AG$79))</f>
        <v/>
      </c>
      <c r="AB79" t="b">
        <v>0</v>
      </c>
      <c r="AC79">
        <f>IF(Vu_khi!$AG$79,INDEX(Bang_danh_noc!$C$2:$C$8,MIN(7,MAX(1,2-(Vu_khi!$L$79-0)+1))),INDEX(Bang_xuyen_giap!$C$2:$C$8,MIN(7,MAX(1,IF($O$79,MAX(1,2-(Vu_khi!$L$79-0)),2-(Vu_khi!$L$79-0))+1))))*IF($AA$79,INDEX(Bang_xuyen_qua!$C$2:$C$5,MIN(4,MAX(1,(Vu_khi!$L$79)-(0)-1))),1)</f>
        <v/>
      </c>
      <c r="AD79" t="n">
        <v>1</v>
      </c>
      <c r="AE79">
        <f>IF(Vu_khi!$AG$79,INDEX(Bang_danh_noc!$C$2:$C$8,MIN(7,MAX(1,2-(Vu_khi!$L$79-2)+1))),INDEX(Bang_xuyen_giap!$C$2:$C$8,MIN(7,MAX(1,IF($O$79,MAX(1,2-(Vu_khi!$L$79-2)),2-(Vu_khi!$L$79-2))+1))))*IF($AA$79,INDEX(Bang_xuyen_qua!$C$2:$C$5,MIN(4,MAX(1,(Vu_khi!$L$79)-(2)-1))),1)</f>
        <v/>
      </c>
      <c r="AF79" t="n">
        <v>0.85</v>
      </c>
      <c r="AG79">
        <f>IF(Vu_khi!$AG$79,INDEX(Bang_danh_noc!$C$2:$C$8,MIN(7,MAX(1,2-(Vu_khi!$L$79-4)+1))),INDEX(Bang_xuyen_giap!$C$2:$C$8,MIN(7,MAX(1,IF($O$79,MAX(1,2-(Vu_khi!$L$79-4)),2-(Vu_khi!$L$79-4))+1))))*IF($AA$79,INDEX(Bang_xuyen_qua!$C$2:$C$5,MIN(4,MAX(1,(Vu_khi!$L$79)-(4)-1))),1)</f>
        <v/>
      </c>
      <c r="AH79" t="n">
        <v>0.4</v>
      </c>
      <c r="AI79">
        <f>INDEX(Bang_xuyen_giap!$C$2:$C$8,MIN(7,MAX(1,MAX(1,2-(Vu_khi!$L$79-0))+1)))*IF($AA$79,INDEX(Bang_xuyen_qua!$C$2:$C$5,MIN(4,MAX(1,(Vu_khi!$L$79)-(0)-1))),1)</f>
        <v/>
      </c>
      <c r="AJ79" t="n">
        <v>1</v>
      </c>
      <c r="AK79">
        <f>IF($Q$79,$M$79*$AC$79*$U$79,0)</f>
        <v/>
      </c>
      <c r="AL79" t="n">
        <v>35.71292956142016</v>
      </c>
      <c r="AM79">
        <f>IF($Q$79,$M$79*$AE$79*$U$79,0)</f>
        <v/>
      </c>
      <c r="AN79" t="n">
        <v>30.35599012720714</v>
      </c>
      <c r="AO79">
        <f>IF($Q$79,$M$79*$AG$79*$U$79,0)</f>
        <v/>
      </c>
      <c r="AP79" t="n">
        <v>14.28517182456807</v>
      </c>
      <c r="AQ79">
        <f>IF($Q$79,$M$79*$AE$79*$Y$79,0)</f>
        <v/>
      </c>
      <c r="AR79" t="n">
        <v>48.56958420353142</v>
      </c>
      <c r="AS79">
        <f>IF($S$79,$M$79*$AI$79*$W$79,0)</f>
        <v/>
      </c>
      <c r="AT79" t="n">
        <v>0</v>
      </c>
      <c r="AU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V79" t="b">
        <v>0</v>
      </c>
      <c r="AW79">
        <f>IF(AND($B$79&lt;0,$AU$79),4,$B$79)</f>
        <v/>
      </c>
      <c r="AX79" t="n">
        <v>3</v>
      </c>
      <c r="AY79">
        <f>IF($AW$79&lt;4,0,MIN(MAX(0.5,Canh_bao_vong!$D$4),MAX(IF(Vu_khi!$C$79="cal_406",Canh_bao_vong!$D$7,IF($AW$79&gt;=5,Canh_bao_vong!$D$9,Canh_bao_vong!$D$8)),Canh_bao_vong!$D$2+MAX(0,Vu_khi!$X$79)/MAX(0.1,Canh_bao_vong!$D$5))))</f>
        <v/>
      </c>
      <c r="AZ79" t="n">
        <v>0</v>
      </c>
      <c r="BA79" t="n">
        <v>1</v>
      </c>
      <c r="BB79" t="inlineStr">
        <is>
          <t>ok</t>
        </is>
      </c>
      <c r="BC79" t="inlineStr"/>
      <c r="BD79" t="n">
        <v>80</v>
      </c>
      <c r="BE79" t="n">
        <v>104</v>
      </c>
      <c r="BF79" t="n">
        <v>0.225</v>
      </c>
      <c r="BG79" t="n">
        <v>0.487</v>
      </c>
      <c r="BH79" t="n">
        <v>0.975</v>
      </c>
      <c r="BI79" t="n">
        <v>0.75</v>
      </c>
      <c r="BJ79" t="inlineStr">
        <is>
          <t>ROCKET_ARTILLERY</t>
        </is>
      </c>
      <c r="BK79" t="inlineStr">
        <is>
          <t>ok</t>
        </is>
      </c>
      <c r="BL79" t="inlineStr">
        <is>
          <t>family bm_21_grad_122_mm_2</t>
        </is>
      </c>
      <c r="BM79" t="n">
        <v>40</v>
      </c>
      <c r="BN79" t="inlineStr">
        <is>
          <t>Assets/MachineBrigade/Resources/Data/balance.json: weapons[id=grad_cluster] (lớp B trên 01_chien_dau/Vu_khi)</t>
        </is>
      </c>
      <c r="BO79" t="inlineStr"/>
    </row>
    <row r="80">
      <c r="A80" t="inlineStr">
        <is>
          <t>grad_rockets</t>
        </is>
      </c>
      <c r="B80" t="n">
        <v>3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9</v>
      </c>
      <c r="G80">
        <f>IF(Vu_khi!$S$80&gt;0,(Vu_khi!$S$80-1)*Vu_khi!$R$80+Vu_khi!$T$80,Vu_khi!$R$80+(Vu_khi!$P$80-1)*Vu_khi!$Q$80)</f>
        <v/>
      </c>
      <c r="H80" t="n">
        <v>15.31</v>
      </c>
      <c r="I80">
        <f>Vu_khi!$W$80*MAX(1,$E$80)</f>
        <v/>
      </c>
      <c r="J80" t="n">
        <v>513</v>
      </c>
      <c r="K80">
        <f>IF(Vu_khi!$V$80&gt;0,Vu_khi!$V$80,MIN(28,MAX(10,Vu_khi!$U$80*Vu_khi!$R$80*0.4)))</f>
        <v/>
      </c>
      <c r="L80" t="n">
        <v>16.6</v>
      </c>
      <c r="M80">
        <f>IF(Vu_khi!$W$80&lt;=0,0,IF(Vu_khi!$U$80&gt;0,$I$80*Vu_khi!$U$80/(MAX(0.05,$G$80)*Vu_khi!$U$80+$K$80),$I$80/MAX(0.05,$G$80)))</f>
        <v/>
      </c>
      <c r="N80" t="n">
        <v>24.61218615064769</v>
      </c>
      <c r="O80">
        <f>OR(Vu_khi!$AG$80,Vu_khi!$AB$80&gt;0,Vu_khi!$AH$80,Vu_khi!$M$80="Bomb",Vu_khi!$M$80="Drone")</f>
        <v/>
      </c>
      <c r="P80" t="b">
        <v>1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1.6</v>
      </c>
      <c r="AA80">
        <f>AND(Vu_khi!$K$80="Kinetic",NOT(Vu_khi!$AG$80))</f>
        <v/>
      </c>
      <c r="AB80" t="b">
        <v>0</v>
      </c>
      <c r="AC80">
        <f>IF(Vu_khi!$AG$80,INDEX(Bang_danh_noc!$C$2:$C$8,MIN(7,MAX(1,2-(Vu_khi!$L$80-0)+1))),INDEX(Bang_xuyen_giap!$C$2:$C$8,MIN(7,MAX(1,IF($O$80,MAX(1,2-(Vu_khi!$L$80-0)),2-(Vu_khi!$L$80-0))+1))))*IF($AA$80,INDEX(Bang_xuyen_qua!$C$2:$C$5,MIN(4,MAX(1,(Vu_khi!$L$80)-(0)-1))),1)</f>
        <v/>
      </c>
      <c r="AD80" t="n">
        <v>1</v>
      </c>
      <c r="AE80">
        <f>IF(Vu_khi!$AG$80,INDEX(Bang_danh_noc!$C$2:$C$8,MIN(7,MAX(1,2-(Vu_khi!$L$80-2)+1))),INDEX(Bang_xuyen_giap!$C$2:$C$8,MIN(7,MAX(1,IF($O$80,MAX(1,2-(Vu_khi!$L$80-2)),2-(Vu_khi!$L$80-2))+1))))*IF($AA$80,INDEX(Bang_xuyen_qua!$C$2:$C$5,MIN(4,MAX(1,(Vu_khi!$L$80)-(2)-1))),1)</f>
        <v/>
      </c>
      <c r="AF80" t="n">
        <v>0.85</v>
      </c>
      <c r="AG80">
        <f>IF(Vu_khi!$AG$80,INDEX(Bang_danh_noc!$C$2:$C$8,MIN(7,MAX(1,2-(Vu_khi!$L$80-4)+1))),INDEX(Bang_xuyen_giap!$C$2:$C$8,MIN(7,MAX(1,IF($O$80,MAX(1,2-(Vu_khi!$L$80-4)),2-(Vu_khi!$L$80-4))+1))))*IF($AA$80,INDEX(Bang_xuyen_qua!$C$2:$C$5,MIN(4,MAX(1,(Vu_khi!$L$80)-(4)-1))),1)</f>
        <v/>
      </c>
      <c r="AH80" t="n">
        <v>0.4</v>
      </c>
      <c r="AI80">
        <f>INDEX(Bang_xuyen_giap!$C$2:$C$8,MIN(7,MAX(1,MAX(1,2-(Vu_khi!$L$80-0))+1)))*IF($AA$80,INDEX(Bang_xuyen_qua!$C$2:$C$5,MIN(4,MAX(1,(Vu_khi!$L$80)-(0)-1))),1)</f>
        <v/>
      </c>
      <c r="AJ80" t="n">
        <v>1</v>
      </c>
      <c r="AK80">
        <f>IF($Q$80,$M$80*$AC$80*$U$80,0)</f>
        <v/>
      </c>
      <c r="AL80" t="n">
        <v>24.61218615064769</v>
      </c>
      <c r="AM80">
        <f>IF($Q$80,$M$80*$AE$80*$U$80,0)</f>
        <v/>
      </c>
      <c r="AN80" t="n">
        <v>20.92035822805054</v>
      </c>
      <c r="AO80">
        <f>IF($Q$80,$M$80*$AG$80*$U$80,0)</f>
        <v/>
      </c>
      <c r="AP80" t="n">
        <v>9.844874460259076</v>
      </c>
      <c r="AQ80">
        <f>IF($Q$80,$M$80*$AE$80*$Y$80,0)</f>
        <v/>
      </c>
      <c r="AR80" t="n">
        <v>33.47257316488086</v>
      </c>
      <c r="AS80">
        <f>IF($S$80,$M$80*$AI$80*$W$80,0)</f>
        <v/>
      </c>
      <c r="AT80" t="n">
        <v>0</v>
      </c>
      <c r="AU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V80" t="b">
        <v>0</v>
      </c>
      <c r="AW80">
        <f>IF(AND($B$80&lt;0,$AU$80),4,$B$80)</f>
        <v/>
      </c>
      <c r="AX80" t="n">
        <v>3</v>
      </c>
      <c r="AY80">
        <f>IF($AW$80&lt;4,0,MIN(MAX(0.5,Canh_bao_vong!$D$4),MAX(IF(Vu_khi!$C$80="cal_406",Canh_bao_vong!$D$7,IF($AW$80&gt;=5,Canh_bao_vong!$D$9,Canh_bao_vong!$D$8)),Canh_bao_vong!$D$2+MAX(0,Vu_khi!$X$80)/MAX(0.1,Canh_bao_vong!$D$5))))</f>
        <v/>
      </c>
      <c r="AZ80" t="n">
        <v>0</v>
      </c>
      <c r="BA80" t="n">
        <v>1</v>
      </c>
      <c r="BB80" t="inlineStr">
        <is>
          <t>ok</t>
        </is>
      </c>
      <c r="BC80" t="inlineStr"/>
      <c r="BD80" t="n">
        <v>80</v>
      </c>
      <c r="BE80" t="n">
        <v>104</v>
      </c>
      <c r="BF80" t="n">
        <v>0.225</v>
      </c>
      <c r="BG80" t="n">
        <v>0.344</v>
      </c>
      <c r="BH80" t="n">
        <v>0.6879999999999999</v>
      </c>
      <c r="BI80" t="n">
        <v>0.529</v>
      </c>
      <c r="BJ80" t="inlineStr">
        <is>
          <t>ROCKET_ARTILLERY</t>
        </is>
      </c>
      <c r="BK80" t="inlineStr">
        <is>
          <t>TOO_FAST_FOR_CLASS</t>
        </is>
      </c>
      <c r="BL80" t="inlineStr">
        <is>
          <t>family bm_21_grad_122_mm</t>
        </is>
      </c>
      <c r="BM80" t="n">
        <v>40</v>
      </c>
      <c r="BN80" t="inlineStr">
        <is>
          <t>Assets/MachineBrigade/Resources/Data/balance.json: weapons[id=grad_rockets] (lớp B trên 01_chien_dau/Vu_khi)</t>
        </is>
      </c>
      <c r="BO80" t="inlineStr"/>
    </row>
    <row r="81">
      <c r="A81" t="inlineStr">
        <is>
          <t>gsh_23v</t>
        </is>
      </c>
      <c r="B81" t="n">
        <v>1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44</v>
      </c>
      <c r="G81">
        <f>IF(Vu_khi!$S$81&gt;0,(Vu_khi!$S$81-1)*Vu_khi!$R$81+Vu_khi!$T$81,Vu_khi!$R$81+(Vu_khi!$P$81-1)*Vu_khi!$Q$81)</f>
        <v/>
      </c>
      <c r="H81" t="n">
        <v>6.3826</v>
      </c>
      <c r="I81">
        <f>Vu_khi!$W$81*MAX(1,$E$81)</f>
        <v/>
      </c>
      <c r="J81" t="n">
        <v>616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96.5123930686554</v>
      </c>
      <c r="O81">
        <f>OR(Vu_khi!$AG$81,Vu_khi!$AB$81&gt;0,Vu_khi!$AH$81,Vu_khi!$M$81="Bomb",Vu_khi!$M$81="Drone")</f>
        <v/>
      </c>
      <c r="P81" t="b">
        <v>0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1</v>
      </c>
      <c r="U81">
        <f>INDEX(Bang_sat_thuong!$B$2:$B$7,MATCH(Vu_khi!$K$81,Bang_sat_thuong!$A$2:$A$7,0))</f>
        <v/>
      </c>
      <c r="V81" t="n">
        <v>1.2</v>
      </c>
      <c r="W81">
        <f>INDEX(Bang_sat_thuong!$C$2:$C$7,MATCH(Vu_khi!$K$81,Bang_sat_thuong!$A$2:$A$7,0))</f>
        <v/>
      </c>
      <c r="X81" t="n">
        <v>0.3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0.7</v>
      </c>
      <c r="AA81">
        <f>AND(Vu_khi!$K$81="Kinetic",NOT(Vu_khi!$AG$81))</f>
        <v/>
      </c>
      <c r="AB81" t="b">
        <v>1</v>
      </c>
      <c r="AC81">
        <f>IF(Vu_khi!$AG$81,INDEX(Bang_danh_noc!$C$2:$C$8,MIN(7,MAX(1,2-(Vu_khi!$L$81-0)+1))),INDEX(Bang_xuyen_giap!$C$2:$C$8,MIN(7,MAX(1,IF($O$81,MAX(1,2-(Vu_khi!$L$81-0)),2-(Vu_khi!$L$81-0))+1))))*IF($AA$81,INDEX(Bang_xuyen_qua!$C$2:$C$5,MIN(4,MAX(1,(Vu_khi!$L$81)-(0)-1))),1)</f>
        <v/>
      </c>
      <c r="AD81" t="n">
        <v>1.2</v>
      </c>
      <c r="AE81">
        <f>IF(Vu_khi!$AG$81,INDEX(Bang_danh_noc!$C$2:$C$8,MIN(7,MAX(1,2-(Vu_khi!$L$81-2)+1))),INDEX(Bang_xuyen_giap!$C$2:$C$8,MIN(7,MAX(1,IF($O$81,MAX(1,2-(Vu_khi!$L$81-2)),2-(Vu_khi!$L$81-2))+1))))*IF($AA$81,INDEX(Bang_xuyen_qua!$C$2:$C$5,MIN(4,MAX(1,(Vu_khi!$L$81)-(2)-1))),1)</f>
        <v/>
      </c>
      <c r="AF81" t="n">
        <v>0.85</v>
      </c>
      <c r="AG81">
        <f>IF(Vu_khi!$AG$81,INDEX(Bang_danh_noc!$C$2:$C$8,MIN(7,MAX(1,2-(Vu_khi!$L$81-4)+1))),INDEX(Bang_xuyen_giap!$C$2:$C$8,MIN(7,MAX(1,IF($O$81,MAX(1,2-(Vu_khi!$L$81-4)),2-(Vu_khi!$L$81-4))+1))))*IF($AA$81,INDEX(Bang_xuyen_qua!$C$2:$C$5,MIN(4,MAX(1,(Vu_khi!$L$81)-(4)-1))),1)</f>
        <v/>
      </c>
      <c r="AH81" t="n">
        <v>0.4</v>
      </c>
      <c r="AI81">
        <f>INDEX(Bang_xuyen_giap!$C$2:$C$8,MIN(7,MAX(1,MAX(1,2-(Vu_khi!$L$81-0))+1)))*IF($AA$81,INDEX(Bang_xuyen_qua!$C$2:$C$5,MIN(4,MAX(1,(Vu_khi!$L$81)-(0)-1))),1)</f>
        <v/>
      </c>
      <c r="AJ81" t="n">
        <v>1</v>
      </c>
      <c r="AK81">
        <f>IF($Q$81,$M$81*$AC$81*$U$81,0)</f>
        <v/>
      </c>
      <c r="AL81" t="n">
        <v>138.9778460188638</v>
      </c>
      <c r="AM81">
        <f>IF($Q$81,$M$81*$AE$81*$U$81,0)</f>
        <v/>
      </c>
      <c r="AN81" t="n">
        <v>98.4426409300285</v>
      </c>
      <c r="AO81">
        <f>IF($Q$81,$M$81*$AG$81*$U$81,0)</f>
        <v/>
      </c>
      <c r="AP81" t="n">
        <v>46.32594867295459</v>
      </c>
      <c r="AQ81">
        <f>IF($Q$81,$M$81*$AE$81*$Y$81,0)</f>
        <v/>
      </c>
      <c r="AR81" t="n">
        <v>57.42487387584996</v>
      </c>
      <c r="AS81">
        <f>IF($S$81,$M$81*$AI$81*$W$81,0)</f>
        <v/>
      </c>
      <c r="AT81" t="n">
        <v>28.95371792059662</v>
      </c>
      <c r="AU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V81" t="b">
        <v>0</v>
      </c>
      <c r="AW81">
        <f>IF(AND($B$81&lt;0,$AU$81),4,$B$81)</f>
        <v/>
      </c>
      <c r="AX81" t="n">
        <v>1</v>
      </c>
      <c r="AY81">
        <f>IF($AW$81&lt;4,0,MIN(MAX(0.5,Canh_bao_vong!$D$4),MAX(IF(Vu_khi!$C$81="cal_406",Canh_bao_vong!$D$7,IF($AW$81&gt;=5,Canh_bao_vong!$D$9,Canh_bao_vong!$D$8)),Canh_bao_vong!$D$2+MAX(0,Vu_khi!$X$81)/MAX(0.1,Canh_bao_vong!$D$5))))</f>
        <v/>
      </c>
      <c r="AZ81" t="n">
        <v>0</v>
      </c>
      <c r="BA81" t="n">
        <v>8.220015</v>
      </c>
      <c r="BB81" t="inlineStr">
        <is>
          <t>ok</t>
        </is>
      </c>
      <c r="BC81" t="inlineStr"/>
      <c r="BD81" t="n">
        <v>240</v>
      </c>
      <c r="BE81" t="n">
        <v>312</v>
      </c>
      <c r="BF81" t="n">
        <v>0.027</v>
      </c>
      <c r="BG81" t="n">
        <v>0.054</v>
      </c>
      <c r="BH81" t="n">
        <v>0.108</v>
      </c>
      <c r="BI81" t="n">
        <v>0.083</v>
      </c>
      <c r="BJ81" t="inlineStr">
        <is>
          <t>DIRECT_BULLET</t>
        </is>
      </c>
      <c r="BK81" t="inlineStr">
        <is>
          <t>ok</t>
        </is>
      </c>
      <c r="BL81" t="inlineStr">
        <is>
          <t>own line</t>
        </is>
      </c>
      <c r="BM81" t="inlineStr"/>
      <c r="BN81" t="inlineStr">
        <is>
          <t>Assets/MachineBrigade/Resources/Data/balance.json: weapons[id=gsh_23v] (lớp B trên 01_chien_dau/Vu_khi)</t>
        </is>
      </c>
      <c r="BO81" t="inlineStr"/>
    </row>
    <row r="82">
      <c r="A82" t="inlineStr">
        <is>
          <t>guided_bomb</t>
        </is>
      </c>
      <c r="B82" t="n">
        <v>2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1</v>
      </c>
      <c r="G82">
        <f>IF(Vu_khi!$S$82&gt;0,(Vu_khi!$S$82-1)*Vu_khi!$R$82+Vu_khi!$T$82,Vu_khi!$R$82+(Vu_khi!$P$82-1)*Vu_khi!$Q$82)</f>
        <v/>
      </c>
      <c r="H82" t="n">
        <v>6.651</v>
      </c>
      <c r="I82">
        <f>Vu_khi!$W$82*MAX(1,$E$82)</f>
        <v/>
      </c>
      <c r="J82" t="n">
        <v>250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37.58833258156668</v>
      </c>
      <c r="O82">
        <f>OR(Vu_khi!$AG$82,Vu_khi!$AB$82&gt;0,Vu_khi!$AH$82,Vu_khi!$M$82="Bomb",Vu_khi!$M$82="Drone")</f>
        <v/>
      </c>
      <c r="P82" t="b">
        <v>1</v>
      </c>
      <c r="Q82">
        <f>AND(NOT(Vu_khi!$AJ$82),OR(Vu_khi!$AC$82="Ground",Vu_khi!$AC$82="All"))</f>
        <v/>
      </c>
      <c r="R82" t="b">
        <v>1</v>
      </c>
      <c r="S82">
        <f>AND(NOT(Vu_khi!$AJ$82),OR(Vu_khi!$AC$82="Air",Vu_khi!$AC$82="All"))</f>
        <v/>
      </c>
      <c r="T82" t="b">
        <v>0</v>
      </c>
      <c r="U82">
        <f>INDEX(Bang_sat_thuong!$B$2:$B$7,MATCH(Vu_khi!$K$82,Bang_sat_thuong!$A$2:$A$7,0))</f>
        <v/>
      </c>
      <c r="V82" t="n">
        <v>1</v>
      </c>
      <c r="W82">
        <f>INDEX(Bang_sat_thuong!$C$2:$C$7,MATCH(Vu_khi!$K$82,Bang_sat_thuong!$A$2:$A$7,0))</f>
        <v/>
      </c>
      <c r="X82" t="n">
        <v>0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1.6</v>
      </c>
      <c r="AA82">
        <f>AND(Vu_khi!$K$82="Kinetic",NOT(Vu_khi!$AG$82))</f>
        <v/>
      </c>
      <c r="AB82" t="b">
        <v>0</v>
      </c>
      <c r="AC82">
        <f>IF(Vu_khi!$AG$82,INDEX(Bang_danh_noc!$C$2:$C$8,MIN(7,MAX(1,2-(Vu_khi!$L$82-0)+1))),INDEX(Bang_xuyen_giap!$C$2:$C$8,MIN(7,MAX(1,IF($O$82,MAX(1,2-(Vu_khi!$L$82-0)),2-(Vu_khi!$L$82-0))+1))))*IF($AA$82,INDEX(Bang_xuyen_qua!$C$2:$C$5,MIN(4,MAX(1,(Vu_khi!$L$82)-(0)-1))),1)</f>
        <v/>
      </c>
      <c r="AD82" t="n">
        <v>1.15</v>
      </c>
      <c r="AE82">
        <f>IF(Vu_khi!$AG$82,INDEX(Bang_danh_noc!$C$2:$C$8,MIN(7,MAX(1,2-(Vu_khi!$L$82-2)+1))),INDEX(Bang_xuyen_giap!$C$2:$C$8,MIN(7,MAX(1,IF($O$82,MAX(1,2-(Vu_khi!$L$82-2)),2-(Vu_khi!$L$82-2))+1))))*IF($AA$82,INDEX(Bang_xuyen_qua!$C$2:$C$5,MIN(4,MAX(1,(Vu_khi!$L$82)-(2)-1))),1)</f>
        <v/>
      </c>
      <c r="AF82" t="n">
        <v>1.1</v>
      </c>
      <c r="AG82">
        <f>IF(Vu_khi!$AG$82,INDEX(Bang_danh_noc!$C$2:$C$8,MIN(7,MAX(1,2-(Vu_khi!$L$82-4)+1))),INDEX(Bang_xuyen_giap!$C$2:$C$8,MIN(7,MAX(1,IF($O$82,MAX(1,2-(Vu_khi!$L$82-4)),2-(Vu_khi!$L$82-4))+1))))*IF($AA$82,INDEX(Bang_xuyen_qua!$C$2:$C$5,MIN(4,MAX(1,(Vu_khi!$L$82)-(4)-1))),1)</f>
        <v/>
      </c>
      <c r="AH82" t="n">
        <v>0.75</v>
      </c>
      <c r="AI82">
        <f>INDEX(Bang_xuyen_giap!$C$2:$C$8,MIN(7,MAX(1,MAX(1,2-(Vu_khi!$L$82-0))+1)))*IF($AA$82,INDEX(Bang_xuyen_qua!$C$2:$C$5,MIN(4,MAX(1,(Vu_khi!$L$82)-(0)-1))),1)</f>
        <v/>
      </c>
      <c r="AJ82" t="n">
        <v>1</v>
      </c>
      <c r="AK82">
        <f>IF($Q$82,$M$82*$AC$82*$U$82,0)</f>
        <v/>
      </c>
      <c r="AL82" t="n">
        <v>43.22658246880168</v>
      </c>
      <c r="AM82">
        <f>IF($Q$82,$M$82*$AE$82*$U$82,0)</f>
        <v/>
      </c>
      <c r="AN82" t="n">
        <v>41.34716583972335</v>
      </c>
      <c r="AO82">
        <f>IF($Q$82,$M$82*$AG$82*$U$82,0)</f>
        <v/>
      </c>
      <c r="AP82" t="n">
        <v>28.19124943617501</v>
      </c>
      <c r="AQ82">
        <f>IF($Q$82,$M$82*$AE$82*$Y$82,0)</f>
        <v/>
      </c>
      <c r="AR82" t="n">
        <v>66.15546534355737</v>
      </c>
      <c r="AS82">
        <f>IF($S$82,$M$82*$AI$82*$W$82,0)</f>
        <v/>
      </c>
      <c r="AT82" t="n">
        <v>0</v>
      </c>
      <c r="AU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V82" t="b">
        <v>0</v>
      </c>
      <c r="AW82">
        <f>IF(AND($B$82&lt;0,$AU$82),4,$B$82)</f>
        <v/>
      </c>
      <c r="AX82" t="n">
        <v>2</v>
      </c>
      <c r="AY82">
        <f>IF($AW$82&lt;4,0,MIN(MAX(0.5,Canh_bao_vong!$D$4),MAX(IF(Vu_khi!$C$82="cal_406",Canh_bao_vong!$D$7,IF($AW$82&gt;=5,Canh_bao_vong!$D$9,Canh_bao_vong!$D$8)),Canh_bao_vong!$D$2+MAX(0,Vu_khi!$X$82)/MAX(0.1,Canh_bao_vong!$D$5))))</f>
        <v/>
      </c>
      <c r="AZ82" t="n">
        <v>0</v>
      </c>
      <c r="BA82" t="inlineStr"/>
      <c r="BB82" t="inlineStr">
        <is>
          <t>ok</t>
        </is>
      </c>
      <c r="BC82" t="inlineStr"/>
      <c r="BD82" t="n">
        <v>40</v>
      </c>
      <c r="BE82" t="n">
        <v>52</v>
      </c>
      <c r="BF82" t="n">
        <v>0.188</v>
      </c>
      <c r="BG82" t="n">
        <v>0.375</v>
      </c>
      <c r="BH82" t="n">
        <v>0.75</v>
      </c>
      <c r="BI82" t="n">
        <v>0.577</v>
      </c>
      <c r="BJ82" t="inlineStr">
        <is>
          <t>BOMB</t>
        </is>
      </c>
      <c r="BK82" t="inlineStr">
        <is>
          <t>ok</t>
        </is>
      </c>
      <c r="BL82" t="inlineStr">
        <is>
          <t>own line</t>
        </is>
      </c>
      <c r="BM82" t="inlineStr"/>
      <c r="BN82" t="inlineStr">
        <is>
          <t>Assets/MachineBrigade/Resources/Data/balance.json: weapons[id=guided_bomb] (lớp B trên 01_chien_dau/Vu_khi)</t>
        </is>
      </c>
      <c r="BO82" t="inlineStr"/>
    </row>
    <row r="83">
      <c r="A83" t="inlineStr">
        <is>
          <t>gun_57_air</t>
        </is>
      </c>
      <c r="B83" t="n">
        <v>2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6</v>
      </c>
      <c r="G83">
        <f>IF(Vu_khi!$S$83&gt;0,(Vu_khi!$S$83-1)*Vu_khi!$R$83+Vu_khi!$T$83,Vu_khi!$R$83+(Vu_khi!$P$83-1)*Vu_khi!$Q$83)</f>
        <v/>
      </c>
      <c r="H83" t="n">
        <v>4.9</v>
      </c>
      <c r="I83">
        <f>Vu_khi!$W$83*MAX(1,$E$83)</f>
        <v/>
      </c>
      <c r="J83" t="n">
        <v>420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85.71428571428571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0</v>
      </c>
      <c r="S83">
        <f>AND(NOT(Vu_khi!$AJ$83),OR(Vu_khi!$AC$83="Air",Vu_khi!$AC$83="All"))</f>
        <v/>
      </c>
      <c r="T83" t="b">
        <v>1</v>
      </c>
      <c r="U83">
        <f>INDEX(Bang_sat_thuong!$B$2:$B$7,MATCH(Vu_khi!$K$83,Bang_sat_thuong!$A$2:$A$7,0))</f>
        <v/>
      </c>
      <c r="V83" t="n">
        <v>0.45</v>
      </c>
      <c r="W83">
        <f>INDEX(Bang_sat_thuong!$C$2:$C$7,MATCH(Vu_khi!$K$83,Bang_sat_thuong!$A$2:$A$7,0))</f>
        <v/>
      </c>
      <c r="X83" t="n">
        <v>1.35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0.1</v>
      </c>
      <c r="AA83">
        <f>AND(Vu_khi!$K$83="Kinetic",NOT(Vu_khi!$AG$83))</f>
        <v/>
      </c>
      <c r="AB83" t="b">
        <v>0</v>
      </c>
      <c r="AC83">
        <f>IF(Vu_khi!$AG$83,INDEX(Bang_danh_noc!$C$2:$C$8,MIN(7,MAX(1,2-(Vu_khi!$L$83-0)+1))),INDEX(Bang_xuyen_giap!$C$2:$C$8,MIN(7,MAX(1,IF($O$83,MAX(1,2-(Vu_khi!$L$83-0)),2-(Vu_khi!$L$83-0))+1))))*IF($AA$83,INDEX(Bang_xuyen_qua!$C$2:$C$5,MIN(4,MAX(1,(Vu_khi!$L$83)-(0)-1))),1)</f>
        <v/>
      </c>
      <c r="AD83" t="n">
        <v>1.2</v>
      </c>
      <c r="AE83">
        <f>IF(Vu_khi!$AG$83,INDEX(Bang_danh_noc!$C$2:$C$8,MIN(7,MAX(1,2-(Vu_khi!$L$83-2)+1))),INDEX(Bang_xuyen_giap!$C$2:$C$8,MIN(7,MAX(1,IF($O$83,MAX(1,2-(Vu_khi!$L$83-2)),2-(Vu_khi!$L$83-2))+1))))*IF($AA$83,INDEX(Bang_xuyen_qua!$C$2:$C$5,MIN(4,MAX(1,(Vu_khi!$L$83)-(2)-1))),1)</f>
        <v/>
      </c>
      <c r="AF83" t="n">
        <v>0.85</v>
      </c>
      <c r="AG83">
        <f>IF(Vu_khi!$AG$83,INDEX(Bang_danh_noc!$C$2:$C$8,MIN(7,MAX(1,2-(Vu_khi!$L$83-4)+1))),INDEX(Bang_xuyen_giap!$C$2:$C$8,MIN(7,MAX(1,IF($O$83,MAX(1,2-(Vu_khi!$L$83-4)),2-(Vu_khi!$L$83-4))+1))))*IF($AA$83,INDEX(Bang_xuyen_qua!$C$2:$C$5,MIN(4,MAX(1,(Vu_khi!$L$83)-(4)-1))),1)</f>
        <v/>
      </c>
      <c r="AH83" t="n">
        <v>0.4</v>
      </c>
      <c r="AI83">
        <f>INDEX(Bang_xuyen_giap!$C$2:$C$8,MIN(7,MAX(1,MAX(1,2-(Vu_khi!$L$83-0))+1)))*IF($AA$83,INDEX(Bang_xuyen_qua!$C$2:$C$5,MIN(4,MAX(1,(Vu_khi!$L$83)-(0)-1))),1)</f>
        <v/>
      </c>
      <c r="AJ83" t="n">
        <v>1</v>
      </c>
      <c r="AK83">
        <f>IF($Q$83,$M$83*$AC$83*$U$83,0)</f>
        <v/>
      </c>
      <c r="AL83" t="n">
        <v>0</v>
      </c>
      <c r="AM83">
        <f>IF($Q$83,$M$83*$AE$83*$U$83,0)</f>
        <v/>
      </c>
      <c r="AN83" t="n">
        <v>0</v>
      </c>
      <c r="AO83">
        <f>IF($Q$83,$M$83*$AG$83*$U$83,0)</f>
        <v/>
      </c>
      <c r="AP83" t="n">
        <v>0</v>
      </c>
      <c r="AQ83">
        <f>IF($Q$83,$M$83*$AE$83*$Y$83,0)</f>
        <v/>
      </c>
      <c r="AR83" t="n">
        <v>0</v>
      </c>
      <c r="AS83">
        <f>IF($S$83,$M$83*$AI$83*$W$83,0)</f>
        <v/>
      </c>
      <c r="AT83" t="n">
        <v>115.7142857142857</v>
      </c>
      <c r="AU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V83" t="b">
        <v>0</v>
      </c>
      <c r="AW83">
        <f>IF(AND($B$83&lt;0,$AU$83),4,$B$83)</f>
        <v/>
      </c>
      <c r="AX83" t="n">
        <v>2</v>
      </c>
      <c r="AY83">
        <f>IF($AW$83&lt;4,0,MIN(MAX(0.5,Canh_bao_vong!$D$4),MAX(IF(Vu_khi!$C$83="cal_406",Canh_bao_vong!$D$7,IF($AW$83&gt;=5,Canh_bao_vong!$D$9,Canh_bao_vong!$D$8)),Canh_bao_vong!$D$2+MAX(0,Vu_khi!$X$83)/MAX(0.1,Canh_bao_vong!$D$5))))</f>
        <v/>
      </c>
      <c r="AZ83" t="n">
        <v>0</v>
      </c>
      <c r="BA83" t="n">
        <v>1.633333</v>
      </c>
      <c r="BB83" t="inlineStr">
        <is>
          <t>ok</t>
        </is>
      </c>
      <c r="BC83" t="inlineStr"/>
      <c r="BD83" t="n">
        <v>260</v>
      </c>
      <c r="BE83" t="n">
        <v>338</v>
      </c>
      <c r="BF83" t="n">
        <v>0.038</v>
      </c>
      <c r="BG83" t="n">
        <v>0.077</v>
      </c>
      <c r="BH83" t="n">
        <v>0.154</v>
      </c>
      <c r="BI83" t="n">
        <v>0.118</v>
      </c>
      <c r="BJ83" t="inlineStr">
        <is>
          <t>DIRECT_BULLET</t>
        </is>
      </c>
      <c r="BK83" t="inlineStr">
        <is>
          <t>ok</t>
        </is>
      </c>
      <c r="BL83" t="inlineStr">
        <is>
          <t>own line</t>
        </is>
      </c>
      <c r="BM83" t="inlineStr"/>
      <c r="BN83" t="inlineStr">
        <is>
          <t>Assets/MachineBrigade/Resources/Data/balance.json: weapons[id=gun_57_air] (lớp B trên 01_chien_dau/Vu_khi)</t>
        </is>
      </c>
      <c r="BO83" t="inlineStr"/>
    </row>
    <row r="84">
      <c r="A84" t="inlineStr">
        <is>
          <t>gun_57_auto</t>
        </is>
      </c>
      <c r="B84" t="n">
        <v>2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12</v>
      </c>
      <c r="G84">
        <f>IF(Vu_khi!$S$84&gt;0,(Vu_khi!$S$84-1)*Vu_khi!$R$84+Vu_khi!$T$84,Vu_khi!$R$84+(Vu_khi!$P$84-1)*Vu_khi!$Q$84)</f>
        <v/>
      </c>
      <c r="H84" t="n">
        <v>5.4</v>
      </c>
      <c r="I84">
        <f>Vu_khi!$W$84*MAX(1,$E$84)</f>
        <v/>
      </c>
      <c r="J84" t="n">
        <v>420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77.77777777777777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1.2</v>
      </c>
      <c r="W84">
        <f>INDEX(Bang_sat_thuong!$C$2:$C$7,MATCH(Vu_khi!$K$84,Bang_sat_thuong!$A$2:$A$7,0))</f>
        <v/>
      </c>
      <c r="X84" t="n">
        <v>0.3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0.7</v>
      </c>
      <c r="AA84">
        <f>AND(Vu_khi!$K$84="Kinetic",NOT(Vu_khi!$AG$84))</f>
        <v/>
      </c>
      <c r="AB84" t="b">
        <v>1</v>
      </c>
      <c r="AC84">
        <f>IF(Vu_khi!$AG$84,INDEX(Bang_danh_noc!$C$2:$C$8,MIN(7,MAX(1,2-(Vu_khi!$L$84-0)+1))),INDEX(Bang_xuyen_giap!$C$2:$C$8,MIN(7,MAX(1,IF($O$84,MAX(1,2-(Vu_khi!$L$84-0)),2-(Vu_khi!$L$84-0))+1))))*IF($AA$84,INDEX(Bang_xuyen_qua!$C$2:$C$5,MIN(4,MAX(1,(Vu_khi!$L$84)-(0)-1))),1)</f>
        <v/>
      </c>
      <c r="AD84" t="n">
        <v>1.2</v>
      </c>
      <c r="AE84">
        <f>IF(Vu_khi!$AG$84,INDEX(Bang_danh_noc!$C$2:$C$8,MIN(7,MAX(1,2-(Vu_khi!$L$84-2)+1))),INDEX(Bang_xuyen_giap!$C$2:$C$8,MIN(7,MAX(1,IF($O$84,MAX(1,2-(Vu_khi!$L$84-2)),2-(Vu_khi!$L$84-2))+1))))*IF($AA$84,INDEX(Bang_xuyen_qua!$C$2:$C$5,MIN(4,MAX(1,(Vu_khi!$L$84)-(2)-1))),1)</f>
        <v/>
      </c>
      <c r="AF84" t="n">
        <v>0.85</v>
      </c>
      <c r="AG84">
        <f>IF(Vu_khi!$AG$84,INDEX(Bang_danh_noc!$C$2:$C$8,MIN(7,MAX(1,2-(Vu_khi!$L$84-4)+1))),INDEX(Bang_xuyen_giap!$C$2:$C$8,MIN(7,MAX(1,IF($O$84,MAX(1,2-(Vu_khi!$L$84-4)),2-(Vu_khi!$L$84-4))+1))))*IF($AA$84,INDEX(Bang_xuyen_qua!$C$2:$C$5,MIN(4,MAX(1,(Vu_khi!$L$84)-(4)-1))),1)</f>
        <v/>
      </c>
      <c r="AH84" t="n">
        <v>0.4</v>
      </c>
      <c r="AI84">
        <f>INDEX(Bang_xuyen_giap!$C$2:$C$8,MIN(7,MAX(1,MAX(1,2-(Vu_khi!$L$84-0))+1)))*IF($AA$84,INDEX(Bang_xuyen_qua!$C$2:$C$5,MIN(4,MAX(1,(Vu_khi!$L$84)-(0)-1))),1)</f>
        <v/>
      </c>
      <c r="AJ84" t="n">
        <v>1</v>
      </c>
      <c r="AK84">
        <f>IF($Q$84,$M$84*$AC$84*$U$84,0)</f>
        <v/>
      </c>
      <c r="AL84" t="n">
        <v>112</v>
      </c>
      <c r="AM84">
        <f>IF($Q$84,$M$84*$AE$84*$U$84,0)</f>
        <v/>
      </c>
      <c r="AN84" t="n">
        <v>79.33333333333333</v>
      </c>
      <c r="AO84">
        <f>IF($Q$84,$M$84*$AG$84*$U$84,0)</f>
        <v/>
      </c>
      <c r="AP84" t="n">
        <v>37.33333333333333</v>
      </c>
      <c r="AQ84">
        <f>IF($Q$84,$M$84*$AE$84*$Y$84,0)</f>
        <v/>
      </c>
      <c r="AR84" t="n">
        <v>46.27777777777777</v>
      </c>
      <c r="AS84">
        <f>IF($S$84,$M$84*$AI$84*$W$84,0)</f>
        <v/>
      </c>
      <c r="AT84" t="n">
        <v>0</v>
      </c>
      <c r="AU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V84" t="b">
        <v>0</v>
      </c>
      <c r="AW84">
        <f>IF(AND($B$84&lt;0,$AU$84),4,$B$84)</f>
        <v/>
      </c>
      <c r="AX84" t="n">
        <v>2</v>
      </c>
      <c r="AY84">
        <f>IF($AW$84&lt;4,0,MIN(MAX(0.5,Canh_bao_vong!$D$4),MAX(IF(Vu_khi!$C$84="cal_406",Canh_bao_vong!$D$7,IF($AW$84&gt;=5,Canh_bao_vong!$D$9,Canh_bao_vong!$D$8)),Canh_bao_vong!$D$2+MAX(0,Vu_khi!$X$84)/MAX(0.1,Canh_bao_vong!$D$5))))</f>
        <v/>
      </c>
      <c r="AZ84" t="n">
        <v>0</v>
      </c>
      <c r="BA84" t="n">
        <v>1.8</v>
      </c>
      <c r="BB84" t="inlineStr">
        <is>
          <t>ok</t>
        </is>
      </c>
      <c r="BC84" t="inlineStr"/>
      <c r="BD84" t="n">
        <v>260</v>
      </c>
      <c r="BE84" t="n">
        <v>338</v>
      </c>
      <c r="BF84" t="n">
        <v>0.038</v>
      </c>
      <c r="BG84" t="n">
        <v>0.077</v>
      </c>
      <c r="BH84" t="n">
        <v>0.154</v>
      </c>
      <c r="BI84" t="n">
        <v>0.118</v>
      </c>
      <c r="BJ84" t="inlineStr">
        <is>
          <t>DIRECT_BULLET</t>
        </is>
      </c>
      <c r="BK84" t="inlineStr">
        <is>
          <t>ok</t>
        </is>
      </c>
      <c r="BL84" t="inlineStr">
        <is>
          <t>own line</t>
        </is>
      </c>
      <c r="BM84" t="inlineStr"/>
      <c r="BN84" t="inlineStr">
        <is>
          <t>Assets/MachineBrigade/Resources/Data/balance.json: weapons[id=gun_57_auto] (lớp B trên 01_chien_dau/Vu_khi)</t>
        </is>
      </c>
      <c r="BO84" t="inlineStr"/>
    </row>
    <row r="85">
      <c r="A85" t="inlineStr">
        <is>
          <t>gun_57mm</t>
        </is>
      </c>
      <c r="B85" t="n">
        <v>2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2</v>
      </c>
      <c r="G85">
        <f>IF(Vu_khi!$S$85&gt;0,(Vu_khi!$S$85-1)*Vu_khi!$R$85+Vu_khi!$T$85,Vu_khi!$R$85+(Vu_khi!$P$85-1)*Vu_khi!$Q$85)</f>
        <v/>
      </c>
      <c r="H85" t="n">
        <v>6.429</v>
      </c>
      <c r="I85">
        <f>Vu_khi!$W$85*MAX(1,$E$85)</f>
        <v/>
      </c>
      <c r="J85" t="n">
        <v>220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34.21994089282936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1.2</v>
      </c>
      <c r="W85">
        <f>INDEX(Bang_sat_thuong!$C$2:$C$7,MATCH(Vu_khi!$K$85,Bang_sat_thuong!$A$2:$A$7,0))</f>
        <v/>
      </c>
      <c r="X85" t="n">
        <v>0.3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0.7</v>
      </c>
      <c r="AA85">
        <f>AND(Vu_khi!$K$85="Kinetic",NOT(Vu_khi!$AG$85))</f>
        <v/>
      </c>
      <c r="AB85" t="b">
        <v>1</v>
      </c>
      <c r="AC85">
        <f>IF(Vu_khi!$AG$85,INDEX(Bang_danh_noc!$C$2:$C$8,MIN(7,MAX(1,2-(Vu_khi!$L$85-0)+1))),INDEX(Bang_xuyen_giap!$C$2:$C$8,MIN(7,MAX(1,IF($O$85,MAX(1,2-(Vu_khi!$L$85-0)),2-(Vu_khi!$L$85-0))+1))))*IF($AA$85,INDEX(Bang_xuyen_qua!$C$2:$C$5,MIN(4,MAX(1,(Vu_khi!$L$85)-(0)-1))),1)</f>
        <v/>
      </c>
      <c r="AD85" t="n">
        <v>1.2</v>
      </c>
      <c r="AE85">
        <f>IF(Vu_khi!$AG$85,INDEX(Bang_danh_noc!$C$2:$C$8,MIN(7,MAX(1,2-(Vu_khi!$L$85-2)+1))),INDEX(Bang_xuyen_giap!$C$2:$C$8,MIN(7,MAX(1,IF($O$85,MAX(1,2-(Vu_khi!$L$85-2)),2-(Vu_khi!$L$85-2))+1))))*IF($AA$85,INDEX(Bang_xuyen_qua!$C$2:$C$5,MIN(4,MAX(1,(Vu_khi!$L$85)-(2)-1))),1)</f>
        <v/>
      </c>
      <c r="AF85" t="n">
        <v>0.85</v>
      </c>
      <c r="AG85">
        <f>IF(Vu_khi!$AG$85,INDEX(Bang_danh_noc!$C$2:$C$8,MIN(7,MAX(1,2-(Vu_khi!$L$85-4)+1))),INDEX(Bang_xuyen_giap!$C$2:$C$8,MIN(7,MAX(1,IF($O$85,MAX(1,2-(Vu_khi!$L$85-4)),2-(Vu_khi!$L$85-4))+1))))*IF($AA$85,INDEX(Bang_xuyen_qua!$C$2:$C$5,MIN(4,MAX(1,(Vu_khi!$L$85)-(4)-1))),1)</f>
        <v/>
      </c>
      <c r="AH85" t="n">
        <v>0.4</v>
      </c>
      <c r="AI85">
        <f>INDEX(Bang_xuyen_giap!$C$2:$C$8,MIN(7,MAX(1,MAX(1,2-(Vu_khi!$L$85-0))+1)))*IF($AA$85,INDEX(Bang_xuyen_qua!$C$2:$C$5,MIN(4,MAX(1,(Vu_khi!$L$85)-(0)-1))),1)</f>
        <v/>
      </c>
      <c r="AJ85" t="n">
        <v>1</v>
      </c>
      <c r="AK85">
        <f>IF($Q$85,$M$85*$AC$85*$U$85,0)</f>
        <v/>
      </c>
      <c r="AL85" t="n">
        <v>49.27671488567428</v>
      </c>
      <c r="AM85">
        <f>IF($Q$85,$M$85*$AE$85*$U$85,0)</f>
        <v/>
      </c>
      <c r="AN85" t="n">
        <v>34.90433971068595</v>
      </c>
      <c r="AO85">
        <f>IF($Q$85,$M$85*$AG$85*$U$85,0)</f>
        <v/>
      </c>
      <c r="AP85" t="n">
        <v>16.42557162855809</v>
      </c>
      <c r="AQ85">
        <f>IF($Q$85,$M$85*$AE$85*$Y$85,0)</f>
        <v/>
      </c>
      <c r="AR85" t="n">
        <v>20.36086483123347</v>
      </c>
      <c r="AS85">
        <f>IF($S$85,$M$85*$AI$85*$W$85,0)</f>
        <v/>
      </c>
      <c r="AT85" t="n">
        <v>0</v>
      </c>
      <c r="AU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V85" t="b">
        <v>0</v>
      </c>
      <c r="AW85">
        <f>IF(AND($B$85&lt;0,$AU$85),4,$B$85)</f>
        <v/>
      </c>
      <c r="AX85" t="n">
        <v>2</v>
      </c>
      <c r="AY85">
        <f>IF($AW$85&lt;4,0,MIN(MAX(0.5,Canh_bao_vong!$D$4),MAX(IF(Vu_khi!$C$85="cal_406",Canh_bao_vong!$D$7,IF($AW$85&gt;=5,Canh_bao_vong!$D$9,Canh_bao_vong!$D$8)),Canh_bao_vong!$D$2+MAX(0,Vu_khi!$X$85)/MAX(0.1,Canh_bao_vong!$D$5))))</f>
        <v/>
      </c>
      <c r="AZ85" t="n">
        <v>0</v>
      </c>
      <c r="BA85" t="n">
        <v>6.429</v>
      </c>
      <c r="BB85" t="inlineStr">
        <is>
          <t>CHAM_QUA;LECH_DOT_1</t>
        </is>
      </c>
      <c r="BC85" t="inlineStr"/>
      <c r="BD85" t="n">
        <v>150</v>
      </c>
      <c r="BE85" t="n">
        <v>195</v>
      </c>
      <c r="BF85" t="n">
        <v>0.047</v>
      </c>
      <c r="BG85" t="n">
        <v>0.093</v>
      </c>
      <c r="BH85" t="n">
        <v>0.187</v>
      </c>
      <c r="BI85" t="n">
        <v>0.144</v>
      </c>
      <c r="BJ85" t="inlineStr">
        <is>
          <t>DIRECT_FAST</t>
        </is>
      </c>
      <c r="BK85" t="inlineStr">
        <is>
          <t>ok</t>
        </is>
      </c>
      <c r="BL85" t="inlineStr">
        <is>
          <t>own line</t>
        </is>
      </c>
      <c r="BM85" t="inlineStr"/>
      <c r="BN85" t="inlineStr">
        <is>
          <t>Assets/MachineBrigade/Resources/Data/balance.json: weapons[id=gun_57mm] (lớp B trên 01_chien_dau/Vu_khi)</t>
        </is>
      </c>
      <c r="BO85" t="inlineStr"/>
    </row>
    <row r="86">
      <c r="A86" t="inlineStr">
        <is>
          <t>gun_57mm_he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2</v>
      </c>
      <c r="G86">
        <f>IF(Vu_khi!$S$86&gt;0,(Vu_khi!$S$86-1)*Vu_khi!$R$86+Vu_khi!$T$86,Vu_khi!$R$86+(Vu_khi!$P$86-1)*Vu_khi!$Q$86)</f>
        <v/>
      </c>
      <c r="H86" t="n">
        <v>6.429</v>
      </c>
      <c r="I86">
        <f>Vu_khi!$W$86*MAX(1,$E$86)</f>
        <v/>
      </c>
      <c r="J86" t="n">
        <v>220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34.21994089282936</v>
      </c>
      <c r="O86">
        <f>OR(Vu_khi!$AG$86,Vu_khi!$AB$86&gt;0,Vu_khi!$AH$86,Vu_khi!$M$86="Bomb",Vu_khi!$M$86="Drone")</f>
        <v/>
      </c>
      <c r="P86" t="b">
        <v>0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1.6</v>
      </c>
      <c r="AA86">
        <f>AND(Vu_khi!$K$86="Kinetic",NOT(Vu_khi!$AG$86))</f>
        <v/>
      </c>
      <c r="AB86" t="b">
        <v>0</v>
      </c>
      <c r="AC86">
        <f>IF(Vu_khi!$AG$86,INDEX(Bang_danh_noc!$C$2:$C$8,MIN(7,MAX(1,2-(Vu_khi!$L$86-0)+1))),INDEX(Bang_xuyen_giap!$C$2:$C$8,MIN(7,MAX(1,IF($O$86,MAX(1,2-(Vu_khi!$L$86-0)),2-(Vu_khi!$L$86-0))+1))))*IF($AA$86,INDEX(Bang_xuyen_qua!$C$2:$C$5,MIN(4,MAX(1,(Vu_khi!$L$86)-(0)-1))),1)</f>
        <v/>
      </c>
      <c r="AD86" t="n">
        <v>1.2</v>
      </c>
      <c r="AE86">
        <f>IF(Vu_khi!$AG$86,INDEX(Bang_danh_noc!$C$2:$C$8,MIN(7,MAX(1,2-(Vu_khi!$L$86-2)+1))),INDEX(Bang_xuyen_giap!$C$2:$C$8,MIN(7,MAX(1,IF($O$86,MAX(1,2-(Vu_khi!$L$86-2)),2-(Vu_khi!$L$86-2))+1))))*IF($AA$86,INDEX(Bang_xuyen_qua!$C$2:$C$5,MIN(4,MAX(1,(Vu_khi!$L$86)-(2)-1))),1)</f>
        <v/>
      </c>
      <c r="AF86" t="n">
        <v>0.85</v>
      </c>
      <c r="AG86">
        <f>IF(Vu_khi!$AG$86,INDEX(Bang_danh_noc!$C$2:$C$8,MIN(7,MAX(1,2-(Vu_khi!$L$86-4)+1))),INDEX(Bang_xuyen_giap!$C$2:$C$8,MIN(7,MAX(1,IF($O$86,MAX(1,2-(Vu_khi!$L$86-4)),2-(Vu_khi!$L$86-4))+1))))*IF($AA$86,INDEX(Bang_xuyen_qua!$C$2:$C$5,MIN(4,MAX(1,(Vu_khi!$L$86)-(4)-1))),1)</f>
        <v/>
      </c>
      <c r="AH86" t="n">
        <v>0.4</v>
      </c>
      <c r="AI86">
        <f>INDEX(Bang_xuyen_giap!$C$2:$C$8,MIN(7,MAX(1,MAX(1,2-(Vu_khi!$L$86-0))+1)))*IF($AA$86,INDEX(Bang_xuyen_qua!$C$2:$C$5,MIN(4,MAX(1,(Vu_khi!$L$86)-(0)-1))),1)</f>
        <v/>
      </c>
      <c r="AJ86" t="n">
        <v>1</v>
      </c>
      <c r="AK86">
        <f>IF($Q$86,$M$86*$AC$86*$U$86,0)</f>
        <v/>
      </c>
      <c r="AL86" t="n">
        <v>41.06392907139524</v>
      </c>
      <c r="AM86">
        <f>IF($Q$86,$M$86*$AE$86*$U$86,0)</f>
        <v/>
      </c>
      <c r="AN86" t="n">
        <v>29.08694975890496</v>
      </c>
      <c r="AO86">
        <f>IF($Q$86,$M$86*$AG$86*$U$86,0)</f>
        <v/>
      </c>
      <c r="AP86" t="n">
        <v>13.68797635713175</v>
      </c>
      <c r="AQ86">
        <f>IF($Q$86,$M$86*$AE$86*$Y$86,0)</f>
        <v/>
      </c>
      <c r="AR86" t="n">
        <v>46.53911961424794</v>
      </c>
      <c r="AS86">
        <f>IF($S$86,$M$86*$AI$86*$W$86,0)</f>
        <v/>
      </c>
      <c r="AT86" t="n">
        <v>0</v>
      </c>
      <c r="AU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V86" t="b">
        <v>0</v>
      </c>
      <c r="AW86">
        <f>IF(AND($B$86&lt;0,$AU$86),4,$B$86)</f>
        <v/>
      </c>
      <c r="AX86" t="n">
        <v>2</v>
      </c>
      <c r="AY86">
        <f>IF($AW$86&lt;4,0,MIN(MAX(0.5,Canh_bao_vong!$D$4),MAX(IF(Vu_khi!$C$86="cal_406",Canh_bao_vong!$D$7,IF($AW$86&gt;=5,Canh_bao_vong!$D$9,Canh_bao_vong!$D$8)),Canh_bao_vong!$D$2+MAX(0,Vu_khi!$X$86)/MAX(0.1,Canh_bao_vong!$D$5))))</f>
        <v/>
      </c>
      <c r="AZ86" t="n">
        <v>0</v>
      </c>
      <c r="BD86" t="n">
        <v>150</v>
      </c>
      <c r="BE86" t="n">
        <v>195</v>
      </c>
      <c r="BF86" t="n">
        <v>0.047</v>
      </c>
      <c r="BG86" t="n">
        <v>0.093</v>
      </c>
      <c r="BH86" t="n">
        <v>0.187</v>
      </c>
      <c r="BI86" t="n">
        <v>0.144</v>
      </c>
      <c r="BJ86" t="inlineStr">
        <is>
          <t>DIRECT_FAST</t>
        </is>
      </c>
      <c r="BK86" t="inlineStr">
        <is>
          <t>ok</t>
        </is>
      </c>
      <c r="BL86" t="inlineStr">
        <is>
          <t>inherited from gun_57mm</t>
        </is>
      </c>
      <c r="BM86" t="inlineStr"/>
      <c r="BN86" t="inlineStr">
        <is>
          <t>Assets/MachineBrigade/Resources/Data/balance.json: weapons[id=gun_57mm_he] (lớp B trên 01_chien_dau/Vu_khi)</t>
        </is>
      </c>
      <c r="BO86" t="inlineStr"/>
    </row>
    <row r="87">
      <c r="A87" t="inlineStr">
        <is>
          <t>gun_100_river</t>
        </is>
      </c>
      <c r="B87" t="n">
        <v>2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1</v>
      </c>
      <c r="G87">
        <f>IF(Vu_khi!$S$87&gt;0,(Vu_khi!$S$87-1)*Vu_khi!$R$87+Vu_khi!$T$87,Vu_khi!$R$87+(Vu_khi!$P$87-1)*Vu_khi!$Q$87)</f>
        <v/>
      </c>
      <c r="H87" t="n">
        <v>4.286</v>
      </c>
      <c r="I87">
        <f>Vu_khi!$W$87*MAX(1,$E$87)</f>
        <v/>
      </c>
      <c r="J87" t="n">
        <v>229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53.42977134857676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1.6</v>
      </c>
      <c r="AA87">
        <f>AND(Vu_khi!$K$87="Kinetic",NOT(Vu_khi!$AG$87))</f>
        <v/>
      </c>
      <c r="AB87" t="b">
        <v>0</v>
      </c>
      <c r="AC87">
        <f>IF(Vu_khi!$AG$87,INDEX(Bang_danh_noc!$C$2:$C$8,MIN(7,MAX(1,2-(Vu_khi!$L$87-0)+1))),INDEX(Bang_xuyen_giap!$C$2:$C$8,MIN(7,MAX(1,IF($O$87,MAX(1,2-(Vu_khi!$L$87-0)),2-(Vu_khi!$L$87-0))+1))))*IF($AA$87,INDEX(Bang_xuyen_qua!$C$2:$C$5,MIN(4,MAX(1,(Vu_khi!$L$87)-(0)-1))),1)</f>
        <v/>
      </c>
      <c r="AD87" t="n">
        <v>1.2</v>
      </c>
      <c r="AE87">
        <f>IF(Vu_khi!$AG$87,INDEX(Bang_danh_noc!$C$2:$C$8,MIN(7,MAX(1,2-(Vu_khi!$L$87-2)+1))),INDEX(Bang_xuyen_giap!$C$2:$C$8,MIN(7,MAX(1,IF($O$87,MAX(1,2-(Vu_khi!$L$87-2)),2-(Vu_khi!$L$87-2))+1))))*IF($AA$87,INDEX(Bang_xuyen_qua!$C$2:$C$5,MIN(4,MAX(1,(Vu_khi!$L$87)-(2)-1))),1)</f>
        <v/>
      </c>
      <c r="AF87" t="n">
        <v>0.85</v>
      </c>
      <c r="AG87">
        <f>IF(Vu_khi!$AG$87,INDEX(Bang_danh_noc!$C$2:$C$8,MIN(7,MAX(1,2-(Vu_khi!$L$87-4)+1))),INDEX(Bang_xuyen_giap!$C$2:$C$8,MIN(7,MAX(1,IF($O$87,MAX(1,2-(Vu_khi!$L$87-4)),2-(Vu_khi!$L$87-4))+1))))*IF($AA$87,INDEX(Bang_xuyen_qua!$C$2:$C$5,MIN(4,MAX(1,(Vu_khi!$L$87)-(4)-1))),1)</f>
        <v/>
      </c>
      <c r="AH87" t="n">
        <v>0.4</v>
      </c>
      <c r="AI87">
        <f>INDEX(Bang_xuyen_giap!$C$2:$C$8,MIN(7,MAX(1,MAX(1,2-(Vu_khi!$L$87-0))+1)))*IF($AA$87,INDEX(Bang_xuyen_qua!$C$2:$C$5,MIN(4,MAX(1,(Vu_khi!$L$87)-(0)-1))),1)</f>
        <v/>
      </c>
      <c r="AJ87" t="n">
        <v>1</v>
      </c>
      <c r="AK87">
        <f>IF($Q$87,$M$87*$AC$87*$U$87,0)</f>
        <v/>
      </c>
      <c r="AL87" t="n">
        <v>64.11572561829212</v>
      </c>
      <c r="AM87">
        <f>IF($Q$87,$M$87*$AE$87*$U$87,0)</f>
        <v/>
      </c>
      <c r="AN87" t="n">
        <v>45.41530564629025</v>
      </c>
      <c r="AO87">
        <f>IF($Q$87,$M$87*$AG$87*$U$87,0)</f>
        <v/>
      </c>
      <c r="AP87" t="n">
        <v>21.37190853943071</v>
      </c>
      <c r="AQ87">
        <f>IF($Q$87,$M$87*$AE$87*$Y$87,0)</f>
        <v/>
      </c>
      <c r="AR87" t="n">
        <v>72.6644890340644</v>
      </c>
      <c r="AS87">
        <f>IF($S$87,$M$87*$AI$87*$W$87,0)</f>
        <v/>
      </c>
      <c r="AT87" t="n">
        <v>0</v>
      </c>
      <c r="AU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V87" t="b">
        <v>0</v>
      </c>
      <c r="AW87">
        <f>IF(AND($B$87&lt;0,$AU$87),4,$B$87)</f>
        <v/>
      </c>
      <c r="AX87" t="n">
        <v>2</v>
      </c>
      <c r="AY87">
        <f>IF($AW$87&lt;4,0,MIN(MAX(0.5,Canh_bao_vong!$D$4),MAX(IF(Vu_khi!$C$87="cal_406",Canh_bao_vong!$D$7,IF($AW$87&gt;=5,Canh_bao_vong!$D$9,Canh_bao_vong!$D$8)),Canh_bao_vong!$D$2+MAX(0,Vu_khi!$X$87)/MAX(0.1,Canh_bao_vong!$D$5))))</f>
        <v/>
      </c>
      <c r="AZ87" t="n">
        <v>0</v>
      </c>
      <c r="BA87" t="n">
        <v>4.000267</v>
      </c>
      <c r="BB87" t="inlineStr">
        <is>
          <t>CHAM_QUA</t>
        </is>
      </c>
      <c r="BC87" t="inlineStr"/>
      <c r="BD87" t="n">
        <v>100</v>
      </c>
      <c r="BE87" t="n">
        <v>130</v>
      </c>
      <c r="BF87" t="n">
        <v>0.175</v>
      </c>
      <c r="BG87" t="n">
        <v>0.35</v>
      </c>
      <c r="BH87" t="n">
        <v>0.7</v>
      </c>
      <c r="BI87" t="n">
        <v>0.538</v>
      </c>
      <c r="BJ87" t="inlineStr">
        <is>
          <t>NAVAL_DIRECT</t>
        </is>
      </c>
      <c r="BK87" t="inlineStr">
        <is>
          <t>ok</t>
        </is>
      </c>
      <c r="BL87" t="inlineStr">
        <is>
          <t>own line</t>
        </is>
      </c>
      <c r="BM87" t="inlineStr"/>
      <c r="BN87" t="inlineStr">
        <is>
          <t>Assets/MachineBrigade/Resources/Data/balance.json: weapons[id=gun_100_river] (lớp B trên 01_chien_dau/Vu_khi)</t>
        </is>
      </c>
      <c r="BO87" t="inlineStr"/>
    </row>
    <row r="88">
      <c r="A88" t="inlineStr">
        <is>
          <t>gun_105_apfsds</t>
        </is>
      </c>
      <c r="B88" t="n">
        <v>3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1</v>
      </c>
      <c r="G88">
        <f>IF(Vu_khi!$S$88&gt;0,(Vu_khi!$S$88-1)*Vu_khi!$R$88+Vu_khi!$T$88,Vu_khi!$R$88+(Vu_khi!$P$88-1)*Vu_khi!$Q$88)</f>
        <v/>
      </c>
      <c r="H88" t="n">
        <v>5.583</v>
      </c>
      <c r="I88">
        <f>Vu_khi!$W$88*MAX(1,$E$88)</f>
        <v/>
      </c>
      <c r="J88" t="n">
        <v>371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66.45172846140068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1.2</v>
      </c>
      <c r="W88">
        <f>INDEX(Bang_sat_thuong!$C$2:$C$7,MATCH(Vu_khi!$K$88,Bang_sat_thuong!$A$2:$A$7,0))</f>
        <v/>
      </c>
      <c r="X88" t="n">
        <v>0.3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0.7</v>
      </c>
      <c r="AA88">
        <f>AND(Vu_khi!$K$88="Kinetic",NOT(Vu_khi!$AG$88))</f>
        <v/>
      </c>
      <c r="AB88" t="b">
        <v>1</v>
      </c>
      <c r="AC88">
        <f>IF(Vu_khi!$AG$88,INDEX(Bang_danh_noc!$C$2:$C$8,MIN(7,MAX(1,2-(Vu_khi!$L$88-0)+1))),INDEX(Bang_xuyen_giap!$C$2:$C$8,MIN(7,MAX(1,IF($O$88,MAX(1,2-(Vu_khi!$L$88-0)),2-(Vu_khi!$L$88-0))+1))))*IF($AA$88,INDEX(Bang_xuyen_qua!$C$2:$C$5,MIN(4,MAX(1,(Vu_khi!$L$88)-(0)-1))),1)</f>
        <v/>
      </c>
      <c r="AD88" t="n">
        <v>0.8999999999999999</v>
      </c>
      <c r="AE88">
        <f>IF(Vu_khi!$AG$88,INDEX(Bang_danh_noc!$C$2:$C$8,MIN(7,MAX(1,2-(Vu_khi!$L$88-2)+1))),INDEX(Bang_xuyen_giap!$C$2:$C$8,MIN(7,MAX(1,IF($O$88,MAX(1,2-(Vu_khi!$L$88-2)),2-(Vu_khi!$L$88-2))+1))))*IF($AA$88,INDEX(Bang_xuyen_qua!$C$2:$C$5,MIN(4,MAX(1,(Vu_khi!$L$88)-(2)-1))),1)</f>
        <v/>
      </c>
      <c r="AF88" t="n">
        <v>1.14</v>
      </c>
      <c r="AG88">
        <f>IF(Vu_khi!$AG$88,INDEX(Bang_danh_noc!$C$2:$C$8,MIN(7,MAX(1,2-(Vu_khi!$L$88-4)+1))),INDEX(Bang_xuyen_giap!$C$2:$C$8,MIN(7,MAX(1,IF($O$88,MAX(1,2-(Vu_khi!$L$88-4)),2-(Vu_khi!$L$88-4))+1))))*IF($AA$88,INDEX(Bang_xuyen_qua!$C$2:$C$5,MIN(4,MAX(1,(Vu_khi!$L$88)-(4)-1))),1)</f>
        <v/>
      </c>
      <c r="AH88" t="n">
        <v>1</v>
      </c>
      <c r="AI88">
        <f>INDEX(Bang_xuyen_giap!$C$2:$C$8,MIN(7,MAX(1,MAX(1,2-(Vu_khi!$L$88-0))+1)))*IF($AA$88,INDEX(Bang_xuyen_qua!$C$2:$C$5,MIN(4,MAX(1,(Vu_khi!$L$88)-(0)-1))),1)</f>
        <v/>
      </c>
      <c r="AJ88" t="n">
        <v>0.75</v>
      </c>
      <c r="AK88">
        <f>IF($Q$88,$M$88*$AC$88*$U$88,0)</f>
        <v/>
      </c>
      <c r="AL88" t="n">
        <v>71.76786673831272</v>
      </c>
      <c r="AM88">
        <f>IF($Q$88,$M$88*$AE$88*$U$88,0)</f>
        <v/>
      </c>
      <c r="AN88" t="n">
        <v>90.90596453519612</v>
      </c>
      <c r="AO88">
        <f>IF($Q$88,$M$88*$AG$88*$U$88,0)</f>
        <v/>
      </c>
      <c r="AP88" t="n">
        <v>79.7420741536808</v>
      </c>
      <c r="AQ88">
        <f>IF($Q$88,$M$88*$AE$88*$Y$88,0)</f>
        <v/>
      </c>
      <c r="AR88" t="n">
        <v>53.02847931219774</v>
      </c>
      <c r="AS88">
        <f>IF($S$88,$M$88*$AI$88*$W$88,0)</f>
        <v/>
      </c>
      <c r="AT88" t="n">
        <v>0</v>
      </c>
      <c r="AU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V88" t="b">
        <v>0</v>
      </c>
      <c r="AW88">
        <f>IF(AND($B$88&lt;0,$AU$88),4,$B$88)</f>
        <v/>
      </c>
      <c r="AX88" t="n">
        <v>3</v>
      </c>
      <c r="AY88">
        <f>IF($AW$88&lt;4,0,MIN(MAX(0.5,Canh_bao_vong!$D$4),MAX(IF(Vu_khi!$C$88="cal_406",Canh_bao_vong!$D$7,IF($AW$88&gt;=5,Canh_bao_vong!$D$9,Canh_bao_vong!$D$8)),Canh_bao_vong!$D$2+MAX(0,Vu_khi!$X$88)/MAX(0.1,Canh_bao_vong!$D$5))))</f>
        <v/>
      </c>
      <c r="AZ88" t="n">
        <v>0</v>
      </c>
      <c r="BA88" t="n">
        <v>0.455945</v>
      </c>
      <c r="BB88" t="inlineStr">
        <is>
          <t>NHANH_QUA;LECH_DOT_1</t>
        </is>
      </c>
      <c r="BC88" t="inlineStr"/>
      <c r="BD88" t="n">
        <v>260</v>
      </c>
      <c r="BE88" t="n">
        <v>338</v>
      </c>
      <c r="BF88" t="n">
        <v>0.044</v>
      </c>
      <c r="BG88" t="n">
        <v>0.08799999999999999</v>
      </c>
      <c r="BH88" t="n">
        <v>0.177</v>
      </c>
      <c r="BI88" t="n">
        <v>0.136</v>
      </c>
      <c r="BJ88" t="inlineStr">
        <is>
          <t>DIRECT_FAST</t>
        </is>
      </c>
      <c r="BK88" t="inlineStr">
        <is>
          <t>ok</t>
        </is>
      </c>
      <c r="BL88" t="inlineStr">
        <is>
          <t>own line</t>
        </is>
      </c>
      <c r="BM88" t="inlineStr"/>
      <c r="BN88" t="inlineStr">
        <is>
          <t>Assets/MachineBrigade/Resources/Data/balance.json: weapons[id=gun_105_apfsds] (lớp B trên 01_chien_dau/Vu_khi)</t>
        </is>
      </c>
      <c r="BO88" t="inlineStr"/>
    </row>
    <row r="89">
      <c r="A89" t="inlineStr">
        <is>
          <t>gun_105_apfsds_he</t>
        </is>
      </c>
      <c r="B89" t="n">
        <v>3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5.583</v>
      </c>
      <c r="I89">
        <f>Vu_khi!$W$89*MAX(1,$E$89)</f>
        <v/>
      </c>
      <c r="J89" t="n">
        <v>371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66.45172846140068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1.6</v>
      </c>
      <c r="AA89">
        <f>AND(Vu_khi!$K$89="Kinetic",NOT(Vu_khi!$AG$89))</f>
        <v/>
      </c>
      <c r="AB89" t="b">
        <v>0</v>
      </c>
      <c r="AC89">
        <f>IF(Vu_khi!$AG$89,INDEX(Bang_danh_noc!$C$2:$C$8,MIN(7,MAX(1,2-(Vu_khi!$L$89-0)+1))),INDEX(Bang_xuyen_giap!$C$2:$C$8,MIN(7,MAX(1,IF($O$89,MAX(1,2-(Vu_khi!$L$89-0)),2-(Vu_khi!$L$89-0))+1))))*IF($AA$89,INDEX(Bang_xuyen_qua!$C$2:$C$5,MIN(4,MAX(1,(Vu_khi!$L$89)-(0)-1))),1)</f>
        <v/>
      </c>
      <c r="AD89" t="n">
        <v>1.2</v>
      </c>
      <c r="AE89">
        <f>IF(Vu_khi!$AG$89,INDEX(Bang_danh_noc!$C$2:$C$8,MIN(7,MAX(1,2-(Vu_khi!$L$89-2)+1))),INDEX(Bang_xuyen_giap!$C$2:$C$8,MIN(7,MAX(1,IF($O$89,MAX(1,2-(Vu_khi!$L$89-2)),2-(Vu_khi!$L$89-2))+1))))*IF($AA$89,INDEX(Bang_xuyen_qua!$C$2:$C$5,MIN(4,MAX(1,(Vu_khi!$L$89)-(2)-1))),1)</f>
        <v/>
      </c>
      <c r="AF89" t="n">
        <v>0.85</v>
      </c>
      <c r="AG89">
        <f>IF(Vu_khi!$AG$89,INDEX(Bang_danh_noc!$C$2:$C$8,MIN(7,MAX(1,2-(Vu_khi!$L$89-4)+1))),INDEX(Bang_xuyen_giap!$C$2:$C$8,MIN(7,MAX(1,IF($O$89,MAX(1,2-(Vu_khi!$L$89-4)),2-(Vu_khi!$L$89-4))+1))))*IF($AA$89,INDEX(Bang_xuyen_qua!$C$2:$C$5,MIN(4,MAX(1,(Vu_khi!$L$89)-(4)-1))),1)</f>
        <v/>
      </c>
      <c r="AH89" t="n">
        <v>0.4</v>
      </c>
      <c r="AI89">
        <f>INDEX(Bang_xuyen_giap!$C$2:$C$8,MIN(7,MAX(1,MAX(1,2-(Vu_khi!$L$89-0))+1)))*IF($AA$89,INDEX(Bang_xuyen_qua!$C$2:$C$5,MIN(4,MAX(1,(Vu_khi!$L$89)-(0)-1))),1)</f>
        <v/>
      </c>
      <c r="AJ89" t="n">
        <v>1</v>
      </c>
      <c r="AK89">
        <f>IF($Q$89,$M$89*$AC$89*$U$89,0)</f>
        <v/>
      </c>
      <c r="AL89" t="n">
        <v>79.7420741536808</v>
      </c>
      <c r="AM89">
        <f>IF($Q$89,$M$89*$AE$89*$U$89,0)</f>
        <v/>
      </c>
      <c r="AN89" t="n">
        <v>56.48396919219057</v>
      </c>
      <c r="AO89">
        <f>IF($Q$89,$M$89*$AG$89*$U$89,0)</f>
        <v/>
      </c>
      <c r="AP89" t="n">
        <v>26.58069138456027</v>
      </c>
      <c r="AQ89">
        <f>IF($Q$89,$M$89*$AE$89*$Y$89,0)</f>
        <v/>
      </c>
      <c r="AR89" t="n">
        <v>90.37435070750493</v>
      </c>
      <c r="AS89">
        <f>IF($S$89,$M$89*$AI$89*$W$89,0)</f>
        <v/>
      </c>
      <c r="AT89" t="n">
        <v>0</v>
      </c>
      <c r="AU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V89" t="b">
        <v>0</v>
      </c>
      <c r="AW89">
        <f>IF(AND($B$89&lt;0,$AU$89),4,$B$89)</f>
        <v/>
      </c>
      <c r="AX89" t="n">
        <v>3</v>
      </c>
      <c r="AY89">
        <f>IF($AW$89&lt;4,0,MIN(MAX(0.5,Canh_bao_vong!$D$4),MAX(IF(Vu_khi!$C$89="cal_406",Canh_bao_vong!$D$7,IF($AW$89&gt;=5,Canh_bao_vong!$D$9,Canh_bao_vong!$D$8)),Canh_bao_vong!$D$2+MAX(0,Vu_khi!$X$89)/MAX(0.1,Canh_bao_vong!$D$5))))</f>
        <v/>
      </c>
      <c r="AZ89" t="n">
        <v>0</v>
      </c>
      <c r="BD89" t="n">
        <v>260</v>
      </c>
      <c r="BE89" t="n">
        <v>338</v>
      </c>
      <c r="BF89" t="n">
        <v>0.044</v>
      </c>
      <c r="BG89" t="n">
        <v>0.08799999999999999</v>
      </c>
      <c r="BH89" t="n">
        <v>0.177</v>
      </c>
      <c r="BI89" t="n">
        <v>0.136</v>
      </c>
      <c r="BJ89" t="inlineStr">
        <is>
          <t>DIRECT_FAST</t>
        </is>
      </c>
      <c r="BK89" t="inlineStr">
        <is>
          <t>ok</t>
        </is>
      </c>
      <c r="BL89" t="inlineStr">
        <is>
          <t>family 2a75_125_mm_he</t>
        </is>
      </c>
      <c r="BM89" t="inlineStr"/>
      <c r="BN89" t="inlineStr">
        <is>
          <t>Assets/MachineBrigade/Resources/Data/balance.json: weapons[id=gun_105_apfsds_he] (lớp B trên 01_chien_dau/Vu_khi)</t>
        </is>
      </c>
      <c r="BO89" t="inlineStr"/>
    </row>
    <row r="90">
      <c r="A90" t="inlineStr">
        <is>
          <t>gun_105_bunker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1</v>
      </c>
      <c r="G90">
        <f>IF(Vu_khi!$S$90&gt;0,(Vu_khi!$S$90-1)*Vu_khi!$R$90+Vu_khi!$T$90,Vu_khi!$R$90+(Vu_khi!$P$90-1)*Vu_khi!$Q$90)</f>
        <v/>
      </c>
      <c r="H90" t="n">
        <v>4.536</v>
      </c>
      <c r="I90">
        <f>Vu_khi!$W$90*MAX(1,$E$90)</f>
        <v/>
      </c>
      <c r="J90" t="n">
        <v>250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55.11463844797179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1.2</v>
      </c>
      <c r="W90">
        <f>INDEX(Bang_sat_thuong!$C$2:$C$7,MATCH(Vu_khi!$K$90,Bang_sat_thuong!$A$2:$A$7,0))</f>
        <v/>
      </c>
      <c r="X90" t="n">
        <v>0.3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0.7</v>
      </c>
      <c r="AA90">
        <f>AND(Vu_khi!$K$90="Kinetic",NOT(Vu_khi!$AG$90))</f>
        <v/>
      </c>
      <c r="AB90" t="b">
        <v>1</v>
      </c>
      <c r="AC90">
        <f>IF(Vu_khi!$AG$90,INDEX(Bang_danh_noc!$C$2:$C$8,MIN(7,MAX(1,2-(Vu_khi!$L$90-0)+1))),INDEX(Bang_xuyen_giap!$C$2:$C$8,MIN(7,MAX(1,IF($O$90,MAX(1,2-(Vu_khi!$L$90-0)),2-(Vu_khi!$L$90-0))+1))))*IF($AA$90,INDEX(Bang_xuyen_qua!$C$2:$C$5,MIN(4,MAX(1,(Vu_khi!$L$90)-(0)-1))),1)</f>
        <v/>
      </c>
      <c r="AD90" t="n">
        <v>1.14</v>
      </c>
      <c r="AE90">
        <f>IF(Vu_khi!$AG$90,INDEX(Bang_danh_noc!$C$2:$C$8,MIN(7,MAX(1,2-(Vu_khi!$L$90-2)+1))),INDEX(Bang_xuyen_giap!$C$2:$C$8,MIN(7,MAX(1,IF($O$90,MAX(1,2-(Vu_khi!$L$90-2)),2-(Vu_khi!$L$90-2))+1))))*IF($AA$90,INDEX(Bang_xuyen_qua!$C$2:$C$5,MIN(4,MAX(1,(Vu_khi!$L$90)-(2)-1))),1)</f>
        <v/>
      </c>
      <c r="AF90" t="n">
        <v>1</v>
      </c>
      <c r="AG90">
        <f>IF(Vu_khi!$AG$90,INDEX(Bang_danh_noc!$C$2:$C$8,MIN(7,MAX(1,2-(Vu_khi!$L$90-4)+1))),INDEX(Bang_xuyen_giap!$C$2:$C$8,MIN(7,MAX(1,IF($O$90,MAX(1,2-(Vu_khi!$L$90-4)),2-(Vu_khi!$L$90-4))+1))))*IF($AA$90,INDEX(Bang_xuyen_qua!$C$2:$C$5,MIN(4,MAX(1,(Vu_khi!$L$90)-(4)-1))),1)</f>
        <v/>
      </c>
      <c r="AH90" t="n">
        <v>0.65</v>
      </c>
      <c r="AI90">
        <f>INDEX(Bang_xuyen_giap!$C$2:$C$8,MIN(7,MAX(1,MAX(1,2-(Vu_khi!$L$90-0))+1)))*IF($AA$90,INDEX(Bang_xuyen_qua!$C$2:$C$5,MIN(4,MAX(1,(Vu_khi!$L$90)-(0)-1))),1)</f>
        <v/>
      </c>
      <c r="AJ90" t="n">
        <v>0.95</v>
      </c>
      <c r="AK90">
        <f>IF($Q$90,$M$90*$AC$90*$U$90,0)</f>
        <v/>
      </c>
      <c r="AL90" t="n">
        <v>75.39682539682539</v>
      </c>
      <c r="AM90">
        <f>IF($Q$90,$M$90*$AE$90*$U$90,0)</f>
        <v/>
      </c>
      <c r="AN90" t="n">
        <v>66.13756613756614</v>
      </c>
      <c r="AO90">
        <f>IF($Q$90,$M$90*$AG$90*$U$90,0)</f>
        <v/>
      </c>
      <c r="AP90" t="n">
        <v>42.98941798941799</v>
      </c>
      <c r="AQ90">
        <f>IF($Q$90,$M$90*$AE$90*$Y$90,0)</f>
        <v/>
      </c>
      <c r="AR90" t="n">
        <v>38.58024691358025</v>
      </c>
      <c r="AS90">
        <f>IF($S$90,$M$90*$AI$90*$W$90,0)</f>
        <v/>
      </c>
      <c r="AT90" t="n">
        <v>0</v>
      </c>
      <c r="AU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V90" t="b">
        <v>0</v>
      </c>
      <c r="AW90">
        <f>IF(AND($B$90&lt;0,$AU$90),4,$B$90)</f>
        <v/>
      </c>
      <c r="AX90" t="n">
        <v>2</v>
      </c>
      <c r="AY90">
        <f>IF($AW$90&lt;4,0,MIN(MAX(0.5,Canh_bao_vong!$D$4),MAX(IF(Vu_khi!$C$90="cal_406",Canh_bao_vong!$D$7,IF($AW$90&gt;=5,Canh_bao_vong!$D$9,Canh_bao_vong!$D$8)),Canh_bao_vong!$D$2+MAX(0,Vu_khi!$X$90)/MAX(0.1,Canh_bao_vong!$D$5))))</f>
        <v/>
      </c>
      <c r="AZ90" t="n">
        <v>0</v>
      </c>
      <c r="BA90" t="n">
        <v>0.5292</v>
      </c>
      <c r="BB90" t="inlineStr">
        <is>
          <t>NHANH_QUA</t>
        </is>
      </c>
      <c r="BC90" t="inlineStr"/>
      <c r="BD90" t="n">
        <v>190</v>
      </c>
      <c r="BE90" t="n">
        <v>247</v>
      </c>
      <c r="BF90" t="n">
        <v>0.045</v>
      </c>
      <c r="BG90" t="n">
        <v>0.089</v>
      </c>
      <c r="BH90" t="n">
        <v>0.179</v>
      </c>
      <c r="BI90" t="n">
        <v>0.138</v>
      </c>
      <c r="BJ90" t="inlineStr">
        <is>
          <t>DIRECT_FAST</t>
        </is>
      </c>
      <c r="BK90" t="inlineStr">
        <is>
          <t>ok</t>
        </is>
      </c>
      <c r="BL90" t="inlineStr">
        <is>
          <t>family l7_105_mm</t>
        </is>
      </c>
      <c r="BM90" t="inlineStr"/>
      <c r="BN90" t="inlineStr">
        <is>
          <t>Assets/MachineBrigade/Resources/Data/balance.json: weapons[id=gun_105_bunker] (lớp B trên 01_chien_dau/Vu_khi)</t>
        </is>
      </c>
      <c r="BO90" t="inlineStr"/>
    </row>
    <row r="91">
      <c r="A91" t="inlineStr">
        <is>
          <t>gun_105_bunker_he</t>
        </is>
      </c>
      <c r="B91" t="n">
        <v>2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</v>
      </c>
      <c r="G91">
        <f>IF(Vu_khi!$S$91&gt;0,(Vu_khi!$S$91-1)*Vu_khi!$R$91+Vu_khi!$T$91,Vu_khi!$R$91+(Vu_khi!$P$91-1)*Vu_khi!$Q$91)</f>
        <v/>
      </c>
      <c r="H91" t="n">
        <v>4.536</v>
      </c>
      <c r="I91">
        <f>Vu_khi!$W$91*MAX(1,$E$91)</f>
        <v/>
      </c>
      <c r="J91" t="n">
        <v>300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66.13756613756614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1.6</v>
      </c>
      <c r="AA91">
        <f>AND(Vu_khi!$K$91="Kinetic",NOT(Vu_khi!$AG$91))</f>
        <v/>
      </c>
      <c r="AB91" t="b">
        <v>0</v>
      </c>
      <c r="AC91">
        <f>IF(Vu_khi!$AG$91,INDEX(Bang_danh_noc!$C$2:$C$8,MIN(7,MAX(1,2-(Vu_khi!$L$91-0)+1))),INDEX(Bang_xuyen_giap!$C$2:$C$8,MIN(7,MAX(1,IF($O$91,MAX(1,2-(Vu_khi!$L$91-0)),2-(Vu_khi!$L$91-0))+1))))*IF($AA$91,INDEX(Bang_xuyen_qua!$C$2:$C$5,MIN(4,MAX(1,(Vu_khi!$L$91)-(0)-1))),1)</f>
        <v/>
      </c>
      <c r="AD91" t="n">
        <v>1.2</v>
      </c>
      <c r="AE91">
        <f>IF(Vu_khi!$AG$91,INDEX(Bang_danh_noc!$C$2:$C$8,MIN(7,MAX(1,2-(Vu_khi!$L$91-2)+1))),INDEX(Bang_xuyen_giap!$C$2:$C$8,MIN(7,MAX(1,IF($O$91,MAX(1,2-(Vu_khi!$L$91-2)),2-(Vu_khi!$L$91-2))+1))))*IF($AA$91,INDEX(Bang_xuyen_qua!$C$2:$C$5,MIN(4,MAX(1,(Vu_khi!$L$91)-(2)-1))),1)</f>
        <v/>
      </c>
      <c r="AF91" t="n">
        <v>0.85</v>
      </c>
      <c r="AG91">
        <f>IF(Vu_khi!$AG$91,INDEX(Bang_danh_noc!$C$2:$C$8,MIN(7,MAX(1,2-(Vu_khi!$L$91-4)+1))),INDEX(Bang_xuyen_giap!$C$2:$C$8,MIN(7,MAX(1,IF($O$91,MAX(1,2-(Vu_khi!$L$91-4)),2-(Vu_khi!$L$91-4))+1))))*IF($AA$91,INDEX(Bang_xuyen_qua!$C$2:$C$5,MIN(4,MAX(1,(Vu_khi!$L$91)-(4)-1))),1)</f>
        <v/>
      </c>
      <c r="AH91" t="n">
        <v>0.4</v>
      </c>
      <c r="AI91">
        <f>INDEX(Bang_xuyen_giap!$C$2:$C$8,MIN(7,MAX(1,MAX(1,2-(Vu_khi!$L$91-0))+1)))*IF($AA$91,INDEX(Bang_xuyen_qua!$C$2:$C$5,MIN(4,MAX(1,(Vu_khi!$L$91)-(0)-1))),1)</f>
        <v/>
      </c>
      <c r="AJ91" t="n">
        <v>1</v>
      </c>
      <c r="AK91">
        <f>IF($Q$91,$M$91*$AC$91*$U$91,0)</f>
        <v/>
      </c>
      <c r="AL91" t="n">
        <v>79.36507936507937</v>
      </c>
      <c r="AM91">
        <f>IF($Q$91,$M$91*$AE$91*$U$91,0)</f>
        <v/>
      </c>
      <c r="AN91" t="n">
        <v>56.21693121693121</v>
      </c>
      <c r="AO91">
        <f>IF($Q$91,$M$91*$AG$91*$U$91,0)</f>
        <v/>
      </c>
      <c r="AP91" t="n">
        <v>26.45502645502646</v>
      </c>
      <c r="AQ91">
        <f>IF($Q$91,$M$91*$AE$91*$Y$91,0)</f>
        <v/>
      </c>
      <c r="AR91" t="n">
        <v>89.94708994708995</v>
      </c>
      <c r="AS91">
        <f>IF($S$91,$M$91*$AI$91*$W$91,0)</f>
        <v/>
      </c>
      <c r="AT91" t="n">
        <v>0</v>
      </c>
      <c r="AU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V91" t="b">
        <v>0</v>
      </c>
      <c r="AW91">
        <f>IF(AND($B$91&lt;0,$AU$91),4,$B$91)</f>
        <v/>
      </c>
      <c r="AX91" t="n">
        <v>2</v>
      </c>
      <c r="AY91">
        <f>IF($AW$91&lt;4,0,MIN(MAX(0.5,Canh_bao_vong!$D$4),MAX(IF(Vu_khi!$C$91="cal_406",Canh_bao_vong!$D$7,IF($AW$91&gt;=5,Canh_bao_vong!$D$9,Canh_bao_vong!$D$8)),Canh_bao_vong!$D$2+MAX(0,Vu_khi!$X$91)/MAX(0.1,Canh_bao_vong!$D$5))))</f>
        <v/>
      </c>
      <c r="AZ91" t="n">
        <v>0</v>
      </c>
      <c r="BD91" t="n">
        <v>190</v>
      </c>
      <c r="BE91" t="n">
        <v>247</v>
      </c>
      <c r="BF91" t="n">
        <v>0.045</v>
      </c>
      <c r="BG91" t="n">
        <v>0.089</v>
      </c>
      <c r="BH91" t="n">
        <v>0.179</v>
      </c>
      <c r="BI91" t="n">
        <v>0.138</v>
      </c>
      <c r="BJ91" t="inlineStr">
        <is>
          <t>DIRECT_FAST</t>
        </is>
      </c>
      <c r="BK91" t="inlineStr">
        <is>
          <t>ok</t>
        </is>
      </c>
      <c r="BL91" t="inlineStr">
        <is>
          <t>family l7_105_mm_he_bunker</t>
        </is>
      </c>
      <c r="BM91" t="inlineStr"/>
      <c r="BN91" t="inlineStr">
        <is>
          <t>Assets/MachineBrigade/Resources/Data/balance.json: weapons[id=gun_105_bunker_he] (lớp B trên 01_chien_dau/Vu_khi)</t>
        </is>
      </c>
      <c r="BO91" t="inlineStr"/>
    </row>
    <row r="92">
      <c r="A92" t="inlineStr">
        <is>
          <t>gun_105_long</t>
        </is>
      </c>
      <c r="B92" t="n">
        <v>3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4.762</v>
      </c>
      <c r="I92">
        <f>Vu_khi!$W$92*MAX(1,$E$92)</f>
        <v/>
      </c>
      <c r="J92" t="n">
        <v>371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77.90844183116339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1.2</v>
      </c>
      <c r="W92">
        <f>INDEX(Bang_sat_thuong!$C$2:$C$7,MATCH(Vu_khi!$K$92,Bang_sat_thuong!$A$2:$A$7,0))</f>
        <v/>
      </c>
      <c r="X92" t="n">
        <v>0.3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0.7</v>
      </c>
      <c r="AA92">
        <f>AND(Vu_khi!$K$92="Kinetic",NOT(Vu_khi!$AG$92))</f>
        <v/>
      </c>
      <c r="AB92" t="b">
        <v>1</v>
      </c>
      <c r="AC92">
        <f>IF(Vu_khi!$AG$92,INDEX(Bang_danh_noc!$C$2:$C$8,MIN(7,MAX(1,2-(Vu_khi!$L$92-0)+1))),INDEX(Bang_xuyen_giap!$C$2:$C$8,MIN(7,MAX(1,IF($O$92,MAX(1,2-(Vu_khi!$L$92-0)),2-(Vu_khi!$L$92-0))+1))))*IF($AA$92,INDEX(Bang_xuyen_qua!$C$2:$C$5,MIN(4,MAX(1,(Vu_khi!$L$92)-(0)-1))),1)</f>
        <v/>
      </c>
      <c r="AD92" t="n">
        <v>1.02</v>
      </c>
      <c r="AE92">
        <f>IF(Vu_khi!$AG$92,INDEX(Bang_danh_noc!$C$2:$C$8,MIN(7,MAX(1,2-(Vu_khi!$L$92-2)+1))),INDEX(Bang_xuyen_giap!$C$2:$C$8,MIN(7,MAX(1,IF($O$92,MAX(1,2-(Vu_khi!$L$92-2)),2-(Vu_khi!$L$92-2))+1))))*IF($AA$92,INDEX(Bang_xuyen_qua!$C$2:$C$5,MIN(4,MAX(1,(Vu_khi!$L$92)-(2)-1))),1)</f>
        <v/>
      </c>
      <c r="AF92" t="n">
        <v>1.2</v>
      </c>
      <c r="AG92">
        <f>IF(Vu_khi!$AG$92,INDEX(Bang_danh_noc!$C$2:$C$8,MIN(7,MAX(1,2-(Vu_khi!$L$92-4)+1))),INDEX(Bang_xuyen_giap!$C$2:$C$8,MIN(7,MAX(1,IF($O$92,MAX(1,2-(Vu_khi!$L$92-4)),2-(Vu_khi!$L$92-4))+1))))*IF($AA$92,INDEX(Bang_xuyen_qua!$C$2:$C$5,MIN(4,MAX(1,(Vu_khi!$L$92)-(4)-1))),1)</f>
        <v/>
      </c>
      <c r="AH92" t="n">
        <v>0.85</v>
      </c>
      <c r="AI92">
        <f>INDEX(Bang_xuyen_giap!$C$2:$C$8,MIN(7,MAX(1,MAX(1,2-(Vu_khi!$L$92-0))+1)))*IF($AA$92,INDEX(Bang_xuyen_qua!$C$2:$C$5,MIN(4,MAX(1,(Vu_khi!$L$92)-(0)-1))),1)</f>
        <v/>
      </c>
      <c r="AJ92" t="n">
        <v>0.85</v>
      </c>
      <c r="AK92">
        <f>IF($Q$92,$M$92*$AC$92*$U$92,0)</f>
        <v/>
      </c>
      <c r="AL92" t="n">
        <v>95.35993280134399</v>
      </c>
      <c r="AM92">
        <f>IF($Q$92,$M$92*$AE$92*$U$92,0)</f>
        <v/>
      </c>
      <c r="AN92" t="n">
        <v>112.1881562368753</v>
      </c>
      <c r="AO92">
        <f>IF($Q$92,$M$92*$AG$92*$U$92,0)</f>
        <v/>
      </c>
      <c r="AP92" t="n">
        <v>79.46661066778665</v>
      </c>
      <c r="AQ92">
        <f>IF($Q$92,$M$92*$AE$92*$Y$92,0)</f>
        <v/>
      </c>
      <c r="AR92" t="n">
        <v>65.44309113817724</v>
      </c>
      <c r="AS92">
        <f>IF($S$92,$M$92*$AI$92*$W$92,0)</f>
        <v/>
      </c>
      <c r="AT92" t="n">
        <v>0</v>
      </c>
      <c r="AU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V92" t="b">
        <v>0</v>
      </c>
      <c r="AW92">
        <f>IF(AND($B$92&lt;0,$AU$92),4,$B$92)</f>
        <v/>
      </c>
      <c r="AX92" t="n">
        <v>3</v>
      </c>
      <c r="AY92">
        <f>IF($AW$92&lt;4,0,MIN(MAX(0.5,Canh_bao_vong!$D$4),MAX(IF(Vu_khi!$C$92="cal_406",Canh_bao_vong!$D$7,IF($AW$92&gt;=5,Canh_bao_vong!$D$9,Canh_bao_vong!$D$8)),Canh_bao_vong!$D$2+MAX(0,Vu_khi!$X$92)/MAX(0.1,Canh_bao_vong!$D$5))))</f>
        <v/>
      </c>
      <c r="AZ92" t="n">
        <v>0</v>
      </c>
      <c r="BA92" t="n">
        <v>0.388897</v>
      </c>
      <c r="BB92" t="inlineStr">
        <is>
          <t>NHANH_QUA;LECH_DOT_1</t>
        </is>
      </c>
      <c r="BC92" t="inlineStr"/>
      <c r="BD92" t="n">
        <v>220</v>
      </c>
      <c r="BE92" t="n">
        <v>286</v>
      </c>
      <c r="BF92" t="n">
        <v>0.052</v>
      </c>
      <c r="BG92" t="n">
        <v>0.105</v>
      </c>
      <c r="BH92" t="n">
        <v>0.209</v>
      </c>
      <c r="BI92" t="n">
        <v>0.161</v>
      </c>
      <c r="BJ92" t="inlineStr">
        <is>
          <t>DIRECT_FAST</t>
        </is>
      </c>
      <c r="BK92" t="inlineStr">
        <is>
          <t>ok</t>
        </is>
      </c>
      <c r="BL92" t="inlineStr">
        <is>
          <t>own line</t>
        </is>
      </c>
      <c r="BM92" t="inlineStr"/>
      <c r="BN92" t="inlineStr">
        <is>
          <t>Assets/MachineBrigade/Resources/Data/balance.json: weapons[id=gun_105_long] (lớp B trên 01_chien_dau/Vu_khi)</t>
        </is>
      </c>
      <c r="BO92" t="inlineStr"/>
    </row>
    <row r="93">
      <c r="A93" t="inlineStr">
        <is>
          <t>gun_105_long_he</t>
        </is>
      </c>
      <c r="B93" t="n">
        <v>3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1</v>
      </c>
      <c r="G93">
        <f>IF(Vu_khi!$S$93&gt;0,(Vu_khi!$S$93-1)*Vu_khi!$R$93+Vu_khi!$T$93,Vu_khi!$R$93+(Vu_khi!$P$93-1)*Vu_khi!$Q$93)</f>
        <v/>
      </c>
      <c r="H93" t="n">
        <v>4.762</v>
      </c>
      <c r="I93">
        <f>Vu_khi!$W$93*MAX(1,$E$93)</f>
        <v/>
      </c>
      <c r="J93" t="n">
        <v>371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77.90844183116339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1.6</v>
      </c>
      <c r="AA93">
        <f>AND(Vu_khi!$K$93="Kinetic",NOT(Vu_khi!$AG$93))</f>
        <v/>
      </c>
      <c r="AB93" t="b">
        <v>0</v>
      </c>
      <c r="AC93">
        <f>IF(Vu_khi!$AG$93,INDEX(Bang_danh_noc!$C$2:$C$8,MIN(7,MAX(1,2-(Vu_khi!$L$93-0)+1))),INDEX(Bang_xuyen_giap!$C$2:$C$8,MIN(7,MAX(1,IF($O$93,MAX(1,2-(Vu_khi!$L$93-0)),2-(Vu_khi!$L$93-0))+1))))*IF($AA$93,INDEX(Bang_xuyen_qua!$C$2:$C$5,MIN(4,MAX(1,(Vu_khi!$L$93)-(0)-1))),1)</f>
        <v/>
      </c>
      <c r="AD93" t="n">
        <v>1.2</v>
      </c>
      <c r="AE93">
        <f>IF(Vu_khi!$AG$93,INDEX(Bang_danh_noc!$C$2:$C$8,MIN(7,MAX(1,2-(Vu_khi!$L$93-2)+1))),INDEX(Bang_xuyen_giap!$C$2:$C$8,MIN(7,MAX(1,IF($O$93,MAX(1,2-(Vu_khi!$L$93-2)),2-(Vu_khi!$L$93-2))+1))))*IF($AA$93,INDEX(Bang_xuyen_qua!$C$2:$C$5,MIN(4,MAX(1,(Vu_khi!$L$93)-(2)-1))),1)</f>
        <v/>
      </c>
      <c r="AF93" t="n">
        <v>0.85</v>
      </c>
      <c r="AG93">
        <f>IF(Vu_khi!$AG$93,INDEX(Bang_danh_noc!$C$2:$C$8,MIN(7,MAX(1,2-(Vu_khi!$L$93-4)+1))),INDEX(Bang_xuyen_giap!$C$2:$C$8,MIN(7,MAX(1,IF($O$93,MAX(1,2-(Vu_khi!$L$93-4)),2-(Vu_khi!$L$93-4))+1))))*IF($AA$93,INDEX(Bang_xuyen_qua!$C$2:$C$5,MIN(4,MAX(1,(Vu_khi!$L$93)-(4)-1))),1)</f>
        <v/>
      </c>
      <c r="AH93" t="n">
        <v>0.4</v>
      </c>
      <c r="AI93">
        <f>INDEX(Bang_xuyen_giap!$C$2:$C$8,MIN(7,MAX(1,MAX(1,2-(Vu_khi!$L$93-0))+1)))*IF($AA$93,INDEX(Bang_xuyen_qua!$C$2:$C$5,MIN(4,MAX(1,(Vu_khi!$L$93)-(0)-1))),1)</f>
        <v/>
      </c>
      <c r="AJ93" t="n">
        <v>1</v>
      </c>
      <c r="AK93">
        <f>IF($Q$93,$M$93*$AC$93*$U$93,0)</f>
        <v/>
      </c>
      <c r="AL93" t="n">
        <v>93.49013019739606</v>
      </c>
      <c r="AM93">
        <f>IF($Q$93,$M$93*$AE$93*$U$93,0)</f>
        <v/>
      </c>
      <c r="AN93" t="n">
        <v>66.22217555648888</v>
      </c>
      <c r="AO93">
        <f>IF($Q$93,$M$93*$AG$93*$U$93,0)</f>
        <v/>
      </c>
      <c r="AP93" t="n">
        <v>31.16337673246536</v>
      </c>
      <c r="AQ93">
        <f>IF($Q$93,$M$93*$AE$93*$Y$93,0)</f>
        <v/>
      </c>
      <c r="AR93" t="n">
        <v>105.9554808903822</v>
      </c>
      <c r="AS93">
        <f>IF($S$93,$M$93*$AI$93*$W$93,0)</f>
        <v/>
      </c>
      <c r="AT93" t="n">
        <v>0</v>
      </c>
      <c r="AU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V93" t="b">
        <v>0</v>
      </c>
      <c r="AW93">
        <f>IF(AND($B$93&lt;0,$AU$93),4,$B$93)</f>
        <v/>
      </c>
      <c r="AX93" t="n">
        <v>3</v>
      </c>
      <c r="AY93">
        <f>IF($AW$93&lt;4,0,MIN(MAX(0.5,Canh_bao_vong!$D$4),MAX(IF(Vu_khi!$C$93="cal_406",Canh_bao_vong!$D$7,IF($AW$93&gt;=5,Canh_bao_vong!$D$9,Canh_bao_vong!$D$8)),Canh_bao_vong!$D$2+MAX(0,Vu_khi!$X$93)/MAX(0.1,Canh_bao_vong!$D$5))))</f>
        <v/>
      </c>
      <c r="AZ93" t="n">
        <v>0</v>
      </c>
      <c r="BD93" t="n">
        <v>260</v>
      </c>
      <c r="BE93" t="n">
        <v>338</v>
      </c>
      <c r="BF93" t="n">
        <v>0.044</v>
      </c>
      <c r="BG93" t="n">
        <v>0.08799999999999999</v>
      </c>
      <c r="BH93" t="n">
        <v>0.177</v>
      </c>
      <c r="BI93" t="n">
        <v>0.136</v>
      </c>
      <c r="BJ93" t="inlineStr">
        <is>
          <t>DIRECT_FAST</t>
        </is>
      </c>
      <c r="BK93" t="inlineStr">
        <is>
          <t>ok</t>
        </is>
      </c>
      <c r="BL93" t="inlineStr">
        <is>
          <t>family 2a75_125_mm_he</t>
        </is>
      </c>
      <c r="BM93" t="inlineStr"/>
      <c r="BN93" t="inlineStr">
        <is>
          <t>Assets/MachineBrigade/Resources/Data/balance.json: weapons[id=gun_105_long_he] (lớp B trên 01_chien_dau/Vu_khi)</t>
        </is>
      </c>
      <c r="BO93" t="inlineStr"/>
    </row>
    <row r="94">
      <c r="A94" t="inlineStr">
        <is>
          <t>gun_105_twin</t>
        </is>
      </c>
      <c r="B94" t="n">
        <v>2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2</v>
      </c>
      <c r="G94">
        <f>IF(Vu_khi!$S$94&gt;0,(Vu_khi!$S$94-1)*Vu_khi!$R$94+Vu_khi!$T$94,Vu_khi!$R$94+(Vu_khi!$P$94-1)*Vu_khi!$Q$94)</f>
        <v/>
      </c>
      <c r="H94" t="n">
        <v>5.74</v>
      </c>
      <c r="I94">
        <f>Vu_khi!$W$94*MAX(1,$E$94)</f>
        <v/>
      </c>
      <c r="J94" t="n">
        <v>424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73.86759581881533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1.2</v>
      </c>
      <c r="W94">
        <f>INDEX(Bang_sat_thuong!$C$2:$C$7,MATCH(Vu_khi!$K$94,Bang_sat_thuong!$A$2:$A$7,0))</f>
        <v/>
      </c>
      <c r="X94" t="n">
        <v>0.3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0.7</v>
      </c>
      <c r="AA94">
        <f>AND(Vu_khi!$K$94="Kinetic",NOT(Vu_khi!$AG$94))</f>
        <v/>
      </c>
      <c r="AB94" t="b">
        <v>1</v>
      </c>
      <c r="AC94">
        <f>IF(Vu_khi!$AG$94,INDEX(Bang_danh_noc!$C$2:$C$8,MIN(7,MAX(1,2-(Vu_khi!$L$94-0)+1))),INDEX(Bang_xuyen_giap!$C$2:$C$8,MIN(7,MAX(1,IF($O$94,MAX(1,2-(Vu_khi!$L$94-0)),2-(Vu_khi!$L$94-0))+1))))*IF($AA$94,INDEX(Bang_xuyen_qua!$C$2:$C$5,MIN(4,MAX(1,(Vu_khi!$L$94)-(0)-1))),1)</f>
        <v/>
      </c>
      <c r="AD94" t="n">
        <v>1.14</v>
      </c>
      <c r="AE94">
        <f>IF(Vu_khi!$AG$94,INDEX(Bang_danh_noc!$C$2:$C$8,MIN(7,MAX(1,2-(Vu_khi!$L$94-2)+1))),INDEX(Bang_xuyen_giap!$C$2:$C$8,MIN(7,MAX(1,IF($O$94,MAX(1,2-(Vu_khi!$L$94-2)),2-(Vu_khi!$L$94-2))+1))))*IF($AA$94,INDEX(Bang_xuyen_qua!$C$2:$C$5,MIN(4,MAX(1,(Vu_khi!$L$94)-(2)-1))),1)</f>
        <v/>
      </c>
      <c r="AF94" t="n">
        <v>1</v>
      </c>
      <c r="AG94">
        <f>IF(Vu_khi!$AG$94,INDEX(Bang_danh_noc!$C$2:$C$8,MIN(7,MAX(1,2-(Vu_khi!$L$94-4)+1))),INDEX(Bang_xuyen_giap!$C$2:$C$8,MIN(7,MAX(1,IF($O$94,MAX(1,2-(Vu_khi!$L$94-4)),2-(Vu_khi!$L$94-4))+1))))*IF($AA$94,INDEX(Bang_xuyen_qua!$C$2:$C$5,MIN(4,MAX(1,(Vu_khi!$L$94)-(4)-1))),1)</f>
        <v/>
      </c>
      <c r="AH94" t="n">
        <v>0.65</v>
      </c>
      <c r="AI94">
        <f>INDEX(Bang_xuyen_giap!$C$2:$C$8,MIN(7,MAX(1,MAX(1,2-(Vu_khi!$L$94-0))+1)))*IF($AA$94,INDEX(Bang_xuyen_qua!$C$2:$C$5,MIN(4,MAX(1,(Vu_khi!$L$94)-(0)-1))),1)</f>
        <v/>
      </c>
      <c r="AJ94" t="n">
        <v>0.95</v>
      </c>
      <c r="AK94">
        <f>IF($Q$94,$M$94*$AC$94*$U$94,0)</f>
        <v/>
      </c>
      <c r="AL94" t="n">
        <v>101.0508710801394</v>
      </c>
      <c r="AM94">
        <f>IF($Q$94,$M$94*$AE$94*$U$94,0)</f>
        <v/>
      </c>
      <c r="AN94" t="n">
        <v>88.6411149825784</v>
      </c>
      <c r="AO94">
        <f>IF($Q$94,$M$94*$AG$94*$U$94,0)</f>
        <v/>
      </c>
      <c r="AP94" t="n">
        <v>57.61672473867596</v>
      </c>
      <c r="AQ94">
        <f>IF($Q$94,$M$94*$AE$94*$Y$94,0)</f>
        <v/>
      </c>
      <c r="AR94" t="n">
        <v>51.70731707317073</v>
      </c>
      <c r="AS94">
        <f>IF($S$94,$M$94*$AI$94*$W$94,0)</f>
        <v/>
      </c>
      <c r="AT94" t="n">
        <v>0</v>
      </c>
      <c r="AU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V94" t="b">
        <v>0</v>
      </c>
      <c r="AW94">
        <f>IF(AND($B$94&lt;0,$AU$94),4,$B$94)</f>
        <v/>
      </c>
      <c r="AX94" t="n">
        <v>2</v>
      </c>
      <c r="AY94">
        <f>IF($AW$94&lt;4,0,MIN(MAX(0.5,Canh_bao_vong!$D$4),MAX(IF(Vu_khi!$C$94="cal_406",Canh_bao_vong!$D$7,IF($AW$94&gt;=5,Canh_bao_vong!$D$9,Canh_bao_vong!$D$8)),Canh_bao_vong!$D$2+MAX(0,Vu_khi!$X$94)/MAX(0.1,Canh_bao_vong!$D$5))))</f>
        <v/>
      </c>
      <c r="AZ94" t="n">
        <v>0</v>
      </c>
      <c r="BA94" t="n">
        <v>0.669667</v>
      </c>
      <c r="BB94" t="inlineStr">
        <is>
          <t>ok</t>
        </is>
      </c>
      <c r="BC94" t="inlineStr"/>
      <c r="BD94" t="n">
        <v>190</v>
      </c>
      <c r="BE94" t="n">
        <v>247</v>
      </c>
      <c r="BF94" t="n">
        <v>0.045</v>
      </c>
      <c r="BG94" t="n">
        <v>0.089</v>
      </c>
      <c r="BH94" t="n">
        <v>0.179</v>
      </c>
      <c r="BI94" t="n">
        <v>0.138</v>
      </c>
      <c r="BJ94" t="inlineStr">
        <is>
          <t>DIRECT_FAST</t>
        </is>
      </c>
      <c r="BK94" t="inlineStr">
        <is>
          <t>ok</t>
        </is>
      </c>
      <c r="BL94" t="inlineStr">
        <is>
          <t>family l7_105_mm</t>
        </is>
      </c>
      <c r="BM94" t="inlineStr"/>
      <c r="BN94" t="inlineStr">
        <is>
          <t>Assets/MachineBrigade/Resources/Data/balance.json: weapons[id=gun_105_twin] (lớp B trên 01_chien_dau/Vu_khi)</t>
        </is>
      </c>
      <c r="BO94" t="inlineStr"/>
    </row>
    <row r="95">
      <c r="A95" t="inlineStr">
        <is>
          <t>gun_105_wheeled</t>
        </is>
      </c>
      <c r="B95" t="n">
        <v>3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5.291</v>
      </c>
      <c r="I95">
        <f>Vu_khi!$W$95*MAX(1,$E$95)</f>
        <v/>
      </c>
      <c r="J95" t="n">
        <v>369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69.74106974106974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1.2</v>
      </c>
      <c r="W95">
        <f>INDEX(Bang_sat_thuong!$C$2:$C$7,MATCH(Vu_khi!$K$95,Bang_sat_thuong!$A$2:$A$7,0))</f>
        <v/>
      </c>
      <c r="X95" t="n">
        <v>0.3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0.7</v>
      </c>
      <c r="AA95">
        <f>AND(Vu_khi!$K$95="Kinetic",NOT(Vu_khi!$AG$95))</f>
        <v/>
      </c>
      <c r="AB95" t="b">
        <v>1</v>
      </c>
      <c r="AC95">
        <f>IF(Vu_khi!$AG$95,INDEX(Bang_danh_noc!$C$2:$C$8,MIN(7,MAX(1,2-(Vu_khi!$L$95-0)+1))),INDEX(Bang_xuyen_giap!$C$2:$C$8,MIN(7,MAX(1,IF($O$95,MAX(1,2-(Vu_khi!$L$95-0)),2-(Vu_khi!$L$95-0))+1))))*IF($AA$95,INDEX(Bang_xuyen_qua!$C$2:$C$5,MIN(4,MAX(1,(Vu_khi!$L$95)-(0)-1))),1)</f>
        <v/>
      </c>
      <c r="AD95" t="n">
        <v>1.02</v>
      </c>
      <c r="AE95">
        <f>IF(Vu_khi!$AG$95,INDEX(Bang_danh_noc!$C$2:$C$8,MIN(7,MAX(1,2-(Vu_khi!$L$95-2)+1))),INDEX(Bang_xuyen_giap!$C$2:$C$8,MIN(7,MAX(1,IF($O$95,MAX(1,2-(Vu_khi!$L$95-2)),2-(Vu_khi!$L$95-2))+1))))*IF($AA$95,INDEX(Bang_xuyen_qua!$C$2:$C$5,MIN(4,MAX(1,(Vu_khi!$L$95)-(2)-1))),1)</f>
        <v/>
      </c>
      <c r="AF95" t="n">
        <v>1.2</v>
      </c>
      <c r="AG95">
        <f>IF(Vu_khi!$AG$95,INDEX(Bang_danh_noc!$C$2:$C$8,MIN(7,MAX(1,2-(Vu_khi!$L$95-4)+1))),INDEX(Bang_xuyen_giap!$C$2:$C$8,MIN(7,MAX(1,IF($O$95,MAX(1,2-(Vu_khi!$L$95-4)),2-(Vu_khi!$L$95-4))+1))))*IF($AA$95,INDEX(Bang_xuyen_qua!$C$2:$C$5,MIN(4,MAX(1,(Vu_khi!$L$95)-(4)-1))),1)</f>
        <v/>
      </c>
      <c r="AH95" t="n">
        <v>0.85</v>
      </c>
      <c r="AI95">
        <f>INDEX(Bang_xuyen_giap!$C$2:$C$8,MIN(7,MAX(1,MAX(1,2-(Vu_khi!$L$95-0))+1)))*IF($AA$95,INDEX(Bang_xuyen_qua!$C$2:$C$5,MIN(4,MAX(1,(Vu_khi!$L$95)-(0)-1))),1)</f>
        <v/>
      </c>
      <c r="AJ95" t="n">
        <v>0.85</v>
      </c>
      <c r="AK95">
        <f>IF($Q$95,$M$95*$AC$95*$U$95,0)</f>
        <v/>
      </c>
      <c r="AL95" t="n">
        <v>85.36306936306936</v>
      </c>
      <c r="AM95">
        <f>IF($Q$95,$M$95*$AE$95*$U$95,0)</f>
        <v/>
      </c>
      <c r="AN95" t="n">
        <v>100.4271404271404</v>
      </c>
      <c r="AO95">
        <f>IF($Q$95,$M$95*$AG$95*$U$95,0)</f>
        <v/>
      </c>
      <c r="AP95" t="n">
        <v>71.13589113589113</v>
      </c>
      <c r="AQ95">
        <f>IF($Q$95,$M$95*$AE$95*$Y$95,0)</f>
        <v/>
      </c>
      <c r="AR95" t="n">
        <v>58.58249858249857</v>
      </c>
      <c r="AS95">
        <f>IF($S$95,$M$95*$AI$95*$W$95,0)</f>
        <v/>
      </c>
      <c r="AT95" t="n">
        <v>0</v>
      </c>
      <c r="AU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V95" t="b">
        <v>0</v>
      </c>
      <c r="AW95">
        <f>IF(AND($B$95&lt;0,$AU$95),4,$B$95)</f>
        <v/>
      </c>
      <c r="AX95" t="n">
        <v>3</v>
      </c>
      <c r="AY95">
        <f>IF($AW$95&lt;4,0,MIN(MAX(0.5,Canh_bao_vong!$D$4),MAX(IF(Vu_khi!$C$95="cal_406",Canh_bao_vong!$D$7,IF($AW$95&gt;=5,Canh_bao_vong!$D$9,Canh_bao_vong!$D$8)),Canh_bao_vong!$D$2+MAX(0,Vu_khi!$X$95)/MAX(0.1,Canh_bao_vong!$D$5))))</f>
        <v/>
      </c>
      <c r="AZ95" t="n">
        <v>0</v>
      </c>
      <c r="BA95" t="n">
        <v>0.493827</v>
      </c>
      <c r="BB95" t="inlineStr">
        <is>
          <t>NHANH_QUA;LECH_DOT_1</t>
        </is>
      </c>
      <c r="BC95" t="inlineStr"/>
      <c r="BD95" t="n">
        <v>230</v>
      </c>
      <c r="BE95" t="n">
        <v>299</v>
      </c>
      <c r="BF95" t="n">
        <v>0.041</v>
      </c>
      <c r="BG95" t="n">
        <v>0.083</v>
      </c>
      <c r="BH95" t="n">
        <v>0.165</v>
      </c>
      <c r="BI95" t="n">
        <v>0.127</v>
      </c>
      <c r="BJ95" t="inlineStr">
        <is>
          <t>DIRECT_FAST</t>
        </is>
      </c>
      <c r="BK95" t="inlineStr">
        <is>
          <t>ok</t>
        </is>
      </c>
      <c r="BL95" t="inlineStr">
        <is>
          <t>own line</t>
        </is>
      </c>
      <c r="BM95" t="inlineStr"/>
      <c r="BN95" t="inlineStr">
        <is>
          <t>Assets/MachineBrigade/Resources/Data/balance.json: weapons[id=gun_105_wheeled] (lớp B trên 01_chien_dau/Vu_khi)</t>
        </is>
      </c>
      <c r="BO95" t="inlineStr"/>
    </row>
    <row r="96">
      <c r="A96" t="inlineStr">
        <is>
          <t>gun_105_wheeled_he</t>
        </is>
      </c>
      <c r="B96" t="n">
        <v>3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1</v>
      </c>
      <c r="G96">
        <f>IF(Vu_khi!$S$96&gt;0,(Vu_khi!$S$96-1)*Vu_khi!$R$96+Vu_khi!$T$96,Vu_khi!$R$96+(Vu_khi!$P$96-1)*Vu_khi!$Q$96)</f>
        <v/>
      </c>
      <c r="H96" t="n">
        <v>5.291</v>
      </c>
      <c r="I96">
        <f>Vu_khi!$W$96*MAX(1,$E$96)</f>
        <v/>
      </c>
      <c r="J96" t="n">
        <v>369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69.74106974106974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1.6</v>
      </c>
      <c r="AA96">
        <f>AND(Vu_khi!$K$96="Kinetic",NOT(Vu_khi!$AG$96))</f>
        <v/>
      </c>
      <c r="AB96" t="b">
        <v>0</v>
      </c>
      <c r="AC96">
        <f>IF(Vu_khi!$AG$96,INDEX(Bang_danh_noc!$C$2:$C$8,MIN(7,MAX(1,2-(Vu_khi!$L$96-0)+1))),INDEX(Bang_xuyen_giap!$C$2:$C$8,MIN(7,MAX(1,IF($O$96,MAX(1,2-(Vu_khi!$L$96-0)),2-(Vu_khi!$L$96-0))+1))))*IF($AA$96,INDEX(Bang_xuyen_qua!$C$2:$C$5,MIN(4,MAX(1,(Vu_khi!$L$96)-(0)-1))),1)</f>
        <v/>
      </c>
      <c r="AD96" t="n">
        <v>1.2</v>
      </c>
      <c r="AE96">
        <f>IF(Vu_khi!$AG$96,INDEX(Bang_danh_noc!$C$2:$C$8,MIN(7,MAX(1,2-(Vu_khi!$L$96-2)+1))),INDEX(Bang_xuyen_giap!$C$2:$C$8,MIN(7,MAX(1,IF($O$96,MAX(1,2-(Vu_khi!$L$96-2)),2-(Vu_khi!$L$96-2))+1))))*IF($AA$96,INDEX(Bang_xuyen_qua!$C$2:$C$5,MIN(4,MAX(1,(Vu_khi!$L$96)-(2)-1))),1)</f>
        <v/>
      </c>
      <c r="AF96" t="n">
        <v>0.85</v>
      </c>
      <c r="AG96">
        <f>IF(Vu_khi!$AG$96,INDEX(Bang_danh_noc!$C$2:$C$8,MIN(7,MAX(1,2-(Vu_khi!$L$96-4)+1))),INDEX(Bang_xuyen_giap!$C$2:$C$8,MIN(7,MAX(1,IF($O$96,MAX(1,2-(Vu_khi!$L$96-4)),2-(Vu_khi!$L$96-4))+1))))*IF($AA$96,INDEX(Bang_xuyen_qua!$C$2:$C$5,MIN(4,MAX(1,(Vu_khi!$L$96)-(4)-1))),1)</f>
        <v/>
      </c>
      <c r="AH96" t="n">
        <v>0.4</v>
      </c>
      <c r="AI96">
        <f>INDEX(Bang_xuyen_giap!$C$2:$C$8,MIN(7,MAX(1,MAX(1,2-(Vu_khi!$L$96-0))+1)))*IF($AA$96,INDEX(Bang_xuyen_qua!$C$2:$C$5,MIN(4,MAX(1,(Vu_khi!$L$96)-(0)-1))),1)</f>
        <v/>
      </c>
      <c r="AJ96" t="n">
        <v>1</v>
      </c>
      <c r="AK96">
        <f>IF($Q$96,$M$96*$AC$96*$U$96,0)</f>
        <v/>
      </c>
      <c r="AL96" t="n">
        <v>83.68928368928368</v>
      </c>
      <c r="AM96">
        <f>IF($Q$96,$M$96*$AE$96*$U$96,0)</f>
        <v/>
      </c>
      <c r="AN96" t="n">
        <v>59.27990927990928</v>
      </c>
      <c r="AO96">
        <f>IF($Q$96,$M$96*$AG$96*$U$96,0)</f>
        <v/>
      </c>
      <c r="AP96" t="n">
        <v>27.89642789642789</v>
      </c>
      <c r="AQ96">
        <f>IF($Q$96,$M$96*$AE$96*$Y$96,0)</f>
        <v/>
      </c>
      <c r="AR96" t="n">
        <v>94.84785484785485</v>
      </c>
      <c r="AS96">
        <f>IF($S$96,$M$96*$AI$96*$W$96,0)</f>
        <v/>
      </c>
      <c r="AT96" t="n">
        <v>0</v>
      </c>
      <c r="AU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V96" t="b">
        <v>0</v>
      </c>
      <c r="AW96">
        <f>IF(AND($B$96&lt;0,$AU$96),4,$B$96)</f>
        <v/>
      </c>
      <c r="AX96" t="n">
        <v>3</v>
      </c>
      <c r="AY96">
        <f>IF($AW$96&lt;4,0,MIN(MAX(0.5,Canh_bao_vong!$D$4),MAX(IF(Vu_khi!$C$96="cal_406",Canh_bao_vong!$D$7,IF($AW$96&gt;=5,Canh_bao_vong!$D$9,Canh_bao_vong!$D$8)),Canh_bao_vong!$D$2+MAX(0,Vu_khi!$X$96)/MAX(0.1,Canh_bao_vong!$D$5))))</f>
        <v/>
      </c>
      <c r="AZ96" t="n">
        <v>0</v>
      </c>
      <c r="BD96" t="n">
        <v>230</v>
      </c>
      <c r="BE96" t="n">
        <v>299</v>
      </c>
      <c r="BF96" t="n">
        <v>0.041</v>
      </c>
      <c r="BG96" t="n">
        <v>0.083</v>
      </c>
      <c r="BH96" t="n">
        <v>0.165</v>
      </c>
      <c r="BI96" t="n">
        <v>0.127</v>
      </c>
      <c r="BJ96" t="inlineStr">
        <is>
          <t>DIRECT_FAST</t>
        </is>
      </c>
      <c r="BK96" t="inlineStr">
        <is>
          <t>ok</t>
        </is>
      </c>
      <c r="BL96" t="inlineStr">
        <is>
          <t>inherited from gun_105_wheeled</t>
        </is>
      </c>
      <c r="BM96" t="inlineStr"/>
      <c r="BN96" t="inlineStr">
        <is>
          <t>Assets/MachineBrigade/Resources/Data/balance.json: weapons[id=gun_105_wheeled_he] (lớp B trên 01_chien_dau/Vu_khi)</t>
        </is>
      </c>
      <c r="BO96" t="inlineStr"/>
    </row>
    <row r="97">
      <c r="A97" t="inlineStr">
        <is>
          <t>gun_120_twin</t>
        </is>
      </c>
      <c r="B97" t="n">
        <v>3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2</v>
      </c>
      <c r="G97">
        <f>IF(Vu_khi!$S$97&gt;0,(Vu_khi!$S$97-1)*Vu_khi!$R$97+Vu_khi!$T$97,Vu_khi!$R$97+(Vu_khi!$P$97-1)*Vu_khi!$Q$97)</f>
        <v/>
      </c>
      <c r="H97" t="n">
        <v>7.375999999999999</v>
      </c>
      <c r="I97">
        <f>Vu_khi!$W$97*MAX(1,$E$97)</f>
        <v/>
      </c>
      <c r="J97" t="n">
        <v>686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93.00433839479393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0</v>
      </c>
      <c r="U97">
        <f>INDEX(Bang_sat_thuong!$B$2:$B$7,MATCH(Vu_khi!$K$97,Bang_sat_thuong!$A$2:$A$7,0))</f>
        <v/>
      </c>
      <c r="V97" t="n">
        <v>1.2</v>
      </c>
      <c r="W97">
        <f>INDEX(Bang_sat_thuong!$C$2:$C$7,MATCH(Vu_khi!$K$97,Bang_sat_thuong!$A$2:$A$7,0))</f>
        <v/>
      </c>
      <c r="X97" t="n">
        <v>0.3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0.7</v>
      </c>
      <c r="AA97">
        <f>AND(Vu_khi!$K$97="Kinetic",NOT(Vu_khi!$AG$97))</f>
        <v/>
      </c>
      <c r="AB97" t="b">
        <v>1</v>
      </c>
      <c r="AC97">
        <f>IF(Vu_khi!$AG$97,INDEX(Bang_danh_noc!$C$2:$C$8,MIN(7,MAX(1,2-(Vu_khi!$L$97-0)+1))),INDEX(Bang_xuyen_giap!$C$2:$C$8,MIN(7,MAX(1,IF($O$97,MAX(1,2-(Vu_khi!$L$97-0)),2-(Vu_khi!$L$97-0))+1))))*IF($AA$97,INDEX(Bang_xuyen_qua!$C$2:$C$5,MIN(4,MAX(1,(Vu_khi!$L$97)-(0)-1))),1)</f>
        <v/>
      </c>
      <c r="AD97" t="n">
        <v>1.02</v>
      </c>
      <c r="AE97">
        <f>IF(Vu_khi!$AG$97,INDEX(Bang_danh_noc!$C$2:$C$8,MIN(7,MAX(1,2-(Vu_khi!$L$97-2)+1))),INDEX(Bang_xuyen_giap!$C$2:$C$8,MIN(7,MAX(1,IF($O$97,MAX(1,2-(Vu_khi!$L$97-2)),2-(Vu_khi!$L$97-2))+1))))*IF($AA$97,INDEX(Bang_xuyen_qua!$C$2:$C$5,MIN(4,MAX(1,(Vu_khi!$L$97)-(2)-1))),1)</f>
        <v/>
      </c>
      <c r="AF97" t="n">
        <v>1.2</v>
      </c>
      <c r="AG97">
        <f>IF(Vu_khi!$AG$97,INDEX(Bang_danh_noc!$C$2:$C$8,MIN(7,MAX(1,2-(Vu_khi!$L$97-4)+1))),INDEX(Bang_xuyen_giap!$C$2:$C$8,MIN(7,MAX(1,IF($O$97,MAX(1,2-(Vu_khi!$L$97-4)),2-(Vu_khi!$L$97-4))+1))))*IF($AA$97,INDEX(Bang_xuyen_qua!$C$2:$C$5,MIN(4,MAX(1,(Vu_khi!$L$97)-(4)-1))),1)</f>
        <v/>
      </c>
      <c r="AH97" t="n">
        <v>0.85</v>
      </c>
      <c r="AI97">
        <f>INDEX(Bang_xuyen_giap!$C$2:$C$8,MIN(7,MAX(1,MAX(1,2-(Vu_khi!$L$97-0))+1)))*IF($AA$97,INDEX(Bang_xuyen_qua!$C$2:$C$5,MIN(4,MAX(1,(Vu_khi!$L$97)-(0)-1))),1)</f>
        <v/>
      </c>
      <c r="AJ97" t="n">
        <v>0.85</v>
      </c>
      <c r="AK97">
        <f>IF($Q$97,$M$97*$AC$97*$U$97,0)</f>
        <v/>
      </c>
      <c r="AL97" t="n">
        <v>113.8373101952278</v>
      </c>
      <c r="AM97">
        <f>IF($Q$97,$M$97*$AE$97*$U$97,0)</f>
        <v/>
      </c>
      <c r="AN97" t="n">
        <v>133.9262472885032</v>
      </c>
      <c r="AO97">
        <f>IF($Q$97,$M$97*$AG$97*$U$97,0)</f>
        <v/>
      </c>
      <c r="AP97" t="n">
        <v>94.86442516268981</v>
      </c>
      <c r="AQ97">
        <f>IF($Q$97,$M$97*$AE$97*$Y$97,0)</f>
        <v/>
      </c>
      <c r="AR97" t="n">
        <v>78.1236442516269</v>
      </c>
      <c r="AS97">
        <f>IF($S$97,$M$97*$AI$97*$W$97,0)</f>
        <v/>
      </c>
      <c r="AT97" t="n">
        <v>0</v>
      </c>
      <c r="AU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V97" t="b">
        <v>0</v>
      </c>
      <c r="AW97">
        <f>IF(AND($B$97&lt;0,$AU$97),4,$B$97)</f>
        <v/>
      </c>
      <c r="AX97" t="n">
        <v>3</v>
      </c>
      <c r="AY97">
        <f>IF($AW$97&lt;4,0,MIN(MAX(0.5,Canh_bao_vong!$D$4),MAX(IF(Vu_khi!$C$97="cal_406",Canh_bao_vong!$D$7,IF($AW$97&gt;=5,Canh_bao_vong!$D$9,Canh_bao_vong!$D$8)),Canh_bao_vong!$D$2+MAX(0,Vu_khi!$X$97)/MAX(0.1,Canh_bao_vong!$D$5))))</f>
        <v/>
      </c>
      <c r="AZ97" t="n">
        <v>0</v>
      </c>
      <c r="BA97" t="n">
        <v>0.688427</v>
      </c>
      <c r="BB97" t="inlineStr">
        <is>
          <t>LECH_DOT_1</t>
        </is>
      </c>
      <c r="BC97" t="inlineStr"/>
      <c r="BD97" t="n">
        <v>170</v>
      </c>
      <c r="BE97" t="n">
        <v>221</v>
      </c>
      <c r="BF97" t="n">
        <v>0.05</v>
      </c>
      <c r="BG97" t="n">
        <v>0.1</v>
      </c>
      <c r="BH97" t="n">
        <v>0.2</v>
      </c>
      <c r="BI97" t="n">
        <v>0.154</v>
      </c>
      <c r="BJ97" t="inlineStr">
        <is>
          <t>DIRECT_FAST</t>
        </is>
      </c>
      <c r="BK97" t="inlineStr">
        <is>
          <t>ok</t>
        </is>
      </c>
      <c r="BL97" t="inlineStr">
        <is>
          <t>family rh_120_l_44_120_mm</t>
        </is>
      </c>
      <c r="BM97" t="inlineStr"/>
      <c r="BN97" t="inlineStr">
        <is>
          <t>Assets/MachineBrigade/Resources/Data/balance.json: weapons[id=gun_120_twin] (lớp B trên 01_chien_dau/Vu_khi)</t>
        </is>
      </c>
      <c r="BO97" t="inlineStr"/>
    </row>
    <row r="98">
      <c r="A98" t="inlineStr">
        <is>
          <t>gun_120_twin_he</t>
        </is>
      </c>
      <c r="B98" t="n">
        <v>3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2</v>
      </c>
      <c r="G98">
        <f>IF(Vu_khi!$S$98&gt;0,(Vu_khi!$S$98-1)*Vu_khi!$R$98+Vu_khi!$T$98,Vu_khi!$R$98+(Vu_khi!$P$98-1)*Vu_khi!$Q$98)</f>
        <v/>
      </c>
      <c r="H98" t="n">
        <v>7.375999999999999</v>
      </c>
      <c r="I98">
        <f>Vu_khi!$W$98*MAX(1,$E$98)</f>
        <v/>
      </c>
      <c r="J98" t="n">
        <v>686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93.00433839479393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1.6</v>
      </c>
      <c r="AA98">
        <f>AND(Vu_khi!$K$98="Kinetic",NOT(Vu_khi!$AG$98))</f>
        <v/>
      </c>
      <c r="AB98" t="b">
        <v>0</v>
      </c>
      <c r="AC98">
        <f>IF(Vu_khi!$AG$98,INDEX(Bang_danh_noc!$C$2:$C$8,MIN(7,MAX(1,2-(Vu_khi!$L$98-0)+1))),INDEX(Bang_xuyen_giap!$C$2:$C$8,MIN(7,MAX(1,IF($O$98,MAX(1,2-(Vu_khi!$L$98-0)),2-(Vu_khi!$L$98-0))+1))))*IF($AA$98,INDEX(Bang_xuyen_qua!$C$2:$C$5,MIN(4,MAX(1,(Vu_khi!$L$98)-(0)-1))),1)</f>
        <v/>
      </c>
      <c r="AD98" t="n">
        <v>1.2</v>
      </c>
      <c r="AE98">
        <f>IF(Vu_khi!$AG$98,INDEX(Bang_danh_noc!$C$2:$C$8,MIN(7,MAX(1,2-(Vu_khi!$L$98-2)+1))),INDEX(Bang_xuyen_giap!$C$2:$C$8,MIN(7,MAX(1,IF($O$98,MAX(1,2-(Vu_khi!$L$98-2)),2-(Vu_khi!$L$98-2))+1))))*IF($AA$98,INDEX(Bang_xuyen_qua!$C$2:$C$5,MIN(4,MAX(1,(Vu_khi!$L$98)-(2)-1))),1)</f>
        <v/>
      </c>
      <c r="AF98" t="n">
        <v>0.85</v>
      </c>
      <c r="AG98">
        <f>IF(Vu_khi!$AG$98,INDEX(Bang_danh_noc!$C$2:$C$8,MIN(7,MAX(1,2-(Vu_khi!$L$98-4)+1))),INDEX(Bang_xuyen_giap!$C$2:$C$8,MIN(7,MAX(1,IF($O$98,MAX(1,2-(Vu_khi!$L$98-4)),2-(Vu_khi!$L$98-4))+1))))*IF($AA$98,INDEX(Bang_xuyen_qua!$C$2:$C$5,MIN(4,MAX(1,(Vu_khi!$L$98)-(4)-1))),1)</f>
        <v/>
      </c>
      <c r="AH98" t="n">
        <v>0.4</v>
      </c>
      <c r="AI98">
        <f>INDEX(Bang_xuyen_giap!$C$2:$C$8,MIN(7,MAX(1,MAX(1,2-(Vu_khi!$L$98-0))+1)))*IF($AA$98,INDEX(Bang_xuyen_qua!$C$2:$C$5,MIN(4,MAX(1,(Vu_khi!$L$98)-(0)-1))),1)</f>
        <v/>
      </c>
      <c r="AJ98" t="n">
        <v>1</v>
      </c>
      <c r="AK98">
        <f>IF($Q$98,$M$98*$AC$98*$U$98,0)</f>
        <v/>
      </c>
      <c r="AL98" t="n">
        <v>111.6052060737527</v>
      </c>
      <c r="AM98">
        <f>IF($Q$98,$M$98*$AE$98*$U$98,0)</f>
        <v/>
      </c>
      <c r="AN98" t="n">
        <v>79.05368763557485</v>
      </c>
      <c r="AO98">
        <f>IF($Q$98,$M$98*$AG$98*$U$98,0)</f>
        <v/>
      </c>
      <c r="AP98" t="n">
        <v>37.20173535791758</v>
      </c>
      <c r="AQ98">
        <f>IF($Q$98,$M$98*$AE$98*$Y$98,0)</f>
        <v/>
      </c>
      <c r="AR98" t="n">
        <v>126.4859002169198</v>
      </c>
      <c r="AS98">
        <f>IF($S$98,$M$98*$AI$98*$W$98,0)</f>
        <v/>
      </c>
      <c r="AT98" t="n">
        <v>0</v>
      </c>
      <c r="AU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V98" t="b">
        <v>0</v>
      </c>
      <c r="AW98">
        <f>IF(AND($B$98&lt;0,$AU$98),4,$B$98)</f>
        <v/>
      </c>
      <c r="AX98" t="n">
        <v>3</v>
      </c>
      <c r="AY98">
        <f>IF($AW$98&lt;4,0,MIN(MAX(0.5,Canh_bao_vong!$D$4),MAX(IF(Vu_khi!$C$98="cal_406",Canh_bao_vong!$D$7,IF($AW$98&gt;=5,Canh_bao_vong!$D$9,Canh_bao_vong!$D$8)),Canh_bao_vong!$D$2+MAX(0,Vu_khi!$X$98)/MAX(0.1,Canh_bao_vong!$D$5))))</f>
        <v/>
      </c>
      <c r="AZ98" t="n">
        <v>0</v>
      </c>
      <c r="BD98" t="n">
        <v>170</v>
      </c>
      <c r="BE98" t="n">
        <v>221</v>
      </c>
      <c r="BF98" t="n">
        <v>0.05</v>
      </c>
      <c r="BG98" t="n">
        <v>0.1</v>
      </c>
      <c r="BH98" t="n">
        <v>0.2</v>
      </c>
      <c r="BI98" t="n">
        <v>0.154</v>
      </c>
      <c r="BJ98" t="inlineStr">
        <is>
          <t>DIRECT_FAST</t>
        </is>
      </c>
      <c r="BK98" t="inlineStr">
        <is>
          <t>ok</t>
        </is>
      </c>
      <c r="BL98" t="inlineStr">
        <is>
          <t>family rh_120_l_44_120_mm_he</t>
        </is>
      </c>
      <c r="BM98" t="inlineStr"/>
      <c r="BN98" t="inlineStr">
        <is>
          <t>Assets/MachineBrigade/Resources/Data/balance.json: weapons[id=gun_120_twin_he] (lớp B trên 01_chien_dau/Vu_khi)</t>
        </is>
      </c>
      <c r="BO98" t="inlineStr"/>
    </row>
    <row r="99">
      <c r="A99" t="inlineStr">
        <is>
          <t>gun_120mm</t>
        </is>
      </c>
      <c r="B99" t="n">
        <v>3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7.283</v>
      </c>
      <c r="I99">
        <f>Vu_khi!$W$99*MAX(1,$E$99)</f>
        <v/>
      </c>
      <c r="J99" t="n">
        <v>343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47.09597693258272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1.2</v>
      </c>
      <c r="W99">
        <f>INDEX(Bang_sat_thuong!$C$2:$C$7,MATCH(Vu_khi!$K$99,Bang_sat_thuong!$A$2:$A$7,0))</f>
        <v/>
      </c>
      <c r="X99" t="n">
        <v>0.3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0.7</v>
      </c>
      <c r="AA99">
        <f>AND(Vu_khi!$K$99="Kinetic",NOT(Vu_khi!$AG$99))</f>
        <v/>
      </c>
      <c r="AB99" t="b">
        <v>1</v>
      </c>
      <c r="AC99">
        <f>IF(Vu_khi!$AG$99,INDEX(Bang_danh_noc!$C$2:$C$8,MIN(7,MAX(1,2-(Vu_khi!$L$99-0)+1))),INDEX(Bang_xuyen_giap!$C$2:$C$8,MIN(7,MAX(1,IF($O$99,MAX(1,2-(Vu_khi!$L$99-0)),2-(Vu_khi!$L$99-0))+1))))*IF($AA$99,INDEX(Bang_xuyen_qua!$C$2:$C$5,MIN(4,MAX(1,(Vu_khi!$L$99)-(0)-1))),1)</f>
        <v/>
      </c>
      <c r="AD99" t="n">
        <v>1.02</v>
      </c>
      <c r="AE99">
        <f>IF(Vu_khi!$AG$99,INDEX(Bang_danh_noc!$C$2:$C$8,MIN(7,MAX(1,2-(Vu_khi!$L$99-2)+1))),INDEX(Bang_xuyen_giap!$C$2:$C$8,MIN(7,MAX(1,IF($O$99,MAX(1,2-(Vu_khi!$L$99-2)),2-(Vu_khi!$L$99-2))+1))))*IF($AA$99,INDEX(Bang_xuyen_qua!$C$2:$C$5,MIN(4,MAX(1,(Vu_khi!$L$99)-(2)-1))),1)</f>
        <v/>
      </c>
      <c r="AF99" t="n">
        <v>1.2</v>
      </c>
      <c r="AG99">
        <f>IF(Vu_khi!$AG$99,INDEX(Bang_danh_noc!$C$2:$C$8,MIN(7,MAX(1,2-(Vu_khi!$L$99-4)+1))),INDEX(Bang_xuyen_giap!$C$2:$C$8,MIN(7,MAX(1,IF($O$99,MAX(1,2-(Vu_khi!$L$99-4)),2-(Vu_khi!$L$99-4))+1))))*IF($AA$99,INDEX(Bang_xuyen_qua!$C$2:$C$5,MIN(4,MAX(1,(Vu_khi!$L$99)-(4)-1))),1)</f>
        <v/>
      </c>
      <c r="AH99" t="n">
        <v>0.85</v>
      </c>
      <c r="AI99">
        <f>INDEX(Bang_xuyen_giap!$C$2:$C$8,MIN(7,MAX(1,MAX(1,2-(Vu_khi!$L$99-0))+1)))*IF($AA$99,INDEX(Bang_xuyen_qua!$C$2:$C$5,MIN(4,MAX(1,(Vu_khi!$L$99)-(0)-1))),1)</f>
        <v/>
      </c>
      <c r="AJ99" t="n">
        <v>0.85</v>
      </c>
      <c r="AK99">
        <f>IF($Q$99,$M$99*$AC$99*$U$99,0)</f>
        <v/>
      </c>
      <c r="AL99" t="n">
        <v>57.64547576548125</v>
      </c>
      <c r="AM99">
        <f>IF($Q$99,$M$99*$AE$99*$U$99,0)</f>
        <v/>
      </c>
      <c r="AN99" t="n">
        <v>67.81820678291912</v>
      </c>
      <c r="AO99">
        <f>IF($Q$99,$M$99*$AG$99*$U$99,0)</f>
        <v/>
      </c>
      <c r="AP99" t="n">
        <v>48.03789647123438</v>
      </c>
      <c r="AQ99">
        <f>IF($Q$99,$M$99*$AE$99*$Y$99,0)</f>
        <v/>
      </c>
      <c r="AR99" t="n">
        <v>39.56062062336949</v>
      </c>
      <c r="AS99">
        <f>IF($S$99,$M$99*$AI$99*$W$99,0)</f>
        <v/>
      </c>
      <c r="AT99" t="n">
        <v>0</v>
      </c>
      <c r="AU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V99" t="b">
        <v>0</v>
      </c>
      <c r="AW99">
        <f>IF(AND($B$99&lt;0,$AU$99),4,$B$99)</f>
        <v/>
      </c>
      <c r="AX99" t="n">
        <v>3</v>
      </c>
      <c r="AY99">
        <f>IF($AW$99&lt;4,0,MIN(MAX(0.5,Canh_bao_vong!$D$4),MAX(IF(Vu_khi!$C$99="cal_406",Canh_bao_vong!$D$7,IF($AW$99&gt;=5,Canh_bao_vong!$D$9,Canh_bao_vong!$D$8)),Canh_bao_vong!$D$2+MAX(0,Vu_khi!$X$99)/MAX(0.1,Canh_bao_vong!$D$5))))</f>
        <v/>
      </c>
      <c r="AZ99" t="n">
        <v>0</v>
      </c>
      <c r="BA99" t="n">
        <v>0.679747</v>
      </c>
      <c r="BB99" t="inlineStr">
        <is>
          <t>LECH_DOT_1</t>
        </is>
      </c>
      <c r="BC99" t="inlineStr"/>
      <c r="BD99" t="n">
        <v>170</v>
      </c>
      <c r="BE99" t="n">
        <v>221</v>
      </c>
      <c r="BF99" t="n">
        <v>0.047</v>
      </c>
      <c r="BG99" t="n">
        <v>0.094</v>
      </c>
      <c r="BH99" t="n">
        <v>0.188</v>
      </c>
      <c r="BI99" t="n">
        <v>0.145</v>
      </c>
      <c r="BJ99" t="inlineStr">
        <is>
          <t>DIRECT_FAST</t>
        </is>
      </c>
      <c r="BK99" t="inlineStr">
        <is>
          <t>ok</t>
        </is>
      </c>
      <c r="BL99" t="inlineStr">
        <is>
          <t>family rh_120_l_44_120_mm</t>
        </is>
      </c>
      <c r="BM99" t="inlineStr"/>
      <c r="BN99" t="inlineStr">
        <is>
          <t>Assets/MachineBrigade/Resources/Data/balance.json: weapons[id=gun_120mm] (lớp B trên 01_chien_dau/Vu_khi)</t>
        </is>
      </c>
      <c r="BO99" t="inlineStr"/>
    </row>
    <row r="100">
      <c r="A100" t="inlineStr">
        <is>
          <t>gun_120mm_he</t>
        </is>
      </c>
      <c r="B100" t="n">
        <v>3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1</v>
      </c>
      <c r="G100">
        <f>IF(Vu_khi!$S$100&gt;0,(Vu_khi!$S$100-1)*Vu_khi!$R$100+Vu_khi!$T$100,Vu_khi!$R$100+(Vu_khi!$P$100-1)*Vu_khi!$Q$100)</f>
        <v/>
      </c>
      <c r="H100" t="n">
        <v>7.283</v>
      </c>
      <c r="I100">
        <f>Vu_khi!$W$100*MAX(1,$E$100)</f>
        <v/>
      </c>
      <c r="J100" t="n">
        <v>343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47.09597693258272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0</v>
      </c>
      <c r="U100">
        <f>INDEX(Bang_sat_thuong!$B$2:$B$7,MATCH(Vu_khi!$K$100,Bang_sat_thuong!$A$2:$A$7,0))</f>
        <v/>
      </c>
      <c r="V100" t="n">
        <v>1</v>
      </c>
      <c r="W100">
        <f>INDEX(Bang_sat_thuong!$C$2:$C$7,MATCH(Vu_khi!$K$100,Bang_sat_thuong!$A$2:$A$7,0))</f>
        <v/>
      </c>
      <c r="X100" t="n">
        <v>0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1.6</v>
      </c>
      <c r="AA100">
        <f>AND(Vu_khi!$K$100="Kinetic",NOT(Vu_khi!$AG$100))</f>
        <v/>
      </c>
      <c r="AB100" t="b">
        <v>0</v>
      </c>
      <c r="AC100">
        <f>IF(Vu_khi!$AG$100,INDEX(Bang_danh_noc!$C$2:$C$8,MIN(7,MAX(1,2-(Vu_khi!$L$100-0)+1))),INDEX(Bang_xuyen_giap!$C$2:$C$8,MIN(7,MAX(1,IF($O$100,MAX(1,2-(Vu_khi!$L$100-0)),2-(Vu_khi!$L$100-0))+1))))*IF($AA$100,INDEX(Bang_xuyen_qua!$C$2:$C$5,MIN(4,MAX(1,(Vu_khi!$L$100)-(0)-1))),1)</f>
        <v/>
      </c>
      <c r="AD100" t="n">
        <v>1.2</v>
      </c>
      <c r="AE100">
        <f>IF(Vu_khi!$AG$100,INDEX(Bang_danh_noc!$C$2:$C$8,MIN(7,MAX(1,2-(Vu_khi!$L$100-2)+1))),INDEX(Bang_xuyen_giap!$C$2:$C$8,MIN(7,MAX(1,IF($O$100,MAX(1,2-(Vu_khi!$L$100-2)),2-(Vu_khi!$L$100-2))+1))))*IF($AA$100,INDEX(Bang_xuyen_qua!$C$2:$C$5,MIN(4,MAX(1,(Vu_khi!$L$100)-(2)-1))),1)</f>
        <v/>
      </c>
      <c r="AF100" t="n">
        <v>0.85</v>
      </c>
      <c r="AG100">
        <f>IF(Vu_khi!$AG$100,INDEX(Bang_danh_noc!$C$2:$C$8,MIN(7,MAX(1,2-(Vu_khi!$L$100-4)+1))),INDEX(Bang_xuyen_giap!$C$2:$C$8,MIN(7,MAX(1,IF($O$100,MAX(1,2-(Vu_khi!$L$100-4)),2-(Vu_khi!$L$100-4))+1))))*IF($AA$100,INDEX(Bang_xuyen_qua!$C$2:$C$5,MIN(4,MAX(1,(Vu_khi!$L$100)-(4)-1))),1)</f>
        <v/>
      </c>
      <c r="AH100" t="n">
        <v>0.4</v>
      </c>
      <c r="AI100">
        <f>INDEX(Bang_xuyen_giap!$C$2:$C$8,MIN(7,MAX(1,MAX(1,2-(Vu_khi!$L$100-0))+1)))*IF($AA$100,INDEX(Bang_xuyen_qua!$C$2:$C$5,MIN(4,MAX(1,(Vu_khi!$L$100)-(0)-1))),1)</f>
        <v/>
      </c>
      <c r="AJ100" t="n">
        <v>1</v>
      </c>
      <c r="AK100">
        <f>IF($Q$100,$M$100*$AC$100*$U$100,0)</f>
        <v/>
      </c>
      <c r="AL100" t="n">
        <v>56.51517231909926</v>
      </c>
      <c r="AM100">
        <f>IF($Q$100,$M$100*$AE$100*$U$100,0)</f>
        <v/>
      </c>
      <c r="AN100" t="n">
        <v>40.03158039269531</v>
      </c>
      <c r="AO100">
        <f>IF($Q$100,$M$100*$AG$100*$U$100,0)</f>
        <v/>
      </c>
      <c r="AP100" t="n">
        <v>18.83839077303309</v>
      </c>
      <c r="AQ100">
        <f>IF($Q$100,$M$100*$AE$100*$Y$100,0)</f>
        <v/>
      </c>
      <c r="AR100" t="n">
        <v>64.05052862831251</v>
      </c>
      <c r="AS100">
        <f>IF($S$100,$M$100*$AI$100*$W$100,0)</f>
        <v/>
      </c>
      <c r="AT100" t="n">
        <v>0</v>
      </c>
      <c r="AU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V100" t="b">
        <v>0</v>
      </c>
      <c r="AW100">
        <f>IF(AND($B$100&lt;0,$AU$100),4,$B$100)</f>
        <v/>
      </c>
      <c r="AX100" t="n">
        <v>3</v>
      </c>
      <c r="AY100">
        <f>IF($AW$100&lt;4,0,MIN(MAX(0.5,Canh_bao_vong!$D$4),MAX(IF(Vu_khi!$C$100="cal_406",Canh_bao_vong!$D$7,IF($AW$100&gt;=5,Canh_bao_vong!$D$9,Canh_bao_vong!$D$8)),Canh_bao_vong!$D$2+MAX(0,Vu_khi!$X$100)/MAX(0.1,Canh_bao_vong!$D$5))))</f>
        <v/>
      </c>
      <c r="AZ100" t="n">
        <v>0</v>
      </c>
      <c r="BD100" t="n">
        <v>170</v>
      </c>
      <c r="BE100" t="n">
        <v>221</v>
      </c>
      <c r="BF100" t="n">
        <v>0.047</v>
      </c>
      <c r="BG100" t="n">
        <v>0.094</v>
      </c>
      <c r="BH100" t="n">
        <v>0.188</v>
      </c>
      <c r="BI100" t="n">
        <v>0.145</v>
      </c>
      <c r="BJ100" t="inlineStr">
        <is>
          <t>DIRECT_FAST</t>
        </is>
      </c>
      <c r="BK100" t="inlineStr">
        <is>
          <t>ok</t>
        </is>
      </c>
      <c r="BL100" t="inlineStr">
        <is>
          <t>family rh_120_l_44_120_mm_he</t>
        </is>
      </c>
      <c r="BM100" t="inlineStr"/>
      <c r="BN100" t="inlineStr">
        <is>
          <t>Assets/MachineBrigade/Resources/Data/balance.json: weapons[id=gun_120mm_he] (lớp B trên 01_chien_dau/Vu_khi)</t>
        </is>
      </c>
      <c r="BO100" t="inlineStr"/>
    </row>
    <row r="101">
      <c r="A101" t="inlineStr">
        <is>
          <t>gun_125_armata_ke</t>
        </is>
      </c>
      <c r="B101" t="n">
        <v>3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</v>
      </c>
      <c r="G101">
        <f>IF(Vu_khi!$S$101&gt;0,(Vu_khi!$S$101-1)*Vu_khi!$R$101+Vu_khi!$T$101,Vu_khi!$R$101+(Vu_khi!$P$101-1)*Vu_khi!$Q$101)</f>
        <v/>
      </c>
      <c r="H101" t="n">
        <v>7.143</v>
      </c>
      <c r="I101">
        <f>Vu_khi!$W$101*MAX(1,$E$101)</f>
        <v/>
      </c>
      <c r="J101" t="n">
        <v>371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51.93896122077559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1</v>
      </c>
      <c r="U101">
        <f>INDEX(Bang_sat_thuong!$B$2:$B$7,MATCH(Vu_khi!$K$101,Bang_sat_thuong!$A$2:$A$7,0))</f>
        <v/>
      </c>
      <c r="V101" t="n">
        <v>1.2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0.7</v>
      </c>
      <c r="AA101">
        <f>AND(Vu_khi!$K$101="Kinetic",NOT(Vu_khi!$AG$101))</f>
        <v/>
      </c>
      <c r="AB101" t="b">
        <v>1</v>
      </c>
      <c r="AC101">
        <f>IF(Vu_khi!$AG$101,INDEX(Bang_danh_noc!$C$2:$C$8,MIN(7,MAX(1,2-(Vu_khi!$L$101-0)+1))),INDEX(Bang_xuyen_giap!$C$2:$C$8,MIN(7,MAX(1,IF($O$101,MAX(1,2-(Vu_khi!$L$101-0)),2-(Vu_khi!$L$101-0))+1))))*IF($AA$101,INDEX(Bang_xuyen_qua!$C$2:$C$5,MIN(4,MAX(1,(Vu_khi!$L$101)-(0)-1))),1)</f>
        <v/>
      </c>
      <c r="AD101" t="n">
        <v>0.8999999999999999</v>
      </c>
      <c r="AE101">
        <f>IF(Vu_khi!$AG$101,INDEX(Bang_danh_noc!$C$2:$C$8,MIN(7,MAX(1,2-(Vu_khi!$L$101-2)+1))),INDEX(Bang_xuyen_giap!$C$2:$C$8,MIN(7,MAX(1,IF($O$101,MAX(1,2-(Vu_khi!$L$101-2)),2-(Vu_khi!$L$101-2))+1))))*IF($AA$101,INDEX(Bang_xuyen_qua!$C$2:$C$5,MIN(4,MAX(1,(Vu_khi!$L$101)-(2)-1))),1)</f>
        <v/>
      </c>
      <c r="AF101" t="n">
        <v>1.14</v>
      </c>
      <c r="AG101">
        <f>IF(Vu_khi!$AG$101,INDEX(Bang_danh_noc!$C$2:$C$8,MIN(7,MAX(1,2-(Vu_khi!$L$101-4)+1))),INDEX(Bang_xuyen_giap!$C$2:$C$8,MIN(7,MAX(1,IF($O$101,MAX(1,2-(Vu_khi!$L$101-4)),2-(Vu_khi!$L$101-4))+1))))*IF($AA$101,INDEX(Bang_xuyen_qua!$C$2:$C$5,MIN(4,MAX(1,(Vu_khi!$L$101)-(4)-1))),1)</f>
        <v/>
      </c>
      <c r="AH101" t="n">
        <v>1</v>
      </c>
      <c r="AI101">
        <f>INDEX(Bang_xuyen_giap!$C$2:$C$8,MIN(7,MAX(1,MAX(1,2-(Vu_khi!$L$101-0))+1)))*IF($AA$101,INDEX(Bang_xuyen_qua!$C$2:$C$5,MIN(4,MAX(1,(Vu_khi!$L$101)-(0)-1))),1)</f>
        <v/>
      </c>
      <c r="AJ101" t="n">
        <v>0.75</v>
      </c>
      <c r="AK101">
        <f>IF($Q$101,$M$101*$AC$101*$U$101,0)</f>
        <v/>
      </c>
      <c r="AL101" t="n">
        <v>56.09407811843763</v>
      </c>
      <c r="AM101">
        <f>IF($Q$101,$M$101*$AE$101*$U$101,0)</f>
        <v/>
      </c>
      <c r="AN101" t="n">
        <v>71.052498950021</v>
      </c>
      <c r="AO101">
        <f>IF($Q$101,$M$101*$AG$101*$U$101,0)</f>
        <v/>
      </c>
      <c r="AP101" t="n">
        <v>62.3267534649307</v>
      </c>
      <c r="AQ101">
        <f>IF($Q$101,$M$101*$AE$101*$Y$101,0)</f>
        <v/>
      </c>
      <c r="AR101" t="n">
        <v>41.44729105417892</v>
      </c>
      <c r="AS101">
        <f>IF($S$101,$M$101*$AI$101*$W$101,0)</f>
        <v/>
      </c>
      <c r="AT101" t="n">
        <v>11.68626627467451</v>
      </c>
      <c r="AU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V101" t="b">
        <v>0</v>
      </c>
      <c r="AW101">
        <f>IF(AND($B$101&lt;0,$AU$101),4,$B$101)</f>
        <v/>
      </c>
      <c r="AX101" t="n">
        <v>3</v>
      </c>
      <c r="AY101">
        <f>IF($AW$101&lt;4,0,MIN(MAX(0.5,Canh_bao_vong!$D$4),MAX(IF(Vu_khi!$C$101="cal_406",Canh_bao_vong!$D$7,IF($AW$101&gt;=5,Canh_bao_vong!$D$9,Canh_bao_vong!$D$8)),Canh_bao_vong!$D$2+MAX(0,Vu_khi!$X$101)/MAX(0.1,Canh_bao_vong!$D$5))))</f>
        <v/>
      </c>
      <c r="AZ101" t="n">
        <v>0</v>
      </c>
      <c r="BA101" t="n">
        <v>0.6666800000000001</v>
      </c>
      <c r="BB101" t="inlineStr">
        <is>
          <t>ok</t>
        </is>
      </c>
      <c r="BC101" t="inlineStr"/>
      <c r="BD101" t="n">
        <v>210</v>
      </c>
      <c r="BE101" t="n">
        <v>273</v>
      </c>
      <c r="BF101" t="n">
        <v>0.04</v>
      </c>
      <c r="BG101" t="n">
        <v>0.081</v>
      </c>
      <c r="BH101" t="n">
        <v>0.162</v>
      </c>
      <c r="BI101" t="n">
        <v>0.125</v>
      </c>
      <c r="BJ101" t="inlineStr">
        <is>
          <t>DIRECT_FAST</t>
        </is>
      </c>
      <c r="BK101" t="inlineStr">
        <is>
          <t>ok</t>
        </is>
      </c>
      <c r="BL101" t="inlineStr">
        <is>
          <t>own line</t>
        </is>
      </c>
      <c r="BM101" t="inlineStr"/>
      <c r="BN101" t="inlineStr">
        <is>
          <t>Assets/MachineBrigade/Resources/Data/balance.json: weapons[id=gun_125_armata_ke] (lớp B trên 01_chien_dau/Vu_khi)</t>
        </is>
      </c>
      <c r="BO101" t="inlineStr"/>
    </row>
    <row r="102">
      <c r="A102" t="inlineStr">
        <is>
          <t>gun_125_elite</t>
        </is>
      </c>
      <c r="B102" t="n">
        <v>3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1</v>
      </c>
      <c r="G102">
        <f>IF(Vu_khi!$S$102&gt;0,(Vu_khi!$S$102-1)*Vu_khi!$R$102+Vu_khi!$T$102,Vu_khi!$R$102+(Vu_khi!$P$102-1)*Vu_khi!$Q$102)</f>
        <v/>
      </c>
      <c r="H102" t="n">
        <v>8.086</v>
      </c>
      <c r="I102">
        <f>Vu_khi!$W$102*MAX(1,$E$102)</f>
        <v/>
      </c>
      <c r="J102" t="n">
        <v>371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45.88177096215681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1.2</v>
      </c>
      <c r="W102">
        <f>INDEX(Bang_sat_thuong!$C$2:$C$7,MATCH(Vu_khi!$K$102,Bang_sat_thuong!$A$2:$A$7,0))</f>
        <v/>
      </c>
      <c r="X102" t="n">
        <v>0.3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0.7</v>
      </c>
      <c r="AA102">
        <f>AND(Vu_khi!$K$102="Kinetic",NOT(Vu_khi!$AG$102))</f>
        <v/>
      </c>
      <c r="AB102" t="b">
        <v>1</v>
      </c>
      <c r="AC102">
        <f>IF(Vu_khi!$AG$102,INDEX(Bang_danh_noc!$C$2:$C$8,MIN(7,MAX(1,2-(Vu_khi!$L$102-0)+1))),INDEX(Bang_xuyen_giap!$C$2:$C$8,MIN(7,MAX(1,IF($O$102,MAX(1,2-(Vu_khi!$L$102-0)),2-(Vu_khi!$L$102-0))+1))))*IF($AA$102,INDEX(Bang_xuyen_qua!$C$2:$C$5,MIN(4,MAX(1,(Vu_khi!$L$102)-(0)-1))),1)</f>
        <v/>
      </c>
      <c r="AD102" t="n">
        <v>0.8999999999999999</v>
      </c>
      <c r="AE102">
        <f>IF(Vu_khi!$AG$102,INDEX(Bang_danh_noc!$C$2:$C$8,MIN(7,MAX(1,2-(Vu_khi!$L$102-2)+1))),INDEX(Bang_xuyen_giap!$C$2:$C$8,MIN(7,MAX(1,IF($O$102,MAX(1,2-(Vu_khi!$L$102-2)),2-(Vu_khi!$L$102-2))+1))))*IF($AA$102,INDEX(Bang_xuyen_qua!$C$2:$C$5,MIN(4,MAX(1,(Vu_khi!$L$102)-(2)-1))),1)</f>
        <v/>
      </c>
      <c r="AF102" t="n">
        <v>1.14</v>
      </c>
      <c r="AG102">
        <f>IF(Vu_khi!$AG$102,INDEX(Bang_danh_noc!$C$2:$C$8,MIN(7,MAX(1,2-(Vu_khi!$L$102-4)+1))),INDEX(Bang_xuyen_giap!$C$2:$C$8,MIN(7,MAX(1,IF($O$102,MAX(1,2-(Vu_khi!$L$102-4)),2-(Vu_khi!$L$102-4))+1))))*IF($AA$102,INDEX(Bang_xuyen_qua!$C$2:$C$5,MIN(4,MAX(1,(Vu_khi!$L$102)-(4)-1))),1)</f>
        <v/>
      </c>
      <c r="AH102" t="n">
        <v>1</v>
      </c>
      <c r="AI102">
        <f>INDEX(Bang_xuyen_giap!$C$2:$C$8,MIN(7,MAX(1,MAX(1,2-(Vu_khi!$L$102-0))+1)))*IF($AA$102,INDEX(Bang_xuyen_qua!$C$2:$C$5,MIN(4,MAX(1,(Vu_khi!$L$102)-(0)-1))),1)</f>
        <v/>
      </c>
      <c r="AJ102" t="n">
        <v>0.75</v>
      </c>
      <c r="AK102">
        <f>IF($Q$102,$M$102*$AC$102*$U$102,0)</f>
        <v/>
      </c>
      <c r="AL102" t="n">
        <v>49.55231263912935</v>
      </c>
      <c r="AM102">
        <f>IF($Q$102,$M$102*$AE$102*$U$102,0)</f>
        <v/>
      </c>
      <c r="AN102" t="n">
        <v>62.76626267623052</v>
      </c>
      <c r="AO102">
        <f>IF($Q$102,$M$102*$AG$102*$U$102,0)</f>
        <v/>
      </c>
      <c r="AP102" t="n">
        <v>55.05812515458818</v>
      </c>
      <c r="AQ102">
        <f>IF($Q$102,$M$102*$AE$102*$Y$102,0)</f>
        <v/>
      </c>
      <c r="AR102" t="n">
        <v>36.61365322780114</v>
      </c>
      <c r="AS102">
        <f>IF($S$102,$M$102*$AI$102*$W$102,0)</f>
        <v/>
      </c>
      <c r="AT102" t="n">
        <v>0</v>
      </c>
      <c r="AU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V102" t="b">
        <v>0</v>
      </c>
      <c r="AW102">
        <f>IF(AND($B$102&lt;0,$AU$102),4,$B$102)</f>
        <v/>
      </c>
      <c r="AX102" t="n">
        <v>3</v>
      </c>
      <c r="AY102">
        <f>IF($AW$102&lt;4,0,MIN(MAX(0.5,Canh_bao_vong!$D$4),MAX(IF(Vu_khi!$C$102="cal_406",Canh_bao_vong!$D$7,IF($AW$102&gt;=5,Canh_bao_vong!$D$9,Canh_bao_vong!$D$8)),Canh_bao_vong!$D$2+MAX(0,Vu_khi!$X$102)/MAX(0.1,Canh_bao_vong!$D$5))))</f>
        <v/>
      </c>
      <c r="AZ102" t="n">
        <v>0</v>
      </c>
      <c r="BA102" t="n">
        <v>0.7546929999999999</v>
      </c>
      <c r="BB102" t="inlineStr">
        <is>
          <t>LECH_DOT_1</t>
        </is>
      </c>
      <c r="BC102" t="inlineStr"/>
      <c r="BD102" t="n">
        <v>190</v>
      </c>
      <c r="BE102" t="n">
        <v>247</v>
      </c>
      <c r="BF102" t="n">
        <v>0.045</v>
      </c>
      <c r="BG102" t="n">
        <v>0.089</v>
      </c>
      <c r="BH102" t="n">
        <v>0.179</v>
      </c>
      <c r="BI102" t="n">
        <v>0.138</v>
      </c>
      <c r="BJ102" t="inlineStr">
        <is>
          <t>DIRECT_FAST</t>
        </is>
      </c>
      <c r="BK102" t="inlineStr">
        <is>
          <t>ok</t>
        </is>
      </c>
      <c r="BL102" t="inlineStr">
        <is>
          <t>own line</t>
        </is>
      </c>
      <c r="BM102" t="inlineStr"/>
      <c r="BN102" t="inlineStr">
        <is>
          <t>Assets/MachineBrigade/Resources/Data/balance.json: weapons[id=gun_125_elite] (lớp B trên 01_chien_dau/Vu_khi)</t>
        </is>
      </c>
      <c r="BO102" t="inlineStr"/>
    </row>
    <row r="103">
      <c r="A103" t="inlineStr">
        <is>
          <t>gun_125_elite_he</t>
        </is>
      </c>
      <c r="B103" t="n">
        <v>3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1</v>
      </c>
      <c r="G103">
        <f>IF(Vu_khi!$S$103&gt;0,(Vu_khi!$S$103-1)*Vu_khi!$R$103+Vu_khi!$T$103,Vu_khi!$R$103+(Vu_khi!$P$103-1)*Vu_khi!$Q$103)</f>
        <v/>
      </c>
      <c r="H103" t="n">
        <v>8.086</v>
      </c>
      <c r="I103">
        <f>Vu_khi!$W$103*MAX(1,$E$103)</f>
        <v/>
      </c>
      <c r="J103" t="n">
        <v>371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45.88177096215681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0</v>
      </c>
      <c r="U103">
        <f>INDEX(Bang_sat_thuong!$B$2:$B$7,MATCH(Vu_khi!$K$103,Bang_sat_thuong!$A$2:$A$7,0))</f>
        <v/>
      </c>
      <c r="V103" t="n">
        <v>1</v>
      </c>
      <c r="W103">
        <f>INDEX(Bang_sat_thuong!$C$2:$C$7,MATCH(Vu_khi!$K$103,Bang_sat_thuong!$A$2:$A$7,0))</f>
        <v/>
      </c>
      <c r="X103" t="n">
        <v>0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1.6</v>
      </c>
      <c r="AA103">
        <f>AND(Vu_khi!$K$103="Kinetic",NOT(Vu_khi!$AG$103))</f>
        <v/>
      </c>
      <c r="AB103" t="b">
        <v>0</v>
      </c>
      <c r="AC103">
        <f>IF(Vu_khi!$AG$103,INDEX(Bang_danh_noc!$C$2:$C$8,MIN(7,MAX(1,2-(Vu_khi!$L$103-0)+1))),INDEX(Bang_xuyen_giap!$C$2:$C$8,MIN(7,MAX(1,IF($O$103,MAX(1,2-(Vu_khi!$L$103-0)),2-(Vu_khi!$L$103-0))+1))))*IF($AA$103,INDEX(Bang_xuyen_qua!$C$2:$C$5,MIN(4,MAX(1,(Vu_khi!$L$103)-(0)-1))),1)</f>
        <v/>
      </c>
      <c r="AD103" t="n">
        <v>1.2</v>
      </c>
      <c r="AE103">
        <f>IF(Vu_khi!$AG$103,INDEX(Bang_danh_noc!$C$2:$C$8,MIN(7,MAX(1,2-(Vu_khi!$L$103-2)+1))),INDEX(Bang_xuyen_giap!$C$2:$C$8,MIN(7,MAX(1,IF($O$103,MAX(1,2-(Vu_khi!$L$103-2)),2-(Vu_khi!$L$103-2))+1))))*IF($AA$103,INDEX(Bang_xuyen_qua!$C$2:$C$5,MIN(4,MAX(1,(Vu_khi!$L$103)-(2)-1))),1)</f>
        <v/>
      </c>
      <c r="AF103" t="n">
        <v>0.85</v>
      </c>
      <c r="AG103">
        <f>IF(Vu_khi!$AG$103,INDEX(Bang_danh_noc!$C$2:$C$8,MIN(7,MAX(1,2-(Vu_khi!$L$103-4)+1))),INDEX(Bang_xuyen_giap!$C$2:$C$8,MIN(7,MAX(1,IF($O$103,MAX(1,2-(Vu_khi!$L$103-4)),2-(Vu_khi!$L$103-4))+1))))*IF($AA$103,INDEX(Bang_xuyen_qua!$C$2:$C$5,MIN(4,MAX(1,(Vu_khi!$L$103)-(4)-1))),1)</f>
        <v/>
      </c>
      <c r="AH103" t="n">
        <v>0.4</v>
      </c>
      <c r="AI103">
        <f>INDEX(Bang_xuyen_giap!$C$2:$C$8,MIN(7,MAX(1,MAX(1,2-(Vu_khi!$L$103-0))+1)))*IF($AA$103,INDEX(Bang_xuyen_qua!$C$2:$C$5,MIN(4,MAX(1,(Vu_khi!$L$103)-(0)-1))),1)</f>
        <v/>
      </c>
      <c r="AJ103" t="n">
        <v>1</v>
      </c>
      <c r="AK103">
        <f>IF($Q$103,$M$103*$AC$103*$U$103,0)</f>
        <v/>
      </c>
      <c r="AL103" t="n">
        <v>55.05812515458818</v>
      </c>
      <c r="AM103">
        <f>IF($Q$103,$M$103*$AE$103*$U$103,0)</f>
        <v/>
      </c>
      <c r="AN103" t="n">
        <v>38.99950531783329</v>
      </c>
      <c r="AO103">
        <f>IF($Q$103,$M$103*$AG$103*$U$103,0)</f>
        <v/>
      </c>
      <c r="AP103" t="n">
        <v>18.35270838486273</v>
      </c>
      <c r="AQ103">
        <f>IF($Q$103,$M$103*$AE$103*$Y$103,0)</f>
        <v/>
      </c>
      <c r="AR103" t="n">
        <v>62.39920850853327</v>
      </c>
      <c r="AS103">
        <f>IF($S$103,$M$103*$AI$103*$W$103,0)</f>
        <v/>
      </c>
      <c r="AT103" t="n">
        <v>0</v>
      </c>
      <c r="AU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V103" t="b">
        <v>0</v>
      </c>
      <c r="AW103">
        <f>IF(AND($B$103&lt;0,$AU$103),4,$B$103)</f>
        <v/>
      </c>
      <c r="AX103" t="n">
        <v>3</v>
      </c>
      <c r="AY103">
        <f>IF($AW$103&lt;4,0,MIN(MAX(0.5,Canh_bao_vong!$D$4),MAX(IF(Vu_khi!$C$103="cal_406",Canh_bao_vong!$D$7,IF($AW$103&gt;=5,Canh_bao_vong!$D$9,Canh_bao_vong!$D$8)),Canh_bao_vong!$D$2+MAX(0,Vu_khi!$X$103)/MAX(0.1,Canh_bao_vong!$D$5))))</f>
        <v/>
      </c>
      <c r="AZ103" t="n">
        <v>0</v>
      </c>
      <c r="BD103" t="n">
        <v>190</v>
      </c>
      <c r="BE103" t="n">
        <v>247</v>
      </c>
      <c r="BF103" t="n">
        <v>0.045</v>
      </c>
      <c r="BG103" t="n">
        <v>0.089</v>
      </c>
      <c r="BH103" t="n">
        <v>0.179</v>
      </c>
      <c r="BI103" t="n">
        <v>0.138</v>
      </c>
      <c r="BJ103" t="inlineStr">
        <is>
          <t>DIRECT_FAST</t>
        </is>
      </c>
      <c r="BK103" t="inlineStr">
        <is>
          <t>ok</t>
        </is>
      </c>
      <c r="BL103" t="inlineStr">
        <is>
          <t>inherited from gun_125_elite</t>
        </is>
      </c>
      <c r="BM103" t="inlineStr"/>
      <c r="BN103" t="inlineStr">
        <is>
          <t>Assets/MachineBrigade/Resources/Data/balance.json: weapons[id=gun_125_elite_he] (lớp B trên 01_chien_dau/Vu_khi)</t>
        </is>
      </c>
      <c r="BO103" t="inlineStr"/>
    </row>
    <row r="104">
      <c r="A104" t="inlineStr">
        <is>
          <t>gun_140_twin</t>
        </is>
      </c>
      <c r="B104" t="n">
        <v>3</v>
      </c>
      <c r="C104">
        <f>IF(Vu_khi!$O$104="SIMULTANEOUS",MAX(1,Vu_khi!$N$104),1)</f>
        <v/>
      </c>
      <c r="D104" t="n">
        <v>2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6.481</v>
      </c>
      <c r="I104">
        <f>Vu_khi!$W$104*MAX(1,$E$104)</f>
        <v/>
      </c>
      <c r="J104" t="n">
        <v>828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127.7580620274649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1.2</v>
      </c>
      <c r="W104">
        <f>INDEX(Bang_sat_thuong!$C$2:$C$7,MATCH(Vu_khi!$K$104,Bang_sat_thuong!$A$2:$A$7,0))</f>
        <v/>
      </c>
      <c r="X104" t="n">
        <v>0.3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0.7</v>
      </c>
      <c r="AA104">
        <f>AND(Vu_khi!$K$104="Kinetic",NOT(Vu_khi!$AG$104))</f>
        <v/>
      </c>
      <c r="AB104" t="b">
        <v>1</v>
      </c>
      <c r="AC104">
        <f>IF(Vu_khi!$AG$104,INDEX(Bang_danh_noc!$C$2:$C$8,MIN(7,MAX(1,2-(Vu_khi!$L$104-0)+1))),INDEX(Bang_xuyen_giap!$C$2:$C$8,MIN(7,MAX(1,IF($O$104,MAX(1,2-(Vu_khi!$L$104-0)),2-(Vu_khi!$L$104-0))+1))))*IF($AA$104,INDEX(Bang_xuyen_qua!$C$2:$C$5,MIN(4,MAX(1,(Vu_khi!$L$104)-(0)-1))),1)</f>
        <v/>
      </c>
      <c r="AD104" t="n">
        <v>0.8999999999999999</v>
      </c>
      <c r="AE104">
        <f>IF(Vu_khi!$AG$104,INDEX(Bang_danh_noc!$C$2:$C$8,MIN(7,MAX(1,2-(Vu_khi!$L$104-2)+1))),INDEX(Bang_xuyen_giap!$C$2:$C$8,MIN(7,MAX(1,IF($O$104,MAX(1,2-(Vu_khi!$L$104-2)),2-(Vu_khi!$L$104-2))+1))))*IF($AA$104,INDEX(Bang_xuyen_qua!$C$2:$C$5,MIN(4,MAX(1,(Vu_khi!$L$104)-(2)-1))),1)</f>
        <v/>
      </c>
      <c r="AF104" t="n">
        <v>1.14</v>
      </c>
      <c r="AG104">
        <f>IF(Vu_khi!$AG$104,INDEX(Bang_danh_noc!$C$2:$C$8,MIN(7,MAX(1,2-(Vu_khi!$L$104-4)+1))),INDEX(Bang_xuyen_giap!$C$2:$C$8,MIN(7,MAX(1,IF($O$104,MAX(1,2-(Vu_khi!$L$104-4)),2-(Vu_khi!$L$104-4))+1))))*IF($AA$104,INDEX(Bang_xuyen_qua!$C$2:$C$5,MIN(4,MAX(1,(Vu_khi!$L$104)-(4)-1))),1)</f>
        <v/>
      </c>
      <c r="AH104" t="n">
        <v>1</v>
      </c>
      <c r="AI104">
        <f>INDEX(Bang_xuyen_giap!$C$2:$C$8,MIN(7,MAX(1,MAX(1,2-(Vu_khi!$L$104-0))+1)))*IF($AA$104,INDEX(Bang_xuyen_qua!$C$2:$C$5,MIN(4,MAX(1,(Vu_khi!$L$104)-(0)-1))),1)</f>
        <v/>
      </c>
      <c r="AJ104" t="n">
        <v>0.75</v>
      </c>
      <c r="AK104">
        <f>IF($Q$104,$M$104*$AC$104*$U$104,0)</f>
        <v/>
      </c>
      <c r="AL104" t="n">
        <v>137.9787069896621</v>
      </c>
      <c r="AM104">
        <f>IF($Q$104,$M$104*$AE$104*$U$104,0)</f>
        <v/>
      </c>
      <c r="AN104" t="n">
        <v>174.773028853572</v>
      </c>
      <c r="AO104">
        <f>IF($Q$104,$M$104*$AG$104*$U$104,0)</f>
        <v/>
      </c>
      <c r="AP104" t="n">
        <v>153.3096744329579</v>
      </c>
      <c r="AQ104">
        <f>IF($Q$104,$M$104*$AE$104*$Y$104,0)</f>
        <v/>
      </c>
      <c r="AR104" t="n">
        <v>101.950933497917</v>
      </c>
      <c r="AS104">
        <f>IF($S$104,$M$104*$AI$104*$W$104,0)</f>
        <v/>
      </c>
      <c r="AT104" t="n">
        <v>0</v>
      </c>
      <c r="AU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V104" t="b">
        <v>0</v>
      </c>
      <c r="AW104">
        <f>IF(AND($B$104&lt;0,$AU$104),4,$B$104)</f>
        <v/>
      </c>
      <c r="AX104" t="n">
        <v>3</v>
      </c>
      <c r="AY104">
        <f>IF($AW$104&lt;4,0,MIN(MAX(0.5,Canh_bao_vong!$D$4),MAX(IF(Vu_khi!$C$104="cal_406",Canh_bao_vong!$D$7,IF($AW$104&gt;=5,Canh_bao_vong!$D$9,Canh_bao_vong!$D$8)),Canh_bao_vong!$D$2+MAX(0,Vu_khi!$X$104)/MAX(0.1,Canh_bao_vong!$D$5))))</f>
        <v/>
      </c>
      <c r="AZ104" t="n">
        <v>0</v>
      </c>
      <c r="BA104" t="n">
        <v>0.756117</v>
      </c>
      <c r="BB104" t="inlineStr">
        <is>
          <t>LECH_DOT_1</t>
        </is>
      </c>
      <c r="BC104" t="inlineStr"/>
      <c r="BD104" t="n">
        <v>200</v>
      </c>
      <c r="BE104" t="n">
        <v>260</v>
      </c>
      <c r="BF104" t="n">
        <v>0.05</v>
      </c>
      <c r="BG104" t="n">
        <v>0.1</v>
      </c>
      <c r="BH104" t="n">
        <v>0.2</v>
      </c>
      <c r="BI104" t="n">
        <v>0.154</v>
      </c>
      <c r="BJ104" t="inlineStr">
        <is>
          <t>DIRECT_FAST</t>
        </is>
      </c>
      <c r="BK104" t="inlineStr">
        <is>
          <t>ok</t>
        </is>
      </c>
      <c r="BL104" t="inlineStr">
        <is>
          <t>own line</t>
        </is>
      </c>
      <c r="BM104" t="inlineStr"/>
      <c r="BN104" t="inlineStr">
        <is>
          <t>Assets/MachineBrigade/Resources/Data/balance.json: weapons[id=gun_140_twin] (lớp B trên 01_chien_dau/Vu_khi)</t>
        </is>
      </c>
      <c r="BO104" t="inlineStr"/>
    </row>
    <row r="105">
      <c r="A105" t="inlineStr">
        <is>
          <t>gun_140_twin_he</t>
        </is>
      </c>
      <c r="B105" t="n">
        <v>3</v>
      </c>
      <c r="C105">
        <f>IF(Vu_khi!$O$105="SIMULTANEOUS",MAX(1,Vu_khi!$N$105),1)</f>
        <v/>
      </c>
      <c r="D105" t="n">
        <v>2</v>
      </c>
      <c r="E105">
        <f>IF(Vu_khi!$S$105&gt;0,Vu_khi!$S$105,Vu_khi!$P$105*$C$105)</f>
        <v/>
      </c>
      <c r="F105" t="n">
        <v>2</v>
      </c>
      <c r="G105">
        <f>IF(Vu_khi!$S$105&gt;0,(Vu_khi!$S$105-1)*Vu_khi!$R$105+Vu_khi!$T$105,Vu_khi!$R$105+(Vu_khi!$P$105-1)*Vu_khi!$Q$105)</f>
        <v/>
      </c>
      <c r="H105" t="n">
        <v>6.481</v>
      </c>
      <c r="I105">
        <f>Vu_khi!$W$105*MAX(1,$E$105)</f>
        <v/>
      </c>
      <c r="J105" t="n">
        <v>828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127.7580620274649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1.6</v>
      </c>
      <c r="AA105">
        <f>AND(Vu_khi!$K$105="Kinetic",NOT(Vu_khi!$AG$105))</f>
        <v/>
      </c>
      <c r="AB105" t="b">
        <v>0</v>
      </c>
      <c r="AC105">
        <f>IF(Vu_khi!$AG$105,INDEX(Bang_danh_noc!$C$2:$C$8,MIN(7,MAX(1,2-(Vu_khi!$L$105-0)+1))),INDEX(Bang_xuyen_giap!$C$2:$C$8,MIN(7,MAX(1,IF($O$105,MAX(1,2-(Vu_khi!$L$105-0)),2-(Vu_khi!$L$105-0))+1))))*IF($AA$105,INDEX(Bang_xuyen_qua!$C$2:$C$5,MIN(4,MAX(1,(Vu_khi!$L$105)-(0)-1))),1)</f>
        <v/>
      </c>
      <c r="AD105" t="n">
        <v>1.2</v>
      </c>
      <c r="AE105">
        <f>IF(Vu_khi!$AG$105,INDEX(Bang_danh_noc!$C$2:$C$8,MIN(7,MAX(1,2-(Vu_khi!$L$105-2)+1))),INDEX(Bang_xuyen_giap!$C$2:$C$8,MIN(7,MAX(1,IF($O$105,MAX(1,2-(Vu_khi!$L$105-2)),2-(Vu_khi!$L$105-2))+1))))*IF($AA$105,INDEX(Bang_xuyen_qua!$C$2:$C$5,MIN(4,MAX(1,(Vu_khi!$L$105)-(2)-1))),1)</f>
        <v/>
      </c>
      <c r="AF105" t="n">
        <v>0.85</v>
      </c>
      <c r="AG105">
        <f>IF(Vu_khi!$AG$105,INDEX(Bang_danh_noc!$C$2:$C$8,MIN(7,MAX(1,2-(Vu_khi!$L$105-4)+1))),INDEX(Bang_xuyen_giap!$C$2:$C$8,MIN(7,MAX(1,IF($O$105,MAX(1,2-(Vu_khi!$L$105-4)),2-(Vu_khi!$L$105-4))+1))))*IF($AA$105,INDEX(Bang_xuyen_qua!$C$2:$C$5,MIN(4,MAX(1,(Vu_khi!$L$105)-(4)-1))),1)</f>
        <v/>
      </c>
      <c r="AH105" t="n">
        <v>0.4</v>
      </c>
      <c r="AI105">
        <f>INDEX(Bang_xuyen_giap!$C$2:$C$8,MIN(7,MAX(1,MAX(1,2-(Vu_khi!$L$105-0))+1)))*IF($AA$105,INDEX(Bang_xuyen_qua!$C$2:$C$5,MIN(4,MAX(1,(Vu_khi!$L$105)-(0)-1))),1)</f>
        <v/>
      </c>
      <c r="AJ105" t="n">
        <v>1</v>
      </c>
      <c r="AK105">
        <f>IF($Q$105,$M$105*$AC$105*$U$105,0)</f>
        <v/>
      </c>
      <c r="AL105" t="n">
        <v>153.3096744329579</v>
      </c>
      <c r="AM105">
        <f>IF($Q$105,$M$105*$AE$105*$U$105,0)</f>
        <v/>
      </c>
      <c r="AN105" t="n">
        <v>108.5943527233452</v>
      </c>
      <c r="AO105">
        <f>IF($Q$105,$M$105*$AG$105*$U$105,0)</f>
        <v/>
      </c>
      <c r="AP105" t="n">
        <v>51.10322481098596</v>
      </c>
      <c r="AQ105">
        <f>IF($Q$105,$M$105*$AE$105*$Y$105,0)</f>
        <v/>
      </c>
      <c r="AR105" t="n">
        <v>173.7509643573523</v>
      </c>
      <c r="AS105">
        <f>IF($S$105,$M$105*$AI$105*$W$105,0)</f>
        <v/>
      </c>
      <c r="AT105" t="n">
        <v>0</v>
      </c>
      <c r="AU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V105" t="b">
        <v>0</v>
      </c>
      <c r="AW105">
        <f>IF(AND($B$105&lt;0,$AU$105),4,$B$105)</f>
        <v/>
      </c>
      <c r="AX105" t="n">
        <v>3</v>
      </c>
      <c r="AY105">
        <f>IF($AW$105&lt;4,0,MIN(MAX(0.5,Canh_bao_vong!$D$4),MAX(IF(Vu_khi!$C$105="cal_406",Canh_bao_vong!$D$7,IF($AW$105&gt;=5,Canh_bao_vong!$D$9,Canh_bao_vong!$D$8)),Canh_bao_vong!$D$2+MAX(0,Vu_khi!$X$105)/MAX(0.1,Canh_bao_vong!$D$5))))</f>
        <v/>
      </c>
      <c r="AZ105" t="n">
        <v>0</v>
      </c>
      <c r="BD105" t="n">
        <v>200</v>
      </c>
      <c r="BE105" t="n">
        <v>260</v>
      </c>
      <c r="BF105" t="n">
        <v>0.05</v>
      </c>
      <c r="BG105" t="n">
        <v>0.1</v>
      </c>
      <c r="BH105" t="n">
        <v>0.2</v>
      </c>
      <c r="BI105" t="n">
        <v>0.154</v>
      </c>
      <c r="BJ105" t="inlineStr">
        <is>
          <t>DIRECT_FAST</t>
        </is>
      </c>
      <c r="BK105" t="inlineStr">
        <is>
          <t>ok</t>
        </is>
      </c>
      <c r="BL105" t="inlineStr">
        <is>
          <t>inherited from gun_140_twin</t>
        </is>
      </c>
      <c r="BM105" t="inlineStr"/>
      <c r="BN105" t="inlineStr">
        <is>
          <t>Assets/MachineBrigade/Resources/Data/balance.json: weapons[id=gun_140_twin_he] (lớp B trên 01_chien_dau/Vu_khi)</t>
        </is>
      </c>
      <c r="BO105" t="inlineStr"/>
    </row>
    <row r="106">
      <c r="A106" t="inlineStr">
        <is>
          <t>gun_152</t>
        </is>
      </c>
      <c r="B106" t="n">
        <v>3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8.163</v>
      </c>
      <c r="I106">
        <f>Vu_khi!$W$106*MAX(1,$E$106)</f>
        <v/>
      </c>
      <c r="J106" t="n">
        <v>457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55.98431949038343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1.2</v>
      </c>
      <c r="W106">
        <f>INDEX(Bang_sat_thuong!$C$2:$C$7,MATCH(Vu_khi!$K$106,Bang_sat_thuong!$A$2:$A$7,0))</f>
        <v/>
      </c>
      <c r="X106" t="n">
        <v>0.3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0.7</v>
      </c>
      <c r="AA106">
        <f>AND(Vu_khi!$K$106="Kinetic",NOT(Vu_khi!$AG$106))</f>
        <v/>
      </c>
      <c r="AB106" t="b">
        <v>1</v>
      </c>
      <c r="AC106">
        <f>IF(Vu_khi!$AG$106,INDEX(Bang_danh_noc!$C$2:$C$8,MIN(7,MAX(1,2-(Vu_khi!$L$106-0)+1))),INDEX(Bang_xuyen_giap!$C$2:$C$8,MIN(7,MAX(1,IF($O$106,MAX(1,2-(Vu_khi!$L$106-0)),2-(Vu_khi!$L$106-0))+1))))*IF($AA$106,INDEX(Bang_xuyen_qua!$C$2:$C$5,MIN(4,MAX(1,(Vu_khi!$L$106)-(0)-1))),1)</f>
        <v/>
      </c>
      <c r="AD106" t="n">
        <v>0.8999999999999999</v>
      </c>
      <c r="AE106">
        <f>IF(Vu_khi!$AG$106,INDEX(Bang_danh_noc!$C$2:$C$8,MIN(7,MAX(1,2-(Vu_khi!$L$106-2)+1))),INDEX(Bang_xuyen_giap!$C$2:$C$8,MIN(7,MAX(1,IF($O$106,MAX(1,2-(Vu_khi!$L$106-2)),2-(Vu_khi!$L$106-2))+1))))*IF($AA$106,INDEX(Bang_xuyen_qua!$C$2:$C$5,MIN(4,MAX(1,(Vu_khi!$L$106)-(2)-1))),1)</f>
        <v/>
      </c>
      <c r="AF106" t="n">
        <v>1.14</v>
      </c>
      <c r="AG106">
        <f>IF(Vu_khi!$AG$106,INDEX(Bang_danh_noc!$C$2:$C$8,MIN(7,MAX(1,2-(Vu_khi!$L$106-4)+1))),INDEX(Bang_xuyen_giap!$C$2:$C$8,MIN(7,MAX(1,IF($O$106,MAX(1,2-(Vu_khi!$L$106-4)),2-(Vu_khi!$L$106-4))+1))))*IF($AA$106,INDEX(Bang_xuyen_qua!$C$2:$C$5,MIN(4,MAX(1,(Vu_khi!$L$106)-(4)-1))),1)</f>
        <v/>
      </c>
      <c r="AH106" t="n">
        <v>1</v>
      </c>
      <c r="AI106">
        <f>INDEX(Bang_xuyen_giap!$C$2:$C$8,MIN(7,MAX(1,MAX(1,2-(Vu_khi!$L$106-0))+1)))*IF($AA$106,INDEX(Bang_xuyen_qua!$C$2:$C$5,MIN(4,MAX(1,(Vu_khi!$L$106)-(0)-1))),1)</f>
        <v/>
      </c>
      <c r="AJ106" t="n">
        <v>0.75</v>
      </c>
      <c r="AK106">
        <f>IF($Q$106,$M$106*$AC$106*$U$106,0)</f>
        <v/>
      </c>
      <c r="AL106" t="n">
        <v>60.4630650496141</v>
      </c>
      <c r="AM106">
        <f>IF($Q$106,$M$106*$AE$106*$U$106,0)</f>
        <v/>
      </c>
      <c r="AN106" t="n">
        <v>76.58654906284453</v>
      </c>
      <c r="AO106">
        <f>IF($Q$106,$M$106*$AG$106*$U$106,0)</f>
        <v/>
      </c>
      <c r="AP106" t="n">
        <v>67.18118338846011</v>
      </c>
      <c r="AQ106">
        <f>IF($Q$106,$M$106*$AE$106*$Y$106,0)</f>
        <v/>
      </c>
      <c r="AR106" t="n">
        <v>44.67548695332598</v>
      </c>
      <c r="AS106">
        <f>IF($S$106,$M$106*$AI$106*$W$106,0)</f>
        <v/>
      </c>
      <c r="AT106" t="n">
        <v>0</v>
      </c>
      <c r="AU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V106" t="b">
        <v>0</v>
      </c>
      <c r="AW106">
        <f>IF(AND($B$106&lt;0,$AU$106),4,$B$106)</f>
        <v/>
      </c>
      <c r="AX106" t="n">
        <v>3</v>
      </c>
      <c r="AY106">
        <f>IF($AW$106&lt;4,0,MIN(MAX(0.5,Canh_bao_vong!$D$4),MAX(IF(Vu_khi!$C$106="cal_406",Canh_bao_vong!$D$7,IF($AW$106&gt;=5,Canh_bao_vong!$D$9,Canh_bao_vong!$D$8)),Canh_bao_vong!$D$2+MAX(0,Vu_khi!$X$106)/MAX(0.1,Canh_bao_vong!$D$5))))</f>
        <v/>
      </c>
      <c r="AZ106" t="n">
        <v>0</v>
      </c>
      <c r="BA106" t="n">
        <v>0.95235</v>
      </c>
      <c r="BB106" t="inlineStr">
        <is>
          <t>LECH_DOT_1</t>
        </is>
      </c>
      <c r="BC106" t="inlineStr"/>
      <c r="BD106" t="n">
        <v>160</v>
      </c>
      <c r="BE106" t="n">
        <v>208</v>
      </c>
      <c r="BF106" t="n">
        <v>0.053</v>
      </c>
      <c r="BG106" t="n">
        <v>0.106</v>
      </c>
      <c r="BH106" t="n">
        <v>0.212</v>
      </c>
      <c r="BI106" t="n">
        <v>0.163</v>
      </c>
      <c r="BJ106" t="inlineStr">
        <is>
          <t>DIRECT_FAST</t>
        </is>
      </c>
      <c r="BK106" t="inlineStr">
        <is>
          <t>ok</t>
        </is>
      </c>
      <c r="BL106" t="inlineStr">
        <is>
          <t>family 2a83_152_mm</t>
        </is>
      </c>
      <c r="BM106" t="inlineStr"/>
      <c r="BN106" t="inlineStr">
        <is>
          <t>Assets/MachineBrigade/Resources/Data/balance.json: weapons[id=gun_152] (lớp B trên 01_chien_dau/Vu_khi)</t>
        </is>
      </c>
      <c r="BO106" t="inlineStr"/>
    </row>
    <row r="107">
      <c r="A107" t="inlineStr">
        <is>
          <t>gun_152_he</t>
        </is>
      </c>
      <c r="B107" t="n">
        <v>3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8.571</v>
      </c>
      <c r="I107">
        <f>Vu_khi!$W$107*MAX(1,$E$107)</f>
        <v/>
      </c>
      <c r="J107" t="n">
        <v>457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53.31933263329833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0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1.6</v>
      </c>
      <c r="AA107">
        <f>AND(Vu_khi!$K$107="Kinetic",NOT(Vu_khi!$AG$107))</f>
        <v/>
      </c>
      <c r="AB107" t="b">
        <v>0</v>
      </c>
      <c r="AC107">
        <f>IF(Vu_khi!$AG$107,INDEX(Bang_danh_noc!$C$2:$C$8,MIN(7,MAX(1,2-(Vu_khi!$L$107-0)+1))),INDEX(Bang_xuyen_giap!$C$2:$C$8,MIN(7,MAX(1,IF($O$107,MAX(1,2-(Vu_khi!$L$107-0)),2-(Vu_khi!$L$107-0))+1))))*IF($AA$107,INDEX(Bang_xuyen_qua!$C$2:$C$5,MIN(4,MAX(1,(Vu_khi!$L$107)-(0)-1))),1)</f>
        <v/>
      </c>
      <c r="AD107" t="n">
        <v>1.2</v>
      </c>
      <c r="AE107">
        <f>IF(Vu_khi!$AG$107,INDEX(Bang_danh_noc!$C$2:$C$8,MIN(7,MAX(1,2-(Vu_khi!$L$107-2)+1))),INDEX(Bang_xuyen_giap!$C$2:$C$8,MIN(7,MAX(1,IF($O$107,MAX(1,2-(Vu_khi!$L$107-2)),2-(Vu_khi!$L$107-2))+1))))*IF($AA$107,INDEX(Bang_xuyen_qua!$C$2:$C$5,MIN(4,MAX(1,(Vu_khi!$L$107)-(2)-1))),1)</f>
        <v/>
      </c>
      <c r="AF107" t="n">
        <v>1</v>
      </c>
      <c r="AG107">
        <f>IF(Vu_khi!$AG$107,INDEX(Bang_danh_noc!$C$2:$C$8,MIN(7,MAX(1,2-(Vu_khi!$L$107-4)+1))),INDEX(Bang_xuyen_giap!$C$2:$C$8,MIN(7,MAX(1,IF($O$107,MAX(1,2-(Vu_khi!$L$107-4)),2-(Vu_khi!$L$107-4))+1))))*IF($AA$107,INDEX(Bang_xuyen_qua!$C$2:$C$5,MIN(4,MAX(1,(Vu_khi!$L$107)-(4)-1))),1)</f>
        <v/>
      </c>
      <c r="AH107" t="n">
        <v>0.65</v>
      </c>
      <c r="AI107">
        <f>INDEX(Bang_xuyen_giap!$C$2:$C$8,MIN(7,MAX(1,MAX(1,2-(Vu_khi!$L$107-0))+1)))*IF($AA$107,INDEX(Bang_xuyen_qua!$C$2:$C$5,MIN(4,MAX(1,(Vu_khi!$L$107)-(0)-1))),1)</f>
        <v/>
      </c>
      <c r="AJ107" t="n">
        <v>1</v>
      </c>
      <c r="AK107">
        <f>IF($Q$107,$M$107*$AC$107*$U$107,0)</f>
        <v/>
      </c>
      <c r="AL107" t="n">
        <v>63.98319915995799</v>
      </c>
      <c r="AM107">
        <f>IF($Q$107,$M$107*$AE$107*$U$107,0)</f>
        <v/>
      </c>
      <c r="AN107" t="n">
        <v>53.31933263329833</v>
      </c>
      <c r="AO107">
        <f>IF($Q$107,$M$107*$AG$107*$U$107,0)</f>
        <v/>
      </c>
      <c r="AP107" t="n">
        <v>34.65756621164392</v>
      </c>
      <c r="AQ107">
        <f>IF($Q$107,$M$107*$AE$107*$Y$107,0)</f>
        <v/>
      </c>
      <c r="AR107" t="n">
        <v>85.31093221327734</v>
      </c>
      <c r="AS107">
        <f>IF($S$107,$M$107*$AI$107*$W$107,0)</f>
        <v/>
      </c>
      <c r="AT107" t="n">
        <v>0</v>
      </c>
      <c r="AU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V107" t="b">
        <v>0</v>
      </c>
      <c r="AW107">
        <f>IF(AND($B$107&lt;0,$AU$107),4,$B$107)</f>
        <v/>
      </c>
      <c r="AX107" t="n">
        <v>3</v>
      </c>
      <c r="AY107">
        <f>IF($AW$107&lt;4,0,MIN(MAX(0.5,Canh_bao_vong!$D$4),MAX(IF(Vu_khi!$C$107="cal_406",Canh_bao_vong!$D$7,IF($AW$107&gt;=5,Canh_bao_vong!$D$9,Canh_bao_vong!$D$8)),Canh_bao_vong!$D$2+MAX(0,Vu_khi!$X$107)/MAX(0.1,Canh_bao_vong!$D$5))))</f>
        <v/>
      </c>
      <c r="AZ107" t="n">
        <v>0</v>
      </c>
      <c r="BA107" t="n">
        <v>0.99995</v>
      </c>
      <c r="BB107" t="inlineStr">
        <is>
          <t>LECH_DOT_1</t>
        </is>
      </c>
      <c r="BC107" t="inlineStr"/>
      <c r="BD107" t="n">
        <v>150</v>
      </c>
      <c r="BE107" t="n">
        <v>195</v>
      </c>
      <c r="BF107" t="n">
        <v>0.057</v>
      </c>
      <c r="BG107" t="n">
        <v>0.113</v>
      </c>
      <c r="BH107" t="n">
        <v>0.227</v>
      </c>
      <c r="BI107" t="n">
        <v>0.174</v>
      </c>
      <c r="BJ107" t="inlineStr">
        <is>
          <t>DIRECT_FAST</t>
        </is>
      </c>
      <c r="BK107" t="inlineStr">
        <is>
          <t>ok</t>
        </is>
      </c>
      <c r="BL107" t="inlineStr">
        <is>
          <t>family 2a83_152_mm_he_frag</t>
        </is>
      </c>
      <c r="BM107" t="inlineStr"/>
      <c r="BN107" t="inlineStr">
        <is>
          <t>Assets/MachineBrigade/Resources/Data/balance.json: weapons[id=gun_152_he] (lớp B trên 01_chien_dau/Vu_khi)</t>
        </is>
      </c>
      <c r="BO107" t="inlineStr"/>
    </row>
    <row r="108">
      <c r="A108" t="inlineStr">
        <is>
          <t>gun_152_heat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9.042999999999999</v>
      </c>
      <c r="I108">
        <f>Vu_khi!$W$108*MAX(1,$E$108)</f>
        <v/>
      </c>
      <c r="J108" t="n">
        <v>480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53.07973017803827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1.3</v>
      </c>
      <c r="W108">
        <f>INDEX(Bang_sat_thuong!$C$2:$C$7,MATCH(Vu_khi!$K$108,Bang_sat_thuong!$A$2:$A$7,0))</f>
        <v/>
      </c>
      <c r="X108" t="n">
        <v>0.2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0.45</v>
      </c>
      <c r="AA108">
        <f>AND(Vu_khi!$K$108="Kinetic",NOT(Vu_khi!$AG$108))</f>
        <v/>
      </c>
      <c r="AB108" t="b">
        <v>0</v>
      </c>
      <c r="AC108">
        <f>IF(Vu_khi!$AG$108,INDEX(Bang_danh_noc!$C$2:$C$8,MIN(7,MAX(1,2-(Vu_khi!$L$108-0)+1))),INDEX(Bang_xuyen_giap!$C$2:$C$8,MIN(7,MAX(1,IF($O$108,MAX(1,2-(Vu_khi!$L$108-0)),2-(Vu_khi!$L$108-0))+1))))*IF($AA$108,INDEX(Bang_xuyen_qua!$C$2:$C$5,MIN(4,MAX(1,(Vu_khi!$L$108)-(0)-1))),1)</f>
        <v/>
      </c>
      <c r="AD108" t="n">
        <v>1.2</v>
      </c>
      <c r="AE108">
        <f>IF(Vu_khi!$AG$108,INDEX(Bang_danh_noc!$C$2:$C$8,MIN(7,MAX(1,2-(Vu_khi!$L$108-2)+1))),INDEX(Bang_xuyen_giap!$C$2:$C$8,MIN(7,MAX(1,IF($O$108,MAX(1,2-(Vu_khi!$L$108-2)),2-(Vu_khi!$L$108-2))+1))))*IF($AA$108,INDEX(Bang_xuyen_qua!$C$2:$C$5,MIN(4,MAX(1,(Vu_khi!$L$108)-(2)-1))),1)</f>
        <v/>
      </c>
      <c r="AF108" t="n">
        <v>1.2</v>
      </c>
      <c r="AG108">
        <f>IF(Vu_khi!$AG$108,INDEX(Bang_danh_noc!$C$2:$C$8,MIN(7,MAX(1,2-(Vu_khi!$L$108-4)+1))),INDEX(Bang_xuyen_giap!$C$2:$C$8,MIN(7,MAX(1,IF($O$108,MAX(1,2-(Vu_khi!$L$108-4)),2-(Vu_khi!$L$108-4))+1))))*IF($AA$108,INDEX(Bang_xuyen_qua!$C$2:$C$5,MIN(4,MAX(1,(Vu_khi!$L$108)-(4)-1))),1)</f>
        <v/>
      </c>
      <c r="AH108" t="n">
        <v>1</v>
      </c>
      <c r="AI108">
        <f>INDEX(Bang_xuyen_giap!$C$2:$C$8,MIN(7,MAX(1,MAX(1,2-(Vu_khi!$L$108-0))+1)))*IF($AA$108,INDEX(Bang_xuyen_qua!$C$2:$C$5,MIN(4,MAX(1,(Vu_khi!$L$108)-(0)-1))),1)</f>
        <v/>
      </c>
      <c r="AJ108" t="n">
        <v>1</v>
      </c>
      <c r="AK108">
        <f>IF($Q$108,$M$108*$AC$108*$U$108,0)</f>
        <v/>
      </c>
      <c r="AL108" t="n">
        <v>82.8043790777397</v>
      </c>
      <c r="AM108">
        <f>IF($Q$108,$M$108*$AE$108*$U$108,0)</f>
        <v/>
      </c>
      <c r="AN108" t="n">
        <v>82.8043790777397</v>
      </c>
      <c r="AO108">
        <f>IF($Q$108,$M$108*$AG$108*$U$108,0)</f>
        <v/>
      </c>
      <c r="AP108" t="n">
        <v>69.00364923144976</v>
      </c>
      <c r="AQ108">
        <f>IF($Q$108,$M$108*$AE$108*$Y$108,0)</f>
        <v/>
      </c>
      <c r="AR108" t="n">
        <v>28.66305429614067</v>
      </c>
      <c r="AS108">
        <f>IF($S$108,$M$108*$AI$108*$W$108,0)</f>
        <v/>
      </c>
      <c r="AT108" t="n">
        <v>0</v>
      </c>
      <c r="AU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V108" t="b">
        <v>0</v>
      </c>
      <c r="AW108">
        <f>IF(AND($B$108&lt;0,$AU$108),4,$B$108)</f>
        <v/>
      </c>
      <c r="AX108" t="n">
        <v>3</v>
      </c>
      <c r="AY108">
        <f>IF($AW$108&lt;4,0,MIN(MAX(0.5,Canh_bao_vong!$D$4),MAX(IF(Vu_khi!$C$108="cal_406",Canh_bao_vong!$D$7,IF($AW$108&gt;=5,Canh_bao_vong!$D$9,Canh_bao_vong!$D$8)),Canh_bao_vong!$D$2+MAX(0,Vu_khi!$X$108)/MAX(0.1,Canh_bao_vong!$D$5))))</f>
        <v/>
      </c>
      <c r="AZ108" t="n">
        <v>0</v>
      </c>
      <c r="BA108" t="n">
        <v>1.055017</v>
      </c>
      <c r="BB108" t="inlineStr">
        <is>
          <t>LECH_DOT_1</t>
        </is>
      </c>
      <c r="BC108" t="inlineStr"/>
      <c r="BD108" t="n">
        <v>170</v>
      </c>
      <c r="BE108" t="n">
        <v>221</v>
      </c>
      <c r="BF108" t="n">
        <v>0.053</v>
      </c>
      <c r="BG108" t="n">
        <v>0.106</v>
      </c>
      <c r="BH108" t="n">
        <v>0.212</v>
      </c>
      <c r="BI108" t="n">
        <v>0.163</v>
      </c>
      <c r="BJ108" t="inlineStr">
        <is>
          <t>DIRECT_FAST</t>
        </is>
      </c>
      <c r="BK108" t="inlineStr">
        <is>
          <t>ok</t>
        </is>
      </c>
      <c r="BL108" t="inlineStr">
        <is>
          <t>own line</t>
        </is>
      </c>
      <c r="BM108" t="inlineStr"/>
      <c r="BN108" t="inlineStr">
        <is>
          <t>Assets/MachineBrigade/Resources/Data/balance.json: weapons[id=gun_152_heat] (lớp B trên 01_chien_dau/Vu_khi)</t>
        </is>
      </c>
      <c r="BO108" t="inlineStr"/>
    </row>
    <row r="109">
      <c r="A109" t="inlineStr">
        <is>
          <t>gun_152_heat_he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1</v>
      </c>
      <c r="G109">
        <f>IF(Vu_khi!$S$109&gt;0,(Vu_khi!$S$109-1)*Vu_khi!$R$109+Vu_khi!$T$109,Vu_khi!$R$109+(Vu_khi!$P$109-1)*Vu_khi!$Q$109)</f>
        <v/>
      </c>
      <c r="H109" t="n">
        <v>9.042999999999999</v>
      </c>
      <c r="I109">
        <f>Vu_khi!$W$109*MAX(1,$E$109)</f>
        <v/>
      </c>
      <c r="J109" t="n">
        <v>457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50.5363264403406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1.6</v>
      </c>
      <c r="AA109">
        <f>AND(Vu_khi!$K$109="Kinetic",NOT(Vu_khi!$AG$109))</f>
        <v/>
      </c>
      <c r="AB109" t="b">
        <v>0</v>
      </c>
      <c r="AC109">
        <f>IF(Vu_khi!$AG$109,INDEX(Bang_danh_noc!$C$2:$C$8,MIN(7,MAX(1,2-(Vu_khi!$L$109-0)+1))),INDEX(Bang_xuyen_giap!$C$2:$C$8,MIN(7,MAX(1,IF($O$109,MAX(1,2-(Vu_khi!$L$109-0)),2-(Vu_khi!$L$109-0))+1))))*IF($AA$109,INDEX(Bang_xuyen_qua!$C$2:$C$5,MIN(4,MAX(1,(Vu_khi!$L$109)-(0)-1))),1)</f>
        <v/>
      </c>
      <c r="AD109" t="n">
        <v>1.2</v>
      </c>
      <c r="AE109">
        <f>IF(Vu_khi!$AG$109,INDEX(Bang_danh_noc!$C$2:$C$8,MIN(7,MAX(1,2-(Vu_khi!$L$109-2)+1))),INDEX(Bang_xuyen_giap!$C$2:$C$8,MIN(7,MAX(1,IF($O$109,MAX(1,2-(Vu_khi!$L$109-2)),2-(Vu_khi!$L$109-2))+1))))*IF($AA$109,INDEX(Bang_xuyen_qua!$C$2:$C$5,MIN(4,MAX(1,(Vu_khi!$L$109)-(2)-1))),1)</f>
        <v/>
      </c>
      <c r="AF109" t="n">
        <v>1</v>
      </c>
      <c r="AG109">
        <f>IF(Vu_khi!$AG$109,INDEX(Bang_danh_noc!$C$2:$C$8,MIN(7,MAX(1,2-(Vu_khi!$L$109-4)+1))),INDEX(Bang_xuyen_giap!$C$2:$C$8,MIN(7,MAX(1,IF($O$109,MAX(1,2-(Vu_khi!$L$109-4)),2-(Vu_khi!$L$109-4))+1))))*IF($AA$109,INDEX(Bang_xuyen_qua!$C$2:$C$5,MIN(4,MAX(1,(Vu_khi!$L$109)-(4)-1))),1)</f>
        <v/>
      </c>
      <c r="AH109" t="n">
        <v>0.65</v>
      </c>
      <c r="AI109">
        <f>INDEX(Bang_xuyen_giap!$C$2:$C$8,MIN(7,MAX(1,MAX(1,2-(Vu_khi!$L$109-0))+1)))*IF($AA$109,INDEX(Bang_xuyen_qua!$C$2:$C$5,MIN(4,MAX(1,(Vu_khi!$L$109)-(0)-1))),1)</f>
        <v/>
      </c>
      <c r="AJ109" t="n">
        <v>1</v>
      </c>
      <c r="AK109">
        <f>IF($Q$109,$M$109*$AC$109*$U$109,0)</f>
        <v/>
      </c>
      <c r="AL109" t="n">
        <v>60.64359172840872</v>
      </c>
      <c r="AM109">
        <f>IF($Q$109,$M$109*$AE$109*$U$109,0)</f>
        <v/>
      </c>
      <c r="AN109" t="n">
        <v>50.5363264403406</v>
      </c>
      <c r="AO109">
        <f>IF($Q$109,$M$109*$AG$109*$U$109,0)</f>
        <v/>
      </c>
      <c r="AP109" t="n">
        <v>32.84861218622139</v>
      </c>
      <c r="AQ109">
        <f>IF($Q$109,$M$109*$AE$109*$Y$109,0)</f>
        <v/>
      </c>
      <c r="AR109" t="n">
        <v>80.85812230454496</v>
      </c>
      <c r="AS109">
        <f>IF($S$109,$M$109*$AI$109*$W$109,0)</f>
        <v/>
      </c>
      <c r="AT109" t="n">
        <v>0</v>
      </c>
      <c r="AU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V109" t="b">
        <v>0</v>
      </c>
      <c r="AW109">
        <f>IF(AND($B$109&lt;0,$AU$109),4,$B$109)</f>
        <v/>
      </c>
      <c r="AX109" t="n">
        <v>3</v>
      </c>
      <c r="AY109">
        <f>IF($AW$109&lt;4,0,MIN(MAX(0.5,Canh_bao_vong!$D$4),MAX(IF(Vu_khi!$C$109="cal_406",Canh_bao_vong!$D$7,IF($AW$109&gt;=5,Canh_bao_vong!$D$9,Canh_bao_vong!$D$8)),Canh_bao_vong!$D$2+MAX(0,Vu_khi!$X$109)/MAX(0.1,Canh_bao_vong!$D$5))))</f>
        <v/>
      </c>
      <c r="AZ109" t="n">
        <v>0</v>
      </c>
      <c r="BD109" t="n">
        <v>150</v>
      </c>
      <c r="BE109" t="n">
        <v>195</v>
      </c>
      <c r="BF109" t="n">
        <v>0.06</v>
      </c>
      <c r="BG109" t="n">
        <v>0.12</v>
      </c>
      <c r="BH109" t="n">
        <v>0.24</v>
      </c>
      <c r="BI109" t="n">
        <v>0.185</v>
      </c>
      <c r="BJ109" t="inlineStr">
        <is>
          <t>DIRECT_FAST</t>
        </is>
      </c>
      <c r="BK109" t="inlineStr">
        <is>
          <t>ok</t>
        </is>
      </c>
      <c r="BL109" t="inlineStr">
        <is>
          <t>family 2a83_152_mm_he_frag</t>
        </is>
      </c>
      <c r="BM109" t="inlineStr"/>
      <c r="BN109" t="inlineStr">
        <is>
          <t>Assets/MachineBrigade/Resources/Data/balance.json: weapons[id=gun_152_heat_he] (lớp B trên 01_chien_dau/Vu_khi)</t>
        </is>
      </c>
      <c r="BO109" t="inlineStr"/>
    </row>
    <row r="110">
      <c r="A110" t="inlineStr">
        <is>
          <t>gun_155_coastal</t>
        </is>
      </c>
      <c r="B110" t="n">
        <v>3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2</v>
      </c>
      <c r="G110">
        <f>IF(Vu_khi!$S$110&gt;0,(Vu_khi!$S$110-1)*Vu_khi!$R$110+Vu_khi!$T$110,Vu_khi!$R$110+(Vu_khi!$P$110-1)*Vu_khi!$Q$110)</f>
        <v/>
      </c>
      <c r="H110" t="n">
        <v>12.629</v>
      </c>
      <c r="I110">
        <f>Vu_khi!$W$110*MAX(1,$E$110)</f>
        <v/>
      </c>
      <c r="J110" t="n">
        <v>914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72.37310950985825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1.6</v>
      </c>
      <c r="AA110">
        <f>AND(Vu_khi!$K$110="Kinetic",NOT(Vu_khi!$AG$110))</f>
        <v/>
      </c>
      <c r="AB110" t="b">
        <v>0</v>
      </c>
      <c r="AC110">
        <f>IF(Vu_khi!$AG$110,INDEX(Bang_danh_noc!$C$2:$C$8,MIN(7,MAX(1,2-(Vu_khi!$L$110-0)+1))),INDEX(Bang_xuyen_giap!$C$2:$C$8,MIN(7,MAX(1,IF($O$110,MAX(1,2-(Vu_khi!$L$110-0)),2-(Vu_khi!$L$110-0))+1))))*IF($AA$110,INDEX(Bang_xuyen_qua!$C$2:$C$5,MIN(4,MAX(1,(Vu_khi!$L$110)-(0)-1))),1)</f>
        <v/>
      </c>
      <c r="AD110" t="n">
        <v>1.2</v>
      </c>
      <c r="AE110">
        <f>IF(Vu_khi!$AG$110,INDEX(Bang_danh_noc!$C$2:$C$8,MIN(7,MAX(1,2-(Vu_khi!$L$110-2)+1))),INDEX(Bang_xuyen_giap!$C$2:$C$8,MIN(7,MAX(1,IF($O$110,MAX(1,2-(Vu_khi!$L$110-2)),2-(Vu_khi!$L$110-2))+1))))*IF($AA$110,INDEX(Bang_xuyen_qua!$C$2:$C$5,MIN(4,MAX(1,(Vu_khi!$L$110)-(2)-1))),1)</f>
        <v/>
      </c>
      <c r="AF110" t="n">
        <v>1</v>
      </c>
      <c r="AG110">
        <f>IF(Vu_khi!$AG$110,INDEX(Bang_danh_noc!$C$2:$C$8,MIN(7,MAX(1,2-(Vu_khi!$L$110-4)+1))),INDEX(Bang_xuyen_giap!$C$2:$C$8,MIN(7,MAX(1,IF($O$110,MAX(1,2-(Vu_khi!$L$110-4)),2-(Vu_khi!$L$110-4))+1))))*IF($AA$110,INDEX(Bang_xuyen_qua!$C$2:$C$5,MIN(4,MAX(1,(Vu_khi!$L$110)-(4)-1))),1)</f>
        <v/>
      </c>
      <c r="AH110" t="n">
        <v>0.65</v>
      </c>
      <c r="AI110">
        <f>INDEX(Bang_xuyen_giap!$C$2:$C$8,MIN(7,MAX(1,MAX(1,2-(Vu_khi!$L$110-0))+1)))*IF($AA$110,INDEX(Bang_xuyen_qua!$C$2:$C$5,MIN(4,MAX(1,(Vu_khi!$L$110)-(0)-1))),1)</f>
        <v/>
      </c>
      <c r="AJ110" t="n">
        <v>1</v>
      </c>
      <c r="AK110">
        <f>IF($Q$110,$M$110*$AC$110*$U$110,0)</f>
        <v/>
      </c>
      <c r="AL110" t="n">
        <v>86.8477314118299</v>
      </c>
      <c r="AM110">
        <f>IF($Q$110,$M$110*$AE$110*$U$110,0)</f>
        <v/>
      </c>
      <c r="AN110" t="n">
        <v>72.37310950985825</v>
      </c>
      <c r="AO110">
        <f>IF($Q$110,$M$110*$AG$110*$U$110,0)</f>
        <v/>
      </c>
      <c r="AP110" t="n">
        <v>47.04252118140786</v>
      </c>
      <c r="AQ110">
        <f>IF($Q$110,$M$110*$AE$110*$Y$110,0)</f>
        <v/>
      </c>
      <c r="AR110" t="n">
        <v>115.7969752157732</v>
      </c>
      <c r="AS110">
        <f>IF($S$110,$M$110*$AI$110*$W$110,0)</f>
        <v/>
      </c>
      <c r="AT110" t="n">
        <v>0</v>
      </c>
      <c r="AU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V110" t="b">
        <v>0</v>
      </c>
      <c r="AW110">
        <f>IF(AND($B$110&lt;0,$AU$110),4,$B$110)</f>
        <v/>
      </c>
      <c r="AX110" t="n">
        <v>3</v>
      </c>
      <c r="AY110">
        <f>IF($AW$110&lt;4,0,MIN(MAX(0.5,Canh_bao_vong!$D$4),MAX(IF(Vu_khi!$C$110="cal_406",Canh_bao_vong!$D$7,IF($AW$110&gt;=5,Canh_bao_vong!$D$9,Canh_bao_vong!$D$8)),Canh_bao_vong!$D$2+MAX(0,Vu_khi!$X$110)/MAX(0.1,Canh_bao_vong!$D$5))))</f>
        <v/>
      </c>
      <c r="AZ110" t="n">
        <v>0</v>
      </c>
      <c r="BA110" t="n">
        <v>0.294677</v>
      </c>
      <c r="BB110" t="inlineStr">
        <is>
          <t>NHANH_QUA;LECH_DOT_1</t>
        </is>
      </c>
      <c r="BC110" t="inlineStr"/>
      <c r="BD110" t="n">
        <v>70</v>
      </c>
      <c r="BE110" t="n">
        <v>91</v>
      </c>
      <c r="BF110" t="n">
        <v>0.482</v>
      </c>
      <c r="BG110" t="n">
        <v>0.964</v>
      </c>
      <c r="BH110" t="n">
        <v>1.929</v>
      </c>
      <c r="BI110" t="n">
        <v>1.484</v>
      </c>
      <c r="BJ110" t="inlineStr">
        <is>
          <t>HOWITZER</t>
        </is>
      </c>
      <c r="BK110" t="inlineStr">
        <is>
          <t>ok</t>
        </is>
      </c>
      <c r="BL110" t="inlineStr">
        <is>
          <t>family m284_155_mm_coastal</t>
        </is>
      </c>
      <c r="BM110" t="inlineStr"/>
      <c r="BN110" t="inlineStr">
        <is>
          <t>Assets/MachineBrigade/Resources/Data/balance.json: weapons[id=gun_155_coastal] (lớp B trên 01_chien_dau/Vu_khi)</t>
        </is>
      </c>
      <c r="BO110" t="inlineStr"/>
    </row>
    <row r="111">
      <c r="A111" t="inlineStr">
        <is>
          <t>gun_155_coastal_guided</t>
        </is>
      </c>
      <c r="B111" t="n">
        <v>3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12.579</v>
      </c>
      <c r="I111">
        <f>Vu_khi!$W$111*MAX(1,$E$111)</f>
        <v/>
      </c>
      <c r="J111" t="n">
        <v>457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36.33039192304634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1.6</v>
      </c>
      <c r="AA111">
        <f>AND(Vu_khi!$K$111="Kinetic",NOT(Vu_khi!$AG$111))</f>
        <v/>
      </c>
      <c r="AB111" t="b">
        <v>0</v>
      </c>
      <c r="AC111">
        <f>IF(Vu_khi!$AG$111,INDEX(Bang_danh_noc!$C$2:$C$8,MIN(7,MAX(1,2-(Vu_khi!$L$111-0)+1))),INDEX(Bang_xuyen_giap!$C$2:$C$8,MIN(7,MAX(1,IF($O$111,MAX(1,2-(Vu_khi!$L$111-0)),2-(Vu_khi!$L$111-0))+1))))*IF($AA$111,INDEX(Bang_xuyen_qua!$C$2:$C$5,MIN(4,MAX(1,(Vu_khi!$L$111)-(0)-1))),1)</f>
        <v/>
      </c>
      <c r="AD111" t="n">
        <v>1.2</v>
      </c>
      <c r="AE111">
        <f>IF(Vu_khi!$AG$111,INDEX(Bang_danh_noc!$C$2:$C$8,MIN(7,MAX(1,2-(Vu_khi!$L$111-2)+1))),INDEX(Bang_xuyen_giap!$C$2:$C$8,MIN(7,MAX(1,IF($O$111,MAX(1,2-(Vu_khi!$L$111-2)),2-(Vu_khi!$L$111-2))+1))))*IF($AA$111,INDEX(Bang_xuyen_qua!$C$2:$C$5,MIN(4,MAX(1,(Vu_khi!$L$111)-(2)-1))),1)</f>
        <v/>
      </c>
      <c r="AF111" t="n">
        <v>1</v>
      </c>
      <c r="AG111">
        <f>IF(Vu_khi!$AG$111,INDEX(Bang_danh_noc!$C$2:$C$8,MIN(7,MAX(1,2-(Vu_khi!$L$111-4)+1))),INDEX(Bang_xuyen_giap!$C$2:$C$8,MIN(7,MAX(1,IF($O$111,MAX(1,2-(Vu_khi!$L$111-4)),2-(Vu_khi!$L$111-4))+1))))*IF($AA$111,INDEX(Bang_xuyen_qua!$C$2:$C$5,MIN(4,MAX(1,(Vu_khi!$L$111)-(4)-1))),1)</f>
        <v/>
      </c>
      <c r="AH111" t="n">
        <v>0.65</v>
      </c>
      <c r="AI111">
        <f>INDEX(Bang_xuyen_giap!$C$2:$C$8,MIN(7,MAX(1,MAX(1,2-(Vu_khi!$L$111-0))+1)))*IF($AA$111,INDEX(Bang_xuyen_qua!$C$2:$C$5,MIN(4,MAX(1,(Vu_khi!$L$111)-(0)-1))),1)</f>
        <v/>
      </c>
      <c r="AJ111" t="n">
        <v>1</v>
      </c>
      <c r="AK111">
        <f>IF($Q$111,$M$111*$AC$111*$U$111,0)</f>
        <v/>
      </c>
      <c r="AL111" t="n">
        <v>43.59647030765561</v>
      </c>
      <c r="AM111">
        <f>IF($Q$111,$M$111*$AE$111*$U$111,0)</f>
        <v/>
      </c>
      <c r="AN111" t="n">
        <v>36.33039192304634</v>
      </c>
      <c r="AO111">
        <f>IF($Q$111,$M$111*$AG$111*$U$111,0)</f>
        <v/>
      </c>
      <c r="AP111" t="n">
        <v>23.61475474998012</v>
      </c>
      <c r="AQ111">
        <f>IF($Q$111,$M$111*$AE$111*$Y$111,0)</f>
        <v/>
      </c>
      <c r="AR111" t="n">
        <v>58.12862707687415</v>
      </c>
      <c r="AS111">
        <f>IF($S$111,$M$111*$AI$111*$W$111,0)</f>
        <v/>
      </c>
      <c r="AT111" t="n">
        <v>0</v>
      </c>
      <c r="AU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V111" t="b">
        <v>0</v>
      </c>
      <c r="AW111">
        <f>IF(AND($B$111&lt;0,$AU$111),4,$B$111)</f>
        <v/>
      </c>
      <c r="AX111" t="n">
        <v>3</v>
      </c>
      <c r="AY111">
        <f>IF($AW$111&lt;4,0,MIN(MAX(0.5,Canh_bao_vong!$D$4),MAX(IF(Vu_khi!$C$111="cal_406",Canh_bao_vong!$D$7,IF($AW$111&gt;=5,Canh_bao_vong!$D$9,Canh_bao_vong!$D$8)),Canh_bao_vong!$D$2+MAX(0,Vu_khi!$X$111)/MAX(0.1,Canh_bao_vong!$D$5))))</f>
        <v/>
      </c>
      <c r="AZ111" t="n">
        <v>0</v>
      </c>
      <c r="BD111" t="n">
        <v>75</v>
      </c>
      <c r="BE111" t="n">
        <v>97.5</v>
      </c>
      <c r="BF111" t="n">
        <v>0.45</v>
      </c>
      <c r="BG111" t="n">
        <v>0.9</v>
      </c>
      <c r="BH111" t="n">
        <v>1.8</v>
      </c>
      <c r="BI111" t="n">
        <v>1.385</v>
      </c>
      <c r="BJ111" t="inlineStr">
        <is>
          <t>HOWITZER</t>
        </is>
      </c>
      <c r="BK111" t="inlineStr">
        <is>
          <t>ok</t>
        </is>
      </c>
      <c r="BL111" t="inlineStr">
        <is>
          <t>family m284_155_mm_guided_coastal</t>
        </is>
      </c>
      <c r="BM111" t="inlineStr"/>
      <c r="BN111" t="inlineStr">
        <is>
          <t>Assets/MachineBrigade/Resources/Data/balance.json: weapons[id=gun_155_coastal_guided] (lớp B trên 01_chien_dau/Vu_khi)</t>
        </is>
      </c>
      <c r="BO111" t="inlineStr"/>
    </row>
    <row r="112">
      <c r="A112" t="inlineStr">
        <is>
          <t>gun_155_sph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1</v>
      </c>
      <c r="G112">
        <f>IF(Vu_khi!$S$112&gt;0,(Vu_khi!$S$112-1)*Vu_khi!$R$112+Vu_khi!$T$112,Vu_khi!$R$112+(Vu_khi!$P$112-1)*Vu_khi!$Q$112)</f>
        <v/>
      </c>
      <c r="H112" t="n">
        <v>12.81</v>
      </c>
      <c r="I112">
        <f>Vu_khi!$W$112*MAX(1,$E$112)</f>
        <v/>
      </c>
      <c r="J112" t="n">
        <v>320</v>
      </c>
      <c r="K112">
        <f>IF(Vu_khi!$V$112&gt;0,Vu_khi!$V$112,MIN(28,MAX(10,Vu_khi!$U$112*Vu_khi!$R$112*0.4)))</f>
        <v/>
      </c>
      <c r="L112" t="n">
        <v>41.9</v>
      </c>
      <c r="M112">
        <f>IF(Vu_khi!$W$112&lt;=0,0,IF(Vu_khi!$U$112&gt;0,$I$112*Vu_khi!$U$112/(MAX(0.05,$G$112)*Vu_khi!$U$112+$K$112),$I$112/MAX(0.05,$G$112)))</f>
        <v/>
      </c>
      <c r="N112" t="n">
        <v>20.74050068864944</v>
      </c>
      <c r="O112">
        <f>OR(Vu_khi!$AG$112,Vu_khi!$AB$112&gt;0,Vu_khi!$AH$112,Vu_khi!$M$112="Bomb",Vu_khi!$M$112="Drone")</f>
        <v/>
      </c>
      <c r="P112" t="b">
        <v>1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1.6</v>
      </c>
      <c r="AA112">
        <f>AND(Vu_khi!$K$112="Kinetic",NOT(Vu_khi!$AG$112))</f>
        <v/>
      </c>
      <c r="AB112" t="b">
        <v>0</v>
      </c>
      <c r="AC112">
        <f>IF(Vu_khi!$AG$112,INDEX(Bang_danh_noc!$C$2:$C$8,MIN(7,MAX(1,2-(Vu_khi!$L$112-0)+1))),INDEX(Bang_xuyen_giap!$C$2:$C$8,MIN(7,MAX(1,IF($O$112,MAX(1,2-(Vu_khi!$L$112-0)),2-(Vu_khi!$L$112-0))+1))))*IF($AA$112,INDEX(Bang_xuyen_qua!$C$2:$C$5,MIN(4,MAX(1,(Vu_khi!$L$112)-(0)-1))),1)</f>
        <v/>
      </c>
      <c r="AD112" t="n">
        <v>1</v>
      </c>
      <c r="AE112">
        <f>IF(Vu_khi!$AG$112,INDEX(Bang_danh_noc!$C$2:$C$8,MIN(7,MAX(1,2-(Vu_khi!$L$112-2)+1))),INDEX(Bang_xuyen_giap!$C$2:$C$8,MIN(7,MAX(1,IF($O$112,MAX(1,2-(Vu_khi!$L$112-2)),2-(Vu_khi!$L$112-2))+1))))*IF($AA$112,INDEX(Bang_xuyen_qua!$C$2:$C$5,MIN(4,MAX(1,(Vu_khi!$L$112)-(2)-1))),1)</f>
        <v/>
      </c>
      <c r="AF112" t="n">
        <v>1</v>
      </c>
      <c r="AG112">
        <f>IF(Vu_khi!$AG$112,INDEX(Bang_danh_noc!$C$2:$C$8,MIN(7,MAX(1,2-(Vu_khi!$L$112-4)+1))),INDEX(Bang_xuyen_giap!$C$2:$C$8,MIN(7,MAX(1,IF($O$112,MAX(1,2-(Vu_khi!$L$112-4)),2-(Vu_khi!$L$112-4))+1))))*IF($AA$112,INDEX(Bang_xuyen_qua!$C$2:$C$5,MIN(4,MAX(1,(Vu_khi!$L$112)-(4)-1))),1)</f>
        <v/>
      </c>
      <c r="AH112" t="n">
        <v>0.65</v>
      </c>
      <c r="AI112">
        <f>INDEX(Bang_xuyen_giap!$C$2:$C$8,MIN(7,MAX(1,MAX(1,2-(Vu_khi!$L$112-0))+1)))*IF($AA$112,INDEX(Bang_xuyen_qua!$C$2:$C$5,MIN(4,MAX(1,(Vu_khi!$L$112)-(0)-1))),1)</f>
        <v/>
      </c>
      <c r="AJ112" t="n">
        <v>1</v>
      </c>
      <c r="AK112">
        <f>IF($Q$112,$M$112*$AC$112*$U$112,0)</f>
        <v/>
      </c>
      <c r="AL112" t="n">
        <v>20.74050068864944</v>
      </c>
      <c r="AM112">
        <f>IF($Q$112,$M$112*$AE$112*$U$112,0)</f>
        <v/>
      </c>
      <c r="AN112" t="n">
        <v>20.74050068864944</v>
      </c>
      <c r="AO112">
        <f>IF($Q$112,$M$112*$AG$112*$U$112,0)</f>
        <v/>
      </c>
      <c r="AP112" t="n">
        <v>13.48132544762213</v>
      </c>
      <c r="AQ112">
        <f>IF($Q$112,$M$112*$AE$112*$Y$112,0)</f>
        <v/>
      </c>
      <c r="AR112" t="n">
        <v>33.1848011018391</v>
      </c>
      <c r="AS112">
        <f>IF($S$112,$M$112*$AI$112*$W$112,0)</f>
        <v/>
      </c>
      <c r="AT112" t="n">
        <v>0</v>
      </c>
      <c r="AU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V112" t="b">
        <v>0</v>
      </c>
      <c r="AW112">
        <f>IF(AND($B$112&lt;0,$AU$112),4,$B$112)</f>
        <v/>
      </c>
      <c r="AX112" t="n">
        <v>3</v>
      </c>
      <c r="AY112">
        <f>IF($AW$112&lt;4,0,MIN(MAX(0.5,Canh_bao_vong!$D$4),MAX(IF(Vu_khi!$C$112="cal_406",Canh_bao_vong!$D$7,IF($AW$112&gt;=5,Canh_bao_vong!$D$9,Canh_bao_vong!$D$8)),Canh_bao_vong!$D$2+MAX(0,Vu_khi!$X$112)/MAX(0.1,Canh_bao_vong!$D$5))))</f>
        <v/>
      </c>
      <c r="AZ112" t="n">
        <v>0</v>
      </c>
      <c r="BA112" t="n">
        <v>0.720008</v>
      </c>
      <c r="BB112" t="inlineStr">
        <is>
          <t>ok</t>
        </is>
      </c>
      <c r="BC112" t="inlineStr"/>
      <c r="BD112" t="n">
        <v>55</v>
      </c>
      <c r="BE112" t="n">
        <v>71.5</v>
      </c>
      <c r="BF112" t="n">
        <v>0.455</v>
      </c>
      <c r="BG112" t="n">
        <v>0.909</v>
      </c>
      <c r="BH112" t="n">
        <v>1.818</v>
      </c>
      <c r="BI112" t="n">
        <v>1.399</v>
      </c>
      <c r="BJ112" t="inlineStr">
        <is>
          <t>HOWITZER</t>
        </is>
      </c>
      <c r="BK112" t="inlineStr">
        <is>
          <t>ok</t>
        </is>
      </c>
      <c r="BL112" t="inlineStr">
        <is>
          <t>family m284_155_mm_2</t>
        </is>
      </c>
      <c r="BM112" t="inlineStr"/>
      <c r="BN112" t="inlineStr">
        <is>
          <t>Assets/MachineBrigade/Resources/Data/balance.json: weapons[id=gun_155_sph] (lớp B trên 01_chien_dau/Vu_khi)</t>
        </is>
      </c>
      <c r="BO112" t="inlineStr"/>
    </row>
    <row r="113">
      <c r="A113" t="inlineStr">
        <is>
          <t>gun_155_twin</t>
        </is>
      </c>
      <c r="B113" t="n">
        <v>3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2</v>
      </c>
      <c r="G113">
        <f>IF(Vu_khi!$S$113&gt;0,(Vu_khi!$S$113-1)*Vu_khi!$R$113+Vu_khi!$T$113,Vu_khi!$R$113+(Vu_khi!$P$113-1)*Vu_khi!$Q$113)</f>
        <v/>
      </c>
      <c r="H113" t="n">
        <v>8.84</v>
      </c>
      <c r="I113">
        <f>Vu_khi!$W$113*MAX(1,$E$113)</f>
        <v/>
      </c>
      <c r="J113" t="n">
        <v>640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72.39819004524887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1.6</v>
      </c>
      <c r="AA113">
        <f>AND(Vu_khi!$K$113="Kinetic",NOT(Vu_khi!$AG$113))</f>
        <v/>
      </c>
      <c r="AB113" t="b">
        <v>0</v>
      </c>
      <c r="AC113">
        <f>IF(Vu_khi!$AG$113,INDEX(Bang_danh_noc!$C$2:$C$8,MIN(7,MAX(1,2-(Vu_khi!$L$113-0)+1))),INDEX(Bang_xuyen_giap!$C$2:$C$8,MIN(7,MAX(1,IF($O$113,MAX(1,2-(Vu_khi!$L$113-0)),2-(Vu_khi!$L$113-0))+1))))*IF($AA$113,INDEX(Bang_xuyen_qua!$C$2:$C$5,MIN(4,MAX(1,(Vu_khi!$L$113)-(0)-1))),1)</f>
        <v/>
      </c>
      <c r="AD113" t="n">
        <v>1.2</v>
      </c>
      <c r="AE113">
        <f>IF(Vu_khi!$AG$113,INDEX(Bang_danh_noc!$C$2:$C$8,MIN(7,MAX(1,2-(Vu_khi!$L$113-2)+1))),INDEX(Bang_xuyen_giap!$C$2:$C$8,MIN(7,MAX(1,IF($O$113,MAX(1,2-(Vu_khi!$L$113-2)),2-(Vu_khi!$L$113-2))+1))))*IF($AA$113,INDEX(Bang_xuyen_qua!$C$2:$C$5,MIN(4,MAX(1,(Vu_khi!$L$113)-(2)-1))),1)</f>
        <v/>
      </c>
      <c r="AF113" t="n">
        <v>1</v>
      </c>
      <c r="AG113">
        <f>IF(Vu_khi!$AG$113,INDEX(Bang_danh_noc!$C$2:$C$8,MIN(7,MAX(1,2-(Vu_khi!$L$113-4)+1))),INDEX(Bang_xuyen_giap!$C$2:$C$8,MIN(7,MAX(1,IF($O$113,MAX(1,2-(Vu_khi!$L$113-4)),2-(Vu_khi!$L$113-4))+1))))*IF($AA$113,INDEX(Bang_xuyen_qua!$C$2:$C$5,MIN(4,MAX(1,(Vu_khi!$L$113)-(4)-1))),1)</f>
        <v/>
      </c>
      <c r="AH113" t="n">
        <v>0.65</v>
      </c>
      <c r="AI113">
        <f>INDEX(Bang_xuyen_giap!$C$2:$C$8,MIN(7,MAX(1,MAX(1,2-(Vu_khi!$L$113-0))+1)))*IF($AA$113,INDEX(Bang_xuyen_qua!$C$2:$C$5,MIN(4,MAX(1,(Vu_khi!$L$113)-(0)-1))),1)</f>
        <v/>
      </c>
      <c r="AJ113" t="n">
        <v>1</v>
      </c>
      <c r="AK113">
        <f>IF($Q$113,$M$113*$AC$113*$U$113,0)</f>
        <v/>
      </c>
      <c r="AL113" t="n">
        <v>86.87782805429863</v>
      </c>
      <c r="AM113">
        <f>IF($Q$113,$M$113*$AE$113*$U$113,0)</f>
        <v/>
      </c>
      <c r="AN113" t="n">
        <v>72.39819004524887</v>
      </c>
      <c r="AO113">
        <f>IF($Q$113,$M$113*$AG$113*$U$113,0)</f>
        <v/>
      </c>
      <c r="AP113" t="n">
        <v>47.05882352941177</v>
      </c>
      <c r="AQ113">
        <f>IF($Q$113,$M$113*$AE$113*$Y$113,0)</f>
        <v/>
      </c>
      <c r="AR113" t="n">
        <v>115.8371040723982</v>
      </c>
      <c r="AS113">
        <f>IF($S$113,$M$113*$AI$113*$W$113,0)</f>
        <v/>
      </c>
      <c r="AT113" t="n">
        <v>0</v>
      </c>
      <c r="AU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V113" t="b">
        <v>0</v>
      </c>
      <c r="AW113">
        <f>IF(AND($B$113&lt;0,$AU$113),4,$B$113)</f>
        <v/>
      </c>
      <c r="AX113" t="n">
        <v>3</v>
      </c>
      <c r="AY113">
        <f>IF($AW$113&lt;4,0,MIN(MAX(0.5,Canh_bao_vong!$D$4),MAX(IF(Vu_khi!$C$113="cal_406",Canh_bao_vong!$D$7,IF($AW$113&gt;=5,Canh_bao_vong!$D$9,Canh_bao_vong!$D$8)),Canh_bao_vong!$D$2+MAX(0,Vu_khi!$X$113)/MAX(0.1,Canh_bao_vong!$D$5))))</f>
        <v/>
      </c>
      <c r="AZ113" t="n">
        <v>0</v>
      </c>
      <c r="BA113" t="n">
        <v>0.412533</v>
      </c>
      <c r="BB113" t="inlineStr">
        <is>
          <t>NHANH_QUA</t>
        </is>
      </c>
      <c r="BC113" t="inlineStr"/>
      <c r="BD113" t="n">
        <v>150</v>
      </c>
      <c r="BE113" t="n">
        <v>195</v>
      </c>
      <c r="BF113" t="n">
        <v>0.083</v>
      </c>
      <c r="BG113" t="n">
        <v>0.167</v>
      </c>
      <c r="BH113" t="n">
        <v>0.333</v>
      </c>
      <c r="BI113" t="n">
        <v>0.256</v>
      </c>
      <c r="BJ113" t="inlineStr">
        <is>
          <t>DIRECT_FAST</t>
        </is>
      </c>
      <c r="BK113" t="inlineStr">
        <is>
          <t>ok</t>
        </is>
      </c>
      <c r="BL113" t="inlineStr">
        <is>
          <t>family m284_155_mm</t>
        </is>
      </c>
      <c r="BM113" t="inlineStr"/>
      <c r="BN113" t="inlineStr">
        <is>
          <t>Assets/MachineBrigade/Resources/Data/balance.json: weapons[id=gun_155_twin] (lớp B trên 01_chien_dau/Vu_khi)</t>
        </is>
      </c>
      <c r="BO113" t="inlineStr"/>
    </row>
    <row r="114">
      <c r="A114" t="inlineStr">
        <is>
          <t>gun_155_twin_ap</t>
        </is>
      </c>
      <c r="B114" t="n">
        <v>3</v>
      </c>
      <c r="C114">
        <f>IF(Vu_khi!$O$114="SIMULTANEOUS",MAX(1,Vu_khi!$N$114),1)</f>
        <v/>
      </c>
      <c r="D114" t="n">
        <v>2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7.929</v>
      </c>
      <c r="I114">
        <f>Vu_khi!$W$114*MAX(1,$E$114)</f>
        <v/>
      </c>
      <c r="J114" t="n">
        <v>858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108.2103670071888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1.2</v>
      </c>
      <c r="W114">
        <f>INDEX(Bang_sat_thuong!$C$2:$C$7,MATCH(Vu_khi!$K$114,Bang_sat_thuong!$A$2:$A$7,0))</f>
        <v/>
      </c>
      <c r="X114" t="n">
        <v>0.3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0.7</v>
      </c>
      <c r="AA114">
        <f>AND(Vu_khi!$K$114="Kinetic",NOT(Vu_khi!$AG$114))</f>
        <v/>
      </c>
      <c r="AB114" t="b">
        <v>1</v>
      </c>
      <c r="AC114">
        <f>IF(Vu_khi!$AG$114,INDEX(Bang_danh_noc!$C$2:$C$8,MIN(7,MAX(1,2-(Vu_khi!$L$114-0)+1))),INDEX(Bang_xuyen_giap!$C$2:$C$8,MIN(7,MAX(1,IF($O$114,MAX(1,2-(Vu_khi!$L$114-0)),2-(Vu_khi!$L$114-0))+1))))*IF($AA$114,INDEX(Bang_xuyen_qua!$C$2:$C$5,MIN(4,MAX(1,(Vu_khi!$L$114)-(0)-1))),1)</f>
        <v/>
      </c>
      <c r="AD114" t="n">
        <v>0.8999999999999999</v>
      </c>
      <c r="AE114">
        <f>IF(Vu_khi!$AG$114,INDEX(Bang_danh_noc!$C$2:$C$8,MIN(7,MAX(1,2-(Vu_khi!$L$114-2)+1))),INDEX(Bang_xuyen_giap!$C$2:$C$8,MIN(7,MAX(1,IF($O$114,MAX(1,2-(Vu_khi!$L$114-2)),2-(Vu_khi!$L$114-2))+1))))*IF($AA$114,INDEX(Bang_xuyen_qua!$C$2:$C$5,MIN(4,MAX(1,(Vu_khi!$L$114)-(2)-1))),1)</f>
        <v/>
      </c>
      <c r="AF114" t="n">
        <v>1.14</v>
      </c>
      <c r="AG114">
        <f>IF(Vu_khi!$AG$114,INDEX(Bang_danh_noc!$C$2:$C$8,MIN(7,MAX(1,2-(Vu_khi!$L$114-4)+1))),INDEX(Bang_xuyen_giap!$C$2:$C$8,MIN(7,MAX(1,IF($O$114,MAX(1,2-(Vu_khi!$L$114-4)),2-(Vu_khi!$L$114-4))+1))))*IF($AA$114,INDEX(Bang_xuyen_qua!$C$2:$C$5,MIN(4,MAX(1,(Vu_khi!$L$114)-(4)-1))),1)</f>
        <v/>
      </c>
      <c r="AH114" t="n">
        <v>1</v>
      </c>
      <c r="AI114">
        <f>INDEX(Bang_xuyen_giap!$C$2:$C$8,MIN(7,MAX(1,MAX(1,2-(Vu_khi!$L$114-0))+1)))*IF($AA$114,INDEX(Bang_xuyen_qua!$C$2:$C$5,MIN(4,MAX(1,(Vu_khi!$L$114)-(0)-1))),1)</f>
        <v/>
      </c>
      <c r="AJ114" t="n">
        <v>0.75</v>
      </c>
      <c r="AK114">
        <f>IF($Q$114,$M$114*$AC$114*$U$114,0)</f>
        <v/>
      </c>
      <c r="AL114" t="n">
        <v>116.8671963677639</v>
      </c>
      <c r="AM114">
        <f>IF($Q$114,$M$114*$AE$114*$U$114,0)</f>
        <v/>
      </c>
      <c r="AN114" t="n">
        <v>148.0317820658342</v>
      </c>
      <c r="AO114">
        <f>IF($Q$114,$M$114*$AG$114*$U$114,0)</f>
        <v/>
      </c>
      <c r="AP114" t="n">
        <v>129.8524404086265</v>
      </c>
      <c r="AQ114">
        <f>IF($Q$114,$M$114*$AE$114*$Y$114,0)</f>
        <v/>
      </c>
      <c r="AR114" t="n">
        <v>86.35187287173665</v>
      </c>
      <c r="AS114">
        <f>IF($S$114,$M$114*$AI$114*$W$114,0)</f>
        <v/>
      </c>
      <c r="AT114" t="n">
        <v>0</v>
      </c>
      <c r="AU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V114" t="b">
        <v>0</v>
      </c>
      <c r="AW114">
        <f>IF(AND($B$114&lt;0,$AU$114),4,$B$114)</f>
        <v/>
      </c>
      <c r="AX114" t="n">
        <v>3</v>
      </c>
      <c r="AY114">
        <f>IF($AW$114&lt;4,0,MIN(MAX(0.5,Canh_bao_vong!$D$4),MAX(IF(Vu_khi!$C$114="cal_406",Canh_bao_vong!$D$7,IF($AW$114&gt;=5,Canh_bao_vong!$D$9,Canh_bao_vong!$D$8)),Canh_bao_vong!$D$2+MAX(0,Vu_khi!$X$114)/MAX(0.1,Canh_bao_vong!$D$5))))</f>
        <v/>
      </c>
      <c r="AZ114" t="n">
        <v>0</v>
      </c>
      <c r="BA114" t="n">
        <v>0.37002</v>
      </c>
      <c r="BB114" t="inlineStr">
        <is>
          <t>NHANH_QUA;LECH_DOT_1</t>
        </is>
      </c>
      <c r="BC114" t="inlineStr"/>
      <c r="BD114" t="n">
        <v>150</v>
      </c>
      <c r="BE114" t="n">
        <v>195</v>
      </c>
      <c r="BF114" t="n">
        <v>0.083</v>
      </c>
      <c r="BG114" t="n">
        <v>0.167</v>
      </c>
      <c r="BH114" t="n">
        <v>0.333</v>
      </c>
      <c r="BI114" t="n">
        <v>0.256</v>
      </c>
      <c r="BJ114" t="inlineStr">
        <is>
          <t>DIRECT_FAST</t>
        </is>
      </c>
      <c r="BK114" t="inlineStr">
        <is>
          <t>ok</t>
        </is>
      </c>
      <c r="BL114" t="inlineStr">
        <is>
          <t>inherited from gun_155_twin_fort</t>
        </is>
      </c>
      <c r="BM114" t="inlineStr"/>
      <c r="BN114" t="inlineStr">
        <is>
          <t>Assets/MachineBrigade/Resources/Data/balance.json: weapons[id=gun_155_twin_ap] (lớp B trên 01_chien_dau/Vu_khi)</t>
        </is>
      </c>
      <c r="BO114" t="inlineStr"/>
    </row>
    <row r="115">
      <c r="A115" t="inlineStr">
        <is>
          <t>gun_155_twin_coastlr</t>
        </is>
      </c>
      <c r="B115" t="n">
        <v>3</v>
      </c>
      <c r="C115">
        <f>IF(Vu_khi!$O$115="SIMULTANEOUS",MAX(1,Vu_khi!$N$115),1)</f>
        <v/>
      </c>
      <c r="D115" t="n">
        <v>2</v>
      </c>
      <c r="E115">
        <f>IF(Vu_khi!$S$115&gt;0,Vu_khi!$S$115,Vu_khi!$P$115*$C$115)</f>
        <v/>
      </c>
      <c r="F115" t="n">
        <v>2</v>
      </c>
      <c r="G115">
        <f>IF(Vu_khi!$S$115&gt;0,(Vu_khi!$S$115-1)*Vu_khi!$R$115+Vu_khi!$T$115,Vu_khi!$R$115+(Vu_khi!$P$115-1)*Vu_khi!$Q$115)</f>
        <v/>
      </c>
      <c r="H115" t="n">
        <v>7.929</v>
      </c>
      <c r="I115">
        <f>Vu_khi!$W$115*MAX(1,$E$115)</f>
        <v/>
      </c>
      <c r="J115" t="n">
        <v>914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115.2730483036953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1.6</v>
      </c>
      <c r="AA115">
        <f>AND(Vu_khi!$K$115="Kinetic",NOT(Vu_khi!$AG$115))</f>
        <v/>
      </c>
      <c r="AB115" t="b">
        <v>0</v>
      </c>
      <c r="AC115">
        <f>IF(Vu_khi!$AG$115,INDEX(Bang_danh_noc!$C$2:$C$8,MIN(7,MAX(1,2-(Vu_khi!$L$115-0)+1))),INDEX(Bang_xuyen_giap!$C$2:$C$8,MIN(7,MAX(1,IF($O$115,MAX(1,2-(Vu_khi!$L$115-0)),2-(Vu_khi!$L$115-0))+1))))*IF($AA$115,INDEX(Bang_xuyen_qua!$C$2:$C$5,MIN(4,MAX(1,(Vu_khi!$L$115)-(0)-1))),1)</f>
        <v/>
      </c>
      <c r="AD115" t="n">
        <v>1.2</v>
      </c>
      <c r="AE115">
        <f>IF(Vu_khi!$AG$115,INDEX(Bang_danh_noc!$C$2:$C$8,MIN(7,MAX(1,2-(Vu_khi!$L$115-2)+1))),INDEX(Bang_xuyen_giap!$C$2:$C$8,MIN(7,MAX(1,IF($O$115,MAX(1,2-(Vu_khi!$L$115-2)),2-(Vu_khi!$L$115-2))+1))))*IF($AA$115,INDEX(Bang_xuyen_qua!$C$2:$C$5,MIN(4,MAX(1,(Vu_khi!$L$115)-(2)-1))),1)</f>
        <v/>
      </c>
      <c r="AF115" t="n">
        <v>1</v>
      </c>
      <c r="AG115">
        <f>IF(Vu_khi!$AG$115,INDEX(Bang_danh_noc!$C$2:$C$8,MIN(7,MAX(1,2-(Vu_khi!$L$115-4)+1))),INDEX(Bang_xuyen_giap!$C$2:$C$8,MIN(7,MAX(1,IF($O$115,MAX(1,2-(Vu_khi!$L$115-4)),2-(Vu_khi!$L$115-4))+1))))*IF($AA$115,INDEX(Bang_xuyen_qua!$C$2:$C$5,MIN(4,MAX(1,(Vu_khi!$L$115)-(4)-1))),1)</f>
        <v/>
      </c>
      <c r="AH115" t="n">
        <v>0.65</v>
      </c>
      <c r="AI115">
        <f>INDEX(Bang_xuyen_giap!$C$2:$C$8,MIN(7,MAX(1,MAX(1,2-(Vu_khi!$L$115-0))+1)))*IF($AA$115,INDEX(Bang_xuyen_qua!$C$2:$C$5,MIN(4,MAX(1,(Vu_khi!$L$115)-(0)-1))),1)</f>
        <v/>
      </c>
      <c r="AJ115" t="n">
        <v>1</v>
      </c>
      <c r="AK115">
        <f>IF($Q$115,$M$115*$AC$115*$U$115,0)</f>
        <v/>
      </c>
      <c r="AL115" t="n">
        <v>138.3276579644343</v>
      </c>
      <c r="AM115">
        <f>IF($Q$115,$M$115*$AE$115*$U$115,0)</f>
        <v/>
      </c>
      <c r="AN115" t="n">
        <v>115.2730483036953</v>
      </c>
      <c r="AO115">
        <f>IF($Q$115,$M$115*$AG$115*$U$115,0)</f>
        <v/>
      </c>
      <c r="AP115" t="n">
        <v>74.92748139740195</v>
      </c>
      <c r="AQ115">
        <f>IF($Q$115,$M$115*$AE$115*$Y$115,0)</f>
        <v/>
      </c>
      <c r="AR115" t="n">
        <v>184.4368772859125</v>
      </c>
      <c r="AS115">
        <f>IF($S$115,$M$115*$AI$115*$W$115,0)</f>
        <v/>
      </c>
      <c r="AT115" t="n">
        <v>0</v>
      </c>
      <c r="AU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V115" t="b">
        <v>0</v>
      </c>
      <c r="AW115">
        <f>IF(AND($B$115&lt;0,$AU$115),4,$B$115)</f>
        <v/>
      </c>
      <c r="AX115" t="n">
        <v>3</v>
      </c>
      <c r="AY115">
        <f>IF($AW$115&lt;4,0,MIN(MAX(0.5,Canh_bao_vong!$D$4),MAX(IF(Vu_khi!$C$115="cal_406",Canh_bao_vong!$D$7,IF($AW$115&gt;=5,Canh_bao_vong!$D$9,Canh_bao_vong!$D$8)),Canh_bao_vong!$D$2+MAX(0,Vu_khi!$X$115)/MAX(0.1,Canh_bao_vong!$D$5))))</f>
        <v/>
      </c>
      <c r="AZ115" t="n">
        <v>0</v>
      </c>
      <c r="BA115" t="n">
        <v>0.37002</v>
      </c>
      <c r="BB115" t="inlineStr">
        <is>
          <t>NHANH_QUA;LECH_DOT_1</t>
        </is>
      </c>
      <c r="BC115" t="inlineStr"/>
      <c r="BD115" t="n">
        <v>70</v>
      </c>
      <c r="BE115" t="n">
        <v>91</v>
      </c>
      <c r="BF115" t="n">
        <v>0.257</v>
      </c>
      <c r="BG115" t="n">
        <v>0.514</v>
      </c>
      <c r="BH115" t="n">
        <v>1.029</v>
      </c>
      <c r="BI115" t="n">
        <v>0.791</v>
      </c>
      <c r="BJ115" t="inlineStr">
        <is>
          <t>HOWITZER</t>
        </is>
      </c>
      <c r="BK115" t="inlineStr">
        <is>
          <t>ok</t>
        </is>
      </c>
      <c r="BL115" t="inlineStr">
        <is>
          <t>family m284_155_mm_coastal</t>
        </is>
      </c>
      <c r="BM115" t="inlineStr"/>
      <c r="BN115" t="inlineStr">
        <is>
          <t>Assets/MachineBrigade/Resources/Data/balance.json: weapons[id=gun_155_twin_coastlr] (lớp B trên 01_chien_dau/Vu_khi)</t>
        </is>
      </c>
      <c r="BO115" t="inlineStr"/>
    </row>
    <row r="116">
      <c r="A116" t="inlineStr">
        <is>
          <t>gun_155_twin_coastlr_guided</t>
        </is>
      </c>
      <c r="B116" t="n">
        <v>3</v>
      </c>
      <c r="C116">
        <f>IF(Vu_khi!$O$116="SIMULTANEOUS",MAX(1,Vu_khi!$N$116),1)</f>
        <v/>
      </c>
      <c r="D116" t="n">
        <v>1</v>
      </c>
      <c r="E116">
        <f>IF(Vu_khi!$S$116&gt;0,Vu_khi!$S$116,Vu_khi!$P$116*$C$116)</f>
        <v/>
      </c>
      <c r="F116" t="n">
        <v>1</v>
      </c>
      <c r="G116">
        <f>IF(Vu_khi!$S$116&gt;0,(Vu_khi!$S$116-1)*Vu_khi!$R$116+Vu_khi!$T$116,Vu_khi!$R$116+(Vu_khi!$P$116-1)*Vu_khi!$Q$116)</f>
        <v/>
      </c>
      <c r="H116" t="n">
        <v>7.929</v>
      </c>
      <c r="I116">
        <f>Vu_khi!$W$116*MAX(1,$E$116)</f>
        <v/>
      </c>
      <c r="J116" t="n">
        <v>457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57.63652415184765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1.6</v>
      </c>
      <c r="AA116">
        <f>AND(Vu_khi!$K$116="Kinetic",NOT(Vu_khi!$AG$116))</f>
        <v/>
      </c>
      <c r="AB116" t="b">
        <v>0</v>
      </c>
      <c r="AC116">
        <f>IF(Vu_khi!$AG$116,INDEX(Bang_danh_noc!$C$2:$C$8,MIN(7,MAX(1,2-(Vu_khi!$L$116-0)+1))),INDEX(Bang_xuyen_giap!$C$2:$C$8,MIN(7,MAX(1,IF($O$116,MAX(1,2-(Vu_khi!$L$116-0)),2-(Vu_khi!$L$116-0))+1))))*IF($AA$116,INDEX(Bang_xuyen_qua!$C$2:$C$5,MIN(4,MAX(1,(Vu_khi!$L$116)-(0)-1))),1)</f>
        <v/>
      </c>
      <c r="AD116" t="n">
        <v>1.2</v>
      </c>
      <c r="AE116">
        <f>IF(Vu_khi!$AG$116,INDEX(Bang_danh_noc!$C$2:$C$8,MIN(7,MAX(1,2-(Vu_khi!$L$116-2)+1))),INDEX(Bang_xuyen_giap!$C$2:$C$8,MIN(7,MAX(1,IF($O$116,MAX(1,2-(Vu_khi!$L$116-2)),2-(Vu_khi!$L$116-2))+1))))*IF($AA$116,INDEX(Bang_xuyen_qua!$C$2:$C$5,MIN(4,MAX(1,(Vu_khi!$L$116)-(2)-1))),1)</f>
        <v/>
      </c>
      <c r="AF116" t="n">
        <v>1</v>
      </c>
      <c r="AG116">
        <f>IF(Vu_khi!$AG$116,INDEX(Bang_danh_noc!$C$2:$C$8,MIN(7,MAX(1,2-(Vu_khi!$L$116-4)+1))),INDEX(Bang_xuyen_giap!$C$2:$C$8,MIN(7,MAX(1,IF($O$116,MAX(1,2-(Vu_khi!$L$116-4)),2-(Vu_khi!$L$116-4))+1))))*IF($AA$116,INDEX(Bang_xuyen_qua!$C$2:$C$5,MIN(4,MAX(1,(Vu_khi!$L$116)-(4)-1))),1)</f>
        <v/>
      </c>
      <c r="AH116" t="n">
        <v>0.65</v>
      </c>
      <c r="AI116">
        <f>INDEX(Bang_xuyen_giap!$C$2:$C$8,MIN(7,MAX(1,MAX(1,2-(Vu_khi!$L$116-0))+1)))*IF($AA$116,INDEX(Bang_xuyen_qua!$C$2:$C$5,MIN(4,MAX(1,(Vu_khi!$L$116)-(0)-1))),1)</f>
        <v/>
      </c>
      <c r="AJ116" t="n">
        <v>1</v>
      </c>
      <c r="AK116">
        <f>IF($Q$116,$M$116*$AC$116*$U$116,0)</f>
        <v/>
      </c>
      <c r="AL116" t="n">
        <v>69.16382898221717</v>
      </c>
      <c r="AM116">
        <f>IF($Q$116,$M$116*$AE$116*$U$116,0)</f>
        <v/>
      </c>
      <c r="AN116" t="n">
        <v>57.63652415184765</v>
      </c>
      <c r="AO116">
        <f>IF($Q$116,$M$116*$AG$116*$U$116,0)</f>
        <v/>
      </c>
      <c r="AP116" t="n">
        <v>37.46374069870097</v>
      </c>
      <c r="AQ116">
        <f>IF($Q$116,$M$116*$AE$116*$Y$116,0)</f>
        <v/>
      </c>
      <c r="AR116" t="n">
        <v>92.21843864295624</v>
      </c>
      <c r="AS116">
        <f>IF($S$116,$M$116*$AI$116*$W$116,0)</f>
        <v/>
      </c>
      <c r="AT116" t="n">
        <v>0</v>
      </c>
      <c r="AU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V116" t="b">
        <v>0</v>
      </c>
      <c r="AW116">
        <f>IF(AND($B$116&lt;0,$AU$116),4,$B$116)</f>
        <v/>
      </c>
      <c r="AX116" t="n">
        <v>3</v>
      </c>
      <c r="AY116">
        <f>IF($AW$116&lt;4,0,MIN(MAX(0.5,Canh_bao_vong!$D$4),MAX(IF(Vu_khi!$C$116="cal_406",Canh_bao_vong!$D$7,IF($AW$116&gt;=5,Canh_bao_vong!$D$9,Canh_bao_vong!$D$8)),Canh_bao_vong!$D$2+MAX(0,Vu_khi!$X$116)/MAX(0.1,Canh_bao_vong!$D$5))))</f>
        <v/>
      </c>
      <c r="AZ116" t="n">
        <v>0</v>
      </c>
      <c r="BD116" t="n">
        <v>75</v>
      </c>
      <c r="BE116" t="n">
        <v>97.5</v>
      </c>
      <c r="BF116" t="n">
        <v>0.24</v>
      </c>
      <c r="BG116" t="n">
        <v>0.48</v>
      </c>
      <c r="BH116" t="n">
        <v>0.96</v>
      </c>
      <c r="BI116" t="n">
        <v>0.738</v>
      </c>
      <c r="BJ116" t="inlineStr">
        <is>
          <t>HOWITZER</t>
        </is>
      </c>
      <c r="BK116" t="inlineStr">
        <is>
          <t>ok</t>
        </is>
      </c>
      <c r="BL116" t="inlineStr">
        <is>
          <t>family m284_155_mm_guided_coastal</t>
        </is>
      </c>
      <c r="BM116" t="inlineStr"/>
      <c r="BN116" t="inlineStr">
        <is>
          <t>Assets/MachineBrigade/Resources/Data/balance.json: weapons[id=gun_155_twin_coastlr_guided] (lớp B trên 01_chien_dau/Vu_khi)</t>
        </is>
      </c>
      <c r="BO116" t="inlineStr"/>
    </row>
    <row r="117">
      <c r="A117" t="inlineStr">
        <is>
          <t>gun_155_twin_fort</t>
        </is>
      </c>
      <c r="B117" t="n">
        <v>3</v>
      </c>
      <c r="C117">
        <f>IF(Vu_khi!$O$117="SIMULTANEOUS",MAX(1,Vu_khi!$N$117),1)</f>
        <v/>
      </c>
      <c r="D117" t="n">
        <v>2</v>
      </c>
      <c r="E117">
        <f>IF(Vu_khi!$S$117&gt;0,Vu_khi!$S$117,Vu_khi!$P$117*$C$117)</f>
        <v/>
      </c>
      <c r="F117" t="n">
        <v>2</v>
      </c>
      <c r="G117">
        <f>IF(Vu_khi!$S$117&gt;0,(Vu_khi!$S$117-1)*Vu_khi!$R$117+Vu_khi!$T$117,Vu_khi!$R$117+(Vu_khi!$P$117-1)*Vu_khi!$Q$117)</f>
        <v/>
      </c>
      <c r="H117" t="n">
        <v>7.929</v>
      </c>
      <c r="I117">
        <f>Vu_khi!$W$117*MAX(1,$E$117)</f>
        <v/>
      </c>
      <c r="J117" t="n">
        <v>914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115.2730483036953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1.6</v>
      </c>
      <c r="AA117">
        <f>AND(Vu_khi!$K$117="Kinetic",NOT(Vu_khi!$AG$117))</f>
        <v/>
      </c>
      <c r="AB117" t="b">
        <v>0</v>
      </c>
      <c r="AC117">
        <f>IF(Vu_khi!$AG$117,INDEX(Bang_danh_noc!$C$2:$C$8,MIN(7,MAX(1,2-(Vu_khi!$L$117-0)+1))),INDEX(Bang_xuyen_giap!$C$2:$C$8,MIN(7,MAX(1,IF($O$117,MAX(1,2-(Vu_khi!$L$117-0)),2-(Vu_khi!$L$117-0))+1))))*IF($AA$117,INDEX(Bang_xuyen_qua!$C$2:$C$5,MIN(4,MAX(1,(Vu_khi!$L$117)-(0)-1))),1)</f>
        <v/>
      </c>
      <c r="AD117" t="n">
        <v>1.2</v>
      </c>
      <c r="AE117">
        <f>IF(Vu_khi!$AG$117,INDEX(Bang_danh_noc!$C$2:$C$8,MIN(7,MAX(1,2-(Vu_khi!$L$117-2)+1))),INDEX(Bang_xuyen_giap!$C$2:$C$8,MIN(7,MAX(1,IF($O$117,MAX(1,2-(Vu_khi!$L$117-2)),2-(Vu_khi!$L$117-2))+1))))*IF($AA$117,INDEX(Bang_xuyen_qua!$C$2:$C$5,MIN(4,MAX(1,(Vu_khi!$L$117)-(2)-1))),1)</f>
        <v/>
      </c>
      <c r="AF117" t="n">
        <v>1</v>
      </c>
      <c r="AG117">
        <f>IF(Vu_khi!$AG$117,INDEX(Bang_danh_noc!$C$2:$C$8,MIN(7,MAX(1,2-(Vu_khi!$L$117-4)+1))),INDEX(Bang_xuyen_giap!$C$2:$C$8,MIN(7,MAX(1,IF($O$117,MAX(1,2-(Vu_khi!$L$117-4)),2-(Vu_khi!$L$117-4))+1))))*IF($AA$117,INDEX(Bang_xuyen_qua!$C$2:$C$5,MIN(4,MAX(1,(Vu_khi!$L$117)-(4)-1))),1)</f>
        <v/>
      </c>
      <c r="AH117" t="n">
        <v>0.65</v>
      </c>
      <c r="AI117">
        <f>INDEX(Bang_xuyen_giap!$C$2:$C$8,MIN(7,MAX(1,MAX(1,2-(Vu_khi!$L$117-0))+1)))*IF($AA$117,INDEX(Bang_xuyen_qua!$C$2:$C$5,MIN(4,MAX(1,(Vu_khi!$L$117)-(0)-1))),1)</f>
        <v/>
      </c>
      <c r="AJ117" t="n">
        <v>1</v>
      </c>
      <c r="AK117">
        <f>IF($Q$117,$M$117*$AC$117*$U$117,0)</f>
        <v/>
      </c>
      <c r="AL117" t="n">
        <v>138.3276579644343</v>
      </c>
      <c r="AM117">
        <f>IF($Q$117,$M$117*$AE$117*$U$117,0)</f>
        <v/>
      </c>
      <c r="AN117" t="n">
        <v>115.2730483036953</v>
      </c>
      <c r="AO117">
        <f>IF($Q$117,$M$117*$AG$117*$U$117,0)</f>
        <v/>
      </c>
      <c r="AP117" t="n">
        <v>74.92748139740195</v>
      </c>
      <c r="AQ117">
        <f>IF($Q$117,$M$117*$AE$117*$Y$117,0)</f>
        <v/>
      </c>
      <c r="AR117" t="n">
        <v>184.4368772859125</v>
      </c>
      <c r="AS117">
        <f>IF($S$117,$M$117*$AI$117*$W$117,0)</f>
        <v/>
      </c>
      <c r="AT117" t="n">
        <v>0</v>
      </c>
      <c r="AU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V117" t="b">
        <v>0</v>
      </c>
      <c r="AW117">
        <f>IF(AND($B$117&lt;0,$AU$117),4,$B$117)</f>
        <v/>
      </c>
      <c r="AX117" t="n">
        <v>3</v>
      </c>
      <c r="AY117">
        <f>IF($AW$117&lt;4,0,MIN(MAX(0.5,Canh_bao_vong!$D$4),MAX(IF(Vu_khi!$C$117="cal_406",Canh_bao_vong!$D$7,IF($AW$117&gt;=5,Canh_bao_vong!$D$9,Canh_bao_vong!$D$8)),Canh_bao_vong!$D$2+MAX(0,Vu_khi!$X$117)/MAX(0.1,Canh_bao_vong!$D$5))))</f>
        <v/>
      </c>
      <c r="AZ117" t="n">
        <v>0</v>
      </c>
      <c r="BA117" t="n">
        <v>0.37002</v>
      </c>
      <c r="BB117" t="inlineStr">
        <is>
          <t>NHANH_QUA;LECH_DOT_1</t>
        </is>
      </c>
      <c r="BC117" t="inlineStr"/>
      <c r="BD117" t="n">
        <v>150</v>
      </c>
      <c r="BE117" t="n">
        <v>195</v>
      </c>
      <c r="BF117" t="n">
        <v>0.083</v>
      </c>
      <c r="BG117" t="n">
        <v>0.167</v>
      </c>
      <c r="BH117" t="n">
        <v>0.333</v>
      </c>
      <c r="BI117" t="n">
        <v>0.256</v>
      </c>
      <c r="BJ117" t="inlineStr">
        <is>
          <t>DIRECT_FAST</t>
        </is>
      </c>
      <c r="BK117" t="inlineStr">
        <is>
          <t>ok</t>
        </is>
      </c>
      <c r="BL117" t="inlineStr">
        <is>
          <t>family m284_155_mm</t>
        </is>
      </c>
      <c r="BM117" t="inlineStr"/>
      <c r="BN117" t="inlineStr">
        <is>
          <t>Assets/MachineBrigade/Resources/Data/balance.json: weapons[id=gun_155_twin_fort] (lớp B trên 01_chien_dau/Vu_khi)</t>
        </is>
      </c>
      <c r="BO117" t="inlineStr"/>
    </row>
    <row r="118">
      <c r="A118" t="inlineStr">
        <is>
          <t>gun_155_twin_fort_guided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1</v>
      </c>
      <c r="G118">
        <f>IF(Vu_khi!$S$118&gt;0,(Vu_khi!$S$118-1)*Vu_khi!$R$118+Vu_khi!$T$118,Vu_khi!$R$118+(Vu_khi!$P$118-1)*Vu_khi!$Q$118)</f>
        <v/>
      </c>
      <c r="H118" t="n">
        <v>7.929</v>
      </c>
      <c r="I118">
        <f>Vu_khi!$W$118*MAX(1,$E$118)</f>
        <v/>
      </c>
      <c r="J118" t="n">
        <v>457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57.63652415184765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1.6</v>
      </c>
      <c r="AA118">
        <f>AND(Vu_khi!$K$118="Kinetic",NOT(Vu_khi!$AG$118))</f>
        <v/>
      </c>
      <c r="AB118" t="b">
        <v>0</v>
      </c>
      <c r="AC118">
        <f>IF(Vu_khi!$AG$118,INDEX(Bang_danh_noc!$C$2:$C$8,MIN(7,MAX(1,2-(Vu_khi!$L$118-0)+1))),INDEX(Bang_xuyen_giap!$C$2:$C$8,MIN(7,MAX(1,IF($O$118,MAX(1,2-(Vu_khi!$L$118-0)),2-(Vu_khi!$L$118-0))+1))))*IF($AA$118,INDEX(Bang_xuyen_qua!$C$2:$C$5,MIN(4,MAX(1,(Vu_khi!$L$118)-(0)-1))),1)</f>
        <v/>
      </c>
      <c r="AD118" t="n">
        <v>1.2</v>
      </c>
      <c r="AE118">
        <f>IF(Vu_khi!$AG$118,INDEX(Bang_danh_noc!$C$2:$C$8,MIN(7,MAX(1,2-(Vu_khi!$L$118-2)+1))),INDEX(Bang_xuyen_giap!$C$2:$C$8,MIN(7,MAX(1,IF($O$118,MAX(1,2-(Vu_khi!$L$118-2)),2-(Vu_khi!$L$118-2))+1))))*IF($AA$118,INDEX(Bang_xuyen_qua!$C$2:$C$5,MIN(4,MAX(1,(Vu_khi!$L$118)-(2)-1))),1)</f>
        <v/>
      </c>
      <c r="AF118" t="n">
        <v>1</v>
      </c>
      <c r="AG118">
        <f>IF(Vu_khi!$AG$118,INDEX(Bang_danh_noc!$C$2:$C$8,MIN(7,MAX(1,2-(Vu_khi!$L$118-4)+1))),INDEX(Bang_xuyen_giap!$C$2:$C$8,MIN(7,MAX(1,IF($O$118,MAX(1,2-(Vu_khi!$L$118-4)),2-(Vu_khi!$L$118-4))+1))))*IF($AA$118,INDEX(Bang_xuyen_qua!$C$2:$C$5,MIN(4,MAX(1,(Vu_khi!$L$118)-(4)-1))),1)</f>
        <v/>
      </c>
      <c r="AH118" t="n">
        <v>0.65</v>
      </c>
      <c r="AI118">
        <f>INDEX(Bang_xuyen_giap!$C$2:$C$8,MIN(7,MAX(1,MAX(1,2-(Vu_khi!$L$118-0))+1)))*IF($AA$118,INDEX(Bang_xuyen_qua!$C$2:$C$5,MIN(4,MAX(1,(Vu_khi!$L$118)-(0)-1))),1)</f>
        <v/>
      </c>
      <c r="AJ118" t="n">
        <v>1</v>
      </c>
      <c r="AK118">
        <f>IF($Q$118,$M$118*$AC$118*$U$118,0)</f>
        <v/>
      </c>
      <c r="AL118" t="n">
        <v>69.16382898221717</v>
      </c>
      <c r="AM118">
        <f>IF($Q$118,$M$118*$AE$118*$U$118,0)</f>
        <v/>
      </c>
      <c r="AN118" t="n">
        <v>57.63652415184765</v>
      </c>
      <c r="AO118">
        <f>IF($Q$118,$M$118*$AG$118*$U$118,0)</f>
        <v/>
      </c>
      <c r="AP118" t="n">
        <v>37.46374069870097</v>
      </c>
      <c r="AQ118">
        <f>IF($Q$118,$M$118*$AE$118*$Y$118,0)</f>
        <v/>
      </c>
      <c r="AR118" t="n">
        <v>92.21843864295624</v>
      </c>
      <c r="AS118">
        <f>IF($S$118,$M$118*$AI$118*$W$118,0)</f>
        <v/>
      </c>
      <c r="AT118" t="n">
        <v>0</v>
      </c>
      <c r="AU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V118" t="b">
        <v>0</v>
      </c>
      <c r="AW118">
        <f>IF(AND($B$118&lt;0,$AU$118),4,$B$118)</f>
        <v/>
      </c>
      <c r="AX118" t="n">
        <v>3</v>
      </c>
      <c r="AY118">
        <f>IF($AW$118&lt;4,0,MIN(MAX(0.5,Canh_bao_vong!$D$4),MAX(IF(Vu_khi!$C$118="cal_406",Canh_bao_vong!$D$7,IF($AW$118&gt;=5,Canh_bao_vong!$D$9,Canh_bao_vong!$D$8)),Canh_bao_vong!$D$2+MAX(0,Vu_khi!$X$118)/MAX(0.1,Canh_bao_vong!$D$5))))</f>
        <v/>
      </c>
      <c r="AZ118" t="n">
        <v>0</v>
      </c>
      <c r="BD118" t="n">
        <v>150</v>
      </c>
      <c r="BE118" t="n">
        <v>195</v>
      </c>
      <c r="BF118" t="n">
        <v>0.083</v>
      </c>
      <c r="BG118" t="n">
        <v>0.167</v>
      </c>
      <c r="BH118" t="n">
        <v>0.333</v>
      </c>
      <c r="BI118" t="n">
        <v>0.256</v>
      </c>
      <c r="BJ118" t="inlineStr">
        <is>
          <t>DIRECT_FAST</t>
        </is>
      </c>
      <c r="BK118" t="inlineStr">
        <is>
          <t>ok</t>
        </is>
      </c>
      <c r="BL118" t="inlineStr">
        <is>
          <t>family m284_155_mm_guided_direct</t>
        </is>
      </c>
      <c r="BM118" t="inlineStr"/>
      <c r="BN118" t="inlineStr">
        <is>
          <t>Assets/MachineBrigade/Resources/Data/balance.json: weapons[id=gun_155_twin_fort_guided] (lớp B trên 01_chien_dau/Vu_khi)</t>
        </is>
      </c>
      <c r="BO118" t="inlineStr"/>
    </row>
    <row r="119">
      <c r="A119" t="inlineStr">
        <is>
          <t>gun_155_twin_long</t>
        </is>
      </c>
      <c r="B119" t="n">
        <v>3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2</v>
      </c>
      <c r="G119">
        <f>IF(Vu_khi!$S$119&gt;0,(Vu_khi!$S$119-1)*Vu_khi!$R$119+Vu_khi!$T$119,Vu_khi!$R$119+(Vu_khi!$P$119-1)*Vu_khi!$Q$119)</f>
        <v/>
      </c>
      <c r="H119" t="n">
        <v>8.84</v>
      </c>
      <c r="I119">
        <f>Vu_khi!$W$119*MAX(1,$E$119)</f>
        <v/>
      </c>
      <c r="J119" t="n">
        <v>640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72.39819004524887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1.6</v>
      </c>
      <c r="AA119">
        <f>AND(Vu_khi!$K$119="Kinetic",NOT(Vu_khi!$AG$119))</f>
        <v/>
      </c>
      <c r="AB119" t="b">
        <v>0</v>
      </c>
      <c r="AC119">
        <f>IF(Vu_khi!$AG$119,INDEX(Bang_danh_noc!$C$2:$C$8,MIN(7,MAX(1,2-(Vu_khi!$L$119-0)+1))),INDEX(Bang_xuyen_giap!$C$2:$C$8,MIN(7,MAX(1,IF($O$119,MAX(1,2-(Vu_khi!$L$119-0)),2-(Vu_khi!$L$119-0))+1))))*IF($AA$119,INDEX(Bang_xuyen_qua!$C$2:$C$5,MIN(4,MAX(1,(Vu_khi!$L$119)-(0)-1))),1)</f>
        <v/>
      </c>
      <c r="AD119" t="n">
        <v>1.2</v>
      </c>
      <c r="AE119">
        <f>IF(Vu_khi!$AG$119,INDEX(Bang_danh_noc!$C$2:$C$8,MIN(7,MAX(1,2-(Vu_khi!$L$119-2)+1))),INDEX(Bang_xuyen_giap!$C$2:$C$8,MIN(7,MAX(1,IF($O$119,MAX(1,2-(Vu_khi!$L$119-2)),2-(Vu_khi!$L$119-2))+1))))*IF($AA$119,INDEX(Bang_xuyen_qua!$C$2:$C$5,MIN(4,MAX(1,(Vu_khi!$L$119)-(2)-1))),1)</f>
        <v/>
      </c>
      <c r="AF119" t="n">
        <v>1</v>
      </c>
      <c r="AG119">
        <f>IF(Vu_khi!$AG$119,INDEX(Bang_danh_noc!$C$2:$C$8,MIN(7,MAX(1,2-(Vu_khi!$L$119-4)+1))),INDEX(Bang_xuyen_giap!$C$2:$C$8,MIN(7,MAX(1,IF($O$119,MAX(1,2-(Vu_khi!$L$119-4)),2-(Vu_khi!$L$119-4))+1))))*IF($AA$119,INDEX(Bang_xuyen_qua!$C$2:$C$5,MIN(4,MAX(1,(Vu_khi!$L$119)-(4)-1))),1)</f>
        <v/>
      </c>
      <c r="AH119" t="n">
        <v>0.65</v>
      </c>
      <c r="AI119">
        <f>INDEX(Bang_xuyen_giap!$C$2:$C$8,MIN(7,MAX(1,MAX(1,2-(Vu_khi!$L$119-0))+1)))*IF($AA$119,INDEX(Bang_xuyen_qua!$C$2:$C$5,MIN(4,MAX(1,(Vu_khi!$L$119)-(0)-1))),1)</f>
        <v/>
      </c>
      <c r="AJ119" t="n">
        <v>1</v>
      </c>
      <c r="AK119">
        <f>IF($Q$119,$M$119*$AC$119*$U$119,0)</f>
        <v/>
      </c>
      <c r="AL119" t="n">
        <v>86.87782805429863</v>
      </c>
      <c r="AM119">
        <f>IF($Q$119,$M$119*$AE$119*$U$119,0)</f>
        <v/>
      </c>
      <c r="AN119" t="n">
        <v>72.39819004524887</v>
      </c>
      <c r="AO119">
        <f>IF($Q$119,$M$119*$AG$119*$U$119,0)</f>
        <v/>
      </c>
      <c r="AP119" t="n">
        <v>47.05882352941177</v>
      </c>
      <c r="AQ119">
        <f>IF($Q$119,$M$119*$AE$119*$Y$119,0)</f>
        <v/>
      </c>
      <c r="AR119" t="n">
        <v>115.8371040723982</v>
      </c>
      <c r="AS119">
        <f>IF($S$119,$M$119*$AI$119*$W$119,0)</f>
        <v/>
      </c>
      <c r="AT119" t="n">
        <v>0</v>
      </c>
      <c r="AU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V119" t="b">
        <v>0</v>
      </c>
      <c r="AW119">
        <f>IF(AND($B$119&lt;0,$AU$119),4,$B$119)</f>
        <v/>
      </c>
      <c r="AX119" t="n">
        <v>3</v>
      </c>
      <c r="AY119">
        <f>IF($AW$119&lt;4,0,MIN(MAX(0.5,Canh_bao_vong!$D$4),MAX(IF(Vu_khi!$C$119="cal_406",Canh_bao_vong!$D$7,IF($AW$119&gt;=5,Canh_bao_vong!$D$9,Canh_bao_vong!$D$8)),Canh_bao_vong!$D$2+MAX(0,Vu_khi!$X$119)/MAX(0.1,Canh_bao_vong!$D$5))))</f>
        <v/>
      </c>
      <c r="AZ119" t="n">
        <v>0</v>
      </c>
      <c r="BA119" t="n">
        <v>0.412533</v>
      </c>
      <c r="BB119" t="inlineStr">
        <is>
          <t>NHANH_QUA</t>
        </is>
      </c>
      <c r="BC119" t="inlineStr"/>
      <c r="BD119" t="n">
        <v>150</v>
      </c>
      <c r="BE119" t="n">
        <v>195</v>
      </c>
      <c r="BF119" t="n">
        <v>0.1</v>
      </c>
      <c r="BG119" t="n">
        <v>0.2</v>
      </c>
      <c r="BH119" t="n">
        <v>0.4</v>
      </c>
      <c r="BI119" t="n">
        <v>0.308</v>
      </c>
      <c r="BJ119" t="inlineStr">
        <is>
          <t>DIRECT_FAST</t>
        </is>
      </c>
      <c r="BK119" t="inlineStr">
        <is>
          <t>ok</t>
        </is>
      </c>
      <c r="BL119" t="inlineStr">
        <is>
          <t>family m284_155_mm</t>
        </is>
      </c>
      <c r="BM119" t="inlineStr"/>
      <c r="BN119" t="inlineStr">
        <is>
          <t>Assets/MachineBrigade/Resources/Data/balance.json: weapons[id=gun_155_twin_long] (lớp B trên 01_chien_dau/Vu_khi)</t>
        </is>
      </c>
      <c r="BO119" t="inlineStr"/>
    </row>
    <row r="120">
      <c r="A120" t="inlineStr">
        <is>
          <t>gun_203_siege</t>
        </is>
      </c>
      <c r="B120" t="n">
        <v>4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1</v>
      </c>
      <c r="G120">
        <f>IF(Vu_khi!$S$120&gt;0,(Vu_khi!$S$120-1)*Vu_khi!$R$120+Vu_khi!$T$120,Vu_khi!$R$120+(Vu_khi!$P$120-1)*Vu_khi!$Q$120)</f>
        <v/>
      </c>
      <c r="H120" t="n">
        <v>9.75</v>
      </c>
      <c r="I120">
        <f>Vu_khi!$W$120*MAX(1,$E$120)</f>
        <v/>
      </c>
      <c r="J120" t="n">
        <v>420</v>
      </c>
      <c r="K120">
        <f>IF(Vu_khi!$V$120&gt;0,Vu_khi!$V$120,MIN(28,MAX(10,Vu_khi!$U$120*Vu_khi!$R$120*0.4)))</f>
        <v/>
      </c>
      <c r="L120" t="n">
        <v>29.4</v>
      </c>
      <c r="M120">
        <f>IF(Vu_khi!$W$120&lt;=0,0,IF(Vu_khi!$U$120&gt;0,$I$120*Vu_khi!$U$120/(MAX(0.05,$G$120)*Vu_khi!$U$120+$K$120),$I$120/MAX(0.05,$G$120)))</f>
        <v/>
      </c>
      <c r="N120" t="n">
        <v>34.42622950819672</v>
      </c>
      <c r="O120">
        <f>OR(Vu_khi!$AG$120,Vu_khi!$AB$120&gt;0,Vu_khi!$AH$120,Vu_khi!$M$120="Bomb",Vu_khi!$M$120="Drone")</f>
        <v/>
      </c>
      <c r="P120" t="b">
        <v>1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1.6</v>
      </c>
      <c r="AA120">
        <f>AND(Vu_khi!$K$120="Kinetic",NOT(Vu_khi!$AG$120))</f>
        <v/>
      </c>
      <c r="AB120" t="b">
        <v>0</v>
      </c>
      <c r="AC120">
        <f>IF(Vu_khi!$AG$120,INDEX(Bang_danh_noc!$C$2:$C$8,MIN(7,MAX(1,2-(Vu_khi!$L$120-0)+1))),INDEX(Bang_xuyen_giap!$C$2:$C$8,MIN(7,MAX(1,IF($O$120,MAX(1,2-(Vu_khi!$L$120-0)),2-(Vu_khi!$L$120-0))+1))))*IF($AA$120,INDEX(Bang_xuyen_qua!$C$2:$C$5,MIN(4,MAX(1,(Vu_khi!$L$120)-(0)-1))),1)</f>
        <v/>
      </c>
      <c r="AD120" t="n">
        <v>1</v>
      </c>
      <c r="AE120">
        <f>IF(Vu_khi!$AG$120,INDEX(Bang_danh_noc!$C$2:$C$8,MIN(7,MAX(1,2-(Vu_khi!$L$120-2)+1))),INDEX(Bang_xuyen_giap!$C$2:$C$8,MIN(7,MAX(1,IF($O$120,MAX(1,2-(Vu_khi!$L$120-2)),2-(Vu_khi!$L$120-2))+1))))*IF($AA$120,INDEX(Bang_xuyen_qua!$C$2:$C$5,MIN(4,MAX(1,(Vu_khi!$L$120)-(2)-1))),1)</f>
        <v/>
      </c>
      <c r="AF120" t="n">
        <v>1</v>
      </c>
      <c r="AG120">
        <f>IF(Vu_khi!$AG$120,INDEX(Bang_danh_noc!$C$2:$C$8,MIN(7,MAX(1,2-(Vu_khi!$L$120-4)+1))),INDEX(Bang_xuyen_giap!$C$2:$C$8,MIN(7,MAX(1,IF($O$120,MAX(1,2-(Vu_khi!$L$120-4)),2-(Vu_khi!$L$120-4))+1))))*IF($AA$120,INDEX(Bang_xuyen_qua!$C$2:$C$5,MIN(4,MAX(1,(Vu_khi!$L$120)-(4)-1))),1)</f>
        <v/>
      </c>
      <c r="AH120" t="n">
        <v>0.85</v>
      </c>
      <c r="AI120">
        <f>INDEX(Bang_xuyen_giap!$C$2:$C$8,MIN(7,MAX(1,MAX(1,2-(Vu_khi!$L$120-0))+1)))*IF($AA$120,INDEX(Bang_xuyen_qua!$C$2:$C$5,MIN(4,MAX(1,(Vu_khi!$L$120)-(0)-1))),1)</f>
        <v/>
      </c>
      <c r="AJ120" t="n">
        <v>1</v>
      </c>
      <c r="AK120">
        <f>IF($Q$120,$M$120*$AC$120*$U$120,0)</f>
        <v/>
      </c>
      <c r="AL120" t="n">
        <v>34.42622950819672</v>
      </c>
      <c r="AM120">
        <f>IF($Q$120,$M$120*$AE$120*$U$120,0)</f>
        <v/>
      </c>
      <c r="AN120" t="n">
        <v>34.42622950819672</v>
      </c>
      <c r="AO120">
        <f>IF($Q$120,$M$120*$AG$120*$U$120,0)</f>
        <v/>
      </c>
      <c r="AP120" t="n">
        <v>29.26229508196721</v>
      </c>
      <c r="AQ120">
        <f>IF($Q$120,$M$120*$AE$120*$Y$120,0)</f>
        <v/>
      </c>
      <c r="AR120" t="n">
        <v>55.08196721311475</v>
      </c>
      <c r="AS120">
        <f>IF($S$120,$M$120*$AI$120*$W$120,0)</f>
        <v/>
      </c>
      <c r="AT120" t="n">
        <v>0</v>
      </c>
      <c r="AU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V120" t="b">
        <v>1</v>
      </c>
      <c r="AW120">
        <f>IF(AND($B$120&lt;0,$AU$120),4,$B$120)</f>
        <v/>
      </c>
      <c r="AX120" t="n">
        <v>4</v>
      </c>
      <c r="AY120">
        <f>IF($AW$120&lt;4,0,MIN(MAX(0.5,Canh_bao_vong!$D$4),MAX(IF(Vu_khi!$C$120="cal_406",Canh_bao_vong!$D$7,IF($AW$120&gt;=5,Canh_bao_vong!$D$9,Canh_bao_vong!$D$8)),Canh_bao_vong!$D$2+MAX(0,Vu_khi!$X$120)/MAX(0.1,Canh_bao_vong!$D$5))))</f>
        <v/>
      </c>
      <c r="AZ120" t="n">
        <v>2.5</v>
      </c>
      <c r="BA120" t="n">
        <v>0.284667</v>
      </c>
      <c r="BB120" t="inlineStr">
        <is>
          <t>NHANH_QUA</t>
        </is>
      </c>
      <c r="BC120" t="inlineStr"/>
      <c r="BD120" t="n">
        <v>65</v>
      </c>
      <c r="BE120" t="n">
        <v>84.5</v>
      </c>
      <c r="BF120" t="n">
        <v>0.154</v>
      </c>
      <c r="BG120" t="n">
        <v>0.477</v>
      </c>
      <c r="BH120" t="n">
        <v>0.954</v>
      </c>
      <c r="BI120" t="n">
        <v>0.734</v>
      </c>
      <c r="BJ120" t="inlineStr">
        <is>
          <t>HOWITZER</t>
        </is>
      </c>
      <c r="BK120" t="inlineStr">
        <is>
          <t>ok</t>
        </is>
      </c>
      <c r="BL120" t="inlineStr">
        <is>
          <t>own line</t>
        </is>
      </c>
      <c r="BM120" t="inlineStr"/>
      <c r="BN120" t="inlineStr">
        <is>
          <t>Assets/MachineBrigade/Resources/Data/balance.json: weapons[id=gun_203_siege] (lớp B trên 01_chien_dau/Vu_khi)</t>
        </is>
      </c>
      <c r="BO120" t="inlineStr"/>
    </row>
    <row r="121">
      <c r="A121" t="inlineStr">
        <is>
          <t>gun_behemoth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2</v>
      </c>
      <c r="G121">
        <f>IF(Vu_khi!$S$121&gt;0,(Vu_khi!$S$121-1)*Vu_khi!$R$121+Vu_khi!$T$121,Vu_khi!$R$121+(Vu_khi!$P$121-1)*Vu_khi!$Q$121)</f>
        <v/>
      </c>
      <c r="H121" t="n">
        <v>8.98</v>
      </c>
      <c r="I121">
        <f>Vu_khi!$W$121*MAX(1,$E$121)</f>
        <v/>
      </c>
      <c r="J121" t="n">
        <v>640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71.26948775055679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1.6</v>
      </c>
      <c r="AA121">
        <f>AND(Vu_khi!$K$121="Kinetic",NOT(Vu_khi!$AG$121))</f>
        <v/>
      </c>
      <c r="AB121" t="b">
        <v>0</v>
      </c>
      <c r="AC121">
        <f>IF(Vu_khi!$AG$121,INDEX(Bang_danh_noc!$C$2:$C$8,MIN(7,MAX(1,2-(Vu_khi!$L$121-0)+1))),INDEX(Bang_xuyen_giap!$C$2:$C$8,MIN(7,MAX(1,IF($O$121,MAX(1,2-(Vu_khi!$L$121-0)),2-(Vu_khi!$L$121-0))+1))))*IF($AA$121,INDEX(Bang_xuyen_qua!$C$2:$C$5,MIN(4,MAX(1,(Vu_khi!$L$121)-(0)-1))),1)</f>
        <v/>
      </c>
      <c r="AD121" t="n">
        <v>1.2</v>
      </c>
      <c r="AE121">
        <f>IF(Vu_khi!$AG$121,INDEX(Bang_danh_noc!$C$2:$C$8,MIN(7,MAX(1,2-(Vu_khi!$L$121-2)+1))),INDEX(Bang_xuyen_giap!$C$2:$C$8,MIN(7,MAX(1,IF($O$121,MAX(1,2-(Vu_khi!$L$121-2)),2-(Vu_khi!$L$121-2))+1))))*IF($AA$121,INDEX(Bang_xuyen_qua!$C$2:$C$5,MIN(4,MAX(1,(Vu_khi!$L$121)-(2)-1))),1)</f>
        <v/>
      </c>
      <c r="AF121" t="n">
        <v>1</v>
      </c>
      <c r="AG121">
        <f>IF(Vu_khi!$AG$121,INDEX(Bang_danh_noc!$C$2:$C$8,MIN(7,MAX(1,2-(Vu_khi!$L$121-4)+1))),INDEX(Bang_xuyen_giap!$C$2:$C$8,MIN(7,MAX(1,IF($O$121,MAX(1,2-(Vu_khi!$L$121-4)),2-(Vu_khi!$L$121-4))+1))))*IF($AA$121,INDEX(Bang_xuyen_qua!$C$2:$C$5,MIN(4,MAX(1,(Vu_khi!$L$121)-(4)-1))),1)</f>
        <v/>
      </c>
      <c r="AH121" t="n">
        <v>0.65</v>
      </c>
      <c r="AI121">
        <f>INDEX(Bang_xuyen_giap!$C$2:$C$8,MIN(7,MAX(1,MAX(1,2-(Vu_khi!$L$121-0))+1)))*IF($AA$121,INDEX(Bang_xuyen_qua!$C$2:$C$5,MIN(4,MAX(1,(Vu_khi!$L$121)-(0)-1))),1)</f>
        <v/>
      </c>
      <c r="AJ121" t="n">
        <v>1</v>
      </c>
      <c r="AK121">
        <f>IF($Q$121,$M$121*$AC$121*$U$121,0)</f>
        <v/>
      </c>
      <c r="AL121" t="n">
        <v>85.52338530066815</v>
      </c>
      <c r="AM121">
        <f>IF($Q$121,$M$121*$AE$121*$U$121,0)</f>
        <v/>
      </c>
      <c r="AN121" t="n">
        <v>71.26948775055679</v>
      </c>
      <c r="AO121">
        <f>IF($Q$121,$M$121*$AG$121*$U$121,0)</f>
        <v/>
      </c>
      <c r="AP121" t="n">
        <v>46.32516703786192</v>
      </c>
      <c r="AQ121">
        <f>IF($Q$121,$M$121*$AE$121*$Y$121,0)</f>
        <v/>
      </c>
      <c r="AR121" t="n">
        <v>114.0311804008909</v>
      </c>
      <c r="AS121">
        <f>IF($S$121,$M$121*$AI$121*$W$121,0)</f>
        <v/>
      </c>
      <c r="AT121" t="n">
        <v>0</v>
      </c>
      <c r="AU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V121" t="b">
        <v>0</v>
      </c>
      <c r="AW121">
        <f>IF(AND($B$121&lt;0,$AU$121),4,$B$121)</f>
        <v/>
      </c>
      <c r="AX121" t="n">
        <v>3</v>
      </c>
      <c r="AY121">
        <f>IF($AW$121&lt;4,0,MIN(MAX(0.5,Canh_bao_vong!$D$4),MAX(IF(Vu_khi!$C$121="cal_406",Canh_bao_vong!$D$7,IF($AW$121&gt;=5,Canh_bao_vong!$D$9,Canh_bao_vong!$D$8)),Canh_bao_vong!$D$2+MAX(0,Vu_khi!$X$121)/MAX(0.1,Canh_bao_vong!$D$5))))</f>
        <v/>
      </c>
      <c r="AZ121" t="n">
        <v>0</v>
      </c>
      <c r="BA121" t="n">
        <v>0.838133</v>
      </c>
      <c r="BB121" t="inlineStr">
        <is>
          <t>ok</t>
        </is>
      </c>
      <c r="BC121" t="inlineStr"/>
      <c r="BD121" t="n">
        <v>150</v>
      </c>
      <c r="BE121" t="n">
        <v>195</v>
      </c>
      <c r="BF121" t="n">
        <v>0.067</v>
      </c>
      <c r="BG121" t="n">
        <v>0.133</v>
      </c>
      <c r="BH121" t="n">
        <v>0.267</v>
      </c>
      <c r="BI121" t="n">
        <v>0.205</v>
      </c>
      <c r="BJ121" t="inlineStr">
        <is>
          <t>DIRECT_FAST</t>
        </is>
      </c>
      <c r="BK121" t="inlineStr">
        <is>
          <t>ok</t>
        </is>
      </c>
      <c r="BL121" t="inlineStr">
        <is>
          <t>own line</t>
        </is>
      </c>
      <c r="BM121" t="inlineStr"/>
      <c r="BN121" t="inlineStr">
        <is>
          <t>Assets/MachineBrigade/Resources/Data/balance.json: weapons[id=gun_behemoth] (lớp B trên 01_chien_dau/Vu_khi)</t>
        </is>
      </c>
      <c r="BO121" t="inlineStr"/>
    </row>
    <row r="122">
      <c r="A122" t="inlineStr">
        <is>
          <t>gun_behemoth_guided</t>
        </is>
      </c>
      <c r="B122" t="n">
        <v>3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8.93</v>
      </c>
      <c r="I122">
        <f>Vu_khi!$W$122*MAX(1,$E$122)</f>
        <v/>
      </c>
      <c r="J122" t="n">
        <v>320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35.83426651735722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1.6</v>
      </c>
      <c r="AA122">
        <f>AND(Vu_khi!$K$122="Kinetic",NOT(Vu_khi!$AG$122))</f>
        <v/>
      </c>
      <c r="AB122" t="b">
        <v>0</v>
      </c>
      <c r="AC122">
        <f>IF(Vu_khi!$AG$122,INDEX(Bang_danh_noc!$C$2:$C$8,MIN(7,MAX(1,2-(Vu_khi!$L$122-0)+1))),INDEX(Bang_xuyen_giap!$C$2:$C$8,MIN(7,MAX(1,IF($O$122,MAX(1,2-(Vu_khi!$L$122-0)),2-(Vu_khi!$L$122-0))+1))))*IF($AA$122,INDEX(Bang_xuyen_qua!$C$2:$C$5,MIN(4,MAX(1,(Vu_khi!$L$122)-(0)-1))),1)</f>
        <v/>
      </c>
      <c r="AD122" t="n">
        <v>1.2</v>
      </c>
      <c r="AE122">
        <f>IF(Vu_khi!$AG$122,INDEX(Bang_danh_noc!$C$2:$C$8,MIN(7,MAX(1,2-(Vu_khi!$L$122-2)+1))),INDEX(Bang_xuyen_giap!$C$2:$C$8,MIN(7,MAX(1,IF($O$122,MAX(1,2-(Vu_khi!$L$122-2)),2-(Vu_khi!$L$122-2))+1))))*IF($AA$122,INDEX(Bang_xuyen_qua!$C$2:$C$5,MIN(4,MAX(1,(Vu_khi!$L$122)-(2)-1))),1)</f>
        <v/>
      </c>
      <c r="AF122" t="n">
        <v>1</v>
      </c>
      <c r="AG122">
        <f>IF(Vu_khi!$AG$122,INDEX(Bang_danh_noc!$C$2:$C$8,MIN(7,MAX(1,2-(Vu_khi!$L$122-4)+1))),INDEX(Bang_xuyen_giap!$C$2:$C$8,MIN(7,MAX(1,IF($O$122,MAX(1,2-(Vu_khi!$L$122-4)),2-(Vu_khi!$L$122-4))+1))))*IF($AA$122,INDEX(Bang_xuyen_qua!$C$2:$C$5,MIN(4,MAX(1,(Vu_khi!$L$122)-(4)-1))),1)</f>
        <v/>
      </c>
      <c r="AH122" t="n">
        <v>0.65</v>
      </c>
      <c r="AI122">
        <f>INDEX(Bang_xuyen_giap!$C$2:$C$8,MIN(7,MAX(1,MAX(1,2-(Vu_khi!$L$122-0))+1)))*IF($AA$122,INDEX(Bang_xuyen_qua!$C$2:$C$5,MIN(4,MAX(1,(Vu_khi!$L$122)-(0)-1))),1)</f>
        <v/>
      </c>
      <c r="AJ122" t="n">
        <v>1</v>
      </c>
      <c r="AK122">
        <f>IF($Q$122,$M$122*$AC$122*$U$122,0)</f>
        <v/>
      </c>
      <c r="AL122" t="n">
        <v>43.00111982082866</v>
      </c>
      <c r="AM122">
        <f>IF($Q$122,$M$122*$AE$122*$U$122,0)</f>
        <v/>
      </c>
      <c r="AN122" t="n">
        <v>35.83426651735722</v>
      </c>
      <c r="AO122">
        <f>IF($Q$122,$M$122*$AG$122*$U$122,0)</f>
        <v/>
      </c>
      <c r="AP122" t="n">
        <v>23.2922732362822</v>
      </c>
      <c r="AQ122">
        <f>IF($Q$122,$M$122*$AE$122*$Y$122,0)</f>
        <v/>
      </c>
      <c r="AR122" t="n">
        <v>57.33482642777156</v>
      </c>
      <c r="AS122">
        <f>IF($S$122,$M$122*$AI$122*$W$122,0)</f>
        <v/>
      </c>
      <c r="AT122" t="n">
        <v>0</v>
      </c>
      <c r="AU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V122" t="b">
        <v>0</v>
      </c>
      <c r="AW122">
        <f>IF(AND($B$122&lt;0,$AU$122),4,$B$122)</f>
        <v/>
      </c>
      <c r="AX122" t="n">
        <v>3</v>
      </c>
      <c r="AY122">
        <f>IF($AW$122&lt;4,0,MIN(MAX(0.5,Canh_bao_vong!$D$4),MAX(IF(Vu_khi!$C$122="cal_406",Canh_bao_vong!$D$7,IF($AW$122&gt;=5,Canh_bao_vong!$D$9,Canh_bao_vong!$D$8)),Canh_bao_vong!$D$2+MAX(0,Vu_khi!$X$122)/MAX(0.1,Canh_bao_vong!$D$5))))</f>
        <v/>
      </c>
      <c r="AZ122" t="n">
        <v>0</v>
      </c>
      <c r="BD122" t="n">
        <v>150</v>
      </c>
      <c r="BE122" t="n">
        <v>195</v>
      </c>
      <c r="BF122" t="n">
        <v>0.067</v>
      </c>
      <c r="BG122" t="n">
        <v>0.133</v>
      </c>
      <c r="BH122" t="n">
        <v>0.267</v>
      </c>
      <c r="BI122" t="n">
        <v>0.205</v>
      </c>
      <c r="BJ122" t="inlineStr">
        <is>
          <t>DIRECT_FAST</t>
        </is>
      </c>
      <c r="BK122" t="inlineStr">
        <is>
          <t>ok</t>
        </is>
      </c>
      <c r="BL122" t="inlineStr">
        <is>
          <t>inherited from gun_behemoth</t>
        </is>
      </c>
      <c r="BM122" t="inlineStr"/>
      <c r="BN122" t="inlineStr">
        <is>
          <t>Assets/MachineBrigade/Resources/Data/balance.json: weapons[id=gun_behemoth_guided] (lớp B trên 01_chien_dau/Vu_khi)</t>
        </is>
      </c>
      <c r="BO122" t="inlineStr"/>
    </row>
    <row r="123">
      <c r="A123" t="inlineStr">
        <is>
          <t>gun_launched_atgm</t>
        </is>
      </c>
      <c r="B123" t="n">
        <v>2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20</v>
      </c>
      <c r="I123">
        <f>Vu_khi!$W$123*MAX(1,$E$123)</f>
        <v/>
      </c>
      <c r="J123" t="n">
        <v>230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11.5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1.3</v>
      </c>
      <c r="W123">
        <f>INDEX(Bang_sat_thuong!$C$2:$C$7,MATCH(Vu_khi!$K$123,Bang_sat_thuong!$A$2:$A$7,0))</f>
        <v/>
      </c>
      <c r="X123" t="n">
        <v>0.2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0.45</v>
      </c>
      <c r="AA123">
        <f>AND(Vu_khi!$K$123="Kinetic",NOT(Vu_khi!$AG$123))</f>
        <v/>
      </c>
      <c r="AB123" t="b">
        <v>0</v>
      </c>
      <c r="AC123">
        <f>IF(Vu_khi!$AG$123,INDEX(Bang_danh_noc!$C$2:$C$8,MIN(7,MAX(1,2-(Vu_khi!$L$123-0)+1))),INDEX(Bang_xuyen_giap!$C$2:$C$8,MIN(7,MAX(1,IF($O$123,MAX(1,2-(Vu_khi!$L$123-0)),2-(Vu_khi!$L$123-0))+1))))*IF($AA$123,INDEX(Bang_xuyen_qua!$C$2:$C$5,MIN(4,MAX(1,(Vu_khi!$L$123)-(0)-1))),1)</f>
        <v/>
      </c>
      <c r="AD123" t="n">
        <v>1.2</v>
      </c>
      <c r="AE123">
        <f>IF(Vu_khi!$AG$123,INDEX(Bang_danh_noc!$C$2:$C$8,MIN(7,MAX(1,2-(Vu_khi!$L$123-2)+1))),INDEX(Bang_xuyen_giap!$C$2:$C$8,MIN(7,MAX(1,IF($O$123,MAX(1,2-(Vu_khi!$L$123-2)),2-(Vu_khi!$L$123-2))+1))))*IF($AA$123,INDEX(Bang_xuyen_qua!$C$2:$C$5,MIN(4,MAX(1,(Vu_khi!$L$123)-(2)-1))),1)</f>
        <v/>
      </c>
      <c r="AF123" t="n">
        <v>1.2</v>
      </c>
      <c r="AG123">
        <f>IF(Vu_khi!$AG$123,INDEX(Bang_danh_noc!$C$2:$C$8,MIN(7,MAX(1,2-(Vu_khi!$L$123-4)+1))),INDEX(Bang_xuyen_giap!$C$2:$C$8,MIN(7,MAX(1,IF($O$123,MAX(1,2-(Vu_khi!$L$123-4)),2-(Vu_khi!$L$123-4))+1))))*IF($AA$123,INDEX(Bang_xuyen_qua!$C$2:$C$5,MIN(4,MAX(1,(Vu_khi!$L$123)-(4)-1))),1)</f>
        <v/>
      </c>
      <c r="AH123" t="n">
        <v>0.85</v>
      </c>
      <c r="AI123">
        <f>INDEX(Bang_xuyen_giap!$C$2:$C$8,MIN(7,MAX(1,MAX(1,2-(Vu_khi!$L$123-0))+1)))*IF($AA$123,INDEX(Bang_xuyen_qua!$C$2:$C$5,MIN(4,MAX(1,(Vu_khi!$L$123)-(0)-1))),1)</f>
        <v/>
      </c>
      <c r="AJ123" t="n">
        <v>1</v>
      </c>
      <c r="AK123">
        <f>IF($Q$123,$M$123*$AC$123*$U$123,0)</f>
        <v/>
      </c>
      <c r="AL123" t="n">
        <v>17.94</v>
      </c>
      <c r="AM123">
        <f>IF($Q$123,$M$123*$AE$123*$U$123,0)</f>
        <v/>
      </c>
      <c r="AN123" t="n">
        <v>17.94</v>
      </c>
      <c r="AO123">
        <f>IF($Q$123,$M$123*$AG$123*$U$123,0)</f>
        <v/>
      </c>
      <c r="AP123" t="n">
        <v>12.7075</v>
      </c>
      <c r="AQ123">
        <f>IF($Q$123,$M$123*$AE$123*$Y$123,0)</f>
        <v/>
      </c>
      <c r="AR123" t="n">
        <v>6.210000000000001</v>
      </c>
      <c r="AS123">
        <f>IF($S$123,$M$123*$AI$123*$W$123,0)</f>
        <v/>
      </c>
      <c r="AT123" t="n">
        <v>0</v>
      </c>
      <c r="AU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V123" t="b">
        <v>0</v>
      </c>
      <c r="AW123">
        <f>IF(AND($B$123&lt;0,$AU$123),4,$B$123)</f>
        <v/>
      </c>
      <c r="AX123" t="n">
        <v>2</v>
      </c>
      <c r="AY123">
        <f>IF($AW$123&lt;4,0,MIN(MAX(0.5,Canh_bao_vong!$D$4),MAX(IF(Vu_khi!$C$123="cal_406",Canh_bao_vong!$D$7,IF($AW$123&gt;=5,Canh_bao_vong!$D$9,Canh_bao_vong!$D$8)),Canh_bao_vong!$D$2+MAX(0,Vu_khi!$X$123)/MAX(0.1,Canh_bao_vong!$D$5))))</f>
        <v/>
      </c>
      <c r="AZ123" t="n">
        <v>0</v>
      </c>
      <c r="BA123" t="n">
        <v>1.333333</v>
      </c>
      <c r="BB123" t="inlineStr">
        <is>
          <t>ok</t>
        </is>
      </c>
      <c r="BC123" t="inlineStr"/>
      <c r="BD123" t="n">
        <v>75</v>
      </c>
      <c r="BE123" t="n">
        <v>97.5</v>
      </c>
      <c r="BF123" t="n">
        <v>0.113</v>
      </c>
      <c r="BG123" t="n">
        <v>0.227</v>
      </c>
      <c r="BH123" t="n">
        <v>0.453</v>
      </c>
      <c r="BI123" t="n">
        <v>0.349</v>
      </c>
      <c r="BJ123" t="inlineStr">
        <is>
          <t>TACTICAL_MISSILE</t>
        </is>
      </c>
      <c r="BK123" t="inlineStr">
        <is>
          <t>ok</t>
        </is>
      </c>
      <c r="BL123" t="inlineStr">
        <is>
          <t>own line</t>
        </is>
      </c>
      <c r="BM123" t="inlineStr"/>
      <c r="BN123" t="inlineStr">
        <is>
          <t>Assets/MachineBrigade/Resources/Data/balance.json: weapons[id=gun_launched_atgm] (lớp B trên 01_chien_dau/Vu_khi)</t>
        </is>
      </c>
      <c r="BO123" t="inlineStr"/>
    </row>
    <row r="124">
      <c r="A124" t="inlineStr">
        <is>
          <t>gun_pit_105</t>
        </is>
      </c>
      <c r="B124" t="n">
        <v>3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1</v>
      </c>
      <c r="G124">
        <f>IF(Vu_khi!$S$124&gt;0,(Vu_khi!$S$124-1)*Vu_khi!$R$124+Vu_khi!$T$124,Vu_khi!$R$124+(Vu_khi!$P$124-1)*Vu_khi!$Q$124)</f>
        <v/>
      </c>
      <c r="H124" t="n">
        <v>4.63</v>
      </c>
      <c r="I124">
        <f>Vu_khi!$W$124*MAX(1,$E$124)</f>
        <v/>
      </c>
      <c r="J124" t="n">
        <v>240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51.83585313174946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1.2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0.7</v>
      </c>
      <c r="AA124">
        <f>AND(Vu_khi!$K$124="Kinetic",NOT(Vu_khi!$AG$124))</f>
        <v/>
      </c>
      <c r="AB124" t="b">
        <v>1</v>
      </c>
      <c r="AC124">
        <f>IF(Vu_khi!$AG$124,INDEX(Bang_danh_noc!$C$2:$C$8,MIN(7,MAX(1,2-(Vu_khi!$L$124-0)+1))),INDEX(Bang_xuyen_giap!$C$2:$C$8,MIN(7,MAX(1,IF($O$124,MAX(1,2-(Vu_khi!$L$124-0)),2-(Vu_khi!$L$124-0))+1))))*IF($AA$124,INDEX(Bang_xuyen_qua!$C$2:$C$5,MIN(4,MAX(1,(Vu_khi!$L$124)-(0)-1))),1)</f>
        <v/>
      </c>
      <c r="AD124" t="n">
        <v>1.02</v>
      </c>
      <c r="AE124">
        <f>IF(Vu_khi!$AG$124,INDEX(Bang_danh_noc!$C$2:$C$8,MIN(7,MAX(1,2-(Vu_khi!$L$124-2)+1))),INDEX(Bang_xuyen_giap!$C$2:$C$8,MIN(7,MAX(1,IF($O$124,MAX(1,2-(Vu_khi!$L$124-2)),2-(Vu_khi!$L$124-2))+1))))*IF($AA$124,INDEX(Bang_xuyen_qua!$C$2:$C$5,MIN(4,MAX(1,(Vu_khi!$L$124)-(2)-1))),1)</f>
        <v/>
      </c>
      <c r="AF124" t="n">
        <v>1.2</v>
      </c>
      <c r="AG124">
        <f>IF(Vu_khi!$AG$124,INDEX(Bang_danh_noc!$C$2:$C$8,MIN(7,MAX(1,2-(Vu_khi!$L$124-4)+1))),INDEX(Bang_xuyen_giap!$C$2:$C$8,MIN(7,MAX(1,IF($O$124,MAX(1,2-(Vu_khi!$L$124-4)),2-(Vu_khi!$L$124-4))+1))))*IF($AA$124,INDEX(Bang_xuyen_qua!$C$2:$C$5,MIN(4,MAX(1,(Vu_khi!$L$124)-(4)-1))),1)</f>
        <v/>
      </c>
      <c r="AH124" t="n">
        <v>0.85</v>
      </c>
      <c r="AI124">
        <f>INDEX(Bang_xuyen_giap!$C$2:$C$8,MIN(7,MAX(1,MAX(1,2-(Vu_khi!$L$124-0))+1)))*IF($AA$124,INDEX(Bang_xuyen_qua!$C$2:$C$5,MIN(4,MAX(1,(Vu_khi!$L$124)-(0)-1))),1)</f>
        <v/>
      </c>
      <c r="AJ124" t="n">
        <v>0.85</v>
      </c>
      <c r="AK124">
        <f>IF($Q$124,$M$124*$AC$124*$U$124,0)</f>
        <v/>
      </c>
      <c r="AL124" t="n">
        <v>63.44708423326134</v>
      </c>
      <c r="AM124">
        <f>IF($Q$124,$M$124*$AE$124*$U$124,0)</f>
        <v/>
      </c>
      <c r="AN124" t="n">
        <v>74.64362850971922</v>
      </c>
      <c r="AO124">
        <f>IF($Q$124,$M$124*$AG$124*$U$124,0)</f>
        <v/>
      </c>
      <c r="AP124" t="n">
        <v>52.87257019438445</v>
      </c>
      <c r="AQ124">
        <f>IF($Q$124,$M$124*$AE$124*$Y$124,0)</f>
        <v/>
      </c>
      <c r="AR124" t="n">
        <v>43.54211663066955</v>
      </c>
      <c r="AS124">
        <f>IF($S$124,$M$124*$AI$124*$W$124,0)</f>
        <v/>
      </c>
      <c r="AT124" t="n">
        <v>0</v>
      </c>
      <c r="AU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V124" t="b">
        <v>0</v>
      </c>
      <c r="AW124">
        <f>IF(AND($B$124&lt;0,$AU$124),4,$B$124)</f>
        <v/>
      </c>
      <c r="AX124" t="n">
        <v>3</v>
      </c>
      <c r="AY124">
        <f>IF($AW$124&lt;4,0,MIN(MAX(0.5,Canh_bao_vong!$D$4),MAX(IF(Vu_khi!$C$124="cal_406",Canh_bao_vong!$D$7,IF($AW$124&gt;=5,Canh_bao_vong!$D$9,Canh_bao_vong!$D$8)),Canh_bao_vong!$D$2+MAX(0,Vu_khi!$X$124)/MAX(0.1,Canh_bao_vong!$D$5))))</f>
        <v/>
      </c>
      <c r="AZ124" t="n">
        <v>0</v>
      </c>
      <c r="BA124" t="n">
        <v>0.432133</v>
      </c>
      <c r="BB124" t="inlineStr">
        <is>
          <t>NHANH_QUA</t>
        </is>
      </c>
      <c r="BC124" t="inlineStr"/>
      <c r="BD124" t="n">
        <v>170</v>
      </c>
      <c r="BE124" t="n">
        <v>221</v>
      </c>
      <c r="BF124" t="n">
        <v>0.053</v>
      </c>
      <c r="BG124" t="n">
        <v>0.106</v>
      </c>
      <c r="BH124" t="n">
        <v>0.212</v>
      </c>
      <c r="BI124" t="n">
        <v>0.163</v>
      </c>
      <c r="BJ124" t="inlineStr">
        <is>
          <t>DIRECT_FAST</t>
        </is>
      </c>
      <c r="BK124" t="inlineStr">
        <is>
          <t>ok</t>
        </is>
      </c>
      <c r="BL124" t="inlineStr">
        <is>
          <t>family rh_120_l_44_120_mm</t>
        </is>
      </c>
      <c r="BM124" t="inlineStr"/>
      <c r="BN124" t="inlineStr">
        <is>
          <t>Assets/MachineBrigade/Resources/Data/balance.json: weapons[id=gun_pit_105] (lớp B trên 01_chien_dau/Vu_khi)</t>
        </is>
      </c>
      <c r="BO124" t="inlineStr"/>
    </row>
    <row r="125">
      <c r="A125" t="inlineStr">
        <is>
          <t>gunship_25mm</t>
        </is>
      </c>
      <c r="B125" t="n">
        <v>1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56</v>
      </c>
      <c r="G125">
        <f>IF(Vu_khi!$S$125&gt;0,(Vu_khi!$S$125-1)*Vu_khi!$R$125+Vu_khi!$T$125,Vu_khi!$R$125+(Vu_khi!$P$125-1)*Vu_khi!$Q$125)</f>
        <v/>
      </c>
      <c r="H125" t="n">
        <v>6.0105</v>
      </c>
      <c r="I125">
        <f>Vu_khi!$W$125*MAX(1,$E$125)</f>
        <v/>
      </c>
      <c r="J125" t="n">
        <v>952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158.389485067798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1.2</v>
      </c>
      <c r="W125">
        <f>INDEX(Bang_sat_thuong!$C$2:$C$7,MATCH(Vu_khi!$K$125,Bang_sat_thuong!$A$2:$A$7,0))</f>
        <v/>
      </c>
      <c r="X125" t="n">
        <v>0.3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0.7</v>
      </c>
      <c r="AA125">
        <f>AND(Vu_khi!$K$125="Kinetic",NOT(Vu_khi!$AG$125))</f>
        <v/>
      </c>
      <c r="AB125" t="b">
        <v>1</v>
      </c>
      <c r="AC125">
        <f>IF(Vu_khi!$AG$125,INDEX(Bang_danh_noc!$C$2:$C$8,MIN(7,MAX(1,2-(Vu_khi!$L$125-0)+1))),INDEX(Bang_xuyen_giap!$C$2:$C$8,MIN(7,MAX(1,IF($O$125,MAX(1,2-(Vu_khi!$L$125-0)),2-(Vu_khi!$L$125-0))+1))))*IF($AA$125,INDEX(Bang_xuyen_qua!$C$2:$C$5,MIN(4,MAX(1,(Vu_khi!$L$125)-(0)-1))),1)</f>
        <v/>
      </c>
      <c r="AD125" t="n">
        <v>1.2</v>
      </c>
      <c r="AE125">
        <f>IF(Vu_khi!$AG$125,INDEX(Bang_danh_noc!$C$2:$C$8,MIN(7,MAX(1,2-(Vu_khi!$L$125-2)+1))),INDEX(Bang_xuyen_giap!$C$2:$C$8,MIN(7,MAX(1,IF($O$125,MAX(1,2-(Vu_khi!$L$125-2)),2-(Vu_khi!$L$125-2))+1))))*IF($AA$125,INDEX(Bang_xuyen_qua!$C$2:$C$5,MIN(4,MAX(1,(Vu_khi!$L$125)-(2)-1))),1)</f>
        <v/>
      </c>
      <c r="AF125" t="n">
        <v>0.85</v>
      </c>
      <c r="AG125">
        <f>IF(Vu_khi!$AG$125,INDEX(Bang_danh_noc!$C$2:$C$8,MIN(7,MAX(1,2-(Vu_khi!$L$125-4)+1))),INDEX(Bang_xuyen_giap!$C$2:$C$8,MIN(7,MAX(1,IF($O$125,MAX(1,2-(Vu_khi!$L$125-4)),2-(Vu_khi!$L$125-4))+1))))*IF($AA$125,INDEX(Bang_xuyen_qua!$C$2:$C$5,MIN(4,MAX(1,(Vu_khi!$L$125)-(4)-1))),1)</f>
        <v/>
      </c>
      <c r="AH125" t="n">
        <v>0.4</v>
      </c>
      <c r="AI125">
        <f>INDEX(Bang_xuyen_giap!$C$2:$C$8,MIN(7,MAX(1,MAX(1,2-(Vu_khi!$L$125-0))+1)))*IF($AA$125,INDEX(Bang_xuyen_qua!$C$2:$C$5,MIN(4,MAX(1,(Vu_khi!$L$125)-(0)-1))),1)</f>
        <v/>
      </c>
      <c r="AJ125" t="n">
        <v>1</v>
      </c>
      <c r="AK125">
        <f>IF($Q$125,$M$125*$AC$125*$U$125,0)</f>
        <v/>
      </c>
      <c r="AL125" t="n">
        <v>228.0808584976291</v>
      </c>
      <c r="AM125">
        <f>IF($Q$125,$M$125*$AE$125*$U$125,0)</f>
        <v/>
      </c>
      <c r="AN125" t="n">
        <v>161.557274769154</v>
      </c>
      <c r="AO125">
        <f>IF($Q$125,$M$125*$AG$125*$U$125,0)</f>
        <v/>
      </c>
      <c r="AP125" t="n">
        <v>76.02695283254305</v>
      </c>
      <c r="AQ125">
        <f>IF($Q$125,$M$125*$AE$125*$Y$125,0)</f>
        <v/>
      </c>
      <c r="AR125" t="n">
        <v>94.24174361533981</v>
      </c>
      <c r="AS125">
        <f>IF($S$125,$M$125*$AI$125*$W$125,0)</f>
        <v/>
      </c>
      <c r="AT125" t="n">
        <v>0</v>
      </c>
      <c r="AU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V125" t="b">
        <v>0</v>
      </c>
      <c r="AW125">
        <f>IF(AND($B$125&lt;0,$AU$125),4,$B$125)</f>
        <v/>
      </c>
      <c r="AX125" t="n">
        <v>1</v>
      </c>
      <c r="AY125">
        <f>IF($AW$125&lt;4,0,MIN(MAX(0.5,Canh_bao_vong!$D$4),MAX(IF(Vu_khi!$C$125="cal_406",Canh_bao_vong!$D$7,IF($AW$125&gt;=5,Canh_bao_vong!$D$9,Canh_bao_vong!$D$8)),Canh_bao_vong!$D$2+MAX(0,Vu_khi!$X$125)/MAX(0.1,Canh_bao_vong!$D$5))))</f>
        <v/>
      </c>
      <c r="AZ125" t="n">
        <v>0</v>
      </c>
      <c r="BA125" t="n">
        <v>7.513125</v>
      </c>
      <c r="BB125" t="inlineStr">
        <is>
          <t>ok</t>
        </is>
      </c>
      <c r="BC125" t="inlineStr"/>
      <c r="BD125" t="n">
        <v>280</v>
      </c>
      <c r="BE125" t="n">
        <v>364</v>
      </c>
      <c r="BF125" t="n">
        <v>0.045</v>
      </c>
      <c r="BG125" t="n">
        <v>0.089</v>
      </c>
      <c r="BH125" t="n">
        <v>0.179</v>
      </c>
      <c r="BI125" t="n">
        <v>0.137</v>
      </c>
      <c r="BJ125" t="inlineStr">
        <is>
          <t>DIRECT_BULLET</t>
        </is>
      </c>
      <c r="BK125" t="inlineStr">
        <is>
          <t>ok</t>
        </is>
      </c>
      <c r="BL125" t="inlineStr">
        <is>
          <t>own line</t>
        </is>
      </c>
      <c r="BM125" t="inlineStr"/>
      <c r="BN125" t="inlineStr">
        <is>
          <t>Assets/MachineBrigade/Resources/Data/balance.json: weapons[id=gunship_25mm] (lớp B trên 01_chien_dau/Vu_khi)</t>
        </is>
      </c>
      <c r="BO125" t="inlineStr"/>
    </row>
    <row r="126">
      <c r="A126" t="inlineStr">
        <is>
          <t>gunship_25mm_flak</t>
        </is>
      </c>
      <c r="B126" t="n">
        <v>1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56</v>
      </c>
      <c r="G126">
        <f>IF(Vu_khi!$S$126&gt;0,(Vu_khi!$S$126-1)*Vu_khi!$R$126+Vu_khi!$T$126,Vu_khi!$R$126+(Vu_khi!$P$126-1)*Vu_khi!$Q$126)</f>
        <v/>
      </c>
      <c r="H126" t="n">
        <v>6.0105</v>
      </c>
      <c r="I126">
        <f>Vu_khi!$W$126*MAX(1,$E$126)</f>
        <v/>
      </c>
      <c r="J126" t="n">
        <v>952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158.389485067798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0</v>
      </c>
      <c r="S126">
        <f>AND(NOT(Vu_khi!$AJ$126),OR(Vu_khi!$AC$126="Air",Vu_khi!$AC$126="All"))</f>
        <v/>
      </c>
      <c r="T126" t="b">
        <v>1</v>
      </c>
      <c r="U126">
        <f>INDEX(Bang_sat_thuong!$B$2:$B$7,MATCH(Vu_khi!$K$126,Bang_sat_thuong!$A$2:$A$7,0))</f>
        <v/>
      </c>
      <c r="V126" t="n">
        <v>0.45</v>
      </c>
      <c r="W126">
        <f>INDEX(Bang_sat_thuong!$C$2:$C$7,MATCH(Vu_khi!$K$126,Bang_sat_thuong!$A$2:$A$7,0))</f>
        <v/>
      </c>
      <c r="X126" t="n">
        <v>1.35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0.1</v>
      </c>
      <c r="AA126">
        <f>AND(Vu_khi!$K$126="Kinetic",NOT(Vu_khi!$AG$126))</f>
        <v/>
      </c>
      <c r="AB126" t="b">
        <v>0</v>
      </c>
      <c r="AC126">
        <f>IF(Vu_khi!$AG$126,INDEX(Bang_danh_noc!$C$2:$C$8,MIN(7,MAX(1,2-(Vu_khi!$L$126-0)+1))),INDEX(Bang_xuyen_giap!$C$2:$C$8,MIN(7,MAX(1,IF($O$126,MAX(1,2-(Vu_khi!$L$126-0)),2-(Vu_khi!$L$126-0))+1))))*IF($AA$126,INDEX(Bang_xuyen_qua!$C$2:$C$5,MIN(4,MAX(1,(Vu_khi!$L$126)-(0)-1))),1)</f>
        <v/>
      </c>
      <c r="AD126" t="n">
        <v>1</v>
      </c>
      <c r="AE126">
        <f>IF(Vu_khi!$AG$126,INDEX(Bang_danh_noc!$C$2:$C$8,MIN(7,MAX(1,2-(Vu_khi!$L$126-2)+1))),INDEX(Bang_xuyen_giap!$C$2:$C$8,MIN(7,MAX(1,IF($O$126,MAX(1,2-(Vu_khi!$L$126-2)),2-(Vu_khi!$L$126-2))+1))))*IF($AA$126,INDEX(Bang_xuyen_qua!$C$2:$C$5,MIN(4,MAX(1,(Vu_khi!$L$126)-(2)-1))),1)</f>
        <v/>
      </c>
      <c r="AF126" t="n">
        <v>0.65</v>
      </c>
      <c r="AG126">
        <f>IF(Vu_khi!$AG$126,INDEX(Bang_danh_noc!$C$2:$C$8,MIN(7,MAX(1,2-(Vu_khi!$L$126-4)+1))),INDEX(Bang_xuyen_giap!$C$2:$C$8,MIN(7,MAX(1,IF($O$126,MAX(1,2-(Vu_khi!$L$126-4)),2-(Vu_khi!$L$126-4))+1))))*IF($AA$126,INDEX(Bang_xuyen_qua!$C$2:$C$5,MIN(4,MAX(1,(Vu_khi!$L$126)-(4)-1))),1)</f>
        <v/>
      </c>
      <c r="AH126" t="n">
        <v>0.15</v>
      </c>
      <c r="AI126">
        <f>INDEX(Bang_xuyen_giap!$C$2:$C$8,MIN(7,MAX(1,MAX(1,2-(Vu_khi!$L$126-0))+1)))*IF($AA$126,INDEX(Bang_xuyen_qua!$C$2:$C$5,MIN(4,MAX(1,(Vu_khi!$L$126)-(0)-1))),1)</f>
        <v/>
      </c>
      <c r="AJ126" t="n">
        <v>1</v>
      </c>
      <c r="AK126">
        <f>IF($Q$126,$M$126*$AC$126*$U$126,0)</f>
        <v/>
      </c>
      <c r="AL126" t="n">
        <v>0</v>
      </c>
      <c r="AM126">
        <f>IF($Q$126,$M$126*$AE$126*$U$126,0)</f>
        <v/>
      </c>
      <c r="AN126" t="n">
        <v>0</v>
      </c>
      <c r="AO126">
        <f>IF($Q$126,$M$126*$AG$126*$U$126,0)</f>
        <v/>
      </c>
      <c r="AP126" t="n">
        <v>0</v>
      </c>
      <c r="AQ126">
        <f>IF($Q$126,$M$126*$AE$126*$Y$126,0)</f>
        <v/>
      </c>
      <c r="AR126" t="n">
        <v>0</v>
      </c>
      <c r="AS126">
        <f>IF($S$126,$M$126*$AI$126*$W$126,0)</f>
        <v/>
      </c>
      <c r="AT126" t="n">
        <v>213.8258048415273</v>
      </c>
      <c r="AU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V126" t="b">
        <v>0</v>
      </c>
      <c r="AW126">
        <f>IF(AND($B$126&lt;0,$AU$126),4,$B$126)</f>
        <v/>
      </c>
      <c r="AX126" t="n">
        <v>1</v>
      </c>
      <c r="AY126">
        <f>IF($AW$126&lt;4,0,MIN(MAX(0.5,Canh_bao_vong!$D$4),MAX(IF(Vu_khi!$C$126="cal_406",Canh_bao_vong!$D$7,IF($AW$126&gt;=5,Canh_bao_vong!$D$9,Canh_bao_vong!$D$8)),Canh_bao_vong!$D$2+MAX(0,Vu_khi!$X$126)/MAX(0.1,Canh_bao_vong!$D$5))))</f>
        <v/>
      </c>
      <c r="AZ126" t="n">
        <v>0</v>
      </c>
      <c r="BD126" t="n">
        <v>280</v>
      </c>
      <c r="BE126" t="n">
        <v>364</v>
      </c>
      <c r="BF126" t="n">
        <v>0.045</v>
      </c>
      <c r="BG126" t="n">
        <v>0.089</v>
      </c>
      <c r="BH126" t="n">
        <v>0.179</v>
      </c>
      <c r="BI126" t="n">
        <v>0.137</v>
      </c>
      <c r="BJ126" t="inlineStr">
        <is>
          <t>DIRECT_BULLET</t>
        </is>
      </c>
      <c r="BK126" t="inlineStr">
        <is>
          <t>ok</t>
        </is>
      </c>
      <c r="BL126" t="inlineStr">
        <is>
          <t>inherited from gunship_25mm</t>
        </is>
      </c>
      <c r="BM126" t="inlineStr"/>
      <c r="BN126" t="inlineStr">
        <is>
          <t>Assets/MachineBrigade/Resources/Data/balance.json: weapons[id=gunship_25mm_flak] (lớp B trên 01_chien_dau/Vu_khi)</t>
        </is>
      </c>
      <c r="BO126" t="inlineStr"/>
    </row>
    <row r="127">
      <c r="A127" t="inlineStr">
        <is>
          <t>gunship_40mm</t>
        </is>
      </c>
      <c r="B127" t="n">
        <v>1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29</v>
      </c>
      <c r="G127">
        <f>IF(Vu_khi!$S$127&gt;0,(Vu_khi!$S$127-1)*Vu_khi!$R$127+Vu_khi!$T$127,Vu_khi!$R$127+(Vu_khi!$P$127-1)*Vu_khi!$Q$127)</f>
        <v/>
      </c>
      <c r="H127" t="n">
        <v>5.9924</v>
      </c>
      <c r="I127">
        <f>Vu_khi!$W$127*MAX(1,$E$127)</f>
        <v/>
      </c>
      <c r="J127" t="n">
        <v>870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145.1838996061678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1.6</v>
      </c>
      <c r="AA127">
        <f>AND(Vu_khi!$K$127="Kinetic",NOT(Vu_khi!$AG$127))</f>
        <v/>
      </c>
      <c r="AB127" t="b">
        <v>0</v>
      </c>
      <c r="AC127">
        <f>IF(Vu_khi!$AG$127,INDEX(Bang_danh_noc!$C$2:$C$8,MIN(7,MAX(1,2-(Vu_khi!$L$127-0)+1))),INDEX(Bang_xuyen_giap!$C$2:$C$8,MIN(7,MAX(1,IF($O$127,MAX(1,2-(Vu_khi!$L$127-0)),2-(Vu_khi!$L$127-0))+1))))*IF($AA$127,INDEX(Bang_xuyen_qua!$C$2:$C$5,MIN(4,MAX(1,(Vu_khi!$L$127)-(0)-1))),1)</f>
        <v/>
      </c>
      <c r="AD127" t="n">
        <v>1.2</v>
      </c>
      <c r="AE127">
        <f>IF(Vu_khi!$AG$127,INDEX(Bang_danh_noc!$C$2:$C$8,MIN(7,MAX(1,2-(Vu_khi!$L$127-2)+1))),INDEX(Bang_xuyen_giap!$C$2:$C$8,MIN(7,MAX(1,IF($O$127,MAX(1,2-(Vu_khi!$L$127-2)),2-(Vu_khi!$L$127-2))+1))))*IF($AA$127,INDEX(Bang_xuyen_qua!$C$2:$C$5,MIN(4,MAX(1,(Vu_khi!$L$127)-(2)-1))),1)</f>
        <v/>
      </c>
      <c r="AF127" t="n">
        <v>0.85</v>
      </c>
      <c r="AG127">
        <f>IF(Vu_khi!$AG$127,INDEX(Bang_danh_noc!$C$2:$C$8,MIN(7,MAX(1,2-(Vu_khi!$L$127-4)+1))),INDEX(Bang_xuyen_giap!$C$2:$C$8,MIN(7,MAX(1,IF($O$127,MAX(1,2-(Vu_khi!$L$127-4)),2-(Vu_khi!$L$127-4))+1))))*IF($AA$127,INDEX(Bang_xuyen_qua!$C$2:$C$5,MIN(4,MAX(1,(Vu_khi!$L$127)-(4)-1))),1)</f>
        <v/>
      </c>
      <c r="AH127" t="n">
        <v>0.4</v>
      </c>
      <c r="AI127">
        <f>INDEX(Bang_xuyen_giap!$C$2:$C$8,MIN(7,MAX(1,MAX(1,2-(Vu_khi!$L$127-0))+1)))*IF($AA$127,INDEX(Bang_xuyen_qua!$C$2:$C$5,MIN(4,MAX(1,(Vu_khi!$L$127)-(0)-1))),1)</f>
        <v/>
      </c>
      <c r="AJ127" t="n">
        <v>1</v>
      </c>
      <c r="AK127">
        <f>IF($Q$127,$M$127*$AC$127*$U$127,0)</f>
        <v/>
      </c>
      <c r="AL127" t="n">
        <v>174.2206795274014</v>
      </c>
      <c r="AM127">
        <f>IF($Q$127,$M$127*$AE$127*$U$127,0)</f>
        <v/>
      </c>
      <c r="AN127" t="n">
        <v>123.4063146652426</v>
      </c>
      <c r="AO127">
        <f>IF($Q$127,$M$127*$AG$127*$U$127,0)</f>
        <v/>
      </c>
      <c r="AP127" t="n">
        <v>58.07355984246713</v>
      </c>
      <c r="AQ127">
        <f>IF($Q$127,$M$127*$AE$127*$Y$127,0)</f>
        <v/>
      </c>
      <c r="AR127" t="n">
        <v>197.4501034643882</v>
      </c>
      <c r="AS127">
        <f>IF($S$127,$M$127*$AI$127*$W$127,0)</f>
        <v/>
      </c>
      <c r="AT127" t="n">
        <v>0</v>
      </c>
      <c r="AU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V127" t="b">
        <v>0</v>
      </c>
      <c r="AW127">
        <f>IF(AND($B$127&lt;0,$AU$127),4,$B$127)</f>
        <v/>
      </c>
      <c r="AX127" t="n">
        <v>1</v>
      </c>
      <c r="AY127">
        <f>IF($AW$127&lt;4,0,MIN(MAX(0.5,Canh_bao_vong!$D$4),MAX(IF(Vu_khi!$C$127="cal_406",Canh_bao_vong!$D$7,IF($AW$127&gt;=5,Canh_bao_vong!$D$9,Canh_bao_vong!$D$8)),Canh_bao_vong!$D$2+MAX(0,Vu_khi!$X$127)/MAX(0.1,Canh_bao_vong!$D$5))))</f>
        <v/>
      </c>
      <c r="AZ127" t="n">
        <v>0</v>
      </c>
      <c r="BA127" t="n">
        <v>0.413269</v>
      </c>
      <c r="BB127" t="inlineStr">
        <is>
          <t>NHANH_QUA</t>
        </is>
      </c>
      <c r="BC127" t="inlineStr"/>
      <c r="BD127" t="n">
        <v>200</v>
      </c>
      <c r="BE127" t="n">
        <v>260</v>
      </c>
      <c r="BF127" t="n">
        <v>0.06900000000000001</v>
      </c>
      <c r="BG127" t="n">
        <v>0.138</v>
      </c>
      <c r="BH127" t="n">
        <v>0.275</v>
      </c>
      <c r="BI127" t="n">
        <v>0.212</v>
      </c>
      <c r="BJ127" t="inlineStr">
        <is>
          <t>DIRECT_BULLET</t>
        </is>
      </c>
      <c r="BK127" t="inlineStr">
        <is>
          <t>ok</t>
        </is>
      </c>
      <c r="BL127" t="inlineStr">
        <is>
          <t>own line</t>
        </is>
      </c>
      <c r="BM127" t="inlineStr"/>
      <c r="BN127" t="inlineStr">
        <is>
          <t>Assets/MachineBrigade/Resources/Data/balance.json: weapons[id=gunship_40mm] (lớp B trên 01_chien_dau/Vu_khi)</t>
        </is>
      </c>
      <c r="BO127" t="inlineStr"/>
    </row>
    <row r="128">
      <c r="A128" t="inlineStr">
        <is>
          <t>gunship_40mm_ap</t>
        </is>
      </c>
      <c r="B128" t="n">
        <v>1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29</v>
      </c>
      <c r="G128">
        <f>IF(Vu_khi!$S$128&gt;0,(Vu_khi!$S$128-1)*Vu_khi!$R$128+Vu_khi!$T$128,Vu_khi!$R$128+(Vu_khi!$P$128-1)*Vu_khi!$Q$128)</f>
        <v/>
      </c>
      <c r="H128" t="n">
        <v>5.9924</v>
      </c>
      <c r="I128">
        <f>Vu_khi!$W$128*MAX(1,$E$128)</f>
        <v/>
      </c>
      <c r="J128" t="n">
        <v>870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145.1838996061678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1</v>
      </c>
      <c r="S128">
        <f>AND(NOT(Vu_khi!$AJ$128),OR(Vu_khi!$AC$128="Air",Vu_khi!$AC$128="All"))</f>
        <v/>
      </c>
      <c r="T128" t="b">
        <v>0</v>
      </c>
      <c r="U128">
        <f>INDEX(Bang_sat_thuong!$B$2:$B$7,MATCH(Vu_khi!$K$128,Bang_sat_thuong!$A$2:$A$7,0))</f>
        <v/>
      </c>
      <c r="V128" t="n">
        <v>1.2</v>
      </c>
      <c r="W128">
        <f>INDEX(Bang_sat_thuong!$C$2:$C$7,MATCH(Vu_khi!$K$128,Bang_sat_thuong!$A$2:$A$7,0))</f>
        <v/>
      </c>
      <c r="X128" t="n">
        <v>0.3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0.7</v>
      </c>
      <c r="AA128">
        <f>AND(Vu_khi!$K$128="Kinetic",NOT(Vu_khi!$AG$128))</f>
        <v/>
      </c>
      <c r="AB128" t="b">
        <v>1</v>
      </c>
      <c r="AC128">
        <f>IF(Vu_khi!$AG$128,INDEX(Bang_danh_noc!$C$2:$C$8,MIN(7,MAX(1,2-(Vu_khi!$L$128-0)+1))),INDEX(Bang_xuyen_giap!$C$2:$C$8,MIN(7,MAX(1,IF($O$128,MAX(1,2-(Vu_khi!$L$128-0)),2-(Vu_khi!$L$128-0))+1))))*IF($AA$128,INDEX(Bang_xuyen_qua!$C$2:$C$5,MIN(4,MAX(1,(Vu_khi!$L$128)-(0)-1))),1)</f>
        <v/>
      </c>
      <c r="AD128" t="n">
        <v>1.2</v>
      </c>
      <c r="AE128">
        <f>IF(Vu_khi!$AG$128,INDEX(Bang_danh_noc!$C$2:$C$8,MIN(7,MAX(1,2-(Vu_khi!$L$128-2)+1))),INDEX(Bang_xuyen_giap!$C$2:$C$8,MIN(7,MAX(1,IF($O$128,MAX(1,2-(Vu_khi!$L$128-2)),2-(Vu_khi!$L$128-2))+1))))*IF($AA$128,INDEX(Bang_xuyen_qua!$C$2:$C$5,MIN(4,MAX(1,(Vu_khi!$L$128)-(2)-1))),1)</f>
        <v/>
      </c>
      <c r="AF128" t="n">
        <v>0.85</v>
      </c>
      <c r="AG128">
        <f>IF(Vu_khi!$AG$128,INDEX(Bang_danh_noc!$C$2:$C$8,MIN(7,MAX(1,2-(Vu_khi!$L$128-4)+1))),INDEX(Bang_xuyen_giap!$C$2:$C$8,MIN(7,MAX(1,IF($O$128,MAX(1,2-(Vu_khi!$L$128-4)),2-(Vu_khi!$L$128-4))+1))))*IF($AA$128,INDEX(Bang_xuyen_qua!$C$2:$C$5,MIN(4,MAX(1,(Vu_khi!$L$128)-(4)-1))),1)</f>
        <v/>
      </c>
      <c r="AH128" t="n">
        <v>0.4</v>
      </c>
      <c r="AI128">
        <f>INDEX(Bang_xuyen_giap!$C$2:$C$8,MIN(7,MAX(1,MAX(1,2-(Vu_khi!$L$128-0))+1)))*IF($AA$128,INDEX(Bang_xuyen_qua!$C$2:$C$5,MIN(4,MAX(1,(Vu_khi!$L$128)-(0)-1))),1)</f>
        <v/>
      </c>
      <c r="AJ128" t="n">
        <v>1</v>
      </c>
      <c r="AK128">
        <f>IF($Q$128,$M$128*$AC$128*$U$128,0)</f>
        <v/>
      </c>
      <c r="AL128" t="n">
        <v>209.0648154328816</v>
      </c>
      <c r="AM128">
        <f>IF($Q$128,$M$128*$AE$128*$U$128,0)</f>
        <v/>
      </c>
      <c r="AN128" t="n">
        <v>148.0875775982912</v>
      </c>
      <c r="AO128">
        <f>IF($Q$128,$M$128*$AG$128*$U$128,0)</f>
        <v/>
      </c>
      <c r="AP128" t="n">
        <v>69.68827181096054</v>
      </c>
      <c r="AQ128">
        <f>IF($Q$128,$M$128*$AE$128*$Y$128,0)</f>
        <v/>
      </c>
      <c r="AR128" t="n">
        <v>86.38442026566985</v>
      </c>
      <c r="AS128">
        <f>IF($S$128,$M$128*$AI$128*$W$128,0)</f>
        <v/>
      </c>
      <c r="AT128" t="n">
        <v>0</v>
      </c>
      <c r="AU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V128" t="b">
        <v>0</v>
      </c>
      <c r="AW128">
        <f>IF(AND($B$128&lt;0,$AU$128),4,$B$128)</f>
        <v/>
      </c>
      <c r="AX128" t="n">
        <v>1</v>
      </c>
      <c r="AY128">
        <f>IF($AW$128&lt;4,0,MIN(MAX(0.5,Canh_bao_vong!$D$4),MAX(IF(Vu_khi!$C$128="cal_406",Canh_bao_vong!$D$7,IF($AW$128&gt;=5,Canh_bao_vong!$D$9,Canh_bao_vong!$D$8)),Canh_bao_vong!$D$2+MAX(0,Vu_khi!$X$128)/MAX(0.1,Canh_bao_vong!$D$5))))</f>
        <v/>
      </c>
      <c r="AZ128" t="n">
        <v>0</v>
      </c>
      <c r="BD128" t="n">
        <v>200</v>
      </c>
      <c r="BE128" t="n">
        <v>260</v>
      </c>
      <c r="BF128" t="n">
        <v>0.06900000000000001</v>
      </c>
      <c r="BG128" t="n">
        <v>0.138</v>
      </c>
      <c r="BH128" t="n">
        <v>0.275</v>
      </c>
      <c r="BI128" t="n">
        <v>0.212</v>
      </c>
      <c r="BJ128" t="inlineStr">
        <is>
          <t>DIRECT_BULLET</t>
        </is>
      </c>
      <c r="BK128" t="inlineStr">
        <is>
          <t>ok</t>
        </is>
      </c>
      <c r="BL128" t="inlineStr">
        <is>
          <t>inherited from gunship_40mm</t>
        </is>
      </c>
      <c r="BM128" t="inlineStr"/>
      <c r="BN128" t="inlineStr">
        <is>
          <t>Assets/MachineBrigade/Resources/Data/balance.json: weapons[id=gunship_40mm_ap] (lớp B trên 01_chien_dau/Vu_khi)</t>
        </is>
      </c>
      <c r="BO128" t="inlineStr"/>
    </row>
    <row r="129">
      <c r="A129" t="inlineStr">
        <is>
          <t>gunship_40mm_flak</t>
        </is>
      </c>
      <c r="B129" t="n">
        <v>1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29</v>
      </c>
      <c r="G129">
        <f>IF(Vu_khi!$S$129&gt;0,(Vu_khi!$S$129-1)*Vu_khi!$R$129+Vu_khi!$T$129,Vu_khi!$R$129+(Vu_khi!$P$129-1)*Vu_khi!$Q$129)</f>
        <v/>
      </c>
      <c r="H129" t="n">
        <v>5.9924</v>
      </c>
      <c r="I129">
        <f>Vu_khi!$W$129*MAX(1,$E$129)</f>
        <v/>
      </c>
      <c r="J129" t="n">
        <v>870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145.1838996061678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0</v>
      </c>
      <c r="S129">
        <f>AND(NOT(Vu_khi!$AJ$129),OR(Vu_khi!$AC$129="Air",Vu_khi!$AC$129="All"))</f>
        <v/>
      </c>
      <c r="T129" t="b">
        <v>1</v>
      </c>
      <c r="U129">
        <f>INDEX(Bang_sat_thuong!$B$2:$B$7,MATCH(Vu_khi!$K$129,Bang_sat_thuong!$A$2:$A$7,0))</f>
        <v/>
      </c>
      <c r="V129" t="n">
        <v>0.45</v>
      </c>
      <c r="W129">
        <f>INDEX(Bang_sat_thuong!$C$2:$C$7,MATCH(Vu_khi!$K$129,Bang_sat_thuong!$A$2:$A$7,0))</f>
        <v/>
      </c>
      <c r="X129" t="n">
        <v>1.35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0.1</v>
      </c>
      <c r="AA129">
        <f>AND(Vu_khi!$K$129="Kinetic",NOT(Vu_khi!$AG$129))</f>
        <v/>
      </c>
      <c r="AB129" t="b">
        <v>0</v>
      </c>
      <c r="AC129">
        <f>IF(Vu_khi!$AG$129,INDEX(Bang_danh_noc!$C$2:$C$8,MIN(7,MAX(1,2-(Vu_khi!$L$129-0)+1))),INDEX(Bang_xuyen_giap!$C$2:$C$8,MIN(7,MAX(1,IF($O$129,MAX(1,2-(Vu_khi!$L$129-0)),2-(Vu_khi!$L$129-0))+1))))*IF($AA$129,INDEX(Bang_xuyen_qua!$C$2:$C$5,MIN(4,MAX(1,(Vu_khi!$L$129)-(0)-1))),1)</f>
        <v/>
      </c>
      <c r="AD129" t="n">
        <v>1.2</v>
      </c>
      <c r="AE129">
        <f>IF(Vu_khi!$AG$129,INDEX(Bang_danh_noc!$C$2:$C$8,MIN(7,MAX(1,2-(Vu_khi!$L$129-2)+1))),INDEX(Bang_xuyen_giap!$C$2:$C$8,MIN(7,MAX(1,IF($O$129,MAX(1,2-(Vu_khi!$L$129-2)),2-(Vu_khi!$L$129-2))+1))))*IF($AA$129,INDEX(Bang_xuyen_qua!$C$2:$C$5,MIN(4,MAX(1,(Vu_khi!$L$129)-(2)-1))),1)</f>
        <v/>
      </c>
      <c r="AF129" t="n">
        <v>0.85</v>
      </c>
      <c r="AG129">
        <f>IF(Vu_khi!$AG$129,INDEX(Bang_danh_noc!$C$2:$C$8,MIN(7,MAX(1,2-(Vu_khi!$L$129-4)+1))),INDEX(Bang_xuyen_giap!$C$2:$C$8,MIN(7,MAX(1,IF($O$129,MAX(1,2-(Vu_khi!$L$129-4)),2-(Vu_khi!$L$129-4))+1))))*IF($AA$129,INDEX(Bang_xuyen_qua!$C$2:$C$5,MIN(4,MAX(1,(Vu_khi!$L$129)-(4)-1))),1)</f>
        <v/>
      </c>
      <c r="AH129" t="n">
        <v>0.4</v>
      </c>
      <c r="AI129">
        <f>INDEX(Bang_xuyen_giap!$C$2:$C$8,MIN(7,MAX(1,MAX(1,2-(Vu_khi!$L$129-0))+1)))*IF($AA$129,INDEX(Bang_xuyen_qua!$C$2:$C$5,MIN(4,MAX(1,(Vu_khi!$L$129)-(0)-1))),1)</f>
        <v/>
      </c>
      <c r="AJ129" t="n">
        <v>1</v>
      </c>
      <c r="AK129">
        <f>IF($Q$129,$M$129*$AC$129*$U$129,0)</f>
        <v/>
      </c>
      <c r="AL129" t="n">
        <v>0</v>
      </c>
      <c r="AM129">
        <f>IF($Q$129,$M$129*$AE$129*$U$129,0)</f>
        <v/>
      </c>
      <c r="AN129" t="n">
        <v>0</v>
      </c>
      <c r="AO129">
        <f>IF($Q$129,$M$129*$AG$129*$U$129,0)</f>
        <v/>
      </c>
      <c r="AP129" t="n">
        <v>0</v>
      </c>
      <c r="AQ129">
        <f>IF($Q$129,$M$129*$AE$129*$Y$129,0)</f>
        <v/>
      </c>
      <c r="AR129" t="n">
        <v>0</v>
      </c>
      <c r="AS129">
        <f>IF($S$129,$M$129*$AI$129*$W$129,0)</f>
        <v/>
      </c>
      <c r="AT129" t="n">
        <v>195.9982644683266</v>
      </c>
      <c r="AU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V129" t="b">
        <v>0</v>
      </c>
      <c r="AW129">
        <f>IF(AND($B$129&lt;0,$AU$129),4,$B$129)</f>
        <v/>
      </c>
      <c r="AX129" t="n">
        <v>1</v>
      </c>
      <c r="AY129">
        <f>IF($AW$129&lt;4,0,MIN(MAX(0.5,Canh_bao_vong!$D$4),MAX(IF(Vu_khi!$C$129="cal_406",Canh_bao_vong!$D$7,IF($AW$129&gt;=5,Canh_bao_vong!$D$9,Canh_bao_vong!$D$8)),Canh_bao_vong!$D$2+MAX(0,Vu_khi!$X$129)/MAX(0.1,Canh_bao_vong!$D$5))))</f>
        <v/>
      </c>
      <c r="AZ129" t="n">
        <v>0</v>
      </c>
      <c r="BD129" t="n">
        <v>200</v>
      </c>
      <c r="BE129" t="n">
        <v>260</v>
      </c>
      <c r="BF129" t="n">
        <v>0.06900000000000001</v>
      </c>
      <c r="BG129" t="n">
        <v>0.138</v>
      </c>
      <c r="BH129" t="n">
        <v>0.275</v>
      </c>
      <c r="BI129" t="n">
        <v>0.212</v>
      </c>
      <c r="BJ129" t="inlineStr">
        <is>
          <t>DIRECT_BULLET</t>
        </is>
      </c>
      <c r="BK129" t="inlineStr">
        <is>
          <t>ok</t>
        </is>
      </c>
      <c r="BL129" t="inlineStr">
        <is>
          <t>inherited from gunship_40mm</t>
        </is>
      </c>
      <c r="BM129" t="inlineStr"/>
      <c r="BN129" t="inlineStr">
        <is>
          <t>Assets/MachineBrigade/Resources/Data/balance.json: weapons[id=gunship_40mm_flak] (lớp B trên 01_chien_dau/Vu_khi)</t>
        </is>
      </c>
      <c r="BO129" t="inlineStr"/>
    </row>
    <row r="130">
      <c r="A130" t="inlineStr">
        <is>
          <t>gunship_105</t>
        </is>
      </c>
      <c r="B130" t="n">
        <v>2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1</v>
      </c>
      <c r="G130">
        <f>IF(Vu_khi!$S$130&gt;0,(Vu_khi!$S$130-1)*Vu_khi!$R$130+Vu_khi!$T$130,Vu_khi!$R$130+(Vu_khi!$P$130-1)*Vu_khi!$Q$130)</f>
        <v/>
      </c>
      <c r="H130" t="n">
        <v>3.919</v>
      </c>
      <c r="I130">
        <f>Vu_khi!$W$130*MAX(1,$E$130)</f>
        <v/>
      </c>
      <c r="J130" t="n">
        <v>286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72.97780045930084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1.6</v>
      </c>
      <c r="AA130">
        <f>AND(Vu_khi!$K$130="Kinetic",NOT(Vu_khi!$AG$130))</f>
        <v/>
      </c>
      <c r="AB130" t="b">
        <v>0</v>
      </c>
      <c r="AC130">
        <f>IF(Vu_khi!$AG$130,INDEX(Bang_danh_noc!$C$2:$C$8,MIN(7,MAX(1,2-(Vu_khi!$L$130-0)+1))),INDEX(Bang_xuyen_giap!$C$2:$C$8,MIN(7,MAX(1,IF($O$130,MAX(1,2-(Vu_khi!$L$130-0)),2-(Vu_khi!$L$130-0))+1))))*IF($AA$130,INDEX(Bang_xuyen_qua!$C$2:$C$5,MIN(4,MAX(1,(Vu_khi!$L$130)-(0)-1))),1)</f>
        <v/>
      </c>
      <c r="AD130" t="n">
        <v>1.2</v>
      </c>
      <c r="AE130">
        <f>IF(Vu_khi!$AG$130,INDEX(Bang_danh_noc!$C$2:$C$8,MIN(7,MAX(1,2-(Vu_khi!$L$130-2)+1))),INDEX(Bang_xuyen_giap!$C$2:$C$8,MIN(7,MAX(1,IF($O$130,MAX(1,2-(Vu_khi!$L$130-2)),2-(Vu_khi!$L$130-2))+1))))*IF($AA$130,INDEX(Bang_xuyen_qua!$C$2:$C$5,MIN(4,MAX(1,(Vu_khi!$L$130)-(2)-1))),1)</f>
        <v/>
      </c>
      <c r="AF130" t="n">
        <v>0.85</v>
      </c>
      <c r="AG130">
        <f>IF(Vu_khi!$AG$130,INDEX(Bang_danh_noc!$C$2:$C$8,MIN(7,MAX(1,2-(Vu_khi!$L$130-4)+1))),INDEX(Bang_xuyen_giap!$C$2:$C$8,MIN(7,MAX(1,IF($O$130,MAX(1,2-(Vu_khi!$L$130-4)),2-(Vu_khi!$L$130-4))+1))))*IF($AA$130,INDEX(Bang_xuyen_qua!$C$2:$C$5,MIN(4,MAX(1,(Vu_khi!$L$130)-(4)-1))),1)</f>
        <v/>
      </c>
      <c r="AH130" t="n">
        <v>0.4</v>
      </c>
      <c r="AI130">
        <f>INDEX(Bang_xuyen_giap!$C$2:$C$8,MIN(7,MAX(1,MAX(1,2-(Vu_khi!$L$130-0))+1)))*IF($AA$130,INDEX(Bang_xuyen_qua!$C$2:$C$5,MIN(4,MAX(1,(Vu_khi!$L$130)-(0)-1))),1)</f>
        <v/>
      </c>
      <c r="AJ130" t="n">
        <v>1</v>
      </c>
      <c r="AK130">
        <f>IF($Q$130,$M$130*$AC$130*$U$130,0)</f>
        <v/>
      </c>
      <c r="AL130" t="n">
        <v>87.573360551161</v>
      </c>
      <c r="AM130">
        <f>IF($Q$130,$M$130*$AE$130*$U$130,0)</f>
        <v/>
      </c>
      <c r="AN130" t="n">
        <v>62.03113039040571</v>
      </c>
      <c r="AO130">
        <f>IF($Q$130,$M$130*$AG$130*$U$130,0)</f>
        <v/>
      </c>
      <c r="AP130" t="n">
        <v>29.19112018372034</v>
      </c>
      <c r="AQ130">
        <f>IF($Q$130,$M$130*$AE$130*$Y$130,0)</f>
        <v/>
      </c>
      <c r="AR130" t="n">
        <v>99.24980862464915</v>
      </c>
      <c r="AS130">
        <f>IF($S$130,$M$130*$AI$130*$W$130,0)</f>
        <v/>
      </c>
      <c r="AT130" t="n">
        <v>0</v>
      </c>
      <c r="AU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V130" t="b">
        <v>0</v>
      </c>
      <c r="AW130">
        <f>IF(AND($B$130&lt;0,$AU$130),4,$B$130)</f>
        <v/>
      </c>
      <c r="AX130" t="n">
        <v>2</v>
      </c>
      <c r="AY130">
        <f>IF($AW$130&lt;4,0,MIN(MAX(0.5,Canh_bao_vong!$D$4),MAX(IF(Vu_khi!$C$130="cal_406",Canh_bao_vong!$D$7,IF($AW$130&gt;=5,Canh_bao_vong!$D$9,Canh_bao_vong!$D$8)),Canh_bao_vong!$D$2+MAX(0,Vu_khi!$X$130)/MAX(0.1,Canh_bao_vong!$D$5))))</f>
        <v/>
      </c>
      <c r="AZ130" t="n">
        <v>0</v>
      </c>
      <c r="BA130" t="n">
        <v>0.457217</v>
      </c>
      <c r="BB130" t="inlineStr">
        <is>
          <t>NHANH_QUA</t>
        </is>
      </c>
      <c r="BC130" t="inlineStr"/>
      <c r="BD130" t="n">
        <v>120</v>
      </c>
      <c r="BE130" t="n">
        <v>156</v>
      </c>
      <c r="BF130" t="n">
        <v>0.121</v>
      </c>
      <c r="BG130" t="n">
        <v>0.242</v>
      </c>
      <c r="BH130" t="n">
        <v>0.483</v>
      </c>
      <c r="BI130" t="n">
        <v>0.372</v>
      </c>
      <c r="BJ130" t="inlineStr">
        <is>
          <t>DIRECT_FAST</t>
        </is>
      </c>
      <c r="BK130" t="inlineStr">
        <is>
          <t>ok</t>
        </is>
      </c>
      <c r="BL130" t="inlineStr">
        <is>
          <t>own line</t>
        </is>
      </c>
      <c r="BM130" t="inlineStr"/>
      <c r="BN130" t="inlineStr">
        <is>
          <t>Assets/MachineBrigade/Resources/Data/balance.json: weapons[id=gunship_105] (lớp B trên 01_chien_dau/Vu_khi)</t>
        </is>
      </c>
      <c r="BO130" t="inlineStr"/>
    </row>
    <row r="131">
      <c r="A131" t="inlineStr">
        <is>
          <t>gunship_105_guided</t>
        </is>
      </c>
      <c r="B131" t="n">
        <v>2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</v>
      </c>
      <c r="G131">
        <f>IF(Vu_khi!$S$131&gt;0,(Vu_khi!$S$131-1)*Vu_khi!$R$131+Vu_khi!$T$131,Vu_khi!$R$131+(Vu_khi!$P$131-1)*Vu_khi!$Q$131)</f>
        <v/>
      </c>
      <c r="H131" t="n">
        <v>3.919</v>
      </c>
      <c r="I131">
        <f>Vu_khi!$W$131*MAX(1,$E$131)</f>
        <v/>
      </c>
      <c r="J131" t="n">
        <v>286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72.97780045930084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1.6</v>
      </c>
      <c r="AA131">
        <f>AND(Vu_khi!$K$131="Kinetic",NOT(Vu_khi!$AG$131))</f>
        <v/>
      </c>
      <c r="AB131" t="b">
        <v>0</v>
      </c>
      <c r="AC131">
        <f>IF(Vu_khi!$AG$131,INDEX(Bang_danh_noc!$C$2:$C$8,MIN(7,MAX(1,2-(Vu_khi!$L$131-0)+1))),INDEX(Bang_xuyen_giap!$C$2:$C$8,MIN(7,MAX(1,IF($O$131,MAX(1,2-(Vu_khi!$L$131-0)),2-(Vu_khi!$L$131-0))+1))))*IF($AA$131,INDEX(Bang_xuyen_qua!$C$2:$C$5,MIN(4,MAX(1,(Vu_khi!$L$131)-(0)-1))),1)</f>
        <v/>
      </c>
      <c r="AD131" t="n">
        <v>1.2</v>
      </c>
      <c r="AE131">
        <f>IF(Vu_khi!$AG$131,INDEX(Bang_danh_noc!$C$2:$C$8,MIN(7,MAX(1,2-(Vu_khi!$L$131-2)+1))),INDEX(Bang_xuyen_giap!$C$2:$C$8,MIN(7,MAX(1,IF($O$131,MAX(1,2-(Vu_khi!$L$131-2)),2-(Vu_khi!$L$131-2))+1))))*IF($AA$131,INDEX(Bang_xuyen_qua!$C$2:$C$5,MIN(4,MAX(1,(Vu_khi!$L$131)-(2)-1))),1)</f>
        <v/>
      </c>
      <c r="AF131" t="n">
        <v>0.85</v>
      </c>
      <c r="AG131">
        <f>IF(Vu_khi!$AG$131,INDEX(Bang_danh_noc!$C$2:$C$8,MIN(7,MAX(1,2-(Vu_khi!$L$131-4)+1))),INDEX(Bang_xuyen_giap!$C$2:$C$8,MIN(7,MAX(1,IF($O$131,MAX(1,2-(Vu_khi!$L$131-4)),2-(Vu_khi!$L$131-4))+1))))*IF($AA$131,INDEX(Bang_xuyen_qua!$C$2:$C$5,MIN(4,MAX(1,(Vu_khi!$L$131)-(4)-1))),1)</f>
        <v/>
      </c>
      <c r="AH131" t="n">
        <v>0.4</v>
      </c>
      <c r="AI131">
        <f>INDEX(Bang_xuyen_giap!$C$2:$C$8,MIN(7,MAX(1,MAX(1,2-(Vu_khi!$L$131-0))+1)))*IF($AA$131,INDEX(Bang_xuyen_qua!$C$2:$C$5,MIN(4,MAX(1,(Vu_khi!$L$131)-(0)-1))),1)</f>
        <v/>
      </c>
      <c r="AJ131" t="n">
        <v>1</v>
      </c>
      <c r="AK131">
        <f>IF($Q$131,$M$131*$AC$131*$U$131,0)</f>
        <v/>
      </c>
      <c r="AL131" t="n">
        <v>87.573360551161</v>
      </c>
      <c r="AM131">
        <f>IF($Q$131,$M$131*$AE$131*$U$131,0)</f>
        <v/>
      </c>
      <c r="AN131" t="n">
        <v>62.03113039040571</v>
      </c>
      <c r="AO131">
        <f>IF($Q$131,$M$131*$AG$131*$U$131,0)</f>
        <v/>
      </c>
      <c r="AP131" t="n">
        <v>29.19112018372034</v>
      </c>
      <c r="AQ131">
        <f>IF($Q$131,$M$131*$AE$131*$Y$131,0)</f>
        <v/>
      </c>
      <c r="AR131" t="n">
        <v>99.24980862464915</v>
      </c>
      <c r="AS131">
        <f>IF($S$131,$M$131*$AI$131*$W$131,0)</f>
        <v/>
      </c>
      <c r="AT131" t="n">
        <v>0</v>
      </c>
      <c r="AU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V131" t="b">
        <v>0</v>
      </c>
      <c r="AW131">
        <f>IF(AND($B$131&lt;0,$AU$131),4,$B$131)</f>
        <v/>
      </c>
      <c r="AX131" t="n">
        <v>2</v>
      </c>
      <c r="AY131">
        <f>IF($AW$131&lt;4,0,MIN(MAX(0.5,Canh_bao_vong!$D$4),MAX(IF(Vu_khi!$C$131="cal_406",Canh_bao_vong!$D$7,IF($AW$131&gt;=5,Canh_bao_vong!$D$9,Canh_bao_vong!$D$8)),Canh_bao_vong!$D$2+MAX(0,Vu_khi!$X$131)/MAX(0.1,Canh_bao_vong!$D$5))))</f>
        <v/>
      </c>
      <c r="AZ131" t="n">
        <v>0</v>
      </c>
      <c r="BD131" t="n">
        <v>120</v>
      </c>
      <c r="BE131" t="n">
        <v>156</v>
      </c>
      <c r="BF131" t="n">
        <v>0.121</v>
      </c>
      <c r="BG131" t="n">
        <v>0.242</v>
      </c>
      <c r="BH131" t="n">
        <v>0.483</v>
      </c>
      <c r="BI131" t="n">
        <v>0.372</v>
      </c>
      <c r="BJ131" t="inlineStr">
        <is>
          <t>DIRECT_FAST</t>
        </is>
      </c>
      <c r="BK131" t="inlineStr">
        <is>
          <t>ok</t>
        </is>
      </c>
      <c r="BL131" t="inlineStr">
        <is>
          <t>inherited from gunship_105</t>
        </is>
      </c>
      <c r="BM131" t="inlineStr"/>
      <c r="BN131" t="inlineStr">
        <is>
          <t>Assets/MachineBrigade/Resources/Data/balance.json: weapons[id=gunship_105_guided] (lớp B trên 01_chien_dau/Vu_khi)</t>
        </is>
      </c>
      <c r="BO131" t="inlineStr"/>
    </row>
    <row r="132">
      <c r="A132" t="inlineStr">
        <is>
          <t>gunship_rockets</t>
        </is>
      </c>
      <c r="B132" t="n">
        <v>2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16</v>
      </c>
      <c r="G132">
        <f>IF(Vu_khi!$S$132&gt;0,(Vu_khi!$S$132-1)*Vu_khi!$R$132+Vu_khi!$T$132,Vu_khi!$R$132+(Vu_khi!$P$132-1)*Vu_khi!$Q$132)</f>
        <v/>
      </c>
      <c r="H132" t="n">
        <v>9.771000000000001</v>
      </c>
      <c r="I132">
        <f>Vu_khi!$W$132*MAX(1,$E$132)</f>
        <v/>
      </c>
      <c r="J132" t="n">
        <v>512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52.39995906253198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1.6</v>
      </c>
      <c r="AA132">
        <f>AND(Vu_khi!$K$132="Kinetic",NOT(Vu_khi!$AG$132))</f>
        <v/>
      </c>
      <c r="AB132" t="b">
        <v>0</v>
      </c>
      <c r="AC132">
        <f>IF(Vu_khi!$AG$132,INDEX(Bang_danh_noc!$C$2:$C$8,MIN(7,MAX(1,2-(Vu_khi!$L$132-0)+1))),INDEX(Bang_xuyen_giap!$C$2:$C$8,MIN(7,MAX(1,IF($O$132,MAX(1,2-(Vu_khi!$L$132-0)),2-(Vu_khi!$L$132-0))+1))))*IF($AA$132,INDEX(Bang_xuyen_qua!$C$2:$C$5,MIN(4,MAX(1,(Vu_khi!$L$132)-(0)-1))),1)</f>
        <v/>
      </c>
      <c r="AD132" t="n">
        <v>1.2</v>
      </c>
      <c r="AE132">
        <f>IF(Vu_khi!$AG$132,INDEX(Bang_danh_noc!$C$2:$C$8,MIN(7,MAX(1,2-(Vu_khi!$L$132-2)+1))),INDEX(Bang_xuyen_giap!$C$2:$C$8,MIN(7,MAX(1,IF($O$132,MAX(1,2-(Vu_khi!$L$132-2)),2-(Vu_khi!$L$132-2))+1))))*IF($AA$132,INDEX(Bang_xuyen_qua!$C$2:$C$5,MIN(4,MAX(1,(Vu_khi!$L$132)-(2)-1))),1)</f>
        <v/>
      </c>
      <c r="AF132" t="n">
        <v>0.85</v>
      </c>
      <c r="AG132">
        <f>IF(Vu_khi!$AG$132,INDEX(Bang_danh_noc!$C$2:$C$8,MIN(7,MAX(1,2-(Vu_khi!$L$132-4)+1))),INDEX(Bang_xuyen_giap!$C$2:$C$8,MIN(7,MAX(1,IF($O$132,MAX(1,2-(Vu_khi!$L$132-4)),2-(Vu_khi!$L$132-4))+1))))*IF($AA$132,INDEX(Bang_xuyen_qua!$C$2:$C$5,MIN(4,MAX(1,(Vu_khi!$L$132)-(4)-1))),1)</f>
        <v/>
      </c>
      <c r="AH132" t="n">
        <v>0.4</v>
      </c>
      <c r="AI132">
        <f>INDEX(Bang_xuyen_giap!$C$2:$C$8,MIN(7,MAX(1,MAX(1,2-(Vu_khi!$L$132-0))+1)))*IF($AA$132,INDEX(Bang_xuyen_qua!$C$2:$C$5,MIN(4,MAX(1,(Vu_khi!$L$132)-(0)-1))),1)</f>
        <v/>
      </c>
      <c r="AJ132" t="n">
        <v>1</v>
      </c>
      <c r="AK132">
        <f>IF($Q$132,$M$132*$AC$132*$U$132,0)</f>
        <v/>
      </c>
      <c r="AL132" t="n">
        <v>62.87995087503837</v>
      </c>
      <c r="AM132">
        <f>IF($Q$132,$M$132*$AE$132*$U$132,0)</f>
        <v/>
      </c>
      <c r="AN132" t="n">
        <v>44.53996520315218</v>
      </c>
      <c r="AO132">
        <f>IF($Q$132,$M$132*$AG$132*$U$132,0)</f>
        <v/>
      </c>
      <c r="AP132" t="n">
        <v>20.95998362501279</v>
      </c>
      <c r="AQ132">
        <f>IF($Q$132,$M$132*$AE$132*$Y$132,0)</f>
        <v/>
      </c>
      <c r="AR132" t="n">
        <v>71.2639443250435</v>
      </c>
      <c r="AS132">
        <f>IF($S$132,$M$132*$AI$132*$W$132,0)</f>
        <v/>
      </c>
      <c r="AT132" t="n">
        <v>0</v>
      </c>
      <c r="AU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V132" t="b">
        <v>0</v>
      </c>
      <c r="AW132">
        <f>IF(AND($B$132&lt;0,$AU$132),4,$B$132)</f>
        <v/>
      </c>
      <c r="AX132" t="n">
        <v>2</v>
      </c>
      <c r="AY132">
        <f>IF($AW$132&lt;4,0,MIN(MAX(0.5,Canh_bao_vong!$D$4),MAX(IF(Vu_khi!$C$132="cal_406",Canh_bao_vong!$D$7,IF($AW$132&gt;=5,Canh_bao_vong!$D$9,Canh_bao_vong!$D$8)),Canh_bao_vong!$D$2+MAX(0,Vu_khi!$X$132)/MAX(0.1,Canh_bao_vong!$D$5))))</f>
        <v/>
      </c>
      <c r="AZ132" t="n">
        <v>0</v>
      </c>
      <c r="BA132" t="n">
        <v>1.5</v>
      </c>
      <c r="BB132" t="inlineStr">
        <is>
          <t>ok</t>
        </is>
      </c>
      <c r="BC132" t="b">
        <v>1</v>
      </c>
      <c r="BD132" t="n">
        <v>95</v>
      </c>
      <c r="BE132" t="n">
        <v>123.5</v>
      </c>
      <c r="BF132" t="n">
        <v>0.089</v>
      </c>
      <c r="BG132" t="n">
        <v>0.179</v>
      </c>
      <c r="BH132" t="n">
        <v>0.358</v>
      </c>
      <c r="BI132" t="n">
        <v>0.275</v>
      </c>
      <c r="BJ132" t="inlineStr">
        <is>
          <t>AIRCRAFT_ROCKET</t>
        </is>
      </c>
      <c r="BK132" t="inlineStr">
        <is>
          <t>ok</t>
        </is>
      </c>
      <c r="BL132" t="inlineStr">
        <is>
          <t>family s_8_80_mm</t>
        </is>
      </c>
      <c r="BM132" t="n">
        <v>9.5</v>
      </c>
      <c r="BN132" t="inlineStr">
        <is>
          <t>Assets/MachineBrigade/Resources/Data/balance.json: weapons[id=gunship_rockets] (lớp B trên 01_chien_dau/Vu_khi)</t>
        </is>
      </c>
      <c r="BO132" t="inlineStr"/>
    </row>
    <row r="133">
      <c r="A133" t="inlineStr">
        <is>
          <t>hel_beam</t>
        </is>
      </c>
      <c r="B133" t="n">
        <v>1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1</v>
      </c>
      <c r="G133">
        <f>IF(Vu_khi!$S$133&gt;0,(Vu_khi!$S$133-1)*Vu_khi!$R$133+Vu_khi!$T$133,Vu_khi!$R$133+(Vu_khi!$P$133-1)*Vu_khi!$Q$133)</f>
        <v/>
      </c>
      <c r="H133" t="n">
        <v>0.0525</v>
      </c>
      <c r="I133">
        <f>Vu_khi!$W$133*MAX(1,$E$133)</f>
        <v/>
      </c>
      <c r="J133" t="n">
        <v>10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190.4761904761905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0</v>
      </c>
      <c r="S133">
        <f>AND(NOT(Vu_khi!$AJ$133),OR(Vu_khi!$AC$133="Air",Vu_khi!$AC$133="All"))</f>
        <v/>
      </c>
      <c r="T133" t="b">
        <v>1</v>
      </c>
      <c r="U133">
        <f>INDEX(Bang_sat_thuong!$B$2:$B$7,MATCH(Vu_khi!$K$133,Bang_sat_thuong!$A$2:$A$7,0))</f>
        <v/>
      </c>
      <c r="V133" t="n">
        <v>0.9</v>
      </c>
      <c r="W133">
        <f>INDEX(Bang_sat_thuong!$C$2:$C$7,MATCH(Vu_khi!$K$133,Bang_sat_thuong!$A$2:$A$7,0))</f>
        <v/>
      </c>
      <c r="X133" t="n">
        <v>1.5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0.4</v>
      </c>
      <c r="AA133">
        <f>AND(Vu_khi!$K$133="Kinetic",NOT(Vu_khi!$AG$133))</f>
        <v/>
      </c>
      <c r="AB133" t="b">
        <v>0</v>
      </c>
      <c r="AC133">
        <f>IF(Vu_khi!$AG$133,INDEX(Bang_danh_noc!$C$2:$C$8,MIN(7,MAX(1,2-(Vu_khi!$L$133-0)+1))),INDEX(Bang_xuyen_giap!$C$2:$C$8,MIN(7,MAX(1,IF($O$133,MAX(1,2-(Vu_khi!$L$133-0)),2-(Vu_khi!$L$133-0))+1))))*IF($AA$133,INDEX(Bang_xuyen_qua!$C$2:$C$5,MIN(4,MAX(1,(Vu_khi!$L$133)-(0)-1))),1)</f>
        <v/>
      </c>
      <c r="AD133" t="n">
        <v>1.2</v>
      </c>
      <c r="AE133">
        <f>IF(Vu_khi!$AG$133,INDEX(Bang_danh_noc!$C$2:$C$8,MIN(7,MAX(1,2-(Vu_khi!$L$133-2)+1))),INDEX(Bang_xuyen_giap!$C$2:$C$8,MIN(7,MAX(1,IF($O$133,MAX(1,2-(Vu_khi!$L$133-2)),2-(Vu_khi!$L$133-2))+1))))*IF($AA$133,INDEX(Bang_xuyen_qua!$C$2:$C$5,MIN(4,MAX(1,(Vu_khi!$L$133)-(2)-1))),1)</f>
        <v/>
      </c>
      <c r="AF133" t="n">
        <v>0.85</v>
      </c>
      <c r="AG133">
        <f>IF(Vu_khi!$AG$133,INDEX(Bang_danh_noc!$C$2:$C$8,MIN(7,MAX(1,2-(Vu_khi!$L$133-4)+1))),INDEX(Bang_xuyen_giap!$C$2:$C$8,MIN(7,MAX(1,IF($O$133,MAX(1,2-(Vu_khi!$L$133-4)),2-(Vu_khi!$L$133-4))+1))))*IF($AA$133,INDEX(Bang_xuyen_qua!$C$2:$C$5,MIN(4,MAX(1,(Vu_khi!$L$133)-(4)-1))),1)</f>
        <v/>
      </c>
      <c r="AH133" t="n">
        <v>0.4</v>
      </c>
      <c r="AI133">
        <f>INDEX(Bang_xuyen_giap!$C$2:$C$8,MIN(7,MAX(1,MAX(1,2-(Vu_khi!$L$133-0))+1)))*IF($AA$133,INDEX(Bang_xuyen_qua!$C$2:$C$5,MIN(4,MAX(1,(Vu_khi!$L$133)-(0)-1))),1)</f>
        <v/>
      </c>
      <c r="AJ133" t="n">
        <v>1</v>
      </c>
      <c r="AK133">
        <f>IF($Q$133,$M$133*$AC$133*$U$133,0)</f>
        <v/>
      </c>
      <c r="AL133" t="n">
        <v>0</v>
      </c>
      <c r="AM133">
        <f>IF($Q$133,$M$133*$AE$133*$U$133,0)</f>
        <v/>
      </c>
      <c r="AN133" t="n">
        <v>0</v>
      </c>
      <c r="AO133">
        <f>IF($Q$133,$M$133*$AG$133*$U$133,0)</f>
        <v/>
      </c>
      <c r="AP133" t="n">
        <v>0</v>
      </c>
      <c r="AQ133">
        <f>IF($Q$133,$M$133*$AE$133*$Y$133,0)</f>
        <v/>
      </c>
      <c r="AR133" t="n">
        <v>0</v>
      </c>
      <c r="AS133">
        <f>IF($S$133,$M$133*$AI$133*$W$133,0)</f>
        <v/>
      </c>
      <c r="AT133" t="n">
        <v>285.7142857142857</v>
      </c>
      <c r="AU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V133" t="b">
        <v>0</v>
      </c>
      <c r="AW133">
        <f>IF(AND($B$133&lt;0,$AU$133),4,$B$133)</f>
        <v/>
      </c>
      <c r="AX133" t="n">
        <v>1</v>
      </c>
      <c r="AY133">
        <f>IF($AW$133&lt;4,0,MIN(MAX(0.5,Canh_bao_vong!$D$4),MAX(IF(Vu_khi!$C$133="cal_406",Canh_bao_vong!$D$7,IF($AW$133&gt;=5,Canh_bao_vong!$D$9,Canh_bao_vong!$D$8)),Canh_bao_vong!$D$2+MAX(0,Vu_khi!$X$133)/MAX(0.1,Canh_bao_vong!$D$5))))</f>
        <v/>
      </c>
      <c r="AZ133" t="n">
        <v>0</v>
      </c>
      <c r="BA133" t="inlineStr"/>
      <c r="BB133" t="inlineStr">
        <is>
          <t>ok</t>
        </is>
      </c>
      <c r="BC133" t="inlineStr"/>
      <c r="BD133" t="n">
        <v>3000</v>
      </c>
      <c r="BE133" t="n">
        <v>3900</v>
      </c>
      <c r="BF133" t="n">
        <v>0.004</v>
      </c>
      <c r="BG133" t="n">
        <v>0.007</v>
      </c>
      <c r="BH133" t="n">
        <v>0.015</v>
      </c>
      <c r="BI133" t="n">
        <v>0.012</v>
      </c>
      <c r="BJ133" t="inlineStr">
        <is>
          <t>BEAM_OR_MELEE</t>
        </is>
      </c>
      <c r="BK133" t="inlineStr">
        <is>
          <t>ok</t>
        </is>
      </c>
      <c r="BL133" t="inlineStr">
        <is>
          <t>own line</t>
        </is>
      </c>
      <c r="BM133" t="inlineStr"/>
      <c r="BN133" t="inlineStr">
        <is>
          <t>Assets/MachineBrigade/Resources/Data/balance.json: weapons[id=hel_beam] (lớp B trên 01_chien_dau/Vu_khi)</t>
        </is>
      </c>
      <c r="BO133" t="inlineStr"/>
    </row>
    <row r="134">
      <c r="A134" t="inlineStr">
        <is>
          <t>heli_gun</t>
        </is>
      </c>
      <c r="B134" t="n">
        <v>1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40</v>
      </c>
      <c r="G134">
        <f>IF(Vu_khi!$S$134&gt;0,(Vu_khi!$S$134-1)*Vu_khi!$R$134+Vu_khi!$T$134,Vu_khi!$R$134+(Vu_khi!$P$134-1)*Vu_khi!$Q$134)</f>
        <v/>
      </c>
      <c r="H134" t="n">
        <v>9.667999999999999</v>
      </c>
      <c r="I134">
        <f>Vu_khi!$W$134*MAX(1,$E$134)</f>
        <v/>
      </c>
      <c r="J134" t="n">
        <v>880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91.02192800992967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1</v>
      </c>
      <c r="S134">
        <f>AND(NOT(Vu_khi!$AJ$134),OR(Vu_khi!$AC$134="Air",Vu_khi!$AC$134="All"))</f>
        <v/>
      </c>
      <c r="T134" t="b">
        <v>1</v>
      </c>
      <c r="U134">
        <f>INDEX(Bang_sat_thuong!$B$2:$B$7,MATCH(Vu_khi!$K$134,Bang_sat_thuong!$A$2:$A$7,0))</f>
        <v/>
      </c>
      <c r="V134" t="n">
        <v>1.2</v>
      </c>
      <c r="W134">
        <f>INDEX(Bang_sat_thuong!$C$2:$C$7,MATCH(Vu_khi!$K$134,Bang_sat_thuong!$A$2:$A$7,0))</f>
        <v/>
      </c>
      <c r="X134" t="n">
        <v>0.3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0.7</v>
      </c>
      <c r="AA134">
        <f>AND(Vu_khi!$K$134="Kinetic",NOT(Vu_khi!$AG$134))</f>
        <v/>
      </c>
      <c r="AB134" t="b">
        <v>1</v>
      </c>
      <c r="AC134">
        <f>IF(Vu_khi!$AG$134,INDEX(Bang_danh_noc!$C$2:$C$8,MIN(7,MAX(1,2-(Vu_khi!$L$134-0)+1))),INDEX(Bang_xuyen_giap!$C$2:$C$8,MIN(7,MAX(1,IF($O$134,MAX(1,2-(Vu_khi!$L$134-0)),2-(Vu_khi!$L$134-0))+1))))*IF($AA$134,INDEX(Bang_xuyen_qua!$C$2:$C$5,MIN(4,MAX(1,(Vu_khi!$L$134)-(0)-1))),1)</f>
        <v/>
      </c>
      <c r="AD134" t="n">
        <v>1.2</v>
      </c>
      <c r="AE134">
        <f>IF(Vu_khi!$AG$134,INDEX(Bang_danh_noc!$C$2:$C$8,MIN(7,MAX(1,2-(Vu_khi!$L$134-2)+1))),INDEX(Bang_xuyen_giap!$C$2:$C$8,MIN(7,MAX(1,IF($O$134,MAX(1,2-(Vu_khi!$L$134-2)),2-(Vu_khi!$L$134-2))+1))))*IF($AA$134,INDEX(Bang_xuyen_qua!$C$2:$C$5,MIN(4,MAX(1,(Vu_khi!$L$134)-(2)-1))),1)</f>
        <v/>
      </c>
      <c r="AF134" t="n">
        <v>0.85</v>
      </c>
      <c r="AG134">
        <f>IF(Vu_khi!$AG$134,INDEX(Bang_danh_noc!$C$2:$C$8,MIN(7,MAX(1,2-(Vu_khi!$L$134-4)+1))),INDEX(Bang_xuyen_giap!$C$2:$C$8,MIN(7,MAX(1,IF($O$134,MAX(1,2-(Vu_khi!$L$134-4)),2-(Vu_khi!$L$134-4))+1))))*IF($AA$134,INDEX(Bang_xuyen_qua!$C$2:$C$5,MIN(4,MAX(1,(Vu_khi!$L$134)-(4)-1))),1)</f>
        <v/>
      </c>
      <c r="AH134" t="n">
        <v>0.4</v>
      </c>
      <c r="AI134">
        <f>INDEX(Bang_xuyen_giap!$C$2:$C$8,MIN(7,MAX(1,MAX(1,2-(Vu_khi!$L$134-0))+1)))*IF($AA$134,INDEX(Bang_xuyen_qua!$C$2:$C$5,MIN(4,MAX(1,(Vu_khi!$L$134)-(0)-1))),1)</f>
        <v/>
      </c>
      <c r="AJ134" t="n">
        <v>1</v>
      </c>
      <c r="AK134">
        <f>IF($Q$134,$M$134*$AC$134*$U$134,0)</f>
        <v/>
      </c>
      <c r="AL134" t="n">
        <v>131.0715763342987</v>
      </c>
      <c r="AM134">
        <f>IF($Q$134,$M$134*$AE$134*$U$134,0)</f>
        <v/>
      </c>
      <c r="AN134" t="n">
        <v>92.84236657012826</v>
      </c>
      <c r="AO134">
        <f>IF($Q$134,$M$134*$AG$134*$U$134,0)</f>
        <v/>
      </c>
      <c r="AP134" t="n">
        <v>43.69052544476624</v>
      </c>
      <c r="AQ134">
        <f>IF($Q$134,$M$134*$AE$134*$Y$134,0)</f>
        <v/>
      </c>
      <c r="AR134" t="n">
        <v>54.15804716590815</v>
      </c>
      <c r="AS134">
        <f>IF($S$134,$M$134*$AI$134*$W$134,0)</f>
        <v/>
      </c>
      <c r="AT134" t="n">
        <v>27.3065784029789</v>
      </c>
      <c r="AU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V134" t="b">
        <v>0</v>
      </c>
      <c r="AW134">
        <f>IF(AND($B$134&lt;0,$AU$134),4,$B$134)</f>
        <v/>
      </c>
      <c r="AX134" t="n">
        <v>1</v>
      </c>
      <c r="AY134">
        <f>IF($AW$134&lt;4,0,MIN(MAX(0.5,Canh_bao_vong!$D$4),MAX(IF(Vu_khi!$C$134="cal_406",Canh_bao_vong!$D$7,IF($AW$134&gt;=5,Canh_bao_vong!$D$9,Canh_bao_vong!$D$8)),Canh_bao_vong!$D$2+MAX(0,Vu_khi!$X$134)/MAX(0.1,Canh_bao_vong!$D$5))))</f>
        <v/>
      </c>
      <c r="AZ134" t="n">
        <v>0</v>
      </c>
      <c r="BA134" t="n">
        <v>2.517708</v>
      </c>
      <c r="BB134" t="inlineStr">
        <is>
          <t>ok</t>
        </is>
      </c>
      <c r="BC134" t="inlineStr"/>
      <c r="BD134" t="n">
        <v>220</v>
      </c>
      <c r="BE134" t="n">
        <v>286</v>
      </c>
      <c r="BF134" t="n">
        <v>0.03</v>
      </c>
      <c r="BG134" t="n">
        <v>0.059</v>
      </c>
      <c r="BH134" t="n">
        <v>0.118</v>
      </c>
      <c r="BI134" t="n">
        <v>0.091</v>
      </c>
      <c r="BJ134" t="inlineStr">
        <is>
          <t>DIRECT_BULLET</t>
        </is>
      </c>
      <c r="BK134" t="inlineStr">
        <is>
          <t>ok</t>
        </is>
      </c>
      <c r="BL134" t="inlineStr">
        <is>
          <t>family m230_30_mm</t>
        </is>
      </c>
      <c r="BM134" t="inlineStr"/>
      <c r="BN134" t="inlineStr">
        <is>
          <t>Assets/MachineBrigade/Resources/Data/balance.json: weapons[id=heli_gun] (lớp B trên 01_chien_dau/Vu_khi)</t>
        </is>
      </c>
      <c r="BO134" t="inlineStr"/>
    </row>
    <row r="135">
      <c r="A135" t="inlineStr">
        <is>
          <t>heli_gun_flak</t>
        </is>
      </c>
      <c r="B135" t="n">
        <v>1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40</v>
      </c>
      <c r="G135">
        <f>IF(Vu_khi!$S$135&gt;0,(Vu_khi!$S$135-1)*Vu_khi!$R$135+Vu_khi!$T$135,Vu_khi!$R$135+(Vu_khi!$P$135-1)*Vu_khi!$Q$135)</f>
        <v/>
      </c>
      <c r="H135" t="n">
        <v>9.667999999999999</v>
      </c>
      <c r="I135">
        <f>Vu_khi!$W$135*MAX(1,$E$135)</f>
        <v/>
      </c>
      <c r="J135" t="n">
        <v>880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91.02192800992967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0</v>
      </c>
      <c r="S135">
        <f>AND(NOT(Vu_khi!$AJ$135),OR(Vu_khi!$AC$135="Air",Vu_khi!$AC$135="All"))</f>
        <v/>
      </c>
      <c r="T135" t="b">
        <v>1</v>
      </c>
      <c r="U135">
        <f>INDEX(Bang_sat_thuong!$B$2:$B$7,MATCH(Vu_khi!$K$135,Bang_sat_thuong!$A$2:$A$7,0))</f>
        <v/>
      </c>
      <c r="V135" t="n">
        <v>0.45</v>
      </c>
      <c r="W135">
        <f>INDEX(Bang_sat_thuong!$C$2:$C$7,MATCH(Vu_khi!$K$135,Bang_sat_thuong!$A$2:$A$7,0))</f>
        <v/>
      </c>
      <c r="X135" t="n">
        <v>1.35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0.1</v>
      </c>
      <c r="AA135">
        <f>AND(Vu_khi!$K$135="Kinetic",NOT(Vu_khi!$AG$135))</f>
        <v/>
      </c>
      <c r="AB135" t="b">
        <v>0</v>
      </c>
      <c r="AC135">
        <f>IF(Vu_khi!$AG$135,INDEX(Bang_danh_noc!$C$2:$C$8,MIN(7,MAX(1,2-(Vu_khi!$L$135-0)+1))),INDEX(Bang_xuyen_giap!$C$2:$C$8,MIN(7,MAX(1,IF($O$135,MAX(1,2-(Vu_khi!$L$135-0)),2-(Vu_khi!$L$135-0))+1))))*IF($AA$135,INDEX(Bang_xuyen_qua!$C$2:$C$5,MIN(4,MAX(1,(Vu_khi!$L$135)-(0)-1))),1)</f>
        <v/>
      </c>
      <c r="AD135" t="n">
        <v>1.2</v>
      </c>
      <c r="AE135">
        <f>IF(Vu_khi!$AG$135,INDEX(Bang_danh_noc!$C$2:$C$8,MIN(7,MAX(1,2-(Vu_khi!$L$135-2)+1))),INDEX(Bang_xuyen_giap!$C$2:$C$8,MIN(7,MAX(1,IF($O$135,MAX(1,2-(Vu_khi!$L$135-2)),2-(Vu_khi!$L$135-2))+1))))*IF($AA$135,INDEX(Bang_xuyen_qua!$C$2:$C$5,MIN(4,MAX(1,(Vu_khi!$L$135)-(2)-1))),1)</f>
        <v/>
      </c>
      <c r="AF135" t="n">
        <v>0.85</v>
      </c>
      <c r="AG135">
        <f>IF(Vu_khi!$AG$135,INDEX(Bang_danh_noc!$C$2:$C$8,MIN(7,MAX(1,2-(Vu_khi!$L$135-4)+1))),INDEX(Bang_xuyen_giap!$C$2:$C$8,MIN(7,MAX(1,IF($O$135,MAX(1,2-(Vu_khi!$L$135-4)),2-(Vu_khi!$L$135-4))+1))))*IF($AA$135,INDEX(Bang_xuyen_qua!$C$2:$C$5,MIN(4,MAX(1,(Vu_khi!$L$135)-(4)-1))),1)</f>
        <v/>
      </c>
      <c r="AH135" t="n">
        <v>0.4</v>
      </c>
      <c r="AI135">
        <f>INDEX(Bang_xuyen_giap!$C$2:$C$8,MIN(7,MAX(1,MAX(1,2-(Vu_khi!$L$135-0))+1)))*IF($AA$135,INDEX(Bang_xuyen_qua!$C$2:$C$5,MIN(4,MAX(1,(Vu_khi!$L$135)-(0)-1))),1)</f>
        <v/>
      </c>
      <c r="AJ135" t="n">
        <v>1</v>
      </c>
      <c r="AK135">
        <f>IF($Q$135,$M$135*$AC$135*$U$135,0)</f>
        <v/>
      </c>
      <c r="AL135" t="n">
        <v>0</v>
      </c>
      <c r="AM135">
        <f>IF($Q$135,$M$135*$AE$135*$U$135,0)</f>
        <v/>
      </c>
      <c r="AN135" t="n">
        <v>0</v>
      </c>
      <c r="AO135">
        <f>IF($Q$135,$M$135*$AG$135*$U$135,0)</f>
        <v/>
      </c>
      <c r="AP135" t="n">
        <v>0</v>
      </c>
      <c r="AQ135">
        <f>IF($Q$135,$M$135*$AE$135*$Y$135,0)</f>
        <v/>
      </c>
      <c r="AR135" t="n">
        <v>0</v>
      </c>
      <c r="AS135">
        <f>IF($S$135,$M$135*$AI$135*$W$135,0)</f>
        <v/>
      </c>
      <c r="AT135" t="n">
        <v>122.8796028134051</v>
      </c>
      <c r="AU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V135" t="b">
        <v>0</v>
      </c>
      <c r="AW135">
        <f>IF(AND($B$135&lt;0,$AU$135),4,$B$135)</f>
        <v/>
      </c>
      <c r="AX135" t="n">
        <v>1</v>
      </c>
      <c r="AY135">
        <f>IF($AW$135&lt;4,0,MIN(MAX(0.5,Canh_bao_vong!$D$4),MAX(IF(Vu_khi!$C$135="cal_406",Canh_bao_vong!$D$7,IF($AW$135&gt;=5,Canh_bao_vong!$D$9,Canh_bao_vong!$D$8)),Canh_bao_vong!$D$2+MAX(0,Vu_khi!$X$135)/MAX(0.1,Canh_bao_vong!$D$5))))</f>
        <v/>
      </c>
      <c r="AZ135" t="n">
        <v>0</v>
      </c>
      <c r="BD135" t="n">
        <v>220</v>
      </c>
      <c r="BE135" t="n">
        <v>286</v>
      </c>
      <c r="BF135" t="n">
        <v>0.03</v>
      </c>
      <c r="BG135" t="n">
        <v>0.059</v>
      </c>
      <c r="BH135" t="n">
        <v>0.118</v>
      </c>
      <c r="BI135" t="n">
        <v>0.091</v>
      </c>
      <c r="BJ135" t="inlineStr">
        <is>
          <t>DIRECT_BULLET</t>
        </is>
      </c>
      <c r="BK135" t="inlineStr">
        <is>
          <t>ok</t>
        </is>
      </c>
      <c r="BL135" t="inlineStr">
        <is>
          <t>family m230_30_mm_air_burst</t>
        </is>
      </c>
      <c r="BM135" t="inlineStr"/>
      <c r="BN135" t="inlineStr">
        <is>
          <t>Assets/MachineBrigade/Resources/Data/balance.json: weapons[id=heli_gun_flak] (lớp B trên 01_chien_dau/Vu_khi)</t>
        </is>
      </c>
      <c r="BO135" t="inlineStr"/>
    </row>
    <row r="136">
      <c r="A136" t="inlineStr">
        <is>
          <t>heli_rockets</t>
        </is>
      </c>
      <c r="B136" t="n">
        <v>2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11</v>
      </c>
      <c r="G136">
        <f>IF(Vu_khi!$S$136&gt;0,(Vu_khi!$S$136-1)*Vu_khi!$R$136+Vu_khi!$T$136,Vu_khi!$R$136+(Vu_khi!$P$136-1)*Vu_khi!$Q$136)</f>
        <v/>
      </c>
      <c r="H136" t="n">
        <v>8.51</v>
      </c>
      <c r="I136">
        <f>Vu_khi!$W$136*MAX(1,$E$136)</f>
        <v/>
      </c>
      <c r="J136" t="n">
        <v>330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38.77790834312574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1.6</v>
      </c>
      <c r="AA136">
        <f>AND(Vu_khi!$K$136="Kinetic",NOT(Vu_khi!$AG$136))</f>
        <v/>
      </c>
      <c r="AB136" t="b">
        <v>0</v>
      </c>
      <c r="AC136">
        <f>IF(Vu_khi!$AG$136,INDEX(Bang_danh_noc!$C$2:$C$8,MIN(7,MAX(1,2-(Vu_khi!$L$136-0)+1))),INDEX(Bang_xuyen_giap!$C$2:$C$8,MIN(7,MAX(1,IF($O$136,MAX(1,2-(Vu_khi!$L$136-0)),2-(Vu_khi!$L$136-0))+1))))*IF($AA$136,INDEX(Bang_xuyen_qua!$C$2:$C$5,MIN(4,MAX(1,(Vu_khi!$L$136)-(0)-1))),1)</f>
        <v/>
      </c>
      <c r="AD136" t="n">
        <v>1.2</v>
      </c>
      <c r="AE136">
        <f>IF(Vu_khi!$AG$136,INDEX(Bang_danh_noc!$C$2:$C$8,MIN(7,MAX(1,2-(Vu_khi!$L$136-2)+1))),INDEX(Bang_xuyen_giap!$C$2:$C$8,MIN(7,MAX(1,IF($O$136,MAX(1,2-(Vu_khi!$L$136-2)),2-(Vu_khi!$L$136-2))+1))))*IF($AA$136,INDEX(Bang_xuyen_qua!$C$2:$C$5,MIN(4,MAX(1,(Vu_khi!$L$136)-(2)-1))),1)</f>
        <v/>
      </c>
      <c r="AF136" t="n">
        <v>0.85</v>
      </c>
      <c r="AG136">
        <f>IF(Vu_khi!$AG$136,INDEX(Bang_danh_noc!$C$2:$C$8,MIN(7,MAX(1,2-(Vu_khi!$L$136-4)+1))),INDEX(Bang_xuyen_giap!$C$2:$C$8,MIN(7,MAX(1,IF($O$136,MAX(1,2-(Vu_khi!$L$136-4)),2-(Vu_khi!$L$136-4))+1))))*IF($AA$136,INDEX(Bang_xuyen_qua!$C$2:$C$5,MIN(4,MAX(1,(Vu_khi!$L$136)-(4)-1))),1)</f>
        <v/>
      </c>
      <c r="AH136" t="n">
        <v>0.4</v>
      </c>
      <c r="AI136">
        <f>INDEX(Bang_xuyen_giap!$C$2:$C$8,MIN(7,MAX(1,MAX(1,2-(Vu_khi!$L$136-0))+1)))*IF($AA$136,INDEX(Bang_xuyen_qua!$C$2:$C$5,MIN(4,MAX(1,(Vu_khi!$L$136)-(0)-1))),1)</f>
        <v/>
      </c>
      <c r="AJ136" t="n">
        <v>1</v>
      </c>
      <c r="AK136">
        <f>IF($Q$136,$M$136*$AC$136*$U$136,0)</f>
        <v/>
      </c>
      <c r="AL136" t="n">
        <v>46.53349001175089</v>
      </c>
      <c r="AM136">
        <f>IF($Q$136,$M$136*$AE$136*$U$136,0)</f>
        <v/>
      </c>
      <c r="AN136" t="n">
        <v>32.96122209165688</v>
      </c>
      <c r="AO136">
        <f>IF($Q$136,$M$136*$AG$136*$U$136,0)</f>
        <v/>
      </c>
      <c r="AP136" t="n">
        <v>15.5111633372503</v>
      </c>
      <c r="AQ136">
        <f>IF($Q$136,$M$136*$AE$136*$Y$136,0)</f>
        <v/>
      </c>
      <c r="AR136" t="n">
        <v>52.73795534665101</v>
      </c>
      <c r="AS136">
        <f>IF($S$136,$M$136*$AI$136*$W$136,0)</f>
        <v/>
      </c>
      <c r="AT136" t="n">
        <v>0</v>
      </c>
      <c r="AU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V136" t="b">
        <v>0</v>
      </c>
      <c r="AW136">
        <f>IF(AND($B$136&lt;0,$AU$136),4,$B$136)</f>
        <v/>
      </c>
      <c r="AX136" t="n">
        <v>2</v>
      </c>
      <c r="AY136">
        <f>IF($AW$136&lt;4,0,MIN(MAX(0.5,Canh_bao_vong!$D$4),MAX(IF(Vu_khi!$C$136="cal_406",Canh_bao_vong!$D$7,IF($AW$136&gt;=5,Canh_bao_vong!$D$9,Canh_bao_vong!$D$8)),Canh_bao_vong!$D$2+MAX(0,Vu_khi!$X$136)/MAX(0.1,Canh_bao_vong!$D$5))))</f>
        <v/>
      </c>
      <c r="AZ136" t="n">
        <v>0</v>
      </c>
      <c r="BA136" t="n">
        <v>1.8</v>
      </c>
      <c r="BB136" t="inlineStr">
        <is>
          <t>ok</t>
        </is>
      </c>
      <c r="BC136" t="inlineStr"/>
      <c r="BD136" t="n">
        <v>95</v>
      </c>
      <c r="BE136" t="n">
        <v>123.5</v>
      </c>
      <c r="BF136" t="n">
        <v>0.079</v>
      </c>
      <c r="BG136" t="n">
        <v>0.158</v>
      </c>
      <c r="BH136" t="n">
        <v>0.316</v>
      </c>
      <c r="BI136" t="n">
        <v>0.243</v>
      </c>
      <c r="BJ136" t="inlineStr">
        <is>
          <t>AIRCRAFT_ROCKET</t>
        </is>
      </c>
      <c r="BK136" t="inlineStr">
        <is>
          <t>ok</t>
        </is>
      </c>
      <c r="BL136" t="inlineStr">
        <is>
          <t>family hydra_70_mm</t>
        </is>
      </c>
      <c r="BM136" t="n">
        <v>11.4</v>
      </c>
      <c r="BN136" t="inlineStr">
        <is>
          <t>Assets/MachineBrigade/Resources/Data/balance.json: weapons[id=heli_rockets] (lớp B trên 01_chien_dau/Vu_khi)</t>
        </is>
      </c>
      <c r="BO136" t="inlineStr"/>
    </row>
    <row r="137">
      <c r="A137" t="inlineStr">
        <is>
          <t>hellfire_standoff</t>
        </is>
      </c>
      <c r="B137" t="n">
        <v>2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2</v>
      </c>
      <c r="G137">
        <f>IF(Vu_khi!$S$137&gt;0,(Vu_khi!$S$137-1)*Vu_khi!$R$137+Vu_khi!$T$137,Vu_khi!$R$137+(Vu_khi!$P$137-1)*Vu_khi!$Q$137)</f>
        <v/>
      </c>
      <c r="H137" t="n">
        <v>8</v>
      </c>
      <c r="I137">
        <f>Vu_khi!$W$137*MAX(1,$E$137)</f>
        <v/>
      </c>
      <c r="J137" t="n">
        <v>520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65</v>
      </c>
      <c r="O137">
        <f>OR(Vu_khi!$AG$137,Vu_khi!$AB$137&gt;0,Vu_khi!$AH$137,Vu_khi!$M$137="Bomb",Vu_khi!$M$137="Drone")</f>
        <v/>
      </c>
      <c r="P137" t="b">
        <v>1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1.3</v>
      </c>
      <c r="W137">
        <f>INDEX(Bang_sat_thuong!$C$2:$C$7,MATCH(Vu_khi!$K$137,Bang_sat_thuong!$A$2:$A$7,0))</f>
        <v/>
      </c>
      <c r="X137" t="n">
        <v>0.2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0.45</v>
      </c>
      <c r="AA137">
        <f>AND(Vu_khi!$K$137="Kinetic",NOT(Vu_khi!$AG$137))</f>
        <v/>
      </c>
      <c r="AB137" t="b">
        <v>0</v>
      </c>
      <c r="AC137">
        <f>IF(Vu_khi!$AG$137,INDEX(Bang_danh_noc!$C$2:$C$8,MIN(7,MAX(1,2-(Vu_khi!$L$137-0)+1))),INDEX(Bang_xuyen_giap!$C$2:$C$8,MIN(7,MAX(1,IF($O$137,MAX(1,2-(Vu_khi!$L$137-0)),2-(Vu_khi!$L$137-0))+1))))*IF($AA$137,INDEX(Bang_xuyen_qua!$C$2:$C$5,MIN(4,MAX(1,(Vu_khi!$L$137)-(0)-1))),1)</f>
        <v/>
      </c>
      <c r="AD137" t="n">
        <v>1.15</v>
      </c>
      <c r="AE137">
        <f>IF(Vu_khi!$AG$137,INDEX(Bang_danh_noc!$C$2:$C$8,MIN(7,MAX(1,2-(Vu_khi!$L$137-2)+1))),INDEX(Bang_xuyen_giap!$C$2:$C$8,MIN(7,MAX(1,IF($O$137,MAX(1,2-(Vu_khi!$L$137-2)),2-(Vu_khi!$L$137-2))+1))))*IF($AA$137,INDEX(Bang_xuyen_qua!$C$2:$C$5,MIN(4,MAX(1,(Vu_khi!$L$137)-(2)-1))),1)</f>
        <v/>
      </c>
      <c r="AF137" t="n">
        <v>1.15</v>
      </c>
      <c r="AG137">
        <f>IF(Vu_khi!$AG$137,INDEX(Bang_danh_noc!$C$2:$C$8,MIN(7,MAX(1,2-(Vu_khi!$L$137-4)+1))),INDEX(Bang_xuyen_giap!$C$2:$C$8,MIN(7,MAX(1,IF($O$137,MAX(1,2-(Vu_khi!$L$137-4)),2-(Vu_khi!$L$137-4))+1))))*IF($AA$137,INDEX(Bang_xuyen_qua!$C$2:$C$5,MIN(4,MAX(1,(Vu_khi!$L$137)-(4)-1))),1)</f>
        <v/>
      </c>
      <c r="AH137" t="n">
        <v>0.95</v>
      </c>
      <c r="AI137">
        <f>INDEX(Bang_xuyen_giap!$C$2:$C$8,MIN(7,MAX(1,MAX(1,2-(Vu_khi!$L$137-0))+1)))*IF($AA$137,INDEX(Bang_xuyen_qua!$C$2:$C$5,MIN(4,MAX(1,(Vu_khi!$L$137)-(0)-1))),1)</f>
        <v/>
      </c>
      <c r="AJ137" t="n">
        <v>1</v>
      </c>
      <c r="AK137">
        <f>IF($Q$137,$M$137*$AC$137*$U$137,0)</f>
        <v/>
      </c>
      <c r="AL137" t="n">
        <v>97.175</v>
      </c>
      <c r="AM137">
        <f>IF($Q$137,$M$137*$AE$137*$U$137,0)</f>
        <v/>
      </c>
      <c r="AN137" t="n">
        <v>97.175</v>
      </c>
      <c r="AO137">
        <f>IF($Q$137,$M$137*$AG$137*$U$137,0)</f>
        <v/>
      </c>
      <c r="AP137" t="n">
        <v>80.27499999999999</v>
      </c>
      <c r="AQ137">
        <f>IF($Q$137,$M$137*$AE$137*$Y$137,0)</f>
        <v/>
      </c>
      <c r="AR137" t="n">
        <v>33.6375</v>
      </c>
      <c r="AS137">
        <f>IF($S$137,$M$137*$AI$137*$W$137,0)</f>
        <v/>
      </c>
      <c r="AT137" t="n">
        <v>0</v>
      </c>
      <c r="AU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V137" t="b">
        <v>0</v>
      </c>
      <c r="AW137">
        <f>IF(AND($B$137&lt;0,$AU$137),4,$B$137)</f>
        <v/>
      </c>
      <c r="AX137" t="n">
        <v>2</v>
      </c>
      <c r="AY137">
        <f>IF($AW$137&lt;4,0,MIN(MAX(0.5,Canh_bao_vong!$D$4),MAX(IF(Vu_khi!$C$137="cal_406",Canh_bao_vong!$D$7,IF($AW$137&gt;=5,Canh_bao_vong!$D$9,Canh_bao_vong!$D$8)),Canh_bao_vong!$D$2+MAX(0,Vu_khi!$X$137)/MAX(0.1,Canh_bao_vong!$D$5))))</f>
        <v/>
      </c>
      <c r="AZ137" t="n">
        <v>0</v>
      </c>
      <c r="BA137" t="inlineStr"/>
      <c r="BB137" t="inlineStr">
        <is>
          <t>ok</t>
        </is>
      </c>
      <c r="BC137" t="inlineStr"/>
      <c r="BD137" t="n">
        <v>80</v>
      </c>
      <c r="BE137" t="n">
        <v>104</v>
      </c>
      <c r="BF137" t="n">
        <v>0.172</v>
      </c>
      <c r="BG137" t="n">
        <v>0.344</v>
      </c>
      <c r="BH137" t="n">
        <v>0.6879999999999999</v>
      </c>
      <c r="BI137" t="n">
        <v>0.529</v>
      </c>
      <c r="BJ137" t="inlineStr">
        <is>
          <t>TACTICAL_MISSILE</t>
        </is>
      </c>
      <c r="BK137" t="inlineStr">
        <is>
          <t>ok</t>
        </is>
      </c>
      <c r="BL137" t="inlineStr">
        <is>
          <t>family agm_114_hellfire</t>
        </is>
      </c>
      <c r="BM137" t="n">
        <v>36</v>
      </c>
      <c r="BN137" t="inlineStr">
        <is>
          <t>Assets/MachineBrigade/Resources/Data/balance.json: weapons[id=hellfire_standoff] (lớp B trên 01_chien_dau/Vu_khi)</t>
        </is>
      </c>
      <c r="BO137" t="inlineStr"/>
    </row>
    <row r="138">
      <c r="A138" t="inlineStr">
        <is>
          <t>hellfire_volley</t>
        </is>
      </c>
      <c r="B138" t="n">
        <v>2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2</v>
      </c>
      <c r="G138">
        <f>IF(Vu_khi!$S$138&gt;0,(Vu_khi!$S$138-1)*Vu_khi!$R$138+Vu_khi!$T$138,Vu_khi!$R$138+(Vu_khi!$P$138-1)*Vu_khi!$Q$138)</f>
        <v/>
      </c>
      <c r="H138" t="n">
        <v>11.09</v>
      </c>
      <c r="I138">
        <f>Vu_khi!$W$138*MAX(1,$E$138)</f>
        <v/>
      </c>
      <c r="J138" t="n">
        <v>520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46.88908926961226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1.3</v>
      </c>
      <c r="W138">
        <f>INDEX(Bang_sat_thuong!$C$2:$C$7,MATCH(Vu_khi!$K$138,Bang_sat_thuong!$A$2:$A$7,0))</f>
        <v/>
      </c>
      <c r="X138" t="n">
        <v>0.2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0.45</v>
      </c>
      <c r="AA138">
        <f>AND(Vu_khi!$K$138="Kinetic",NOT(Vu_khi!$AG$138))</f>
        <v/>
      </c>
      <c r="AB138" t="b">
        <v>0</v>
      </c>
      <c r="AC138">
        <f>IF(Vu_khi!$AG$138,INDEX(Bang_danh_noc!$C$2:$C$8,MIN(7,MAX(1,2-(Vu_khi!$L$138-0)+1))),INDEX(Bang_xuyen_giap!$C$2:$C$8,MIN(7,MAX(1,IF($O$138,MAX(1,2-(Vu_khi!$L$138-0)),2-(Vu_khi!$L$138-0))+1))))*IF($AA$138,INDEX(Bang_xuyen_qua!$C$2:$C$5,MIN(4,MAX(1,(Vu_khi!$L$138)-(0)-1))),1)</f>
        <v/>
      </c>
      <c r="AD138" t="n">
        <v>1.2</v>
      </c>
      <c r="AE138">
        <f>IF(Vu_khi!$AG$138,INDEX(Bang_danh_noc!$C$2:$C$8,MIN(7,MAX(1,2-(Vu_khi!$L$138-2)+1))),INDEX(Bang_xuyen_giap!$C$2:$C$8,MIN(7,MAX(1,IF($O$138,MAX(1,2-(Vu_khi!$L$138-2)),2-(Vu_khi!$L$138-2))+1))))*IF($AA$138,INDEX(Bang_xuyen_qua!$C$2:$C$5,MIN(4,MAX(1,(Vu_khi!$L$138)-(2)-1))),1)</f>
        <v/>
      </c>
      <c r="AF138" t="n">
        <v>1.2</v>
      </c>
      <c r="AG138">
        <f>IF(Vu_khi!$AG$138,INDEX(Bang_danh_noc!$C$2:$C$8,MIN(7,MAX(1,2-(Vu_khi!$L$138-4)+1))),INDEX(Bang_xuyen_giap!$C$2:$C$8,MIN(7,MAX(1,IF($O$138,MAX(1,2-(Vu_khi!$L$138-4)),2-(Vu_khi!$L$138-4))+1))))*IF($AA$138,INDEX(Bang_xuyen_qua!$C$2:$C$5,MIN(4,MAX(1,(Vu_khi!$L$138)-(4)-1))),1)</f>
        <v/>
      </c>
      <c r="AH138" t="n">
        <v>0.85</v>
      </c>
      <c r="AI138">
        <f>INDEX(Bang_xuyen_giap!$C$2:$C$8,MIN(7,MAX(1,MAX(1,2-(Vu_khi!$L$138-0))+1)))*IF($AA$138,INDEX(Bang_xuyen_qua!$C$2:$C$5,MIN(4,MAX(1,(Vu_khi!$L$138)-(0)-1))),1)</f>
        <v/>
      </c>
      <c r="AJ138" t="n">
        <v>1</v>
      </c>
      <c r="AK138">
        <f>IF($Q$138,$M$138*$AC$138*$U$138,0)</f>
        <v/>
      </c>
      <c r="AL138" t="n">
        <v>73.14697926059513</v>
      </c>
      <c r="AM138">
        <f>IF($Q$138,$M$138*$AE$138*$U$138,0)</f>
        <v/>
      </c>
      <c r="AN138" t="n">
        <v>73.14697926059513</v>
      </c>
      <c r="AO138">
        <f>IF($Q$138,$M$138*$AG$138*$U$138,0)</f>
        <v/>
      </c>
      <c r="AP138" t="n">
        <v>51.81244364292155</v>
      </c>
      <c r="AQ138">
        <f>IF($Q$138,$M$138*$AE$138*$Y$138,0)</f>
        <v/>
      </c>
      <c r="AR138" t="n">
        <v>25.32010820559062</v>
      </c>
      <c r="AS138">
        <f>IF($S$138,$M$138*$AI$138*$W$138,0)</f>
        <v/>
      </c>
      <c r="AT138" t="n">
        <v>0</v>
      </c>
      <c r="AU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V138" t="b">
        <v>0</v>
      </c>
      <c r="AW138">
        <f>IF(AND($B$138&lt;0,$AU$138),4,$B$138)</f>
        <v/>
      </c>
      <c r="AX138" t="n">
        <v>2</v>
      </c>
      <c r="AY138">
        <f>IF($AW$138&lt;4,0,MIN(MAX(0.5,Canh_bao_vong!$D$4),MAX(IF(Vu_khi!$C$138="cal_406",Canh_bao_vong!$D$7,IF($AW$138&gt;=5,Canh_bao_vong!$D$9,Canh_bao_vong!$D$8)),Canh_bao_vong!$D$2+MAX(0,Vu_khi!$X$138)/MAX(0.1,Canh_bao_vong!$D$5))))</f>
        <v/>
      </c>
      <c r="AZ138" t="n">
        <v>0</v>
      </c>
      <c r="BA138" t="inlineStr"/>
      <c r="BB138" t="inlineStr">
        <is>
          <t>ok</t>
        </is>
      </c>
      <c r="BC138" t="inlineStr"/>
      <c r="BD138" t="n">
        <v>80</v>
      </c>
      <c r="BE138" t="n">
        <v>104</v>
      </c>
      <c r="BF138" t="n">
        <v>0.141</v>
      </c>
      <c r="BG138" t="n">
        <v>0.281</v>
      </c>
      <c r="BH138" t="n">
        <v>0.5620000000000001</v>
      </c>
      <c r="BI138" t="n">
        <v>0.433</v>
      </c>
      <c r="BJ138" t="inlineStr">
        <is>
          <t>TACTICAL_MISSILE</t>
        </is>
      </c>
      <c r="BK138" t="inlineStr">
        <is>
          <t>ok</t>
        </is>
      </c>
      <c r="BL138" t="inlineStr">
        <is>
          <t>family agm_114_hellfire</t>
        </is>
      </c>
      <c r="BM138" t="n">
        <v>36</v>
      </c>
      <c r="BN138" t="inlineStr">
        <is>
          <t>Assets/MachineBrigade/Resources/Data/balance.json: weapons[id=hellfire_volley] (lớp B trên 01_chien_dau/Vu_khi)</t>
        </is>
      </c>
      <c r="BO138" t="inlineStr"/>
    </row>
    <row r="139">
      <c r="A139" t="inlineStr">
        <is>
          <t>hind_rockets</t>
        </is>
      </c>
      <c r="B139" t="n">
        <v>2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38</v>
      </c>
      <c r="G139">
        <f>IF(Vu_khi!$S$139&gt;0,(Vu_khi!$S$139-1)*Vu_khi!$R$139+Vu_khi!$T$139,Vu_khi!$R$139+(Vu_khi!$P$139-1)*Vu_khi!$Q$139)</f>
        <v/>
      </c>
      <c r="H139" t="n">
        <v>9.450000000000001</v>
      </c>
      <c r="I139">
        <f>Vu_khi!$W$139*MAX(1,$E$139)</f>
        <v/>
      </c>
      <c r="J139" t="n">
        <v>1216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128.6772486772487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0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1.6</v>
      </c>
      <c r="AA139">
        <f>AND(Vu_khi!$K$139="Kinetic",NOT(Vu_khi!$AG$139))</f>
        <v/>
      </c>
      <c r="AB139" t="b">
        <v>0</v>
      </c>
      <c r="AC139">
        <f>IF(Vu_khi!$AG$139,INDEX(Bang_danh_noc!$C$2:$C$8,MIN(7,MAX(1,2-(Vu_khi!$L$139-0)+1))),INDEX(Bang_xuyen_giap!$C$2:$C$8,MIN(7,MAX(1,IF($O$139,MAX(1,2-(Vu_khi!$L$139-0)),2-(Vu_khi!$L$139-0))+1))))*IF($AA$139,INDEX(Bang_xuyen_qua!$C$2:$C$5,MIN(4,MAX(1,(Vu_khi!$L$139)-(0)-1))),1)</f>
        <v/>
      </c>
      <c r="AD139" t="n">
        <v>1.2</v>
      </c>
      <c r="AE139">
        <f>IF(Vu_khi!$AG$139,INDEX(Bang_danh_noc!$C$2:$C$8,MIN(7,MAX(1,2-(Vu_khi!$L$139-2)+1))),INDEX(Bang_xuyen_giap!$C$2:$C$8,MIN(7,MAX(1,IF($O$139,MAX(1,2-(Vu_khi!$L$139-2)),2-(Vu_khi!$L$139-2))+1))))*IF($AA$139,INDEX(Bang_xuyen_qua!$C$2:$C$5,MIN(4,MAX(1,(Vu_khi!$L$139)-(2)-1))),1)</f>
        <v/>
      </c>
      <c r="AF139" t="n">
        <v>0.85</v>
      </c>
      <c r="AG139">
        <f>IF(Vu_khi!$AG$139,INDEX(Bang_danh_noc!$C$2:$C$8,MIN(7,MAX(1,2-(Vu_khi!$L$139-4)+1))),INDEX(Bang_xuyen_giap!$C$2:$C$8,MIN(7,MAX(1,IF($O$139,MAX(1,2-(Vu_khi!$L$139-4)),2-(Vu_khi!$L$139-4))+1))))*IF($AA$139,INDEX(Bang_xuyen_qua!$C$2:$C$5,MIN(4,MAX(1,(Vu_khi!$L$139)-(4)-1))),1)</f>
        <v/>
      </c>
      <c r="AH139" t="n">
        <v>0.4</v>
      </c>
      <c r="AI139">
        <f>INDEX(Bang_xuyen_giap!$C$2:$C$8,MIN(7,MAX(1,MAX(1,2-(Vu_khi!$L$139-0))+1)))*IF($AA$139,INDEX(Bang_xuyen_qua!$C$2:$C$5,MIN(4,MAX(1,(Vu_khi!$L$139)-(0)-1))),1)</f>
        <v/>
      </c>
      <c r="AJ139" t="n">
        <v>1</v>
      </c>
      <c r="AK139">
        <f>IF($Q$139,$M$139*$AC$139*$U$139,0)</f>
        <v/>
      </c>
      <c r="AL139" t="n">
        <v>154.4126984126984</v>
      </c>
      <c r="AM139">
        <f>IF($Q$139,$M$139*$AE$139*$U$139,0)</f>
        <v/>
      </c>
      <c r="AN139" t="n">
        <v>109.3756613756614</v>
      </c>
      <c r="AO139">
        <f>IF($Q$139,$M$139*$AG$139*$U$139,0)</f>
        <v/>
      </c>
      <c r="AP139" t="n">
        <v>51.47089947089947</v>
      </c>
      <c r="AQ139">
        <f>IF($Q$139,$M$139*$AE$139*$Y$139,0)</f>
        <v/>
      </c>
      <c r="AR139" t="n">
        <v>175.0010582010582</v>
      </c>
      <c r="AS139">
        <f>IF($S$139,$M$139*$AI$139*$W$139,0)</f>
        <v/>
      </c>
      <c r="AT139" t="n">
        <v>0</v>
      </c>
      <c r="AU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V139" t="b">
        <v>0</v>
      </c>
      <c r="AW139">
        <f>IF(AND($B$139&lt;0,$AU$139),4,$B$139)</f>
        <v/>
      </c>
      <c r="AX139" t="n">
        <v>2</v>
      </c>
      <c r="AY139">
        <f>IF($AW$139&lt;4,0,MIN(MAX(0.5,Canh_bao_vong!$D$4),MAX(IF(Vu_khi!$C$139="cal_406",Canh_bao_vong!$D$7,IF($AW$139&gt;=5,Canh_bao_vong!$D$9,Canh_bao_vong!$D$8)),Canh_bao_vong!$D$2+MAX(0,Vu_khi!$X$139)/MAX(0.1,Canh_bao_vong!$D$5))))</f>
        <v/>
      </c>
      <c r="AZ139" t="n">
        <v>0</v>
      </c>
      <c r="BA139" t="n">
        <v>1.05</v>
      </c>
      <c r="BB139" t="inlineStr">
        <is>
          <t>ok</t>
        </is>
      </c>
      <c r="BC139" t="inlineStr"/>
      <c r="BD139" t="n">
        <v>95</v>
      </c>
      <c r="BE139" t="n">
        <v>123.5</v>
      </c>
      <c r="BF139" t="n">
        <v>0.095</v>
      </c>
      <c r="BG139" t="n">
        <v>0.189</v>
      </c>
      <c r="BH139" t="n">
        <v>0.379</v>
      </c>
      <c r="BI139" t="n">
        <v>0.291</v>
      </c>
      <c r="BJ139" t="inlineStr">
        <is>
          <t>AIRCRAFT_ROCKET</t>
        </is>
      </c>
      <c r="BK139" t="inlineStr">
        <is>
          <t>ok</t>
        </is>
      </c>
      <c r="BL139" t="inlineStr">
        <is>
          <t>family s_8_80_mm</t>
        </is>
      </c>
      <c r="BM139" t="n">
        <v>6.7</v>
      </c>
      <c r="BN139" t="inlineStr">
        <is>
          <t>Assets/MachineBrigade/Resources/Data/balance.json: weapons[id=hind_rockets] (lớp B trên 01_chien_dau/Vu_khi)</t>
        </is>
      </c>
      <c r="BO139" t="inlineStr"/>
    </row>
    <row r="140">
      <c r="A140" t="inlineStr">
        <is>
          <t>hmg_roof</t>
        </is>
      </c>
      <c r="B140" t="n">
        <v>0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100</v>
      </c>
      <c r="G140">
        <f>IF(Vu_khi!$S$140&gt;0,(Vu_khi!$S$140-1)*Vu_khi!$R$140+Vu_khi!$T$140,Vu_khi!$R$140+(Vu_khi!$P$140-1)*Vu_khi!$Q$140)</f>
        <v/>
      </c>
      <c r="H140" t="n">
        <v>16.11</v>
      </c>
      <c r="I140">
        <f>Vu_khi!$W$140*MAX(1,$E$140)</f>
        <v/>
      </c>
      <c r="J140" t="n">
        <v>950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58.96958410924891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1</v>
      </c>
      <c r="U140">
        <f>INDEX(Bang_sat_thuong!$B$2:$B$7,MATCH(Vu_khi!$K$140,Bang_sat_thuong!$A$2:$A$7,0))</f>
        <v/>
      </c>
      <c r="V140" t="n">
        <v>1.2</v>
      </c>
      <c r="W140">
        <f>INDEX(Bang_sat_thuong!$C$2:$C$7,MATCH(Vu_khi!$K$140,Bang_sat_thuong!$A$2:$A$7,0))</f>
        <v/>
      </c>
      <c r="X140" t="n">
        <v>0.3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0.7</v>
      </c>
      <c r="AA140">
        <f>AND(Vu_khi!$K$140="Kinetic",NOT(Vu_khi!$AG$140))</f>
        <v/>
      </c>
      <c r="AB140" t="b">
        <v>1</v>
      </c>
      <c r="AC140">
        <f>IF(Vu_khi!$AG$140,INDEX(Bang_danh_noc!$C$2:$C$8,MIN(7,MAX(1,2-(Vu_khi!$L$140-0)+1))),INDEX(Bang_xuyen_giap!$C$2:$C$8,MIN(7,MAX(1,IF($O$140,MAX(1,2-(Vu_khi!$L$140-0)),2-(Vu_khi!$L$140-0))+1))))*IF($AA$140,INDEX(Bang_xuyen_qua!$C$2:$C$5,MIN(4,MAX(1,(Vu_khi!$L$140)-(0)-1))),1)</f>
        <v/>
      </c>
      <c r="AD140" t="n">
        <v>1</v>
      </c>
      <c r="AE140">
        <f>IF(Vu_khi!$AG$140,INDEX(Bang_danh_noc!$C$2:$C$8,MIN(7,MAX(1,2-(Vu_khi!$L$140-2)+1))),INDEX(Bang_xuyen_giap!$C$2:$C$8,MIN(7,MAX(1,IF($O$140,MAX(1,2-(Vu_khi!$L$140-2)),2-(Vu_khi!$L$140-2))+1))))*IF($AA$140,INDEX(Bang_xuyen_qua!$C$2:$C$5,MIN(4,MAX(1,(Vu_khi!$L$140)-(2)-1))),1)</f>
        <v/>
      </c>
      <c r="AF140" t="n">
        <v>0.65</v>
      </c>
      <c r="AG140">
        <f>IF(Vu_khi!$AG$140,INDEX(Bang_danh_noc!$C$2:$C$8,MIN(7,MAX(1,2-(Vu_khi!$L$140-4)+1))),INDEX(Bang_xuyen_giap!$C$2:$C$8,MIN(7,MAX(1,IF($O$140,MAX(1,2-(Vu_khi!$L$140-4)),2-(Vu_khi!$L$140-4))+1))))*IF($AA$140,INDEX(Bang_xuyen_qua!$C$2:$C$5,MIN(4,MAX(1,(Vu_khi!$L$140)-(4)-1))),1)</f>
        <v/>
      </c>
      <c r="AH140" t="n">
        <v>0.15</v>
      </c>
      <c r="AI140">
        <f>INDEX(Bang_xuyen_giap!$C$2:$C$8,MIN(7,MAX(1,MAX(1,2-(Vu_khi!$L$140-0))+1)))*IF($AA$140,INDEX(Bang_xuyen_qua!$C$2:$C$5,MIN(4,MAX(1,(Vu_khi!$L$140)-(0)-1))),1)</f>
        <v/>
      </c>
      <c r="AJ140" t="n">
        <v>1</v>
      </c>
      <c r="AK140">
        <f>IF($Q$140,$M$140*$AC$140*$U$140,0)</f>
        <v/>
      </c>
      <c r="AL140" t="n">
        <v>70.76350093109869</v>
      </c>
      <c r="AM140">
        <f>IF($Q$140,$M$140*$AE$140*$U$140,0)</f>
        <v/>
      </c>
      <c r="AN140" t="n">
        <v>45.99627560521415</v>
      </c>
      <c r="AO140">
        <f>IF($Q$140,$M$140*$AG$140*$U$140,0)</f>
        <v/>
      </c>
      <c r="AP140" t="n">
        <v>10.6145251396648</v>
      </c>
      <c r="AQ140">
        <f>IF($Q$140,$M$140*$AE$140*$Y$140,0)</f>
        <v/>
      </c>
      <c r="AR140" t="n">
        <v>26.83116076970825</v>
      </c>
      <c r="AS140">
        <f>IF($S$140,$M$140*$AI$140*$W$140,0)</f>
        <v/>
      </c>
      <c r="AT140" t="n">
        <v>17.69087523277467</v>
      </c>
      <c r="AU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V140" t="b">
        <v>0</v>
      </c>
      <c r="AW140">
        <f>IF(AND($B$140&lt;0,$AU$140),4,$B$140)</f>
        <v/>
      </c>
      <c r="AX140" t="n">
        <v>0</v>
      </c>
      <c r="AY140">
        <f>IF($AW$140&lt;4,0,MIN(MAX(0.5,Canh_bao_vong!$D$4),MAX(IF(Vu_khi!$C$140="cal_406",Canh_bao_vong!$D$7,IF($AW$140&gt;=5,Canh_bao_vong!$D$9,Canh_bao_vong!$D$8)),Canh_bao_vong!$D$2+MAX(0,Vu_khi!$X$140)/MAX(0.1,Canh_bao_vong!$D$5))))</f>
        <v/>
      </c>
      <c r="AZ140" t="n">
        <v>0</v>
      </c>
      <c r="BA140" t="n">
        <v>1.611</v>
      </c>
      <c r="BB140" t="inlineStr">
        <is>
          <t>ok</t>
        </is>
      </c>
      <c r="BC140" t="inlineStr"/>
      <c r="BD140" t="n">
        <v>230</v>
      </c>
      <c r="BE140" t="n">
        <v>299</v>
      </c>
      <c r="BF140" t="n">
        <v>0.033</v>
      </c>
      <c r="BG140" t="n">
        <v>0.065</v>
      </c>
      <c r="BH140" t="n">
        <v>0.13</v>
      </c>
      <c r="BI140" t="n">
        <v>0.1</v>
      </c>
      <c r="BJ140" t="inlineStr">
        <is>
          <t>DIRECT_BULLET</t>
        </is>
      </c>
      <c r="BK140" t="inlineStr">
        <is>
          <t>ok</t>
        </is>
      </c>
      <c r="BL140" t="inlineStr">
        <is>
          <t>family m2_browning_12_7_mm</t>
        </is>
      </c>
      <c r="BM140" t="inlineStr"/>
      <c r="BN140" t="inlineStr">
        <is>
          <t>Assets/MachineBrigade/Resources/Data/balance.json: weapons[id=hmg_roof] (lớp B trên 01_chien_dau/Vu_khi)</t>
        </is>
      </c>
      <c r="BO140" t="inlineStr"/>
    </row>
    <row r="141">
      <c r="A141" t="inlineStr">
        <is>
          <t>hmg_roof_api</t>
        </is>
      </c>
      <c r="B141" t="n">
        <v>0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100</v>
      </c>
      <c r="G141">
        <f>IF(Vu_khi!$S$141&gt;0,(Vu_khi!$S$141-1)*Vu_khi!$R$141+Vu_khi!$T$141,Vu_khi!$R$141+(Vu_khi!$P$141-1)*Vu_khi!$Q$141)</f>
        <v/>
      </c>
      <c r="H141" t="n">
        <v>16.11</v>
      </c>
      <c r="I141">
        <f>Vu_khi!$W$141*MAX(1,$E$141)</f>
        <v/>
      </c>
      <c r="J141" t="n">
        <v>950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58.96958410924891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1</v>
      </c>
      <c r="U141">
        <f>INDEX(Bang_sat_thuong!$B$2:$B$7,MATCH(Vu_khi!$K$141,Bang_sat_thuong!$A$2:$A$7,0))</f>
        <v/>
      </c>
      <c r="V141" t="n">
        <v>1.2</v>
      </c>
      <c r="W141">
        <f>INDEX(Bang_sat_thuong!$C$2:$C$7,MATCH(Vu_khi!$K$141,Bang_sat_thuong!$A$2:$A$7,0))</f>
        <v/>
      </c>
      <c r="X141" t="n">
        <v>0.3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0.7</v>
      </c>
      <c r="AA141">
        <f>AND(Vu_khi!$K$141="Kinetic",NOT(Vu_khi!$AG$141))</f>
        <v/>
      </c>
      <c r="AB141" t="b">
        <v>1</v>
      </c>
      <c r="AC141">
        <f>IF(Vu_khi!$AG$141,INDEX(Bang_danh_noc!$C$2:$C$8,MIN(7,MAX(1,2-(Vu_khi!$L$141-0)+1))),INDEX(Bang_xuyen_giap!$C$2:$C$8,MIN(7,MAX(1,IF($O$141,MAX(1,2-(Vu_khi!$L$141-0)),2-(Vu_khi!$L$141-0))+1))))*IF($AA$141,INDEX(Bang_xuyen_qua!$C$2:$C$5,MIN(4,MAX(1,(Vu_khi!$L$141)-(0)-1))),1)</f>
        <v/>
      </c>
      <c r="AD141" t="n">
        <v>1.2</v>
      </c>
      <c r="AE141">
        <f>IF(Vu_khi!$AG$141,INDEX(Bang_danh_noc!$C$2:$C$8,MIN(7,MAX(1,2-(Vu_khi!$L$141-2)+1))),INDEX(Bang_xuyen_giap!$C$2:$C$8,MIN(7,MAX(1,IF($O$141,MAX(1,2-(Vu_khi!$L$141-2)),2-(Vu_khi!$L$141-2))+1))))*IF($AA$141,INDEX(Bang_xuyen_qua!$C$2:$C$5,MIN(4,MAX(1,(Vu_khi!$L$141)-(2)-1))),1)</f>
        <v/>
      </c>
      <c r="AF141" t="n">
        <v>0.85</v>
      </c>
      <c r="AG141">
        <f>IF(Vu_khi!$AG$141,INDEX(Bang_danh_noc!$C$2:$C$8,MIN(7,MAX(1,2-(Vu_khi!$L$141-4)+1))),INDEX(Bang_xuyen_giap!$C$2:$C$8,MIN(7,MAX(1,IF($O$141,MAX(1,2-(Vu_khi!$L$141-4)),2-(Vu_khi!$L$141-4))+1))))*IF($AA$141,INDEX(Bang_xuyen_qua!$C$2:$C$5,MIN(4,MAX(1,(Vu_khi!$L$141)-(4)-1))),1)</f>
        <v/>
      </c>
      <c r="AH141" t="n">
        <v>0.4</v>
      </c>
      <c r="AI141">
        <f>INDEX(Bang_xuyen_giap!$C$2:$C$8,MIN(7,MAX(1,MAX(1,2-(Vu_khi!$L$141-0))+1)))*IF($AA$141,INDEX(Bang_xuyen_qua!$C$2:$C$5,MIN(4,MAX(1,(Vu_khi!$L$141)-(0)-1))),1)</f>
        <v/>
      </c>
      <c r="AJ141" t="n">
        <v>1</v>
      </c>
      <c r="AK141">
        <f>IF($Q$141,$M$141*$AC$141*$U$141,0)</f>
        <v/>
      </c>
      <c r="AL141" t="n">
        <v>84.91620111731844</v>
      </c>
      <c r="AM141">
        <f>IF($Q$141,$M$141*$AE$141*$U$141,0)</f>
        <v/>
      </c>
      <c r="AN141" t="n">
        <v>60.14897579143389</v>
      </c>
      <c r="AO141">
        <f>IF($Q$141,$M$141*$AG$141*$U$141,0)</f>
        <v/>
      </c>
      <c r="AP141" t="n">
        <v>28.30540037243948</v>
      </c>
      <c r="AQ141">
        <f>IF($Q$141,$M$141*$AE$141*$Y$141,0)</f>
        <v/>
      </c>
      <c r="AR141" t="n">
        <v>35.0869025450031</v>
      </c>
      <c r="AS141">
        <f>IF($S$141,$M$141*$AI$141*$W$141,0)</f>
        <v/>
      </c>
      <c r="AT141" t="n">
        <v>17.69087523277467</v>
      </c>
      <c r="AU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V141" t="b">
        <v>0</v>
      </c>
      <c r="AW141">
        <f>IF(AND($B$141&lt;0,$AU$141),4,$B$141)</f>
        <v/>
      </c>
      <c r="AX141" t="n">
        <v>0</v>
      </c>
      <c r="AY141">
        <f>IF($AW$141&lt;4,0,MIN(MAX(0.5,Canh_bao_vong!$D$4),MAX(IF(Vu_khi!$C$141="cal_406",Canh_bao_vong!$D$7,IF($AW$141&gt;=5,Canh_bao_vong!$D$9,Canh_bao_vong!$D$8)),Canh_bao_vong!$D$2+MAX(0,Vu_khi!$X$141)/MAX(0.1,Canh_bao_vong!$D$5))))</f>
        <v/>
      </c>
      <c r="AZ141" t="n">
        <v>0</v>
      </c>
      <c r="BD141" t="n">
        <v>230</v>
      </c>
      <c r="BE141" t="n">
        <v>299</v>
      </c>
      <c r="BF141" t="n">
        <v>0.033</v>
      </c>
      <c r="BG141" t="n">
        <v>0.065</v>
      </c>
      <c r="BH141" t="n">
        <v>0.13</v>
      </c>
      <c r="BI141" t="n">
        <v>0.1</v>
      </c>
      <c r="BJ141" t="inlineStr">
        <is>
          <t>DIRECT_BULLET</t>
        </is>
      </c>
      <c r="BK141" t="inlineStr">
        <is>
          <t>ok</t>
        </is>
      </c>
      <c r="BL141" t="inlineStr">
        <is>
          <t>family m2_browning_12_7_mm_api</t>
        </is>
      </c>
      <c r="BM141" t="inlineStr"/>
      <c r="BN141" t="inlineStr">
        <is>
          <t>Assets/MachineBrigade/Resources/Data/balance.json: weapons[id=hmg_roof_api] (lớp B trên 01_chien_dau/Vu_khi)</t>
        </is>
      </c>
      <c r="BO141" t="inlineStr"/>
    </row>
    <row r="142">
      <c r="A142" t="inlineStr">
        <is>
          <t>hmg_selfdef_15</t>
        </is>
      </c>
      <c r="B142" t="n">
        <v>0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100</v>
      </c>
      <c r="G142">
        <f>IF(Vu_khi!$S$142&gt;0,(Vu_khi!$S$142-1)*Vu_khi!$R$142+Vu_khi!$T$142,Vu_khi!$R$142+(Vu_khi!$P$142-1)*Vu_khi!$Q$142)</f>
        <v/>
      </c>
      <c r="H142" t="n">
        <v>16.11</v>
      </c>
      <c r="I142">
        <f>Vu_khi!$W$142*MAX(1,$E$142)</f>
        <v/>
      </c>
      <c r="J142" t="n">
        <v>950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58.96958410924891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1</v>
      </c>
      <c r="U142">
        <f>INDEX(Bang_sat_thuong!$B$2:$B$7,MATCH(Vu_khi!$K$142,Bang_sat_thuong!$A$2:$A$7,0))</f>
        <v/>
      </c>
      <c r="V142" t="n">
        <v>1.2</v>
      </c>
      <c r="W142">
        <f>INDEX(Bang_sat_thuong!$C$2:$C$7,MATCH(Vu_khi!$K$142,Bang_sat_thuong!$A$2:$A$7,0))</f>
        <v/>
      </c>
      <c r="X142" t="n">
        <v>0.3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0.7</v>
      </c>
      <c r="AA142">
        <f>AND(Vu_khi!$K$142="Kinetic",NOT(Vu_khi!$AG$142))</f>
        <v/>
      </c>
      <c r="AB142" t="b">
        <v>1</v>
      </c>
      <c r="AC142">
        <f>IF(Vu_khi!$AG$142,INDEX(Bang_danh_noc!$C$2:$C$8,MIN(7,MAX(1,2-(Vu_khi!$L$142-0)+1))),INDEX(Bang_xuyen_giap!$C$2:$C$8,MIN(7,MAX(1,IF($O$142,MAX(1,2-(Vu_khi!$L$142-0)),2-(Vu_khi!$L$142-0))+1))))*IF($AA$142,INDEX(Bang_xuyen_qua!$C$2:$C$5,MIN(4,MAX(1,(Vu_khi!$L$142)-(0)-1))),1)</f>
        <v/>
      </c>
      <c r="AD142" t="n">
        <v>1</v>
      </c>
      <c r="AE142">
        <f>IF(Vu_khi!$AG$142,INDEX(Bang_danh_noc!$C$2:$C$8,MIN(7,MAX(1,2-(Vu_khi!$L$142-2)+1))),INDEX(Bang_xuyen_giap!$C$2:$C$8,MIN(7,MAX(1,IF($O$142,MAX(1,2-(Vu_khi!$L$142-2)),2-(Vu_khi!$L$142-2))+1))))*IF($AA$142,INDEX(Bang_xuyen_qua!$C$2:$C$5,MIN(4,MAX(1,(Vu_khi!$L$142)-(2)-1))),1)</f>
        <v/>
      </c>
      <c r="AF142" t="n">
        <v>0.65</v>
      </c>
      <c r="AG142">
        <f>IF(Vu_khi!$AG$142,INDEX(Bang_danh_noc!$C$2:$C$8,MIN(7,MAX(1,2-(Vu_khi!$L$142-4)+1))),INDEX(Bang_xuyen_giap!$C$2:$C$8,MIN(7,MAX(1,IF($O$142,MAX(1,2-(Vu_khi!$L$142-4)),2-(Vu_khi!$L$142-4))+1))))*IF($AA$142,INDEX(Bang_xuyen_qua!$C$2:$C$5,MIN(4,MAX(1,(Vu_khi!$L$142)-(4)-1))),1)</f>
        <v/>
      </c>
      <c r="AH142" t="n">
        <v>0.15</v>
      </c>
      <c r="AI142">
        <f>INDEX(Bang_xuyen_giap!$C$2:$C$8,MIN(7,MAX(1,MAX(1,2-(Vu_khi!$L$142-0))+1)))*IF($AA$142,INDEX(Bang_xuyen_qua!$C$2:$C$5,MIN(4,MAX(1,(Vu_khi!$L$142)-(0)-1))),1)</f>
        <v/>
      </c>
      <c r="AJ142" t="n">
        <v>1</v>
      </c>
      <c r="AK142">
        <f>IF($Q$142,$M$142*$AC$142*$U$142,0)</f>
        <v/>
      </c>
      <c r="AL142" t="n">
        <v>70.76350093109869</v>
      </c>
      <c r="AM142">
        <f>IF($Q$142,$M$142*$AE$142*$U$142,0)</f>
        <v/>
      </c>
      <c r="AN142" t="n">
        <v>45.99627560521415</v>
      </c>
      <c r="AO142">
        <f>IF($Q$142,$M$142*$AG$142*$U$142,0)</f>
        <v/>
      </c>
      <c r="AP142" t="n">
        <v>10.6145251396648</v>
      </c>
      <c r="AQ142">
        <f>IF($Q$142,$M$142*$AE$142*$Y$142,0)</f>
        <v/>
      </c>
      <c r="AR142" t="n">
        <v>26.83116076970825</v>
      </c>
      <c r="AS142">
        <f>IF($S$142,$M$142*$AI$142*$W$142,0)</f>
        <v/>
      </c>
      <c r="AT142" t="n">
        <v>17.69087523277467</v>
      </c>
      <c r="AU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V142" t="b">
        <v>0</v>
      </c>
      <c r="AW142">
        <f>IF(AND($B$142&lt;0,$AU$142),4,$B$142)</f>
        <v/>
      </c>
      <c r="AX142" t="n">
        <v>0</v>
      </c>
      <c r="AY142">
        <f>IF($AW$142&lt;4,0,MIN(MAX(0.5,Canh_bao_vong!$D$4),MAX(IF(Vu_khi!$C$142="cal_406",Canh_bao_vong!$D$7,IF($AW$142&gt;=5,Canh_bao_vong!$D$9,Canh_bao_vong!$D$8)),Canh_bao_vong!$D$2+MAX(0,Vu_khi!$X$142)/MAX(0.1,Canh_bao_vong!$D$5))))</f>
        <v/>
      </c>
      <c r="AZ142" t="n">
        <v>0</v>
      </c>
      <c r="BA142" t="n">
        <v>1.611</v>
      </c>
      <c r="BB142" t="inlineStr">
        <is>
          <t>ok</t>
        </is>
      </c>
      <c r="BC142" t="inlineStr"/>
      <c r="BD142" t="n">
        <v>230</v>
      </c>
      <c r="BE142" t="n">
        <v>299</v>
      </c>
      <c r="BF142" t="n">
        <v>0.016</v>
      </c>
      <c r="BG142" t="n">
        <v>0.033</v>
      </c>
      <c r="BH142" t="n">
        <v>0.065</v>
      </c>
      <c r="BI142" t="n">
        <v>0.05</v>
      </c>
      <c r="BJ142" t="inlineStr">
        <is>
          <t>DIRECT_BULLET</t>
        </is>
      </c>
      <c r="BK142" t="inlineStr">
        <is>
          <t>ok</t>
        </is>
      </c>
      <c r="BL142" t="inlineStr">
        <is>
          <t>family m2_browning_12_7_mm</t>
        </is>
      </c>
      <c r="BM142" t="inlineStr"/>
      <c r="BN142" t="inlineStr">
        <is>
          <t>Assets/MachineBrigade/Resources/Data/balance.json: weapons[id=hmg_selfdef_15] (lớp B trên 01_chien_dau/Vu_khi)</t>
        </is>
      </c>
      <c r="BO142" t="inlineStr"/>
    </row>
    <row r="143">
      <c r="A143" t="inlineStr">
        <is>
          <t>hmg_selfdef_15_api</t>
        </is>
      </c>
      <c r="B143" t="n">
        <v>0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100</v>
      </c>
      <c r="G143">
        <f>IF(Vu_khi!$S$143&gt;0,(Vu_khi!$S$143-1)*Vu_khi!$R$143+Vu_khi!$T$143,Vu_khi!$R$143+(Vu_khi!$P$143-1)*Vu_khi!$Q$143)</f>
        <v/>
      </c>
      <c r="H143" t="n">
        <v>16.11</v>
      </c>
      <c r="I143">
        <f>Vu_khi!$W$143*MAX(1,$E$143)</f>
        <v/>
      </c>
      <c r="J143" t="n">
        <v>950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58.96958410924891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1</v>
      </c>
      <c r="U143">
        <f>INDEX(Bang_sat_thuong!$B$2:$B$7,MATCH(Vu_khi!$K$143,Bang_sat_thuong!$A$2:$A$7,0))</f>
        <v/>
      </c>
      <c r="V143" t="n">
        <v>1.2</v>
      </c>
      <c r="W143">
        <f>INDEX(Bang_sat_thuong!$C$2:$C$7,MATCH(Vu_khi!$K$143,Bang_sat_thuong!$A$2:$A$7,0))</f>
        <v/>
      </c>
      <c r="X143" t="n">
        <v>0.3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0.7</v>
      </c>
      <c r="AA143">
        <f>AND(Vu_khi!$K$143="Kinetic",NOT(Vu_khi!$AG$143))</f>
        <v/>
      </c>
      <c r="AB143" t="b">
        <v>1</v>
      </c>
      <c r="AC143">
        <f>IF(Vu_khi!$AG$143,INDEX(Bang_danh_noc!$C$2:$C$8,MIN(7,MAX(1,2-(Vu_khi!$L$143-0)+1))),INDEX(Bang_xuyen_giap!$C$2:$C$8,MIN(7,MAX(1,IF($O$143,MAX(1,2-(Vu_khi!$L$143-0)),2-(Vu_khi!$L$143-0))+1))))*IF($AA$143,INDEX(Bang_xuyen_qua!$C$2:$C$5,MIN(4,MAX(1,(Vu_khi!$L$143)-(0)-1))),1)</f>
        <v/>
      </c>
      <c r="AD143" t="n">
        <v>1.2</v>
      </c>
      <c r="AE143">
        <f>IF(Vu_khi!$AG$143,INDEX(Bang_danh_noc!$C$2:$C$8,MIN(7,MAX(1,2-(Vu_khi!$L$143-2)+1))),INDEX(Bang_xuyen_giap!$C$2:$C$8,MIN(7,MAX(1,IF($O$143,MAX(1,2-(Vu_khi!$L$143-2)),2-(Vu_khi!$L$143-2))+1))))*IF($AA$143,INDEX(Bang_xuyen_qua!$C$2:$C$5,MIN(4,MAX(1,(Vu_khi!$L$143)-(2)-1))),1)</f>
        <v/>
      </c>
      <c r="AF143" t="n">
        <v>0.85</v>
      </c>
      <c r="AG143">
        <f>IF(Vu_khi!$AG$143,INDEX(Bang_danh_noc!$C$2:$C$8,MIN(7,MAX(1,2-(Vu_khi!$L$143-4)+1))),INDEX(Bang_xuyen_giap!$C$2:$C$8,MIN(7,MAX(1,IF($O$143,MAX(1,2-(Vu_khi!$L$143-4)),2-(Vu_khi!$L$143-4))+1))))*IF($AA$143,INDEX(Bang_xuyen_qua!$C$2:$C$5,MIN(4,MAX(1,(Vu_khi!$L$143)-(4)-1))),1)</f>
        <v/>
      </c>
      <c r="AH143" t="n">
        <v>0.4</v>
      </c>
      <c r="AI143">
        <f>INDEX(Bang_xuyen_giap!$C$2:$C$8,MIN(7,MAX(1,MAX(1,2-(Vu_khi!$L$143-0))+1)))*IF($AA$143,INDEX(Bang_xuyen_qua!$C$2:$C$5,MIN(4,MAX(1,(Vu_khi!$L$143)-(0)-1))),1)</f>
        <v/>
      </c>
      <c r="AJ143" t="n">
        <v>1</v>
      </c>
      <c r="AK143">
        <f>IF($Q$143,$M$143*$AC$143*$U$143,0)</f>
        <v/>
      </c>
      <c r="AL143" t="n">
        <v>84.91620111731844</v>
      </c>
      <c r="AM143">
        <f>IF($Q$143,$M$143*$AE$143*$U$143,0)</f>
        <v/>
      </c>
      <c r="AN143" t="n">
        <v>60.14897579143389</v>
      </c>
      <c r="AO143">
        <f>IF($Q$143,$M$143*$AG$143*$U$143,0)</f>
        <v/>
      </c>
      <c r="AP143" t="n">
        <v>28.30540037243948</v>
      </c>
      <c r="AQ143">
        <f>IF($Q$143,$M$143*$AE$143*$Y$143,0)</f>
        <v/>
      </c>
      <c r="AR143" t="n">
        <v>35.0869025450031</v>
      </c>
      <c r="AS143">
        <f>IF($S$143,$M$143*$AI$143*$W$143,0)</f>
        <v/>
      </c>
      <c r="AT143" t="n">
        <v>17.69087523277467</v>
      </c>
      <c r="AU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V143" t="b">
        <v>0</v>
      </c>
      <c r="AW143">
        <f>IF(AND($B$143&lt;0,$AU$143),4,$B$143)</f>
        <v/>
      </c>
      <c r="AX143" t="n">
        <v>0</v>
      </c>
      <c r="AY143">
        <f>IF($AW$143&lt;4,0,MIN(MAX(0.5,Canh_bao_vong!$D$4),MAX(IF(Vu_khi!$C$143="cal_406",Canh_bao_vong!$D$7,IF($AW$143&gt;=5,Canh_bao_vong!$D$9,Canh_bao_vong!$D$8)),Canh_bao_vong!$D$2+MAX(0,Vu_khi!$X$143)/MAX(0.1,Canh_bao_vong!$D$5))))</f>
        <v/>
      </c>
      <c r="AZ143" t="n">
        <v>0</v>
      </c>
      <c r="BD143" t="n">
        <v>230</v>
      </c>
      <c r="BE143" t="n">
        <v>299</v>
      </c>
      <c r="BF143" t="n">
        <v>0.016</v>
      </c>
      <c r="BG143" t="n">
        <v>0.033</v>
      </c>
      <c r="BH143" t="n">
        <v>0.065</v>
      </c>
      <c r="BI143" t="n">
        <v>0.05</v>
      </c>
      <c r="BJ143" t="inlineStr">
        <is>
          <t>DIRECT_BULLET</t>
        </is>
      </c>
      <c r="BK143" t="inlineStr">
        <is>
          <t>ok</t>
        </is>
      </c>
      <c r="BL143" t="inlineStr">
        <is>
          <t>family m2_browning_12_7_mm_api</t>
        </is>
      </c>
      <c r="BM143" t="inlineStr"/>
      <c r="BN143" t="inlineStr">
        <is>
          <t>Assets/MachineBrigade/Resources/Data/balance.json: weapons[id=hmg_selfdef_15_api] (lớp B trên 01_chien_dau/Vu_khi)</t>
        </is>
      </c>
      <c r="BO143" t="inlineStr"/>
    </row>
    <row r="144">
      <c r="A144" t="inlineStr">
        <is>
          <t>hmg_selfdef_18</t>
        </is>
      </c>
      <c r="B144" t="n">
        <v>0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100</v>
      </c>
      <c r="G144">
        <f>IF(Vu_khi!$S$144&gt;0,(Vu_khi!$S$144-1)*Vu_khi!$R$144+Vu_khi!$T$144,Vu_khi!$R$144+(Vu_khi!$P$144-1)*Vu_khi!$Q$144)</f>
        <v/>
      </c>
      <c r="H144" t="n">
        <v>16.11</v>
      </c>
      <c r="I144">
        <f>Vu_khi!$W$144*MAX(1,$E$144)</f>
        <v/>
      </c>
      <c r="J144" t="n">
        <v>950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58.96958410924891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1</v>
      </c>
      <c r="U144">
        <f>INDEX(Bang_sat_thuong!$B$2:$B$7,MATCH(Vu_khi!$K$144,Bang_sat_thuong!$A$2:$A$7,0))</f>
        <v/>
      </c>
      <c r="V144" t="n">
        <v>1.2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0.7</v>
      </c>
      <c r="AA144">
        <f>AND(Vu_khi!$K$144="Kinetic",NOT(Vu_khi!$AG$144))</f>
        <v/>
      </c>
      <c r="AB144" t="b">
        <v>1</v>
      </c>
      <c r="AC144">
        <f>IF(Vu_khi!$AG$144,INDEX(Bang_danh_noc!$C$2:$C$8,MIN(7,MAX(1,2-(Vu_khi!$L$144-0)+1))),INDEX(Bang_xuyen_giap!$C$2:$C$8,MIN(7,MAX(1,IF($O$144,MAX(1,2-(Vu_khi!$L$144-0)),2-(Vu_khi!$L$144-0))+1))))*IF($AA$144,INDEX(Bang_xuyen_qua!$C$2:$C$5,MIN(4,MAX(1,(Vu_khi!$L$144)-(0)-1))),1)</f>
        <v/>
      </c>
      <c r="AD144" t="n">
        <v>1</v>
      </c>
      <c r="AE144">
        <f>IF(Vu_khi!$AG$144,INDEX(Bang_danh_noc!$C$2:$C$8,MIN(7,MAX(1,2-(Vu_khi!$L$144-2)+1))),INDEX(Bang_xuyen_giap!$C$2:$C$8,MIN(7,MAX(1,IF($O$144,MAX(1,2-(Vu_khi!$L$144-2)),2-(Vu_khi!$L$144-2))+1))))*IF($AA$144,INDEX(Bang_xuyen_qua!$C$2:$C$5,MIN(4,MAX(1,(Vu_khi!$L$144)-(2)-1))),1)</f>
        <v/>
      </c>
      <c r="AF144" t="n">
        <v>0.65</v>
      </c>
      <c r="AG144">
        <f>IF(Vu_khi!$AG$144,INDEX(Bang_danh_noc!$C$2:$C$8,MIN(7,MAX(1,2-(Vu_khi!$L$144-4)+1))),INDEX(Bang_xuyen_giap!$C$2:$C$8,MIN(7,MAX(1,IF($O$144,MAX(1,2-(Vu_khi!$L$144-4)),2-(Vu_khi!$L$144-4))+1))))*IF($AA$144,INDEX(Bang_xuyen_qua!$C$2:$C$5,MIN(4,MAX(1,(Vu_khi!$L$144)-(4)-1))),1)</f>
        <v/>
      </c>
      <c r="AH144" t="n">
        <v>0.15</v>
      </c>
      <c r="AI144">
        <f>INDEX(Bang_xuyen_giap!$C$2:$C$8,MIN(7,MAX(1,MAX(1,2-(Vu_khi!$L$144-0))+1)))*IF($AA$144,INDEX(Bang_xuyen_qua!$C$2:$C$5,MIN(4,MAX(1,(Vu_khi!$L$144)-(0)-1))),1)</f>
        <v/>
      </c>
      <c r="AJ144" t="n">
        <v>1</v>
      </c>
      <c r="AK144">
        <f>IF($Q$144,$M$144*$AC$144*$U$144,0)</f>
        <v/>
      </c>
      <c r="AL144" t="n">
        <v>70.76350093109869</v>
      </c>
      <c r="AM144">
        <f>IF($Q$144,$M$144*$AE$144*$U$144,0)</f>
        <v/>
      </c>
      <c r="AN144" t="n">
        <v>45.99627560521415</v>
      </c>
      <c r="AO144">
        <f>IF($Q$144,$M$144*$AG$144*$U$144,0)</f>
        <v/>
      </c>
      <c r="AP144" t="n">
        <v>10.6145251396648</v>
      </c>
      <c r="AQ144">
        <f>IF($Q$144,$M$144*$AE$144*$Y$144,0)</f>
        <v/>
      </c>
      <c r="AR144" t="n">
        <v>26.83116076970825</v>
      </c>
      <c r="AS144">
        <f>IF($S$144,$M$144*$AI$144*$W$144,0)</f>
        <v/>
      </c>
      <c r="AT144" t="n">
        <v>17.69087523277467</v>
      </c>
      <c r="AU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V144" t="b">
        <v>0</v>
      </c>
      <c r="AW144">
        <f>IF(AND($B$144&lt;0,$AU$144),4,$B$144)</f>
        <v/>
      </c>
      <c r="AX144" t="n">
        <v>0</v>
      </c>
      <c r="AY144">
        <f>IF($AW$144&lt;4,0,MIN(MAX(0.5,Canh_bao_vong!$D$4),MAX(IF(Vu_khi!$C$144="cal_406",Canh_bao_vong!$D$7,IF($AW$144&gt;=5,Canh_bao_vong!$D$9,Canh_bao_vong!$D$8)),Canh_bao_vong!$D$2+MAX(0,Vu_khi!$X$144)/MAX(0.1,Canh_bao_vong!$D$5))))</f>
        <v/>
      </c>
      <c r="AZ144" t="n">
        <v>0</v>
      </c>
      <c r="BA144" t="n">
        <v>1.611</v>
      </c>
      <c r="BB144" t="inlineStr">
        <is>
          <t>ok</t>
        </is>
      </c>
      <c r="BC144" t="inlineStr"/>
      <c r="BD144" t="n">
        <v>230</v>
      </c>
      <c r="BE144" t="n">
        <v>299</v>
      </c>
      <c r="BF144" t="n">
        <v>0.02</v>
      </c>
      <c r="BG144" t="n">
        <v>0.039</v>
      </c>
      <c r="BH144" t="n">
        <v>0.078</v>
      </c>
      <c r="BI144" t="n">
        <v>0.06</v>
      </c>
      <c r="BJ144" t="inlineStr">
        <is>
          <t>DIRECT_BULLET</t>
        </is>
      </c>
      <c r="BK144" t="inlineStr">
        <is>
          <t>ok</t>
        </is>
      </c>
      <c r="BL144" t="inlineStr">
        <is>
          <t>family m2_browning_12_7_mm</t>
        </is>
      </c>
      <c r="BM144" t="inlineStr"/>
      <c r="BN144" t="inlineStr">
        <is>
          <t>Assets/MachineBrigade/Resources/Data/balance.json: weapons[id=hmg_selfdef_18] (lớp B trên 01_chien_dau/Vu_khi)</t>
        </is>
      </c>
      <c r="BO144" t="inlineStr"/>
    </row>
    <row r="145">
      <c r="A145" t="inlineStr">
        <is>
          <t>hmg_selfdef_18_api</t>
        </is>
      </c>
      <c r="B145" t="n">
        <v>0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100</v>
      </c>
      <c r="G145">
        <f>IF(Vu_khi!$S$145&gt;0,(Vu_khi!$S$145-1)*Vu_khi!$R$145+Vu_khi!$T$145,Vu_khi!$R$145+(Vu_khi!$P$145-1)*Vu_khi!$Q$145)</f>
        <v/>
      </c>
      <c r="H145" t="n">
        <v>16.11</v>
      </c>
      <c r="I145">
        <f>Vu_khi!$W$145*MAX(1,$E$145)</f>
        <v/>
      </c>
      <c r="J145" t="n">
        <v>950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58.96958410924891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1</v>
      </c>
      <c r="U145">
        <f>INDEX(Bang_sat_thuong!$B$2:$B$7,MATCH(Vu_khi!$K$145,Bang_sat_thuong!$A$2:$A$7,0))</f>
        <v/>
      </c>
      <c r="V145" t="n">
        <v>1.2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0.7</v>
      </c>
      <c r="AA145">
        <f>AND(Vu_khi!$K$145="Kinetic",NOT(Vu_khi!$AG$145))</f>
        <v/>
      </c>
      <c r="AB145" t="b">
        <v>1</v>
      </c>
      <c r="AC145">
        <f>IF(Vu_khi!$AG$145,INDEX(Bang_danh_noc!$C$2:$C$8,MIN(7,MAX(1,2-(Vu_khi!$L$145-0)+1))),INDEX(Bang_xuyen_giap!$C$2:$C$8,MIN(7,MAX(1,IF($O$145,MAX(1,2-(Vu_khi!$L$145-0)),2-(Vu_khi!$L$145-0))+1))))*IF($AA$145,INDEX(Bang_xuyen_qua!$C$2:$C$5,MIN(4,MAX(1,(Vu_khi!$L$145)-(0)-1))),1)</f>
        <v/>
      </c>
      <c r="AD145" t="n">
        <v>1.2</v>
      </c>
      <c r="AE145">
        <f>IF(Vu_khi!$AG$145,INDEX(Bang_danh_noc!$C$2:$C$8,MIN(7,MAX(1,2-(Vu_khi!$L$145-2)+1))),INDEX(Bang_xuyen_giap!$C$2:$C$8,MIN(7,MAX(1,IF($O$145,MAX(1,2-(Vu_khi!$L$145-2)),2-(Vu_khi!$L$145-2))+1))))*IF($AA$145,INDEX(Bang_xuyen_qua!$C$2:$C$5,MIN(4,MAX(1,(Vu_khi!$L$145)-(2)-1))),1)</f>
        <v/>
      </c>
      <c r="AF145" t="n">
        <v>0.85</v>
      </c>
      <c r="AG145">
        <f>IF(Vu_khi!$AG$145,INDEX(Bang_danh_noc!$C$2:$C$8,MIN(7,MAX(1,2-(Vu_khi!$L$145-4)+1))),INDEX(Bang_xuyen_giap!$C$2:$C$8,MIN(7,MAX(1,IF($O$145,MAX(1,2-(Vu_khi!$L$145-4)),2-(Vu_khi!$L$145-4))+1))))*IF($AA$145,INDEX(Bang_xuyen_qua!$C$2:$C$5,MIN(4,MAX(1,(Vu_khi!$L$145)-(4)-1))),1)</f>
        <v/>
      </c>
      <c r="AH145" t="n">
        <v>0.4</v>
      </c>
      <c r="AI145">
        <f>INDEX(Bang_xuyen_giap!$C$2:$C$8,MIN(7,MAX(1,MAX(1,2-(Vu_khi!$L$145-0))+1)))*IF($AA$145,INDEX(Bang_xuyen_qua!$C$2:$C$5,MIN(4,MAX(1,(Vu_khi!$L$145)-(0)-1))),1)</f>
        <v/>
      </c>
      <c r="AJ145" t="n">
        <v>1</v>
      </c>
      <c r="AK145">
        <f>IF($Q$145,$M$145*$AC$145*$U$145,0)</f>
        <v/>
      </c>
      <c r="AL145" t="n">
        <v>84.91620111731844</v>
      </c>
      <c r="AM145">
        <f>IF($Q$145,$M$145*$AE$145*$U$145,0)</f>
        <v/>
      </c>
      <c r="AN145" t="n">
        <v>60.14897579143389</v>
      </c>
      <c r="AO145">
        <f>IF($Q$145,$M$145*$AG$145*$U$145,0)</f>
        <v/>
      </c>
      <c r="AP145" t="n">
        <v>28.30540037243948</v>
      </c>
      <c r="AQ145">
        <f>IF($Q$145,$M$145*$AE$145*$Y$145,0)</f>
        <v/>
      </c>
      <c r="AR145" t="n">
        <v>35.0869025450031</v>
      </c>
      <c r="AS145">
        <f>IF($S$145,$M$145*$AI$145*$W$145,0)</f>
        <v/>
      </c>
      <c r="AT145" t="n">
        <v>17.69087523277467</v>
      </c>
      <c r="AU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V145" t="b">
        <v>0</v>
      </c>
      <c r="AW145">
        <f>IF(AND($B$145&lt;0,$AU$145),4,$B$145)</f>
        <v/>
      </c>
      <c r="AX145" t="n">
        <v>0</v>
      </c>
      <c r="AY145">
        <f>IF($AW$145&lt;4,0,MIN(MAX(0.5,Canh_bao_vong!$D$4),MAX(IF(Vu_khi!$C$145="cal_406",Canh_bao_vong!$D$7,IF($AW$145&gt;=5,Canh_bao_vong!$D$9,Canh_bao_vong!$D$8)),Canh_bao_vong!$D$2+MAX(0,Vu_khi!$X$145)/MAX(0.1,Canh_bao_vong!$D$5))))</f>
        <v/>
      </c>
      <c r="AZ145" t="n">
        <v>0</v>
      </c>
      <c r="BD145" t="n">
        <v>230</v>
      </c>
      <c r="BE145" t="n">
        <v>299</v>
      </c>
      <c r="BF145" t="n">
        <v>0.02</v>
      </c>
      <c r="BG145" t="n">
        <v>0.039</v>
      </c>
      <c r="BH145" t="n">
        <v>0.078</v>
      </c>
      <c r="BI145" t="n">
        <v>0.06</v>
      </c>
      <c r="BJ145" t="inlineStr">
        <is>
          <t>DIRECT_BULLET</t>
        </is>
      </c>
      <c r="BK145" t="inlineStr">
        <is>
          <t>ok</t>
        </is>
      </c>
      <c r="BL145" t="inlineStr">
        <is>
          <t>family m2_browning_12_7_mm_api</t>
        </is>
      </c>
      <c r="BM145" t="inlineStr"/>
      <c r="BN145" t="inlineStr">
        <is>
          <t>Assets/MachineBrigade/Resources/Data/balance.json: weapons[id=hmg_selfdef_18_api] (lớp B trên 01_chien_dau/Vu_khi)</t>
        </is>
      </c>
      <c r="BO145" t="inlineStr"/>
    </row>
    <row r="146">
      <c r="A146" t="inlineStr">
        <is>
          <t>hmg_selfdef_21</t>
        </is>
      </c>
      <c r="B146" t="n">
        <v>0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100</v>
      </c>
      <c r="G146">
        <f>IF(Vu_khi!$S$146&gt;0,(Vu_khi!$S$146-1)*Vu_khi!$R$146+Vu_khi!$T$146,Vu_khi!$R$146+(Vu_khi!$P$146-1)*Vu_khi!$Q$146)</f>
        <v/>
      </c>
      <c r="H146" t="n">
        <v>16.11</v>
      </c>
      <c r="I146">
        <f>Vu_khi!$W$146*MAX(1,$E$146)</f>
        <v/>
      </c>
      <c r="J146" t="n">
        <v>950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58.96958410924891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1</v>
      </c>
      <c r="U146">
        <f>INDEX(Bang_sat_thuong!$B$2:$B$7,MATCH(Vu_khi!$K$146,Bang_sat_thuong!$A$2:$A$7,0))</f>
        <v/>
      </c>
      <c r="V146" t="n">
        <v>1.2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0.7</v>
      </c>
      <c r="AA146">
        <f>AND(Vu_khi!$K$146="Kinetic",NOT(Vu_khi!$AG$146))</f>
        <v/>
      </c>
      <c r="AB146" t="b">
        <v>1</v>
      </c>
      <c r="AC146">
        <f>IF(Vu_khi!$AG$146,INDEX(Bang_danh_noc!$C$2:$C$8,MIN(7,MAX(1,2-(Vu_khi!$L$146-0)+1))),INDEX(Bang_xuyen_giap!$C$2:$C$8,MIN(7,MAX(1,IF($O$146,MAX(1,2-(Vu_khi!$L$146-0)),2-(Vu_khi!$L$146-0))+1))))*IF($AA$146,INDEX(Bang_xuyen_qua!$C$2:$C$5,MIN(4,MAX(1,(Vu_khi!$L$146)-(0)-1))),1)</f>
        <v/>
      </c>
      <c r="AD146" t="n">
        <v>1</v>
      </c>
      <c r="AE146">
        <f>IF(Vu_khi!$AG$146,INDEX(Bang_danh_noc!$C$2:$C$8,MIN(7,MAX(1,2-(Vu_khi!$L$146-2)+1))),INDEX(Bang_xuyen_giap!$C$2:$C$8,MIN(7,MAX(1,IF($O$146,MAX(1,2-(Vu_khi!$L$146-2)),2-(Vu_khi!$L$146-2))+1))))*IF($AA$146,INDEX(Bang_xuyen_qua!$C$2:$C$5,MIN(4,MAX(1,(Vu_khi!$L$146)-(2)-1))),1)</f>
        <v/>
      </c>
      <c r="AF146" t="n">
        <v>0.65</v>
      </c>
      <c r="AG146">
        <f>IF(Vu_khi!$AG$146,INDEX(Bang_danh_noc!$C$2:$C$8,MIN(7,MAX(1,2-(Vu_khi!$L$146-4)+1))),INDEX(Bang_xuyen_giap!$C$2:$C$8,MIN(7,MAX(1,IF($O$146,MAX(1,2-(Vu_khi!$L$146-4)),2-(Vu_khi!$L$146-4))+1))))*IF($AA$146,INDEX(Bang_xuyen_qua!$C$2:$C$5,MIN(4,MAX(1,(Vu_khi!$L$146)-(4)-1))),1)</f>
        <v/>
      </c>
      <c r="AH146" t="n">
        <v>0.15</v>
      </c>
      <c r="AI146">
        <f>INDEX(Bang_xuyen_giap!$C$2:$C$8,MIN(7,MAX(1,MAX(1,2-(Vu_khi!$L$146-0))+1)))*IF($AA$146,INDEX(Bang_xuyen_qua!$C$2:$C$5,MIN(4,MAX(1,(Vu_khi!$L$146)-(0)-1))),1)</f>
        <v/>
      </c>
      <c r="AJ146" t="n">
        <v>1</v>
      </c>
      <c r="AK146">
        <f>IF($Q$146,$M$146*$AC$146*$U$146,0)</f>
        <v/>
      </c>
      <c r="AL146" t="n">
        <v>70.76350093109869</v>
      </c>
      <c r="AM146">
        <f>IF($Q$146,$M$146*$AE$146*$U$146,0)</f>
        <v/>
      </c>
      <c r="AN146" t="n">
        <v>45.99627560521415</v>
      </c>
      <c r="AO146">
        <f>IF($Q$146,$M$146*$AG$146*$U$146,0)</f>
        <v/>
      </c>
      <c r="AP146" t="n">
        <v>10.6145251396648</v>
      </c>
      <c r="AQ146">
        <f>IF($Q$146,$M$146*$AE$146*$Y$146,0)</f>
        <v/>
      </c>
      <c r="AR146" t="n">
        <v>26.83116076970825</v>
      </c>
      <c r="AS146">
        <f>IF($S$146,$M$146*$AI$146*$W$146,0)</f>
        <v/>
      </c>
      <c r="AT146" t="n">
        <v>17.69087523277467</v>
      </c>
      <c r="AU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V146" t="b">
        <v>0</v>
      </c>
      <c r="AW146">
        <f>IF(AND($B$146&lt;0,$AU$146),4,$B$146)</f>
        <v/>
      </c>
      <c r="AX146" t="n">
        <v>0</v>
      </c>
      <c r="AY146">
        <f>IF($AW$146&lt;4,0,MIN(MAX(0.5,Canh_bao_vong!$D$4),MAX(IF(Vu_khi!$C$146="cal_406",Canh_bao_vong!$D$7,IF($AW$146&gt;=5,Canh_bao_vong!$D$9,Canh_bao_vong!$D$8)),Canh_bao_vong!$D$2+MAX(0,Vu_khi!$X$146)/MAX(0.1,Canh_bao_vong!$D$5))))</f>
        <v/>
      </c>
      <c r="AZ146" t="n">
        <v>0</v>
      </c>
      <c r="BA146" t="n">
        <v>1.611</v>
      </c>
      <c r="BB146" t="inlineStr">
        <is>
          <t>ok</t>
        </is>
      </c>
      <c r="BC146" t="inlineStr"/>
      <c r="BD146" t="n">
        <v>230</v>
      </c>
      <c r="BE146" t="n">
        <v>299</v>
      </c>
      <c r="BF146" t="n">
        <v>0.023</v>
      </c>
      <c r="BG146" t="n">
        <v>0.046</v>
      </c>
      <c r="BH146" t="n">
        <v>0.091</v>
      </c>
      <c r="BI146" t="n">
        <v>0.07000000000000001</v>
      </c>
      <c r="BJ146" t="inlineStr">
        <is>
          <t>DIRECT_BULLET</t>
        </is>
      </c>
      <c r="BK146" t="inlineStr">
        <is>
          <t>ok</t>
        </is>
      </c>
      <c r="BL146" t="inlineStr">
        <is>
          <t>family m2_browning_12_7_mm</t>
        </is>
      </c>
      <c r="BM146" t="inlineStr"/>
      <c r="BN146" t="inlineStr">
        <is>
          <t>Assets/MachineBrigade/Resources/Data/balance.json: weapons[id=hmg_selfdef_21] (lớp B trên 01_chien_dau/Vu_khi)</t>
        </is>
      </c>
      <c r="BO146" t="inlineStr"/>
    </row>
    <row r="147">
      <c r="A147" t="inlineStr">
        <is>
          <t>hmg_selfdef_21_api</t>
        </is>
      </c>
      <c r="B147" t="n">
        <v>0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100</v>
      </c>
      <c r="G147">
        <f>IF(Vu_khi!$S$147&gt;0,(Vu_khi!$S$147-1)*Vu_khi!$R$147+Vu_khi!$T$147,Vu_khi!$R$147+(Vu_khi!$P$147-1)*Vu_khi!$Q$147)</f>
        <v/>
      </c>
      <c r="H147" t="n">
        <v>16.11</v>
      </c>
      <c r="I147">
        <f>Vu_khi!$W$147*MAX(1,$E$147)</f>
        <v/>
      </c>
      <c r="J147" t="n">
        <v>950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58.96958410924891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1.2</v>
      </c>
      <c r="W147">
        <f>INDEX(Bang_sat_thuong!$C$2:$C$7,MATCH(Vu_khi!$K$147,Bang_sat_thuong!$A$2:$A$7,0))</f>
        <v/>
      </c>
      <c r="X147" t="n">
        <v>0.3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0.7</v>
      </c>
      <c r="AA147">
        <f>AND(Vu_khi!$K$147="Kinetic",NOT(Vu_khi!$AG$147))</f>
        <v/>
      </c>
      <c r="AB147" t="b">
        <v>1</v>
      </c>
      <c r="AC147">
        <f>IF(Vu_khi!$AG$147,INDEX(Bang_danh_noc!$C$2:$C$8,MIN(7,MAX(1,2-(Vu_khi!$L$147-0)+1))),INDEX(Bang_xuyen_giap!$C$2:$C$8,MIN(7,MAX(1,IF($O$147,MAX(1,2-(Vu_khi!$L$147-0)),2-(Vu_khi!$L$147-0))+1))))*IF($AA$147,INDEX(Bang_xuyen_qua!$C$2:$C$5,MIN(4,MAX(1,(Vu_khi!$L$147)-(0)-1))),1)</f>
        <v/>
      </c>
      <c r="AD147" t="n">
        <v>1.2</v>
      </c>
      <c r="AE147">
        <f>IF(Vu_khi!$AG$147,INDEX(Bang_danh_noc!$C$2:$C$8,MIN(7,MAX(1,2-(Vu_khi!$L$147-2)+1))),INDEX(Bang_xuyen_giap!$C$2:$C$8,MIN(7,MAX(1,IF($O$147,MAX(1,2-(Vu_khi!$L$147-2)),2-(Vu_khi!$L$147-2))+1))))*IF($AA$147,INDEX(Bang_xuyen_qua!$C$2:$C$5,MIN(4,MAX(1,(Vu_khi!$L$147)-(2)-1))),1)</f>
        <v/>
      </c>
      <c r="AF147" t="n">
        <v>0.85</v>
      </c>
      <c r="AG147">
        <f>IF(Vu_khi!$AG$147,INDEX(Bang_danh_noc!$C$2:$C$8,MIN(7,MAX(1,2-(Vu_khi!$L$147-4)+1))),INDEX(Bang_xuyen_giap!$C$2:$C$8,MIN(7,MAX(1,IF($O$147,MAX(1,2-(Vu_khi!$L$147-4)),2-(Vu_khi!$L$147-4))+1))))*IF($AA$147,INDEX(Bang_xuyen_qua!$C$2:$C$5,MIN(4,MAX(1,(Vu_khi!$L$147)-(4)-1))),1)</f>
        <v/>
      </c>
      <c r="AH147" t="n">
        <v>0.4</v>
      </c>
      <c r="AI147">
        <f>INDEX(Bang_xuyen_giap!$C$2:$C$8,MIN(7,MAX(1,MAX(1,2-(Vu_khi!$L$147-0))+1)))*IF($AA$147,INDEX(Bang_xuyen_qua!$C$2:$C$5,MIN(4,MAX(1,(Vu_khi!$L$147)-(0)-1))),1)</f>
        <v/>
      </c>
      <c r="AJ147" t="n">
        <v>1</v>
      </c>
      <c r="AK147">
        <f>IF($Q$147,$M$147*$AC$147*$U$147,0)</f>
        <v/>
      </c>
      <c r="AL147" t="n">
        <v>84.91620111731844</v>
      </c>
      <c r="AM147">
        <f>IF($Q$147,$M$147*$AE$147*$U$147,0)</f>
        <v/>
      </c>
      <c r="AN147" t="n">
        <v>60.14897579143389</v>
      </c>
      <c r="AO147">
        <f>IF($Q$147,$M$147*$AG$147*$U$147,0)</f>
        <v/>
      </c>
      <c r="AP147" t="n">
        <v>28.30540037243948</v>
      </c>
      <c r="AQ147">
        <f>IF($Q$147,$M$147*$AE$147*$Y$147,0)</f>
        <v/>
      </c>
      <c r="AR147" t="n">
        <v>35.0869025450031</v>
      </c>
      <c r="AS147">
        <f>IF($S$147,$M$147*$AI$147*$W$147,0)</f>
        <v/>
      </c>
      <c r="AT147" t="n">
        <v>17.69087523277467</v>
      </c>
      <c r="AU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V147" t="b">
        <v>0</v>
      </c>
      <c r="AW147">
        <f>IF(AND($B$147&lt;0,$AU$147),4,$B$147)</f>
        <v/>
      </c>
      <c r="AX147" t="n">
        <v>0</v>
      </c>
      <c r="AY147">
        <f>IF($AW$147&lt;4,0,MIN(MAX(0.5,Canh_bao_vong!$D$4),MAX(IF(Vu_khi!$C$147="cal_406",Canh_bao_vong!$D$7,IF($AW$147&gt;=5,Canh_bao_vong!$D$9,Canh_bao_vong!$D$8)),Canh_bao_vong!$D$2+MAX(0,Vu_khi!$X$147)/MAX(0.1,Canh_bao_vong!$D$5))))</f>
        <v/>
      </c>
      <c r="AZ147" t="n">
        <v>0</v>
      </c>
      <c r="BD147" t="n">
        <v>230</v>
      </c>
      <c r="BE147" t="n">
        <v>299</v>
      </c>
      <c r="BF147" t="n">
        <v>0.023</v>
      </c>
      <c r="BG147" t="n">
        <v>0.046</v>
      </c>
      <c r="BH147" t="n">
        <v>0.091</v>
      </c>
      <c r="BI147" t="n">
        <v>0.07000000000000001</v>
      </c>
      <c r="BJ147" t="inlineStr">
        <is>
          <t>DIRECT_BULLET</t>
        </is>
      </c>
      <c r="BK147" t="inlineStr">
        <is>
          <t>ok</t>
        </is>
      </c>
      <c r="BL147" t="inlineStr">
        <is>
          <t>family m2_browning_12_7_mm_api</t>
        </is>
      </c>
      <c r="BM147" t="inlineStr"/>
      <c r="BN147" t="inlineStr">
        <is>
          <t>Assets/MachineBrigade/Resources/Data/balance.json: weapons[id=hmg_selfdef_21_api] (lớp B trên 01_chien_dau/Vu_khi)</t>
        </is>
      </c>
      <c r="BO147" t="inlineStr"/>
    </row>
    <row r="148">
      <c r="A148" t="inlineStr">
        <is>
          <t>hover_ciws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60</v>
      </c>
      <c r="G148">
        <f>IF(Vu_khi!$S$148&gt;0,(Vu_khi!$S$148-1)*Vu_khi!$R$148+Vu_khi!$T$148,Vu_khi!$R$148+(Vu_khi!$P$148-1)*Vu_khi!$Q$148)</f>
        <v/>
      </c>
      <c r="H148" t="n">
        <v>6.002</v>
      </c>
      <c r="I148">
        <f>Vu_khi!$W$148*MAX(1,$E$148)</f>
        <v/>
      </c>
      <c r="J148" t="n">
        <v>720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119.9600133288904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1</v>
      </c>
      <c r="U148">
        <f>INDEX(Bang_sat_thuong!$B$2:$B$7,MATCH(Vu_khi!$K$148,Bang_sat_thuong!$A$2:$A$7,0))</f>
        <v/>
      </c>
      <c r="V148" t="n">
        <v>1.2</v>
      </c>
      <c r="W148">
        <f>INDEX(Bang_sat_thuong!$C$2:$C$7,MATCH(Vu_khi!$K$148,Bang_sat_thuong!$A$2:$A$7,0))</f>
        <v/>
      </c>
      <c r="X148" t="n">
        <v>0.3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0.7</v>
      </c>
      <c r="AA148">
        <f>AND(Vu_khi!$K$148="Kinetic",NOT(Vu_khi!$AG$148))</f>
        <v/>
      </c>
      <c r="AB148" t="b">
        <v>1</v>
      </c>
      <c r="AC148">
        <f>IF(Vu_khi!$AG$148,INDEX(Bang_danh_noc!$C$2:$C$8,MIN(7,MAX(1,2-(Vu_khi!$L$148-0)+1))),INDEX(Bang_xuyen_giap!$C$2:$C$8,MIN(7,MAX(1,IF($O$148,MAX(1,2-(Vu_khi!$L$148-0)),2-(Vu_khi!$L$148-0))+1))))*IF($AA$148,INDEX(Bang_xuyen_qua!$C$2:$C$5,MIN(4,MAX(1,(Vu_khi!$L$148)-(0)-1))),1)</f>
        <v/>
      </c>
      <c r="AD148" t="n">
        <v>1.2</v>
      </c>
      <c r="AE148">
        <f>IF(Vu_khi!$AG$148,INDEX(Bang_danh_noc!$C$2:$C$8,MIN(7,MAX(1,2-(Vu_khi!$L$148-2)+1))),INDEX(Bang_xuyen_giap!$C$2:$C$8,MIN(7,MAX(1,IF($O$148,MAX(1,2-(Vu_khi!$L$148-2)),2-(Vu_khi!$L$148-2))+1))))*IF($AA$148,INDEX(Bang_xuyen_qua!$C$2:$C$5,MIN(4,MAX(1,(Vu_khi!$L$148)-(2)-1))),1)</f>
        <v/>
      </c>
      <c r="AF148" t="n">
        <v>0.85</v>
      </c>
      <c r="AG148">
        <f>IF(Vu_khi!$AG$148,INDEX(Bang_danh_noc!$C$2:$C$8,MIN(7,MAX(1,2-(Vu_khi!$L$148-4)+1))),INDEX(Bang_xuyen_giap!$C$2:$C$8,MIN(7,MAX(1,IF($O$148,MAX(1,2-(Vu_khi!$L$148-4)),2-(Vu_khi!$L$148-4))+1))))*IF($AA$148,INDEX(Bang_xuyen_qua!$C$2:$C$5,MIN(4,MAX(1,(Vu_khi!$L$148)-(4)-1))),1)</f>
        <v/>
      </c>
      <c r="AH148" t="n">
        <v>0.4</v>
      </c>
      <c r="AI148">
        <f>INDEX(Bang_xuyen_giap!$C$2:$C$8,MIN(7,MAX(1,MAX(1,2-(Vu_khi!$L$148-0))+1)))*IF($AA$148,INDEX(Bang_xuyen_qua!$C$2:$C$5,MIN(4,MAX(1,(Vu_khi!$L$148)-(0)-1))),1)</f>
        <v/>
      </c>
      <c r="AJ148" t="n">
        <v>1</v>
      </c>
      <c r="AK148">
        <f>IF($Q$148,$M$148*$AC$148*$U$148,0)</f>
        <v/>
      </c>
      <c r="AL148" t="n">
        <v>172.7424191936021</v>
      </c>
      <c r="AM148">
        <f>IF($Q$148,$M$148*$AE$148*$U$148,0)</f>
        <v/>
      </c>
      <c r="AN148" t="n">
        <v>122.3592135954682</v>
      </c>
      <c r="AO148">
        <f>IF($Q$148,$M$148*$AG$148*$U$148,0)</f>
        <v/>
      </c>
      <c r="AP148" t="n">
        <v>57.58080639786738</v>
      </c>
      <c r="AQ148">
        <f>IF($Q$148,$M$148*$AE$148*$Y$148,0)</f>
        <v/>
      </c>
      <c r="AR148" t="n">
        <v>71.37620793068977</v>
      </c>
      <c r="AS148">
        <f>IF($S$148,$M$148*$AI$148*$W$148,0)</f>
        <v/>
      </c>
      <c r="AT148" t="n">
        <v>35.98800399866711</v>
      </c>
      <c r="AU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V148" t="b">
        <v>0</v>
      </c>
      <c r="AW148">
        <f>IF(AND($B$148&lt;0,$AU$148),4,$B$148)</f>
        <v/>
      </c>
      <c r="AX148" t="n">
        <v>1</v>
      </c>
      <c r="AY148">
        <f>IF($AW$148&lt;4,0,MIN(MAX(0.5,Canh_bao_vong!$D$4),MAX(IF(Vu_khi!$C$148="cal_406",Canh_bao_vong!$D$7,IF($AW$148&gt;=5,Canh_bao_vong!$D$9,Canh_bao_vong!$D$8)),Canh_bao_vong!$D$2+MAX(0,Vu_khi!$X$148)/MAX(0.1,Canh_bao_vong!$D$5))))</f>
        <v/>
      </c>
      <c r="AZ148" t="n">
        <v>0</v>
      </c>
      <c r="BA148" t="n">
        <v>8.336111000000001</v>
      </c>
      <c r="BB148" t="inlineStr">
        <is>
          <t>ok</t>
        </is>
      </c>
      <c r="BC148" t="b">
        <v>1</v>
      </c>
      <c r="BD148" t="n">
        <v>300</v>
      </c>
      <c r="BE148" t="n">
        <v>390</v>
      </c>
      <c r="BF148" t="n">
        <v>0.028</v>
      </c>
      <c r="BG148" t="n">
        <v>0.057</v>
      </c>
      <c r="BH148" t="n">
        <v>0.113</v>
      </c>
      <c r="BI148" t="n">
        <v>0.08699999999999999</v>
      </c>
      <c r="BJ148" t="inlineStr">
        <is>
          <t>DIRECT_BULLET</t>
        </is>
      </c>
      <c r="BK148" t="inlineStr">
        <is>
          <t>ok</t>
        </is>
      </c>
      <c r="BL148" t="inlineStr">
        <is>
          <t>family ak_630_30_mm</t>
        </is>
      </c>
      <c r="BM148" t="inlineStr"/>
      <c r="BN148" t="inlineStr">
        <is>
          <t>Assets/MachineBrigade/Resources/Data/balance.json: weapons[id=hover_ciws] (lớp B trên 01_chien_dau/Vu_khi)</t>
        </is>
      </c>
      <c r="BO148" t="inlineStr"/>
    </row>
    <row r="149">
      <c r="A149" t="inlineStr">
        <is>
          <t>hover_ciws_flak</t>
        </is>
      </c>
      <c r="B149" t="n">
        <v>1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60</v>
      </c>
      <c r="G149">
        <f>IF(Vu_khi!$S$149&gt;0,(Vu_khi!$S$149-1)*Vu_khi!$R$149+Vu_khi!$T$149,Vu_khi!$R$149+(Vu_khi!$P$149-1)*Vu_khi!$Q$149)</f>
        <v/>
      </c>
      <c r="H149" t="n">
        <v>6.002</v>
      </c>
      <c r="I149">
        <f>Vu_khi!$W$149*MAX(1,$E$149)</f>
        <v/>
      </c>
      <c r="J149" t="n">
        <v>720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119.9600133288904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0</v>
      </c>
      <c r="S149">
        <f>AND(NOT(Vu_khi!$AJ$149),OR(Vu_khi!$AC$149="Air",Vu_khi!$AC$149="All"))</f>
        <v/>
      </c>
      <c r="T149" t="b">
        <v>1</v>
      </c>
      <c r="U149">
        <f>INDEX(Bang_sat_thuong!$B$2:$B$7,MATCH(Vu_khi!$K$149,Bang_sat_thuong!$A$2:$A$7,0))</f>
        <v/>
      </c>
      <c r="V149" t="n">
        <v>0.45</v>
      </c>
      <c r="W149">
        <f>INDEX(Bang_sat_thuong!$C$2:$C$7,MATCH(Vu_khi!$K$149,Bang_sat_thuong!$A$2:$A$7,0))</f>
        <v/>
      </c>
      <c r="X149" t="n">
        <v>1.35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0.1</v>
      </c>
      <c r="AA149">
        <f>AND(Vu_khi!$K$149="Kinetic",NOT(Vu_khi!$AG$149))</f>
        <v/>
      </c>
      <c r="AB149" t="b">
        <v>0</v>
      </c>
      <c r="AC149">
        <f>IF(Vu_khi!$AG$149,INDEX(Bang_danh_noc!$C$2:$C$8,MIN(7,MAX(1,2-(Vu_khi!$L$149-0)+1))),INDEX(Bang_xuyen_giap!$C$2:$C$8,MIN(7,MAX(1,IF($O$149,MAX(1,2-(Vu_khi!$L$149-0)),2-(Vu_khi!$L$149-0))+1))))*IF($AA$149,INDEX(Bang_xuyen_qua!$C$2:$C$5,MIN(4,MAX(1,(Vu_khi!$L$149)-(0)-1))),1)</f>
        <v/>
      </c>
      <c r="AD149" t="n">
        <v>1.2</v>
      </c>
      <c r="AE149">
        <f>IF(Vu_khi!$AG$149,INDEX(Bang_danh_noc!$C$2:$C$8,MIN(7,MAX(1,2-(Vu_khi!$L$149-2)+1))),INDEX(Bang_xuyen_giap!$C$2:$C$8,MIN(7,MAX(1,IF($O$149,MAX(1,2-(Vu_khi!$L$149-2)),2-(Vu_khi!$L$149-2))+1))))*IF($AA$149,INDEX(Bang_xuyen_qua!$C$2:$C$5,MIN(4,MAX(1,(Vu_khi!$L$149)-(2)-1))),1)</f>
        <v/>
      </c>
      <c r="AF149" t="n">
        <v>0.85</v>
      </c>
      <c r="AG149">
        <f>IF(Vu_khi!$AG$149,INDEX(Bang_danh_noc!$C$2:$C$8,MIN(7,MAX(1,2-(Vu_khi!$L$149-4)+1))),INDEX(Bang_xuyen_giap!$C$2:$C$8,MIN(7,MAX(1,IF($O$149,MAX(1,2-(Vu_khi!$L$149-4)),2-(Vu_khi!$L$149-4))+1))))*IF($AA$149,INDEX(Bang_xuyen_qua!$C$2:$C$5,MIN(4,MAX(1,(Vu_khi!$L$149)-(4)-1))),1)</f>
        <v/>
      </c>
      <c r="AH149" t="n">
        <v>0.4</v>
      </c>
      <c r="AI149">
        <f>INDEX(Bang_xuyen_giap!$C$2:$C$8,MIN(7,MAX(1,MAX(1,2-(Vu_khi!$L$149-0))+1)))*IF($AA$149,INDEX(Bang_xuyen_qua!$C$2:$C$5,MIN(4,MAX(1,(Vu_khi!$L$149)-(0)-1))),1)</f>
        <v/>
      </c>
      <c r="AJ149" t="n">
        <v>1</v>
      </c>
      <c r="AK149">
        <f>IF($Q$149,$M$149*$AC$149*$U$149,0)</f>
        <v/>
      </c>
      <c r="AL149" t="n">
        <v>0</v>
      </c>
      <c r="AM149">
        <f>IF($Q$149,$M$149*$AE$149*$U$149,0)</f>
        <v/>
      </c>
      <c r="AN149" t="n">
        <v>0</v>
      </c>
      <c r="AO149">
        <f>IF($Q$149,$M$149*$AG$149*$U$149,0)</f>
        <v/>
      </c>
      <c r="AP149" t="n">
        <v>0</v>
      </c>
      <c r="AQ149">
        <f>IF($Q$149,$M$149*$AE$149*$Y$149,0)</f>
        <v/>
      </c>
      <c r="AR149" t="n">
        <v>0</v>
      </c>
      <c r="AS149">
        <f>IF($S$149,$M$149*$AI$149*$W$149,0)</f>
        <v/>
      </c>
      <c r="AT149" t="n">
        <v>161.946017994002</v>
      </c>
      <c r="AU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V149" t="b">
        <v>0</v>
      </c>
      <c r="AW149">
        <f>IF(AND($B$149&lt;0,$AU$149),4,$B$149)</f>
        <v/>
      </c>
      <c r="AX149" t="n">
        <v>1</v>
      </c>
      <c r="AY149">
        <f>IF($AW$149&lt;4,0,MIN(MAX(0.5,Canh_bao_vong!$D$4),MAX(IF(Vu_khi!$C$149="cal_406",Canh_bao_vong!$D$7,IF($AW$149&gt;=5,Canh_bao_vong!$D$9,Canh_bao_vong!$D$8)),Canh_bao_vong!$D$2+MAX(0,Vu_khi!$X$149)/MAX(0.1,Canh_bao_vong!$D$5))))</f>
        <v/>
      </c>
      <c r="AZ149" t="n">
        <v>0</v>
      </c>
      <c r="BD149" t="n">
        <v>300</v>
      </c>
      <c r="BE149" t="n">
        <v>390</v>
      </c>
      <c r="BF149" t="n">
        <v>0.028</v>
      </c>
      <c r="BG149" t="n">
        <v>0.057</v>
      </c>
      <c r="BH149" t="n">
        <v>0.113</v>
      </c>
      <c r="BI149" t="n">
        <v>0.08699999999999999</v>
      </c>
      <c r="BJ149" t="inlineStr">
        <is>
          <t>DIRECT_BULLET</t>
        </is>
      </c>
      <c r="BK149" t="inlineStr">
        <is>
          <t>ok</t>
        </is>
      </c>
      <c r="BL149" t="inlineStr">
        <is>
          <t>family ak_630_30_mm_air_burst</t>
        </is>
      </c>
      <c r="BM149" t="inlineStr"/>
      <c r="BN149" t="inlineStr">
        <is>
          <t>Assets/MachineBrigade/Resources/Data/balance.json: weapons[id=hover_ciws_flak] (lớp B trên 01_chien_dau/Vu_khi)</t>
        </is>
      </c>
      <c r="BO149" t="inlineStr"/>
    </row>
    <row r="150">
      <c r="A150" t="inlineStr">
        <is>
          <t>hover_rockets</t>
        </is>
      </c>
      <c r="B150" t="n">
        <v>3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11</v>
      </c>
      <c r="G150">
        <f>IF(Vu_khi!$S$150&gt;0,(Vu_khi!$S$150-1)*Vu_khi!$R$150+Vu_khi!$T$150,Vu_khi!$R$150+(Vu_khi!$P$150-1)*Vu_khi!$Q$150)</f>
        <v/>
      </c>
      <c r="H150" t="n">
        <v>27</v>
      </c>
      <c r="I150">
        <f>Vu_khi!$W$150*MAX(1,$E$150)</f>
        <v/>
      </c>
      <c r="J150" t="n">
        <v>715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26.48148148148148</v>
      </c>
      <c r="O150">
        <f>OR(Vu_khi!$AG$150,Vu_khi!$AB$150&gt;0,Vu_khi!$AH$150,Vu_khi!$M$150="Bomb",Vu_khi!$M$150="Drone")</f>
        <v/>
      </c>
      <c r="P150" t="b">
        <v>1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0</v>
      </c>
      <c r="U150">
        <f>INDEX(Bang_sat_thuong!$B$2:$B$7,MATCH(Vu_khi!$K$150,Bang_sat_thuong!$A$2:$A$7,0))</f>
        <v/>
      </c>
      <c r="V150" t="n">
        <v>1</v>
      </c>
      <c r="W150">
        <f>INDEX(Bang_sat_thuong!$C$2:$C$7,MATCH(Vu_khi!$K$150,Bang_sat_thuong!$A$2:$A$7,0))</f>
        <v/>
      </c>
      <c r="X150" t="n">
        <v>0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1.6</v>
      </c>
      <c r="AA150">
        <f>AND(Vu_khi!$K$150="Kinetic",NOT(Vu_khi!$AG$150))</f>
        <v/>
      </c>
      <c r="AB150" t="b">
        <v>0</v>
      </c>
      <c r="AC150">
        <f>IF(Vu_khi!$AG$150,INDEX(Bang_danh_noc!$C$2:$C$8,MIN(7,MAX(1,2-(Vu_khi!$L$150-0)+1))),INDEX(Bang_xuyen_giap!$C$2:$C$8,MIN(7,MAX(1,IF($O$150,MAX(1,2-(Vu_khi!$L$150-0)),2-(Vu_khi!$L$150-0))+1))))*IF($AA$150,INDEX(Bang_xuyen_qua!$C$2:$C$5,MIN(4,MAX(1,(Vu_khi!$L$150)-(0)-1))),1)</f>
        <v/>
      </c>
      <c r="AD150" t="n">
        <v>1</v>
      </c>
      <c r="AE150">
        <f>IF(Vu_khi!$AG$150,INDEX(Bang_danh_noc!$C$2:$C$8,MIN(7,MAX(1,2-(Vu_khi!$L$150-2)+1))),INDEX(Bang_xuyen_giap!$C$2:$C$8,MIN(7,MAX(1,IF($O$150,MAX(1,2-(Vu_khi!$L$150-2)),2-(Vu_khi!$L$150-2))+1))))*IF($AA$150,INDEX(Bang_xuyen_qua!$C$2:$C$5,MIN(4,MAX(1,(Vu_khi!$L$150)-(2)-1))),1)</f>
        <v/>
      </c>
      <c r="AF150" t="n">
        <v>0.85</v>
      </c>
      <c r="AG150">
        <f>IF(Vu_khi!$AG$150,INDEX(Bang_danh_noc!$C$2:$C$8,MIN(7,MAX(1,2-(Vu_khi!$L$150-4)+1))),INDEX(Bang_xuyen_giap!$C$2:$C$8,MIN(7,MAX(1,IF($O$150,MAX(1,2-(Vu_khi!$L$150-4)),2-(Vu_khi!$L$150-4))+1))))*IF($AA$150,INDEX(Bang_xuyen_qua!$C$2:$C$5,MIN(4,MAX(1,(Vu_khi!$L$150)-(4)-1))),1)</f>
        <v/>
      </c>
      <c r="AH150" t="n">
        <v>0.4</v>
      </c>
      <c r="AI150">
        <f>INDEX(Bang_xuyen_giap!$C$2:$C$8,MIN(7,MAX(1,MAX(1,2-(Vu_khi!$L$150-0))+1)))*IF($AA$150,INDEX(Bang_xuyen_qua!$C$2:$C$5,MIN(4,MAX(1,(Vu_khi!$L$150)-(0)-1))),1)</f>
        <v/>
      </c>
      <c r="AJ150" t="n">
        <v>1</v>
      </c>
      <c r="AK150">
        <f>IF($Q$150,$M$150*$AC$150*$U$150,0)</f>
        <v/>
      </c>
      <c r="AL150" t="n">
        <v>26.48148148148148</v>
      </c>
      <c r="AM150">
        <f>IF($Q$150,$M$150*$AE$150*$U$150,0)</f>
        <v/>
      </c>
      <c r="AN150" t="n">
        <v>22.50925925925926</v>
      </c>
      <c r="AO150">
        <f>IF($Q$150,$M$150*$AG$150*$U$150,0)</f>
        <v/>
      </c>
      <c r="AP150" t="n">
        <v>10.59259259259259</v>
      </c>
      <c r="AQ150">
        <f>IF($Q$150,$M$150*$AE$150*$Y$150,0)</f>
        <v/>
      </c>
      <c r="AR150" t="n">
        <v>36.01481481481482</v>
      </c>
      <c r="AS150">
        <f>IF($S$150,$M$150*$AI$150*$W$150,0)</f>
        <v/>
      </c>
      <c r="AT150" t="n">
        <v>0</v>
      </c>
      <c r="AU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V150" t="b">
        <v>0</v>
      </c>
      <c r="AW150">
        <f>IF(AND($B$150&lt;0,$AU$150),4,$B$150)</f>
        <v/>
      </c>
      <c r="AX150" t="n">
        <v>3</v>
      </c>
      <c r="AY150">
        <f>IF($AW$150&lt;4,0,MIN(MAX(0.5,Canh_bao_vong!$D$4),MAX(IF(Vu_khi!$C$150="cal_406",Canh_bao_vong!$D$7,IF($AW$150&gt;=5,Canh_bao_vong!$D$9,Canh_bao_vong!$D$8)),Canh_bao_vong!$D$2+MAX(0,Vu_khi!$X$150)/MAX(0.1,Canh_bao_vong!$D$5))))</f>
        <v/>
      </c>
      <c r="AZ150" t="n">
        <v>0</v>
      </c>
      <c r="BA150" t="n">
        <v>1</v>
      </c>
      <c r="BB150" t="inlineStr">
        <is>
          <t>ok</t>
        </is>
      </c>
      <c r="BC150" t="b">
        <v>1</v>
      </c>
      <c r="BD150" t="n">
        <v>85</v>
      </c>
      <c r="BE150" t="n">
        <v>110.5</v>
      </c>
      <c r="BF150" t="n">
        <v>0.141</v>
      </c>
      <c r="BG150" t="n">
        <v>0.324</v>
      </c>
      <c r="BH150" t="n">
        <v>0.647</v>
      </c>
      <c r="BI150" t="n">
        <v>0.498</v>
      </c>
      <c r="BJ150" t="inlineStr">
        <is>
          <t>ROCKET_ARTILLERY</t>
        </is>
      </c>
      <c r="BK150" t="inlineStr">
        <is>
          <t>TOO_FAST_FOR_CLASS;TOO_FAST_AT_GEAR_CAP</t>
        </is>
      </c>
      <c r="BL150" t="inlineStr">
        <is>
          <t>own line</t>
        </is>
      </c>
      <c r="BM150" t="n">
        <v>42.5</v>
      </c>
      <c r="BN150" t="inlineStr">
        <is>
          <t>Assets/MachineBrigade/Resources/Data/balance.json: weapons[id=hover_rockets] (lớp B trên 01_chien_dau/Vu_khi)</t>
        </is>
      </c>
      <c r="BO150" t="inlineStr"/>
    </row>
    <row r="151">
      <c r="A151" t="inlineStr">
        <is>
          <t>howitzer</t>
        </is>
      </c>
      <c r="B151" t="n">
        <v>3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10.204</v>
      </c>
      <c r="I151">
        <f>Vu_khi!$W$151*MAX(1,$E$151)</f>
        <v/>
      </c>
      <c r="J151" t="n">
        <v>457</v>
      </c>
      <c r="K151">
        <f>IF(Vu_khi!$V$151&gt;0,Vu_khi!$V$151,MIN(28,MAX(10,Vu_khi!$U$151*Vu_khi!$R$151*0.4)))</f>
        <v/>
      </c>
      <c r="L151" t="n">
        <v>33.49</v>
      </c>
      <c r="M151">
        <f>IF(Vu_khi!$W$151&lt;=0,0,IF(Vu_khi!$U$151&gt;0,$I$151*Vu_khi!$U$151/(MAX(0.05,$G$151)*Vu_khi!$U$151+$K$151),$I$151/MAX(0.05,$G$151)))</f>
        <v/>
      </c>
      <c r="N151" t="n">
        <v>38.4728711537652</v>
      </c>
      <c r="O151">
        <f>OR(Vu_khi!$AG$151,Vu_khi!$AB$151&gt;0,Vu_khi!$AH$151,Vu_khi!$M$151="Bomb",Vu_khi!$M$151="Drone")</f>
        <v/>
      </c>
      <c r="P151" t="b">
        <v>1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1.6</v>
      </c>
      <c r="AA151">
        <f>AND(Vu_khi!$K$151="Kinetic",NOT(Vu_khi!$AG$151))</f>
        <v/>
      </c>
      <c r="AB151" t="b">
        <v>0</v>
      </c>
      <c r="AC151">
        <f>IF(Vu_khi!$AG$151,INDEX(Bang_danh_noc!$C$2:$C$8,MIN(7,MAX(1,2-(Vu_khi!$L$151-0)+1))),INDEX(Bang_xuyen_giap!$C$2:$C$8,MIN(7,MAX(1,IF($O$151,MAX(1,2-(Vu_khi!$L$151-0)),2-(Vu_khi!$L$151-0))+1))))*IF($AA$151,INDEX(Bang_xuyen_qua!$C$2:$C$5,MIN(4,MAX(1,(Vu_khi!$L$151)-(0)-1))),1)</f>
        <v/>
      </c>
      <c r="AD151" t="n">
        <v>1</v>
      </c>
      <c r="AE151">
        <f>IF(Vu_khi!$AG$151,INDEX(Bang_danh_noc!$C$2:$C$8,MIN(7,MAX(1,2-(Vu_khi!$L$151-2)+1))),INDEX(Bang_xuyen_giap!$C$2:$C$8,MIN(7,MAX(1,IF($O$151,MAX(1,2-(Vu_khi!$L$151-2)),2-(Vu_khi!$L$151-2))+1))))*IF($AA$151,INDEX(Bang_xuyen_qua!$C$2:$C$5,MIN(4,MAX(1,(Vu_khi!$L$151)-(2)-1))),1)</f>
        <v/>
      </c>
      <c r="AF151" t="n">
        <v>1</v>
      </c>
      <c r="AG151">
        <f>IF(Vu_khi!$AG$151,INDEX(Bang_danh_noc!$C$2:$C$8,MIN(7,MAX(1,2-(Vu_khi!$L$151-4)+1))),INDEX(Bang_xuyen_giap!$C$2:$C$8,MIN(7,MAX(1,IF($O$151,MAX(1,2-(Vu_khi!$L$151-4)),2-(Vu_khi!$L$151-4))+1))))*IF($AA$151,INDEX(Bang_xuyen_qua!$C$2:$C$5,MIN(4,MAX(1,(Vu_khi!$L$151)-(4)-1))),1)</f>
        <v/>
      </c>
      <c r="AH151" t="n">
        <v>0.65</v>
      </c>
      <c r="AI151">
        <f>INDEX(Bang_xuyen_giap!$C$2:$C$8,MIN(7,MAX(1,MAX(1,2-(Vu_khi!$L$151-0))+1)))*IF($AA$151,INDEX(Bang_xuyen_qua!$C$2:$C$5,MIN(4,MAX(1,(Vu_khi!$L$151)-(0)-1))),1)</f>
        <v/>
      </c>
      <c r="AJ151" t="n">
        <v>1</v>
      </c>
      <c r="AK151">
        <f>IF($Q$151,$M$151*$AC$151*$U$151,0)</f>
        <v/>
      </c>
      <c r="AL151" t="n">
        <v>38.4728711537652</v>
      </c>
      <c r="AM151">
        <f>IF($Q$151,$M$151*$AE$151*$U$151,0)</f>
        <v/>
      </c>
      <c r="AN151" t="n">
        <v>38.4728711537652</v>
      </c>
      <c r="AO151">
        <f>IF($Q$151,$M$151*$AG$151*$U$151,0)</f>
        <v/>
      </c>
      <c r="AP151" t="n">
        <v>25.00736624994738</v>
      </c>
      <c r="AQ151">
        <f>IF($Q$151,$M$151*$AE$151*$Y$151,0)</f>
        <v/>
      </c>
      <c r="AR151" t="n">
        <v>61.55659384602433</v>
      </c>
      <c r="AS151">
        <f>IF($S$151,$M$151*$AI$151*$W$151,0)</f>
        <v/>
      </c>
      <c r="AT151" t="n">
        <v>0</v>
      </c>
      <c r="AU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V151" t="b">
        <v>0</v>
      </c>
      <c r="AW151">
        <f>IF(AND($B$151&lt;0,$AU$151),4,$B$151)</f>
        <v/>
      </c>
      <c r="AX151" t="n">
        <v>3</v>
      </c>
      <c r="AY151">
        <f>IF($AW$151&lt;4,0,MIN(MAX(0.5,Canh_bao_vong!$D$4),MAX(IF(Vu_khi!$C$151="cal_406",Canh_bao_vong!$D$7,IF($AW$151&gt;=5,Canh_bao_vong!$D$9,Canh_bao_vong!$D$8)),Canh_bao_vong!$D$2+MAX(0,Vu_khi!$X$151)/MAX(0.1,Canh_bao_vong!$D$5))))</f>
        <v/>
      </c>
      <c r="AZ151" t="n">
        <v>0</v>
      </c>
      <c r="BA151" t="n">
        <v>0.55433</v>
      </c>
      <c r="BB151" t="inlineStr">
        <is>
          <t>NHANH_QUA</t>
        </is>
      </c>
      <c r="BC151" t="inlineStr"/>
      <c r="BD151" t="n">
        <v>55</v>
      </c>
      <c r="BE151" t="n">
        <v>71.5</v>
      </c>
      <c r="BF151" t="n">
        <v>0.455</v>
      </c>
      <c r="BG151" t="n">
        <v>0.8179999999999999</v>
      </c>
      <c r="BH151" t="n">
        <v>1.636</v>
      </c>
      <c r="BI151" t="n">
        <v>1.259</v>
      </c>
      <c r="BJ151" t="inlineStr">
        <is>
          <t>HOWITZER</t>
        </is>
      </c>
      <c r="BK151" t="inlineStr">
        <is>
          <t>ok</t>
        </is>
      </c>
      <c r="BL151" t="inlineStr">
        <is>
          <t>family m284_155_mm_2</t>
        </is>
      </c>
      <c r="BM151" t="inlineStr"/>
      <c r="BN151" t="inlineStr">
        <is>
          <t>Assets/MachineBrigade/Resources/Data/balance.json: weapons[id=howitzer] (lớp B trên 01_chien_dau/Vu_khi)</t>
        </is>
      </c>
      <c r="BO151" t="inlineStr"/>
    </row>
    <row r="152">
      <c r="A152" t="inlineStr">
        <is>
          <t>howitzer_ext</t>
        </is>
      </c>
      <c r="B152" t="n">
        <v>3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7.571</v>
      </c>
      <c r="I152">
        <f>Vu_khi!$W$152*MAX(1,$E$152)</f>
        <v/>
      </c>
      <c r="J152" t="n">
        <v>457</v>
      </c>
      <c r="K152">
        <f>IF(Vu_khi!$V$152&gt;0,Vu_khi!$V$152,MIN(28,MAX(10,Vu_khi!$U$152*Vu_khi!$R$152*0.4)))</f>
        <v/>
      </c>
      <c r="L152" t="n">
        <v>21</v>
      </c>
      <c r="M152">
        <f>IF(Vu_khi!$W$152&lt;=0,0,IF(Vu_khi!$U$152&gt;0,$I$152*Vu_khi!$U$152/(MAX(0.05,$G$152)*Vu_khi!$U$152+$K$152),$I$152/MAX(0.05,$G$152)))</f>
        <v/>
      </c>
      <c r="N152" t="n">
        <v>53.01009163670108</v>
      </c>
      <c r="O152">
        <f>OR(Vu_khi!$AG$152,Vu_khi!$AB$152&gt;0,Vu_khi!$AH$152,Vu_khi!$M$152="Bomb",Vu_khi!$M$152="Drone")</f>
        <v/>
      </c>
      <c r="P152" t="b">
        <v>1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1.6</v>
      </c>
      <c r="AA152">
        <f>AND(Vu_khi!$K$152="Kinetic",NOT(Vu_khi!$AG$152))</f>
        <v/>
      </c>
      <c r="AB152" t="b">
        <v>0</v>
      </c>
      <c r="AC152">
        <f>IF(Vu_khi!$AG$152,INDEX(Bang_danh_noc!$C$2:$C$8,MIN(7,MAX(1,2-(Vu_khi!$L$152-0)+1))),INDEX(Bang_xuyen_giap!$C$2:$C$8,MIN(7,MAX(1,IF($O$152,MAX(1,2-(Vu_khi!$L$152-0)),2-(Vu_khi!$L$152-0))+1))))*IF($AA$152,INDEX(Bang_xuyen_qua!$C$2:$C$5,MIN(4,MAX(1,(Vu_khi!$L$152)-(0)-1))),1)</f>
        <v/>
      </c>
      <c r="AD152" t="n">
        <v>1</v>
      </c>
      <c r="AE152">
        <f>IF(Vu_khi!$AG$152,INDEX(Bang_danh_noc!$C$2:$C$8,MIN(7,MAX(1,2-(Vu_khi!$L$152-2)+1))),INDEX(Bang_xuyen_giap!$C$2:$C$8,MIN(7,MAX(1,IF($O$152,MAX(1,2-(Vu_khi!$L$152-2)),2-(Vu_khi!$L$152-2))+1))))*IF($AA$152,INDEX(Bang_xuyen_qua!$C$2:$C$5,MIN(4,MAX(1,(Vu_khi!$L$152)-(2)-1))),1)</f>
        <v/>
      </c>
      <c r="AF152" t="n">
        <v>1</v>
      </c>
      <c r="AG152">
        <f>IF(Vu_khi!$AG$152,INDEX(Bang_danh_noc!$C$2:$C$8,MIN(7,MAX(1,2-(Vu_khi!$L$152-4)+1))),INDEX(Bang_xuyen_giap!$C$2:$C$8,MIN(7,MAX(1,IF($O$152,MAX(1,2-(Vu_khi!$L$152-4)),2-(Vu_khi!$L$152-4))+1))))*IF($AA$152,INDEX(Bang_xuyen_qua!$C$2:$C$5,MIN(4,MAX(1,(Vu_khi!$L$152)-(4)-1))),1)</f>
        <v/>
      </c>
      <c r="AH152" t="n">
        <v>0.65</v>
      </c>
      <c r="AI152">
        <f>INDEX(Bang_xuyen_giap!$C$2:$C$8,MIN(7,MAX(1,MAX(1,2-(Vu_khi!$L$152-0))+1)))*IF($AA$152,INDEX(Bang_xuyen_qua!$C$2:$C$5,MIN(4,MAX(1,(Vu_khi!$L$152)-(0)-1))),1)</f>
        <v/>
      </c>
      <c r="AJ152" t="n">
        <v>1</v>
      </c>
      <c r="AK152">
        <f>IF($Q$152,$M$152*$AC$152*$U$152,0)</f>
        <v/>
      </c>
      <c r="AL152" t="n">
        <v>53.01009163670108</v>
      </c>
      <c r="AM152">
        <f>IF($Q$152,$M$152*$AE$152*$U$152,0)</f>
        <v/>
      </c>
      <c r="AN152" t="n">
        <v>53.01009163670108</v>
      </c>
      <c r="AO152">
        <f>IF($Q$152,$M$152*$AG$152*$U$152,0)</f>
        <v/>
      </c>
      <c r="AP152" t="n">
        <v>34.45655956385571</v>
      </c>
      <c r="AQ152">
        <f>IF($Q$152,$M$152*$AE$152*$Y$152,0)</f>
        <v/>
      </c>
      <c r="AR152" t="n">
        <v>84.81614661872175</v>
      </c>
      <c r="AS152">
        <f>IF($S$152,$M$152*$AI$152*$W$152,0)</f>
        <v/>
      </c>
      <c r="AT152" t="n">
        <v>0</v>
      </c>
      <c r="AU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V152" t="b">
        <v>0</v>
      </c>
      <c r="AW152">
        <f>IF(AND($B$152&lt;0,$AU$152),4,$B$152)</f>
        <v/>
      </c>
      <c r="AX152" t="n">
        <v>3</v>
      </c>
      <c r="AY152">
        <f>IF($AW$152&lt;4,0,MIN(MAX(0.5,Canh_bao_vong!$D$4),MAX(IF(Vu_khi!$C$152="cal_406",Canh_bao_vong!$D$7,IF($AW$152&gt;=5,Canh_bao_vong!$D$9,Canh_bao_vong!$D$8)),Canh_bao_vong!$D$2+MAX(0,Vu_khi!$X$152)/MAX(0.1,Canh_bao_vong!$D$5))))</f>
        <v/>
      </c>
      <c r="AZ152" t="n">
        <v>0</v>
      </c>
      <c r="BA152" t="n">
        <v>0.402313</v>
      </c>
      <c r="BB152" t="inlineStr">
        <is>
          <t>NHANH_QUA;LECH_DOT_1</t>
        </is>
      </c>
      <c r="BC152" t="inlineStr"/>
      <c r="BD152" t="n">
        <v>60</v>
      </c>
      <c r="BE152" t="n">
        <v>78</v>
      </c>
      <c r="BF152" t="n">
        <v>0.417</v>
      </c>
      <c r="BG152" t="n">
        <v>0.9330000000000001</v>
      </c>
      <c r="BH152" t="n">
        <v>1.867</v>
      </c>
      <c r="BI152" t="n">
        <v>1.436</v>
      </c>
      <c r="BJ152" t="inlineStr">
        <is>
          <t>HOWITZER</t>
        </is>
      </c>
      <c r="BK152" t="inlineStr">
        <is>
          <t>ok</t>
        </is>
      </c>
      <c r="BL152" t="inlineStr">
        <is>
          <t>family m284_155_mm_ext</t>
        </is>
      </c>
      <c r="BM152" t="inlineStr"/>
      <c r="BN152" t="inlineStr">
        <is>
          <t>Assets/MachineBrigade/Resources/Data/balance.json: weapons[id=howitzer_ext] (lớp B trên 01_chien_dau/Vu_khi)</t>
        </is>
      </c>
      <c r="BO152" t="inlineStr"/>
    </row>
    <row r="153">
      <c r="A153" t="inlineStr">
        <is>
          <t>howitzer_fixed</t>
        </is>
      </c>
      <c r="B153" t="n">
        <v>3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</v>
      </c>
      <c r="G153">
        <f>IF(Vu_khi!$S$153&gt;0,(Vu_khi!$S$153-1)*Vu_khi!$R$153+Vu_khi!$T$153,Vu_khi!$R$153+(Vu_khi!$P$153-1)*Vu_khi!$Q$153)</f>
        <v/>
      </c>
      <c r="H153" t="n">
        <v>10</v>
      </c>
      <c r="I153">
        <f>Vu_khi!$W$153*MAX(1,$E$153)</f>
        <v/>
      </c>
      <c r="J153" t="n">
        <v>520</v>
      </c>
      <c r="K153">
        <f>IF(Vu_khi!$V$153&gt;0,Vu_khi!$V$153,MIN(28,MAX(10,Vu_khi!$U$153*Vu_khi!$R$153*0.4)))</f>
        <v/>
      </c>
      <c r="L153" t="n">
        <v>13</v>
      </c>
      <c r="M153">
        <f>IF(Vu_khi!$W$153&lt;=0,0,IF(Vu_khi!$U$153&gt;0,$I$153*Vu_khi!$U$153/(MAX(0.05,$G$153)*Vu_khi!$U$153+$K$153),$I$153/MAX(0.05,$G$153)))</f>
        <v/>
      </c>
      <c r="N153" t="n">
        <v>48.82629107981221</v>
      </c>
      <c r="O153">
        <f>OR(Vu_khi!$AG$153,Vu_khi!$AB$153&gt;0,Vu_khi!$AH$153,Vu_khi!$M$153="Bomb",Vu_khi!$M$153="Drone")</f>
        <v/>
      </c>
      <c r="P153" t="b">
        <v>1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1.6</v>
      </c>
      <c r="AA153">
        <f>AND(Vu_khi!$K$153="Kinetic",NOT(Vu_khi!$AG$153))</f>
        <v/>
      </c>
      <c r="AB153" t="b">
        <v>0</v>
      </c>
      <c r="AC153">
        <f>IF(Vu_khi!$AG$153,INDEX(Bang_danh_noc!$C$2:$C$8,MIN(7,MAX(1,2-(Vu_khi!$L$153-0)+1))),INDEX(Bang_xuyen_giap!$C$2:$C$8,MIN(7,MAX(1,IF($O$153,MAX(1,2-(Vu_khi!$L$153-0)),2-(Vu_khi!$L$153-0))+1))))*IF($AA$153,INDEX(Bang_xuyen_qua!$C$2:$C$5,MIN(4,MAX(1,(Vu_khi!$L$153)-(0)-1))),1)</f>
        <v/>
      </c>
      <c r="AD153" t="n">
        <v>1</v>
      </c>
      <c r="AE153">
        <f>IF(Vu_khi!$AG$153,INDEX(Bang_danh_noc!$C$2:$C$8,MIN(7,MAX(1,2-(Vu_khi!$L$153-2)+1))),INDEX(Bang_xuyen_giap!$C$2:$C$8,MIN(7,MAX(1,IF($O$153,MAX(1,2-(Vu_khi!$L$153-2)),2-(Vu_khi!$L$153-2))+1))))*IF($AA$153,INDEX(Bang_xuyen_qua!$C$2:$C$5,MIN(4,MAX(1,(Vu_khi!$L$153)-(2)-1))),1)</f>
        <v/>
      </c>
      <c r="AF153" t="n">
        <v>1</v>
      </c>
      <c r="AG153">
        <f>IF(Vu_khi!$AG$153,INDEX(Bang_danh_noc!$C$2:$C$8,MIN(7,MAX(1,2-(Vu_khi!$L$153-4)+1))),INDEX(Bang_xuyen_giap!$C$2:$C$8,MIN(7,MAX(1,IF($O$153,MAX(1,2-(Vu_khi!$L$153-4)),2-(Vu_khi!$L$153-4))+1))))*IF($AA$153,INDEX(Bang_xuyen_qua!$C$2:$C$5,MIN(4,MAX(1,(Vu_khi!$L$153)-(4)-1))),1)</f>
        <v/>
      </c>
      <c r="AH153" t="n">
        <v>0.65</v>
      </c>
      <c r="AI153">
        <f>INDEX(Bang_xuyen_giap!$C$2:$C$8,MIN(7,MAX(1,MAX(1,2-(Vu_khi!$L$153-0))+1)))*IF($AA$153,INDEX(Bang_xuyen_qua!$C$2:$C$5,MIN(4,MAX(1,(Vu_khi!$L$153)-(0)-1))),1)</f>
        <v/>
      </c>
      <c r="AJ153" t="n">
        <v>1</v>
      </c>
      <c r="AK153">
        <f>IF($Q$153,$M$153*$AC$153*$U$153,0)</f>
        <v/>
      </c>
      <c r="AL153" t="n">
        <v>48.82629107981221</v>
      </c>
      <c r="AM153">
        <f>IF($Q$153,$M$153*$AE$153*$U$153,0)</f>
        <v/>
      </c>
      <c r="AN153" t="n">
        <v>48.82629107981221</v>
      </c>
      <c r="AO153">
        <f>IF($Q$153,$M$153*$AG$153*$U$153,0)</f>
        <v/>
      </c>
      <c r="AP153" t="n">
        <v>31.73708920187794</v>
      </c>
      <c r="AQ153">
        <f>IF($Q$153,$M$153*$AE$153*$Y$153,0)</f>
        <v/>
      </c>
      <c r="AR153" t="n">
        <v>78.12206572769954</v>
      </c>
      <c r="AS153">
        <f>IF($S$153,$M$153*$AI$153*$W$153,0)</f>
        <v/>
      </c>
      <c r="AT153" t="n">
        <v>0</v>
      </c>
      <c r="AU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V153" t="b">
        <v>0</v>
      </c>
      <c r="AW153">
        <f>IF(AND($B$153&lt;0,$AU$153),4,$B$153)</f>
        <v/>
      </c>
      <c r="AX153" t="n">
        <v>3</v>
      </c>
      <c r="AY153">
        <f>IF($AW$153&lt;4,0,MIN(MAX(0.5,Canh_bao_vong!$D$4),MAX(IF(Vu_khi!$C$153="cal_406",Canh_bao_vong!$D$7,IF($AW$153&gt;=5,Canh_bao_vong!$D$9,Canh_bao_vong!$D$8)),Canh_bao_vong!$D$2+MAX(0,Vu_khi!$X$153)/MAX(0.1,Canh_bao_vong!$D$5))))</f>
        <v/>
      </c>
      <c r="AZ153" t="n">
        <v>0</v>
      </c>
      <c r="BA153" t="n">
        <v>0.497</v>
      </c>
      <c r="BB153" t="inlineStr">
        <is>
          <t>NHANH_QUA;LECH_DOT_1</t>
        </is>
      </c>
      <c r="BC153" t="inlineStr"/>
      <c r="BD153" t="n">
        <v>65</v>
      </c>
      <c r="BE153" t="n">
        <v>84.5</v>
      </c>
      <c r="BF153" t="n">
        <v>0.385</v>
      </c>
      <c r="BG153" t="n">
        <v>0.6919999999999999</v>
      </c>
      <c r="BH153" t="n">
        <v>1.385</v>
      </c>
      <c r="BI153" t="n">
        <v>1.065</v>
      </c>
      <c r="BJ153" t="inlineStr">
        <is>
          <t>HOWITZER</t>
        </is>
      </c>
      <c r="BK153" t="inlineStr">
        <is>
          <t>ok</t>
        </is>
      </c>
      <c r="BL153" t="inlineStr">
        <is>
          <t>family m284_155_mm_fixed</t>
        </is>
      </c>
      <c r="BM153" t="inlineStr"/>
      <c r="BN153" t="inlineStr">
        <is>
          <t>Assets/MachineBrigade/Resources/Data/balance.json: weapons[id=howitzer_fixed] (lớp B trên 01_chien_dau/Vu_khi)</t>
        </is>
      </c>
      <c r="BO153" t="inlineStr"/>
    </row>
    <row r="154">
      <c r="A154" t="inlineStr">
        <is>
          <t>howitzer_fixed_guided</t>
        </is>
      </c>
      <c r="B154" t="n">
        <v>3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10</v>
      </c>
      <c r="I154">
        <f>Vu_khi!$W$154*MAX(1,$E$154)</f>
        <v/>
      </c>
      <c r="J154" t="n">
        <v>520</v>
      </c>
      <c r="K154">
        <f>IF(Vu_khi!$V$154&gt;0,Vu_khi!$V$154,MIN(28,MAX(10,Vu_khi!$U$154*Vu_khi!$R$154*0.4)))</f>
        <v/>
      </c>
      <c r="L154" t="n">
        <v>13</v>
      </c>
      <c r="M154">
        <f>IF(Vu_khi!$W$154&lt;=0,0,IF(Vu_khi!$U$154&gt;0,$I$154*Vu_khi!$U$154/(MAX(0.05,$G$154)*Vu_khi!$U$154+$K$154),$I$154/MAX(0.05,$G$154)))</f>
        <v/>
      </c>
      <c r="N154" t="n">
        <v>48.82629107981221</v>
      </c>
      <c r="O154">
        <f>OR(Vu_khi!$AG$154,Vu_khi!$AB$154&gt;0,Vu_khi!$AH$154,Vu_khi!$M$154="Bomb",Vu_khi!$M$154="Drone")</f>
        <v/>
      </c>
      <c r="P154" t="b">
        <v>1</v>
      </c>
      <c r="Q154">
        <f>AND(NOT(Vu_khi!$AJ$154),OR(Vu_khi!$AC$154="Ground",Vu_khi!$AC$154="All"))</f>
        <v/>
      </c>
      <c r="R154" t="b">
        <v>1</v>
      </c>
      <c r="S154">
        <f>AND(NOT(Vu_khi!$AJ$154),OR(Vu_khi!$AC$154="Air",Vu_khi!$AC$154="All"))</f>
        <v/>
      </c>
      <c r="T154" t="b">
        <v>0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0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1.6</v>
      </c>
      <c r="AA154">
        <f>AND(Vu_khi!$K$154="Kinetic",NOT(Vu_khi!$AG$154))</f>
        <v/>
      </c>
      <c r="AB154" t="b">
        <v>0</v>
      </c>
      <c r="AC154">
        <f>IF(Vu_khi!$AG$154,INDEX(Bang_danh_noc!$C$2:$C$8,MIN(7,MAX(1,2-(Vu_khi!$L$154-0)+1))),INDEX(Bang_xuyen_giap!$C$2:$C$8,MIN(7,MAX(1,IF($O$154,MAX(1,2-(Vu_khi!$L$154-0)),2-(Vu_khi!$L$154-0))+1))))*IF($AA$154,INDEX(Bang_xuyen_qua!$C$2:$C$5,MIN(4,MAX(1,(Vu_khi!$L$154)-(0)-1))),1)</f>
        <v/>
      </c>
      <c r="AD154" t="n">
        <v>1</v>
      </c>
      <c r="AE154">
        <f>IF(Vu_khi!$AG$154,INDEX(Bang_danh_noc!$C$2:$C$8,MIN(7,MAX(1,2-(Vu_khi!$L$154-2)+1))),INDEX(Bang_xuyen_giap!$C$2:$C$8,MIN(7,MAX(1,IF($O$154,MAX(1,2-(Vu_khi!$L$154-2)),2-(Vu_khi!$L$154-2))+1))))*IF($AA$154,INDEX(Bang_xuyen_qua!$C$2:$C$5,MIN(4,MAX(1,(Vu_khi!$L$154)-(2)-1))),1)</f>
        <v/>
      </c>
      <c r="AF154" t="n">
        <v>1</v>
      </c>
      <c r="AG154">
        <f>IF(Vu_khi!$AG$154,INDEX(Bang_danh_noc!$C$2:$C$8,MIN(7,MAX(1,2-(Vu_khi!$L$154-4)+1))),INDEX(Bang_xuyen_giap!$C$2:$C$8,MIN(7,MAX(1,IF($O$154,MAX(1,2-(Vu_khi!$L$154-4)),2-(Vu_khi!$L$154-4))+1))))*IF($AA$154,INDEX(Bang_xuyen_qua!$C$2:$C$5,MIN(4,MAX(1,(Vu_khi!$L$154)-(4)-1))),1)</f>
        <v/>
      </c>
      <c r="AH154" t="n">
        <v>0.65</v>
      </c>
      <c r="AI154">
        <f>INDEX(Bang_xuyen_giap!$C$2:$C$8,MIN(7,MAX(1,MAX(1,2-(Vu_khi!$L$154-0))+1)))*IF($AA$154,INDEX(Bang_xuyen_qua!$C$2:$C$5,MIN(4,MAX(1,(Vu_khi!$L$154)-(0)-1))),1)</f>
        <v/>
      </c>
      <c r="AJ154" t="n">
        <v>1</v>
      </c>
      <c r="AK154">
        <f>IF($Q$154,$M$154*$AC$154*$U$154,0)</f>
        <v/>
      </c>
      <c r="AL154" t="n">
        <v>48.82629107981221</v>
      </c>
      <c r="AM154">
        <f>IF($Q$154,$M$154*$AE$154*$U$154,0)</f>
        <v/>
      </c>
      <c r="AN154" t="n">
        <v>48.82629107981221</v>
      </c>
      <c r="AO154">
        <f>IF($Q$154,$M$154*$AG$154*$U$154,0)</f>
        <v/>
      </c>
      <c r="AP154" t="n">
        <v>31.73708920187794</v>
      </c>
      <c r="AQ154">
        <f>IF($Q$154,$M$154*$AE$154*$Y$154,0)</f>
        <v/>
      </c>
      <c r="AR154" t="n">
        <v>78.12206572769954</v>
      </c>
      <c r="AS154">
        <f>IF($S$154,$M$154*$AI$154*$W$154,0)</f>
        <v/>
      </c>
      <c r="AT154" t="n">
        <v>0</v>
      </c>
      <c r="AU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V154" t="b">
        <v>0</v>
      </c>
      <c r="AW154">
        <f>IF(AND($B$154&lt;0,$AU$154),4,$B$154)</f>
        <v/>
      </c>
      <c r="AX154" t="n">
        <v>3</v>
      </c>
      <c r="AY154">
        <f>IF($AW$154&lt;4,0,MIN(MAX(0.5,Canh_bao_vong!$D$4),MAX(IF(Vu_khi!$C$154="cal_406",Canh_bao_vong!$D$7,IF($AW$154&gt;=5,Canh_bao_vong!$D$9,Canh_bao_vong!$D$8)),Canh_bao_vong!$D$2+MAX(0,Vu_khi!$X$154)/MAX(0.1,Canh_bao_vong!$D$5))))</f>
        <v/>
      </c>
      <c r="AZ154" t="n">
        <v>0</v>
      </c>
      <c r="BD154" t="n">
        <v>70</v>
      </c>
      <c r="BE154" t="n">
        <v>91</v>
      </c>
      <c r="BF154" t="n">
        <v>0.357</v>
      </c>
      <c r="BG154" t="n">
        <v>0.643</v>
      </c>
      <c r="BH154" t="n">
        <v>1.286</v>
      </c>
      <c r="BI154" t="n">
        <v>0.989</v>
      </c>
      <c r="BJ154" t="inlineStr">
        <is>
          <t>HOWITZER</t>
        </is>
      </c>
      <c r="BK154" t="inlineStr">
        <is>
          <t>ok</t>
        </is>
      </c>
      <c r="BL154" t="inlineStr">
        <is>
          <t>family m284_155_mm_guided_fixed</t>
        </is>
      </c>
      <c r="BM154" t="inlineStr"/>
      <c r="BN154" t="inlineStr">
        <is>
          <t>Assets/MachineBrigade/Resources/Data/balance.json: weapons[id=howitzer_fixed_guided] (lớp B trên 01_chien_dau/Vu_khi)</t>
        </is>
      </c>
      <c r="BO154" t="inlineStr"/>
    </row>
    <row r="155">
      <c r="A155" t="inlineStr">
        <is>
          <t>howitzer_guided</t>
        </is>
      </c>
      <c r="B155" t="n">
        <v>3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</v>
      </c>
      <c r="G155">
        <f>IF(Vu_khi!$S$155&gt;0,(Vu_khi!$S$155-1)*Vu_khi!$R$155+Vu_khi!$T$155,Vu_khi!$R$155+(Vu_khi!$P$155-1)*Vu_khi!$Q$155)</f>
        <v/>
      </c>
      <c r="H155" t="n">
        <v>10.204</v>
      </c>
      <c r="I155">
        <f>Vu_khi!$W$155*MAX(1,$E$155)</f>
        <v/>
      </c>
      <c r="J155" t="n">
        <v>457</v>
      </c>
      <c r="K155">
        <f>IF(Vu_khi!$V$155&gt;0,Vu_khi!$V$155,MIN(28,MAX(10,Vu_khi!$U$155*Vu_khi!$R$155*0.4)))</f>
        <v/>
      </c>
      <c r="L155" t="n">
        <v>33.49</v>
      </c>
      <c r="M155">
        <f>IF(Vu_khi!$W$155&lt;=0,0,IF(Vu_khi!$U$155&gt;0,$I$155*Vu_khi!$U$155/(MAX(0.05,$G$155)*Vu_khi!$U$155+$K$155),$I$155/MAX(0.05,$G$155)))</f>
        <v/>
      </c>
      <c r="N155" t="n">
        <v>38.4728711537652</v>
      </c>
      <c r="O155">
        <f>OR(Vu_khi!$AG$155,Vu_khi!$AB$155&gt;0,Vu_khi!$AH$155,Vu_khi!$M$155="Bomb",Vu_khi!$M$155="Drone")</f>
        <v/>
      </c>
      <c r="P155" t="b">
        <v>1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</v>
      </c>
      <c r="W155">
        <f>INDEX(Bang_sat_thuong!$C$2:$C$7,MATCH(Vu_khi!$K$155,Bang_sat_thuong!$A$2:$A$7,0))</f>
        <v/>
      </c>
      <c r="X155" t="n">
        <v>0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1.6</v>
      </c>
      <c r="AA155">
        <f>AND(Vu_khi!$K$155="Kinetic",NOT(Vu_khi!$AG$155))</f>
        <v/>
      </c>
      <c r="AB155" t="b">
        <v>0</v>
      </c>
      <c r="AC155">
        <f>IF(Vu_khi!$AG$155,INDEX(Bang_danh_noc!$C$2:$C$8,MIN(7,MAX(1,2-(Vu_khi!$L$155-0)+1))),INDEX(Bang_xuyen_giap!$C$2:$C$8,MIN(7,MAX(1,IF($O$155,MAX(1,2-(Vu_khi!$L$155-0)),2-(Vu_khi!$L$155-0))+1))))*IF($AA$155,INDEX(Bang_xuyen_qua!$C$2:$C$5,MIN(4,MAX(1,(Vu_khi!$L$155)-(0)-1))),1)</f>
        <v/>
      </c>
      <c r="AD155" t="n">
        <v>1</v>
      </c>
      <c r="AE155">
        <f>IF(Vu_khi!$AG$155,INDEX(Bang_danh_noc!$C$2:$C$8,MIN(7,MAX(1,2-(Vu_khi!$L$155-2)+1))),INDEX(Bang_xuyen_giap!$C$2:$C$8,MIN(7,MAX(1,IF($O$155,MAX(1,2-(Vu_khi!$L$155-2)),2-(Vu_khi!$L$155-2))+1))))*IF($AA$155,INDEX(Bang_xuyen_qua!$C$2:$C$5,MIN(4,MAX(1,(Vu_khi!$L$155)-(2)-1))),1)</f>
        <v/>
      </c>
      <c r="AF155" t="n">
        <v>1</v>
      </c>
      <c r="AG155">
        <f>IF(Vu_khi!$AG$155,INDEX(Bang_danh_noc!$C$2:$C$8,MIN(7,MAX(1,2-(Vu_khi!$L$155-4)+1))),INDEX(Bang_xuyen_giap!$C$2:$C$8,MIN(7,MAX(1,IF($O$155,MAX(1,2-(Vu_khi!$L$155-4)),2-(Vu_khi!$L$155-4))+1))))*IF($AA$155,INDEX(Bang_xuyen_qua!$C$2:$C$5,MIN(4,MAX(1,(Vu_khi!$L$155)-(4)-1))),1)</f>
        <v/>
      </c>
      <c r="AH155" t="n">
        <v>0.65</v>
      </c>
      <c r="AI155">
        <f>INDEX(Bang_xuyen_giap!$C$2:$C$8,MIN(7,MAX(1,MAX(1,2-(Vu_khi!$L$155-0))+1)))*IF($AA$155,INDEX(Bang_xuyen_qua!$C$2:$C$5,MIN(4,MAX(1,(Vu_khi!$L$155)-(0)-1))),1)</f>
        <v/>
      </c>
      <c r="AJ155" t="n">
        <v>1</v>
      </c>
      <c r="AK155">
        <f>IF($Q$155,$M$155*$AC$155*$U$155,0)</f>
        <v/>
      </c>
      <c r="AL155" t="n">
        <v>38.4728711537652</v>
      </c>
      <c r="AM155">
        <f>IF($Q$155,$M$155*$AE$155*$U$155,0)</f>
        <v/>
      </c>
      <c r="AN155" t="n">
        <v>38.4728711537652</v>
      </c>
      <c r="AO155">
        <f>IF($Q$155,$M$155*$AG$155*$U$155,0)</f>
        <v/>
      </c>
      <c r="AP155" t="n">
        <v>25.00736624994738</v>
      </c>
      <c r="AQ155">
        <f>IF($Q$155,$M$155*$AE$155*$Y$155,0)</f>
        <v/>
      </c>
      <c r="AR155" t="n">
        <v>61.55659384602433</v>
      </c>
      <c r="AS155">
        <f>IF($S$155,$M$155*$AI$155*$W$155,0)</f>
        <v/>
      </c>
      <c r="AT155" t="n">
        <v>0</v>
      </c>
      <c r="AU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V155" t="b">
        <v>0</v>
      </c>
      <c r="AW155">
        <f>IF(AND($B$155&lt;0,$AU$155),4,$B$155)</f>
        <v/>
      </c>
      <c r="AX155" t="n">
        <v>3</v>
      </c>
      <c r="AY155">
        <f>IF($AW$155&lt;4,0,MIN(MAX(0.5,Canh_bao_vong!$D$4),MAX(IF(Vu_khi!$C$155="cal_406",Canh_bao_vong!$D$7,IF($AW$155&gt;=5,Canh_bao_vong!$D$9,Canh_bao_vong!$D$8)),Canh_bao_vong!$D$2+MAX(0,Vu_khi!$X$155)/MAX(0.1,Canh_bao_vong!$D$5))))</f>
        <v/>
      </c>
      <c r="AZ155" t="n">
        <v>0</v>
      </c>
      <c r="BD155" t="n">
        <v>60</v>
      </c>
      <c r="BE155" t="n">
        <v>78</v>
      </c>
      <c r="BF155" t="n">
        <v>0.417</v>
      </c>
      <c r="BG155" t="n">
        <v>0.75</v>
      </c>
      <c r="BH155" t="n">
        <v>1.5</v>
      </c>
      <c r="BI155" t="n">
        <v>1.154</v>
      </c>
      <c r="BJ155" t="inlineStr">
        <is>
          <t>HOWITZER</t>
        </is>
      </c>
      <c r="BK155" t="inlineStr">
        <is>
          <t>ok</t>
        </is>
      </c>
      <c r="BL155" t="inlineStr">
        <is>
          <t>family m284_155_mm_guided</t>
        </is>
      </c>
      <c r="BM155" t="inlineStr"/>
      <c r="BN155" t="inlineStr">
        <is>
          <t>Assets/MachineBrigade/Resources/Data/balance.json: weapons[id=howitzer_guided] (lớp B trên 01_chien_dau/Vu_khi)</t>
        </is>
      </c>
      <c r="BO155" t="inlineStr"/>
    </row>
    <row r="156">
      <c r="A156" t="inlineStr">
        <is>
          <t>hq_flak</t>
        </is>
      </c>
      <c r="B156" t="n">
        <v>1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120</v>
      </c>
      <c r="G156">
        <f>IF(Vu_khi!$S$156&gt;0,(Vu_khi!$S$156-1)*Vu_khi!$R$156+Vu_khi!$T$156,Vu_khi!$R$156+(Vu_khi!$P$156-1)*Vu_khi!$Q$156)</f>
        <v/>
      </c>
      <c r="H156" t="n">
        <v>6.432</v>
      </c>
      <c r="I156">
        <f>Vu_khi!$W$156*MAX(1,$E$156)</f>
        <v/>
      </c>
      <c r="J156" t="n">
        <v>900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139.9253731343283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1</v>
      </c>
      <c r="U156">
        <f>INDEX(Bang_sat_thuong!$B$2:$B$7,MATCH(Vu_khi!$K$156,Bang_sat_thuong!$A$2:$A$7,0))</f>
        <v/>
      </c>
      <c r="V156" t="n">
        <v>0.45</v>
      </c>
      <c r="W156">
        <f>INDEX(Bang_sat_thuong!$C$2:$C$7,MATCH(Vu_khi!$K$156,Bang_sat_thuong!$A$2:$A$7,0))</f>
        <v/>
      </c>
      <c r="X156" t="n">
        <v>1.35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0.1</v>
      </c>
      <c r="AA156">
        <f>AND(Vu_khi!$K$156="Kinetic",NOT(Vu_khi!$AG$156))</f>
        <v/>
      </c>
      <c r="AB156" t="b">
        <v>0</v>
      </c>
      <c r="AC156">
        <f>IF(Vu_khi!$AG$156,INDEX(Bang_danh_noc!$C$2:$C$8,MIN(7,MAX(1,2-(Vu_khi!$L$156-0)+1))),INDEX(Bang_xuyen_giap!$C$2:$C$8,MIN(7,MAX(1,IF($O$156,MAX(1,2-(Vu_khi!$L$156-0)),2-(Vu_khi!$L$156-0))+1))))*IF($AA$156,INDEX(Bang_xuyen_qua!$C$2:$C$5,MIN(4,MAX(1,(Vu_khi!$L$156)-(0)-1))),1)</f>
        <v/>
      </c>
      <c r="AD156" t="n">
        <v>1.2</v>
      </c>
      <c r="AE156">
        <f>IF(Vu_khi!$AG$156,INDEX(Bang_danh_noc!$C$2:$C$8,MIN(7,MAX(1,2-(Vu_khi!$L$156-2)+1))),INDEX(Bang_xuyen_giap!$C$2:$C$8,MIN(7,MAX(1,IF($O$156,MAX(1,2-(Vu_khi!$L$156-2)),2-(Vu_khi!$L$156-2))+1))))*IF($AA$156,INDEX(Bang_xuyen_qua!$C$2:$C$5,MIN(4,MAX(1,(Vu_khi!$L$156)-(2)-1))),1)</f>
        <v/>
      </c>
      <c r="AF156" t="n">
        <v>0.85</v>
      </c>
      <c r="AG156">
        <f>IF(Vu_khi!$AG$156,INDEX(Bang_danh_noc!$C$2:$C$8,MIN(7,MAX(1,2-(Vu_khi!$L$156-4)+1))),INDEX(Bang_xuyen_giap!$C$2:$C$8,MIN(7,MAX(1,IF($O$156,MAX(1,2-(Vu_khi!$L$156-4)),2-(Vu_khi!$L$156-4))+1))))*IF($AA$156,INDEX(Bang_xuyen_qua!$C$2:$C$5,MIN(4,MAX(1,(Vu_khi!$L$156)-(4)-1))),1)</f>
        <v/>
      </c>
      <c r="AH156" t="n">
        <v>0.4</v>
      </c>
      <c r="AI156">
        <f>INDEX(Bang_xuyen_giap!$C$2:$C$8,MIN(7,MAX(1,MAX(1,2-(Vu_khi!$L$156-0))+1)))*IF($AA$156,INDEX(Bang_xuyen_qua!$C$2:$C$5,MIN(4,MAX(1,(Vu_khi!$L$156)-(0)-1))),1)</f>
        <v/>
      </c>
      <c r="AJ156" t="n">
        <v>1</v>
      </c>
      <c r="AK156">
        <f>IF($Q$156,$M$156*$AC$156*$U$156,0)</f>
        <v/>
      </c>
      <c r="AL156" t="n">
        <v>75.55970149253731</v>
      </c>
      <c r="AM156">
        <f>IF($Q$156,$M$156*$AE$156*$U$156,0)</f>
        <v/>
      </c>
      <c r="AN156" t="n">
        <v>53.52145522388059</v>
      </c>
      <c r="AO156">
        <f>IF($Q$156,$M$156*$AG$156*$U$156,0)</f>
        <v/>
      </c>
      <c r="AP156" t="n">
        <v>25.1865671641791</v>
      </c>
      <c r="AQ156">
        <f>IF($Q$156,$M$156*$AE$156*$Y$156,0)</f>
        <v/>
      </c>
      <c r="AR156" t="n">
        <v>11.89365671641791</v>
      </c>
      <c r="AS156">
        <f>IF($S$156,$M$156*$AI$156*$W$156,0)</f>
        <v/>
      </c>
      <c r="AT156" t="n">
        <v>188.8992537313433</v>
      </c>
      <c r="AU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V156" t="b">
        <v>0</v>
      </c>
      <c r="AW156">
        <f>IF(AND($B$156&lt;0,$AU$156),4,$B$156)</f>
        <v/>
      </c>
      <c r="AX156" t="n">
        <v>1</v>
      </c>
      <c r="AY156">
        <f>IF($AW$156&lt;4,0,MIN(MAX(0.5,Canh_bao_vong!$D$4),MAX(IF(Vu_khi!$C$156="cal_406",Canh_bao_vong!$D$7,IF($AW$156&gt;=5,Canh_bao_vong!$D$9,Canh_bao_vong!$D$8)),Canh_bao_vong!$D$2+MAX(0,Vu_khi!$X$156)/MAX(0.1,Canh_bao_vong!$D$5))))</f>
        <v/>
      </c>
      <c r="AZ156" t="n">
        <v>0</v>
      </c>
      <c r="BA156" t="n">
        <v>4.466667</v>
      </c>
      <c r="BB156" t="inlineStr">
        <is>
          <t>ok</t>
        </is>
      </c>
      <c r="BC156" t="inlineStr"/>
      <c r="BD156" t="n">
        <v>280</v>
      </c>
      <c r="BE156" t="n">
        <v>364</v>
      </c>
      <c r="BF156" t="n">
        <v>0.037</v>
      </c>
      <c r="BG156" t="n">
        <v>0.075</v>
      </c>
      <c r="BH156" t="n">
        <v>0.15</v>
      </c>
      <c r="BI156" t="n">
        <v>0.115</v>
      </c>
      <c r="BJ156" t="inlineStr">
        <is>
          <t>DIRECT_BULLET</t>
        </is>
      </c>
      <c r="BK156" t="inlineStr">
        <is>
          <t>ok</t>
        </is>
      </c>
      <c r="BL156" t="inlineStr">
        <is>
          <t>family 2a38_30_mm</t>
        </is>
      </c>
      <c r="BM156" t="inlineStr"/>
      <c r="BN156" t="inlineStr">
        <is>
          <t>Assets/MachineBrigade/Resources/Data/balance.json: weapons[id=hq_flak] (lớp B trên 01_chien_dau/Vu_khi)</t>
        </is>
      </c>
      <c r="BO156" t="inlineStr"/>
    </row>
    <row r="157">
      <c r="A157" t="inlineStr">
        <is>
          <t>hq_flak_ap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120</v>
      </c>
      <c r="G157">
        <f>IF(Vu_khi!$S$157&gt;0,(Vu_khi!$S$157-1)*Vu_khi!$R$157+Vu_khi!$T$157,Vu_khi!$R$157+(Vu_khi!$P$157-1)*Vu_khi!$Q$157)</f>
        <v/>
      </c>
      <c r="H157" t="n">
        <v>6.432</v>
      </c>
      <c r="I157">
        <f>Vu_khi!$W$157*MAX(1,$E$157)</f>
        <v/>
      </c>
      <c r="J157" t="n">
        <v>900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139.9253731343283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1.2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0.7</v>
      </c>
      <c r="AA157">
        <f>AND(Vu_khi!$K$157="Kinetic",NOT(Vu_khi!$AG$157))</f>
        <v/>
      </c>
      <c r="AB157" t="b">
        <v>1</v>
      </c>
      <c r="AC157">
        <f>IF(Vu_khi!$AG$157,INDEX(Bang_danh_noc!$C$2:$C$8,MIN(7,MAX(1,2-(Vu_khi!$L$157-0)+1))),INDEX(Bang_xuyen_giap!$C$2:$C$8,MIN(7,MAX(1,IF($O$157,MAX(1,2-(Vu_khi!$L$157-0)),2-(Vu_khi!$L$157-0))+1))))*IF($AA$157,INDEX(Bang_xuyen_qua!$C$2:$C$5,MIN(4,MAX(1,(Vu_khi!$L$157)-(0)-1))),1)</f>
        <v/>
      </c>
      <c r="AD157" t="n">
        <v>1.2</v>
      </c>
      <c r="AE157">
        <f>IF(Vu_khi!$AG$157,INDEX(Bang_danh_noc!$C$2:$C$8,MIN(7,MAX(1,2-(Vu_khi!$L$157-2)+1))),INDEX(Bang_xuyen_giap!$C$2:$C$8,MIN(7,MAX(1,IF($O$157,MAX(1,2-(Vu_khi!$L$157-2)),2-(Vu_khi!$L$157-2))+1))))*IF($AA$157,INDEX(Bang_xuyen_qua!$C$2:$C$5,MIN(4,MAX(1,(Vu_khi!$L$157)-(2)-1))),1)</f>
        <v/>
      </c>
      <c r="AF157" t="n">
        <v>0.85</v>
      </c>
      <c r="AG157">
        <f>IF(Vu_khi!$AG$157,INDEX(Bang_danh_noc!$C$2:$C$8,MIN(7,MAX(1,2-(Vu_khi!$L$157-4)+1))),INDEX(Bang_xuyen_giap!$C$2:$C$8,MIN(7,MAX(1,IF($O$157,MAX(1,2-(Vu_khi!$L$157-4)),2-(Vu_khi!$L$157-4))+1))))*IF($AA$157,INDEX(Bang_xuyen_qua!$C$2:$C$5,MIN(4,MAX(1,(Vu_khi!$L$157)-(4)-1))),1)</f>
        <v/>
      </c>
      <c r="AH157" t="n">
        <v>0.4</v>
      </c>
      <c r="AI157">
        <f>INDEX(Bang_xuyen_giap!$C$2:$C$8,MIN(7,MAX(1,MAX(1,2-(Vu_khi!$L$157-0))+1)))*IF($AA$157,INDEX(Bang_xuyen_qua!$C$2:$C$5,MIN(4,MAX(1,(Vu_khi!$L$157)-(0)-1))),1)</f>
        <v/>
      </c>
      <c r="AJ157" t="n">
        <v>1</v>
      </c>
      <c r="AK157">
        <f>IF($Q$157,$M$157*$AC$157*$U$157,0)</f>
        <v/>
      </c>
      <c r="AL157" t="n">
        <v>201.4925373134328</v>
      </c>
      <c r="AM157">
        <f>IF($Q$157,$M$157*$AE$157*$U$157,0)</f>
        <v/>
      </c>
      <c r="AN157" t="n">
        <v>142.7238805970149</v>
      </c>
      <c r="AO157">
        <f>IF($Q$157,$M$157*$AG$157*$U$157,0)</f>
        <v/>
      </c>
      <c r="AP157" t="n">
        <v>67.1641791044776</v>
      </c>
      <c r="AQ157">
        <f>IF($Q$157,$M$157*$AE$157*$Y$157,0)</f>
        <v/>
      </c>
      <c r="AR157" t="n">
        <v>83.25559701492536</v>
      </c>
      <c r="AS157">
        <f>IF($S$157,$M$157*$AI$157*$W$157,0)</f>
        <v/>
      </c>
      <c r="AT157" t="n">
        <v>0</v>
      </c>
      <c r="AU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V157" t="b">
        <v>0</v>
      </c>
      <c r="AW157">
        <f>IF(AND($B$157&lt;0,$AU$157),4,$B$157)</f>
        <v/>
      </c>
      <c r="AX157" t="n">
        <v>1</v>
      </c>
      <c r="AY157">
        <f>IF($AW$157&lt;4,0,MIN(MAX(0.5,Canh_bao_vong!$D$4),MAX(IF(Vu_khi!$C$157="cal_406",Canh_bao_vong!$D$7,IF($AW$157&gt;=5,Canh_bao_vong!$D$9,Canh_bao_vong!$D$8)),Canh_bao_vong!$D$2+MAX(0,Vu_khi!$X$157)/MAX(0.1,Canh_bao_vong!$D$5))))</f>
        <v/>
      </c>
      <c r="AZ157" t="n">
        <v>0</v>
      </c>
      <c r="BD157" t="n">
        <v>280</v>
      </c>
      <c r="BE157" t="n">
        <v>364</v>
      </c>
      <c r="BF157" t="n">
        <v>0.037</v>
      </c>
      <c r="BG157" t="n">
        <v>0.075</v>
      </c>
      <c r="BH157" t="n">
        <v>0.15</v>
      </c>
      <c r="BI157" t="n">
        <v>0.115</v>
      </c>
      <c r="BJ157" t="inlineStr">
        <is>
          <t>DIRECT_BULLET</t>
        </is>
      </c>
      <c r="BK157" t="inlineStr">
        <is>
          <t>ok</t>
        </is>
      </c>
      <c r="BL157" t="inlineStr">
        <is>
          <t>family 2a38_30_mm_ap</t>
        </is>
      </c>
      <c r="BM157" t="inlineStr"/>
      <c r="BN157" t="inlineStr">
        <is>
          <t>Assets/MachineBrigade/Resources/Data/balance.json: weapons[id=hq_flak_ap] (lớp B trên 01_chien_dau/Vu_khi)</t>
        </is>
      </c>
      <c r="BO157" t="inlineStr"/>
    </row>
    <row r="158">
      <c r="A158" t="inlineStr">
        <is>
          <t>hydra_club_s</t>
        </is>
      </c>
      <c r="B158" t="n">
        <v>4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</v>
      </c>
      <c r="G158">
        <f>IF(Vu_khi!$S$158&gt;0,(Vu_khi!$S$158-1)*Vu_khi!$R$158+Vu_khi!$T$158,Vu_khi!$R$158+(Vu_khi!$P$158-1)*Vu_khi!$Q$158)</f>
        <v/>
      </c>
      <c r="H158" t="n">
        <v>50</v>
      </c>
      <c r="I158">
        <f>Vu_khi!$W$158*MAX(1,$E$158)</f>
        <v/>
      </c>
      <c r="J158" t="n">
        <v>520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10.4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1</v>
      </c>
      <c r="S158">
        <f>AND(NOT(Vu_khi!$AJ$158),OR(Vu_khi!$AC$158="Air",Vu_khi!$AC$158="All"))</f>
        <v/>
      </c>
      <c r="T158" t="b">
        <v>0</v>
      </c>
      <c r="U158">
        <f>INDEX(Bang_sat_thuong!$B$2:$B$7,MATCH(Vu_khi!$K$158,Bang_sat_thuong!$A$2:$A$7,0))</f>
        <v/>
      </c>
      <c r="V158" t="n">
        <v>1</v>
      </c>
      <c r="W158">
        <f>INDEX(Bang_sat_thuong!$C$2:$C$7,MATCH(Vu_khi!$K$158,Bang_sat_thuong!$A$2:$A$7,0))</f>
        <v/>
      </c>
      <c r="X158" t="n">
        <v>0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1.6</v>
      </c>
      <c r="AA158">
        <f>AND(Vu_khi!$K$158="Kinetic",NOT(Vu_khi!$AG$158))</f>
        <v/>
      </c>
      <c r="AB158" t="b">
        <v>0</v>
      </c>
      <c r="AC158">
        <f>IF(Vu_khi!$AG$158,INDEX(Bang_danh_noc!$C$2:$C$8,MIN(7,MAX(1,2-(Vu_khi!$L$158-0)+1))),INDEX(Bang_xuyen_giap!$C$2:$C$8,MIN(7,MAX(1,IF($O$158,MAX(1,2-(Vu_khi!$L$158-0)),2-(Vu_khi!$L$158-0))+1))))*IF($AA$158,INDEX(Bang_xuyen_qua!$C$2:$C$5,MIN(4,MAX(1,(Vu_khi!$L$158)-(0)-1))),1)</f>
        <v/>
      </c>
      <c r="AD158" t="n">
        <v>1.2</v>
      </c>
      <c r="AE158">
        <f>IF(Vu_khi!$AG$158,INDEX(Bang_danh_noc!$C$2:$C$8,MIN(7,MAX(1,2-(Vu_khi!$L$158-2)+1))),INDEX(Bang_xuyen_giap!$C$2:$C$8,MIN(7,MAX(1,IF($O$158,MAX(1,2-(Vu_khi!$L$158-2)),2-(Vu_khi!$L$158-2))+1))))*IF($AA$158,INDEX(Bang_xuyen_qua!$C$2:$C$5,MIN(4,MAX(1,(Vu_khi!$L$158)-(2)-1))),1)</f>
        <v/>
      </c>
      <c r="AF158" t="n">
        <v>1</v>
      </c>
      <c r="AG158">
        <f>IF(Vu_khi!$AG$158,INDEX(Bang_danh_noc!$C$2:$C$8,MIN(7,MAX(1,2-(Vu_khi!$L$158-4)+1))),INDEX(Bang_xuyen_giap!$C$2:$C$8,MIN(7,MAX(1,IF($O$158,MAX(1,2-(Vu_khi!$L$158-4)),2-(Vu_khi!$L$158-4))+1))))*IF($AA$158,INDEX(Bang_xuyen_qua!$C$2:$C$5,MIN(4,MAX(1,(Vu_khi!$L$158)-(4)-1))),1)</f>
        <v/>
      </c>
      <c r="AH158" t="n">
        <v>0.65</v>
      </c>
      <c r="AI158">
        <f>INDEX(Bang_xuyen_giap!$C$2:$C$8,MIN(7,MAX(1,MAX(1,2-(Vu_khi!$L$158-0))+1)))*IF($AA$158,INDEX(Bang_xuyen_qua!$C$2:$C$5,MIN(4,MAX(1,(Vu_khi!$L$158)-(0)-1))),1)</f>
        <v/>
      </c>
      <c r="AJ158" t="n">
        <v>1</v>
      </c>
      <c r="AK158">
        <f>IF($Q$158,$M$158*$AC$158*$U$158,0)</f>
        <v/>
      </c>
      <c r="AL158" t="n">
        <v>12.48</v>
      </c>
      <c r="AM158">
        <f>IF($Q$158,$M$158*$AE$158*$U$158,0)</f>
        <v/>
      </c>
      <c r="AN158" t="n">
        <v>10.4</v>
      </c>
      <c r="AO158">
        <f>IF($Q$158,$M$158*$AG$158*$U$158,0)</f>
        <v/>
      </c>
      <c r="AP158" t="n">
        <v>6.760000000000001</v>
      </c>
      <c r="AQ158">
        <f>IF($Q$158,$M$158*$AE$158*$Y$158,0)</f>
        <v/>
      </c>
      <c r="AR158" t="n">
        <v>16.64</v>
      </c>
      <c r="AS158">
        <f>IF($S$158,$M$158*$AI$158*$W$158,0)</f>
        <v/>
      </c>
      <c r="AT158" t="n">
        <v>0</v>
      </c>
      <c r="AU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V158" t="b">
        <v>0</v>
      </c>
      <c r="AW158">
        <f>IF(AND($B$158&lt;0,$AU$158),4,$B$158)</f>
        <v/>
      </c>
      <c r="AX158" t="n">
        <v>4</v>
      </c>
      <c r="AY158">
        <f>IF($AW$158&lt;4,0,MIN(MAX(0.5,Canh_bao_vong!$D$4),MAX(IF(Vu_khi!$C$158="cal_406",Canh_bao_vong!$D$7,IF($AW$158&gt;=5,Canh_bao_vong!$D$9,Canh_bao_vong!$D$8)),Canh_bao_vong!$D$2+MAX(0,Vu_khi!$X$158)/MAX(0.1,Canh_bao_vong!$D$5))))</f>
        <v/>
      </c>
      <c r="AZ158" t="n">
        <v>2.5</v>
      </c>
      <c r="BA158" t="inlineStr"/>
      <c r="BB158" t="inlineStr">
        <is>
          <t>ok</t>
        </is>
      </c>
      <c r="BC158" t="b">
        <v>1</v>
      </c>
      <c r="BD158" t="n">
        <v>70</v>
      </c>
      <c r="BE158" t="n">
        <v>91</v>
      </c>
      <c r="BF158" t="n">
        <v>1.429</v>
      </c>
      <c r="BG158" t="n">
        <v>2.857</v>
      </c>
      <c r="BH158" t="n">
        <v>5.714</v>
      </c>
      <c r="BI158" t="n">
        <v>4.396</v>
      </c>
      <c r="BJ158" t="inlineStr">
        <is>
          <t>CRUISE</t>
        </is>
      </c>
      <c r="BK158" t="inlineStr">
        <is>
          <t>ok</t>
        </is>
      </c>
      <c r="BL158" t="inlineStr">
        <is>
          <t>inherited from leviathan_cruise</t>
        </is>
      </c>
      <c r="BM158" t="inlineStr"/>
      <c r="BN158" t="inlineStr">
        <is>
          <t>Assets/MachineBrigade/Resources/Data/balance.json: weapons[id=hydra_club_s] (lớp B trên 01_chien_dau/Vu_khi)</t>
        </is>
      </c>
      <c r="BO158" t="inlineStr"/>
    </row>
    <row r="159">
      <c r="A159" t="inlineStr">
        <is>
          <t>ifv_30</t>
        </is>
      </c>
      <c r="B159" t="n">
        <v>1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10</v>
      </c>
      <c r="G159">
        <f>IF(Vu_khi!$S$159&gt;0,(Vu_khi!$S$159-1)*Vu_khi!$R$159+Vu_khi!$T$159,Vu_khi!$R$159+(Vu_khi!$P$159-1)*Vu_khi!$Q$159)</f>
        <v/>
      </c>
      <c r="H159" t="n">
        <v>2.611</v>
      </c>
      <c r="I159">
        <f>Vu_khi!$W$159*MAX(1,$E$159)</f>
        <v/>
      </c>
      <c r="J159" t="n">
        <v>220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84.25890463423977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1</v>
      </c>
      <c r="S159">
        <f>AND(NOT(Vu_khi!$AJ$159),OR(Vu_khi!$AC$159="Air",Vu_khi!$AC$159="All"))</f>
        <v/>
      </c>
      <c r="T159" t="b">
        <v>0</v>
      </c>
      <c r="U159">
        <f>INDEX(Bang_sat_thuong!$B$2:$B$7,MATCH(Vu_khi!$K$159,Bang_sat_thuong!$A$2:$A$7,0))</f>
        <v/>
      </c>
      <c r="V159" t="n">
        <v>1.2</v>
      </c>
      <c r="W159">
        <f>INDEX(Bang_sat_thuong!$C$2:$C$7,MATCH(Vu_khi!$K$159,Bang_sat_thuong!$A$2:$A$7,0))</f>
        <v/>
      </c>
      <c r="X159" t="n">
        <v>0.3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0.7</v>
      </c>
      <c r="AA159">
        <f>AND(Vu_khi!$K$159="Kinetic",NOT(Vu_khi!$AG$159))</f>
        <v/>
      </c>
      <c r="AB159" t="b">
        <v>1</v>
      </c>
      <c r="AC159">
        <f>IF(Vu_khi!$AG$159,INDEX(Bang_danh_noc!$C$2:$C$8,MIN(7,MAX(1,2-(Vu_khi!$L$159-0)+1))),INDEX(Bang_xuyen_giap!$C$2:$C$8,MIN(7,MAX(1,IF($O$159,MAX(1,2-(Vu_khi!$L$159-0)),2-(Vu_khi!$L$159-0))+1))))*IF($AA$159,INDEX(Bang_xuyen_qua!$C$2:$C$5,MIN(4,MAX(1,(Vu_khi!$L$159)-(0)-1))),1)</f>
        <v/>
      </c>
      <c r="AD159" t="n">
        <v>1.2</v>
      </c>
      <c r="AE159">
        <f>IF(Vu_khi!$AG$159,INDEX(Bang_danh_noc!$C$2:$C$8,MIN(7,MAX(1,2-(Vu_khi!$L$159-2)+1))),INDEX(Bang_xuyen_giap!$C$2:$C$8,MIN(7,MAX(1,IF($O$159,MAX(1,2-(Vu_khi!$L$159-2)),2-(Vu_khi!$L$159-2))+1))))*IF($AA$159,INDEX(Bang_xuyen_qua!$C$2:$C$5,MIN(4,MAX(1,(Vu_khi!$L$159)-(2)-1))),1)</f>
        <v/>
      </c>
      <c r="AF159" t="n">
        <v>0.85</v>
      </c>
      <c r="AG159">
        <f>IF(Vu_khi!$AG$159,INDEX(Bang_danh_noc!$C$2:$C$8,MIN(7,MAX(1,2-(Vu_khi!$L$159-4)+1))),INDEX(Bang_xuyen_giap!$C$2:$C$8,MIN(7,MAX(1,IF($O$159,MAX(1,2-(Vu_khi!$L$159-4)),2-(Vu_khi!$L$159-4))+1))))*IF($AA$159,INDEX(Bang_xuyen_qua!$C$2:$C$5,MIN(4,MAX(1,(Vu_khi!$L$159)-(4)-1))),1)</f>
        <v/>
      </c>
      <c r="AH159" t="n">
        <v>0.4</v>
      </c>
      <c r="AI159">
        <f>INDEX(Bang_xuyen_giap!$C$2:$C$8,MIN(7,MAX(1,MAX(1,2-(Vu_khi!$L$159-0))+1)))*IF($AA$159,INDEX(Bang_xuyen_qua!$C$2:$C$5,MIN(4,MAX(1,(Vu_khi!$L$159)-(0)-1))),1)</f>
        <v/>
      </c>
      <c r="AJ159" t="n">
        <v>1</v>
      </c>
      <c r="AK159">
        <f>IF($Q$159,$M$159*$AC$159*$U$159,0)</f>
        <v/>
      </c>
      <c r="AL159" t="n">
        <v>121.3328226733053</v>
      </c>
      <c r="AM159">
        <f>IF($Q$159,$M$159*$AE$159*$U$159,0)</f>
        <v/>
      </c>
      <c r="AN159" t="n">
        <v>85.94408272692456</v>
      </c>
      <c r="AO159">
        <f>IF($Q$159,$M$159*$AG$159*$U$159,0)</f>
        <v/>
      </c>
      <c r="AP159" t="n">
        <v>40.44427422443509</v>
      </c>
      <c r="AQ159">
        <f>IF($Q$159,$M$159*$AE$159*$Y$159,0)</f>
        <v/>
      </c>
      <c r="AR159" t="n">
        <v>50.13404825737266</v>
      </c>
      <c r="AS159">
        <f>IF($S$159,$M$159*$AI$159*$W$159,0)</f>
        <v/>
      </c>
      <c r="AT159" t="n">
        <v>0</v>
      </c>
      <c r="AU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V159" t="b">
        <v>0</v>
      </c>
      <c r="AW159">
        <f>IF(AND($B$159&lt;0,$AU$159),4,$B$159)</f>
        <v/>
      </c>
      <c r="AX159" t="n">
        <v>1</v>
      </c>
      <c r="AY159">
        <f>IF($AW$159&lt;4,0,MIN(MAX(0.5,Canh_bao_vong!$D$4),MAX(IF(Vu_khi!$C$159="cal_406",Canh_bao_vong!$D$7,IF($AW$159&gt;=5,Canh_bao_vong!$D$9,Canh_bao_vong!$D$8)),Canh_bao_vong!$D$2+MAX(0,Vu_khi!$X$159)/MAX(0.1,Canh_bao_vong!$D$5))))</f>
        <v/>
      </c>
      <c r="AZ159" t="n">
        <v>0</v>
      </c>
      <c r="BA159" t="n">
        <v>3.481333</v>
      </c>
      <c r="BB159" t="inlineStr">
        <is>
          <t>ok</t>
        </is>
      </c>
      <c r="BC159" t="inlineStr"/>
      <c r="BD159" t="n">
        <v>200</v>
      </c>
      <c r="BE159" t="n">
        <v>260</v>
      </c>
      <c r="BF159" t="n">
        <v>0.037</v>
      </c>
      <c r="BG159" t="n">
        <v>0.075</v>
      </c>
      <c r="BH159" t="n">
        <v>0.15</v>
      </c>
      <c r="BI159" t="n">
        <v>0.115</v>
      </c>
      <c r="BJ159" t="inlineStr">
        <is>
          <t>DIRECT_BULLET</t>
        </is>
      </c>
      <c r="BK159" t="inlineStr">
        <is>
          <t>ok</t>
        </is>
      </c>
      <c r="BL159" t="inlineStr">
        <is>
          <t>family 2a42_30_mm</t>
        </is>
      </c>
      <c r="BM159" t="inlineStr"/>
      <c r="BN159" t="inlineStr">
        <is>
          <t>Assets/MachineBrigade/Resources/Data/balance.json: weapons[id=ifv_30] (lớp B trên 01_chien_dau/Vu_khi)</t>
        </is>
      </c>
      <c r="BO159" t="inlineStr"/>
    </row>
    <row r="160">
      <c r="A160" t="inlineStr">
        <is>
          <t>ifv_30_flak</t>
        </is>
      </c>
      <c r="B160" t="n">
        <v>1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10</v>
      </c>
      <c r="G160">
        <f>IF(Vu_khi!$S$160&gt;0,(Vu_khi!$S$160-1)*Vu_khi!$R$160+Vu_khi!$T$160,Vu_khi!$R$160+(Vu_khi!$P$160-1)*Vu_khi!$Q$160)</f>
        <v/>
      </c>
      <c r="H160" t="n">
        <v>2.611</v>
      </c>
      <c r="I160">
        <f>Vu_khi!$W$160*MAX(1,$E$160)</f>
        <v/>
      </c>
      <c r="J160" t="n">
        <v>220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84.25890463423977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0</v>
      </c>
      <c r="S160">
        <f>AND(NOT(Vu_khi!$AJ$160),OR(Vu_khi!$AC$160="Air",Vu_khi!$AC$160="All"))</f>
        <v/>
      </c>
      <c r="T160" t="b">
        <v>1</v>
      </c>
      <c r="U160">
        <f>INDEX(Bang_sat_thuong!$B$2:$B$7,MATCH(Vu_khi!$K$160,Bang_sat_thuong!$A$2:$A$7,0))</f>
        <v/>
      </c>
      <c r="V160" t="n">
        <v>0.45</v>
      </c>
      <c r="W160">
        <f>INDEX(Bang_sat_thuong!$C$2:$C$7,MATCH(Vu_khi!$K$160,Bang_sat_thuong!$A$2:$A$7,0))</f>
        <v/>
      </c>
      <c r="X160" t="n">
        <v>1.35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0.1</v>
      </c>
      <c r="AA160">
        <f>AND(Vu_khi!$K$160="Kinetic",NOT(Vu_khi!$AG$160))</f>
        <v/>
      </c>
      <c r="AB160" t="b">
        <v>0</v>
      </c>
      <c r="AC160">
        <f>IF(Vu_khi!$AG$160,INDEX(Bang_danh_noc!$C$2:$C$8,MIN(7,MAX(1,2-(Vu_khi!$L$160-0)+1))),INDEX(Bang_xuyen_giap!$C$2:$C$8,MIN(7,MAX(1,IF($O$160,MAX(1,2-(Vu_khi!$L$160-0)),2-(Vu_khi!$L$160-0))+1))))*IF($AA$160,INDEX(Bang_xuyen_qua!$C$2:$C$5,MIN(4,MAX(1,(Vu_khi!$L$160)-(0)-1))),1)</f>
        <v/>
      </c>
      <c r="AD160" t="n">
        <v>1.2</v>
      </c>
      <c r="AE160">
        <f>IF(Vu_khi!$AG$160,INDEX(Bang_danh_noc!$C$2:$C$8,MIN(7,MAX(1,2-(Vu_khi!$L$160-2)+1))),INDEX(Bang_xuyen_giap!$C$2:$C$8,MIN(7,MAX(1,IF($O$160,MAX(1,2-(Vu_khi!$L$160-2)),2-(Vu_khi!$L$160-2))+1))))*IF($AA$160,INDEX(Bang_xuyen_qua!$C$2:$C$5,MIN(4,MAX(1,(Vu_khi!$L$160)-(2)-1))),1)</f>
        <v/>
      </c>
      <c r="AF160" t="n">
        <v>0.85</v>
      </c>
      <c r="AG160">
        <f>IF(Vu_khi!$AG$160,INDEX(Bang_danh_noc!$C$2:$C$8,MIN(7,MAX(1,2-(Vu_khi!$L$160-4)+1))),INDEX(Bang_xuyen_giap!$C$2:$C$8,MIN(7,MAX(1,IF($O$160,MAX(1,2-(Vu_khi!$L$160-4)),2-(Vu_khi!$L$160-4))+1))))*IF($AA$160,INDEX(Bang_xuyen_qua!$C$2:$C$5,MIN(4,MAX(1,(Vu_khi!$L$160)-(4)-1))),1)</f>
        <v/>
      </c>
      <c r="AH160" t="n">
        <v>0.4</v>
      </c>
      <c r="AI160">
        <f>INDEX(Bang_xuyen_giap!$C$2:$C$8,MIN(7,MAX(1,MAX(1,2-(Vu_khi!$L$160-0))+1)))*IF($AA$160,INDEX(Bang_xuyen_qua!$C$2:$C$5,MIN(4,MAX(1,(Vu_khi!$L$160)-(0)-1))),1)</f>
        <v/>
      </c>
      <c r="AJ160" t="n">
        <v>1</v>
      </c>
      <c r="AK160">
        <f>IF($Q$160,$M$160*$AC$160*$U$160,0)</f>
        <v/>
      </c>
      <c r="AL160" t="n">
        <v>0</v>
      </c>
      <c r="AM160">
        <f>IF($Q$160,$M$160*$AE$160*$U$160,0)</f>
        <v/>
      </c>
      <c r="AN160" t="n">
        <v>0</v>
      </c>
      <c r="AO160">
        <f>IF($Q$160,$M$160*$AG$160*$U$160,0)</f>
        <v/>
      </c>
      <c r="AP160" t="n">
        <v>0</v>
      </c>
      <c r="AQ160">
        <f>IF($Q$160,$M$160*$AE$160*$Y$160,0)</f>
        <v/>
      </c>
      <c r="AR160" t="n">
        <v>0</v>
      </c>
      <c r="AS160">
        <f>IF($S$160,$M$160*$AI$160*$W$160,0)</f>
        <v/>
      </c>
      <c r="AT160" t="n">
        <v>113.7495212562237</v>
      </c>
      <c r="AU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V160" t="b">
        <v>0</v>
      </c>
      <c r="AW160">
        <f>IF(AND($B$160&lt;0,$AU$160),4,$B$160)</f>
        <v/>
      </c>
      <c r="AX160" t="n">
        <v>1</v>
      </c>
      <c r="AY160">
        <f>IF($AW$160&lt;4,0,MIN(MAX(0.5,Canh_bao_vong!$D$4),MAX(IF(Vu_khi!$C$160="cal_406",Canh_bao_vong!$D$7,IF($AW$160&gt;=5,Canh_bao_vong!$D$9,Canh_bao_vong!$D$8)),Canh_bao_vong!$D$2+MAX(0,Vu_khi!$X$160)/MAX(0.1,Canh_bao_vong!$D$5))))</f>
        <v/>
      </c>
      <c r="AZ160" t="n">
        <v>0</v>
      </c>
      <c r="BD160" t="n">
        <v>200</v>
      </c>
      <c r="BE160" t="n">
        <v>260</v>
      </c>
      <c r="BF160" t="n">
        <v>0.037</v>
      </c>
      <c r="BG160" t="n">
        <v>0.075</v>
      </c>
      <c r="BH160" t="n">
        <v>0.15</v>
      </c>
      <c r="BI160" t="n">
        <v>0.115</v>
      </c>
      <c r="BJ160" t="inlineStr">
        <is>
          <t>DIRECT_BULLET</t>
        </is>
      </c>
      <c r="BK160" t="inlineStr">
        <is>
          <t>ok</t>
        </is>
      </c>
      <c r="BL160" t="inlineStr">
        <is>
          <t>family 2a42_30_mm_air_burst</t>
        </is>
      </c>
      <c r="BM160" t="inlineStr"/>
      <c r="BN160" t="inlineStr">
        <is>
          <t>Assets/MachineBrigade/Resources/Data/balance.json: weapons[id=ifv_30_flak] (lớp B trên 01_chien_dau/Vu_khi)</t>
        </is>
      </c>
      <c r="BO160" t="inlineStr"/>
    </row>
    <row r="161">
      <c r="A161" t="inlineStr">
        <is>
          <t>igla_v</t>
        </is>
      </c>
      <c r="B161" t="n">
        <v>2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1</v>
      </c>
      <c r="G161">
        <f>IF(Vu_khi!$S$161&gt;0,(Vu_khi!$S$161-1)*Vu_khi!$R$161+Vu_khi!$T$161,Vu_khi!$R$161+(Vu_khi!$P$161-1)*Vu_khi!$Q$161)</f>
        <v/>
      </c>
      <c r="H161" t="n">
        <v>8.33</v>
      </c>
      <c r="I161">
        <f>Vu_khi!$W$161*MAX(1,$E$161)</f>
        <v/>
      </c>
      <c r="J161" t="n">
        <v>150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18.00720288115246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0</v>
      </c>
      <c r="S161">
        <f>AND(NOT(Vu_khi!$AJ$161),OR(Vu_khi!$AC$161="Air",Vu_khi!$AC$161="All"))</f>
        <v/>
      </c>
      <c r="T161" t="b">
        <v>1</v>
      </c>
      <c r="U161">
        <f>INDEX(Bang_sat_thuong!$B$2:$B$7,MATCH(Vu_khi!$K$161,Bang_sat_thuong!$A$2:$A$7,0))</f>
        <v/>
      </c>
      <c r="V161" t="n">
        <v>0.45</v>
      </c>
      <c r="W161">
        <f>INDEX(Bang_sat_thuong!$C$2:$C$7,MATCH(Vu_khi!$K$161,Bang_sat_thuong!$A$2:$A$7,0))</f>
        <v/>
      </c>
      <c r="X161" t="n">
        <v>1.35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0.1</v>
      </c>
      <c r="AA161">
        <f>AND(Vu_khi!$K$161="Kinetic",NOT(Vu_khi!$AG$161))</f>
        <v/>
      </c>
      <c r="AB161" t="b">
        <v>0</v>
      </c>
      <c r="AC161">
        <f>IF(Vu_khi!$AG$161,INDEX(Bang_danh_noc!$C$2:$C$8,MIN(7,MAX(1,2-(Vu_khi!$L$161-0)+1))),INDEX(Bang_xuyen_giap!$C$2:$C$8,MIN(7,MAX(1,IF($O$161,MAX(1,2-(Vu_khi!$L$161-0)),2-(Vu_khi!$L$161-0))+1))))*IF($AA$161,INDEX(Bang_xuyen_qua!$C$2:$C$5,MIN(4,MAX(1,(Vu_khi!$L$161)-(0)-1))),1)</f>
        <v/>
      </c>
      <c r="AD161" t="n">
        <v>1.2</v>
      </c>
      <c r="AE161">
        <f>IF(Vu_khi!$AG$161,INDEX(Bang_danh_noc!$C$2:$C$8,MIN(7,MAX(1,2-(Vu_khi!$L$161-2)+1))),INDEX(Bang_xuyen_giap!$C$2:$C$8,MIN(7,MAX(1,IF($O$161,MAX(1,2-(Vu_khi!$L$161-2)),2-(Vu_khi!$L$161-2))+1))))*IF($AA$161,INDEX(Bang_xuyen_qua!$C$2:$C$5,MIN(4,MAX(1,(Vu_khi!$L$161)-(2)-1))),1)</f>
        <v/>
      </c>
      <c r="AF161" t="n">
        <v>0.85</v>
      </c>
      <c r="AG161">
        <f>IF(Vu_khi!$AG$161,INDEX(Bang_danh_noc!$C$2:$C$8,MIN(7,MAX(1,2-(Vu_khi!$L$161-4)+1))),INDEX(Bang_xuyen_giap!$C$2:$C$8,MIN(7,MAX(1,IF($O$161,MAX(1,2-(Vu_khi!$L$161-4)),2-(Vu_khi!$L$161-4))+1))))*IF($AA$161,INDEX(Bang_xuyen_qua!$C$2:$C$5,MIN(4,MAX(1,(Vu_khi!$L$161)-(4)-1))),1)</f>
        <v/>
      </c>
      <c r="AH161" t="n">
        <v>0.4</v>
      </c>
      <c r="AI161">
        <f>INDEX(Bang_xuyen_giap!$C$2:$C$8,MIN(7,MAX(1,MAX(1,2-(Vu_khi!$L$161-0))+1)))*IF($AA$161,INDEX(Bang_xuyen_qua!$C$2:$C$5,MIN(4,MAX(1,(Vu_khi!$L$161)-(0)-1))),1)</f>
        <v/>
      </c>
      <c r="AJ161" t="n">
        <v>1</v>
      </c>
      <c r="AK161">
        <f>IF($Q$161,$M$161*$AC$161*$U$161,0)</f>
        <v/>
      </c>
      <c r="AL161" t="n">
        <v>0</v>
      </c>
      <c r="AM161">
        <f>IF($Q$161,$M$161*$AE$161*$U$161,0)</f>
        <v/>
      </c>
      <c r="AN161" t="n">
        <v>0</v>
      </c>
      <c r="AO161">
        <f>IF($Q$161,$M$161*$AG$161*$U$161,0)</f>
        <v/>
      </c>
      <c r="AP161" t="n">
        <v>0</v>
      </c>
      <c r="AQ161">
        <f>IF($Q$161,$M$161*$AE$161*$Y$161,0)</f>
        <v/>
      </c>
      <c r="AR161" t="n">
        <v>0</v>
      </c>
      <c r="AS161">
        <f>IF($S$161,$M$161*$AI$161*$W$161,0)</f>
        <v/>
      </c>
      <c r="AT161" t="n">
        <v>24.30972388955583</v>
      </c>
      <c r="AU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V161" t="b">
        <v>0</v>
      </c>
      <c r="AW161">
        <f>IF(AND($B$161&lt;0,$AU$161),4,$B$161)</f>
        <v/>
      </c>
      <c r="AX161" t="n">
        <v>2</v>
      </c>
      <c r="AY161">
        <f>IF($AW$161&lt;4,0,MIN(MAX(0.5,Canh_bao_vong!$D$4),MAX(IF(Vu_khi!$C$161="cal_406",Canh_bao_vong!$D$7,IF($AW$161&gt;=5,Canh_bao_vong!$D$9,Canh_bao_vong!$D$8)),Canh_bao_vong!$D$2+MAX(0,Vu_khi!$X$161)/MAX(0.1,Canh_bao_vong!$D$5))))</f>
        <v/>
      </c>
      <c r="AZ161" t="n">
        <v>0</v>
      </c>
      <c r="BA161" t="inlineStr"/>
      <c r="BB161" t="inlineStr">
        <is>
          <t>ok</t>
        </is>
      </c>
      <c r="BC161" t="inlineStr"/>
      <c r="BD161" t="n">
        <v>105</v>
      </c>
      <c r="BE161" t="n">
        <v>136.5</v>
      </c>
      <c r="BF161" t="n">
        <v>0.076</v>
      </c>
      <c r="BG161" t="n">
        <v>0.152</v>
      </c>
      <c r="BH161" t="n">
        <v>0.305</v>
      </c>
      <c r="BI161" t="n">
        <v>0.234</v>
      </c>
      <c r="BJ161" t="inlineStr">
        <is>
          <t>AIR_DEFENCE_MISSILE</t>
        </is>
      </c>
      <c r="BK161" t="inlineStr">
        <is>
          <t>ok</t>
        </is>
      </c>
      <c r="BL161" t="inlineStr">
        <is>
          <t>own line</t>
        </is>
      </c>
      <c r="BM161" t="inlineStr"/>
      <c r="BN161" t="inlineStr">
        <is>
          <t>Assets/MachineBrigade/Resources/Data/balance.json: weapons[id=igla_v] (lớp B trên 01_chien_dau/Vu_khi)</t>
        </is>
      </c>
      <c r="BO161" t="inlineStr"/>
    </row>
    <row r="162">
      <c r="A162" t="inlineStr">
        <is>
          <t>illum_flare</t>
        </is>
      </c>
      <c r="B162" t="n">
        <v>0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1</v>
      </c>
      <c r="G162">
        <f>IF(Vu_khi!$S$162&gt;0,(Vu_khi!$S$162-1)*Vu_khi!$R$162+Vu_khi!$T$162,Vu_khi!$R$162+(Vu_khi!$P$162-1)*Vu_khi!$Q$162)</f>
        <v/>
      </c>
      <c r="H162" t="n">
        <v>15</v>
      </c>
      <c r="I162">
        <f>Vu_khi!$W$162*MAX(1,$E$162)</f>
        <v/>
      </c>
      <c r="J162" t="n">
        <v>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0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1.6</v>
      </c>
      <c r="AA162">
        <f>AND(Vu_khi!$K$162="Kinetic",NOT(Vu_khi!$AG$162))</f>
        <v/>
      </c>
      <c r="AB162" t="b">
        <v>0</v>
      </c>
      <c r="AC162">
        <f>IF(Vu_khi!$AG$162,INDEX(Bang_danh_noc!$C$2:$C$8,MIN(7,MAX(1,2-(Vu_khi!$L$162-0)+1))),INDEX(Bang_xuyen_giap!$C$2:$C$8,MIN(7,MAX(1,IF($O$162,MAX(1,2-(Vu_khi!$L$162-0)),2-(Vu_khi!$L$162-0))+1))))*IF($AA$162,INDEX(Bang_xuyen_qua!$C$2:$C$5,MIN(4,MAX(1,(Vu_khi!$L$162)-(0)-1))),1)</f>
        <v/>
      </c>
      <c r="AD162" t="n">
        <v>0.85</v>
      </c>
      <c r="AE162">
        <f>IF(Vu_khi!$AG$162,INDEX(Bang_danh_noc!$C$2:$C$8,MIN(7,MAX(1,2-(Vu_khi!$L$162-2)+1))),INDEX(Bang_xuyen_giap!$C$2:$C$8,MIN(7,MAX(1,IF($O$162,MAX(1,2-(Vu_khi!$L$162-2)),2-(Vu_khi!$L$162-2))+1))))*IF($AA$162,INDEX(Bang_xuyen_qua!$C$2:$C$5,MIN(4,MAX(1,(Vu_khi!$L$162)-(2)-1))),1)</f>
        <v/>
      </c>
      <c r="AF162" t="n">
        <v>0.4</v>
      </c>
      <c r="AG162">
        <f>IF(Vu_khi!$AG$162,INDEX(Bang_danh_noc!$C$2:$C$8,MIN(7,MAX(1,2-(Vu_khi!$L$162-4)+1))),INDEX(Bang_xuyen_giap!$C$2:$C$8,MIN(7,MAX(1,IF($O$162,MAX(1,2-(Vu_khi!$L$162-4)),2-(Vu_khi!$L$162-4))+1))))*IF($AA$162,INDEX(Bang_xuyen_qua!$C$2:$C$5,MIN(4,MAX(1,(Vu_khi!$L$162)-(4)-1))),1)</f>
        <v/>
      </c>
      <c r="AH162" t="n">
        <v>0.08</v>
      </c>
      <c r="AI162">
        <f>INDEX(Bang_xuyen_giap!$C$2:$C$8,MIN(7,MAX(1,MAX(1,2-(Vu_khi!$L$162-0))+1)))*IF($AA$162,INDEX(Bang_xuyen_qua!$C$2:$C$5,MIN(4,MAX(1,(Vu_khi!$L$162)-(0)-1))),1)</f>
        <v/>
      </c>
      <c r="AJ162" t="n">
        <v>0.85</v>
      </c>
      <c r="AK162">
        <f>IF($Q$162,$M$162*$AC$162*$U$162,0)</f>
        <v/>
      </c>
      <c r="AL162" t="n">
        <v>0</v>
      </c>
      <c r="AM162">
        <f>IF($Q$162,$M$162*$AE$162*$U$162,0)</f>
        <v/>
      </c>
      <c r="AN162" t="n">
        <v>0</v>
      </c>
      <c r="AO162">
        <f>IF($Q$162,$M$162*$AG$162*$U$162,0)</f>
        <v/>
      </c>
      <c r="AP162" t="n">
        <v>0</v>
      </c>
      <c r="AQ162">
        <f>IF($Q$162,$M$162*$AE$162*$Y$162,0)</f>
        <v/>
      </c>
      <c r="AR162" t="n">
        <v>0</v>
      </c>
      <c r="AS162">
        <f>IF($S$162,$M$162*$AI$162*$W$162,0)</f>
        <v/>
      </c>
      <c r="AT162" t="n">
        <v>0</v>
      </c>
      <c r="AU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V162" t="b">
        <v>0</v>
      </c>
      <c r="AW162">
        <f>IF(AND($B$162&lt;0,$AU$162),4,$B$162)</f>
        <v/>
      </c>
      <c r="AX162" t="n">
        <v>0</v>
      </c>
      <c r="AY162">
        <f>IF($AW$162&lt;4,0,MIN(MAX(0.5,Canh_bao_vong!$D$4),MAX(IF(Vu_khi!$C$162="cal_406",Canh_bao_vong!$D$7,IF($AW$162&gt;=5,Canh_bao_vong!$D$9,Canh_bao_vong!$D$8)),Canh_bao_vong!$D$2+MAX(0,Vu_khi!$X$162)/MAX(0.1,Canh_bao_vong!$D$5))))</f>
        <v/>
      </c>
      <c r="AZ162" t="n">
        <v>0</v>
      </c>
      <c r="BA162" t="inlineStr"/>
      <c r="BB162" t="inlineStr">
        <is>
          <t>ok</t>
        </is>
      </c>
      <c r="BC162" t="inlineStr"/>
      <c r="BD162" t="n">
        <v>35</v>
      </c>
      <c r="BE162" t="n">
        <v>45.5</v>
      </c>
      <c r="BF162" t="n">
        <v>0.286</v>
      </c>
      <c r="BG162" t="n">
        <v>0.571</v>
      </c>
      <c r="BH162" t="n">
        <v>1.143</v>
      </c>
      <c r="BI162" t="n">
        <v>0.879</v>
      </c>
      <c r="BJ162" t="inlineStr">
        <is>
          <t>BEAM_OR_MELEE</t>
        </is>
      </c>
      <c r="BK162" t="inlineStr">
        <is>
          <t>ok</t>
        </is>
      </c>
      <c r="BL162" t="inlineStr">
        <is>
          <t>own line</t>
        </is>
      </c>
      <c r="BM162" t="inlineStr"/>
      <c r="BN162" t="inlineStr">
        <is>
          <t>Assets/MachineBrigade/Resources/Data/balance.json: weapons[id=illum_flare] (lớp B trên 01_chien_dau/Vu_khi)</t>
        </is>
      </c>
      <c r="BO162" t="inlineStr"/>
    </row>
    <row r="163">
      <c r="A163" t="inlineStr">
        <is>
          <t>jassm</t>
        </is>
      </c>
      <c r="B163" t="n">
        <v>4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2</v>
      </c>
      <c r="G163">
        <f>IF(Vu_khi!$S$163&gt;0,(Vu_khi!$S$163-1)*Vu_khi!$R$163+Vu_khi!$T$163,Vu_khi!$R$163+(Vu_khi!$P$163-1)*Vu_khi!$Q$163)</f>
        <v/>
      </c>
      <c r="H163" t="n">
        <v>10.44</v>
      </c>
      <c r="I163">
        <f>Vu_khi!$W$163*MAX(1,$E$163)</f>
        <v/>
      </c>
      <c r="J163" t="n">
        <v>820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78.544061302682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0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1.6</v>
      </c>
      <c r="AA163">
        <f>AND(Vu_khi!$K$163="Kinetic",NOT(Vu_khi!$AG$163))</f>
        <v/>
      </c>
      <c r="AB163" t="b">
        <v>0</v>
      </c>
      <c r="AC163">
        <f>IF(Vu_khi!$AG$163,INDEX(Bang_danh_noc!$C$2:$C$8,MIN(7,MAX(1,2-(Vu_khi!$L$163-0)+1))),INDEX(Bang_xuyen_giap!$C$2:$C$8,MIN(7,MAX(1,IF($O$163,MAX(1,2-(Vu_khi!$L$163-0)),2-(Vu_khi!$L$163-0))+1))))*IF($AA$163,INDEX(Bang_xuyen_qua!$C$2:$C$5,MIN(4,MAX(1,(Vu_khi!$L$163)-(0)-1))),1)</f>
        <v/>
      </c>
      <c r="AD163" t="n">
        <v>1.2</v>
      </c>
      <c r="AE163">
        <f>IF(Vu_khi!$AG$163,INDEX(Bang_danh_noc!$C$2:$C$8,MIN(7,MAX(1,2-(Vu_khi!$L$163-2)+1))),INDEX(Bang_xuyen_giap!$C$2:$C$8,MIN(7,MAX(1,IF($O$163,MAX(1,2-(Vu_khi!$L$163-2)),2-(Vu_khi!$L$163-2))+1))))*IF($AA$163,INDEX(Bang_xuyen_qua!$C$2:$C$5,MIN(4,MAX(1,(Vu_khi!$L$163)-(2)-1))),1)</f>
        <v/>
      </c>
      <c r="AF163" t="n">
        <v>1</v>
      </c>
      <c r="AG163">
        <f>IF(Vu_khi!$AG$163,INDEX(Bang_danh_noc!$C$2:$C$8,MIN(7,MAX(1,2-(Vu_khi!$L$163-4)+1))),INDEX(Bang_xuyen_giap!$C$2:$C$8,MIN(7,MAX(1,IF($O$163,MAX(1,2-(Vu_khi!$L$163-4)),2-(Vu_khi!$L$163-4))+1))))*IF($AA$163,INDEX(Bang_xuyen_qua!$C$2:$C$5,MIN(4,MAX(1,(Vu_khi!$L$163)-(4)-1))),1)</f>
        <v/>
      </c>
      <c r="AH163" t="n">
        <v>0.65</v>
      </c>
      <c r="AI163">
        <f>INDEX(Bang_xuyen_giap!$C$2:$C$8,MIN(7,MAX(1,MAX(1,2-(Vu_khi!$L$163-0))+1)))*IF($AA$163,INDEX(Bang_xuyen_qua!$C$2:$C$5,MIN(4,MAX(1,(Vu_khi!$L$163)-(0)-1))),1)</f>
        <v/>
      </c>
      <c r="AJ163" t="n">
        <v>1</v>
      </c>
      <c r="AK163">
        <f>IF($Q$163,$M$163*$AC$163*$U$163,0)</f>
        <v/>
      </c>
      <c r="AL163" t="n">
        <v>94.25287356321839</v>
      </c>
      <c r="AM163">
        <f>IF($Q$163,$M$163*$AE$163*$U$163,0)</f>
        <v/>
      </c>
      <c r="AN163" t="n">
        <v>78.544061302682</v>
      </c>
      <c r="AO163">
        <f>IF($Q$163,$M$163*$AG$163*$U$163,0)</f>
        <v/>
      </c>
      <c r="AP163" t="n">
        <v>51.0536398467433</v>
      </c>
      <c r="AQ163">
        <f>IF($Q$163,$M$163*$AE$163*$Y$163,0)</f>
        <v/>
      </c>
      <c r="AR163" t="n">
        <v>125.6704980842912</v>
      </c>
      <c r="AS163">
        <f>IF($S$163,$M$163*$AI$163*$W$163,0)</f>
        <v/>
      </c>
      <c r="AT163" t="n">
        <v>0</v>
      </c>
      <c r="AU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V163" t="b">
        <v>0</v>
      </c>
      <c r="AW163">
        <f>IF(AND($B$163&lt;0,$AU$163),4,$B$163)</f>
        <v/>
      </c>
      <c r="AX163" t="n">
        <v>4</v>
      </c>
      <c r="AY163">
        <f>IF($AW$163&lt;4,0,MIN(MAX(0.5,Canh_bao_vong!$D$4),MAX(IF(Vu_khi!$C$163="cal_406",Canh_bao_vong!$D$7,IF($AW$163&gt;=5,Canh_bao_vong!$D$9,Canh_bao_vong!$D$8)),Canh_bao_vong!$D$2+MAX(0,Vu_khi!$X$163)/MAX(0.1,Canh_bao_vong!$D$5))))</f>
        <v/>
      </c>
      <c r="AZ163" t="n">
        <v>2.5</v>
      </c>
      <c r="BA163" t="n">
        <v>0.2</v>
      </c>
      <c r="BB163" t="inlineStr">
        <is>
          <t>NHANH_QUA</t>
        </is>
      </c>
      <c r="BC163" t="inlineStr"/>
      <c r="BD163" t="n">
        <v>70</v>
      </c>
      <c r="BE163" t="n">
        <v>91</v>
      </c>
      <c r="BF163" t="n">
        <v>0.321</v>
      </c>
      <c r="BG163" t="n">
        <v>0.643</v>
      </c>
      <c r="BH163" t="n">
        <v>1.286</v>
      </c>
      <c r="BI163" t="n">
        <v>0.989</v>
      </c>
      <c r="BJ163" t="inlineStr">
        <is>
          <t>CRUISE</t>
        </is>
      </c>
      <c r="BK163" t="inlineStr">
        <is>
          <t>ok</t>
        </is>
      </c>
      <c r="BL163" t="inlineStr">
        <is>
          <t>own line</t>
        </is>
      </c>
      <c r="BM163" t="n">
        <v>42</v>
      </c>
      <c r="BN163" t="inlineStr">
        <is>
          <t>Assets/MachineBrigade/Resources/Data/balance.json: weapons[id=jassm] (lớp B trên 01_chien_dau/Vu_khi)</t>
        </is>
      </c>
      <c r="BO163" t="inlineStr"/>
    </row>
    <row r="164">
      <c r="A164" t="inlineStr">
        <is>
          <t>jet_bombs</t>
        </is>
      </c>
      <c r="B164" t="n">
        <v>3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2</v>
      </c>
      <c r="G164">
        <f>IF(Vu_khi!$S$164&gt;0,(Vu_khi!$S$164-1)*Vu_khi!$R$164+Vu_khi!$T$164,Vu_khi!$R$164+(Vu_khi!$P$164-1)*Vu_khi!$Q$164)</f>
        <v/>
      </c>
      <c r="H164" t="n">
        <v>10.3</v>
      </c>
      <c r="I164">
        <f>Vu_khi!$W$164*MAX(1,$E$164)</f>
        <v/>
      </c>
      <c r="J164" t="n">
        <v>620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60.19417475728155</v>
      </c>
      <c r="O164">
        <f>OR(Vu_khi!$AG$164,Vu_khi!$AB$164&gt;0,Vu_khi!$AH$164,Vu_khi!$M$164="Bomb",Vu_khi!$M$164="Drone")</f>
        <v/>
      </c>
      <c r="P164" t="b">
        <v>1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0</v>
      </c>
      <c r="U164">
        <f>INDEX(Bang_sat_thuong!$B$2:$B$7,MATCH(Vu_khi!$K$164,Bang_sat_thuong!$A$2:$A$7,0))</f>
        <v/>
      </c>
      <c r="V164" t="n">
        <v>1</v>
      </c>
      <c r="W164">
        <f>INDEX(Bang_sat_thuong!$C$2:$C$7,MATCH(Vu_khi!$K$164,Bang_sat_thuong!$A$2:$A$7,0))</f>
        <v/>
      </c>
      <c r="X164" t="n">
        <v>0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1.6</v>
      </c>
      <c r="AA164">
        <f>AND(Vu_khi!$K$164="Kinetic",NOT(Vu_khi!$AG$164))</f>
        <v/>
      </c>
      <c r="AB164" t="b">
        <v>0</v>
      </c>
      <c r="AC164">
        <f>IF(Vu_khi!$AG$164,INDEX(Bang_danh_noc!$C$2:$C$8,MIN(7,MAX(1,2-(Vu_khi!$L$164-0)+1))),INDEX(Bang_xuyen_giap!$C$2:$C$8,MIN(7,MAX(1,IF($O$164,MAX(1,2-(Vu_khi!$L$164-0)),2-(Vu_khi!$L$164-0))+1))))*IF($AA$164,INDEX(Bang_xuyen_qua!$C$2:$C$5,MIN(4,MAX(1,(Vu_khi!$L$164)-(0)-1))),1)</f>
        <v/>
      </c>
      <c r="AD164" t="n">
        <v>1.15</v>
      </c>
      <c r="AE164">
        <f>IF(Vu_khi!$AG$164,INDEX(Bang_danh_noc!$C$2:$C$8,MIN(7,MAX(1,2-(Vu_khi!$L$164-2)+1))),INDEX(Bang_xuyen_giap!$C$2:$C$8,MIN(7,MAX(1,IF($O$164,MAX(1,2-(Vu_khi!$L$164-2)),2-(Vu_khi!$L$164-2))+1))))*IF($AA$164,INDEX(Bang_xuyen_qua!$C$2:$C$5,MIN(4,MAX(1,(Vu_khi!$L$164)-(2)-1))),1)</f>
        <v/>
      </c>
      <c r="AF164" t="n">
        <v>0.95</v>
      </c>
      <c r="AG164">
        <f>IF(Vu_khi!$AG$164,INDEX(Bang_danh_noc!$C$2:$C$8,MIN(7,MAX(1,2-(Vu_khi!$L$164-4)+1))),INDEX(Bang_xuyen_giap!$C$2:$C$8,MIN(7,MAX(1,IF($O$164,MAX(1,2-(Vu_khi!$L$164-4)),2-(Vu_khi!$L$164-4))+1))))*IF($AA$164,INDEX(Bang_xuyen_qua!$C$2:$C$5,MIN(4,MAX(1,(Vu_khi!$L$164)-(4)-1))),1)</f>
        <v/>
      </c>
      <c r="AH164" t="n">
        <v>0.5</v>
      </c>
      <c r="AI164">
        <f>INDEX(Bang_xuyen_giap!$C$2:$C$8,MIN(7,MAX(1,MAX(1,2-(Vu_khi!$L$164-0))+1)))*IF($AA$164,INDEX(Bang_xuyen_qua!$C$2:$C$5,MIN(4,MAX(1,(Vu_khi!$L$164)-(0)-1))),1)</f>
        <v/>
      </c>
      <c r="AJ164" t="n">
        <v>1</v>
      </c>
      <c r="AK164">
        <f>IF($Q$164,$M$164*$AC$164*$U$164,0)</f>
        <v/>
      </c>
      <c r="AL164" t="n">
        <v>69.22330097087378</v>
      </c>
      <c r="AM164">
        <f>IF($Q$164,$M$164*$AE$164*$U$164,0)</f>
        <v/>
      </c>
      <c r="AN164" t="n">
        <v>57.18446601941747</v>
      </c>
      <c r="AO164">
        <f>IF($Q$164,$M$164*$AG$164*$U$164,0)</f>
        <v/>
      </c>
      <c r="AP164" t="n">
        <v>30.09708737864078</v>
      </c>
      <c r="AQ164">
        <f>IF($Q$164,$M$164*$AE$164*$Y$164,0)</f>
        <v/>
      </c>
      <c r="AR164" t="n">
        <v>91.49514563106796</v>
      </c>
      <c r="AS164">
        <f>IF($S$164,$M$164*$AI$164*$W$164,0)</f>
        <v/>
      </c>
      <c r="AT164" t="n">
        <v>0</v>
      </c>
      <c r="AU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V164" t="b">
        <v>0</v>
      </c>
      <c r="AW164">
        <f>IF(AND($B$164&lt;0,$AU$164),4,$B$164)</f>
        <v/>
      </c>
      <c r="AX164" t="n">
        <v>3</v>
      </c>
      <c r="AY164">
        <f>IF($AW$164&lt;4,0,MIN(MAX(0.5,Canh_bao_vong!$D$4),MAX(IF(Vu_khi!$C$164="cal_406",Canh_bao_vong!$D$7,IF($AW$164&gt;=5,Canh_bao_vong!$D$9,Canh_bao_vong!$D$8)),Canh_bao_vong!$D$2+MAX(0,Vu_khi!$X$164)/MAX(0.1,Canh_bao_vong!$D$5))))</f>
        <v/>
      </c>
      <c r="AZ164" t="n">
        <v>0</v>
      </c>
      <c r="BA164" t="n">
        <v>2.5</v>
      </c>
      <c r="BB164" t="inlineStr">
        <is>
          <t>ok</t>
        </is>
      </c>
      <c r="BC164" t="inlineStr"/>
      <c r="BD164" t="n">
        <v>35</v>
      </c>
      <c r="BE164" t="n">
        <v>45.5</v>
      </c>
      <c r="BF164" t="n">
        <v>0.186</v>
      </c>
      <c r="BG164" t="n">
        <v>0.371</v>
      </c>
      <c r="BH164" t="n">
        <v>0.743</v>
      </c>
      <c r="BI164" t="n">
        <v>0.571</v>
      </c>
      <c r="BJ164" t="inlineStr">
        <is>
          <t>BOMB</t>
        </is>
      </c>
      <c r="BK164" t="inlineStr">
        <is>
          <t>ok</t>
        </is>
      </c>
      <c r="BL164" t="inlineStr">
        <is>
          <t>own line</t>
        </is>
      </c>
      <c r="BM164" t="inlineStr"/>
      <c r="BN164" t="inlineStr">
        <is>
          <t>Assets/MachineBrigade/Resources/Data/balance.json: weapons[id=jet_bombs] (lớp B trên 01_chien_dau/Vu_khi)</t>
        </is>
      </c>
      <c r="BO164" t="inlineStr"/>
    </row>
    <row r="165">
      <c r="A165" t="inlineStr">
        <is>
          <t>jet_cannon</t>
        </is>
      </c>
      <c r="B165" t="n">
        <v>1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70</v>
      </c>
      <c r="G165">
        <f>IF(Vu_khi!$S$165&gt;0,(Vu_khi!$S$165-1)*Vu_khi!$R$165+Vu_khi!$T$165,Vu_khi!$R$165+(Vu_khi!$P$165-1)*Vu_khi!$Q$165)</f>
        <v/>
      </c>
      <c r="H165" t="n">
        <v>5.182</v>
      </c>
      <c r="I165">
        <f>Vu_khi!$W$165*MAX(1,$E$165)</f>
        <v/>
      </c>
      <c r="J165" t="n">
        <v>1610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310.690852952528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0</v>
      </c>
      <c r="U165">
        <f>INDEX(Bang_sat_thuong!$B$2:$B$7,MATCH(Vu_khi!$K$165,Bang_sat_thuong!$A$2:$A$7,0))</f>
        <v/>
      </c>
      <c r="V165" t="n">
        <v>1.2</v>
      </c>
      <c r="W165">
        <f>INDEX(Bang_sat_thuong!$C$2:$C$7,MATCH(Vu_khi!$K$165,Bang_sat_thuong!$A$2:$A$7,0))</f>
        <v/>
      </c>
      <c r="X165" t="n">
        <v>0.3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0.7</v>
      </c>
      <c r="AA165">
        <f>AND(Vu_khi!$K$165="Kinetic",NOT(Vu_khi!$AG$165))</f>
        <v/>
      </c>
      <c r="AB165" t="b">
        <v>1</v>
      </c>
      <c r="AC165">
        <f>IF(Vu_khi!$AG$165,INDEX(Bang_danh_noc!$C$2:$C$8,MIN(7,MAX(1,2-(Vu_khi!$L$165-0)+1))),INDEX(Bang_xuyen_giap!$C$2:$C$8,MIN(7,MAX(1,IF($O$165,MAX(1,2-(Vu_khi!$L$165-0)),2-(Vu_khi!$L$165-0))+1))))*IF($AA$165,INDEX(Bang_xuyen_qua!$C$2:$C$5,MIN(4,MAX(1,(Vu_khi!$L$165)-(0)-1))),1)</f>
        <v/>
      </c>
      <c r="AD165" t="n">
        <v>1.2</v>
      </c>
      <c r="AE165">
        <f>IF(Vu_khi!$AG$165,INDEX(Bang_danh_noc!$C$2:$C$8,MIN(7,MAX(1,2-(Vu_khi!$L$165-2)+1))),INDEX(Bang_xuyen_giap!$C$2:$C$8,MIN(7,MAX(1,IF($O$165,MAX(1,2-(Vu_khi!$L$165-2)),2-(Vu_khi!$L$165-2))+1))))*IF($AA$165,INDEX(Bang_xuyen_qua!$C$2:$C$5,MIN(4,MAX(1,(Vu_khi!$L$165)-(2)-1))),1)</f>
        <v/>
      </c>
      <c r="AF165" t="n">
        <v>0.85</v>
      </c>
      <c r="AG165">
        <f>IF(Vu_khi!$AG$165,INDEX(Bang_danh_noc!$C$2:$C$8,MIN(7,MAX(1,2-(Vu_khi!$L$165-4)+1))),INDEX(Bang_xuyen_giap!$C$2:$C$8,MIN(7,MAX(1,IF($O$165,MAX(1,2-(Vu_khi!$L$165-4)),2-(Vu_khi!$L$165-4))+1))))*IF($AA$165,INDEX(Bang_xuyen_qua!$C$2:$C$5,MIN(4,MAX(1,(Vu_khi!$L$165)-(4)-1))),1)</f>
        <v/>
      </c>
      <c r="AH165" t="n">
        <v>0.4</v>
      </c>
      <c r="AI165">
        <f>INDEX(Bang_xuyen_giap!$C$2:$C$8,MIN(7,MAX(1,MAX(1,2-(Vu_khi!$L$165-0))+1)))*IF($AA$165,INDEX(Bang_xuyen_qua!$C$2:$C$5,MIN(4,MAX(1,(Vu_khi!$L$165)-(0)-1))),1)</f>
        <v/>
      </c>
      <c r="AJ165" t="n">
        <v>1</v>
      </c>
      <c r="AK165">
        <f>IF($Q$165,$M$165*$AC$165*$U$165,0)</f>
        <v/>
      </c>
      <c r="AL165" t="n">
        <v>447.3948282516403</v>
      </c>
      <c r="AM165">
        <f>IF($Q$165,$M$165*$AE$165*$U$165,0)</f>
        <v/>
      </c>
      <c r="AN165" t="n">
        <v>316.9046700115785</v>
      </c>
      <c r="AO165">
        <f>IF($Q$165,$M$165*$AG$165*$U$165,0)</f>
        <v/>
      </c>
      <c r="AP165" t="n">
        <v>149.1316094172134</v>
      </c>
      <c r="AQ165">
        <f>IF($Q$165,$M$165*$AE$165*$Y$165,0)</f>
        <v/>
      </c>
      <c r="AR165" t="n">
        <v>184.8610575067541</v>
      </c>
      <c r="AS165">
        <f>IF($S$165,$M$165*$AI$165*$W$165,0)</f>
        <v/>
      </c>
      <c r="AT165" t="n">
        <v>0</v>
      </c>
      <c r="AU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V165" t="b">
        <v>0</v>
      </c>
      <c r="AW165">
        <f>IF(AND($B$165&lt;0,$AU$165),4,$B$165)</f>
        <v/>
      </c>
      <c r="AX165" t="n">
        <v>1</v>
      </c>
      <c r="AY165">
        <f>IF($AW$165&lt;4,0,MIN(MAX(0.5,Canh_bao_vong!$D$4),MAX(IF(Vu_khi!$C$165="cal_406",Canh_bao_vong!$D$7,IF($AW$165&gt;=5,Canh_bao_vong!$D$9,Canh_bao_vong!$D$8)),Canh_bao_vong!$D$2+MAX(0,Vu_khi!$X$165)/MAX(0.1,Canh_bao_vong!$D$5))))</f>
        <v/>
      </c>
      <c r="AZ165" t="n">
        <v>0</v>
      </c>
      <c r="BA165" t="n">
        <v>3.701429</v>
      </c>
      <c r="BB165" t="inlineStr">
        <is>
          <t>ok</t>
        </is>
      </c>
      <c r="BC165" t="inlineStr"/>
      <c r="BD165" t="n">
        <v>300</v>
      </c>
      <c r="BE165" t="n">
        <v>390</v>
      </c>
      <c r="BF165" t="n">
        <v>0.025</v>
      </c>
      <c r="BG165" t="n">
        <v>0.05</v>
      </c>
      <c r="BH165" t="n">
        <v>0.1</v>
      </c>
      <c r="BI165" t="n">
        <v>0.077</v>
      </c>
      <c r="BJ165" t="inlineStr">
        <is>
          <t>DIRECT_BULLET</t>
        </is>
      </c>
      <c r="BK165" t="inlineStr">
        <is>
          <t>ok</t>
        </is>
      </c>
      <c r="BL165" t="inlineStr">
        <is>
          <t>own line</t>
        </is>
      </c>
      <c r="BM165" t="inlineStr"/>
      <c r="BN165" t="inlineStr">
        <is>
          <t>Assets/MachineBrigade/Resources/Data/balance.json: weapons[id=jet_cannon] (lớp B trên 01_chien_dau/Vu_khi)</t>
        </is>
      </c>
      <c r="BO165" t="inlineStr"/>
    </row>
    <row r="166">
      <c r="A166" t="inlineStr">
        <is>
          <t>jet_cannon_flak</t>
        </is>
      </c>
      <c r="B166" t="n">
        <v>1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70</v>
      </c>
      <c r="G166">
        <f>IF(Vu_khi!$S$166&gt;0,(Vu_khi!$S$166-1)*Vu_khi!$R$166+Vu_khi!$T$166,Vu_khi!$R$166+(Vu_khi!$P$166-1)*Vu_khi!$Q$166)</f>
        <v/>
      </c>
      <c r="H166" t="n">
        <v>5.182</v>
      </c>
      <c r="I166">
        <f>Vu_khi!$W$166*MAX(1,$E$166)</f>
        <v/>
      </c>
      <c r="J166" t="n">
        <v>1610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310.690852952528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0</v>
      </c>
      <c r="S166">
        <f>AND(NOT(Vu_khi!$AJ$166),OR(Vu_khi!$AC$166="Air",Vu_khi!$AC$166="All"))</f>
        <v/>
      </c>
      <c r="T166" t="b">
        <v>1</v>
      </c>
      <c r="U166">
        <f>INDEX(Bang_sat_thuong!$B$2:$B$7,MATCH(Vu_khi!$K$166,Bang_sat_thuong!$A$2:$A$7,0))</f>
        <v/>
      </c>
      <c r="V166" t="n">
        <v>0.45</v>
      </c>
      <c r="W166">
        <f>INDEX(Bang_sat_thuong!$C$2:$C$7,MATCH(Vu_khi!$K$166,Bang_sat_thuong!$A$2:$A$7,0))</f>
        <v/>
      </c>
      <c r="X166" t="n">
        <v>1.35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0.1</v>
      </c>
      <c r="AA166">
        <f>AND(Vu_khi!$K$166="Kinetic",NOT(Vu_khi!$AG$166))</f>
        <v/>
      </c>
      <c r="AB166" t="b">
        <v>0</v>
      </c>
      <c r="AC166">
        <f>IF(Vu_khi!$AG$166,INDEX(Bang_danh_noc!$C$2:$C$8,MIN(7,MAX(1,2-(Vu_khi!$L$166-0)+1))),INDEX(Bang_xuyen_giap!$C$2:$C$8,MIN(7,MAX(1,IF($O$166,MAX(1,2-(Vu_khi!$L$166-0)),2-(Vu_khi!$L$166-0))+1))))*IF($AA$166,INDEX(Bang_xuyen_qua!$C$2:$C$5,MIN(4,MAX(1,(Vu_khi!$L$166)-(0)-1))),1)</f>
        <v/>
      </c>
      <c r="AD166" t="n">
        <v>1.2</v>
      </c>
      <c r="AE166">
        <f>IF(Vu_khi!$AG$166,INDEX(Bang_danh_noc!$C$2:$C$8,MIN(7,MAX(1,2-(Vu_khi!$L$166-2)+1))),INDEX(Bang_xuyen_giap!$C$2:$C$8,MIN(7,MAX(1,IF($O$166,MAX(1,2-(Vu_khi!$L$166-2)),2-(Vu_khi!$L$166-2))+1))))*IF($AA$166,INDEX(Bang_xuyen_qua!$C$2:$C$5,MIN(4,MAX(1,(Vu_khi!$L$166)-(2)-1))),1)</f>
        <v/>
      </c>
      <c r="AF166" t="n">
        <v>0.85</v>
      </c>
      <c r="AG166">
        <f>IF(Vu_khi!$AG$166,INDEX(Bang_danh_noc!$C$2:$C$8,MIN(7,MAX(1,2-(Vu_khi!$L$166-4)+1))),INDEX(Bang_xuyen_giap!$C$2:$C$8,MIN(7,MAX(1,IF($O$166,MAX(1,2-(Vu_khi!$L$166-4)),2-(Vu_khi!$L$166-4))+1))))*IF($AA$166,INDEX(Bang_xuyen_qua!$C$2:$C$5,MIN(4,MAX(1,(Vu_khi!$L$166)-(4)-1))),1)</f>
        <v/>
      </c>
      <c r="AH166" t="n">
        <v>0.4</v>
      </c>
      <c r="AI166">
        <f>INDEX(Bang_xuyen_giap!$C$2:$C$8,MIN(7,MAX(1,MAX(1,2-(Vu_khi!$L$166-0))+1)))*IF($AA$166,INDEX(Bang_xuyen_qua!$C$2:$C$5,MIN(4,MAX(1,(Vu_khi!$L$166)-(0)-1))),1)</f>
        <v/>
      </c>
      <c r="AJ166" t="n">
        <v>1</v>
      </c>
      <c r="AK166">
        <f>IF($Q$166,$M$166*$AC$166*$U$166,0)</f>
        <v/>
      </c>
      <c r="AL166" t="n">
        <v>0</v>
      </c>
      <c r="AM166">
        <f>IF($Q$166,$M$166*$AE$166*$U$166,0)</f>
        <v/>
      </c>
      <c r="AN166" t="n">
        <v>0</v>
      </c>
      <c r="AO166">
        <f>IF($Q$166,$M$166*$AG$166*$U$166,0)</f>
        <v/>
      </c>
      <c r="AP166" t="n">
        <v>0</v>
      </c>
      <c r="AQ166">
        <f>IF($Q$166,$M$166*$AE$166*$Y$166,0)</f>
        <v/>
      </c>
      <c r="AR166" t="n">
        <v>0</v>
      </c>
      <c r="AS166">
        <f>IF($S$166,$M$166*$AI$166*$W$166,0)</f>
        <v/>
      </c>
      <c r="AT166" t="n">
        <v>419.4326514859128</v>
      </c>
      <c r="AU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V166" t="b">
        <v>0</v>
      </c>
      <c r="AW166">
        <f>IF(AND($B$166&lt;0,$AU$166),4,$B$166)</f>
        <v/>
      </c>
      <c r="AX166" t="n">
        <v>1</v>
      </c>
      <c r="AY166">
        <f>IF($AW$166&lt;4,0,MIN(MAX(0.5,Canh_bao_vong!$D$4),MAX(IF(Vu_khi!$C$166="cal_406",Canh_bao_vong!$D$7,IF($AW$166&gt;=5,Canh_bao_vong!$D$9,Canh_bao_vong!$D$8)),Canh_bao_vong!$D$2+MAX(0,Vu_khi!$X$166)/MAX(0.1,Canh_bao_vong!$D$5))))</f>
        <v/>
      </c>
      <c r="AZ166" t="n">
        <v>0</v>
      </c>
      <c r="BD166" t="n">
        <v>300</v>
      </c>
      <c r="BE166" t="n">
        <v>390</v>
      </c>
      <c r="BF166" t="n">
        <v>0.025</v>
      </c>
      <c r="BG166" t="n">
        <v>0.05</v>
      </c>
      <c r="BH166" t="n">
        <v>0.1</v>
      </c>
      <c r="BI166" t="n">
        <v>0.077</v>
      </c>
      <c r="BJ166" t="inlineStr">
        <is>
          <t>DIRECT_BULLET</t>
        </is>
      </c>
      <c r="BK166" t="inlineStr">
        <is>
          <t>ok</t>
        </is>
      </c>
      <c r="BL166" t="inlineStr">
        <is>
          <t>inherited from jet_cannon</t>
        </is>
      </c>
      <c r="BM166" t="inlineStr"/>
      <c r="BN166" t="inlineStr">
        <is>
          <t>Assets/MachineBrigade/Resources/Data/balance.json: weapons[id=jet_cannon_flak] (lớp B trên 01_chien_dau/Vu_khi)</t>
        </is>
      </c>
      <c r="BO166" t="inlineStr"/>
    </row>
    <row r="167">
      <c r="A167" t="inlineStr">
        <is>
          <t>jet_rockets</t>
        </is>
      </c>
      <c r="B167" t="n">
        <v>2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7</v>
      </c>
      <c r="G167">
        <f>IF(Vu_khi!$S$167&gt;0,(Vu_khi!$S$167-1)*Vu_khi!$R$167+Vu_khi!$T$167,Vu_khi!$R$167+(Vu_khi!$P$167-1)*Vu_khi!$Q$167)</f>
        <v/>
      </c>
      <c r="H167" t="n">
        <v>3.03</v>
      </c>
      <c r="I167">
        <f>Vu_khi!$W$167*MAX(1,$E$167)</f>
        <v/>
      </c>
      <c r="J167" t="n">
        <v>210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69.3069306930693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0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1.6</v>
      </c>
      <c r="AA167">
        <f>AND(Vu_khi!$K$167="Kinetic",NOT(Vu_khi!$AG$167))</f>
        <v/>
      </c>
      <c r="AB167" t="b">
        <v>0</v>
      </c>
      <c r="AC167">
        <f>IF(Vu_khi!$AG$167,INDEX(Bang_danh_noc!$C$2:$C$8,MIN(7,MAX(1,2-(Vu_khi!$L$167-0)+1))),INDEX(Bang_xuyen_giap!$C$2:$C$8,MIN(7,MAX(1,IF($O$167,MAX(1,2-(Vu_khi!$L$167-0)),2-(Vu_khi!$L$167-0))+1))))*IF($AA$167,INDEX(Bang_xuyen_qua!$C$2:$C$5,MIN(4,MAX(1,(Vu_khi!$L$167)-(0)-1))),1)</f>
        <v/>
      </c>
      <c r="AD167" t="n">
        <v>1.2</v>
      </c>
      <c r="AE167">
        <f>IF(Vu_khi!$AG$167,INDEX(Bang_danh_noc!$C$2:$C$8,MIN(7,MAX(1,2-(Vu_khi!$L$167-2)+1))),INDEX(Bang_xuyen_giap!$C$2:$C$8,MIN(7,MAX(1,IF($O$167,MAX(1,2-(Vu_khi!$L$167-2)),2-(Vu_khi!$L$167-2))+1))))*IF($AA$167,INDEX(Bang_xuyen_qua!$C$2:$C$5,MIN(4,MAX(1,(Vu_khi!$L$167)-(2)-1))),1)</f>
        <v/>
      </c>
      <c r="AF167" t="n">
        <v>0.85</v>
      </c>
      <c r="AG167">
        <f>IF(Vu_khi!$AG$167,INDEX(Bang_danh_noc!$C$2:$C$8,MIN(7,MAX(1,2-(Vu_khi!$L$167-4)+1))),INDEX(Bang_xuyen_giap!$C$2:$C$8,MIN(7,MAX(1,IF($O$167,MAX(1,2-(Vu_khi!$L$167-4)),2-(Vu_khi!$L$167-4))+1))))*IF($AA$167,INDEX(Bang_xuyen_qua!$C$2:$C$5,MIN(4,MAX(1,(Vu_khi!$L$167)-(4)-1))),1)</f>
        <v/>
      </c>
      <c r="AH167" t="n">
        <v>0.4</v>
      </c>
      <c r="AI167">
        <f>INDEX(Bang_xuyen_giap!$C$2:$C$8,MIN(7,MAX(1,MAX(1,2-(Vu_khi!$L$167-0))+1)))*IF($AA$167,INDEX(Bang_xuyen_qua!$C$2:$C$5,MIN(4,MAX(1,(Vu_khi!$L$167)-(0)-1))),1)</f>
        <v/>
      </c>
      <c r="AJ167" t="n">
        <v>1</v>
      </c>
      <c r="AK167">
        <f>IF($Q$167,$M$167*$AC$167*$U$167,0)</f>
        <v/>
      </c>
      <c r="AL167" t="n">
        <v>83.16831683168316</v>
      </c>
      <c r="AM167">
        <f>IF($Q$167,$M$167*$AE$167*$U$167,0)</f>
        <v/>
      </c>
      <c r="AN167" t="n">
        <v>58.91089108910891</v>
      </c>
      <c r="AO167">
        <f>IF($Q$167,$M$167*$AG$167*$U$167,0)</f>
        <v/>
      </c>
      <c r="AP167" t="n">
        <v>27.72277227722772</v>
      </c>
      <c r="AQ167">
        <f>IF($Q$167,$M$167*$AE$167*$Y$167,0)</f>
        <v/>
      </c>
      <c r="AR167" t="n">
        <v>94.25742574257426</v>
      </c>
      <c r="AS167">
        <f>IF($S$167,$M$167*$AI$167*$W$167,0)</f>
        <v/>
      </c>
      <c r="AT167" t="n">
        <v>0</v>
      </c>
      <c r="AU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V167" t="b">
        <v>0</v>
      </c>
      <c r="AW167">
        <f>IF(AND($B$167&lt;0,$AU$167),4,$B$167)</f>
        <v/>
      </c>
      <c r="AX167" t="n">
        <v>2</v>
      </c>
      <c r="AY167">
        <f>IF($AW$167&lt;4,0,MIN(MAX(0.5,Canh_bao_vong!$D$4),MAX(IF(Vu_khi!$C$167="cal_406",Canh_bao_vong!$D$7,IF($AW$167&gt;=5,Canh_bao_vong!$D$9,Canh_bao_vong!$D$8)),Canh_bao_vong!$D$2+MAX(0,Vu_khi!$X$167)/MAX(0.1,Canh_bao_vong!$D$5))))</f>
        <v/>
      </c>
      <c r="AZ167" t="n">
        <v>0</v>
      </c>
      <c r="BA167" t="n">
        <v>1.2</v>
      </c>
      <c r="BB167" t="inlineStr">
        <is>
          <t>ok</t>
        </is>
      </c>
      <c r="BC167" t="inlineStr"/>
      <c r="BD167" t="n">
        <v>100</v>
      </c>
      <c r="BE167" t="n">
        <v>130</v>
      </c>
      <c r="BF167" t="n">
        <v>0.09</v>
      </c>
      <c r="BG167" t="n">
        <v>0.18</v>
      </c>
      <c r="BH167" t="n">
        <v>0.36</v>
      </c>
      <c r="BI167" t="n">
        <v>0.277</v>
      </c>
      <c r="BJ167" t="inlineStr">
        <is>
          <t>AIRCRAFT_ROCKET</t>
        </is>
      </c>
      <c r="BK167" t="inlineStr">
        <is>
          <t>ok</t>
        </is>
      </c>
      <c r="BL167" t="inlineStr">
        <is>
          <t>family hydra_70_mm_jet</t>
        </is>
      </c>
      <c r="BM167" t="n">
        <v>8</v>
      </c>
      <c r="BN167" t="inlineStr">
        <is>
          <t>Assets/MachineBrigade/Resources/Data/balance.json: weapons[id=jet_rockets] (lớp B trên 01_chien_dau/Vu_khi)</t>
        </is>
      </c>
      <c r="BO167" t="inlineStr"/>
    </row>
    <row r="168">
      <c r="A168" t="inlineStr">
        <is>
          <t>kh29</t>
        </is>
      </c>
      <c r="B168" t="n">
        <v>4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1</v>
      </c>
      <c r="G168">
        <f>IF(Vu_khi!$S$168&gt;0,(Vu_khi!$S$168-1)*Vu_khi!$R$168+Vu_khi!$T$168,Vu_khi!$R$168+(Vu_khi!$P$168-1)*Vu_khi!$Q$168)</f>
        <v/>
      </c>
      <c r="H168" t="n">
        <v>7.86</v>
      </c>
      <c r="I168">
        <f>Vu_khi!$W$168*MAX(1,$E$168)</f>
        <v/>
      </c>
      <c r="J168" t="n">
        <v>378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48.09160305343512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0</v>
      </c>
      <c r="U168">
        <f>INDEX(Bang_sat_thuong!$B$2:$B$7,MATCH(Vu_khi!$K$168,Bang_sat_thuong!$A$2:$A$7,0))</f>
        <v/>
      </c>
      <c r="V168" t="n">
        <v>1.3</v>
      </c>
      <c r="W168">
        <f>INDEX(Bang_sat_thuong!$C$2:$C$7,MATCH(Vu_khi!$K$168,Bang_sat_thuong!$A$2:$A$7,0))</f>
        <v/>
      </c>
      <c r="X168" t="n">
        <v>0.2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0.45</v>
      </c>
      <c r="AA168">
        <f>AND(Vu_khi!$K$168="Kinetic",NOT(Vu_khi!$AG$168))</f>
        <v/>
      </c>
      <c r="AB168" t="b">
        <v>0</v>
      </c>
      <c r="AC168">
        <f>IF(Vu_khi!$AG$168,INDEX(Bang_danh_noc!$C$2:$C$8,MIN(7,MAX(1,2-(Vu_khi!$L$168-0)+1))),INDEX(Bang_xuyen_giap!$C$2:$C$8,MIN(7,MAX(1,IF($O$168,MAX(1,2-(Vu_khi!$L$168-0)),2-(Vu_khi!$L$168-0))+1))))*IF($AA$168,INDEX(Bang_xuyen_qua!$C$2:$C$5,MIN(4,MAX(1,(Vu_khi!$L$168)-(0)-1))),1)</f>
        <v/>
      </c>
      <c r="AD168" t="n">
        <v>1.2</v>
      </c>
      <c r="AE168">
        <f>IF(Vu_khi!$AG$168,INDEX(Bang_danh_noc!$C$2:$C$8,MIN(7,MAX(1,2-(Vu_khi!$L$168-2)+1))),INDEX(Bang_xuyen_giap!$C$2:$C$8,MIN(7,MAX(1,IF($O$168,MAX(1,2-(Vu_khi!$L$168-2)),2-(Vu_khi!$L$168-2))+1))))*IF($AA$168,INDEX(Bang_xuyen_qua!$C$2:$C$5,MIN(4,MAX(1,(Vu_khi!$L$168)-(2)-1))),1)</f>
        <v/>
      </c>
      <c r="AF168" t="n">
        <v>1.2</v>
      </c>
      <c r="AG168">
        <f>IF(Vu_khi!$AG$168,INDEX(Bang_danh_noc!$C$2:$C$8,MIN(7,MAX(1,2-(Vu_khi!$L$168-4)+1))),INDEX(Bang_xuyen_giap!$C$2:$C$8,MIN(7,MAX(1,IF($O$168,MAX(1,2-(Vu_khi!$L$168-4)),2-(Vu_khi!$L$168-4))+1))))*IF($AA$168,INDEX(Bang_xuyen_qua!$C$2:$C$5,MIN(4,MAX(1,(Vu_khi!$L$168)-(4)-1))),1)</f>
        <v/>
      </c>
      <c r="AH168" t="n">
        <v>0.85</v>
      </c>
      <c r="AI168">
        <f>INDEX(Bang_xuyen_giap!$C$2:$C$8,MIN(7,MAX(1,MAX(1,2-(Vu_khi!$L$168-0))+1)))*IF($AA$168,INDEX(Bang_xuyen_qua!$C$2:$C$5,MIN(4,MAX(1,(Vu_khi!$L$168)-(0)-1))),1)</f>
        <v/>
      </c>
      <c r="AJ168" t="n">
        <v>1</v>
      </c>
      <c r="AK168">
        <f>IF($Q$168,$M$168*$AC$168*$U$168,0)</f>
        <v/>
      </c>
      <c r="AL168" t="n">
        <v>75.02290076335878</v>
      </c>
      <c r="AM168">
        <f>IF($Q$168,$M$168*$AE$168*$U$168,0)</f>
        <v/>
      </c>
      <c r="AN168" t="n">
        <v>75.02290076335878</v>
      </c>
      <c r="AO168">
        <f>IF($Q$168,$M$168*$AG$168*$U$168,0)</f>
        <v/>
      </c>
      <c r="AP168" t="n">
        <v>53.1412213740458</v>
      </c>
      <c r="AQ168">
        <f>IF($Q$168,$M$168*$AE$168*$Y$168,0)</f>
        <v/>
      </c>
      <c r="AR168" t="n">
        <v>25.96946564885496</v>
      </c>
      <c r="AS168">
        <f>IF($S$168,$M$168*$AI$168*$W$168,0)</f>
        <v/>
      </c>
      <c r="AT168" t="n">
        <v>0</v>
      </c>
      <c r="AU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V168" t="b">
        <v>0</v>
      </c>
      <c r="AW168">
        <f>IF(AND($B$168&lt;0,$AU$168),4,$B$168)</f>
        <v/>
      </c>
      <c r="AX168" t="n">
        <v>4</v>
      </c>
      <c r="AY168">
        <f>IF($AW$168&lt;4,0,MIN(MAX(0.5,Canh_bao_vong!$D$4),MAX(IF(Vu_khi!$C$168="cal_406",Canh_bao_vong!$D$7,IF($AW$168&gt;=5,Canh_bao_vong!$D$9,Canh_bao_vong!$D$8)),Canh_bao_vong!$D$2+MAX(0,Vu_khi!$X$168)/MAX(0.1,Canh_bao_vong!$D$5))))</f>
        <v/>
      </c>
      <c r="AZ168" t="n">
        <v>2.5</v>
      </c>
      <c r="BA168" t="inlineStr"/>
      <c r="BB168" t="inlineStr">
        <is>
          <t>ok</t>
        </is>
      </c>
      <c r="BC168" t="inlineStr"/>
      <c r="BD168" t="n">
        <v>80</v>
      </c>
      <c r="BE168" t="n">
        <v>104</v>
      </c>
      <c r="BF168" t="n">
        <v>0.125</v>
      </c>
      <c r="BG168" t="n">
        <v>0.25</v>
      </c>
      <c r="BH168" t="n">
        <v>0.5</v>
      </c>
      <c r="BI168" t="n">
        <v>0.385</v>
      </c>
      <c r="BJ168" t="inlineStr">
        <is>
          <t>TACTICAL_MISSILE</t>
        </is>
      </c>
      <c r="BK168" t="inlineStr">
        <is>
          <t>ok</t>
        </is>
      </c>
      <c r="BL168" t="inlineStr">
        <is>
          <t>own line</t>
        </is>
      </c>
      <c r="BM168" t="inlineStr"/>
      <c r="BN168" t="inlineStr">
        <is>
          <t>Assets/MachineBrigade/Resources/Data/balance.json: weapons[id=kh29] (lớp B trên 01_chien_dau/Vu_khi)</t>
        </is>
      </c>
      <c r="BO168" t="inlineStr"/>
    </row>
    <row r="169">
      <c r="A169" t="inlineStr">
        <is>
          <t>kornet_multi</t>
        </is>
      </c>
      <c r="B169" t="n">
        <v>2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2</v>
      </c>
      <c r="G169">
        <f>IF(Vu_khi!$S$169&gt;0,(Vu_khi!$S$169-1)*Vu_khi!$R$169+Vu_khi!$T$169,Vu_khi!$R$169+(Vu_khi!$P$169-1)*Vu_khi!$Q$169)</f>
        <v/>
      </c>
      <c r="H169" t="n">
        <v>5.55</v>
      </c>
      <c r="I169">
        <f>Vu_khi!$W$169*MAX(1,$E$169)</f>
        <v/>
      </c>
      <c r="J169" t="n">
        <v>460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82.88288288288288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1</v>
      </c>
      <c r="U169">
        <f>INDEX(Bang_sat_thuong!$B$2:$B$7,MATCH(Vu_khi!$K$169,Bang_sat_thuong!$A$2:$A$7,0))</f>
        <v/>
      </c>
      <c r="V169" t="n">
        <v>1.3</v>
      </c>
      <c r="W169">
        <f>INDEX(Bang_sat_thuong!$C$2:$C$7,MATCH(Vu_khi!$K$169,Bang_sat_thuong!$A$2:$A$7,0))</f>
        <v/>
      </c>
      <c r="X169" t="n">
        <v>0.2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0.45</v>
      </c>
      <c r="AA169">
        <f>AND(Vu_khi!$K$169="Kinetic",NOT(Vu_khi!$AG$169))</f>
        <v/>
      </c>
      <c r="AB169" t="b">
        <v>0</v>
      </c>
      <c r="AC169">
        <f>IF(Vu_khi!$AG$169,INDEX(Bang_danh_noc!$C$2:$C$8,MIN(7,MAX(1,2-(Vu_khi!$L$169-0)+1))),INDEX(Bang_xuyen_giap!$C$2:$C$8,MIN(7,MAX(1,IF($O$169,MAX(1,2-(Vu_khi!$L$169-0)),2-(Vu_khi!$L$169-0))+1))))*IF($AA$169,INDEX(Bang_xuyen_qua!$C$2:$C$5,MIN(4,MAX(1,(Vu_khi!$L$169)-(0)-1))),1)</f>
        <v/>
      </c>
      <c r="AD169" t="n">
        <v>1.2</v>
      </c>
      <c r="AE169">
        <f>IF(Vu_khi!$AG$169,INDEX(Bang_danh_noc!$C$2:$C$8,MIN(7,MAX(1,2-(Vu_khi!$L$169-2)+1))),INDEX(Bang_xuyen_giap!$C$2:$C$8,MIN(7,MAX(1,IF($O$169,MAX(1,2-(Vu_khi!$L$169-2)),2-(Vu_khi!$L$169-2))+1))))*IF($AA$169,INDEX(Bang_xuyen_qua!$C$2:$C$5,MIN(4,MAX(1,(Vu_khi!$L$169)-(2)-1))),1)</f>
        <v/>
      </c>
      <c r="AF169" t="n">
        <v>1.2</v>
      </c>
      <c r="AG169">
        <f>IF(Vu_khi!$AG$169,INDEX(Bang_danh_noc!$C$2:$C$8,MIN(7,MAX(1,2-(Vu_khi!$L$169-4)+1))),INDEX(Bang_xuyen_giap!$C$2:$C$8,MIN(7,MAX(1,IF($O$169,MAX(1,2-(Vu_khi!$L$169-4)),2-(Vu_khi!$L$169-4))+1))))*IF($AA$169,INDEX(Bang_xuyen_qua!$C$2:$C$5,MIN(4,MAX(1,(Vu_khi!$L$169)-(4)-1))),1)</f>
        <v/>
      </c>
      <c r="AH169" t="n">
        <v>0.85</v>
      </c>
      <c r="AI169">
        <f>INDEX(Bang_xuyen_giap!$C$2:$C$8,MIN(7,MAX(1,MAX(1,2-(Vu_khi!$L$169-0))+1)))*IF($AA$169,INDEX(Bang_xuyen_qua!$C$2:$C$5,MIN(4,MAX(1,(Vu_khi!$L$169)-(0)-1))),1)</f>
        <v/>
      </c>
      <c r="AJ169" t="n">
        <v>1</v>
      </c>
      <c r="AK169">
        <f>IF($Q$169,$M$169*$AC$169*$U$169,0)</f>
        <v/>
      </c>
      <c r="AL169" t="n">
        <v>129.2972972972973</v>
      </c>
      <c r="AM169">
        <f>IF($Q$169,$M$169*$AE$169*$U$169,0)</f>
        <v/>
      </c>
      <c r="AN169" t="n">
        <v>129.2972972972973</v>
      </c>
      <c r="AO169">
        <f>IF($Q$169,$M$169*$AG$169*$U$169,0)</f>
        <v/>
      </c>
      <c r="AP169" t="n">
        <v>91.58558558558558</v>
      </c>
      <c r="AQ169">
        <f>IF($Q$169,$M$169*$AE$169*$Y$169,0)</f>
        <v/>
      </c>
      <c r="AR169" t="n">
        <v>44.75675675675676</v>
      </c>
      <c r="AS169">
        <f>IF($S$169,$M$169*$AI$169*$W$169,0)</f>
        <v/>
      </c>
      <c r="AT169" t="n">
        <v>16.57657657657658</v>
      </c>
      <c r="AU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V169" t="b">
        <v>0</v>
      </c>
      <c r="AW169">
        <f>IF(AND($B$169&lt;0,$AU$169),4,$B$169)</f>
        <v/>
      </c>
      <c r="AX169" t="n">
        <v>2</v>
      </c>
      <c r="AY169">
        <f>IF($AW$169&lt;4,0,MIN(MAX(0.5,Canh_bao_vong!$D$4),MAX(IF(Vu_khi!$C$169="cal_406",Canh_bao_vong!$D$7,IF($AW$169&gt;=5,Canh_bao_vong!$D$9,Canh_bao_vong!$D$8)),Canh_bao_vong!$D$2+MAX(0,Vu_khi!$X$169)/MAX(0.1,Canh_bao_vong!$D$5))))</f>
        <v/>
      </c>
      <c r="AZ169" t="n">
        <v>0</v>
      </c>
      <c r="BA169" t="n">
        <v>0.2775</v>
      </c>
      <c r="BB169" t="inlineStr">
        <is>
          <t>NHANH_QUA</t>
        </is>
      </c>
      <c r="BC169" t="inlineStr"/>
      <c r="BD169" t="n">
        <v>80</v>
      </c>
      <c r="BE169" t="n">
        <v>104</v>
      </c>
      <c r="BF169" t="n">
        <v>0.156</v>
      </c>
      <c r="BG169" t="n">
        <v>0.312</v>
      </c>
      <c r="BH169" t="n">
        <v>0.625</v>
      </c>
      <c r="BI169" t="n">
        <v>0.481</v>
      </c>
      <c r="BJ169" t="inlineStr">
        <is>
          <t>TACTICAL_MISSILE</t>
        </is>
      </c>
      <c r="BK169" t="inlineStr">
        <is>
          <t>ok</t>
        </is>
      </c>
      <c r="BL169" t="inlineStr">
        <is>
          <t>family 9m133_kornet</t>
        </is>
      </c>
      <c r="BM169" t="n">
        <v>48</v>
      </c>
      <c r="BN169" t="inlineStr">
        <is>
          <t>Assets/MachineBrigade/Resources/Data/balance.json: weapons[id=kornet_multi] (lớp B trên 01_chien_dau/Vu_khi)</t>
        </is>
      </c>
      <c r="BO169" t="inlineStr"/>
    </row>
    <row r="170">
      <c r="A170" t="inlineStr">
        <is>
          <t>kornet_top</t>
        </is>
      </c>
      <c r="B170" t="n">
        <v>2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2</v>
      </c>
      <c r="G170">
        <f>IF(Vu_khi!$S$170&gt;0,(Vu_khi!$S$170-1)*Vu_khi!$R$170+Vu_khi!$T$170,Vu_khi!$R$170+(Vu_khi!$P$170-1)*Vu_khi!$Q$170)</f>
        <v/>
      </c>
      <c r="H170" t="n">
        <v>5.199999999999999</v>
      </c>
      <c r="I170">
        <f>Vu_khi!$W$170*MAX(1,$E$170)</f>
        <v/>
      </c>
      <c r="J170" t="n">
        <v>460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88.46153846153847</v>
      </c>
      <c r="O170">
        <f>OR(Vu_khi!$AG$170,Vu_khi!$AB$170&gt;0,Vu_khi!$AH$170,Vu_khi!$M$170="Bomb",Vu_khi!$M$170="Drone")</f>
        <v/>
      </c>
      <c r="P170" t="b">
        <v>1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0</v>
      </c>
      <c r="U170">
        <f>INDEX(Bang_sat_thuong!$B$2:$B$7,MATCH(Vu_khi!$K$170,Bang_sat_thuong!$A$2:$A$7,0))</f>
        <v/>
      </c>
      <c r="V170" t="n">
        <v>1.3</v>
      </c>
      <c r="W170">
        <f>INDEX(Bang_sat_thuong!$C$2:$C$7,MATCH(Vu_khi!$K$170,Bang_sat_thuong!$A$2:$A$7,0))</f>
        <v/>
      </c>
      <c r="X170" t="n">
        <v>0.2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0.45</v>
      </c>
      <c r="AA170">
        <f>AND(Vu_khi!$K$170="Kinetic",NOT(Vu_khi!$AG$170))</f>
        <v/>
      </c>
      <c r="AB170" t="b">
        <v>0</v>
      </c>
      <c r="AC170">
        <f>IF(Vu_khi!$AG$170,INDEX(Bang_danh_noc!$C$2:$C$8,MIN(7,MAX(1,2-(Vu_khi!$L$170-0)+1))),INDEX(Bang_xuyen_giap!$C$2:$C$8,MIN(7,MAX(1,IF($O$170,MAX(1,2-(Vu_khi!$L$170-0)),2-(Vu_khi!$L$170-0))+1))))*IF($AA$170,INDEX(Bang_xuyen_qua!$C$2:$C$5,MIN(4,MAX(1,(Vu_khi!$L$170)-(0)-1))),1)</f>
        <v/>
      </c>
      <c r="AD170" t="n">
        <v>1.15</v>
      </c>
      <c r="AE170">
        <f>IF(Vu_khi!$AG$170,INDEX(Bang_danh_noc!$C$2:$C$8,MIN(7,MAX(1,2-(Vu_khi!$L$170-2)+1))),INDEX(Bang_xuyen_giap!$C$2:$C$8,MIN(7,MAX(1,IF($O$170,MAX(1,2-(Vu_khi!$L$170-2)),2-(Vu_khi!$L$170-2))+1))))*IF($AA$170,INDEX(Bang_xuyen_qua!$C$2:$C$5,MIN(4,MAX(1,(Vu_khi!$L$170)-(2)-1))),1)</f>
        <v/>
      </c>
      <c r="AF170" t="n">
        <v>1.15</v>
      </c>
      <c r="AG170">
        <f>IF(Vu_khi!$AG$170,INDEX(Bang_danh_noc!$C$2:$C$8,MIN(7,MAX(1,2-(Vu_khi!$L$170-4)+1))),INDEX(Bang_xuyen_giap!$C$2:$C$8,MIN(7,MAX(1,IF($O$170,MAX(1,2-(Vu_khi!$L$170-4)),2-(Vu_khi!$L$170-4))+1))))*IF($AA$170,INDEX(Bang_xuyen_qua!$C$2:$C$5,MIN(4,MAX(1,(Vu_khi!$L$170)-(4)-1))),1)</f>
        <v/>
      </c>
      <c r="AH170" t="n">
        <v>0.95</v>
      </c>
      <c r="AI170">
        <f>INDEX(Bang_xuyen_giap!$C$2:$C$8,MIN(7,MAX(1,MAX(1,2-(Vu_khi!$L$170-0))+1)))*IF($AA$170,INDEX(Bang_xuyen_qua!$C$2:$C$5,MIN(4,MAX(1,(Vu_khi!$L$170)-(0)-1))),1)</f>
        <v/>
      </c>
      <c r="AJ170" t="n">
        <v>1</v>
      </c>
      <c r="AK170">
        <f>IF($Q$170,$M$170*$AC$170*$U$170,0)</f>
        <v/>
      </c>
      <c r="AL170" t="n">
        <v>132.25</v>
      </c>
      <c r="AM170">
        <f>IF($Q$170,$M$170*$AE$170*$U$170,0)</f>
        <v/>
      </c>
      <c r="AN170" t="n">
        <v>132.25</v>
      </c>
      <c r="AO170">
        <f>IF($Q$170,$M$170*$AG$170*$U$170,0)</f>
        <v/>
      </c>
      <c r="AP170" t="n">
        <v>109.25</v>
      </c>
      <c r="AQ170">
        <f>IF($Q$170,$M$170*$AE$170*$Y$170,0)</f>
        <v/>
      </c>
      <c r="AR170" t="n">
        <v>45.77884615384615</v>
      </c>
      <c r="AS170">
        <f>IF($S$170,$M$170*$AI$170*$W$170,0)</f>
        <v/>
      </c>
      <c r="AT170" t="n">
        <v>0</v>
      </c>
      <c r="AU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V170" t="b">
        <v>0</v>
      </c>
      <c r="AW170">
        <f>IF(AND($B$170&lt;0,$AU$170),4,$B$170)</f>
        <v/>
      </c>
      <c r="AX170" t="n">
        <v>2</v>
      </c>
      <c r="AY170">
        <f>IF($AW$170&lt;4,0,MIN(MAX(0.5,Canh_bao_vong!$D$4),MAX(IF(Vu_khi!$C$170="cal_406",Canh_bao_vong!$D$7,IF($AW$170&gt;=5,Canh_bao_vong!$D$9,Canh_bao_vong!$D$8)),Canh_bao_vong!$D$2+MAX(0,Vu_khi!$X$170)/MAX(0.1,Canh_bao_vong!$D$5))))</f>
        <v/>
      </c>
      <c r="AZ170" t="n">
        <v>0</v>
      </c>
      <c r="BA170" t="n">
        <v>0.26</v>
      </c>
      <c r="BB170" t="inlineStr">
        <is>
          <t>NHANH_QUA</t>
        </is>
      </c>
      <c r="BC170" t="inlineStr"/>
      <c r="BD170" t="n">
        <v>80</v>
      </c>
      <c r="BE170" t="n">
        <v>104</v>
      </c>
      <c r="BF170" t="n">
        <v>0.156</v>
      </c>
      <c r="BG170" t="n">
        <v>0.312</v>
      </c>
      <c r="BH170" t="n">
        <v>0.625</v>
      </c>
      <c r="BI170" t="n">
        <v>0.481</v>
      </c>
      <c r="BJ170" t="inlineStr">
        <is>
          <t>TACTICAL_MISSILE</t>
        </is>
      </c>
      <c r="BK170" t="inlineStr">
        <is>
          <t>ok</t>
        </is>
      </c>
      <c r="BL170" t="inlineStr">
        <is>
          <t>family 9m133_kornet</t>
        </is>
      </c>
      <c r="BM170" t="n">
        <v>48</v>
      </c>
      <c r="BN170" t="inlineStr">
        <is>
          <t>Assets/MachineBrigade/Resources/Data/balance.json: weapons[id=kornet_top] (lớp B trên 01_chien_dau/Vu_khi)</t>
        </is>
      </c>
      <c r="BO170" t="inlineStr"/>
    </row>
    <row r="171">
      <c r="A171" t="inlineStr">
        <is>
          <t>kornet_twin</t>
        </is>
      </c>
      <c r="B171" t="n">
        <v>2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2</v>
      </c>
      <c r="G171">
        <f>IF(Vu_khi!$S$171&gt;0,(Vu_khi!$S$171-1)*Vu_khi!$R$171+Vu_khi!$T$171,Vu_khi!$R$171+(Vu_khi!$P$171-1)*Vu_khi!$Q$171)</f>
        <v/>
      </c>
      <c r="H171" t="n">
        <v>11.11</v>
      </c>
      <c r="I171">
        <f>Vu_khi!$W$171*MAX(1,$E$171)</f>
        <v/>
      </c>
      <c r="J171" t="n">
        <v>460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41.40414041404141</v>
      </c>
      <c r="O171">
        <f>OR(Vu_khi!$AG$171,Vu_khi!$AB$171&gt;0,Vu_khi!$AH$171,Vu_khi!$M$171="Bomb",Vu_khi!$M$171="Drone")</f>
        <v/>
      </c>
      <c r="P171" t="b">
        <v>0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0</v>
      </c>
      <c r="U171">
        <f>INDEX(Bang_sat_thuong!$B$2:$B$7,MATCH(Vu_khi!$K$171,Bang_sat_thuong!$A$2:$A$7,0))</f>
        <v/>
      </c>
      <c r="V171" t="n">
        <v>1.3</v>
      </c>
      <c r="W171">
        <f>INDEX(Bang_sat_thuong!$C$2:$C$7,MATCH(Vu_khi!$K$171,Bang_sat_thuong!$A$2:$A$7,0))</f>
        <v/>
      </c>
      <c r="X171" t="n">
        <v>0.2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0.45</v>
      </c>
      <c r="AA171">
        <f>AND(Vu_khi!$K$171="Kinetic",NOT(Vu_khi!$AG$171))</f>
        <v/>
      </c>
      <c r="AB171" t="b">
        <v>0</v>
      </c>
      <c r="AC171">
        <f>IF(Vu_khi!$AG$171,INDEX(Bang_danh_noc!$C$2:$C$8,MIN(7,MAX(1,2-(Vu_khi!$L$171-0)+1))),INDEX(Bang_xuyen_giap!$C$2:$C$8,MIN(7,MAX(1,IF($O$171,MAX(1,2-(Vu_khi!$L$171-0)),2-(Vu_khi!$L$171-0))+1))))*IF($AA$171,INDEX(Bang_xuyen_qua!$C$2:$C$5,MIN(4,MAX(1,(Vu_khi!$L$171)-(0)-1))),1)</f>
        <v/>
      </c>
      <c r="AD171" t="n">
        <v>1.2</v>
      </c>
      <c r="AE171">
        <f>IF(Vu_khi!$AG$171,INDEX(Bang_danh_noc!$C$2:$C$8,MIN(7,MAX(1,2-(Vu_khi!$L$171-2)+1))),INDEX(Bang_xuyen_giap!$C$2:$C$8,MIN(7,MAX(1,IF($O$171,MAX(1,2-(Vu_khi!$L$171-2)),2-(Vu_khi!$L$171-2))+1))))*IF($AA$171,INDEX(Bang_xuyen_qua!$C$2:$C$5,MIN(4,MAX(1,(Vu_khi!$L$171)-(2)-1))),1)</f>
        <v/>
      </c>
      <c r="AF171" t="n">
        <v>1.2</v>
      </c>
      <c r="AG171">
        <f>IF(Vu_khi!$AG$171,INDEX(Bang_danh_noc!$C$2:$C$8,MIN(7,MAX(1,2-(Vu_khi!$L$171-4)+1))),INDEX(Bang_xuyen_giap!$C$2:$C$8,MIN(7,MAX(1,IF($O$171,MAX(1,2-(Vu_khi!$L$171-4)),2-(Vu_khi!$L$171-4))+1))))*IF($AA$171,INDEX(Bang_xuyen_qua!$C$2:$C$5,MIN(4,MAX(1,(Vu_khi!$L$171)-(4)-1))),1)</f>
        <v/>
      </c>
      <c r="AH171" t="n">
        <v>0.85</v>
      </c>
      <c r="AI171">
        <f>INDEX(Bang_xuyen_giap!$C$2:$C$8,MIN(7,MAX(1,MAX(1,2-(Vu_khi!$L$171-0))+1)))*IF($AA$171,INDEX(Bang_xuyen_qua!$C$2:$C$5,MIN(4,MAX(1,(Vu_khi!$L$171)-(0)-1))),1)</f>
        <v/>
      </c>
      <c r="AJ171" t="n">
        <v>1</v>
      </c>
      <c r="AK171">
        <f>IF($Q$171,$M$171*$AC$171*$U$171,0)</f>
        <v/>
      </c>
      <c r="AL171" t="n">
        <v>64.59045904590459</v>
      </c>
      <c r="AM171">
        <f>IF($Q$171,$M$171*$AE$171*$U$171,0)</f>
        <v/>
      </c>
      <c r="AN171" t="n">
        <v>64.59045904590459</v>
      </c>
      <c r="AO171">
        <f>IF($Q$171,$M$171*$AG$171*$U$171,0)</f>
        <v/>
      </c>
      <c r="AP171" t="n">
        <v>45.75157515751575</v>
      </c>
      <c r="AQ171">
        <f>IF($Q$171,$M$171*$AE$171*$Y$171,0)</f>
        <v/>
      </c>
      <c r="AR171" t="n">
        <v>22.35823582358236</v>
      </c>
      <c r="AS171">
        <f>IF($S$171,$M$171*$AI$171*$W$171,0)</f>
        <v/>
      </c>
      <c r="AT171" t="n">
        <v>0</v>
      </c>
      <c r="AU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V171" t="b">
        <v>0</v>
      </c>
      <c r="AW171">
        <f>IF(AND($B$171&lt;0,$AU$171),4,$B$171)</f>
        <v/>
      </c>
      <c r="AX171" t="n">
        <v>2</v>
      </c>
      <c r="AY171">
        <f>IF($AW$171&lt;4,0,MIN(MAX(0.5,Canh_bao_vong!$D$4),MAX(IF(Vu_khi!$C$171="cal_406",Canh_bao_vong!$D$7,IF($AW$171&gt;=5,Canh_bao_vong!$D$9,Canh_bao_vong!$D$8)),Canh_bao_vong!$D$2+MAX(0,Vu_khi!$X$171)/MAX(0.1,Canh_bao_vong!$D$5))))</f>
        <v/>
      </c>
      <c r="AZ171" t="n">
        <v>0</v>
      </c>
      <c r="BA171" t="n">
        <v>0.5555</v>
      </c>
      <c r="BB171" t="inlineStr">
        <is>
          <t>NHANH_QUA</t>
        </is>
      </c>
      <c r="BC171" t="inlineStr"/>
      <c r="BD171" t="n">
        <v>80</v>
      </c>
      <c r="BE171" t="n">
        <v>104</v>
      </c>
      <c r="BF171" t="n">
        <v>0.156</v>
      </c>
      <c r="BG171" t="n">
        <v>0.312</v>
      </c>
      <c r="BH171" t="n">
        <v>0.625</v>
      </c>
      <c r="BI171" t="n">
        <v>0.481</v>
      </c>
      <c r="BJ171" t="inlineStr">
        <is>
          <t>TACTICAL_MISSILE</t>
        </is>
      </c>
      <c r="BK171" t="inlineStr">
        <is>
          <t>ok</t>
        </is>
      </c>
      <c r="BL171" t="inlineStr">
        <is>
          <t>family 9m133_kornet</t>
        </is>
      </c>
      <c r="BM171" t="n">
        <v>48</v>
      </c>
      <c r="BN171" t="inlineStr">
        <is>
          <t>Assets/MachineBrigade/Resources/Data/balance.json: weapons[id=kornet_twin] (lớp B trên 01_chien_dau/Vu_khi)</t>
        </is>
      </c>
      <c r="BO171" t="inlineStr"/>
    </row>
    <row r="172">
      <c r="A172" t="inlineStr">
        <is>
          <t>lancet</t>
        </is>
      </c>
      <c r="B172" t="n">
        <v>2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1</v>
      </c>
      <c r="G172">
        <f>IF(Vu_khi!$S$172&gt;0,(Vu_khi!$S$172-1)*Vu_khi!$R$172+Vu_khi!$T$172,Vu_khi!$R$172+(Vu_khi!$P$172-1)*Vu_khi!$Q$172)</f>
        <v/>
      </c>
      <c r="H172" t="n">
        <v>8.372</v>
      </c>
      <c r="I172">
        <f>Vu_khi!$W$172*MAX(1,$E$172)</f>
        <v/>
      </c>
      <c r="J172" t="n">
        <v>240</v>
      </c>
      <c r="K172">
        <f>IF(Vu_khi!$V$172&gt;0,Vu_khi!$V$172,MIN(28,MAX(10,Vu_khi!$U$172*Vu_khi!$R$172*0.4)))</f>
        <v/>
      </c>
      <c r="L172" t="n">
        <v>26.7904</v>
      </c>
      <c r="M172">
        <f>IF(Vu_khi!$W$172&lt;=0,0,IF(Vu_khi!$U$172&gt;0,$I$172*Vu_khi!$U$172/(MAX(0.05,$G$172)*Vu_khi!$U$172+$K$172),$I$172/MAX(0.05,$G$172)))</f>
        <v/>
      </c>
      <c r="N172" t="n">
        <v>20.47641799194594</v>
      </c>
      <c r="O172">
        <f>OR(Vu_khi!$AG$172,Vu_khi!$AB$172&gt;0,Vu_khi!$AH$172,Vu_khi!$M$172="Bomb",Vu_khi!$M$172="Drone")</f>
        <v/>
      </c>
      <c r="P172" t="b">
        <v>1</v>
      </c>
      <c r="Q172">
        <f>AND(NOT(Vu_khi!$AJ$172),OR(Vu_khi!$AC$172="Ground",Vu_khi!$AC$172="All"))</f>
        <v/>
      </c>
      <c r="R172" t="b">
        <v>1</v>
      </c>
      <c r="S172">
        <f>AND(NOT(Vu_khi!$AJ$172),OR(Vu_khi!$AC$172="Air",Vu_khi!$AC$172="All"))</f>
        <v/>
      </c>
      <c r="T172" t="b">
        <v>0</v>
      </c>
      <c r="U172">
        <f>INDEX(Bang_sat_thuong!$B$2:$B$7,MATCH(Vu_khi!$K$172,Bang_sat_thuong!$A$2:$A$7,0))</f>
        <v/>
      </c>
      <c r="V172" t="n">
        <v>1.3</v>
      </c>
      <c r="W172">
        <f>INDEX(Bang_sat_thuong!$C$2:$C$7,MATCH(Vu_khi!$K$172,Bang_sat_thuong!$A$2:$A$7,0))</f>
        <v/>
      </c>
      <c r="X172" t="n">
        <v>0.2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0.45</v>
      </c>
      <c r="AA172">
        <f>AND(Vu_khi!$K$172="Kinetic",NOT(Vu_khi!$AG$172))</f>
        <v/>
      </c>
      <c r="AB172" t="b">
        <v>0</v>
      </c>
      <c r="AC172">
        <f>IF(Vu_khi!$AG$172,INDEX(Bang_danh_noc!$C$2:$C$8,MIN(7,MAX(1,2-(Vu_khi!$L$172-0)+1))),INDEX(Bang_xuyen_giap!$C$2:$C$8,MIN(7,MAX(1,IF($O$172,MAX(1,2-(Vu_khi!$L$172-0)),2-(Vu_khi!$L$172-0))+1))))*IF($AA$172,INDEX(Bang_xuyen_qua!$C$2:$C$5,MIN(4,MAX(1,(Vu_khi!$L$172)-(0)-1))),1)</f>
        <v/>
      </c>
      <c r="AD172" t="n">
        <v>1.15</v>
      </c>
      <c r="AE172">
        <f>IF(Vu_khi!$AG$172,INDEX(Bang_danh_noc!$C$2:$C$8,MIN(7,MAX(1,2-(Vu_khi!$L$172-2)+1))),INDEX(Bang_xuyen_giap!$C$2:$C$8,MIN(7,MAX(1,IF($O$172,MAX(1,2-(Vu_khi!$L$172-2)),2-(Vu_khi!$L$172-2))+1))))*IF($AA$172,INDEX(Bang_xuyen_qua!$C$2:$C$5,MIN(4,MAX(1,(Vu_khi!$L$172)-(2)-1))),1)</f>
        <v/>
      </c>
      <c r="AF172" t="n">
        <v>1.15</v>
      </c>
      <c r="AG172">
        <f>IF(Vu_khi!$AG$172,INDEX(Bang_danh_noc!$C$2:$C$8,MIN(7,MAX(1,2-(Vu_khi!$L$172-4)+1))),INDEX(Bang_xuyen_giap!$C$2:$C$8,MIN(7,MAX(1,IF($O$172,MAX(1,2-(Vu_khi!$L$172-4)),2-(Vu_khi!$L$172-4))+1))))*IF($AA$172,INDEX(Bang_xuyen_qua!$C$2:$C$5,MIN(4,MAX(1,(Vu_khi!$L$172)-(4)-1))),1)</f>
        <v/>
      </c>
      <c r="AH172" t="n">
        <v>0.95</v>
      </c>
      <c r="AI172">
        <f>INDEX(Bang_xuyen_giap!$C$2:$C$8,MIN(7,MAX(1,MAX(1,2-(Vu_khi!$L$172-0))+1)))*IF($AA$172,INDEX(Bang_xuyen_qua!$C$2:$C$5,MIN(4,MAX(1,(Vu_khi!$L$172)-(0)-1))),1)</f>
        <v/>
      </c>
      <c r="AJ172" t="n">
        <v>1</v>
      </c>
      <c r="AK172">
        <f>IF($Q$172,$M$172*$AC$172*$U$172,0)</f>
        <v/>
      </c>
      <c r="AL172" t="n">
        <v>30.61224489795918</v>
      </c>
      <c r="AM172">
        <f>IF($Q$172,$M$172*$AE$172*$U$172,0)</f>
        <v/>
      </c>
      <c r="AN172" t="n">
        <v>30.61224489795918</v>
      </c>
      <c r="AO172">
        <f>IF($Q$172,$M$172*$AG$172*$U$172,0)</f>
        <v/>
      </c>
      <c r="AP172" t="n">
        <v>25.28837622005323</v>
      </c>
      <c r="AQ172">
        <f>IF($Q$172,$M$172*$AE$172*$Y$172,0)</f>
        <v/>
      </c>
      <c r="AR172" t="n">
        <v>10.59654631083202</v>
      </c>
      <c r="AS172">
        <f>IF($S$172,$M$172*$AI$172*$W$172,0)</f>
        <v/>
      </c>
      <c r="AT172" t="n">
        <v>0</v>
      </c>
      <c r="AU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V172" t="b">
        <v>0</v>
      </c>
      <c r="AW172">
        <f>IF(AND($B$172&lt;0,$AU$172),4,$B$172)</f>
        <v/>
      </c>
      <c r="AX172" t="n">
        <v>2</v>
      </c>
      <c r="AY172">
        <f>IF($AW$172&lt;4,0,MIN(MAX(0.5,Canh_bao_vong!$D$4),MAX(IF(Vu_khi!$C$172="cal_406",Canh_bao_vong!$D$7,IF($AW$172&gt;=5,Canh_bao_vong!$D$9,Canh_bao_vong!$D$8)),Canh_bao_vong!$D$2+MAX(0,Vu_khi!$X$172)/MAX(0.1,Canh_bao_vong!$D$5))))</f>
        <v/>
      </c>
      <c r="AZ172" t="n">
        <v>0</v>
      </c>
      <c r="BA172" t="inlineStr"/>
      <c r="BB172" t="inlineStr">
        <is>
          <t>ok</t>
        </is>
      </c>
      <c r="BC172" t="inlineStr"/>
      <c r="BD172" t="n">
        <v>28</v>
      </c>
      <c r="BE172" t="n">
        <v>36.4</v>
      </c>
      <c r="BF172" t="n">
        <v>0.893</v>
      </c>
      <c r="BG172" t="n">
        <v>1.786</v>
      </c>
      <c r="BH172" t="n">
        <v>3.571</v>
      </c>
      <c r="BI172" t="n">
        <v>2.747</v>
      </c>
      <c r="BJ172" t="inlineStr">
        <is>
          <t>DRONE</t>
        </is>
      </c>
      <c r="BK172" t="inlineStr">
        <is>
          <t>ok</t>
        </is>
      </c>
      <c r="BL172" t="inlineStr">
        <is>
          <t>family zala_lancet_3</t>
        </is>
      </c>
      <c r="BM172" t="inlineStr"/>
      <c r="BN172" t="inlineStr">
        <is>
          <t>Assets/MachineBrigade/Resources/Data/balance.json: weapons[id=lancet] (lớp B trên 01_chien_dau/Vu_khi)</t>
        </is>
      </c>
      <c r="BO172" t="inlineStr"/>
    </row>
    <row r="173">
      <c r="A173" t="inlineStr">
        <is>
          <t>lancet_hangar</t>
        </is>
      </c>
      <c r="B173" t="n">
        <v>2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</v>
      </c>
      <c r="G173">
        <f>IF(Vu_khi!$S$173&gt;0,(Vu_khi!$S$173-1)*Vu_khi!$R$173+Vu_khi!$T$173,Vu_khi!$R$173+(Vu_khi!$P$173-1)*Vu_khi!$Q$173)</f>
        <v/>
      </c>
      <c r="H173" t="n">
        <v>3.6</v>
      </c>
      <c r="I173">
        <f>Vu_khi!$W$173*MAX(1,$E$173)</f>
        <v/>
      </c>
      <c r="J173" t="n">
        <v>240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66.66666666666667</v>
      </c>
      <c r="O173">
        <f>OR(Vu_khi!$AG$173,Vu_khi!$AB$173&gt;0,Vu_khi!$AH$173,Vu_khi!$M$173="Bomb",Vu_khi!$M$173="Drone")</f>
        <v/>
      </c>
      <c r="P173" t="b">
        <v>1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1.3</v>
      </c>
      <c r="W173">
        <f>INDEX(Bang_sat_thuong!$C$2:$C$7,MATCH(Vu_khi!$K$173,Bang_sat_thuong!$A$2:$A$7,0))</f>
        <v/>
      </c>
      <c r="X173" t="n">
        <v>0.2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0.45</v>
      </c>
      <c r="AA173">
        <f>AND(Vu_khi!$K$173="Kinetic",NOT(Vu_khi!$AG$173))</f>
        <v/>
      </c>
      <c r="AB173" t="b">
        <v>0</v>
      </c>
      <c r="AC173">
        <f>IF(Vu_khi!$AG$173,INDEX(Bang_danh_noc!$C$2:$C$8,MIN(7,MAX(1,2-(Vu_khi!$L$173-0)+1))),INDEX(Bang_xuyen_giap!$C$2:$C$8,MIN(7,MAX(1,IF($O$173,MAX(1,2-(Vu_khi!$L$173-0)),2-(Vu_khi!$L$173-0))+1))))*IF($AA$173,INDEX(Bang_xuyen_qua!$C$2:$C$5,MIN(4,MAX(1,(Vu_khi!$L$173)-(0)-1))),1)</f>
        <v/>
      </c>
      <c r="AD173" t="n">
        <v>1.15</v>
      </c>
      <c r="AE173">
        <f>IF(Vu_khi!$AG$173,INDEX(Bang_danh_noc!$C$2:$C$8,MIN(7,MAX(1,2-(Vu_khi!$L$173-2)+1))),INDEX(Bang_xuyen_giap!$C$2:$C$8,MIN(7,MAX(1,IF($O$173,MAX(1,2-(Vu_khi!$L$173-2)),2-(Vu_khi!$L$173-2))+1))))*IF($AA$173,INDEX(Bang_xuyen_qua!$C$2:$C$5,MIN(4,MAX(1,(Vu_khi!$L$173)-(2)-1))),1)</f>
        <v/>
      </c>
      <c r="AF173" t="n">
        <v>1.15</v>
      </c>
      <c r="AG173">
        <f>IF(Vu_khi!$AG$173,INDEX(Bang_danh_noc!$C$2:$C$8,MIN(7,MAX(1,2-(Vu_khi!$L$173-4)+1))),INDEX(Bang_xuyen_giap!$C$2:$C$8,MIN(7,MAX(1,IF($O$173,MAX(1,2-(Vu_khi!$L$173-4)),2-(Vu_khi!$L$173-4))+1))))*IF($AA$173,INDEX(Bang_xuyen_qua!$C$2:$C$5,MIN(4,MAX(1,(Vu_khi!$L$173)-(4)-1))),1)</f>
        <v/>
      </c>
      <c r="AH173" t="n">
        <v>0.95</v>
      </c>
      <c r="AI173">
        <f>INDEX(Bang_xuyen_giap!$C$2:$C$8,MIN(7,MAX(1,MAX(1,2-(Vu_khi!$L$173-0))+1)))*IF($AA$173,INDEX(Bang_xuyen_qua!$C$2:$C$5,MIN(4,MAX(1,(Vu_khi!$L$173)-(0)-1))),1)</f>
        <v/>
      </c>
      <c r="AJ173" t="n">
        <v>1</v>
      </c>
      <c r="AK173">
        <f>IF($Q$173,$M$173*$AC$173*$U$173,0)</f>
        <v/>
      </c>
      <c r="AL173" t="n">
        <v>99.66666666666667</v>
      </c>
      <c r="AM173">
        <f>IF($Q$173,$M$173*$AE$173*$U$173,0)</f>
        <v/>
      </c>
      <c r="AN173" t="n">
        <v>99.66666666666667</v>
      </c>
      <c r="AO173">
        <f>IF($Q$173,$M$173*$AG$173*$U$173,0)</f>
        <v/>
      </c>
      <c r="AP173" t="n">
        <v>82.33333333333333</v>
      </c>
      <c r="AQ173">
        <f>IF($Q$173,$M$173*$AE$173*$Y$173,0)</f>
        <v/>
      </c>
      <c r="AR173" t="n">
        <v>34.5</v>
      </c>
      <c r="AS173">
        <f>IF($S$173,$M$173*$AI$173*$W$173,0)</f>
        <v/>
      </c>
      <c r="AT173" t="n">
        <v>0</v>
      </c>
      <c r="AU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V173" t="b">
        <v>0</v>
      </c>
      <c r="AW173">
        <f>IF(AND($B$173&lt;0,$AU$173),4,$B$173)</f>
        <v/>
      </c>
      <c r="AX173" t="n">
        <v>2</v>
      </c>
      <c r="AY173">
        <f>IF($AW$173&lt;4,0,MIN(MAX(0.5,Canh_bao_vong!$D$4),MAX(IF(Vu_khi!$C$173="cal_406",Canh_bao_vong!$D$7,IF($AW$173&gt;=5,Canh_bao_vong!$D$9,Canh_bao_vong!$D$8)),Canh_bao_vong!$D$2+MAX(0,Vu_khi!$X$173)/MAX(0.1,Canh_bao_vong!$D$5))))</f>
        <v/>
      </c>
      <c r="AZ173" t="n">
        <v>0</v>
      </c>
      <c r="BA173" t="inlineStr"/>
      <c r="BB173" t="inlineStr">
        <is>
          <t>ok</t>
        </is>
      </c>
      <c r="BC173" t="inlineStr"/>
      <c r="BD173" t="n">
        <v>28</v>
      </c>
      <c r="BE173" t="n">
        <v>36.4</v>
      </c>
      <c r="BF173" t="n">
        <v>0.893</v>
      </c>
      <c r="BG173" t="n">
        <v>1.786</v>
      </c>
      <c r="BH173" t="n">
        <v>3.571</v>
      </c>
      <c r="BI173" t="n">
        <v>2.747</v>
      </c>
      <c r="BJ173" t="inlineStr">
        <is>
          <t>DRONE</t>
        </is>
      </c>
      <c r="BK173" t="inlineStr">
        <is>
          <t>ok</t>
        </is>
      </c>
      <c r="BL173" t="inlineStr">
        <is>
          <t>family zala_lancet_3</t>
        </is>
      </c>
      <c r="BM173" t="inlineStr"/>
      <c r="BN173" t="inlineStr">
        <is>
          <t>Assets/MachineBrigade/Resources/Data/balance.json: weapons[id=lancet_hangar] (lớp B trên 01_chien_dau/Vu_khi)</t>
        </is>
      </c>
      <c r="BO173" t="inlineStr"/>
    </row>
    <row r="174">
      <c r="A174" t="inlineStr">
        <is>
          <t>laser_50kw</t>
        </is>
      </c>
      <c r="B174" t="n">
        <v>1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0.0667</v>
      </c>
      <c r="I174">
        <f>Vu_khi!$W$174*MAX(1,$E$174)</f>
        <v/>
      </c>
      <c r="J174" t="n">
        <v>6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89.95502248875563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0</v>
      </c>
      <c r="S174">
        <f>AND(NOT(Vu_khi!$AJ$174),OR(Vu_khi!$AC$174="Air",Vu_khi!$AC$174="All"))</f>
        <v/>
      </c>
      <c r="T174" t="b">
        <v>1</v>
      </c>
      <c r="U174">
        <f>INDEX(Bang_sat_thuong!$B$2:$B$7,MATCH(Vu_khi!$K$174,Bang_sat_thuong!$A$2:$A$7,0))</f>
        <v/>
      </c>
      <c r="V174" t="n">
        <v>0.9</v>
      </c>
      <c r="W174">
        <f>INDEX(Bang_sat_thuong!$C$2:$C$7,MATCH(Vu_khi!$K$174,Bang_sat_thuong!$A$2:$A$7,0))</f>
        <v/>
      </c>
      <c r="X174" t="n">
        <v>1.5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0.4</v>
      </c>
      <c r="AA174">
        <f>AND(Vu_khi!$K$174="Kinetic",NOT(Vu_khi!$AG$174))</f>
        <v/>
      </c>
      <c r="AB174" t="b">
        <v>0</v>
      </c>
      <c r="AC174">
        <f>IF(Vu_khi!$AG$174,INDEX(Bang_danh_noc!$C$2:$C$8,MIN(7,MAX(1,2-(Vu_khi!$L$174-0)+1))),INDEX(Bang_xuyen_giap!$C$2:$C$8,MIN(7,MAX(1,IF($O$174,MAX(1,2-(Vu_khi!$L$174-0)),2-(Vu_khi!$L$174-0))+1))))*IF($AA$174,INDEX(Bang_xuyen_qua!$C$2:$C$5,MIN(4,MAX(1,(Vu_khi!$L$174)-(0)-1))),1)</f>
        <v/>
      </c>
      <c r="AD174" t="n">
        <v>1.2</v>
      </c>
      <c r="AE174">
        <f>IF(Vu_khi!$AG$174,INDEX(Bang_danh_noc!$C$2:$C$8,MIN(7,MAX(1,2-(Vu_khi!$L$174-2)+1))),INDEX(Bang_xuyen_giap!$C$2:$C$8,MIN(7,MAX(1,IF($O$174,MAX(1,2-(Vu_khi!$L$174-2)),2-(Vu_khi!$L$174-2))+1))))*IF($AA$174,INDEX(Bang_xuyen_qua!$C$2:$C$5,MIN(4,MAX(1,(Vu_khi!$L$174)-(2)-1))),1)</f>
        <v/>
      </c>
      <c r="AF174" t="n">
        <v>0.85</v>
      </c>
      <c r="AG174">
        <f>IF(Vu_khi!$AG$174,INDEX(Bang_danh_noc!$C$2:$C$8,MIN(7,MAX(1,2-(Vu_khi!$L$174-4)+1))),INDEX(Bang_xuyen_giap!$C$2:$C$8,MIN(7,MAX(1,IF($O$174,MAX(1,2-(Vu_khi!$L$174-4)),2-(Vu_khi!$L$174-4))+1))))*IF($AA$174,INDEX(Bang_xuyen_qua!$C$2:$C$5,MIN(4,MAX(1,(Vu_khi!$L$174)-(4)-1))),1)</f>
        <v/>
      </c>
      <c r="AH174" t="n">
        <v>0.4</v>
      </c>
      <c r="AI174">
        <f>INDEX(Bang_xuyen_giap!$C$2:$C$8,MIN(7,MAX(1,MAX(1,2-(Vu_khi!$L$174-0))+1)))*IF($AA$174,INDEX(Bang_xuyen_qua!$C$2:$C$5,MIN(4,MAX(1,(Vu_khi!$L$174)-(0)-1))),1)</f>
        <v/>
      </c>
      <c r="AJ174" t="n">
        <v>1</v>
      </c>
      <c r="AK174">
        <f>IF($Q$174,$M$174*$AC$174*$U$174,0)</f>
        <v/>
      </c>
      <c r="AL174" t="n">
        <v>0</v>
      </c>
      <c r="AM174">
        <f>IF($Q$174,$M$174*$AE$174*$U$174,0)</f>
        <v/>
      </c>
      <c r="AN174" t="n">
        <v>0</v>
      </c>
      <c r="AO174">
        <f>IF($Q$174,$M$174*$AG$174*$U$174,0)</f>
        <v/>
      </c>
      <c r="AP174" t="n">
        <v>0</v>
      </c>
      <c r="AQ174">
        <f>IF($Q$174,$M$174*$AE$174*$Y$174,0)</f>
        <v/>
      </c>
      <c r="AR174" t="n">
        <v>0</v>
      </c>
      <c r="AS174">
        <f>IF($S$174,$M$174*$AI$174*$W$174,0)</f>
        <v/>
      </c>
      <c r="AT174" t="n">
        <v>134.9325337331335</v>
      </c>
      <c r="AU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V174" t="b">
        <v>0</v>
      </c>
      <c r="AW174">
        <f>IF(AND($B$174&lt;0,$AU$174),4,$B$174)</f>
        <v/>
      </c>
      <c r="AX174" t="n">
        <v>1</v>
      </c>
      <c r="AY174">
        <f>IF($AW$174&lt;4,0,MIN(MAX(0.5,Canh_bao_vong!$D$4),MAX(IF(Vu_khi!$C$174="cal_406",Canh_bao_vong!$D$7,IF($AW$174&gt;=5,Canh_bao_vong!$D$9,Canh_bao_vong!$D$8)),Canh_bao_vong!$D$2+MAX(0,Vu_khi!$X$174)/MAX(0.1,Canh_bao_vong!$D$5))))</f>
        <v/>
      </c>
      <c r="AZ174" t="n">
        <v>0</v>
      </c>
      <c r="BA174" t="inlineStr"/>
      <c r="BB174" t="inlineStr">
        <is>
          <t>ok</t>
        </is>
      </c>
      <c r="BC174" t="inlineStr"/>
      <c r="BD174" t="n">
        <v>3000</v>
      </c>
      <c r="BE174" t="n">
        <v>3900</v>
      </c>
      <c r="BF174" t="n">
        <v>0.003</v>
      </c>
      <c r="BG174" t="n">
        <v>0.007</v>
      </c>
      <c r="BH174" t="n">
        <v>0.013</v>
      </c>
      <c r="BI174" t="n">
        <v>0.01</v>
      </c>
      <c r="BJ174" t="inlineStr">
        <is>
          <t>BEAM_OR_MELEE</t>
        </is>
      </c>
      <c r="BK174" t="inlineStr">
        <is>
          <t>ok</t>
        </is>
      </c>
      <c r="BL174" t="inlineStr">
        <is>
          <t>own line</t>
        </is>
      </c>
      <c r="BM174" t="inlineStr"/>
      <c r="BN174" t="inlineStr">
        <is>
          <t>Assets/MachineBrigade/Resources/Data/balance.json: weapons[id=laser_50kw] (lớp B trên 01_chien_dau/Vu_khi)</t>
        </is>
      </c>
      <c r="BO174" t="inlineStr"/>
    </row>
    <row r="175">
      <c r="A175" t="inlineStr">
        <is>
          <t>leviathan_460</t>
        </is>
      </c>
      <c r="B175" t="n">
        <v>5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14</v>
      </c>
      <c r="I175">
        <f>Vu_khi!$W$175*MAX(1,$E$175)</f>
        <v/>
      </c>
      <c r="J175" t="n">
        <v>950</v>
      </c>
      <c r="K175">
        <f>IF(Vu_khi!$V$175&gt;0,Vu_khi!$V$175,MIN(28,MAX(10,Vu_khi!$U$175*Vu_khi!$R$175*0.4)))</f>
        <v/>
      </c>
      <c r="L175" t="n">
        <v>10</v>
      </c>
      <c r="M175">
        <f>IF(Vu_khi!$W$175&lt;=0,0,IF(Vu_khi!$U$175&gt;0,$I$175*Vu_khi!$U$175/(MAX(0.05,$G$175)*Vu_khi!$U$175+$K$175),$I$175/MAX(0.05,$G$175)))</f>
        <v/>
      </c>
      <c r="N175" t="n">
        <v>67.85714285714286</v>
      </c>
      <c r="O175">
        <f>OR(Vu_khi!$AG$175,Vu_khi!$AB$175&gt;0,Vu_khi!$AH$175,Vu_khi!$M$175="Bomb",Vu_khi!$M$175="Drone")</f>
        <v/>
      </c>
      <c r="P175" t="b">
        <v>0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1.6</v>
      </c>
      <c r="AA175">
        <f>AND(Vu_khi!$K$175="Kinetic",NOT(Vu_khi!$AG$175))</f>
        <v/>
      </c>
      <c r="AB175" t="b">
        <v>0</v>
      </c>
      <c r="AC175">
        <f>IF(Vu_khi!$AG$175,INDEX(Bang_danh_noc!$C$2:$C$8,MIN(7,MAX(1,2-(Vu_khi!$L$175-0)+1))),INDEX(Bang_xuyen_giap!$C$2:$C$8,MIN(7,MAX(1,IF($O$175,MAX(1,2-(Vu_khi!$L$175-0)),2-(Vu_khi!$L$175-0))+1))))*IF($AA$175,INDEX(Bang_xuyen_qua!$C$2:$C$5,MIN(4,MAX(1,(Vu_khi!$L$175)-(0)-1))),1)</f>
        <v/>
      </c>
      <c r="AD175" t="n">
        <v>1.2</v>
      </c>
      <c r="AE175">
        <f>IF(Vu_khi!$AG$175,INDEX(Bang_danh_noc!$C$2:$C$8,MIN(7,MAX(1,2-(Vu_khi!$L$175-2)+1))),INDEX(Bang_xuyen_giap!$C$2:$C$8,MIN(7,MAX(1,IF($O$175,MAX(1,2-(Vu_khi!$L$175-2)),2-(Vu_khi!$L$175-2))+1))))*IF($AA$175,INDEX(Bang_xuyen_qua!$C$2:$C$5,MIN(4,MAX(1,(Vu_khi!$L$175)-(2)-1))),1)</f>
        <v/>
      </c>
      <c r="AF175" t="n">
        <v>1.2</v>
      </c>
      <c r="AG175">
        <f>IF(Vu_khi!$AG$175,INDEX(Bang_danh_noc!$C$2:$C$8,MIN(7,MAX(1,2-(Vu_khi!$L$175-4)+1))),INDEX(Bang_xuyen_giap!$C$2:$C$8,MIN(7,MAX(1,IF($O$175,MAX(1,2-(Vu_khi!$L$175-4)),2-(Vu_khi!$L$175-4))+1))))*IF($AA$175,INDEX(Bang_xuyen_qua!$C$2:$C$5,MIN(4,MAX(1,(Vu_khi!$L$175)-(4)-1))),1)</f>
        <v/>
      </c>
      <c r="AH175" t="n">
        <v>0.85</v>
      </c>
      <c r="AI175">
        <f>INDEX(Bang_xuyen_giap!$C$2:$C$8,MIN(7,MAX(1,MAX(1,2-(Vu_khi!$L$175-0))+1)))*IF($AA$175,INDEX(Bang_xuyen_qua!$C$2:$C$5,MIN(4,MAX(1,(Vu_khi!$L$175)-(0)-1))),1)</f>
        <v/>
      </c>
      <c r="AJ175" t="n">
        <v>1</v>
      </c>
      <c r="AK175">
        <f>IF($Q$175,$M$175*$AC$175*$U$175,0)</f>
        <v/>
      </c>
      <c r="AL175" t="n">
        <v>81.42857142857143</v>
      </c>
      <c r="AM175">
        <f>IF($Q$175,$M$175*$AE$175*$U$175,0)</f>
        <v/>
      </c>
      <c r="AN175" t="n">
        <v>81.42857142857143</v>
      </c>
      <c r="AO175">
        <f>IF($Q$175,$M$175*$AG$175*$U$175,0)</f>
        <v/>
      </c>
      <c r="AP175" t="n">
        <v>57.67857142857143</v>
      </c>
      <c r="AQ175">
        <f>IF($Q$175,$M$175*$AE$175*$Y$175,0)</f>
        <v/>
      </c>
      <c r="AR175" t="n">
        <v>130.2857142857143</v>
      </c>
      <c r="AS175">
        <f>IF($S$175,$M$175*$AI$175*$W$175,0)</f>
        <v/>
      </c>
      <c r="AT175" t="n">
        <v>0</v>
      </c>
      <c r="AU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V175" t="b">
        <v>0</v>
      </c>
      <c r="AW175">
        <f>IF(AND($B$175&lt;0,$AU$175),4,$B$175)</f>
        <v/>
      </c>
      <c r="AX175" t="n">
        <v>5</v>
      </c>
      <c r="AY175">
        <f>IF($AW$175&lt;4,0,MIN(MAX(0.5,Canh_bao_vong!$D$4),MAX(IF(Vu_khi!$C$175="cal_406",Canh_bao_vong!$D$7,IF($AW$175&gt;=5,Canh_bao_vong!$D$9,Canh_bao_vong!$D$8)),Canh_bao_vong!$D$2+MAX(0,Vu_khi!$X$175)/MAX(0.1,Canh_bao_vong!$D$5))))</f>
        <v/>
      </c>
      <c r="AZ175" t="n">
        <v>3.5</v>
      </c>
      <c r="BA175" t="n">
        <v>0.98</v>
      </c>
      <c r="BB175" t="inlineStr">
        <is>
          <t>LOI_DON_VI</t>
        </is>
      </c>
      <c r="BC175" t="inlineStr"/>
      <c r="BD175" t="n">
        <v>85</v>
      </c>
      <c r="BE175" t="n">
        <v>110.5</v>
      </c>
      <c r="BF175" t="n">
        <v>0.471</v>
      </c>
      <c r="BG175" t="n">
        <v>0.9409999999999999</v>
      </c>
      <c r="BH175" t="n">
        <v>1.882</v>
      </c>
      <c r="BI175" t="n">
        <v>1.448</v>
      </c>
      <c r="BJ175" t="inlineStr">
        <is>
          <t>NAVAL_DIRECT</t>
        </is>
      </c>
      <c r="BK175" t="inlineStr">
        <is>
          <t>ok</t>
        </is>
      </c>
      <c r="BL175" t="inlineStr">
        <is>
          <t>own line</t>
        </is>
      </c>
      <c r="BM175" t="inlineStr"/>
      <c r="BN175" t="inlineStr">
        <is>
          <t>Assets/MachineBrigade/Resources/Data/balance.json: weapons[id=leviathan_460] (lớp B trên 01_chien_dau/Vu_khi)</t>
        </is>
      </c>
      <c r="BO175" t="inlineStr"/>
    </row>
    <row r="176">
      <c r="A176" t="inlineStr">
        <is>
          <t>leviathan_460_guided</t>
        </is>
      </c>
      <c r="B176" t="n">
        <v>5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14</v>
      </c>
      <c r="I176">
        <f>Vu_khi!$W$176*MAX(1,$E$176)</f>
        <v/>
      </c>
      <c r="J176" t="n">
        <v>950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67.85714285714286</v>
      </c>
      <c r="O176">
        <f>OR(Vu_khi!$AG$176,Vu_khi!$AB$176&gt;0,Vu_khi!$AH$176,Vu_khi!$M$176="Bomb",Vu_khi!$M$176="Drone")</f>
        <v/>
      </c>
      <c r="P176" t="b">
        <v>0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1.6</v>
      </c>
      <c r="AA176">
        <f>AND(Vu_khi!$K$176="Kinetic",NOT(Vu_khi!$AG$176))</f>
        <v/>
      </c>
      <c r="AB176" t="b">
        <v>0</v>
      </c>
      <c r="AC176">
        <f>IF(Vu_khi!$AG$176,INDEX(Bang_danh_noc!$C$2:$C$8,MIN(7,MAX(1,2-(Vu_khi!$L$176-0)+1))),INDEX(Bang_xuyen_giap!$C$2:$C$8,MIN(7,MAX(1,IF($O$176,MAX(1,2-(Vu_khi!$L$176-0)),2-(Vu_khi!$L$176-0))+1))))*IF($AA$176,INDEX(Bang_xuyen_qua!$C$2:$C$5,MIN(4,MAX(1,(Vu_khi!$L$176)-(0)-1))),1)</f>
        <v/>
      </c>
      <c r="AD176" t="n">
        <v>1.2</v>
      </c>
      <c r="AE176">
        <f>IF(Vu_khi!$AG$176,INDEX(Bang_danh_noc!$C$2:$C$8,MIN(7,MAX(1,2-(Vu_khi!$L$176-2)+1))),INDEX(Bang_xuyen_giap!$C$2:$C$8,MIN(7,MAX(1,IF($O$176,MAX(1,2-(Vu_khi!$L$176-2)),2-(Vu_khi!$L$176-2))+1))))*IF($AA$176,INDEX(Bang_xuyen_qua!$C$2:$C$5,MIN(4,MAX(1,(Vu_khi!$L$176)-(2)-1))),1)</f>
        <v/>
      </c>
      <c r="AF176" t="n">
        <v>1.2</v>
      </c>
      <c r="AG176">
        <f>IF(Vu_khi!$AG$176,INDEX(Bang_danh_noc!$C$2:$C$8,MIN(7,MAX(1,2-(Vu_khi!$L$176-4)+1))),INDEX(Bang_xuyen_giap!$C$2:$C$8,MIN(7,MAX(1,IF($O$176,MAX(1,2-(Vu_khi!$L$176-4)),2-(Vu_khi!$L$176-4))+1))))*IF($AA$176,INDEX(Bang_xuyen_qua!$C$2:$C$5,MIN(4,MAX(1,(Vu_khi!$L$176)-(4)-1))),1)</f>
        <v/>
      </c>
      <c r="AH176" t="n">
        <v>0.85</v>
      </c>
      <c r="AI176">
        <f>INDEX(Bang_xuyen_giap!$C$2:$C$8,MIN(7,MAX(1,MAX(1,2-(Vu_khi!$L$176-0))+1)))*IF($AA$176,INDEX(Bang_xuyen_qua!$C$2:$C$5,MIN(4,MAX(1,(Vu_khi!$L$176)-(0)-1))),1)</f>
        <v/>
      </c>
      <c r="AJ176" t="n">
        <v>1</v>
      </c>
      <c r="AK176">
        <f>IF($Q$176,$M$176*$AC$176*$U$176,0)</f>
        <v/>
      </c>
      <c r="AL176" t="n">
        <v>81.42857142857143</v>
      </c>
      <c r="AM176">
        <f>IF($Q$176,$M$176*$AE$176*$U$176,0)</f>
        <v/>
      </c>
      <c r="AN176" t="n">
        <v>81.42857142857143</v>
      </c>
      <c r="AO176">
        <f>IF($Q$176,$M$176*$AG$176*$U$176,0)</f>
        <v/>
      </c>
      <c r="AP176" t="n">
        <v>57.67857142857143</v>
      </c>
      <c r="AQ176">
        <f>IF($Q$176,$M$176*$AE$176*$Y$176,0)</f>
        <v/>
      </c>
      <c r="AR176" t="n">
        <v>130.2857142857143</v>
      </c>
      <c r="AS176">
        <f>IF($S$176,$M$176*$AI$176*$W$176,0)</f>
        <v/>
      </c>
      <c r="AT176" t="n">
        <v>0</v>
      </c>
      <c r="AU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V176" t="b">
        <v>0</v>
      </c>
      <c r="AW176">
        <f>IF(AND($B$176&lt;0,$AU$176),4,$B$176)</f>
        <v/>
      </c>
      <c r="AX176" t="n">
        <v>5</v>
      </c>
      <c r="AY176">
        <f>IF($AW$176&lt;4,0,MIN(MAX(0.5,Canh_bao_vong!$D$4),MAX(IF(Vu_khi!$C$176="cal_406",Canh_bao_vong!$D$7,IF($AW$176&gt;=5,Canh_bao_vong!$D$9,Canh_bao_vong!$D$8)),Canh_bao_vong!$D$2+MAX(0,Vu_khi!$X$176)/MAX(0.1,Canh_bao_vong!$D$5))))</f>
        <v/>
      </c>
      <c r="AZ176" t="n">
        <v>3.5</v>
      </c>
      <c r="BD176" t="n">
        <v>85</v>
      </c>
      <c r="BE176" t="n">
        <v>110.5</v>
      </c>
      <c r="BF176" t="n">
        <v>0.471</v>
      </c>
      <c r="BG176" t="n">
        <v>0.9409999999999999</v>
      </c>
      <c r="BH176" t="n">
        <v>1.882</v>
      </c>
      <c r="BI176" t="n">
        <v>1.448</v>
      </c>
      <c r="BJ176" t="inlineStr">
        <is>
          <t>NAVAL_DIRECT</t>
        </is>
      </c>
      <c r="BK176" t="inlineStr">
        <is>
          <t>ok</t>
        </is>
      </c>
      <c r="BL176" t="inlineStr">
        <is>
          <t>inherited from leviathan_460</t>
        </is>
      </c>
      <c r="BM176" t="inlineStr"/>
      <c r="BN176" t="inlineStr">
        <is>
          <t>Assets/MachineBrigade/Resources/Data/balance.json: weapons[id=leviathan_460_guided] (lớp B trên 01_chien_dau/Vu_khi)</t>
        </is>
      </c>
      <c r="BO176" t="inlineStr"/>
    </row>
    <row r="177">
      <c r="A177" t="inlineStr">
        <is>
          <t>leviathan_cruise</t>
        </is>
      </c>
      <c r="B177" t="n">
        <v>4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50</v>
      </c>
      <c r="I177">
        <f>Vu_khi!$W$177*MAX(1,$E$177)</f>
        <v/>
      </c>
      <c r="J177" t="n">
        <v>520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10.4</v>
      </c>
      <c r="O177">
        <f>OR(Vu_khi!$AG$177,Vu_khi!$AB$177&gt;0,Vu_khi!$AH$177,Vu_khi!$M$177="Bomb",Vu_khi!$M$177="Drone")</f>
        <v/>
      </c>
      <c r="P177" t="b">
        <v>0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1.6</v>
      </c>
      <c r="AA177">
        <f>AND(Vu_khi!$K$177="Kinetic",NOT(Vu_khi!$AG$177))</f>
        <v/>
      </c>
      <c r="AB177" t="b">
        <v>0</v>
      </c>
      <c r="AC177">
        <f>IF(Vu_khi!$AG$177,INDEX(Bang_danh_noc!$C$2:$C$8,MIN(7,MAX(1,2-(Vu_khi!$L$177-0)+1))),INDEX(Bang_xuyen_giap!$C$2:$C$8,MIN(7,MAX(1,IF($O$177,MAX(1,2-(Vu_khi!$L$177-0)),2-(Vu_khi!$L$177-0))+1))))*IF($AA$177,INDEX(Bang_xuyen_qua!$C$2:$C$5,MIN(4,MAX(1,(Vu_khi!$L$177)-(0)-1))),1)</f>
        <v/>
      </c>
      <c r="AD177" t="n">
        <v>1.2</v>
      </c>
      <c r="AE177">
        <f>IF(Vu_khi!$AG$177,INDEX(Bang_danh_noc!$C$2:$C$8,MIN(7,MAX(1,2-(Vu_khi!$L$177-2)+1))),INDEX(Bang_xuyen_giap!$C$2:$C$8,MIN(7,MAX(1,IF($O$177,MAX(1,2-(Vu_khi!$L$177-2)),2-(Vu_khi!$L$177-2))+1))))*IF($AA$177,INDEX(Bang_xuyen_qua!$C$2:$C$5,MIN(4,MAX(1,(Vu_khi!$L$177)-(2)-1))),1)</f>
        <v/>
      </c>
      <c r="AF177" t="n">
        <v>1</v>
      </c>
      <c r="AG177">
        <f>IF(Vu_khi!$AG$177,INDEX(Bang_danh_noc!$C$2:$C$8,MIN(7,MAX(1,2-(Vu_khi!$L$177-4)+1))),INDEX(Bang_xuyen_giap!$C$2:$C$8,MIN(7,MAX(1,IF($O$177,MAX(1,2-(Vu_khi!$L$177-4)),2-(Vu_khi!$L$177-4))+1))))*IF($AA$177,INDEX(Bang_xuyen_qua!$C$2:$C$5,MIN(4,MAX(1,(Vu_khi!$L$177)-(4)-1))),1)</f>
        <v/>
      </c>
      <c r="AH177" t="n">
        <v>0.65</v>
      </c>
      <c r="AI177">
        <f>INDEX(Bang_xuyen_giap!$C$2:$C$8,MIN(7,MAX(1,MAX(1,2-(Vu_khi!$L$177-0))+1)))*IF($AA$177,INDEX(Bang_xuyen_qua!$C$2:$C$5,MIN(4,MAX(1,(Vu_khi!$L$177)-(0)-1))),1)</f>
        <v/>
      </c>
      <c r="AJ177" t="n">
        <v>1</v>
      </c>
      <c r="AK177">
        <f>IF($Q$177,$M$177*$AC$177*$U$177,0)</f>
        <v/>
      </c>
      <c r="AL177" t="n">
        <v>12.48</v>
      </c>
      <c r="AM177">
        <f>IF($Q$177,$M$177*$AE$177*$U$177,0)</f>
        <v/>
      </c>
      <c r="AN177" t="n">
        <v>10.4</v>
      </c>
      <c r="AO177">
        <f>IF($Q$177,$M$177*$AG$177*$U$177,0)</f>
        <v/>
      </c>
      <c r="AP177" t="n">
        <v>6.760000000000001</v>
      </c>
      <c r="AQ177">
        <f>IF($Q$177,$M$177*$AE$177*$Y$177,0)</f>
        <v/>
      </c>
      <c r="AR177" t="n">
        <v>16.64</v>
      </c>
      <c r="AS177">
        <f>IF($S$177,$M$177*$AI$177*$W$177,0)</f>
        <v/>
      </c>
      <c r="AT177" t="n">
        <v>0</v>
      </c>
      <c r="AU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V177" t="b">
        <v>0</v>
      </c>
      <c r="AW177">
        <f>IF(AND($B$177&lt;0,$AU$177),4,$B$177)</f>
        <v/>
      </c>
      <c r="AX177" t="n">
        <v>4</v>
      </c>
      <c r="AY177">
        <f>IF($AW$177&lt;4,0,MIN(MAX(0.5,Canh_bao_vong!$D$4),MAX(IF(Vu_khi!$C$177="cal_406",Canh_bao_vong!$D$7,IF($AW$177&gt;=5,Canh_bao_vong!$D$9,Canh_bao_vong!$D$8)),Canh_bao_vong!$D$2+MAX(0,Vu_khi!$X$177)/MAX(0.1,Canh_bao_vong!$D$5))))</f>
        <v/>
      </c>
      <c r="AZ177" t="n">
        <v>2.722222222222222</v>
      </c>
      <c r="BA177" t="inlineStr"/>
      <c r="BB177" t="inlineStr">
        <is>
          <t>ok</t>
        </is>
      </c>
      <c r="BC177" t="b">
        <v>1</v>
      </c>
      <c r="BD177" t="n">
        <v>70</v>
      </c>
      <c r="BE177" t="n">
        <v>91</v>
      </c>
      <c r="BF177" t="n">
        <v>1.429</v>
      </c>
      <c r="BG177" t="n">
        <v>2.857</v>
      </c>
      <c r="BH177" t="n">
        <v>5.714</v>
      </c>
      <c r="BI177" t="n">
        <v>4.396</v>
      </c>
      <c r="BJ177" t="inlineStr">
        <is>
          <t>CRUISE</t>
        </is>
      </c>
      <c r="BK177" t="inlineStr">
        <is>
          <t>ok</t>
        </is>
      </c>
      <c r="BL177" t="inlineStr">
        <is>
          <t>own line</t>
        </is>
      </c>
      <c r="BM177" t="inlineStr"/>
      <c r="BN177" t="inlineStr">
        <is>
          <t>Assets/MachineBrigade/Resources/Data/balance.json: weapons[id=leviathan_cruise] (lớp B trên 01_chien_dau/Vu_khi)</t>
        </is>
      </c>
      <c r="BO177" t="inlineStr"/>
    </row>
    <row r="178">
      <c r="A178" t="inlineStr">
        <is>
          <t>locust_drones</t>
        </is>
      </c>
      <c r="B178" t="n">
        <v>2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2</v>
      </c>
      <c r="I178">
        <f>Vu_khi!$W$178*MAX(1,$E$178)</f>
        <v/>
      </c>
      <c r="J178" t="n">
        <v>320</v>
      </c>
      <c r="K178">
        <f>IF(Vu_khi!$V$178&gt;0,Vu_khi!$V$178,MIN(28,MAX(10,Vu_khi!$U$178*Vu_khi!$R$178*0.4)))</f>
        <v/>
      </c>
      <c r="L178" t="n">
        <v>10</v>
      </c>
      <c r="M178">
        <f>IF(Vu_khi!$W$178&lt;=0,0,IF(Vu_khi!$U$178&gt;0,$I$178*Vu_khi!$U$178/(MAX(0.05,$G$178)*Vu_khi!$U$178+$K$178),$I$178/MAX(0.05,$G$178)))</f>
        <v/>
      </c>
      <c r="N178" t="n">
        <v>160</v>
      </c>
      <c r="O178">
        <f>OR(Vu_khi!$AG$178,Vu_khi!$AB$178&gt;0,Vu_khi!$AH$178,Vu_khi!$M$178="Bomb",Vu_khi!$M$178="Drone")</f>
        <v/>
      </c>
      <c r="P178" t="b">
        <v>1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1.3</v>
      </c>
      <c r="W178">
        <f>INDEX(Bang_sat_thuong!$C$2:$C$7,MATCH(Vu_khi!$K$178,Bang_sat_thuong!$A$2:$A$7,0))</f>
        <v/>
      </c>
      <c r="X178" t="n">
        <v>0.2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0.45</v>
      </c>
      <c r="AA178">
        <f>AND(Vu_khi!$K$178="Kinetic",NOT(Vu_khi!$AG$178))</f>
        <v/>
      </c>
      <c r="AB178" t="b">
        <v>0</v>
      </c>
      <c r="AC178">
        <f>IF(Vu_khi!$AG$178,INDEX(Bang_danh_noc!$C$2:$C$8,MIN(7,MAX(1,2-(Vu_khi!$L$178-0)+1))),INDEX(Bang_xuyen_giap!$C$2:$C$8,MIN(7,MAX(1,IF($O$178,MAX(1,2-(Vu_khi!$L$178-0)),2-(Vu_khi!$L$178-0))+1))))*IF($AA$178,INDEX(Bang_xuyen_qua!$C$2:$C$5,MIN(4,MAX(1,(Vu_khi!$L$178)-(0)-1))),1)</f>
        <v/>
      </c>
      <c r="AD178" t="n">
        <v>1.15</v>
      </c>
      <c r="AE178">
        <f>IF(Vu_khi!$AG$178,INDEX(Bang_danh_noc!$C$2:$C$8,MIN(7,MAX(1,2-(Vu_khi!$L$178-2)+1))),INDEX(Bang_xuyen_giap!$C$2:$C$8,MIN(7,MAX(1,IF($O$178,MAX(1,2-(Vu_khi!$L$178-2)),2-(Vu_khi!$L$178-2))+1))))*IF($AA$178,INDEX(Bang_xuyen_qua!$C$2:$C$5,MIN(4,MAX(1,(Vu_khi!$L$178)-(2)-1))),1)</f>
        <v/>
      </c>
      <c r="AF178" t="n">
        <v>1.15</v>
      </c>
      <c r="AG178">
        <f>IF(Vu_khi!$AG$178,INDEX(Bang_danh_noc!$C$2:$C$8,MIN(7,MAX(1,2-(Vu_khi!$L$178-4)+1))),INDEX(Bang_xuyen_giap!$C$2:$C$8,MIN(7,MAX(1,IF($O$178,MAX(1,2-(Vu_khi!$L$178-4)),2-(Vu_khi!$L$178-4))+1))))*IF($AA$178,INDEX(Bang_xuyen_qua!$C$2:$C$5,MIN(4,MAX(1,(Vu_khi!$L$178)-(4)-1))),1)</f>
        <v/>
      </c>
      <c r="AH178" t="n">
        <v>0.95</v>
      </c>
      <c r="AI178">
        <f>INDEX(Bang_xuyen_giap!$C$2:$C$8,MIN(7,MAX(1,MAX(1,2-(Vu_khi!$L$178-0))+1)))*IF($AA$178,INDEX(Bang_xuyen_qua!$C$2:$C$5,MIN(4,MAX(1,(Vu_khi!$L$178)-(0)-1))),1)</f>
        <v/>
      </c>
      <c r="AJ178" t="n">
        <v>1</v>
      </c>
      <c r="AK178">
        <f>IF($Q$178,$M$178*$AC$178*$U$178,0)</f>
        <v/>
      </c>
      <c r="AL178" t="n">
        <v>239.2</v>
      </c>
      <c r="AM178">
        <f>IF($Q$178,$M$178*$AE$178*$U$178,0)</f>
        <v/>
      </c>
      <c r="AN178" t="n">
        <v>239.2</v>
      </c>
      <c r="AO178">
        <f>IF($Q$178,$M$178*$AG$178*$U$178,0)</f>
        <v/>
      </c>
      <c r="AP178" t="n">
        <v>197.6</v>
      </c>
      <c r="AQ178">
        <f>IF($Q$178,$M$178*$AE$178*$Y$178,0)</f>
        <v/>
      </c>
      <c r="AR178" t="n">
        <v>82.8</v>
      </c>
      <c r="AS178">
        <f>IF($S$178,$M$178*$AI$178*$W$178,0)</f>
        <v/>
      </c>
      <c r="AT178" t="n">
        <v>0</v>
      </c>
      <c r="AU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V178" t="b">
        <v>0</v>
      </c>
      <c r="AW178">
        <f>IF(AND($B$178&lt;0,$AU$178),4,$B$178)</f>
        <v/>
      </c>
      <c r="AX178" t="n">
        <v>2</v>
      </c>
      <c r="AY178">
        <f>IF($AW$178&lt;4,0,MIN(MAX(0.5,Canh_bao_vong!$D$4),MAX(IF(Vu_khi!$C$178="cal_406",Canh_bao_vong!$D$7,IF($AW$178&gt;=5,Canh_bao_vong!$D$9,Canh_bao_vong!$D$8)),Canh_bao_vong!$D$2+MAX(0,Vu_khi!$X$178)/MAX(0.1,Canh_bao_vong!$D$5))))</f>
        <v/>
      </c>
      <c r="AZ178" t="n">
        <v>0</v>
      </c>
      <c r="BA178" t="inlineStr"/>
      <c r="BB178" t="inlineStr">
        <is>
          <t>LECH_DOT_1</t>
        </is>
      </c>
      <c r="BC178" t="b">
        <v>1</v>
      </c>
      <c r="BD178" t="n">
        <v>28</v>
      </c>
      <c r="BE178" t="n">
        <v>36.4</v>
      </c>
      <c r="BF178" t="n">
        <v>0.625</v>
      </c>
      <c r="BG178" t="n">
        <v>1.25</v>
      </c>
      <c r="BH178" t="n">
        <v>2.5</v>
      </c>
      <c r="BI178" t="n">
        <v>1.923</v>
      </c>
      <c r="BJ178" t="inlineStr">
        <is>
          <t>DRONE</t>
        </is>
      </c>
      <c r="BK178" t="inlineStr">
        <is>
          <t>ok</t>
        </is>
      </c>
      <c r="BL178" t="inlineStr">
        <is>
          <t>inherited from p26_matriarch_ma_drones</t>
        </is>
      </c>
      <c r="BM178" t="inlineStr"/>
      <c r="BN178" t="inlineStr">
        <is>
          <t>Assets/MachineBrigade/Resources/Data/balance.json: weapons[id=locust_drones] (lớp B trên 01_chien_dau/Vu_khi)</t>
        </is>
      </c>
      <c r="BO178" t="inlineStr"/>
    </row>
    <row r="179">
      <c r="A179" t="inlineStr">
        <is>
          <t>maverick</t>
        </is>
      </c>
      <c r="B179" t="n">
        <v>3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</v>
      </c>
      <c r="G179">
        <f>IF(Vu_khi!$S$179&gt;0,(Vu_khi!$S$179-1)*Vu_khi!$R$179+Vu_khi!$T$179,Vu_khi!$R$179+(Vu_khi!$P$179-1)*Vu_khi!$Q$179)</f>
        <v/>
      </c>
      <c r="H179" t="n">
        <v>7.86</v>
      </c>
      <c r="I179">
        <f>Vu_khi!$W$179*MAX(1,$E$179)</f>
        <v/>
      </c>
      <c r="J179" t="n">
        <v>345</v>
      </c>
      <c r="K179">
        <f>IF(Vu_khi!$V$179&gt;0,Vu_khi!$V$179,MIN(28,MAX(10,Vu_khi!$U$179*Vu_khi!$R$179*0.4)))</f>
        <v/>
      </c>
      <c r="L179" t="n">
        <v>10</v>
      </c>
      <c r="M179">
        <f>IF(Vu_khi!$W$179&lt;=0,0,IF(Vu_khi!$U$179&gt;0,$I$179*Vu_khi!$U$179/(MAX(0.05,$G$179)*Vu_khi!$U$179+$K$179),$I$179/MAX(0.05,$G$179)))</f>
        <v/>
      </c>
      <c r="N179" t="n">
        <v>43.89312977099237</v>
      </c>
      <c r="O179">
        <f>OR(Vu_khi!$AG$179,Vu_khi!$AB$179&gt;0,Vu_khi!$AH$179,Vu_khi!$M$179="Bomb",Vu_khi!$M$179="Drone")</f>
        <v/>
      </c>
      <c r="P179" t="b">
        <v>0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0</v>
      </c>
      <c r="U179">
        <f>INDEX(Bang_sat_thuong!$B$2:$B$7,MATCH(Vu_khi!$K$179,Bang_sat_thuong!$A$2:$A$7,0))</f>
        <v/>
      </c>
      <c r="V179" t="n">
        <v>1.3</v>
      </c>
      <c r="W179">
        <f>INDEX(Bang_sat_thuong!$C$2:$C$7,MATCH(Vu_khi!$K$179,Bang_sat_thuong!$A$2:$A$7,0))</f>
        <v/>
      </c>
      <c r="X179" t="n">
        <v>0.2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0.45</v>
      </c>
      <c r="AA179">
        <f>AND(Vu_khi!$K$179="Kinetic",NOT(Vu_khi!$AG$179))</f>
        <v/>
      </c>
      <c r="AB179" t="b">
        <v>0</v>
      </c>
      <c r="AC179">
        <f>IF(Vu_khi!$AG$179,INDEX(Bang_danh_noc!$C$2:$C$8,MIN(7,MAX(1,2-(Vu_khi!$L$179-0)+1))),INDEX(Bang_xuyen_giap!$C$2:$C$8,MIN(7,MAX(1,IF($O$179,MAX(1,2-(Vu_khi!$L$179-0)),2-(Vu_khi!$L$179-0))+1))))*IF($AA$179,INDEX(Bang_xuyen_qua!$C$2:$C$5,MIN(4,MAX(1,(Vu_khi!$L$179)-(0)-1))),1)</f>
        <v/>
      </c>
      <c r="AD179" t="n">
        <v>1.2</v>
      </c>
      <c r="AE179">
        <f>IF(Vu_khi!$AG$179,INDEX(Bang_danh_noc!$C$2:$C$8,MIN(7,MAX(1,2-(Vu_khi!$L$179-2)+1))),INDEX(Bang_xuyen_giap!$C$2:$C$8,MIN(7,MAX(1,IF($O$179,MAX(1,2-(Vu_khi!$L$179-2)),2-(Vu_khi!$L$179-2))+1))))*IF($AA$179,INDEX(Bang_xuyen_qua!$C$2:$C$5,MIN(4,MAX(1,(Vu_khi!$L$179)-(2)-1))),1)</f>
        <v/>
      </c>
      <c r="AF179" t="n">
        <v>1.2</v>
      </c>
      <c r="AG179">
        <f>IF(Vu_khi!$AG$179,INDEX(Bang_danh_noc!$C$2:$C$8,MIN(7,MAX(1,2-(Vu_khi!$L$179-4)+1))),INDEX(Bang_xuyen_giap!$C$2:$C$8,MIN(7,MAX(1,IF($O$179,MAX(1,2-(Vu_khi!$L$179-4)),2-(Vu_khi!$L$179-4))+1))))*IF($AA$179,INDEX(Bang_xuyen_qua!$C$2:$C$5,MIN(4,MAX(1,(Vu_khi!$L$179)-(4)-1))),1)</f>
        <v/>
      </c>
      <c r="AH179" t="n">
        <v>0.85</v>
      </c>
      <c r="AI179">
        <f>INDEX(Bang_xuyen_giap!$C$2:$C$8,MIN(7,MAX(1,MAX(1,2-(Vu_khi!$L$179-0))+1)))*IF($AA$179,INDEX(Bang_xuyen_qua!$C$2:$C$5,MIN(4,MAX(1,(Vu_khi!$L$179)-(0)-1))),1)</f>
        <v/>
      </c>
      <c r="AJ179" t="n">
        <v>1</v>
      </c>
      <c r="AK179">
        <f>IF($Q$179,$M$179*$AC$179*$U$179,0)</f>
        <v/>
      </c>
      <c r="AL179" t="n">
        <v>68.4732824427481</v>
      </c>
      <c r="AM179">
        <f>IF($Q$179,$M$179*$AE$179*$U$179,0)</f>
        <v/>
      </c>
      <c r="AN179" t="n">
        <v>68.4732824427481</v>
      </c>
      <c r="AO179">
        <f>IF($Q$179,$M$179*$AG$179*$U$179,0)</f>
        <v/>
      </c>
      <c r="AP179" t="n">
        <v>48.50190839694656</v>
      </c>
      <c r="AQ179">
        <f>IF($Q$179,$M$179*$AE$179*$Y$179,0)</f>
        <v/>
      </c>
      <c r="AR179" t="n">
        <v>23.70229007633588</v>
      </c>
      <c r="AS179">
        <f>IF($S$179,$M$179*$AI$179*$W$179,0)</f>
        <v/>
      </c>
      <c r="AT179" t="n">
        <v>0</v>
      </c>
      <c r="AU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V179" t="b">
        <v>0</v>
      </c>
      <c r="AW179">
        <f>IF(AND($B$179&lt;0,$AU$179),4,$B$179)</f>
        <v/>
      </c>
      <c r="AX179" t="n">
        <v>3</v>
      </c>
      <c r="AY179">
        <f>IF($AW$179&lt;4,0,MIN(MAX(0.5,Canh_bao_vong!$D$4),MAX(IF(Vu_khi!$C$179="cal_406",Canh_bao_vong!$D$7,IF($AW$179&gt;=5,Canh_bao_vong!$D$9,Canh_bao_vong!$D$8)),Canh_bao_vong!$D$2+MAX(0,Vu_khi!$X$179)/MAX(0.1,Canh_bao_vong!$D$5))))</f>
        <v/>
      </c>
      <c r="AZ179" t="n">
        <v>0</v>
      </c>
      <c r="BA179" t="inlineStr"/>
      <c r="BB179" t="inlineStr">
        <is>
          <t>ok</t>
        </is>
      </c>
      <c r="BC179" t="inlineStr"/>
      <c r="BD179" t="n">
        <v>80</v>
      </c>
      <c r="BE179" t="n">
        <v>104</v>
      </c>
      <c r="BF179" t="n">
        <v>0.125</v>
      </c>
      <c r="BG179" t="n">
        <v>0.25</v>
      </c>
      <c r="BH179" t="n">
        <v>0.5</v>
      </c>
      <c r="BI179" t="n">
        <v>0.385</v>
      </c>
      <c r="BJ179" t="inlineStr">
        <is>
          <t>TACTICAL_MISSILE</t>
        </is>
      </c>
      <c r="BK179" t="inlineStr">
        <is>
          <t>ok</t>
        </is>
      </c>
      <c r="BL179" t="inlineStr">
        <is>
          <t>own line</t>
        </is>
      </c>
      <c r="BM179" t="inlineStr"/>
      <c r="BN179" t="inlineStr">
        <is>
          <t>Assets/MachineBrigade/Resources/Data/balance.json: weapons[id=maverick] (lớp B trên 01_chien_dau/Vu_khi)</t>
        </is>
      </c>
      <c r="BO179" t="inlineStr"/>
    </row>
    <row r="180">
      <c r="A180" t="inlineStr">
        <is>
          <t>mg_coax</t>
        </is>
      </c>
      <c r="B180" t="n">
        <v>0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100</v>
      </c>
      <c r="G180">
        <f>IF(Vu_khi!$S$180&gt;0,(Vu_khi!$S$180-1)*Vu_khi!$R$180+Vu_khi!$T$180,Vu_khi!$R$180+(Vu_khi!$P$180-1)*Vu_khi!$Q$180)</f>
        <v/>
      </c>
      <c r="H180" t="n">
        <v>12.33</v>
      </c>
      <c r="I180">
        <f>Vu_khi!$W$180*MAX(1,$E$180)</f>
        <v/>
      </c>
      <c r="J180" t="n">
        <v>550</v>
      </c>
      <c r="K180">
        <f>IF(Vu_khi!$V$180&gt;0,Vu_khi!$V$180,MIN(28,MAX(10,Vu_khi!$U$180*Vu_khi!$R$180*0.4)))</f>
        <v/>
      </c>
      <c r="L180" t="n">
        <v>10</v>
      </c>
      <c r="M180">
        <f>IF(Vu_khi!$W$180&lt;=0,0,IF(Vu_khi!$U$180&gt;0,$I$180*Vu_khi!$U$180/(MAX(0.05,$G$180)*Vu_khi!$U$180+$K$180),$I$180/MAX(0.05,$G$180)))</f>
        <v/>
      </c>
      <c r="N180" t="n">
        <v>44.6066504460665</v>
      </c>
      <c r="O180">
        <f>OR(Vu_khi!$AG$180,Vu_khi!$AB$180&gt;0,Vu_khi!$AH$180,Vu_khi!$M$180="Bomb",Vu_khi!$M$180="Drone")</f>
        <v/>
      </c>
      <c r="P180" t="b">
        <v>0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1</v>
      </c>
      <c r="U180">
        <f>INDEX(Bang_sat_thuong!$B$2:$B$7,MATCH(Vu_khi!$K$180,Bang_sat_thuong!$A$2:$A$7,0))</f>
        <v/>
      </c>
      <c r="V180" t="n">
        <v>1.2</v>
      </c>
      <c r="W180">
        <f>INDEX(Bang_sat_thuong!$C$2:$C$7,MATCH(Vu_khi!$K$180,Bang_sat_thuong!$A$2:$A$7,0))</f>
        <v/>
      </c>
      <c r="X180" t="n">
        <v>0.3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0.7</v>
      </c>
      <c r="AA180">
        <f>AND(Vu_khi!$K$180="Kinetic",NOT(Vu_khi!$AG$180))</f>
        <v/>
      </c>
      <c r="AB180" t="b">
        <v>1</v>
      </c>
      <c r="AC180">
        <f>IF(Vu_khi!$AG$180,INDEX(Bang_danh_noc!$C$2:$C$8,MIN(7,MAX(1,2-(Vu_khi!$L$180-0)+1))),INDEX(Bang_xuyen_giap!$C$2:$C$8,MIN(7,MAX(1,IF($O$180,MAX(1,2-(Vu_khi!$L$180-0)),2-(Vu_khi!$L$180-0))+1))))*IF($AA$180,INDEX(Bang_xuyen_qua!$C$2:$C$5,MIN(4,MAX(1,(Vu_khi!$L$180)-(0)-1))),1)</f>
        <v/>
      </c>
      <c r="AD180" t="n">
        <v>0.85</v>
      </c>
      <c r="AE180">
        <f>IF(Vu_khi!$AG$180,INDEX(Bang_danh_noc!$C$2:$C$8,MIN(7,MAX(1,2-(Vu_khi!$L$180-2)+1))),INDEX(Bang_xuyen_giap!$C$2:$C$8,MIN(7,MAX(1,IF($O$180,MAX(1,2-(Vu_khi!$L$180-2)),2-(Vu_khi!$L$180-2))+1))))*IF($AA$180,INDEX(Bang_xuyen_qua!$C$2:$C$5,MIN(4,MAX(1,(Vu_khi!$L$180)-(2)-1))),1)</f>
        <v/>
      </c>
      <c r="AF180" t="n">
        <v>0.4</v>
      </c>
      <c r="AG180">
        <f>IF(Vu_khi!$AG$180,INDEX(Bang_danh_noc!$C$2:$C$8,MIN(7,MAX(1,2-(Vu_khi!$L$180-4)+1))),INDEX(Bang_xuyen_giap!$C$2:$C$8,MIN(7,MAX(1,IF($O$180,MAX(1,2-(Vu_khi!$L$180-4)),2-(Vu_khi!$L$180-4))+1))))*IF($AA$180,INDEX(Bang_xuyen_qua!$C$2:$C$5,MIN(4,MAX(1,(Vu_khi!$L$180)-(4)-1))),1)</f>
        <v/>
      </c>
      <c r="AH180" t="n">
        <v>0.08</v>
      </c>
      <c r="AI180">
        <f>INDEX(Bang_xuyen_giap!$C$2:$C$8,MIN(7,MAX(1,MAX(1,2-(Vu_khi!$L$180-0))+1)))*IF($AA$180,INDEX(Bang_xuyen_qua!$C$2:$C$5,MIN(4,MAX(1,(Vu_khi!$L$180)-(0)-1))),1)</f>
        <v/>
      </c>
      <c r="AJ180" t="n">
        <v>0.85</v>
      </c>
      <c r="AK180">
        <f>IF($Q$180,$M$180*$AC$180*$U$180,0)</f>
        <v/>
      </c>
      <c r="AL180" t="n">
        <v>45.49878345498783</v>
      </c>
      <c r="AM180">
        <f>IF($Q$180,$M$180*$AE$180*$U$180,0)</f>
        <v/>
      </c>
      <c r="AN180" t="n">
        <v>21.41119221411192</v>
      </c>
      <c r="AO180">
        <f>IF($Q$180,$M$180*$AG$180*$U$180,0)</f>
        <v/>
      </c>
      <c r="AP180" t="n">
        <v>4.282238442822384</v>
      </c>
      <c r="AQ180">
        <f>IF($Q$180,$M$180*$AE$180*$Y$180,0)</f>
        <v/>
      </c>
      <c r="AR180" t="n">
        <v>12.48986212489862</v>
      </c>
      <c r="AS180">
        <f>IF($S$180,$M$180*$AI$180*$W$180,0)</f>
        <v/>
      </c>
      <c r="AT180" t="n">
        <v>11.37469586374696</v>
      </c>
      <c r="AU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V180" t="b">
        <v>0</v>
      </c>
      <c r="AW180">
        <f>IF(AND($B$180&lt;0,$AU$180),4,$B$180)</f>
        <v/>
      </c>
      <c r="AX180" t="n">
        <v>0</v>
      </c>
      <c r="AY180">
        <f>IF($AW$180&lt;4,0,MIN(MAX(0.5,Canh_bao_vong!$D$4),MAX(IF(Vu_khi!$C$180="cal_406",Canh_bao_vong!$D$7,IF($AW$180&gt;=5,Canh_bao_vong!$D$9,Canh_bao_vong!$D$8)),Canh_bao_vong!$D$2+MAX(0,Vu_khi!$X$180)/MAX(0.1,Canh_bao_vong!$D$5))))</f>
        <v/>
      </c>
      <c r="AZ180" t="n">
        <v>0</v>
      </c>
      <c r="BA180" t="n">
        <v>1.644</v>
      </c>
      <c r="BB180" t="inlineStr">
        <is>
          <t>ok</t>
        </is>
      </c>
      <c r="BC180" t="inlineStr"/>
      <c r="BD180" t="n">
        <v>240</v>
      </c>
      <c r="BE180" t="n">
        <v>312</v>
      </c>
      <c r="BF180" t="n">
        <v>0.021</v>
      </c>
      <c r="BG180" t="n">
        <v>0.042</v>
      </c>
      <c r="BH180" t="n">
        <v>0.083</v>
      </c>
      <c r="BI180" t="n">
        <v>0.064</v>
      </c>
      <c r="BJ180" t="inlineStr">
        <is>
          <t>DIRECT_BULLET</t>
        </is>
      </c>
      <c r="BK180" t="inlineStr">
        <is>
          <t>ok</t>
        </is>
      </c>
      <c r="BL180" t="inlineStr">
        <is>
          <t>family pkt_m240_7_62_mm</t>
        </is>
      </c>
      <c r="BM180" t="inlineStr"/>
      <c r="BN180" t="inlineStr">
        <is>
          <t>Assets/MachineBrigade/Resources/Data/balance.json: weapons[id=mg_coax] (lớp B trên 01_chien_dau/Vu_khi)</t>
        </is>
      </c>
      <c r="BO180" t="inlineStr"/>
    </row>
    <row r="181">
      <c r="A181" t="inlineStr">
        <is>
          <t>mg_coax_long</t>
        </is>
      </c>
      <c r="B181" t="n">
        <v>0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100</v>
      </c>
      <c r="G181">
        <f>IF(Vu_khi!$S$181&gt;0,(Vu_khi!$S$181-1)*Vu_khi!$R$181+Vu_khi!$T$181,Vu_khi!$R$181+(Vu_khi!$P$181-1)*Vu_khi!$Q$181)</f>
        <v/>
      </c>
      <c r="H181" t="n">
        <v>12.33</v>
      </c>
      <c r="I181">
        <f>Vu_khi!$W$181*MAX(1,$E$181)</f>
        <v/>
      </c>
      <c r="J181" t="n">
        <v>550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44.6066504460665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1.2</v>
      </c>
      <c r="W181">
        <f>INDEX(Bang_sat_thuong!$C$2:$C$7,MATCH(Vu_khi!$K$181,Bang_sat_thuong!$A$2:$A$7,0))</f>
        <v/>
      </c>
      <c r="X181" t="n">
        <v>0.3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0.7</v>
      </c>
      <c r="AA181">
        <f>AND(Vu_khi!$K$181="Kinetic",NOT(Vu_khi!$AG$181))</f>
        <v/>
      </c>
      <c r="AB181" t="b">
        <v>1</v>
      </c>
      <c r="AC181">
        <f>IF(Vu_khi!$AG$181,INDEX(Bang_danh_noc!$C$2:$C$8,MIN(7,MAX(1,2-(Vu_khi!$L$181-0)+1))),INDEX(Bang_xuyen_giap!$C$2:$C$8,MIN(7,MAX(1,IF($O$181,MAX(1,2-(Vu_khi!$L$181-0)),2-(Vu_khi!$L$181-0))+1))))*IF($AA$181,INDEX(Bang_xuyen_qua!$C$2:$C$5,MIN(4,MAX(1,(Vu_khi!$L$181)-(0)-1))),1)</f>
        <v/>
      </c>
      <c r="AD181" t="n">
        <v>0.85</v>
      </c>
      <c r="AE181">
        <f>IF(Vu_khi!$AG$181,INDEX(Bang_danh_noc!$C$2:$C$8,MIN(7,MAX(1,2-(Vu_khi!$L$181-2)+1))),INDEX(Bang_xuyen_giap!$C$2:$C$8,MIN(7,MAX(1,IF($O$181,MAX(1,2-(Vu_khi!$L$181-2)),2-(Vu_khi!$L$181-2))+1))))*IF($AA$181,INDEX(Bang_xuyen_qua!$C$2:$C$5,MIN(4,MAX(1,(Vu_khi!$L$181)-(2)-1))),1)</f>
        <v/>
      </c>
      <c r="AF181" t="n">
        <v>0.4</v>
      </c>
      <c r="AG181">
        <f>IF(Vu_khi!$AG$181,INDEX(Bang_danh_noc!$C$2:$C$8,MIN(7,MAX(1,2-(Vu_khi!$L$181-4)+1))),INDEX(Bang_xuyen_giap!$C$2:$C$8,MIN(7,MAX(1,IF($O$181,MAX(1,2-(Vu_khi!$L$181-4)),2-(Vu_khi!$L$181-4))+1))))*IF($AA$181,INDEX(Bang_xuyen_qua!$C$2:$C$5,MIN(4,MAX(1,(Vu_khi!$L$181)-(4)-1))),1)</f>
        <v/>
      </c>
      <c r="AH181" t="n">
        <v>0.08</v>
      </c>
      <c r="AI181">
        <f>INDEX(Bang_xuyen_giap!$C$2:$C$8,MIN(7,MAX(1,MAX(1,2-(Vu_khi!$L$181-0))+1)))*IF($AA$181,INDEX(Bang_xuyen_qua!$C$2:$C$5,MIN(4,MAX(1,(Vu_khi!$L$181)-(0)-1))),1)</f>
        <v/>
      </c>
      <c r="AJ181" t="n">
        <v>0.85</v>
      </c>
      <c r="AK181">
        <f>IF($Q$181,$M$181*$AC$181*$U$181,0)</f>
        <v/>
      </c>
      <c r="AL181" t="n">
        <v>45.49878345498783</v>
      </c>
      <c r="AM181">
        <f>IF($Q$181,$M$181*$AE$181*$U$181,0)</f>
        <v/>
      </c>
      <c r="AN181" t="n">
        <v>21.41119221411192</v>
      </c>
      <c r="AO181">
        <f>IF($Q$181,$M$181*$AG$181*$U$181,0)</f>
        <v/>
      </c>
      <c r="AP181" t="n">
        <v>4.282238442822384</v>
      </c>
      <c r="AQ181">
        <f>IF($Q$181,$M$181*$AE$181*$Y$181,0)</f>
        <v/>
      </c>
      <c r="AR181" t="n">
        <v>12.48986212489862</v>
      </c>
      <c r="AS181">
        <f>IF($S$181,$M$181*$AI$181*$W$181,0)</f>
        <v/>
      </c>
      <c r="AT181" t="n">
        <v>11.37469586374696</v>
      </c>
      <c r="AU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V181" t="b">
        <v>0</v>
      </c>
      <c r="AW181">
        <f>IF(AND($B$181&lt;0,$AU$181),4,$B$181)</f>
        <v/>
      </c>
      <c r="AX181" t="n">
        <v>0</v>
      </c>
      <c r="AY181">
        <f>IF($AW$181&lt;4,0,MIN(MAX(0.5,Canh_bao_vong!$D$4),MAX(IF(Vu_khi!$C$181="cal_406",Canh_bao_vong!$D$7,IF($AW$181&gt;=5,Canh_bao_vong!$D$9,Canh_bao_vong!$D$8)),Canh_bao_vong!$D$2+MAX(0,Vu_khi!$X$181)/MAX(0.1,Canh_bao_vong!$D$5))))</f>
        <v/>
      </c>
      <c r="AZ181" t="n">
        <v>0</v>
      </c>
      <c r="BA181" t="n">
        <v>1.644</v>
      </c>
      <c r="BB181" t="inlineStr">
        <is>
          <t>ok</t>
        </is>
      </c>
      <c r="BC181" t="inlineStr"/>
      <c r="BD181" t="n">
        <v>240</v>
      </c>
      <c r="BE181" t="n">
        <v>312</v>
      </c>
      <c r="BF181" t="n">
        <v>0.031</v>
      </c>
      <c r="BG181" t="n">
        <v>0.062</v>
      </c>
      <c r="BH181" t="n">
        <v>0.125</v>
      </c>
      <c r="BI181" t="n">
        <v>0.096</v>
      </c>
      <c r="BJ181" t="inlineStr">
        <is>
          <t>DIRECT_BULLET</t>
        </is>
      </c>
      <c r="BK181" t="inlineStr">
        <is>
          <t>ok</t>
        </is>
      </c>
      <c r="BL181" t="inlineStr">
        <is>
          <t>family pkt_m240_7_62_mm</t>
        </is>
      </c>
      <c r="BM181" t="inlineStr"/>
      <c r="BN181" t="inlineStr">
        <is>
          <t>Assets/MachineBrigade/Resources/Data/balance.json: weapons[id=mg_coax_long] (lớp B trên 01_chien_dau/Vu_khi)</t>
        </is>
      </c>
      <c r="BO181" t="inlineStr"/>
    </row>
    <row r="182">
      <c r="A182" t="inlineStr">
        <is>
          <t>mg_jeep</t>
        </is>
      </c>
      <c r="B182" t="n">
        <v>0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100</v>
      </c>
      <c r="G182">
        <f>IF(Vu_khi!$S$182&gt;0,(Vu_khi!$S$182-1)*Vu_khi!$R$182+Vu_khi!$T$182,Vu_khi!$R$182+(Vu_khi!$P$182-1)*Vu_khi!$Q$182)</f>
        <v/>
      </c>
      <c r="H182" t="n">
        <v>16.11</v>
      </c>
      <c r="I182">
        <f>Vu_khi!$W$182*MAX(1,$E$182)</f>
        <v/>
      </c>
      <c r="J182" t="n">
        <v>950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58.96958410924891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1</v>
      </c>
      <c r="U182">
        <f>INDEX(Bang_sat_thuong!$B$2:$B$7,MATCH(Vu_khi!$K$182,Bang_sat_thuong!$A$2:$A$7,0))</f>
        <v/>
      </c>
      <c r="V182" t="n">
        <v>1.2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0.7</v>
      </c>
      <c r="AA182">
        <f>AND(Vu_khi!$K$182="Kinetic",NOT(Vu_khi!$AG$182))</f>
        <v/>
      </c>
      <c r="AB182" t="b">
        <v>1</v>
      </c>
      <c r="AC182">
        <f>IF(Vu_khi!$AG$182,INDEX(Bang_danh_noc!$C$2:$C$8,MIN(7,MAX(1,2-(Vu_khi!$L$182-0)+1))),INDEX(Bang_xuyen_giap!$C$2:$C$8,MIN(7,MAX(1,IF($O$182,MAX(1,2-(Vu_khi!$L$182-0)),2-(Vu_khi!$L$182-0))+1))))*IF($AA$182,INDEX(Bang_xuyen_qua!$C$2:$C$5,MIN(4,MAX(1,(Vu_khi!$L$182)-(0)-1))),1)</f>
        <v/>
      </c>
      <c r="AD182" t="n">
        <v>1</v>
      </c>
      <c r="AE182">
        <f>IF(Vu_khi!$AG$182,INDEX(Bang_danh_noc!$C$2:$C$8,MIN(7,MAX(1,2-(Vu_khi!$L$182-2)+1))),INDEX(Bang_xuyen_giap!$C$2:$C$8,MIN(7,MAX(1,IF($O$182,MAX(1,2-(Vu_khi!$L$182-2)),2-(Vu_khi!$L$182-2))+1))))*IF($AA$182,INDEX(Bang_xuyen_qua!$C$2:$C$5,MIN(4,MAX(1,(Vu_khi!$L$182)-(2)-1))),1)</f>
        <v/>
      </c>
      <c r="AF182" t="n">
        <v>0.65</v>
      </c>
      <c r="AG182">
        <f>IF(Vu_khi!$AG$182,INDEX(Bang_danh_noc!$C$2:$C$8,MIN(7,MAX(1,2-(Vu_khi!$L$182-4)+1))),INDEX(Bang_xuyen_giap!$C$2:$C$8,MIN(7,MAX(1,IF($O$182,MAX(1,2-(Vu_khi!$L$182-4)),2-(Vu_khi!$L$182-4))+1))))*IF($AA$182,INDEX(Bang_xuyen_qua!$C$2:$C$5,MIN(4,MAX(1,(Vu_khi!$L$182)-(4)-1))),1)</f>
        <v/>
      </c>
      <c r="AH182" t="n">
        <v>0.15</v>
      </c>
      <c r="AI182">
        <f>INDEX(Bang_xuyen_giap!$C$2:$C$8,MIN(7,MAX(1,MAX(1,2-(Vu_khi!$L$182-0))+1)))*IF($AA$182,INDEX(Bang_xuyen_qua!$C$2:$C$5,MIN(4,MAX(1,(Vu_khi!$L$182)-(0)-1))),1)</f>
        <v/>
      </c>
      <c r="AJ182" t="n">
        <v>1</v>
      </c>
      <c r="AK182">
        <f>IF($Q$182,$M$182*$AC$182*$U$182,0)</f>
        <v/>
      </c>
      <c r="AL182" t="n">
        <v>70.76350093109869</v>
      </c>
      <c r="AM182">
        <f>IF($Q$182,$M$182*$AE$182*$U$182,0)</f>
        <v/>
      </c>
      <c r="AN182" t="n">
        <v>45.99627560521415</v>
      </c>
      <c r="AO182">
        <f>IF($Q$182,$M$182*$AG$182*$U$182,0)</f>
        <v/>
      </c>
      <c r="AP182" t="n">
        <v>10.6145251396648</v>
      </c>
      <c r="AQ182">
        <f>IF($Q$182,$M$182*$AE$182*$Y$182,0)</f>
        <v/>
      </c>
      <c r="AR182" t="n">
        <v>26.83116076970825</v>
      </c>
      <c r="AS182">
        <f>IF($S$182,$M$182*$AI$182*$W$182,0)</f>
        <v/>
      </c>
      <c r="AT182" t="n">
        <v>17.69087523277467</v>
      </c>
      <c r="AU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V182" t="b">
        <v>0</v>
      </c>
      <c r="AW182">
        <f>IF(AND($B$182&lt;0,$AU$182),4,$B$182)</f>
        <v/>
      </c>
      <c r="AX182" t="n">
        <v>0</v>
      </c>
      <c r="AY182">
        <f>IF($AW$182&lt;4,0,MIN(MAX(0.5,Canh_bao_vong!$D$4),MAX(IF(Vu_khi!$C$182="cal_406",Canh_bao_vong!$D$7,IF($AW$182&gt;=5,Canh_bao_vong!$D$9,Canh_bao_vong!$D$8)),Canh_bao_vong!$D$2+MAX(0,Vu_khi!$X$182)/MAX(0.1,Canh_bao_vong!$D$5))))</f>
        <v/>
      </c>
      <c r="AZ182" t="n">
        <v>0</v>
      </c>
      <c r="BA182" t="n">
        <v>1.611</v>
      </c>
      <c r="BB182" t="inlineStr">
        <is>
          <t>ok</t>
        </is>
      </c>
      <c r="BC182" t="inlineStr"/>
      <c r="BD182" t="n">
        <v>230</v>
      </c>
      <c r="BE182" t="n">
        <v>299</v>
      </c>
      <c r="BF182" t="n">
        <v>0.024</v>
      </c>
      <c r="BG182" t="n">
        <v>0.048</v>
      </c>
      <c r="BH182" t="n">
        <v>0.096</v>
      </c>
      <c r="BI182" t="n">
        <v>0.074</v>
      </c>
      <c r="BJ182" t="inlineStr">
        <is>
          <t>DIRECT_BULLET</t>
        </is>
      </c>
      <c r="BK182" t="inlineStr">
        <is>
          <t>ok</t>
        </is>
      </c>
      <c r="BL182" t="inlineStr">
        <is>
          <t>family m2_browning_12_7_mm</t>
        </is>
      </c>
      <c r="BM182" t="inlineStr"/>
      <c r="BN182" t="inlineStr">
        <is>
          <t>Assets/MachineBrigade/Resources/Data/balance.json: weapons[id=mg_jeep] (lớp B trên 01_chien_dau/Vu_khi)</t>
        </is>
      </c>
      <c r="BO182" t="inlineStr"/>
    </row>
    <row r="183">
      <c r="A183" t="inlineStr">
        <is>
          <t>mg_jeep_api</t>
        </is>
      </c>
      <c r="B183" t="n">
        <v>0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100</v>
      </c>
      <c r="G183">
        <f>IF(Vu_khi!$S$183&gt;0,(Vu_khi!$S$183-1)*Vu_khi!$R$183+Vu_khi!$T$183,Vu_khi!$R$183+(Vu_khi!$P$183-1)*Vu_khi!$Q$183)</f>
        <v/>
      </c>
      <c r="H183" t="n">
        <v>16.11</v>
      </c>
      <c r="I183">
        <f>Vu_khi!$W$183*MAX(1,$E$183)</f>
        <v/>
      </c>
      <c r="J183" t="n">
        <v>950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58.96958410924891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1</v>
      </c>
      <c r="U183">
        <f>INDEX(Bang_sat_thuong!$B$2:$B$7,MATCH(Vu_khi!$K$183,Bang_sat_thuong!$A$2:$A$7,0))</f>
        <v/>
      </c>
      <c r="V183" t="n">
        <v>1.2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0.7</v>
      </c>
      <c r="AA183">
        <f>AND(Vu_khi!$K$183="Kinetic",NOT(Vu_khi!$AG$183))</f>
        <v/>
      </c>
      <c r="AB183" t="b">
        <v>1</v>
      </c>
      <c r="AC183">
        <f>IF(Vu_khi!$AG$183,INDEX(Bang_danh_noc!$C$2:$C$8,MIN(7,MAX(1,2-(Vu_khi!$L$183-0)+1))),INDEX(Bang_xuyen_giap!$C$2:$C$8,MIN(7,MAX(1,IF($O$183,MAX(1,2-(Vu_khi!$L$183-0)),2-(Vu_khi!$L$183-0))+1))))*IF($AA$183,INDEX(Bang_xuyen_qua!$C$2:$C$5,MIN(4,MAX(1,(Vu_khi!$L$183)-(0)-1))),1)</f>
        <v/>
      </c>
      <c r="AD183" t="n">
        <v>1.2</v>
      </c>
      <c r="AE183">
        <f>IF(Vu_khi!$AG$183,INDEX(Bang_danh_noc!$C$2:$C$8,MIN(7,MAX(1,2-(Vu_khi!$L$183-2)+1))),INDEX(Bang_xuyen_giap!$C$2:$C$8,MIN(7,MAX(1,IF($O$183,MAX(1,2-(Vu_khi!$L$183-2)),2-(Vu_khi!$L$183-2))+1))))*IF($AA$183,INDEX(Bang_xuyen_qua!$C$2:$C$5,MIN(4,MAX(1,(Vu_khi!$L$183)-(2)-1))),1)</f>
        <v/>
      </c>
      <c r="AF183" t="n">
        <v>0.85</v>
      </c>
      <c r="AG183">
        <f>IF(Vu_khi!$AG$183,INDEX(Bang_danh_noc!$C$2:$C$8,MIN(7,MAX(1,2-(Vu_khi!$L$183-4)+1))),INDEX(Bang_xuyen_giap!$C$2:$C$8,MIN(7,MAX(1,IF($O$183,MAX(1,2-(Vu_khi!$L$183-4)),2-(Vu_khi!$L$183-4))+1))))*IF($AA$183,INDEX(Bang_xuyen_qua!$C$2:$C$5,MIN(4,MAX(1,(Vu_khi!$L$183)-(4)-1))),1)</f>
        <v/>
      </c>
      <c r="AH183" t="n">
        <v>0.4</v>
      </c>
      <c r="AI183">
        <f>INDEX(Bang_xuyen_giap!$C$2:$C$8,MIN(7,MAX(1,MAX(1,2-(Vu_khi!$L$183-0))+1)))*IF($AA$183,INDEX(Bang_xuyen_qua!$C$2:$C$5,MIN(4,MAX(1,(Vu_khi!$L$183)-(0)-1))),1)</f>
        <v/>
      </c>
      <c r="AJ183" t="n">
        <v>1</v>
      </c>
      <c r="AK183">
        <f>IF($Q$183,$M$183*$AC$183*$U$183,0)</f>
        <v/>
      </c>
      <c r="AL183" t="n">
        <v>84.91620111731844</v>
      </c>
      <c r="AM183">
        <f>IF($Q$183,$M$183*$AE$183*$U$183,0)</f>
        <v/>
      </c>
      <c r="AN183" t="n">
        <v>60.14897579143389</v>
      </c>
      <c r="AO183">
        <f>IF($Q$183,$M$183*$AG$183*$U$183,0)</f>
        <v/>
      </c>
      <c r="AP183" t="n">
        <v>28.30540037243948</v>
      </c>
      <c r="AQ183">
        <f>IF($Q$183,$M$183*$AE$183*$Y$183,0)</f>
        <v/>
      </c>
      <c r="AR183" t="n">
        <v>35.0869025450031</v>
      </c>
      <c r="AS183">
        <f>IF($S$183,$M$183*$AI$183*$W$183,0)</f>
        <v/>
      </c>
      <c r="AT183" t="n">
        <v>17.69087523277467</v>
      </c>
      <c r="AU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V183" t="b">
        <v>0</v>
      </c>
      <c r="AW183">
        <f>IF(AND($B$183&lt;0,$AU$183),4,$B$183)</f>
        <v/>
      </c>
      <c r="AX183" t="n">
        <v>0</v>
      </c>
      <c r="AY183">
        <f>IF($AW$183&lt;4,0,MIN(MAX(0.5,Canh_bao_vong!$D$4),MAX(IF(Vu_khi!$C$183="cal_406",Canh_bao_vong!$D$7,IF($AW$183&gt;=5,Canh_bao_vong!$D$9,Canh_bao_vong!$D$8)),Canh_bao_vong!$D$2+MAX(0,Vu_khi!$X$183)/MAX(0.1,Canh_bao_vong!$D$5))))</f>
        <v/>
      </c>
      <c r="AZ183" t="n">
        <v>0</v>
      </c>
      <c r="BD183" t="n">
        <v>230</v>
      </c>
      <c r="BE183" t="n">
        <v>299</v>
      </c>
      <c r="BF183" t="n">
        <v>0.024</v>
      </c>
      <c r="BG183" t="n">
        <v>0.048</v>
      </c>
      <c r="BH183" t="n">
        <v>0.096</v>
      </c>
      <c r="BI183" t="n">
        <v>0.074</v>
      </c>
      <c r="BJ183" t="inlineStr">
        <is>
          <t>DIRECT_BULLET</t>
        </is>
      </c>
      <c r="BK183" t="inlineStr">
        <is>
          <t>ok</t>
        </is>
      </c>
      <c r="BL183" t="inlineStr">
        <is>
          <t>family m2_browning_12_7_mm_api</t>
        </is>
      </c>
      <c r="BM183" t="inlineStr"/>
      <c r="BN183" t="inlineStr">
        <is>
          <t>Assets/MachineBrigade/Resources/Data/balance.json: weapons[id=mg_jeep_api] (lớp B trên 01_chien_dau/Vu_khi)</t>
        </is>
      </c>
      <c r="BO183" t="inlineStr"/>
    </row>
    <row r="184">
      <c r="A184" t="inlineStr">
        <is>
          <t>mg_jeep_selfdef</t>
        </is>
      </c>
      <c r="B184" t="n">
        <v>0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100</v>
      </c>
      <c r="G184">
        <f>IF(Vu_khi!$S$184&gt;0,(Vu_khi!$S$184-1)*Vu_khi!$R$184+Vu_khi!$T$184,Vu_khi!$R$184+(Vu_khi!$P$184-1)*Vu_khi!$Q$184)</f>
        <v/>
      </c>
      <c r="H184" t="n">
        <v>16.11</v>
      </c>
      <c r="I184">
        <f>Vu_khi!$W$184*MAX(1,$E$184)</f>
        <v/>
      </c>
      <c r="J184" t="n">
        <v>950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58.96958410924891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1.2</v>
      </c>
      <c r="W184">
        <f>INDEX(Bang_sat_thuong!$C$2:$C$7,MATCH(Vu_khi!$K$184,Bang_sat_thuong!$A$2:$A$7,0))</f>
        <v/>
      </c>
      <c r="X184" t="n">
        <v>0.3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0.7</v>
      </c>
      <c r="AA184">
        <f>AND(Vu_khi!$K$184="Kinetic",NOT(Vu_khi!$AG$184))</f>
        <v/>
      </c>
      <c r="AB184" t="b">
        <v>1</v>
      </c>
      <c r="AC184">
        <f>IF(Vu_khi!$AG$184,INDEX(Bang_danh_noc!$C$2:$C$8,MIN(7,MAX(1,2-(Vu_khi!$L$184-0)+1))),INDEX(Bang_xuyen_giap!$C$2:$C$8,MIN(7,MAX(1,IF($O$184,MAX(1,2-(Vu_khi!$L$184-0)),2-(Vu_khi!$L$184-0))+1))))*IF($AA$184,INDEX(Bang_xuyen_qua!$C$2:$C$5,MIN(4,MAX(1,(Vu_khi!$L$184)-(0)-1))),1)</f>
        <v/>
      </c>
      <c r="AD184" t="n">
        <v>1</v>
      </c>
      <c r="AE184">
        <f>IF(Vu_khi!$AG$184,INDEX(Bang_danh_noc!$C$2:$C$8,MIN(7,MAX(1,2-(Vu_khi!$L$184-2)+1))),INDEX(Bang_xuyen_giap!$C$2:$C$8,MIN(7,MAX(1,IF($O$184,MAX(1,2-(Vu_khi!$L$184-2)),2-(Vu_khi!$L$184-2))+1))))*IF($AA$184,INDEX(Bang_xuyen_qua!$C$2:$C$5,MIN(4,MAX(1,(Vu_khi!$L$184)-(2)-1))),1)</f>
        <v/>
      </c>
      <c r="AF184" t="n">
        <v>0.65</v>
      </c>
      <c r="AG184">
        <f>IF(Vu_khi!$AG$184,INDEX(Bang_danh_noc!$C$2:$C$8,MIN(7,MAX(1,2-(Vu_khi!$L$184-4)+1))),INDEX(Bang_xuyen_giap!$C$2:$C$8,MIN(7,MAX(1,IF($O$184,MAX(1,2-(Vu_khi!$L$184-4)),2-(Vu_khi!$L$184-4))+1))))*IF($AA$184,INDEX(Bang_xuyen_qua!$C$2:$C$5,MIN(4,MAX(1,(Vu_khi!$L$184)-(4)-1))),1)</f>
        <v/>
      </c>
      <c r="AH184" t="n">
        <v>0.15</v>
      </c>
      <c r="AI184">
        <f>INDEX(Bang_xuyen_giap!$C$2:$C$8,MIN(7,MAX(1,MAX(1,2-(Vu_khi!$L$184-0))+1)))*IF($AA$184,INDEX(Bang_xuyen_qua!$C$2:$C$5,MIN(4,MAX(1,(Vu_khi!$L$184)-(0)-1))),1)</f>
        <v/>
      </c>
      <c r="AJ184" t="n">
        <v>1</v>
      </c>
      <c r="AK184">
        <f>IF($Q$184,$M$184*$AC$184*$U$184,0)</f>
        <v/>
      </c>
      <c r="AL184" t="n">
        <v>70.76350093109869</v>
      </c>
      <c r="AM184">
        <f>IF($Q$184,$M$184*$AE$184*$U$184,0)</f>
        <v/>
      </c>
      <c r="AN184" t="n">
        <v>45.99627560521415</v>
      </c>
      <c r="AO184">
        <f>IF($Q$184,$M$184*$AG$184*$U$184,0)</f>
        <v/>
      </c>
      <c r="AP184" t="n">
        <v>10.6145251396648</v>
      </c>
      <c r="AQ184">
        <f>IF($Q$184,$M$184*$AE$184*$Y$184,0)</f>
        <v/>
      </c>
      <c r="AR184" t="n">
        <v>26.83116076970825</v>
      </c>
      <c r="AS184">
        <f>IF($S$184,$M$184*$AI$184*$W$184,0)</f>
        <v/>
      </c>
      <c r="AT184" t="n">
        <v>17.69087523277467</v>
      </c>
      <c r="AU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V184" t="b">
        <v>0</v>
      </c>
      <c r="AW184">
        <f>IF(AND($B$184&lt;0,$AU$184),4,$B$184)</f>
        <v/>
      </c>
      <c r="AX184" t="n">
        <v>0</v>
      </c>
      <c r="AY184">
        <f>IF($AW$184&lt;4,0,MIN(MAX(0.5,Canh_bao_vong!$D$4),MAX(IF(Vu_khi!$C$184="cal_406",Canh_bao_vong!$D$7,IF($AW$184&gt;=5,Canh_bao_vong!$D$9,Canh_bao_vong!$D$8)),Canh_bao_vong!$D$2+MAX(0,Vu_khi!$X$184)/MAX(0.1,Canh_bao_vong!$D$5))))</f>
        <v/>
      </c>
      <c r="AZ184" t="n">
        <v>0</v>
      </c>
      <c r="BA184" t="n">
        <v>1.611</v>
      </c>
      <c r="BB184" t="inlineStr">
        <is>
          <t>ok</t>
        </is>
      </c>
      <c r="BC184" t="inlineStr"/>
      <c r="BD184" t="n">
        <v>230</v>
      </c>
      <c r="BE184" t="n">
        <v>299</v>
      </c>
      <c r="BF184" t="n">
        <v>0.014</v>
      </c>
      <c r="BG184" t="n">
        <v>0.028</v>
      </c>
      <c r="BH184" t="n">
        <v>0.057</v>
      </c>
      <c r="BI184" t="n">
        <v>0.043</v>
      </c>
      <c r="BJ184" t="inlineStr">
        <is>
          <t>DIRECT_BULLET</t>
        </is>
      </c>
      <c r="BK184" t="inlineStr">
        <is>
          <t>ok</t>
        </is>
      </c>
      <c r="BL184" t="inlineStr">
        <is>
          <t>family m2_browning_12_7_mm</t>
        </is>
      </c>
      <c r="BM184" t="inlineStr"/>
      <c r="BN184" t="inlineStr">
        <is>
          <t>Assets/MachineBrigade/Resources/Data/balance.json: weapons[id=mg_jeep_selfdef] (lớp B trên 01_chien_dau/Vu_khi)</t>
        </is>
      </c>
      <c r="BO184" t="inlineStr"/>
    </row>
    <row r="185">
      <c r="A185" t="inlineStr">
        <is>
          <t>mg_jeep_selfdef_api</t>
        </is>
      </c>
      <c r="B185" t="n">
        <v>0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100</v>
      </c>
      <c r="G185">
        <f>IF(Vu_khi!$S$185&gt;0,(Vu_khi!$S$185-1)*Vu_khi!$R$185+Vu_khi!$T$185,Vu_khi!$R$185+(Vu_khi!$P$185-1)*Vu_khi!$Q$185)</f>
        <v/>
      </c>
      <c r="H185" t="n">
        <v>16.11</v>
      </c>
      <c r="I185">
        <f>Vu_khi!$W$185*MAX(1,$E$185)</f>
        <v/>
      </c>
      <c r="J185" t="n">
        <v>950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58.96958410924891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1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1.2</v>
      </c>
      <c r="W185">
        <f>INDEX(Bang_sat_thuong!$C$2:$C$7,MATCH(Vu_khi!$K$185,Bang_sat_thuong!$A$2:$A$7,0))</f>
        <v/>
      </c>
      <c r="X185" t="n">
        <v>0.3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0.7</v>
      </c>
      <c r="AA185">
        <f>AND(Vu_khi!$K$185="Kinetic",NOT(Vu_khi!$AG$185))</f>
        <v/>
      </c>
      <c r="AB185" t="b">
        <v>1</v>
      </c>
      <c r="AC185">
        <f>IF(Vu_khi!$AG$185,INDEX(Bang_danh_noc!$C$2:$C$8,MIN(7,MAX(1,2-(Vu_khi!$L$185-0)+1))),INDEX(Bang_xuyen_giap!$C$2:$C$8,MIN(7,MAX(1,IF($O$185,MAX(1,2-(Vu_khi!$L$185-0)),2-(Vu_khi!$L$185-0))+1))))*IF($AA$185,INDEX(Bang_xuyen_qua!$C$2:$C$5,MIN(4,MAX(1,(Vu_khi!$L$185)-(0)-1))),1)</f>
        <v/>
      </c>
      <c r="AD185" t="n">
        <v>1.2</v>
      </c>
      <c r="AE185">
        <f>IF(Vu_khi!$AG$185,INDEX(Bang_danh_noc!$C$2:$C$8,MIN(7,MAX(1,2-(Vu_khi!$L$185-2)+1))),INDEX(Bang_xuyen_giap!$C$2:$C$8,MIN(7,MAX(1,IF($O$185,MAX(1,2-(Vu_khi!$L$185-2)),2-(Vu_khi!$L$185-2))+1))))*IF($AA$185,INDEX(Bang_xuyen_qua!$C$2:$C$5,MIN(4,MAX(1,(Vu_khi!$L$185)-(2)-1))),1)</f>
        <v/>
      </c>
      <c r="AF185" t="n">
        <v>0.85</v>
      </c>
      <c r="AG185">
        <f>IF(Vu_khi!$AG$185,INDEX(Bang_danh_noc!$C$2:$C$8,MIN(7,MAX(1,2-(Vu_khi!$L$185-4)+1))),INDEX(Bang_xuyen_giap!$C$2:$C$8,MIN(7,MAX(1,IF($O$185,MAX(1,2-(Vu_khi!$L$185-4)),2-(Vu_khi!$L$185-4))+1))))*IF($AA$185,INDEX(Bang_xuyen_qua!$C$2:$C$5,MIN(4,MAX(1,(Vu_khi!$L$185)-(4)-1))),1)</f>
        <v/>
      </c>
      <c r="AH185" t="n">
        <v>0.4</v>
      </c>
      <c r="AI185">
        <f>INDEX(Bang_xuyen_giap!$C$2:$C$8,MIN(7,MAX(1,MAX(1,2-(Vu_khi!$L$185-0))+1)))*IF($AA$185,INDEX(Bang_xuyen_qua!$C$2:$C$5,MIN(4,MAX(1,(Vu_khi!$L$185)-(0)-1))),1)</f>
        <v/>
      </c>
      <c r="AJ185" t="n">
        <v>1</v>
      </c>
      <c r="AK185">
        <f>IF($Q$185,$M$185*$AC$185*$U$185,0)</f>
        <v/>
      </c>
      <c r="AL185" t="n">
        <v>84.91620111731844</v>
      </c>
      <c r="AM185">
        <f>IF($Q$185,$M$185*$AE$185*$U$185,0)</f>
        <v/>
      </c>
      <c r="AN185" t="n">
        <v>60.14897579143389</v>
      </c>
      <c r="AO185">
        <f>IF($Q$185,$M$185*$AG$185*$U$185,0)</f>
        <v/>
      </c>
      <c r="AP185" t="n">
        <v>28.30540037243948</v>
      </c>
      <c r="AQ185">
        <f>IF($Q$185,$M$185*$AE$185*$Y$185,0)</f>
        <v/>
      </c>
      <c r="AR185" t="n">
        <v>35.0869025450031</v>
      </c>
      <c r="AS185">
        <f>IF($S$185,$M$185*$AI$185*$W$185,0)</f>
        <v/>
      </c>
      <c r="AT185" t="n">
        <v>17.69087523277467</v>
      </c>
      <c r="AU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V185" t="b">
        <v>0</v>
      </c>
      <c r="AW185">
        <f>IF(AND($B$185&lt;0,$AU$185),4,$B$185)</f>
        <v/>
      </c>
      <c r="AX185" t="n">
        <v>0</v>
      </c>
      <c r="AY185">
        <f>IF($AW$185&lt;4,0,MIN(MAX(0.5,Canh_bao_vong!$D$4),MAX(IF(Vu_khi!$C$185="cal_406",Canh_bao_vong!$D$7,IF($AW$185&gt;=5,Canh_bao_vong!$D$9,Canh_bao_vong!$D$8)),Canh_bao_vong!$D$2+MAX(0,Vu_khi!$X$185)/MAX(0.1,Canh_bao_vong!$D$5))))</f>
        <v/>
      </c>
      <c r="AZ185" t="n">
        <v>0</v>
      </c>
      <c r="BD185" t="n">
        <v>230</v>
      </c>
      <c r="BE185" t="n">
        <v>299</v>
      </c>
      <c r="BF185" t="n">
        <v>0.014</v>
      </c>
      <c r="BG185" t="n">
        <v>0.028</v>
      </c>
      <c r="BH185" t="n">
        <v>0.057</v>
      </c>
      <c r="BI185" t="n">
        <v>0.043</v>
      </c>
      <c r="BJ185" t="inlineStr">
        <is>
          <t>DIRECT_BULLET</t>
        </is>
      </c>
      <c r="BK185" t="inlineStr">
        <is>
          <t>ok</t>
        </is>
      </c>
      <c r="BL185" t="inlineStr">
        <is>
          <t>family m2_browning_12_7_mm_api</t>
        </is>
      </c>
      <c r="BM185" t="inlineStr"/>
      <c r="BN185" t="inlineStr">
        <is>
          <t>Assets/MachineBrigade/Resources/Data/balance.json: weapons[id=mg_jeep_selfdef_api] (lớp B trên 01_chien_dau/Vu_khi)</t>
        </is>
      </c>
      <c r="BO185" t="inlineStr"/>
    </row>
    <row r="186">
      <c r="A186" t="inlineStr">
        <is>
          <t>minigun</t>
        </is>
      </c>
      <c r="B186" t="n">
        <v>0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200</v>
      </c>
      <c r="G186">
        <f>IF(Vu_khi!$S$186&gt;0,(Vu_khi!$S$186-1)*Vu_khi!$R$186+Vu_khi!$T$186,Vu_khi!$R$186+(Vu_khi!$P$186-1)*Vu_khi!$Q$186)</f>
        <v/>
      </c>
      <c r="H186" t="n">
        <v>8</v>
      </c>
      <c r="I186">
        <f>Vu_khi!$W$186*MAX(1,$E$186)</f>
        <v/>
      </c>
      <c r="J186" t="n">
        <v>1100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137.5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1</v>
      </c>
      <c r="U186">
        <f>INDEX(Bang_sat_thuong!$B$2:$B$7,MATCH(Vu_khi!$K$186,Bang_sat_thuong!$A$2:$A$7,0))</f>
        <v/>
      </c>
      <c r="V186" t="n">
        <v>1.2</v>
      </c>
      <c r="W186">
        <f>INDEX(Bang_sat_thuong!$C$2:$C$7,MATCH(Vu_khi!$K$186,Bang_sat_thuong!$A$2:$A$7,0))</f>
        <v/>
      </c>
      <c r="X186" t="n">
        <v>0.3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0.7</v>
      </c>
      <c r="AA186">
        <f>AND(Vu_khi!$K$186="Kinetic",NOT(Vu_khi!$AG$186))</f>
        <v/>
      </c>
      <c r="AB186" t="b">
        <v>1</v>
      </c>
      <c r="AC186">
        <f>IF(Vu_khi!$AG$186,INDEX(Bang_danh_noc!$C$2:$C$8,MIN(7,MAX(1,2-(Vu_khi!$L$186-0)+1))),INDEX(Bang_xuyen_giap!$C$2:$C$8,MIN(7,MAX(1,IF($O$186,MAX(1,2-(Vu_khi!$L$186-0)),2-(Vu_khi!$L$186-0))+1))))*IF($AA$186,INDEX(Bang_xuyen_qua!$C$2:$C$5,MIN(4,MAX(1,(Vu_khi!$L$186)-(0)-1))),1)</f>
        <v/>
      </c>
      <c r="AD186" t="n">
        <v>0.85</v>
      </c>
      <c r="AE186">
        <f>IF(Vu_khi!$AG$186,INDEX(Bang_danh_noc!$C$2:$C$8,MIN(7,MAX(1,2-(Vu_khi!$L$186-2)+1))),INDEX(Bang_xuyen_giap!$C$2:$C$8,MIN(7,MAX(1,IF($O$186,MAX(1,2-(Vu_khi!$L$186-2)),2-(Vu_khi!$L$186-2))+1))))*IF($AA$186,INDEX(Bang_xuyen_qua!$C$2:$C$5,MIN(4,MAX(1,(Vu_khi!$L$186)-(2)-1))),1)</f>
        <v/>
      </c>
      <c r="AF186" t="n">
        <v>0.4</v>
      </c>
      <c r="AG186">
        <f>IF(Vu_khi!$AG$186,INDEX(Bang_danh_noc!$C$2:$C$8,MIN(7,MAX(1,2-(Vu_khi!$L$186-4)+1))),INDEX(Bang_xuyen_giap!$C$2:$C$8,MIN(7,MAX(1,IF($O$186,MAX(1,2-(Vu_khi!$L$186-4)),2-(Vu_khi!$L$186-4))+1))))*IF($AA$186,INDEX(Bang_xuyen_qua!$C$2:$C$5,MIN(4,MAX(1,(Vu_khi!$L$186)-(4)-1))),1)</f>
        <v/>
      </c>
      <c r="AH186" t="n">
        <v>0.08</v>
      </c>
      <c r="AI186">
        <f>INDEX(Bang_xuyen_giap!$C$2:$C$8,MIN(7,MAX(1,MAX(1,2-(Vu_khi!$L$186-0))+1)))*IF($AA$186,INDEX(Bang_xuyen_qua!$C$2:$C$5,MIN(4,MAX(1,(Vu_khi!$L$186)-(0)-1))),1)</f>
        <v/>
      </c>
      <c r="AJ186" t="n">
        <v>0.85</v>
      </c>
      <c r="AK186">
        <f>IF($Q$186,$M$186*$AC$186*$U$186,0)</f>
        <v/>
      </c>
      <c r="AL186" t="n">
        <v>140.25</v>
      </c>
      <c r="AM186">
        <f>IF($Q$186,$M$186*$AE$186*$U$186,0)</f>
        <v/>
      </c>
      <c r="AN186" t="n">
        <v>66</v>
      </c>
      <c r="AO186">
        <f>IF($Q$186,$M$186*$AG$186*$U$186,0)</f>
        <v/>
      </c>
      <c r="AP186" t="n">
        <v>13.2</v>
      </c>
      <c r="AQ186">
        <f>IF($Q$186,$M$186*$AE$186*$Y$186,0)</f>
        <v/>
      </c>
      <c r="AR186" t="n">
        <v>38.49999999999999</v>
      </c>
      <c r="AS186">
        <f>IF($S$186,$M$186*$AI$186*$W$186,0)</f>
        <v/>
      </c>
      <c r="AT186" t="n">
        <v>35.0625</v>
      </c>
      <c r="AU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V186" t="b">
        <v>0</v>
      </c>
      <c r="AW186">
        <f>IF(AND($B$186&lt;0,$AU$186),4,$B$186)</f>
        <v/>
      </c>
      <c r="AX186" t="n">
        <v>0</v>
      </c>
      <c r="AY186">
        <f>IF($AW$186&lt;4,0,MIN(MAX(0.5,Canh_bao_vong!$D$4),MAX(IF(Vu_khi!$C$186="cal_406",Canh_bao_vong!$D$7,IF($AW$186&gt;=5,Canh_bao_vong!$D$9,Canh_bao_vong!$D$8)),Canh_bao_vong!$D$2+MAX(0,Vu_khi!$X$186)/MAX(0.1,Canh_bao_vong!$D$5))))</f>
        <v/>
      </c>
      <c r="AZ186" t="n">
        <v>0</v>
      </c>
      <c r="BA186" t="n">
        <v>4</v>
      </c>
      <c r="BB186" t="inlineStr">
        <is>
          <t>ok</t>
        </is>
      </c>
      <c r="BC186" t="inlineStr"/>
      <c r="BD186" t="n">
        <v>240</v>
      </c>
      <c r="BE186" t="n">
        <v>312</v>
      </c>
      <c r="BF186" t="n">
        <v>0.025</v>
      </c>
      <c r="BG186" t="n">
        <v>0.05</v>
      </c>
      <c r="BH186" t="n">
        <v>0.1</v>
      </c>
      <c r="BI186" t="n">
        <v>0.077</v>
      </c>
      <c r="BJ186" t="inlineStr">
        <is>
          <t>DIRECT_BULLET</t>
        </is>
      </c>
      <c r="BK186" t="inlineStr">
        <is>
          <t>ok</t>
        </is>
      </c>
      <c r="BL186" t="inlineStr">
        <is>
          <t>own line</t>
        </is>
      </c>
      <c r="BM186" t="inlineStr"/>
      <c r="BN186" t="inlineStr">
        <is>
          <t>Assets/MachineBrigade/Resources/Data/balance.json: weapons[id=minigun] (lớp B trên 01_chien_dau/Vu_khi)</t>
        </is>
      </c>
      <c r="BO186" t="inlineStr"/>
    </row>
    <row r="187">
      <c r="A187" t="inlineStr">
        <is>
          <t>missile_57e6</t>
        </is>
      </c>
      <c r="B187" t="n">
        <v>2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1</v>
      </c>
      <c r="G187">
        <f>IF(Vu_khi!$S$187&gt;0,(Vu_khi!$S$187-1)*Vu_khi!$R$187+Vu_khi!$T$187,Vu_khi!$R$187+(Vu_khi!$P$187-1)*Vu_khi!$Q$187)</f>
        <v/>
      </c>
      <c r="H187" t="n">
        <v>4.452</v>
      </c>
      <c r="I187">
        <f>Vu_khi!$W$187*MAX(1,$E$187)</f>
        <v/>
      </c>
      <c r="J187" t="n">
        <v>220</v>
      </c>
      <c r="K187">
        <f>IF(Vu_khi!$V$187&gt;0,Vu_khi!$V$187,MIN(28,MAX(10,Vu_khi!$U$187*Vu_khi!$R$187*0.4)))</f>
        <v/>
      </c>
      <c r="L187" t="n">
        <v>10</v>
      </c>
      <c r="M187">
        <f>IF(Vu_khi!$W$187&lt;=0,0,IF(Vu_khi!$U$187&gt;0,$I$187*Vu_khi!$U$187/(MAX(0.05,$G$187)*Vu_khi!$U$187+$K$187),$I$187/MAX(0.05,$G$187)))</f>
        <v/>
      </c>
      <c r="N187" t="n">
        <v>49.41599281221923</v>
      </c>
      <c r="O187">
        <f>OR(Vu_khi!$AG$187,Vu_khi!$AB$187&gt;0,Vu_khi!$AH$187,Vu_khi!$M$187="Bomb",Vu_khi!$M$187="Drone")</f>
        <v/>
      </c>
      <c r="P187" t="b">
        <v>0</v>
      </c>
      <c r="Q187">
        <f>AND(NOT(Vu_khi!$AJ$187),OR(Vu_khi!$AC$187="Ground",Vu_khi!$AC$187="All"))</f>
        <v/>
      </c>
      <c r="R187" t="b">
        <v>0</v>
      </c>
      <c r="S187">
        <f>AND(NOT(Vu_khi!$AJ$187),OR(Vu_khi!$AC$187="Air",Vu_khi!$AC$187="All"))</f>
        <v/>
      </c>
      <c r="T187" t="b">
        <v>1</v>
      </c>
      <c r="U187">
        <f>INDEX(Bang_sat_thuong!$B$2:$B$7,MATCH(Vu_khi!$K$187,Bang_sat_thuong!$A$2:$A$7,0))</f>
        <v/>
      </c>
      <c r="V187" t="n">
        <v>0.45</v>
      </c>
      <c r="W187">
        <f>INDEX(Bang_sat_thuong!$C$2:$C$7,MATCH(Vu_khi!$K$187,Bang_sat_thuong!$A$2:$A$7,0))</f>
        <v/>
      </c>
      <c r="X187" t="n">
        <v>1.35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0.1</v>
      </c>
      <c r="AA187">
        <f>AND(Vu_khi!$K$187="Kinetic",NOT(Vu_khi!$AG$187))</f>
        <v/>
      </c>
      <c r="AB187" t="b">
        <v>0</v>
      </c>
      <c r="AC187">
        <f>IF(Vu_khi!$AG$187,INDEX(Bang_danh_noc!$C$2:$C$8,MIN(7,MAX(1,2-(Vu_khi!$L$187-0)+1))),INDEX(Bang_xuyen_giap!$C$2:$C$8,MIN(7,MAX(1,IF($O$187,MAX(1,2-(Vu_khi!$L$187-0)),2-(Vu_khi!$L$187-0))+1))))*IF($AA$187,INDEX(Bang_xuyen_qua!$C$2:$C$5,MIN(4,MAX(1,(Vu_khi!$L$187)-(0)-1))),1)</f>
        <v/>
      </c>
      <c r="AD187" t="n">
        <v>1.2</v>
      </c>
      <c r="AE187">
        <f>IF(Vu_khi!$AG$187,INDEX(Bang_danh_noc!$C$2:$C$8,MIN(7,MAX(1,2-(Vu_khi!$L$187-2)+1))),INDEX(Bang_xuyen_giap!$C$2:$C$8,MIN(7,MAX(1,IF($O$187,MAX(1,2-(Vu_khi!$L$187-2)),2-(Vu_khi!$L$187-2))+1))))*IF($AA$187,INDEX(Bang_xuyen_qua!$C$2:$C$5,MIN(4,MAX(1,(Vu_khi!$L$187)-(2)-1))),1)</f>
        <v/>
      </c>
      <c r="AF187" t="n">
        <v>1</v>
      </c>
      <c r="AG187">
        <f>IF(Vu_khi!$AG$187,INDEX(Bang_danh_noc!$C$2:$C$8,MIN(7,MAX(1,2-(Vu_khi!$L$187-4)+1))),INDEX(Bang_xuyen_giap!$C$2:$C$8,MIN(7,MAX(1,IF($O$187,MAX(1,2-(Vu_khi!$L$187-4)),2-(Vu_khi!$L$187-4))+1))))*IF($AA$187,INDEX(Bang_xuyen_qua!$C$2:$C$5,MIN(4,MAX(1,(Vu_khi!$L$187)-(4)-1))),1)</f>
        <v/>
      </c>
      <c r="AH187" t="n">
        <v>0.65</v>
      </c>
      <c r="AI187">
        <f>INDEX(Bang_xuyen_giap!$C$2:$C$8,MIN(7,MAX(1,MAX(1,2-(Vu_khi!$L$187-0))+1)))*IF($AA$187,INDEX(Bang_xuyen_qua!$C$2:$C$5,MIN(4,MAX(1,(Vu_khi!$L$187)-(0)-1))),1)</f>
        <v/>
      </c>
      <c r="AJ187" t="n">
        <v>1</v>
      </c>
      <c r="AK187">
        <f>IF($Q$187,$M$187*$AC$187*$U$187,0)</f>
        <v/>
      </c>
      <c r="AL187" t="n">
        <v>0</v>
      </c>
      <c r="AM187">
        <f>IF($Q$187,$M$187*$AE$187*$U$187,0)</f>
        <v/>
      </c>
      <c r="AN187" t="n">
        <v>0</v>
      </c>
      <c r="AO187">
        <f>IF($Q$187,$M$187*$AG$187*$U$187,0)</f>
        <v/>
      </c>
      <c r="AP187" t="n">
        <v>0</v>
      </c>
      <c r="AQ187">
        <f>IF($Q$187,$M$187*$AE$187*$Y$187,0)</f>
        <v/>
      </c>
      <c r="AR187" t="n">
        <v>0</v>
      </c>
      <c r="AS187">
        <f>IF($S$187,$M$187*$AI$187*$W$187,0)</f>
        <v/>
      </c>
      <c r="AT187" t="n">
        <v>66.71159029649597</v>
      </c>
      <c r="AU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V187" t="b">
        <v>0</v>
      </c>
      <c r="AW187">
        <f>IF(AND($B$187&lt;0,$AU$187),4,$B$187)</f>
        <v/>
      </c>
      <c r="AX187" t="n">
        <v>2</v>
      </c>
      <c r="AY187">
        <f>IF($AW$187&lt;4,0,MIN(MAX(0.5,Canh_bao_vong!$D$4),MAX(IF(Vu_khi!$C$187="cal_406",Canh_bao_vong!$D$7,IF($AW$187&gt;=5,Canh_bao_vong!$D$9,Canh_bao_vong!$D$8)),Canh_bao_vong!$D$2+MAX(0,Vu_khi!$X$187)/MAX(0.1,Canh_bao_vong!$D$5))))</f>
        <v/>
      </c>
      <c r="AZ187" t="n">
        <v>0</v>
      </c>
      <c r="BA187" t="n">
        <v>2.968</v>
      </c>
      <c r="BB187" t="inlineStr">
        <is>
          <t>ok</t>
        </is>
      </c>
      <c r="BC187" t="inlineStr"/>
      <c r="BD187" t="n">
        <v>130</v>
      </c>
      <c r="BE187" t="n">
        <v>169</v>
      </c>
      <c r="BF187" t="n">
        <v>0.106</v>
      </c>
      <c r="BG187" t="n">
        <v>0.212</v>
      </c>
      <c r="BH187" t="n">
        <v>0.423</v>
      </c>
      <c r="BI187" t="n">
        <v>0.325</v>
      </c>
      <c r="BJ187" t="inlineStr">
        <is>
          <t>AIR_DEFENCE_MISSILE</t>
        </is>
      </c>
      <c r="BK187" t="inlineStr">
        <is>
          <t>ok</t>
        </is>
      </c>
      <c r="BL187" t="inlineStr">
        <is>
          <t>own line</t>
        </is>
      </c>
      <c r="BM187" t="inlineStr"/>
      <c r="BN187" t="inlineStr">
        <is>
          <t>Assets/MachineBrigade/Resources/Data/balance.json: weapons[id=missile_57e6] (lớp B trên 01_chien_dau/Vu_khi)</t>
        </is>
      </c>
      <c r="BO187" t="inlineStr"/>
    </row>
    <row r="188">
      <c r="A188" t="inlineStr">
        <is>
          <t>mlrs_elite</t>
        </is>
      </c>
      <c r="B188" t="n">
        <v>4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5</v>
      </c>
      <c r="G188">
        <f>IF(Vu_khi!$S$188&gt;0,(Vu_khi!$S$188-1)*Vu_khi!$R$188+Vu_khi!$T$188,Vu_khi!$R$188+(Vu_khi!$P$188-1)*Vu_khi!$Q$188)</f>
        <v/>
      </c>
      <c r="H188" t="n">
        <v>10.246</v>
      </c>
      <c r="I188">
        <f>Vu_khi!$W$188*MAX(1,$E$188)</f>
        <v/>
      </c>
      <c r="J188" t="n">
        <v>525</v>
      </c>
      <c r="K188">
        <f>IF(Vu_khi!$V$188&gt;0,Vu_khi!$V$188,MIN(28,MAX(10,Vu_khi!$U$188*Vu_khi!$R$188*0.4)))</f>
        <v/>
      </c>
      <c r="L188" t="n">
        <v>19.93</v>
      </c>
      <c r="M188">
        <f>IF(Vu_khi!$W$188&lt;=0,0,IF(Vu_khi!$U$188&gt;0,$I$188*Vu_khi!$U$188/(MAX(0.05,$G$188)*Vu_khi!$U$188+$K$188),$I$188/MAX(0.05,$G$188)))</f>
        <v/>
      </c>
      <c r="N188" t="n">
        <v>38.69493649116772</v>
      </c>
      <c r="O188">
        <f>OR(Vu_khi!$AG$188,Vu_khi!$AB$188&gt;0,Vu_khi!$AH$188,Vu_khi!$M$188="Bomb",Vu_khi!$M$188="Drone")</f>
        <v/>
      </c>
      <c r="P188" t="b">
        <v>1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1.6</v>
      </c>
      <c r="AA188">
        <f>AND(Vu_khi!$K$188="Kinetic",NOT(Vu_khi!$AG$188))</f>
        <v/>
      </c>
      <c r="AB188" t="b">
        <v>0</v>
      </c>
      <c r="AC188">
        <f>IF(Vu_khi!$AG$188,INDEX(Bang_danh_noc!$C$2:$C$8,MIN(7,MAX(1,2-(Vu_khi!$L$188-0)+1))),INDEX(Bang_xuyen_giap!$C$2:$C$8,MIN(7,MAX(1,IF($O$188,MAX(1,2-(Vu_khi!$L$188-0)),2-(Vu_khi!$L$188-0))+1))))*IF($AA$188,INDEX(Bang_xuyen_qua!$C$2:$C$5,MIN(4,MAX(1,(Vu_khi!$L$188)-(0)-1))),1)</f>
        <v/>
      </c>
      <c r="AD188" t="n">
        <v>1</v>
      </c>
      <c r="AE188">
        <f>IF(Vu_khi!$AG$188,INDEX(Bang_danh_noc!$C$2:$C$8,MIN(7,MAX(1,2-(Vu_khi!$L$188-2)+1))),INDEX(Bang_xuyen_giap!$C$2:$C$8,MIN(7,MAX(1,IF($O$188,MAX(1,2-(Vu_khi!$L$188-2)),2-(Vu_khi!$L$188-2))+1))))*IF($AA$188,INDEX(Bang_xuyen_qua!$C$2:$C$5,MIN(4,MAX(1,(Vu_khi!$L$188)-(2)-1))),1)</f>
        <v/>
      </c>
      <c r="AF188" t="n">
        <v>1</v>
      </c>
      <c r="AG188">
        <f>IF(Vu_khi!$AG$188,INDEX(Bang_danh_noc!$C$2:$C$8,MIN(7,MAX(1,2-(Vu_khi!$L$188-4)+1))),INDEX(Bang_xuyen_giap!$C$2:$C$8,MIN(7,MAX(1,IF($O$188,MAX(1,2-(Vu_khi!$L$188-4)),2-(Vu_khi!$L$188-4))+1))))*IF($AA$188,INDEX(Bang_xuyen_qua!$C$2:$C$5,MIN(4,MAX(1,(Vu_khi!$L$188)-(4)-1))),1)</f>
        <v/>
      </c>
      <c r="AH188" t="n">
        <v>0.65</v>
      </c>
      <c r="AI188">
        <f>INDEX(Bang_xuyen_giap!$C$2:$C$8,MIN(7,MAX(1,MAX(1,2-(Vu_khi!$L$188-0))+1)))*IF($AA$188,INDEX(Bang_xuyen_qua!$C$2:$C$5,MIN(4,MAX(1,(Vu_khi!$L$188)-(0)-1))),1)</f>
        <v/>
      </c>
      <c r="AJ188" t="n">
        <v>1</v>
      </c>
      <c r="AK188">
        <f>IF($Q$188,$M$188*$AC$188*$U$188,0)</f>
        <v/>
      </c>
      <c r="AL188" t="n">
        <v>38.69493649116772</v>
      </c>
      <c r="AM188">
        <f>IF($Q$188,$M$188*$AE$188*$U$188,0)</f>
        <v/>
      </c>
      <c r="AN188" t="n">
        <v>38.69493649116772</v>
      </c>
      <c r="AO188">
        <f>IF($Q$188,$M$188*$AG$188*$U$188,0)</f>
        <v/>
      </c>
      <c r="AP188" t="n">
        <v>25.15170871925902</v>
      </c>
      <c r="AQ188">
        <f>IF($Q$188,$M$188*$AE$188*$Y$188,0)</f>
        <v/>
      </c>
      <c r="AR188" t="n">
        <v>61.91189838586836</v>
      </c>
      <c r="AS188">
        <f>IF($S$188,$M$188*$AI$188*$W$188,0)</f>
        <v/>
      </c>
      <c r="AT188" t="n">
        <v>0</v>
      </c>
      <c r="AU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V188" t="b">
        <v>1</v>
      </c>
      <c r="AW188">
        <f>IF(AND($B$188&lt;0,$AU$188),4,$B$188)</f>
        <v/>
      </c>
      <c r="AX188" t="n">
        <v>4</v>
      </c>
      <c r="AY188">
        <f>IF($AW$188&lt;4,0,MIN(MAX(0.5,Canh_bao_vong!$D$4),MAX(IF(Vu_khi!$C$188="cal_406",Canh_bao_vong!$D$7,IF($AW$188&gt;=5,Canh_bao_vong!$D$9,Canh_bao_vong!$D$8)),Canh_bao_vong!$D$2+MAX(0,Vu_khi!$X$188)/MAX(0.1,Canh_bao_vong!$D$5))))</f>
        <v/>
      </c>
      <c r="AZ188" t="n">
        <v>2.5</v>
      </c>
      <c r="BA188" t="n">
        <v>0.028</v>
      </c>
      <c r="BB188" t="inlineStr">
        <is>
          <t>NHANH_QUA</t>
        </is>
      </c>
      <c r="BC188" t="inlineStr"/>
      <c r="BD188" t="n">
        <v>85</v>
      </c>
      <c r="BE188" t="n">
        <v>110.5</v>
      </c>
      <c r="BF188" t="n">
        <v>0.235</v>
      </c>
      <c r="BG188" t="n">
        <v>0.441</v>
      </c>
      <c r="BH188" t="n">
        <v>0.882</v>
      </c>
      <c r="BI188" t="n">
        <v>0.679</v>
      </c>
      <c r="BJ188" t="inlineStr">
        <is>
          <t>ROCKET_ARTILLERY</t>
        </is>
      </c>
      <c r="BK188" t="inlineStr">
        <is>
          <t>ok</t>
        </is>
      </c>
      <c r="BL188" t="inlineStr">
        <is>
          <t>own line</t>
        </is>
      </c>
      <c r="BM188" t="n">
        <v>11.9</v>
      </c>
      <c r="BN188" t="inlineStr">
        <is>
          <t>Assets/MachineBrigade/Resources/Data/balance.json: weapons[id=mlrs_elite] (lớp B trên 01_chien_dau/Vu_khi)</t>
        </is>
      </c>
      <c r="BO188" t="inlineStr"/>
    </row>
    <row r="189">
      <c r="A189" t="inlineStr">
        <is>
          <t>mlrs_rockets</t>
        </is>
      </c>
      <c r="B189" t="n">
        <v>4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5</v>
      </c>
      <c r="G189">
        <f>IF(Vu_khi!$S$189&gt;0,(Vu_khi!$S$189-1)*Vu_khi!$R$189+Vu_khi!$T$189,Vu_khi!$R$189+(Vu_khi!$P$189-1)*Vu_khi!$Q$189)</f>
        <v/>
      </c>
      <c r="H189" t="n">
        <v>11.144</v>
      </c>
      <c r="I189">
        <f>Vu_khi!$W$189*MAX(1,$E$189)</f>
        <v/>
      </c>
      <c r="J189" t="n">
        <v>500</v>
      </c>
      <c r="K189">
        <f>IF(Vu_khi!$V$189&gt;0,Vu_khi!$V$189,MIN(28,MAX(10,Vu_khi!$U$189*Vu_khi!$R$189*0.4)))</f>
        <v/>
      </c>
      <c r="L189" t="n">
        <v>15.53</v>
      </c>
      <c r="M189">
        <f>IF(Vu_khi!$W$189&lt;=0,0,IF(Vu_khi!$U$189&gt;0,$I$189*Vu_khi!$U$189/(MAX(0.05,$G$189)*Vu_khi!$U$189+$K$189),$I$189/MAX(0.05,$G$189)))</f>
        <v/>
      </c>
      <c r="N189" t="n">
        <v>33.27454829800686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1.6</v>
      </c>
      <c r="AA189">
        <f>AND(Vu_khi!$K$189="Kinetic",NOT(Vu_khi!$AG$189))</f>
        <v/>
      </c>
      <c r="AB189" t="b">
        <v>0</v>
      </c>
      <c r="AC189">
        <f>IF(Vu_khi!$AG$189,INDEX(Bang_danh_noc!$C$2:$C$8,MIN(7,MAX(1,2-(Vu_khi!$L$189-0)+1))),INDEX(Bang_xuyen_giap!$C$2:$C$8,MIN(7,MAX(1,IF($O$189,MAX(1,2-(Vu_khi!$L$189-0)),2-(Vu_khi!$L$189-0))+1))))*IF($AA$189,INDEX(Bang_xuyen_qua!$C$2:$C$5,MIN(4,MAX(1,(Vu_khi!$L$189)-(0)-1))),1)</f>
        <v/>
      </c>
      <c r="AD189" t="n">
        <v>1</v>
      </c>
      <c r="AE189">
        <f>IF(Vu_khi!$AG$189,INDEX(Bang_danh_noc!$C$2:$C$8,MIN(7,MAX(1,2-(Vu_khi!$L$189-2)+1))),INDEX(Bang_xuyen_giap!$C$2:$C$8,MIN(7,MAX(1,IF($O$189,MAX(1,2-(Vu_khi!$L$189-2)),2-(Vu_khi!$L$189-2))+1))))*IF($AA$189,INDEX(Bang_xuyen_qua!$C$2:$C$5,MIN(4,MAX(1,(Vu_khi!$L$189)-(2)-1))),1)</f>
        <v/>
      </c>
      <c r="AF189" t="n">
        <v>1</v>
      </c>
      <c r="AG189">
        <f>IF(Vu_khi!$AG$189,INDEX(Bang_danh_noc!$C$2:$C$8,MIN(7,MAX(1,2-(Vu_khi!$L$189-4)+1))),INDEX(Bang_xuyen_giap!$C$2:$C$8,MIN(7,MAX(1,IF($O$189,MAX(1,2-(Vu_khi!$L$189-4)),2-(Vu_khi!$L$189-4))+1))))*IF($AA$189,INDEX(Bang_xuyen_qua!$C$2:$C$5,MIN(4,MAX(1,(Vu_khi!$L$189)-(4)-1))),1)</f>
        <v/>
      </c>
      <c r="AH189" t="n">
        <v>0.65</v>
      </c>
      <c r="AI189">
        <f>INDEX(Bang_xuyen_giap!$C$2:$C$8,MIN(7,MAX(1,MAX(1,2-(Vu_khi!$L$189-0))+1)))*IF($AA$189,INDEX(Bang_xuyen_qua!$C$2:$C$5,MIN(4,MAX(1,(Vu_khi!$L$189)-(0)-1))),1)</f>
        <v/>
      </c>
      <c r="AJ189" t="n">
        <v>1</v>
      </c>
      <c r="AK189">
        <f>IF($Q$189,$M$189*$AC$189*$U$189,0)</f>
        <v/>
      </c>
      <c r="AL189" t="n">
        <v>33.27454829800686</v>
      </c>
      <c r="AM189">
        <f>IF($Q$189,$M$189*$AE$189*$U$189,0)</f>
        <v/>
      </c>
      <c r="AN189" t="n">
        <v>33.27454829800686</v>
      </c>
      <c r="AO189">
        <f>IF($Q$189,$M$189*$AG$189*$U$189,0)</f>
        <v/>
      </c>
      <c r="AP189" t="n">
        <v>21.62845639370446</v>
      </c>
      <c r="AQ189">
        <f>IF($Q$189,$M$189*$AE$189*$Y$189,0)</f>
        <v/>
      </c>
      <c r="AR189" t="n">
        <v>53.23927727681097</v>
      </c>
      <c r="AS189">
        <f>IF($S$189,$M$189*$AI$189*$W$189,0)</f>
        <v/>
      </c>
      <c r="AT189" t="n">
        <v>0</v>
      </c>
      <c r="AU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V189" t="b">
        <v>1</v>
      </c>
      <c r="AW189">
        <f>IF(AND($B$189&lt;0,$AU$189),4,$B$189)</f>
        <v/>
      </c>
      <c r="AX189" t="n">
        <v>4</v>
      </c>
      <c r="AY189">
        <f>IF($AW$189&lt;4,0,MIN(MAX(0.5,Canh_bao_vong!$D$4),MAX(IF(Vu_khi!$C$189="cal_406",Canh_bao_vong!$D$7,IF($AW$189&gt;=5,Canh_bao_vong!$D$9,Canh_bao_vong!$D$8)),Canh_bao_vong!$D$2+MAX(0,Vu_khi!$X$189)/MAX(0.1,Canh_bao_vong!$D$5))))</f>
        <v/>
      </c>
      <c r="AZ189" t="n">
        <v>2.5</v>
      </c>
      <c r="BA189" t="n">
        <v>0.06</v>
      </c>
      <c r="BB189" t="inlineStr">
        <is>
          <t>NHANH_QUA</t>
        </is>
      </c>
      <c r="BC189" t="inlineStr"/>
      <c r="BD189" t="n">
        <v>85</v>
      </c>
      <c r="BE189" t="n">
        <v>110.5</v>
      </c>
      <c r="BF189" t="n">
        <v>0.235</v>
      </c>
      <c r="BG189" t="n">
        <v>0.647</v>
      </c>
      <c r="BH189" t="n">
        <v>1.294</v>
      </c>
      <c r="BI189" t="n">
        <v>0.995</v>
      </c>
      <c r="BJ189" t="inlineStr">
        <is>
          <t>ROCKET_ARTILLERY</t>
        </is>
      </c>
      <c r="BK189" t="inlineStr">
        <is>
          <t>ok</t>
        </is>
      </c>
      <c r="BL189" t="inlineStr">
        <is>
          <t>family m31_gmlrs_227_mm</t>
        </is>
      </c>
      <c r="BM189" t="n">
        <v>25.5</v>
      </c>
      <c r="BN189" t="inlineStr">
        <is>
          <t>Assets/MachineBrigade/Resources/Data/balance.json: weapons[id=mlrs_rockets] (lớp B trên 01_chien_dau/Vu_khi)</t>
        </is>
      </c>
      <c r="BO189" t="inlineStr"/>
    </row>
    <row r="190">
      <c r="A190" t="inlineStr">
        <is>
          <t>mortar_120</t>
        </is>
      </c>
      <c r="B190" t="n">
        <v>3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1</v>
      </c>
      <c r="G190">
        <f>IF(Vu_khi!$S$190&gt;0,(Vu_khi!$S$190-1)*Vu_khi!$R$190+Vu_khi!$T$190,Vu_khi!$R$190+(Vu_khi!$P$190-1)*Vu_khi!$Q$190)</f>
        <v/>
      </c>
      <c r="H190" t="n">
        <v>7.143</v>
      </c>
      <c r="I190">
        <f>Vu_khi!$W$190*MAX(1,$E$190)</f>
        <v/>
      </c>
      <c r="J190" t="n">
        <v>214</v>
      </c>
      <c r="K190">
        <f>IF(Vu_khi!$V$190&gt;0,Vu_khi!$V$190,MIN(28,MAX(10,Vu_khi!$U$190*Vu_khi!$R$190*0.4)))</f>
        <v/>
      </c>
      <c r="L190" t="n">
        <v>35.73</v>
      </c>
      <c r="M190">
        <f>IF(Vu_khi!$W$190&lt;=0,0,IF(Vu_khi!$U$190&gt;0,$I$190*Vu_khi!$U$190/(MAX(0.05,$G$190)*Vu_khi!$U$190+$K$190),$I$190/MAX(0.05,$G$190)))</f>
        <v/>
      </c>
      <c r="N190" t="n">
        <v>23.44434706397897</v>
      </c>
      <c r="O190">
        <f>OR(Vu_khi!$AG$190,Vu_khi!$AB$190&gt;0,Vu_khi!$AH$190,Vu_khi!$M$190="Bomb",Vu_khi!$M$190="Drone")</f>
        <v/>
      </c>
      <c r="P190" t="b">
        <v>1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1.6</v>
      </c>
      <c r="AA190">
        <f>AND(Vu_khi!$K$190="Kinetic",NOT(Vu_khi!$AG$190))</f>
        <v/>
      </c>
      <c r="AB190" t="b">
        <v>0</v>
      </c>
      <c r="AC190">
        <f>IF(Vu_khi!$AG$190,INDEX(Bang_danh_noc!$C$2:$C$8,MIN(7,MAX(1,2-(Vu_khi!$L$190-0)+1))),INDEX(Bang_xuyen_giap!$C$2:$C$8,MIN(7,MAX(1,IF($O$190,MAX(1,2-(Vu_khi!$L$190-0)),2-(Vu_khi!$L$190-0))+1))))*IF($AA$190,INDEX(Bang_xuyen_qua!$C$2:$C$5,MIN(4,MAX(1,(Vu_khi!$L$190)-(0)-1))),1)</f>
        <v/>
      </c>
      <c r="AD190" t="n">
        <v>1</v>
      </c>
      <c r="AE190">
        <f>IF(Vu_khi!$AG$190,INDEX(Bang_danh_noc!$C$2:$C$8,MIN(7,MAX(1,2-(Vu_khi!$L$190-2)+1))),INDEX(Bang_xuyen_giap!$C$2:$C$8,MIN(7,MAX(1,IF($O$190,MAX(1,2-(Vu_khi!$L$190-2)),2-(Vu_khi!$L$190-2))+1))))*IF($AA$190,INDEX(Bang_xuyen_qua!$C$2:$C$5,MIN(4,MAX(1,(Vu_khi!$L$190)-(2)-1))),1)</f>
        <v/>
      </c>
      <c r="AF190" t="n">
        <v>0.85</v>
      </c>
      <c r="AG190">
        <f>IF(Vu_khi!$AG$190,INDEX(Bang_danh_noc!$C$2:$C$8,MIN(7,MAX(1,2-(Vu_khi!$L$190-4)+1))),INDEX(Bang_xuyen_giap!$C$2:$C$8,MIN(7,MAX(1,IF($O$190,MAX(1,2-(Vu_khi!$L$190-4)),2-(Vu_khi!$L$190-4))+1))))*IF($AA$190,INDEX(Bang_xuyen_qua!$C$2:$C$5,MIN(4,MAX(1,(Vu_khi!$L$190)-(4)-1))),1)</f>
        <v/>
      </c>
      <c r="AH190" t="n">
        <v>0.4</v>
      </c>
      <c r="AI190">
        <f>INDEX(Bang_xuyen_giap!$C$2:$C$8,MIN(7,MAX(1,MAX(1,2-(Vu_khi!$L$190-0))+1)))*IF($AA$190,INDEX(Bang_xuyen_qua!$C$2:$C$5,MIN(4,MAX(1,(Vu_khi!$L$190)-(0)-1))),1)</f>
        <v/>
      </c>
      <c r="AJ190" t="n">
        <v>1</v>
      </c>
      <c r="AK190">
        <f>IF($Q$190,$M$190*$AC$190*$U$190,0)</f>
        <v/>
      </c>
      <c r="AL190" t="n">
        <v>23.44434706397897</v>
      </c>
      <c r="AM190">
        <f>IF($Q$190,$M$190*$AE$190*$U$190,0)</f>
        <v/>
      </c>
      <c r="AN190" t="n">
        <v>19.92769500438212</v>
      </c>
      <c r="AO190">
        <f>IF($Q$190,$M$190*$AG$190*$U$190,0)</f>
        <v/>
      </c>
      <c r="AP190" t="n">
        <v>9.377738825591589</v>
      </c>
      <c r="AQ190">
        <f>IF($Q$190,$M$190*$AE$190*$Y$190,0)</f>
        <v/>
      </c>
      <c r="AR190" t="n">
        <v>31.8843120070114</v>
      </c>
      <c r="AS190">
        <f>IF($S$190,$M$190*$AI$190*$W$190,0)</f>
        <v/>
      </c>
      <c r="AT190" t="n">
        <v>0</v>
      </c>
      <c r="AU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V190" t="b">
        <v>0</v>
      </c>
      <c r="AW190">
        <f>IF(AND($B$190&lt;0,$AU$190),4,$B$190)</f>
        <v/>
      </c>
      <c r="AX190" t="n">
        <v>3</v>
      </c>
      <c r="AY190">
        <f>IF($AW$190&lt;4,0,MIN(MAX(0.5,Canh_bao_vong!$D$4),MAX(IF(Vu_khi!$C$190="cal_406",Canh_bao_vong!$D$7,IF($AW$190&gt;=5,Canh_bao_vong!$D$9,Canh_bao_vong!$D$8)),Canh_bao_vong!$D$2+MAX(0,Vu_khi!$X$190)/MAX(0.1,Canh_bao_vong!$D$5))))</f>
        <v/>
      </c>
      <c r="AZ190" t="n">
        <v>0</v>
      </c>
      <c r="BA190" t="n">
        <v>1.5974</v>
      </c>
      <c r="BB190" t="inlineStr">
        <is>
          <t>LECH_DOT_1</t>
        </is>
      </c>
      <c r="BC190" t="inlineStr"/>
      <c r="BD190" t="n">
        <v>45</v>
      </c>
      <c r="BE190" t="n">
        <v>58.5</v>
      </c>
      <c r="BF190" t="n">
        <v>0.222</v>
      </c>
      <c r="BG190" t="n">
        <v>0.611</v>
      </c>
      <c r="BH190" t="n">
        <v>1.222</v>
      </c>
      <c r="BI190" t="n">
        <v>0.9399999999999999</v>
      </c>
      <c r="BJ190" t="inlineStr">
        <is>
          <t>MORTAR</t>
        </is>
      </c>
      <c r="BK190" t="inlineStr">
        <is>
          <t>ok</t>
        </is>
      </c>
      <c r="BL190" t="inlineStr">
        <is>
          <t>family 2b11_120_mm</t>
        </is>
      </c>
      <c r="BM190" t="inlineStr"/>
      <c r="BN190" t="inlineStr">
        <is>
          <t>Assets/MachineBrigade/Resources/Data/balance.json: weapons[id=mortar_120] (lớp B trên 01_chien_dau/Vu_khi)</t>
        </is>
      </c>
      <c r="BO190" t="inlineStr"/>
    </row>
    <row r="191">
      <c r="A191" t="inlineStr">
        <is>
          <t>mortar_240</t>
        </is>
      </c>
      <c r="B191" t="n">
        <v>4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1</v>
      </c>
      <c r="G191">
        <f>IF(Vu_khi!$S$191&gt;0,(Vu_khi!$S$191-1)*Vu_khi!$R$191+Vu_khi!$T$191,Vu_khi!$R$191+(Vu_khi!$P$191-1)*Vu_khi!$Q$191)</f>
        <v/>
      </c>
      <c r="H191" t="n">
        <v>14.2</v>
      </c>
      <c r="I191">
        <f>Vu_khi!$W$191*MAX(1,$E$191)</f>
        <v/>
      </c>
      <c r="J191" t="n">
        <v>450</v>
      </c>
      <c r="K191">
        <f>IF(Vu_khi!$V$191&gt;0,Vu_khi!$V$191,MIN(28,MAX(10,Vu_khi!$U$191*Vu_khi!$R$191*0.4)))</f>
        <v/>
      </c>
      <c r="L191" t="n">
        <v>23.2</v>
      </c>
      <c r="M191">
        <f>IF(Vu_khi!$W$191&lt;=0,0,IF(Vu_khi!$U$191&gt;0,$I$191*Vu_khi!$U$191/(MAX(0.05,$G$191)*Vu_khi!$U$191+$K$191),$I$191/MAX(0.05,$G$191)))</f>
        <v/>
      </c>
      <c r="N191" t="n">
        <v>26.31578947368421</v>
      </c>
      <c r="O191">
        <f>OR(Vu_khi!$AG$191,Vu_khi!$AB$191&gt;0,Vu_khi!$AH$191,Vu_khi!$M$191="Bomb",Vu_khi!$M$191="Drone")</f>
        <v/>
      </c>
      <c r="P191" t="b">
        <v>1</v>
      </c>
      <c r="Q191">
        <f>AND(NOT(Vu_khi!$AJ$191),OR(Vu_khi!$AC$191="Ground",Vu_khi!$AC$191="All"))</f>
        <v/>
      </c>
      <c r="R191" t="b">
        <v>1</v>
      </c>
      <c r="S191">
        <f>AND(NOT(Vu_khi!$AJ$191),OR(Vu_khi!$AC$191="Air",Vu_khi!$AC$191="All"))</f>
        <v/>
      </c>
      <c r="T191" t="b">
        <v>0</v>
      </c>
      <c r="U191">
        <f>INDEX(Bang_sat_thuong!$B$2:$B$7,MATCH(Vu_khi!$K$191,Bang_sat_thuong!$A$2:$A$7,0))</f>
        <v/>
      </c>
      <c r="V191" t="n">
        <v>1</v>
      </c>
      <c r="W191">
        <f>INDEX(Bang_sat_thuong!$C$2:$C$7,MATCH(Vu_khi!$K$191,Bang_sat_thuong!$A$2:$A$7,0))</f>
        <v/>
      </c>
      <c r="X191" t="n">
        <v>0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1.6</v>
      </c>
      <c r="AA191">
        <f>AND(Vu_khi!$K$191="Kinetic",NOT(Vu_khi!$AG$191))</f>
        <v/>
      </c>
      <c r="AB191" t="b">
        <v>0</v>
      </c>
      <c r="AC191">
        <f>IF(Vu_khi!$AG$191,INDEX(Bang_danh_noc!$C$2:$C$8,MIN(7,MAX(1,2-(Vu_khi!$L$191-0)+1))),INDEX(Bang_xuyen_giap!$C$2:$C$8,MIN(7,MAX(1,IF($O$191,MAX(1,2-(Vu_khi!$L$191-0)),2-(Vu_khi!$L$191-0))+1))))*IF($AA$191,INDEX(Bang_xuyen_qua!$C$2:$C$5,MIN(4,MAX(1,(Vu_khi!$L$191)-(0)-1))),1)</f>
        <v/>
      </c>
      <c r="AD191" t="n">
        <v>1</v>
      </c>
      <c r="AE191">
        <f>IF(Vu_khi!$AG$191,INDEX(Bang_danh_noc!$C$2:$C$8,MIN(7,MAX(1,2-(Vu_khi!$L$191-2)+1))),INDEX(Bang_xuyen_giap!$C$2:$C$8,MIN(7,MAX(1,IF($O$191,MAX(1,2-(Vu_khi!$L$191-2)),2-(Vu_khi!$L$191-2))+1))))*IF($AA$191,INDEX(Bang_xuyen_qua!$C$2:$C$5,MIN(4,MAX(1,(Vu_khi!$L$191)-(2)-1))),1)</f>
        <v/>
      </c>
      <c r="AF191" t="n">
        <v>1</v>
      </c>
      <c r="AG191">
        <f>IF(Vu_khi!$AG$191,INDEX(Bang_danh_noc!$C$2:$C$8,MIN(7,MAX(1,2-(Vu_khi!$L$191-4)+1))),INDEX(Bang_xuyen_giap!$C$2:$C$8,MIN(7,MAX(1,IF($O$191,MAX(1,2-(Vu_khi!$L$191-4)),2-(Vu_khi!$L$191-4))+1))))*IF($AA$191,INDEX(Bang_xuyen_qua!$C$2:$C$5,MIN(4,MAX(1,(Vu_khi!$L$191)-(4)-1))),1)</f>
        <v/>
      </c>
      <c r="AH191" t="n">
        <v>0.85</v>
      </c>
      <c r="AI191">
        <f>INDEX(Bang_xuyen_giap!$C$2:$C$8,MIN(7,MAX(1,MAX(1,2-(Vu_khi!$L$191-0))+1)))*IF($AA$191,INDEX(Bang_xuyen_qua!$C$2:$C$5,MIN(4,MAX(1,(Vu_khi!$L$191)-(0)-1))),1)</f>
        <v/>
      </c>
      <c r="AJ191" t="n">
        <v>1</v>
      </c>
      <c r="AK191">
        <f>IF($Q$191,$M$191*$AC$191*$U$191,0)</f>
        <v/>
      </c>
      <c r="AL191" t="n">
        <v>26.31578947368421</v>
      </c>
      <c r="AM191">
        <f>IF($Q$191,$M$191*$AE$191*$U$191,0)</f>
        <v/>
      </c>
      <c r="AN191" t="n">
        <v>26.31578947368421</v>
      </c>
      <c r="AO191">
        <f>IF($Q$191,$M$191*$AG$191*$U$191,0)</f>
        <v/>
      </c>
      <c r="AP191" t="n">
        <v>22.36842105263158</v>
      </c>
      <c r="AQ191">
        <f>IF($Q$191,$M$191*$AE$191*$Y$191,0)</f>
        <v/>
      </c>
      <c r="AR191" t="n">
        <v>42.10526315789474</v>
      </c>
      <c r="AS191">
        <f>IF($S$191,$M$191*$AI$191*$W$191,0)</f>
        <v/>
      </c>
      <c r="AT191" t="n">
        <v>0</v>
      </c>
      <c r="AU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V191" t="b">
        <v>1</v>
      </c>
      <c r="AW191">
        <f>IF(AND($B$191&lt;0,$AU$191),4,$B$191)</f>
        <v/>
      </c>
      <c r="AX191" t="n">
        <v>4</v>
      </c>
      <c r="AY191">
        <f>IF($AW$191&lt;4,0,MIN(MAX(0.5,Canh_bao_vong!$D$4),MAX(IF(Vu_khi!$C$191="cal_406",Canh_bao_vong!$D$7,IF($AW$191&gt;=5,Canh_bao_vong!$D$9,Canh_bao_vong!$D$8)),Canh_bao_vong!$D$2+MAX(0,Vu_khi!$X$191)/MAX(0.1,Canh_bao_vong!$D$5))))</f>
        <v/>
      </c>
      <c r="AZ191" t="n">
        <v>2.5</v>
      </c>
      <c r="BA191" t="n">
        <v>0.1995</v>
      </c>
      <c r="BB191" t="inlineStr">
        <is>
          <t>NHANH_QUA</t>
        </is>
      </c>
      <c r="BC191" t="inlineStr"/>
      <c r="BD191" t="n">
        <v>40</v>
      </c>
      <c r="BE191" t="n">
        <v>52</v>
      </c>
      <c r="BF191" t="n">
        <v>0.5</v>
      </c>
      <c r="BG191" t="n">
        <v>1.062</v>
      </c>
      <c r="BH191" t="n">
        <v>2.125</v>
      </c>
      <c r="BI191" t="n">
        <v>1.635</v>
      </c>
      <c r="BJ191" t="inlineStr">
        <is>
          <t>MORTAR</t>
        </is>
      </c>
      <c r="BK191" t="inlineStr">
        <is>
          <t>ok</t>
        </is>
      </c>
      <c r="BL191" t="inlineStr">
        <is>
          <t>family 2b8_240_mm</t>
        </is>
      </c>
      <c r="BM191" t="inlineStr"/>
      <c r="BN191" t="inlineStr">
        <is>
          <t>Assets/MachineBrigade/Resources/Data/balance.json: weapons[id=mortar_240] (lớp B trên 01_chien_dau/Vu_khi)</t>
        </is>
      </c>
      <c r="BO191" t="inlineStr"/>
    </row>
    <row r="192">
      <c r="A192" t="inlineStr">
        <is>
          <t>mothership_cannon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4</v>
      </c>
      <c r="G192">
        <f>IF(Vu_khi!$S$192&gt;0,(Vu_khi!$S$192-1)*Vu_khi!$R$192+Vu_khi!$T$192,Vu_khi!$R$192+(Vu_khi!$P$192-1)*Vu_khi!$Q$192)</f>
        <v/>
      </c>
      <c r="H192" t="n">
        <v>4.79</v>
      </c>
      <c r="I192">
        <f>Vu_khi!$W$192*MAX(1,$E$192)</f>
        <v/>
      </c>
      <c r="J192" t="n">
        <v>280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58.45511482254697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1.6</v>
      </c>
      <c r="AA192">
        <f>AND(Vu_khi!$K$192="Kinetic",NOT(Vu_khi!$AG$192))</f>
        <v/>
      </c>
      <c r="AB192" t="b">
        <v>0</v>
      </c>
      <c r="AC192">
        <f>IF(Vu_khi!$AG$192,INDEX(Bang_danh_noc!$C$2:$C$8,MIN(7,MAX(1,2-(Vu_khi!$L$192-0)+1))),INDEX(Bang_xuyen_giap!$C$2:$C$8,MIN(7,MAX(1,IF($O$192,MAX(1,2-(Vu_khi!$L$192-0)),2-(Vu_khi!$L$192-0))+1))))*IF($AA$192,INDEX(Bang_xuyen_qua!$C$2:$C$5,MIN(4,MAX(1,(Vu_khi!$L$192)-(0)-1))),1)</f>
        <v/>
      </c>
      <c r="AD192" t="n">
        <v>1.2</v>
      </c>
      <c r="AE192">
        <f>IF(Vu_khi!$AG$192,INDEX(Bang_danh_noc!$C$2:$C$8,MIN(7,MAX(1,2-(Vu_khi!$L$192-2)+1))),INDEX(Bang_xuyen_giap!$C$2:$C$8,MIN(7,MAX(1,IF($O$192,MAX(1,2-(Vu_khi!$L$192-2)),2-(Vu_khi!$L$192-2))+1))))*IF($AA$192,INDEX(Bang_xuyen_qua!$C$2:$C$5,MIN(4,MAX(1,(Vu_khi!$L$192)-(2)-1))),1)</f>
        <v/>
      </c>
      <c r="AF192" t="n">
        <v>0.85</v>
      </c>
      <c r="AG192">
        <f>IF(Vu_khi!$AG$192,INDEX(Bang_danh_noc!$C$2:$C$8,MIN(7,MAX(1,2-(Vu_khi!$L$192-4)+1))),INDEX(Bang_xuyen_giap!$C$2:$C$8,MIN(7,MAX(1,IF($O$192,MAX(1,2-(Vu_khi!$L$192-4)),2-(Vu_khi!$L$192-4))+1))))*IF($AA$192,INDEX(Bang_xuyen_qua!$C$2:$C$5,MIN(4,MAX(1,(Vu_khi!$L$192)-(4)-1))),1)</f>
        <v/>
      </c>
      <c r="AH192" t="n">
        <v>0.4</v>
      </c>
      <c r="AI192">
        <f>INDEX(Bang_xuyen_giap!$C$2:$C$8,MIN(7,MAX(1,MAX(1,2-(Vu_khi!$L$192-0))+1)))*IF($AA$192,INDEX(Bang_xuyen_qua!$C$2:$C$5,MIN(4,MAX(1,(Vu_khi!$L$192)-(0)-1))),1)</f>
        <v/>
      </c>
      <c r="AJ192" t="n">
        <v>1</v>
      </c>
      <c r="AK192">
        <f>IF($Q$192,$M$192*$AC$192*$U$192,0)</f>
        <v/>
      </c>
      <c r="AL192" t="n">
        <v>70.14613778705636</v>
      </c>
      <c r="AM192">
        <f>IF($Q$192,$M$192*$AE$192*$U$192,0)</f>
        <v/>
      </c>
      <c r="AN192" t="n">
        <v>49.68684759916493</v>
      </c>
      <c r="AO192">
        <f>IF($Q$192,$M$192*$AG$192*$U$192,0)</f>
        <v/>
      </c>
      <c r="AP192" t="n">
        <v>23.38204592901879</v>
      </c>
      <c r="AQ192">
        <f>IF($Q$192,$M$192*$AE$192*$Y$192,0)</f>
        <v/>
      </c>
      <c r="AR192" t="n">
        <v>79.49895615866389</v>
      </c>
      <c r="AS192">
        <f>IF($S$192,$M$192*$AI$192*$W$192,0)</f>
        <v/>
      </c>
      <c r="AT192" t="n">
        <v>0</v>
      </c>
      <c r="AU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V192" t="b">
        <v>0</v>
      </c>
      <c r="AW192">
        <f>IF(AND($B$192&lt;0,$AU$192),4,$B$192)</f>
        <v/>
      </c>
      <c r="AX192" t="n">
        <v>2</v>
      </c>
      <c r="AY192">
        <f>IF($AW$192&lt;4,0,MIN(MAX(0.5,Canh_bao_vong!$D$4),MAX(IF(Vu_khi!$C$192="cal_406",Canh_bao_vong!$D$7,IF($AW$192&gt;=5,Canh_bao_vong!$D$9,Canh_bao_vong!$D$8)),Canh_bao_vong!$D$2+MAX(0,Vu_khi!$X$192)/MAX(0.1,Canh_bao_vong!$D$5))))</f>
        <v/>
      </c>
      <c r="AZ192" t="n">
        <v>0</v>
      </c>
      <c r="BA192" t="n">
        <v>2.395</v>
      </c>
      <c r="BB192" t="inlineStr">
        <is>
          <t>ok</t>
        </is>
      </c>
      <c r="BC192" t="inlineStr"/>
      <c r="BD192" t="n">
        <v>150</v>
      </c>
      <c r="BE192" t="n">
        <v>195</v>
      </c>
      <c r="BF192" t="n">
        <v>0.075</v>
      </c>
      <c r="BG192" t="n">
        <v>0.15</v>
      </c>
      <c r="BH192" t="n">
        <v>0.3</v>
      </c>
      <c r="BI192" t="n">
        <v>0.231</v>
      </c>
      <c r="BJ192" t="inlineStr">
        <is>
          <t>DIRECT_BULLET</t>
        </is>
      </c>
      <c r="BK192" t="inlineStr">
        <is>
          <t>ok</t>
        </is>
      </c>
      <c r="BL192" t="inlineStr">
        <is>
          <t>own line</t>
        </is>
      </c>
      <c r="BM192" t="inlineStr"/>
      <c r="BN192" t="inlineStr">
        <is>
          <t>Assets/MachineBrigade/Resources/Data/balance.json: weapons[id=mothership_cannon] (lớp B trên 01_chien_dau/Vu_khi)</t>
        </is>
      </c>
      <c r="BO192" t="inlineStr"/>
    </row>
    <row r="193">
      <c r="A193" t="inlineStr">
        <is>
          <t>mothership_drones</t>
        </is>
      </c>
      <c r="B193" t="n">
        <v>2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4</v>
      </c>
      <c r="G193">
        <f>IF(Vu_khi!$S$193&gt;0,(Vu_khi!$S$193-1)*Vu_khi!$R$193+Vu_khi!$T$193,Vu_khi!$R$193+(Vu_khi!$P$193-1)*Vu_khi!$Q$193)</f>
        <v/>
      </c>
      <c r="H193" t="n">
        <v>9.370000000000001</v>
      </c>
      <c r="I193">
        <f>Vu_khi!$W$193*MAX(1,$E$193)</f>
        <v/>
      </c>
      <c r="J193" t="n">
        <v>960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102.4546424759872</v>
      </c>
      <c r="O193">
        <f>OR(Vu_khi!$AG$193,Vu_khi!$AB$193&gt;0,Vu_khi!$AH$193,Vu_khi!$M$193="Bomb",Vu_khi!$M$193="Drone")</f>
        <v/>
      </c>
      <c r="P193" t="b">
        <v>1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1.3</v>
      </c>
      <c r="W193">
        <f>INDEX(Bang_sat_thuong!$C$2:$C$7,MATCH(Vu_khi!$K$193,Bang_sat_thuong!$A$2:$A$7,0))</f>
        <v/>
      </c>
      <c r="X193" t="n">
        <v>0.2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0.45</v>
      </c>
      <c r="AA193">
        <f>AND(Vu_khi!$K$193="Kinetic",NOT(Vu_khi!$AG$193))</f>
        <v/>
      </c>
      <c r="AB193" t="b">
        <v>0</v>
      </c>
      <c r="AC193">
        <f>IF(Vu_khi!$AG$193,INDEX(Bang_danh_noc!$C$2:$C$8,MIN(7,MAX(1,2-(Vu_khi!$L$193-0)+1))),INDEX(Bang_xuyen_giap!$C$2:$C$8,MIN(7,MAX(1,IF($O$193,MAX(1,2-(Vu_khi!$L$193-0)),2-(Vu_khi!$L$193-0))+1))))*IF($AA$193,INDEX(Bang_xuyen_qua!$C$2:$C$5,MIN(4,MAX(1,(Vu_khi!$L$193)-(0)-1))),1)</f>
        <v/>
      </c>
      <c r="AD193" t="n">
        <v>1.15</v>
      </c>
      <c r="AE193">
        <f>IF(Vu_khi!$AG$193,INDEX(Bang_danh_noc!$C$2:$C$8,MIN(7,MAX(1,2-(Vu_khi!$L$193-2)+1))),INDEX(Bang_xuyen_giap!$C$2:$C$8,MIN(7,MAX(1,IF($O$193,MAX(1,2-(Vu_khi!$L$193-2)),2-(Vu_khi!$L$193-2))+1))))*IF($AA$193,INDEX(Bang_xuyen_qua!$C$2:$C$5,MIN(4,MAX(1,(Vu_khi!$L$193)-(2)-1))),1)</f>
        <v/>
      </c>
      <c r="AF193" t="n">
        <v>1.15</v>
      </c>
      <c r="AG193">
        <f>IF(Vu_khi!$AG$193,INDEX(Bang_danh_noc!$C$2:$C$8,MIN(7,MAX(1,2-(Vu_khi!$L$193-4)+1))),INDEX(Bang_xuyen_giap!$C$2:$C$8,MIN(7,MAX(1,IF($O$193,MAX(1,2-(Vu_khi!$L$193-4)),2-(Vu_khi!$L$193-4))+1))))*IF($AA$193,INDEX(Bang_xuyen_qua!$C$2:$C$5,MIN(4,MAX(1,(Vu_khi!$L$193)-(4)-1))),1)</f>
        <v/>
      </c>
      <c r="AH193" t="n">
        <v>0.95</v>
      </c>
      <c r="AI193">
        <f>INDEX(Bang_xuyen_giap!$C$2:$C$8,MIN(7,MAX(1,MAX(1,2-(Vu_khi!$L$193-0))+1)))*IF($AA$193,INDEX(Bang_xuyen_qua!$C$2:$C$5,MIN(4,MAX(1,(Vu_khi!$L$193)-(0)-1))),1)</f>
        <v/>
      </c>
      <c r="AJ193" t="n">
        <v>1</v>
      </c>
      <c r="AK193">
        <f>IF($Q$193,$M$193*$AC$193*$U$193,0)</f>
        <v/>
      </c>
      <c r="AL193" t="n">
        <v>153.1696905016008</v>
      </c>
      <c r="AM193">
        <f>IF($Q$193,$M$193*$AE$193*$U$193,0)</f>
        <v/>
      </c>
      <c r="AN193" t="n">
        <v>153.1696905016008</v>
      </c>
      <c r="AO193">
        <f>IF($Q$193,$M$193*$AG$193*$U$193,0)</f>
        <v/>
      </c>
      <c r="AP193" t="n">
        <v>126.5314834578442</v>
      </c>
      <c r="AQ193">
        <f>IF($Q$193,$M$193*$AE$193*$Y$193,0)</f>
        <v/>
      </c>
      <c r="AR193" t="n">
        <v>53.02027748132336</v>
      </c>
      <c r="AS193">
        <f>IF($S$193,$M$193*$AI$193*$W$193,0)</f>
        <v/>
      </c>
      <c r="AT193" t="n">
        <v>0</v>
      </c>
      <c r="AU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V193" t="b">
        <v>0</v>
      </c>
      <c r="AW193">
        <f>IF(AND($B$193&lt;0,$AU$193),4,$B$193)</f>
        <v/>
      </c>
      <c r="AX193" t="n">
        <v>2</v>
      </c>
      <c r="AY193">
        <f>IF($AW$193&lt;4,0,MIN(MAX(0.5,Canh_bao_vong!$D$4),MAX(IF(Vu_khi!$C$193="cal_406",Canh_bao_vong!$D$7,IF($AW$193&gt;=5,Canh_bao_vong!$D$9,Canh_bao_vong!$D$8)),Canh_bao_vong!$D$2+MAX(0,Vu_khi!$X$193)/MAX(0.1,Canh_bao_vong!$D$5))))</f>
        <v/>
      </c>
      <c r="AZ193" t="n">
        <v>0</v>
      </c>
      <c r="BA193" t="inlineStr"/>
      <c r="BB193" t="inlineStr">
        <is>
          <t>ok</t>
        </is>
      </c>
      <c r="BC193" t="inlineStr"/>
      <c r="BD193" t="n">
        <v>28</v>
      </c>
      <c r="BE193" t="n">
        <v>36.4</v>
      </c>
      <c r="BF193" t="n">
        <v>0.625</v>
      </c>
      <c r="BG193" t="n">
        <v>1.25</v>
      </c>
      <c r="BH193" t="n">
        <v>2.5</v>
      </c>
      <c r="BI193" t="n">
        <v>1.923</v>
      </c>
      <c r="BJ193" t="inlineStr">
        <is>
          <t>DRONE</t>
        </is>
      </c>
      <c r="BK193" t="inlineStr">
        <is>
          <t>ok</t>
        </is>
      </c>
      <c r="BL193" t="inlineStr">
        <is>
          <t>family zala_lancet_3</t>
        </is>
      </c>
      <c r="BM193" t="inlineStr"/>
      <c r="BN193" t="inlineStr">
        <is>
          <t>Assets/MachineBrigade/Resources/Data/balance.json: weapons[id=mothership_drones] (lớp B trên 01_chien_dau/Vu_khi)</t>
        </is>
      </c>
      <c r="BO193" t="inlineStr"/>
    </row>
    <row r="194">
      <c r="A194" t="inlineStr">
        <is>
          <t>naval_76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2</v>
      </c>
      <c r="G194">
        <f>IF(Vu_khi!$S$194&gt;0,(Vu_khi!$S$194-1)*Vu_khi!$R$194+Vu_khi!$T$194,Vu_khi!$R$194+(Vu_khi!$P$194-1)*Vu_khi!$Q$194)</f>
        <v/>
      </c>
      <c r="H194" t="n">
        <v>5.143</v>
      </c>
      <c r="I194">
        <f>Vu_khi!$W$194*MAX(1,$E$194)</f>
        <v/>
      </c>
      <c r="J194" t="n">
        <v>342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66.49815282908808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1.6</v>
      </c>
      <c r="AA194">
        <f>AND(Vu_khi!$K$194="Kinetic",NOT(Vu_khi!$AG$194))</f>
        <v/>
      </c>
      <c r="AB194" t="b">
        <v>0</v>
      </c>
      <c r="AC194">
        <f>IF(Vu_khi!$AG$194,INDEX(Bang_danh_noc!$C$2:$C$8,MIN(7,MAX(1,2-(Vu_khi!$L$194-0)+1))),INDEX(Bang_xuyen_giap!$C$2:$C$8,MIN(7,MAX(1,IF($O$194,MAX(1,2-(Vu_khi!$L$194-0)),2-(Vu_khi!$L$194-0))+1))))*IF($AA$194,INDEX(Bang_xuyen_qua!$C$2:$C$5,MIN(4,MAX(1,(Vu_khi!$L$194)-(0)-1))),1)</f>
        <v/>
      </c>
      <c r="AD194" t="n">
        <v>1.2</v>
      </c>
      <c r="AE194">
        <f>IF(Vu_khi!$AG$194,INDEX(Bang_danh_noc!$C$2:$C$8,MIN(7,MAX(1,2-(Vu_khi!$L$194-2)+1))),INDEX(Bang_xuyen_giap!$C$2:$C$8,MIN(7,MAX(1,IF($O$194,MAX(1,2-(Vu_khi!$L$194-2)),2-(Vu_khi!$L$194-2))+1))))*IF($AA$194,INDEX(Bang_xuyen_qua!$C$2:$C$5,MIN(4,MAX(1,(Vu_khi!$L$194)-(2)-1))),1)</f>
        <v/>
      </c>
      <c r="AF194" t="n">
        <v>1</v>
      </c>
      <c r="AG194">
        <f>IF(Vu_khi!$AG$194,INDEX(Bang_danh_noc!$C$2:$C$8,MIN(7,MAX(1,2-(Vu_khi!$L$194-4)+1))),INDEX(Bang_xuyen_giap!$C$2:$C$8,MIN(7,MAX(1,IF($O$194,MAX(1,2-(Vu_khi!$L$194-4)),2-(Vu_khi!$L$194-4))+1))))*IF($AA$194,INDEX(Bang_xuyen_qua!$C$2:$C$5,MIN(4,MAX(1,(Vu_khi!$L$194)-(4)-1))),1)</f>
        <v/>
      </c>
      <c r="AH194" t="n">
        <v>0.65</v>
      </c>
      <c r="AI194">
        <f>INDEX(Bang_xuyen_giap!$C$2:$C$8,MIN(7,MAX(1,MAX(1,2-(Vu_khi!$L$194-0))+1)))*IF($AA$194,INDEX(Bang_xuyen_qua!$C$2:$C$5,MIN(4,MAX(1,(Vu_khi!$L$194)-(0)-1))),1)</f>
        <v/>
      </c>
      <c r="AJ194" t="n">
        <v>1</v>
      </c>
      <c r="AK194">
        <f>IF($Q$194,$M$194*$AC$194*$U$194,0)</f>
        <v/>
      </c>
      <c r="AL194" t="n">
        <v>79.79778339490569</v>
      </c>
      <c r="AM194">
        <f>IF($Q$194,$M$194*$AE$194*$U$194,0)</f>
        <v/>
      </c>
      <c r="AN194" t="n">
        <v>66.49815282908808</v>
      </c>
      <c r="AO194">
        <f>IF($Q$194,$M$194*$AG$194*$U$194,0)</f>
        <v/>
      </c>
      <c r="AP194" t="n">
        <v>43.22379933890726</v>
      </c>
      <c r="AQ194">
        <f>IF($Q$194,$M$194*$AE$194*$Y$194,0)</f>
        <v/>
      </c>
      <c r="AR194" t="n">
        <v>106.3970445265409</v>
      </c>
      <c r="AS194">
        <f>IF($S$194,$M$194*$AI$194*$W$194,0)</f>
        <v/>
      </c>
      <c r="AT194" t="n">
        <v>0</v>
      </c>
      <c r="AU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V194" t="b">
        <v>0</v>
      </c>
      <c r="AW194">
        <f>IF(AND($B$194&lt;0,$AU$194),4,$B$194)</f>
        <v/>
      </c>
      <c r="AX194" t="n">
        <v>2</v>
      </c>
      <c r="AY194">
        <f>IF($AW$194&lt;4,0,MIN(MAX(0.5,Canh_bao_vong!$D$4),MAX(IF(Vu_khi!$C$194="cal_406",Canh_bao_vong!$D$7,IF($AW$194&gt;=5,Canh_bao_vong!$D$9,Canh_bao_vong!$D$8)),Canh_bao_vong!$D$2+MAX(0,Vu_khi!$X$194)/MAX(0.1,Canh_bao_vong!$D$5))))</f>
        <v/>
      </c>
      <c r="AZ194" t="n">
        <v>0</v>
      </c>
      <c r="BA194" t="n">
        <v>3.6001</v>
      </c>
      <c r="BB194" t="inlineStr">
        <is>
          <t>CHAM_QUA;LECH_DOT_1</t>
        </is>
      </c>
      <c r="BC194" t="inlineStr"/>
      <c r="BD194" t="n">
        <v>95</v>
      </c>
      <c r="BE194" t="n">
        <v>123.5</v>
      </c>
      <c r="BF194" t="n">
        <v>0.25</v>
      </c>
      <c r="BG194" t="n">
        <v>0.5</v>
      </c>
      <c r="BH194" t="n">
        <v>1</v>
      </c>
      <c r="BI194" t="n">
        <v>0.769</v>
      </c>
      <c r="BJ194" t="inlineStr">
        <is>
          <t>NAVAL_DIRECT</t>
        </is>
      </c>
      <c r="BK194" t="inlineStr">
        <is>
          <t>ok</t>
        </is>
      </c>
      <c r="BL194" t="inlineStr">
        <is>
          <t>own line</t>
        </is>
      </c>
      <c r="BM194" t="inlineStr"/>
      <c r="BN194" t="inlineStr">
        <is>
          <t>Assets/MachineBrigade/Resources/Data/balance.json: weapons[id=naval_76] (lớp B trên 01_chien_dau/Vu_khi)</t>
        </is>
      </c>
      <c r="BO194" t="inlineStr"/>
    </row>
    <row r="195">
      <c r="A195" t="inlineStr">
        <is>
          <t>naval_76_guided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1</v>
      </c>
      <c r="G195">
        <f>IF(Vu_khi!$S$195&gt;0,(Vu_khi!$S$195-1)*Vu_khi!$R$195+Vu_khi!$T$195,Vu_khi!$R$195+(Vu_khi!$P$195-1)*Vu_khi!$Q$195)</f>
        <v/>
      </c>
      <c r="H195" t="n">
        <v>4.643</v>
      </c>
      <c r="I195">
        <f>Vu_khi!$W$195*MAX(1,$E$195)</f>
        <v/>
      </c>
      <c r="J195" t="n">
        <v>171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36.82963601119966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1.6</v>
      </c>
      <c r="AA195">
        <f>AND(Vu_khi!$K$195="Kinetic",NOT(Vu_khi!$AG$195))</f>
        <v/>
      </c>
      <c r="AB195" t="b">
        <v>0</v>
      </c>
      <c r="AC195">
        <f>IF(Vu_khi!$AG$195,INDEX(Bang_danh_noc!$C$2:$C$8,MIN(7,MAX(1,2-(Vu_khi!$L$195-0)+1))),INDEX(Bang_xuyen_giap!$C$2:$C$8,MIN(7,MAX(1,IF($O$195,MAX(1,2-(Vu_khi!$L$195-0)),2-(Vu_khi!$L$195-0))+1))))*IF($AA$195,INDEX(Bang_xuyen_qua!$C$2:$C$5,MIN(4,MAX(1,(Vu_khi!$L$195)-(0)-1))),1)</f>
        <v/>
      </c>
      <c r="AD195" t="n">
        <v>1.2</v>
      </c>
      <c r="AE195">
        <f>IF(Vu_khi!$AG$195,INDEX(Bang_danh_noc!$C$2:$C$8,MIN(7,MAX(1,2-(Vu_khi!$L$195-2)+1))),INDEX(Bang_xuyen_giap!$C$2:$C$8,MIN(7,MAX(1,IF($O$195,MAX(1,2-(Vu_khi!$L$195-2)),2-(Vu_khi!$L$195-2))+1))))*IF($AA$195,INDEX(Bang_xuyen_qua!$C$2:$C$5,MIN(4,MAX(1,(Vu_khi!$L$195)-(2)-1))),1)</f>
        <v/>
      </c>
      <c r="AF195" t="n">
        <v>1</v>
      </c>
      <c r="AG195">
        <f>IF(Vu_khi!$AG$195,INDEX(Bang_danh_noc!$C$2:$C$8,MIN(7,MAX(1,2-(Vu_khi!$L$195-4)+1))),INDEX(Bang_xuyen_giap!$C$2:$C$8,MIN(7,MAX(1,IF($O$195,MAX(1,2-(Vu_khi!$L$195-4)),2-(Vu_khi!$L$195-4))+1))))*IF($AA$195,INDEX(Bang_xuyen_qua!$C$2:$C$5,MIN(4,MAX(1,(Vu_khi!$L$195)-(4)-1))),1)</f>
        <v/>
      </c>
      <c r="AH195" t="n">
        <v>0.65</v>
      </c>
      <c r="AI195">
        <f>INDEX(Bang_xuyen_giap!$C$2:$C$8,MIN(7,MAX(1,MAX(1,2-(Vu_khi!$L$195-0))+1)))*IF($AA$195,INDEX(Bang_xuyen_qua!$C$2:$C$5,MIN(4,MAX(1,(Vu_khi!$L$195)-(0)-1))),1)</f>
        <v/>
      </c>
      <c r="AJ195" t="n">
        <v>1</v>
      </c>
      <c r="AK195">
        <f>IF($Q$195,$M$195*$AC$195*$U$195,0)</f>
        <v/>
      </c>
      <c r="AL195" t="n">
        <v>44.19556321343959</v>
      </c>
      <c r="AM195">
        <f>IF($Q$195,$M$195*$AE$195*$U$195,0)</f>
        <v/>
      </c>
      <c r="AN195" t="n">
        <v>36.82963601119966</v>
      </c>
      <c r="AO195">
        <f>IF($Q$195,$M$195*$AG$195*$U$195,0)</f>
        <v/>
      </c>
      <c r="AP195" t="n">
        <v>23.93926340727978</v>
      </c>
      <c r="AQ195">
        <f>IF($Q$195,$M$195*$AE$195*$Y$195,0)</f>
        <v/>
      </c>
      <c r="AR195" t="n">
        <v>58.92741761791946</v>
      </c>
      <c r="AS195">
        <f>IF($S$195,$M$195*$AI$195*$W$195,0)</f>
        <v/>
      </c>
      <c r="AT195" t="n">
        <v>0</v>
      </c>
      <c r="AU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V195" t="b">
        <v>0</v>
      </c>
      <c r="AW195">
        <f>IF(AND($B$195&lt;0,$AU$195),4,$B$195)</f>
        <v/>
      </c>
      <c r="AX195" t="n">
        <v>2</v>
      </c>
      <c r="AY195">
        <f>IF($AW$195&lt;4,0,MIN(MAX(0.5,Canh_bao_vong!$D$4),MAX(IF(Vu_khi!$C$195="cal_406",Canh_bao_vong!$D$7,IF($AW$195&gt;=5,Canh_bao_vong!$D$9,Canh_bao_vong!$D$8)),Canh_bao_vong!$D$2+MAX(0,Vu_khi!$X$195)/MAX(0.1,Canh_bao_vong!$D$5))))</f>
        <v/>
      </c>
      <c r="AZ195" t="n">
        <v>0</v>
      </c>
      <c r="BD195" t="n">
        <v>95</v>
      </c>
      <c r="BE195" t="n">
        <v>123.5</v>
      </c>
      <c r="BF195" t="n">
        <v>0.25</v>
      </c>
      <c r="BG195" t="n">
        <v>0.5</v>
      </c>
      <c r="BH195" t="n">
        <v>1</v>
      </c>
      <c r="BI195" t="n">
        <v>0.769</v>
      </c>
      <c r="BJ195" t="inlineStr">
        <is>
          <t>NAVAL_DIRECT</t>
        </is>
      </c>
      <c r="BK195" t="inlineStr">
        <is>
          <t>ok</t>
        </is>
      </c>
      <c r="BL195" t="inlineStr">
        <is>
          <t>inherited from naval_76</t>
        </is>
      </c>
      <c r="BM195" t="inlineStr"/>
      <c r="BN195" t="inlineStr">
        <is>
          <t>Assets/MachineBrigade/Resources/Data/balance.json: weapons[id=naval_76_guided] (lớp B trên 01_chien_dau/Vu_khi)</t>
        </is>
      </c>
      <c r="BO195" t="inlineStr"/>
    </row>
    <row r="196">
      <c r="A196" t="inlineStr">
        <is>
          <t>naval_100</t>
        </is>
      </c>
      <c r="B196" t="n">
        <v>2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2</v>
      </c>
      <c r="G196">
        <f>IF(Vu_khi!$S$196&gt;0,(Vu_khi!$S$196-1)*Vu_khi!$R$196+Vu_khi!$T$196,Vu_khi!$R$196+(Vu_khi!$P$196-1)*Vu_khi!$Q$196)</f>
        <v/>
      </c>
      <c r="H196" t="n">
        <v>5.5</v>
      </c>
      <c r="I196">
        <f>Vu_khi!$W$196*MAX(1,$E$196)</f>
        <v/>
      </c>
      <c r="J196" t="n">
        <v>458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83.27272727272727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1.6</v>
      </c>
      <c r="AA196">
        <f>AND(Vu_khi!$K$196="Kinetic",NOT(Vu_khi!$AG$196))</f>
        <v/>
      </c>
      <c r="AB196" t="b">
        <v>0</v>
      </c>
      <c r="AC196">
        <f>IF(Vu_khi!$AG$196,INDEX(Bang_danh_noc!$C$2:$C$8,MIN(7,MAX(1,2-(Vu_khi!$L$196-0)+1))),INDEX(Bang_xuyen_giap!$C$2:$C$8,MIN(7,MAX(1,IF($O$196,MAX(1,2-(Vu_khi!$L$196-0)),2-(Vu_khi!$L$196-0))+1))))*IF($AA$196,INDEX(Bang_xuyen_qua!$C$2:$C$5,MIN(4,MAX(1,(Vu_khi!$L$196)-(0)-1))),1)</f>
        <v/>
      </c>
      <c r="AD196" t="n">
        <v>1.2</v>
      </c>
      <c r="AE196">
        <f>IF(Vu_khi!$AG$196,INDEX(Bang_danh_noc!$C$2:$C$8,MIN(7,MAX(1,2-(Vu_khi!$L$196-2)+1))),INDEX(Bang_xuyen_giap!$C$2:$C$8,MIN(7,MAX(1,IF($O$196,MAX(1,2-(Vu_khi!$L$196-2)),2-(Vu_khi!$L$196-2))+1))))*IF($AA$196,INDEX(Bang_xuyen_qua!$C$2:$C$5,MIN(4,MAX(1,(Vu_khi!$L$196)-(2)-1))),1)</f>
        <v/>
      </c>
      <c r="AF196" t="n">
        <v>1</v>
      </c>
      <c r="AG196">
        <f>IF(Vu_khi!$AG$196,INDEX(Bang_danh_noc!$C$2:$C$8,MIN(7,MAX(1,2-(Vu_khi!$L$196-4)+1))),INDEX(Bang_xuyen_giap!$C$2:$C$8,MIN(7,MAX(1,IF($O$196,MAX(1,2-(Vu_khi!$L$196-4)),2-(Vu_khi!$L$196-4))+1))))*IF($AA$196,INDEX(Bang_xuyen_qua!$C$2:$C$5,MIN(4,MAX(1,(Vu_khi!$L$196)-(4)-1))),1)</f>
        <v/>
      </c>
      <c r="AH196" t="n">
        <v>0.65</v>
      </c>
      <c r="AI196">
        <f>INDEX(Bang_xuyen_giap!$C$2:$C$8,MIN(7,MAX(1,MAX(1,2-(Vu_khi!$L$196-0))+1)))*IF($AA$196,INDEX(Bang_xuyen_qua!$C$2:$C$5,MIN(4,MAX(1,(Vu_khi!$L$196)-(0)-1))),1)</f>
        <v/>
      </c>
      <c r="AJ196" t="n">
        <v>1</v>
      </c>
      <c r="AK196">
        <f>IF($Q$196,$M$196*$AC$196*$U$196,0)</f>
        <v/>
      </c>
      <c r="AL196" t="n">
        <v>99.92727272727272</v>
      </c>
      <c r="AM196">
        <f>IF($Q$196,$M$196*$AE$196*$U$196,0)</f>
        <v/>
      </c>
      <c r="AN196" t="n">
        <v>83.27272727272727</v>
      </c>
      <c r="AO196">
        <f>IF($Q$196,$M$196*$AG$196*$U$196,0)</f>
        <v/>
      </c>
      <c r="AP196" t="n">
        <v>54.12727272727273</v>
      </c>
      <c r="AQ196">
        <f>IF($Q$196,$M$196*$AE$196*$Y$196,0)</f>
        <v/>
      </c>
      <c r="AR196" t="n">
        <v>133.2363636363636</v>
      </c>
      <c r="AS196">
        <f>IF($S$196,$M$196*$AI$196*$W$196,0)</f>
        <v/>
      </c>
      <c r="AT196" t="n">
        <v>0</v>
      </c>
      <c r="AU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V196" t="b">
        <v>0</v>
      </c>
      <c r="AW196">
        <f>IF(AND($B$196&lt;0,$AU$196),4,$B$196)</f>
        <v/>
      </c>
      <c r="AX196" t="n">
        <v>2</v>
      </c>
      <c r="AY196">
        <f>IF($AW$196&lt;4,0,MIN(MAX(0.5,Canh_bao_vong!$D$4),MAX(IF(Vu_khi!$C$196="cal_406",Canh_bao_vong!$D$7,IF($AW$196&gt;=5,Canh_bao_vong!$D$9,Canh_bao_vong!$D$8)),Canh_bao_vong!$D$2+MAX(0,Vu_khi!$X$196)/MAX(0.1,Canh_bao_vong!$D$5))))</f>
        <v/>
      </c>
      <c r="AZ196" t="n">
        <v>0</v>
      </c>
      <c r="BA196" t="n">
        <v>1.925</v>
      </c>
      <c r="BB196" t="inlineStr">
        <is>
          <t>NHANH_QUA;LECH_DOT_1</t>
        </is>
      </c>
      <c r="BC196" t="inlineStr"/>
      <c r="BD196" t="n">
        <v>100</v>
      </c>
      <c r="BE196" t="n">
        <v>130</v>
      </c>
      <c r="BF196" t="n">
        <v>0.225</v>
      </c>
      <c r="BG196" t="n">
        <v>0.45</v>
      </c>
      <c r="BH196" t="n">
        <v>0.9</v>
      </c>
      <c r="BI196" t="n">
        <v>0.6919999999999999</v>
      </c>
      <c r="BJ196" t="inlineStr">
        <is>
          <t>NAVAL_DIRECT</t>
        </is>
      </c>
      <c r="BK196" t="inlineStr">
        <is>
          <t>ok</t>
        </is>
      </c>
      <c r="BL196" t="inlineStr">
        <is>
          <t>own line (over naval_76)</t>
        </is>
      </c>
      <c r="BM196" t="inlineStr"/>
      <c r="BN196" t="inlineStr">
        <is>
          <t>Assets/MachineBrigade/Resources/Data/balance.json: weapons[id=naval_100] (lớp B trên 01_chien_dau/Vu_khi)</t>
        </is>
      </c>
      <c r="BO196" t="inlineStr"/>
    </row>
    <row r="197">
      <c r="A197" t="inlineStr">
        <is>
          <t>naval_100_guided</t>
        </is>
      </c>
      <c r="B197" t="n">
        <v>2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1</v>
      </c>
      <c r="G197">
        <f>IF(Vu_khi!$S$197&gt;0,(Vu_khi!$S$197-1)*Vu_khi!$R$197+Vu_khi!$T$197,Vu_khi!$R$197+(Vu_khi!$P$197-1)*Vu_khi!$Q$197)</f>
        <v/>
      </c>
      <c r="H197" t="n">
        <v>5</v>
      </c>
      <c r="I197">
        <f>Vu_khi!$W$197*MAX(1,$E$197)</f>
        <v/>
      </c>
      <c r="J197" t="n">
        <v>229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45.8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1.6</v>
      </c>
      <c r="AA197">
        <f>AND(Vu_khi!$K$197="Kinetic",NOT(Vu_khi!$AG$197))</f>
        <v/>
      </c>
      <c r="AB197" t="b">
        <v>0</v>
      </c>
      <c r="AC197">
        <f>IF(Vu_khi!$AG$197,INDEX(Bang_danh_noc!$C$2:$C$8,MIN(7,MAX(1,2-(Vu_khi!$L$197-0)+1))),INDEX(Bang_xuyen_giap!$C$2:$C$8,MIN(7,MAX(1,IF($O$197,MAX(1,2-(Vu_khi!$L$197-0)),2-(Vu_khi!$L$197-0))+1))))*IF($AA$197,INDEX(Bang_xuyen_qua!$C$2:$C$5,MIN(4,MAX(1,(Vu_khi!$L$197)-(0)-1))),1)</f>
        <v/>
      </c>
      <c r="AD197" t="n">
        <v>1.2</v>
      </c>
      <c r="AE197">
        <f>IF(Vu_khi!$AG$197,INDEX(Bang_danh_noc!$C$2:$C$8,MIN(7,MAX(1,2-(Vu_khi!$L$197-2)+1))),INDEX(Bang_xuyen_giap!$C$2:$C$8,MIN(7,MAX(1,IF($O$197,MAX(1,2-(Vu_khi!$L$197-2)),2-(Vu_khi!$L$197-2))+1))))*IF($AA$197,INDEX(Bang_xuyen_qua!$C$2:$C$5,MIN(4,MAX(1,(Vu_khi!$L$197)-(2)-1))),1)</f>
        <v/>
      </c>
      <c r="AF197" t="n">
        <v>1</v>
      </c>
      <c r="AG197">
        <f>IF(Vu_khi!$AG$197,INDEX(Bang_danh_noc!$C$2:$C$8,MIN(7,MAX(1,2-(Vu_khi!$L$197-4)+1))),INDEX(Bang_xuyen_giap!$C$2:$C$8,MIN(7,MAX(1,IF($O$197,MAX(1,2-(Vu_khi!$L$197-4)),2-(Vu_khi!$L$197-4))+1))))*IF($AA$197,INDEX(Bang_xuyen_qua!$C$2:$C$5,MIN(4,MAX(1,(Vu_khi!$L$197)-(4)-1))),1)</f>
        <v/>
      </c>
      <c r="AH197" t="n">
        <v>0.65</v>
      </c>
      <c r="AI197">
        <f>INDEX(Bang_xuyen_giap!$C$2:$C$8,MIN(7,MAX(1,MAX(1,2-(Vu_khi!$L$197-0))+1)))*IF($AA$197,INDEX(Bang_xuyen_qua!$C$2:$C$5,MIN(4,MAX(1,(Vu_khi!$L$197)-(0)-1))),1)</f>
        <v/>
      </c>
      <c r="AJ197" t="n">
        <v>1</v>
      </c>
      <c r="AK197">
        <f>IF($Q$197,$M$197*$AC$197*$U$197,0)</f>
        <v/>
      </c>
      <c r="AL197" t="n">
        <v>54.95999999999999</v>
      </c>
      <c r="AM197">
        <f>IF($Q$197,$M$197*$AE$197*$U$197,0)</f>
        <v/>
      </c>
      <c r="AN197" t="n">
        <v>45.8</v>
      </c>
      <c r="AO197">
        <f>IF($Q$197,$M$197*$AG$197*$U$197,0)</f>
        <v/>
      </c>
      <c r="AP197" t="n">
        <v>29.77</v>
      </c>
      <c r="AQ197">
        <f>IF($Q$197,$M$197*$AE$197*$Y$197,0)</f>
        <v/>
      </c>
      <c r="AR197" t="n">
        <v>73.28</v>
      </c>
      <c r="AS197">
        <f>IF($S$197,$M$197*$AI$197*$W$197,0)</f>
        <v/>
      </c>
      <c r="AT197" t="n">
        <v>0</v>
      </c>
      <c r="AU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V197" t="b">
        <v>0</v>
      </c>
      <c r="AW197">
        <f>IF(AND($B$197&lt;0,$AU$197),4,$B$197)</f>
        <v/>
      </c>
      <c r="AX197" t="n">
        <v>2</v>
      </c>
      <c r="AY197">
        <f>IF($AW$197&lt;4,0,MIN(MAX(0.5,Canh_bao_vong!$D$4),MAX(IF(Vu_khi!$C$197="cal_406",Canh_bao_vong!$D$7,IF($AW$197&gt;=5,Canh_bao_vong!$D$9,Canh_bao_vong!$D$8)),Canh_bao_vong!$D$2+MAX(0,Vu_khi!$X$197)/MAX(0.1,Canh_bao_vong!$D$5))))</f>
        <v/>
      </c>
      <c r="AZ197" t="n">
        <v>0</v>
      </c>
      <c r="BD197" t="n">
        <v>100</v>
      </c>
      <c r="BE197" t="n">
        <v>130</v>
      </c>
      <c r="BF197" t="n">
        <v>0.225</v>
      </c>
      <c r="BG197" t="n">
        <v>0.45</v>
      </c>
      <c r="BH197" t="n">
        <v>0.9</v>
      </c>
      <c r="BI197" t="n">
        <v>0.6919999999999999</v>
      </c>
      <c r="BJ197" t="inlineStr">
        <is>
          <t>NAVAL_DIRECT</t>
        </is>
      </c>
      <c r="BK197" t="inlineStr">
        <is>
          <t>ok</t>
        </is>
      </c>
      <c r="BL197" t="inlineStr">
        <is>
          <t>inherited from naval_100</t>
        </is>
      </c>
      <c r="BM197" t="inlineStr"/>
      <c r="BN197" t="inlineStr">
        <is>
          <t>Assets/MachineBrigade/Resources/Data/balance.json: weapons[id=naval_100_guided] (lớp B trên 01_chien_dau/Vu_khi)</t>
        </is>
      </c>
      <c r="BO197" t="inlineStr"/>
    </row>
    <row r="198">
      <c r="A198" t="inlineStr">
        <is>
          <t>naval_127</t>
        </is>
      </c>
      <c r="B198" t="n">
        <v>3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2</v>
      </c>
      <c r="G198">
        <f>IF(Vu_khi!$S$198&gt;0,(Vu_khi!$S$198-1)*Vu_khi!$R$198+Vu_khi!$T$198,Vu_khi!$R$198+(Vu_khi!$P$198-1)*Vu_khi!$Q$198)</f>
        <v/>
      </c>
      <c r="H198" t="n">
        <v>5.643</v>
      </c>
      <c r="I198">
        <f>Vu_khi!$W$198*MAX(1,$E$198)</f>
        <v/>
      </c>
      <c r="J198" t="n">
        <v>572</v>
      </c>
      <c r="K198">
        <f>IF(Vu_khi!$V$198&gt;0,Vu_khi!$V$198,MIN(28,MAX(10,Vu_khi!$U$198*Vu_khi!$R$198*0.4)))</f>
        <v/>
      </c>
      <c r="L198" t="n">
        <v>10</v>
      </c>
      <c r="M198">
        <f>IF(Vu_khi!$W$198&lt;=0,0,IF(Vu_khi!$U$198&gt;0,$I$198*Vu_khi!$U$198/(MAX(0.05,$G$198)*Vu_khi!$U$198+$K$198),$I$198/MAX(0.05,$G$198)))</f>
        <v/>
      </c>
      <c r="N198" t="n">
        <v>101.364522417154</v>
      </c>
      <c r="O198">
        <f>OR(Vu_khi!$AG$198,Vu_khi!$AB$198&gt;0,Vu_khi!$AH$198,Vu_khi!$M$198="Bomb",Vu_khi!$M$198="Drone")</f>
        <v/>
      </c>
      <c r="P198" t="b">
        <v>0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1.6</v>
      </c>
      <c r="AA198">
        <f>AND(Vu_khi!$K$198="Kinetic",NOT(Vu_khi!$AG$198))</f>
        <v/>
      </c>
      <c r="AB198" t="b">
        <v>0</v>
      </c>
      <c r="AC198">
        <f>IF(Vu_khi!$AG$198,INDEX(Bang_danh_noc!$C$2:$C$8,MIN(7,MAX(1,2-(Vu_khi!$L$198-0)+1))),INDEX(Bang_xuyen_giap!$C$2:$C$8,MIN(7,MAX(1,IF($O$198,MAX(1,2-(Vu_khi!$L$198-0)),2-(Vu_khi!$L$198-0))+1))))*IF($AA$198,INDEX(Bang_xuyen_qua!$C$2:$C$5,MIN(4,MAX(1,(Vu_khi!$L$198)-(0)-1))),1)</f>
        <v/>
      </c>
      <c r="AD198" t="n">
        <v>1.2</v>
      </c>
      <c r="AE198">
        <f>IF(Vu_khi!$AG$198,INDEX(Bang_danh_noc!$C$2:$C$8,MIN(7,MAX(1,2-(Vu_khi!$L$198-2)+1))),INDEX(Bang_xuyen_giap!$C$2:$C$8,MIN(7,MAX(1,IF($O$198,MAX(1,2-(Vu_khi!$L$198-2)),2-(Vu_khi!$L$198-2))+1))))*IF($AA$198,INDEX(Bang_xuyen_qua!$C$2:$C$5,MIN(4,MAX(1,(Vu_khi!$L$198)-(2)-1))),1)</f>
        <v/>
      </c>
      <c r="AF198" t="n">
        <v>1</v>
      </c>
      <c r="AG198">
        <f>IF(Vu_khi!$AG$198,INDEX(Bang_danh_noc!$C$2:$C$8,MIN(7,MAX(1,2-(Vu_khi!$L$198-4)+1))),INDEX(Bang_xuyen_giap!$C$2:$C$8,MIN(7,MAX(1,IF($O$198,MAX(1,2-(Vu_khi!$L$198-4)),2-(Vu_khi!$L$198-4))+1))))*IF($AA$198,INDEX(Bang_xuyen_qua!$C$2:$C$5,MIN(4,MAX(1,(Vu_khi!$L$198)-(4)-1))),1)</f>
        <v/>
      </c>
      <c r="AH198" t="n">
        <v>0.65</v>
      </c>
      <c r="AI198">
        <f>INDEX(Bang_xuyen_giap!$C$2:$C$8,MIN(7,MAX(1,MAX(1,2-(Vu_khi!$L$198-0))+1)))*IF($AA$198,INDEX(Bang_xuyen_qua!$C$2:$C$5,MIN(4,MAX(1,(Vu_khi!$L$198)-(0)-1))),1)</f>
        <v/>
      </c>
      <c r="AJ198" t="n">
        <v>1</v>
      </c>
      <c r="AK198">
        <f>IF($Q$198,$M$198*$AC$198*$U$198,0)</f>
        <v/>
      </c>
      <c r="AL198" t="n">
        <v>121.6374269005848</v>
      </c>
      <c r="AM198">
        <f>IF($Q$198,$M$198*$AE$198*$U$198,0)</f>
        <v/>
      </c>
      <c r="AN198" t="n">
        <v>101.364522417154</v>
      </c>
      <c r="AO198">
        <f>IF($Q$198,$M$198*$AG$198*$U$198,0)</f>
        <v/>
      </c>
      <c r="AP198" t="n">
        <v>65.88693957115011</v>
      </c>
      <c r="AQ198">
        <f>IF($Q$198,$M$198*$AE$198*$Y$198,0)</f>
        <v/>
      </c>
      <c r="AR198" t="n">
        <v>162.1832358674464</v>
      </c>
      <c r="AS198">
        <f>IF($S$198,$M$198*$AI$198*$W$198,0)</f>
        <v/>
      </c>
      <c r="AT198" t="n">
        <v>0</v>
      </c>
      <c r="AU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V198" t="b">
        <v>0</v>
      </c>
      <c r="AW198">
        <f>IF(AND($B$198&lt;0,$AU$198),4,$B$198)</f>
        <v/>
      </c>
      <c r="AX198" t="n">
        <v>3</v>
      </c>
      <c r="AY198">
        <f>IF($AW$198&lt;4,0,MIN(MAX(0.5,Canh_bao_vong!$D$4),MAX(IF(Vu_khi!$C$198="cal_406",Canh_bao_vong!$D$7,IF($AW$198&gt;=5,Canh_bao_vong!$D$9,Canh_bao_vong!$D$8)),Canh_bao_vong!$D$2+MAX(0,Vu_khi!$X$198)/MAX(0.1,Canh_bao_vong!$D$5))))</f>
        <v/>
      </c>
      <c r="AZ198" t="n">
        <v>0</v>
      </c>
      <c r="BA198" t="n">
        <v>0.65835</v>
      </c>
      <c r="BB198" t="inlineStr">
        <is>
          <t>NHANH_QUA;LECH_DOT_1</t>
        </is>
      </c>
      <c r="BC198" t="inlineStr"/>
      <c r="BD198" t="n">
        <v>90</v>
      </c>
      <c r="BE198" t="n">
        <v>117</v>
      </c>
      <c r="BF198" t="n">
        <v>0.306</v>
      </c>
      <c r="BG198" t="n">
        <v>0.611</v>
      </c>
      <c r="BH198" t="n">
        <v>1.222</v>
      </c>
      <c r="BI198" t="n">
        <v>0.9399999999999999</v>
      </c>
      <c r="BJ198" t="inlineStr">
        <is>
          <t>NAVAL_DIRECT</t>
        </is>
      </c>
      <c r="BK198" t="inlineStr">
        <is>
          <t>ok</t>
        </is>
      </c>
      <c r="BL198" t="inlineStr">
        <is>
          <t>own line (over naval_76)</t>
        </is>
      </c>
      <c r="BM198" t="inlineStr"/>
      <c r="BN198" t="inlineStr">
        <is>
          <t>Assets/MachineBrigade/Resources/Data/balance.json: weapons[id=naval_127] (lớp B trên 01_chien_dau/Vu_khi)</t>
        </is>
      </c>
      <c r="BO198" t="inlineStr"/>
    </row>
    <row r="199">
      <c r="A199" t="inlineStr">
        <is>
          <t>naval_130_twin</t>
        </is>
      </c>
      <c r="B199" t="n">
        <v>3</v>
      </c>
      <c r="C199">
        <f>IF(Vu_khi!$O$199="SIMULTANEOUS",MAX(1,Vu_khi!$N$199),1)</f>
        <v/>
      </c>
      <c r="D199" t="n">
        <v>2</v>
      </c>
      <c r="E199">
        <f>IF(Vu_khi!$S$199&gt;0,Vu_khi!$S$199,Vu_khi!$P$199*$C$199)</f>
        <v/>
      </c>
      <c r="F199" t="n">
        <v>2</v>
      </c>
      <c r="G199">
        <f>IF(Vu_khi!$S$199&gt;0,(Vu_khi!$S$199-1)*Vu_khi!$R$199+Vu_khi!$T$199,Vu_khi!$R$199+(Vu_khi!$P$199-1)*Vu_khi!$Q$199)</f>
        <v/>
      </c>
      <c r="H199" t="n">
        <v>4.286</v>
      </c>
      <c r="I199">
        <f>Vu_khi!$W$199*MAX(1,$E$199)</f>
        <v/>
      </c>
      <c r="J199" t="n">
        <v>1086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253.3831077928138</v>
      </c>
      <c r="O199">
        <f>OR(Vu_khi!$AG$199,Vu_khi!$AB$199&gt;0,Vu_khi!$AH$199,Vu_khi!$M$199="Bomb",Vu_khi!$M$199="Drone")</f>
        <v/>
      </c>
      <c r="P199" t="b">
        <v>0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1.6</v>
      </c>
      <c r="AA199">
        <f>AND(Vu_khi!$K$199="Kinetic",NOT(Vu_khi!$AG$199))</f>
        <v/>
      </c>
      <c r="AB199" t="b">
        <v>0</v>
      </c>
      <c r="AC199">
        <f>IF(Vu_khi!$AG$199,INDEX(Bang_danh_noc!$C$2:$C$8,MIN(7,MAX(1,2-(Vu_khi!$L$199-0)+1))),INDEX(Bang_xuyen_giap!$C$2:$C$8,MIN(7,MAX(1,IF($O$199,MAX(1,2-(Vu_khi!$L$199-0)),2-(Vu_khi!$L$199-0))+1))))*IF($AA$199,INDEX(Bang_xuyen_qua!$C$2:$C$5,MIN(4,MAX(1,(Vu_khi!$L$199)-(0)-1))),1)</f>
        <v/>
      </c>
      <c r="AD199" t="n">
        <v>1.2</v>
      </c>
      <c r="AE199">
        <f>IF(Vu_khi!$AG$199,INDEX(Bang_danh_noc!$C$2:$C$8,MIN(7,MAX(1,2-(Vu_khi!$L$199-2)+1))),INDEX(Bang_xuyen_giap!$C$2:$C$8,MIN(7,MAX(1,IF($O$199,MAX(1,2-(Vu_khi!$L$199-2)),2-(Vu_khi!$L$199-2))+1))))*IF($AA$199,INDEX(Bang_xuyen_qua!$C$2:$C$5,MIN(4,MAX(1,(Vu_khi!$L$199)-(2)-1))),1)</f>
        <v/>
      </c>
      <c r="AF199" t="n">
        <v>1</v>
      </c>
      <c r="AG199">
        <f>IF(Vu_khi!$AG$199,INDEX(Bang_danh_noc!$C$2:$C$8,MIN(7,MAX(1,2-(Vu_khi!$L$199-4)+1))),INDEX(Bang_xuyen_giap!$C$2:$C$8,MIN(7,MAX(1,IF($O$199,MAX(1,2-(Vu_khi!$L$199-4)),2-(Vu_khi!$L$199-4))+1))))*IF($AA$199,INDEX(Bang_xuyen_qua!$C$2:$C$5,MIN(4,MAX(1,(Vu_khi!$L$199)-(4)-1))),1)</f>
        <v/>
      </c>
      <c r="AH199" t="n">
        <v>0.65</v>
      </c>
      <c r="AI199">
        <f>INDEX(Bang_xuyen_giap!$C$2:$C$8,MIN(7,MAX(1,MAX(1,2-(Vu_khi!$L$199-0))+1)))*IF($AA$199,INDEX(Bang_xuyen_qua!$C$2:$C$5,MIN(4,MAX(1,(Vu_khi!$L$199)-(0)-1))),1)</f>
        <v/>
      </c>
      <c r="AJ199" t="n">
        <v>1</v>
      </c>
      <c r="AK199">
        <f>IF($Q$199,$M$199*$AC$199*$U$199,0)</f>
        <v/>
      </c>
      <c r="AL199" t="n">
        <v>304.0597293513766</v>
      </c>
      <c r="AM199">
        <f>IF($Q$199,$M$199*$AE$199*$U$199,0)</f>
        <v/>
      </c>
      <c r="AN199" t="n">
        <v>253.3831077928138</v>
      </c>
      <c r="AO199">
        <f>IF($Q$199,$M$199*$AG$199*$U$199,0)</f>
        <v/>
      </c>
      <c r="AP199" t="n">
        <v>164.699020065329</v>
      </c>
      <c r="AQ199">
        <f>IF($Q$199,$M$199*$AE$199*$Y$199,0)</f>
        <v/>
      </c>
      <c r="AR199" t="n">
        <v>405.4129724685022</v>
      </c>
      <c r="AS199">
        <f>IF($S$199,$M$199*$AI$199*$W$199,0)</f>
        <v/>
      </c>
      <c r="AT199" t="n">
        <v>0</v>
      </c>
      <c r="AU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V199" t="b">
        <v>0</v>
      </c>
      <c r="AW199">
        <f>IF(AND($B$199&lt;0,$AU$199),4,$B$199)</f>
        <v/>
      </c>
      <c r="AX199" t="n">
        <v>3</v>
      </c>
      <c r="AY199">
        <f>IF($AW$199&lt;4,0,MIN(MAX(0.5,Canh_bao_vong!$D$4),MAX(IF(Vu_khi!$C$199="cal_406",Canh_bao_vong!$D$7,IF($AW$199&gt;=5,Canh_bao_vong!$D$9,Canh_bao_vong!$D$8)),Canh_bao_vong!$D$2+MAX(0,Vu_khi!$X$199)/MAX(0.1,Canh_bao_vong!$D$5))))</f>
        <v/>
      </c>
      <c r="AZ199" t="n">
        <v>0</v>
      </c>
      <c r="BA199" t="n">
        <v>2.000133</v>
      </c>
      <c r="BB199" t="inlineStr">
        <is>
          <t>CHAM_QUA</t>
        </is>
      </c>
      <c r="BC199" t="b">
        <v>1</v>
      </c>
      <c r="BD199" t="n">
        <v>90</v>
      </c>
      <c r="BE199" t="n">
        <v>117</v>
      </c>
      <c r="BF199" t="n">
        <v>0.25</v>
      </c>
      <c r="BG199" t="n">
        <v>0.5</v>
      </c>
      <c r="BH199" t="n">
        <v>1</v>
      </c>
      <c r="BI199" t="n">
        <v>0.769</v>
      </c>
      <c r="BJ199" t="inlineStr">
        <is>
          <t>NAVAL_DIRECT</t>
        </is>
      </c>
      <c r="BK199" t="inlineStr">
        <is>
          <t>ok</t>
        </is>
      </c>
      <c r="BL199" t="inlineStr">
        <is>
          <t>own line (over naval_100)</t>
        </is>
      </c>
      <c r="BM199" t="inlineStr"/>
      <c r="BN199" t="inlineStr">
        <is>
          <t>Assets/MachineBrigade/Resources/Data/balance.json: weapons[id=naval_130_twin] (lớp B trên 01_chien_dau/Vu_khi)</t>
        </is>
      </c>
      <c r="BO199" t="inlineStr"/>
    </row>
    <row r="200">
      <c r="A200" t="inlineStr">
        <is>
          <t>naval_155_triple</t>
        </is>
      </c>
      <c r="B200" t="n">
        <v>3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3</v>
      </c>
      <c r="G200">
        <f>IF(Vu_khi!$S$200&gt;0,(Vu_khi!$S$200-1)*Vu_khi!$R$200+Vu_khi!$T$200,Vu_khi!$R$200+(Vu_khi!$P$200-1)*Vu_khi!$Q$200)</f>
        <v/>
      </c>
      <c r="H200" t="n">
        <v>10.5</v>
      </c>
      <c r="I200">
        <f>Vu_khi!$W$200*MAX(1,$E$200)</f>
        <v/>
      </c>
      <c r="J200" t="n">
        <v>960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91.42857142857143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1</v>
      </c>
      <c r="S200">
        <f>AND(NOT(Vu_khi!$AJ$200),OR(Vu_khi!$AC$200="Air",Vu_khi!$AC$200="All"))</f>
        <v/>
      </c>
      <c r="T200" t="b">
        <v>0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0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1.6</v>
      </c>
      <c r="AA200">
        <f>AND(Vu_khi!$K$200="Kinetic",NOT(Vu_khi!$AG$200))</f>
        <v/>
      </c>
      <c r="AB200" t="b">
        <v>0</v>
      </c>
      <c r="AC200">
        <f>IF(Vu_khi!$AG$200,INDEX(Bang_danh_noc!$C$2:$C$8,MIN(7,MAX(1,2-(Vu_khi!$L$200-0)+1))),INDEX(Bang_xuyen_giap!$C$2:$C$8,MIN(7,MAX(1,IF($O$200,MAX(1,2-(Vu_khi!$L$200-0)),2-(Vu_khi!$L$200-0))+1))))*IF($AA$200,INDEX(Bang_xuyen_qua!$C$2:$C$5,MIN(4,MAX(1,(Vu_khi!$L$200)-(0)-1))),1)</f>
        <v/>
      </c>
      <c r="AD200" t="n">
        <v>1.2</v>
      </c>
      <c r="AE200">
        <f>IF(Vu_khi!$AG$200,INDEX(Bang_danh_noc!$C$2:$C$8,MIN(7,MAX(1,2-(Vu_khi!$L$200-2)+1))),INDEX(Bang_xuyen_giap!$C$2:$C$8,MIN(7,MAX(1,IF($O$200,MAX(1,2-(Vu_khi!$L$200-2)),2-(Vu_khi!$L$200-2))+1))))*IF($AA$200,INDEX(Bang_xuyen_qua!$C$2:$C$5,MIN(4,MAX(1,(Vu_khi!$L$200)-(2)-1))),1)</f>
        <v/>
      </c>
      <c r="AF200" t="n">
        <v>1</v>
      </c>
      <c r="AG200">
        <f>IF(Vu_khi!$AG$200,INDEX(Bang_danh_noc!$C$2:$C$8,MIN(7,MAX(1,2-(Vu_khi!$L$200-4)+1))),INDEX(Bang_xuyen_giap!$C$2:$C$8,MIN(7,MAX(1,IF($O$200,MAX(1,2-(Vu_khi!$L$200-4)),2-(Vu_khi!$L$200-4))+1))))*IF($AA$200,INDEX(Bang_xuyen_qua!$C$2:$C$5,MIN(4,MAX(1,(Vu_khi!$L$200)-(4)-1))),1)</f>
        <v/>
      </c>
      <c r="AH200" t="n">
        <v>0.65</v>
      </c>
      <c r="AI200">
        <f>INDEX(Bang_xuyen_giap!$C$2:$C$8,MIN(7,MAX(1,MAX(1,2-(Vu_khi!$L$200-0))+1)))*IF($AA$200,INDEX(Bang_xuyen_qua!$C$2:$C$5,MIN(4,MAX(1,(Vu_khi!$L$200)-(0)-1))),1)</f>
        <v/>
      </c>
      <c r="AJ200" t="n">
        <v>1</v>
      </c>
      <c r="AK200">
        <f>IF($Q$200,$M$200*$AC$200*$U$200,0)</f>
        <v/>
      </c>
      <c r="AL200" t="n">
        <v>109.7142857142857</v>
      </c>
      <c r="AM200">
        <f>IF($Q$200,$M$200*$AE$200*$U$200,0)</f>
        <v/>
      </c>
      <c r="AN200" t="n">
        <v>91.42857142857143</v>
      </c>
      <c r="AO200">
        <f>IF($Q$200,$M$200*$AG$200*$U$200,0)</f>
        <v/>
      </c>
      <c r="AP200" t="n">
        <v>59.42857142857143</v>
      </c>
      <c r="AQ200">
        <f>IF($Q$200,$M$200*$AE$200*$Y$200,0)</f>
        <v/>
      </c>
      <c r="AR200" t="n">
        <v>146.2857142857143</v>
      </c>
      <c r="AS200">
        <f>IF($S$200,$M$200*$AI$200*$W$200,0)</f>
        <v/>
      </c>
      <c r="AT200" t="n">
        <v>0</v>
      </c>
      <c r="AU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V200" t="b">
        <v>0</v>
      </c>
      <c r="AW200">
        <f>IF(AND($B$200&lt;0,$AU$200),4,$B$200)</f>
        <v/>
      </c>
      <c r="AX200" t="n">
        <v>3</v>
      </c>
      <c r="AY200">
        <f>IF($AW$200&lt;4,0,MIN(MAX(0.5,Canh_bao_vong!$D$4),MAX(IF(Vu_khi!$C$200="cal_406",Canh_bao_vong!$D$7,IF($AW$200&gt;=5,Canh_bao_vong!$D$9,Canh_bao_vong!$D$8)),Canh_bao_vong!$D$2+MAX(0,Vu_khi!$X$200)/MAX(0.1,Canh_bao_vong!$D$5))))</f>
        <v/>
      </c>
      <c r="AZ200" t="n">
        <v>0</v>
      </c>
      <c r="BA200" t="n">
        <v>0.6125</v>
      </c>
      <c r="BB200" t="inlineStr">
        <is>
          <t>ok</t>
        </is>
      </c>
      <c r="BC200" t="inlineStr"/>
      <c r="BD200" t="n">
        <v>88</v>
      </c>
      <c r="BE200" t="n">
        <v>114.4</v>
      </c>
      <c r="BF200" t="n">
        <v>0.312</v>
      </c>
      <c r="BG200" t="n">
        <v>0.625</v>
      </c>
      <c r="BH200" t="n">
        <v>1.25</v>
      </c>
      <c r="BI200" t="n">
        <v>0.962</v>
      </c>
      <c r="BJ200" t="inlineStr">
        <is>
          <t>NAVAL_DIRECT</t>
        </is>
      </c>
      <c r="BK200" t="inlineStr">
        <is>
          <t>ok</t>
        </is>
      </c>
      <c r="BL200" t="inlineStr">
        <is>
          <t>own line (over naval_76)</t>
        </is>
      </c>
      <c r="BM200" t="inlineStr"/>
      <c r="BN200" t="inlineStr">
        <is>
          <t>Assets/MachineBrigade/Resources/Data/balance.json: weapons[id=naval_155_triple] (lớp B trên 01_chien_dau/Vu_khi)</t>
        </is>
      </c>
      <c r="BO200" t="inlineStr"/>
    </row>
    <row r="201">
      <c r="A201" t="inlineStr">
        <is>
          <t>naval_155_triple_guided</t>
        </is>
      </c>
      <c r="B201" t="n">
        <v>3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10</v>
      </c>
      <c r="I201">
        <f>Vu_khi!$W$201*MAX(1,$E$201)</f>
        <v/>
      </c>
      <c r="J201" t="n">
        <v>320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32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1.6</v>
      </c>
      <c r="AA201">
        <f>AND(Vu_khi!$K$201="Kinetic",NOT(Vu_khi!$AG$201))</f>
        <v/>
      </c>
      <c r="AB201" t="b">
        <v>0</v>
      </c>
      <c r="AC201">
        <f>IF(Vu_khi!$AG$201,INDEX(Bang_danh_noc!$C$2:$C$8,MIN(7,MAX(1,2-(Vu_khi!$L$201-0)+1))),INDEX(Bang_xuyen_giap!$C$2:$C$8,MIN(7,MAX(1,IF($O$201,MAX(1,2-(Vu_khi!$L$201-0)),2-(Vu_khi!$L$201-0))+1))))*IF($AA$201,INDEX(Bang_xuyen_qua!$C$2:$C$5,MIN(4,MAX(1,(Vu_khi!$L$201)-(0)-1))),1)</f>
        <v/>
      </c>
      <c r="AD201" t="n">
        <v>1.2</v>
      </c>
      <c r="AE201">
        <f>IF(Vu_khi!$AG$201,INDEX(Bang_danh_noc!$C$2:$C$8,MIN(7,MAX(1,2-(Vu_khi!$L$201-2)+1))),INDEX(Bang_xuyen_giap!$C$2:$C$8,MIN(7,MAX(1,IF($O$201,MAX(1,2-(Vu_khi!$L$201-2)),2-(Vu_khi!$L$201-2))+1))))*IF($AA$201,INDEX(Bang_xuyen_qua!$C$2:$C$5,MIN(4,MAX(1,(Vu_khi!$L$201)-(2)-1))),1)</f>
        <v/>
      </c>
      <c r="AF201" t="n">
        <v>1</v>
      </c>
      <c r="AG201">
        <f>IF(Vu_khi!$AG$201,INDEX(Bang_danh_noc!$C$2:$C$8,MIN(7,MAX(1,2-(Vu_khi!$L$201-4)+1))),INDEX(Bang_xuyen_giap!$C$2:$C$8,MIN(7,MAX(1,IF($O$201,MAX(1,2-(Vu_khi!$L$201-4)),2-(Vu_khi!$L$201-4))+1))))*IF($AA$201,INDEX(Bang_xuyen_qua!$C$2:$C$5,MIN(4,MAX(1,(Vu_khi!$L$201)-(4)-1))),1)</f>
        <v/>
      </c>
      <c r="AH201" t="n">
        <v>0.65</v>
      </c>
      <c r="AI201">
        <f>INDEX(Bang_xuyen_giap!$C$2:$C$8,MIN(7,MAX(1,MAX(1,2-(Vu_khi!$L$201-0))+1)))*IF($AA$201,INDEX(Bang_xuyen_qua!$C$2:$C$5,MIN(4,MAX(1,(Vu_khi!$L$201)-(0)-1))),1)</f>
        <v/>
      </c>
      <c r="AJ201" t="n">
        <v>1</v>
      </c>
      <c r="AK201">
        <f>IF($Q$201,$M$201*$AC$201*$U$201,0)</f>
        <v/>
      </c>
      <c r="AL201" t="n">
        <v>38.4</v>
      </c>
      <c r="AM201">
        <f>IF($Q$201,$M$201*$AE$201*$U$201,0)</f>
        <v/>
      </c>
      <c r="AN201" t="n">
        <v>32</v>
      </c>
      <c r="AO201">
        <f>IF($Q$201,$M$201*$AG$201*$U$201,0)</f>
        <v/>
      </c>
      <c r="AP201" t="n">
        <v>20.8</v>
      </c>
      <c r="AQ201">
        <f>IF($Q$201,$M$201*$AE$201*$Y$201,0)</f>
        <v/>
      </c>
      <c r="AR201" t="n">
        <v>51.2</v>
      </c>
      <c r="AS201">
        <f>IF($S$201,$M$201*$AI$201*$W$201,0)</f>
        <v/>
      </c>
      <c r="AT201" t="n">
        <v>0</v>
      </c>
      <c r="AU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V201" t="b">
        <v>0</v>
      </c>
      <c r="AW201">
        <f>IF(AND($B$201&lt;0,$AU$201),4,$B$201)</f>
        <v/>
      </c>
      <c r="AX201" t="n">
        <v>3</v>
      </c>
      <c r="AY201">
        <f>IF($AW$201&lt;4,0,MIN(MAX(0.5,Canh_bao_vong!$D$4),MAX(IF(Vu_khi!$C$201="cal_406",Canh_bao_vong!$D$7,IF($AW$201&gt;=5,Canh_bao_vong!$D$9,Canh_bao_vong!$D$8)),Canh_bao_vong!$D$2+MAX(0,Vu_khi!$X$201)/MAX(0.1,Canh_bao_vong!$D$5))))</f>
        <v/>
      </c>
      <c r="AZ201" t="n">
        <v>0</v>
      </c>
      <c r="BD201" t="n">
        <v>88</v>
      </c>
      <c r="BE201" t="n">
        <v>114.4</v>
      </c>
      <c r="BF201" t="n">
        <v>0.312</v>
      </c>
      <c r="BG201" t="n">
        <v>0.625</v>
      </c>
      <c r="BH201" t="n">
        <v>1.25</v>
      </c>
      <c r="BI201" t="n">
        <v>0.962</v>
      </c>
      <c r="BJ201" t="inlineStr">
        <is>
          <t>NAVAL_DIRECT</t>
        </is>
      </c>
      <c r="BK201" t="inlineStr">
        <is>
          <t>ok</t>
        </is>
      </c>
      <c r="BL201" t="inlineStr">
        <is>
          <t>inherited from naval_155_triple</t>
        </is>
      </c>
      <c r="BM201" t="inlineStr"/>
      <c r="BN201" t="inlineStr">
        <is>
          <t>Assets/MachineBrigade/Resources/Data/balance.json: weapons[id=naval_155_triple_guided] (lớp B trên 01_chien_dau/Vu_khi)</t>
        </is>
      </c>
      <c r="BO201" t="inlineStr"/>
    </row>
    <row r="202">
      <c r="A202" t="inlineStr">
        <is>
          <t>net_zap</t>
        </is>
      </c>
      <c r="B202" t="n">
        <v>0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1</v>
      </c>
      <c r="G202">
        <f>IF(Vu_khi!$S$202&gt;0,(Vu_khi!$S$202-1)*Vu_khi!$R$202+Vu_khi!$T$202,Vu_khi!$R$202+(Vu_khi!$P$202-1)*Vu_khi!$Q$202)</f>
        <v/>
      </c>
      <c r="H202" t="n">
        <v>0.5</v>
      </c>
      <c r="I202">
        <f>Vu_khi!$W$202*MAX(1,$E$202)</f>
        <v/>
      </c>
      <c r="J202" t="n">
        <v>999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1998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0</v>
      </c>
      <c r="S202">
        <f>AND(NOT(Vu_khi!$AJ$202),OR(Vu_khi!$AC$202="Air",Vu_khi!$AC$202="All"))</f>
        <v/>
      </c>
      <c r="T202" t="b">
        <v>1</v>
      </c>
      <c r="U202">
        <f>INDEX(Bang_sat_thuong!$B$2:$B$7,MATCH(Vu_khi!$K$202,Bang_sat_thuong!$A$2:$A$7,0))</f>
        <v/>
      </c>
      <c r="V202" t="n">
        <v>0.9</v>
      </c>
      <c r="W202">
        <f>INDEX(Bang_sat_thuong!$C$2:$C$7,MATCH(Vu_khi!$K$202,Bang_sat_thuong!$A$2:$A$7,0))</f>
        <v/>
      </c>
      <c r="X202" t="n">
        <v>1.5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0.4</v>
      </c>
      <c r="AA202">
        <f>AND(Vu_khi!$K$202="Kinetic",NOT(Vu_khi!$AG$202))</f>
        <v/>
      </c>
      <c r="AB202" t="b">
        <v>0</v>
      </c>
      <c r="AC202">
        <f>IF(Vu_khi!$AG$202,INDEX(Bang_danh_noc!$C$2:$C$8,MIN(7,MAX(1,2-(Vu_khi!$L$202-0)+1))),INDEX(Bang_xuyen_giap!$C$2:$C$8,MIN(7,MAX(1,IF($O$202,MAX(1,2-(Vu_khi!$L$202-0)),2-(Vu_khi!$L$202-0))+1))))*IF($AA$202,INDEX(Bang_xuyen_qua!$C$2:$C$5,MIN(4,MAX(1,(Vu_khi!$L$202)-(0)-1))),1)</f>
        <v/>
      </c>
      <c r="AD202" t="n">
        <v>1</v>
      </c>
      <c r="AE202">
        <f>IF(Vu_khi!$AG$202,INDEX(Bang_danh_noc!$C$2:$C$8,MIN(7,MAX(1,2-(Vu_khi!$L$202-2)+1))),INDEX(Bang_xuyen_giap!$C$2:$C$8,MIN(7,MAX(1,IF($O$202,MAX(1,2-(Vu_khi!$L$202-2)),2-(Vu_khi!$L$202-2))+1))))*IF($AA$202,INDEX(Bang_xuyen_qua!$C$2:$C$5,MIN(4,MAX(1,(Vu_khi!$L$202)-(2)-1))),1)</f>
        <v/>
      </c>
      <c r="AF202" t="n">
        <v>0.65</v>
      </c>
      <c r="AG202">
        <f>IF(Vu_khi!$AG$202,INDEX(Bang_danh_noc!$C$2:$C$8,MIN(7,MAX(1,2-(Vu_khi!$L$202-4)+1))),INDEX(Bang_xuyen_giap!$C$2:$C$8,MIN(7,MAX(1,IF($O$202,MAX(1,2-(Vu_khi!$L$202-4)),2-(Vu_khi!$L$202-4))+1))))*IF($AA$202,INDEX(Bang_xuyen_qua!$C$2:$C$5,MIN(4,MAX(1,(Vu_khi!$L$202)-(4)-1))),1)</f>
        <v/>
      </c>
      <c r="AH202" t="n">
        <v>0.15</v>
      </c>
      <c r="AI202">
        <f>INDEX(Bang_xuyen_giap!$C$2:$C$8,MIN(7,MAX(1,MAX(1,2-(Vu_khi!$L$202-0))+1)))*IF($AA$202,INDEX(Bang_xuyen_qua!$C$2:$C$5,MIN(4,MAX(1,(Vu_khi!$L$202)-(0)-1))),1)</f>
        <v/>
      </c>
      <c r="AJ202" t="n">
        <v>1</v>
      </c>
      <c r="AK202">
        <f>IF($Q$202,$M$202*$AC$202*$U$202,0)</f>
        <v/>
      </c>
      <c r="AL202" t="n">
        <v>0</v>
      </c>
      <c r="AM202">
        <f>IF($Q$202,$M$202*$AE$202*$U$202,0)</f>
        <v/>
      </c>
      <c r="AN202" t="n">
        <v>0</v>
      </c>
      <c r="AO202">
        <f>IF($Q$202,$M$202*$AG$202*$U$202,0)</f>
        <v/>
      </c>
      <c r="AP202" t="n">
        <v>0</v>
      </c>
      <c r="AQ202">
        <f>IF($Q$202,$M$202*$AE$202*$Y$202,0)</f>
        <v/>
      </c>
      <c r="AR202" t="n">
        <v>0</v>
      </c>
      <c r="AS202">
        <f>IF($S$202,$M$202*$AI$202*$W$202,0)</f>
        <v/>
      </c>
      <c r="AT202" t="n">
        <v>2997</v>
      </c>
      <c r="AU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V202" t="b">
        <v>0</v>
      </c>
      <c r="AW202">
        <f>IF(AND($B$202&lt;0,$AU$202),4,$B$202)</f>
        <v/>
      </c>
      <c r="AX202" t="n">
        <v>0</v>
      </c>
      <c r="AY202">
        <f>IF($AW$202&lt;4,0,MIN(MAX(0.5,Canh_bao_vong!$D$4),MAX(IF(Vu_khi!$C$202="cal_406",Canh_bao_vong!$D$7,IF($AW$202&gt;=5,Canh_bao_vong!$D$9,Canh_bao_vong!$D$8)),Canh_bao_vong!$D$2+MAX(0,Vu_khi!$X$202)/MAX(0.1,Canh_bao_vong!$D$5))))</f>
        <v/>
      </c>
      <c r="AZ202" t="n">
        <v>0</v>
      </c>
      <c r="BA202" t="inlineStr"/>
      <c r="BB202" t="inlineStr">
        <is>
          <t>ok</t>
        </is>
      </c>
      <c r="BC202" t="inlineStr"/>
      <c r="BD202" t="n">
        <v>200</v>
      </c>
      <c r="BE202" t="n">
        <v>260</v>
      </c>
      <c r="BF202" t="n">
        <v>0.019</v>
      </c>
      <c r="BG202" t="n">
        <v>0.037</v>
      </c>
      <c r="BH202" t="n">
        <v>0.075</v>
      </c>
      <c r="BI202" t="n">
        <v>0.058</v>
      </c>
      <c r="BJ202" t="inlineStr">
        <is>
          <t>BEAM_OR_MELEE</t>
        </is>
      </c>
      <c r="BK202" t="inlineStr">
        <is>
          <t>ok</t>
        </is>
      </c>
      <c r="BL202" t="inlineStr">
        <is>
          <t>own line</t>
        </is>
      </c>
      <c r="BM202" t="inlineStr"/>
      <c r="BN202" t="inlineStr">
        <is>
          <t>Assets/MachineBrigade/Resources/Data/balance.json: weapons[id=net_zap] (lớp B trên 01_chien_dau/Vu_khi)</t>
        </is>
      </c>
      <c r="BO202" t="inlineStr"/>
    </row>
    <row r="203">
      <c r="A203" t="inlineStr">
        <is>
          <t>none</t>
        </is>
      </c>
      <c r="B203" t="n">
        <v>0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1</v>
      </c>
      <c r="I203">
        <f>Vu_khi!$W$203*MAX(1,$E$203)</f>
        <v/>
      </c>
      <c r="J203" t="n">
        <v>0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0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1.2</v>
      </c>
      <c r="W203">
        <f>INDEX(Bang_sat_thuong!$C$2:$C$7,MATCH(Vu_khi!$K$203,Bang_sat_thuong!$A$2:$A$7,0))</f>
        <v/>
      </c>
      <c r="X203" t="n">
        <v>0.3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0.7</v>
      </c>
      <c r="AA203">
        <f>AND(Vu_khi!$K$203="Kinetic",NOT(Vu_khi!$AG$203))</f>
        <v/>
      </c>
      <c r="AB203" t="b">
        <v>1</v>
      </c>
      <c r="AC203">
        <f>IF(Vu_khi!$AG$203,INDEX(Bang_danh_noc!$C$2:$C$8,MIN(7,MAX(1,2-(Vu_khi!$L$203-0)+1))),INDEX(Bang_xuyen_giap!$C$2:$C$8,MIN(7,MAX(1,IF($O$203,MAX(1,2-(Vu_khi!$L$203-0)),2-(Vu_khi!$L$203-0))+1))))*IF($AA$203,INDEX(Bang_xuyen_qua!$C$2:$C$5,MIN(4,MAX(1,(Vu_khi!$L$203)-(0)-1))),1)</f>
        <v/>
      </c>
      <c r="AD203" t="n">
        <v>0.85</v>
      </c>
      <c r="AE203">
        <f>IF(Vu_khi!$AG$203,INDEX(Bang_danh_noc!$C$2:$C$8,MIN(7,MAX(1,2-(Vu_khi!$L$203-2)+1))),INDEX(Bang_xuyen_giap!$C$2:$C$8,MIN(7,MAX(1,IF($O$203,MAX(1,2-(Vu_khi!$L$203-2)),2-(Vu_khi!$L$203-2))+1))))*IF($AA$203,INDEX(Bang_xuyen_qua!$C$2:$C$5,MIN(4,MAX(1,(Vu_khi!$L$203)-(2)-1))),1)</f>
        <v/>
      </c>
      <c r="AF203" t="n">
        <v>0.4</v>
      </c>
      <c r="AG203">
        <f>IF(Vu_khi!$AG$203,INDEX(Bang_danh_noc!$C$2:$C$8,MIN(7,MAX(1,2-(Vu_khi!$L$203-4)+1))),INDEX(Bang_xuyen_giap!$C$2:$C$8,MIN(7,MAX(1,IF($O$203,MAX(1,2-(Vu_khi!$L$203-4)),2-(Vu_khi!$L$203-4))+1))))*IF($AA$203,INDEX(Bang_xuyen_qua!$C$2:$C$5,MIN(4,MAX(1,(Vu_khi!$L$203)-(4)-1))),1)</f>
        <v/>
      </c>
      <c r="AH203" t="n">
        <v>0.08</v>
      </c>
      <c r="AI203">
        <f>INDEX(Bang_xuyen_giap!$C$2:$C$8,MIN(7,MAX(1,MAX(1,2-(Vu_khi!$L$203-0))+1)))*IF($AA$203,INDEX(Bang_xuyen_qua!$C$2:$C$5,MIN(4,MAX(1,(Vu_khi!$L$203)-(0)-1))),1)</f>
        <v/>
      </c>
      <c r="AJ203" t="n">
        <v>0.85</v>
      </c>
      <c r="AK203">
        <f>IF($Q$203,$M$203*$AC$203*$U$203,0)</f>
        <v/>
      </c>
      <c r="AL203" t="n">
        <v>0</v>
      </c>
      <c r="AM203">
        <f>IF($Q$203,$M$203*$AE$203*$U$203,0)</f>
        <v/>
      </c>
      <c r="AN203" t="n">
        <v>0</v>
      </c>
      <c r="AO203">
        <f>IF($Q$203,$M$203*$AG$203*$U$203,0)</f>
        <v/>
      </c>
      <c r="AP203" t="n">
        <v>0</v>
      </c>
      <c r="AQ203">
        <f>IF($Q$203,$M$203*$AE$203*$Y$203,0)</f>
        <v/>
      </c>
      <c r="AR203" t="n">
        <v>0</v>
      </c>
      <c r="AS203">
        <f>IF($S$203,$M$203*$AI$203*$W$203,0)</f>
        <v/>
      </c>
      <c r="AT203" t="n">
        <v>0</v>
      </c>
      <c r="AU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V203" t="b">
        <v>0</v>
      </c>
      <c r="AW203">
        <f>IF(AND($B$203&lt;0,$AU$203),4,$B$203)</f>
        <v/>
      </c>
      <c r="AX203" t="n">
        <v>0</v>
      </c>
      <c r="AY203">
        <f>IF($AW$203&lt;4,0,MIN(MAX(0.5,Canh_bao_vong!$D$4),MAX(IF(Vu_khi!$C$203="cal_406",Canh_bao_vong!$D$7,IF($AW$203&gt;=5,Canh_bao_vong!$D$9,Canh_bao_vong!$D$8)),Canh_bao_vong!$D$2+MAX(0,Vu_khi!$X$203)/MAX(0.1,Canh_bao_vong!$D$5))))</f>
        <v/>
      </c>
      <c r="AZ203" t="n">
        <v>0</v>
      </c>
      <c r="BA203" t="inlineStr"/>
      <c r="BB203" t="inlineStr">
        <is>
          <t>ok</t>
        </is>
      </c>
      <c r="BC203" t="inlineStr"/>
      <c r="BD203" t="n">
        <v>100</v>
      </c>
      <c r="BE203" t="n">
        <v>130</v>
      </c>
      <c r="BF203" t="n">
        <v>0.003</v>
      </c>
      <c r="BG203" t="n">
        <v>0.005</v>
      </c>
      <c r="BH203" t="n">
        <v>0.01</v>
      </c>
      <c r="BI203" t="n">
        <v>0.008</v>
      </c>
      <c r="BJ203" t="inlineStr">
        <is>
          <t>DIRECT_BULLET</t>
        </is>
      </c>
      <c r="BK203" t="inlineStr">
        <is>
          <t>ok</t>
        </is>
      </c>
      <c r="BL203" t="inlineStr">
        <is>
          <t>own line</t>
        </is>
      </c>
      <c r="BM203" t="inlineStr"/>
      <c r="BN203" t="inlineStr">
        <is>
          <t>Assets/MachineBrigade/Resources/Data/balance.json: weapons[id=none] (lớp B trên 01_chien_dau/Vu_khi)</t>
        </is>
      </c>
      <c r="BO203" t="inlineStr"/>
    </row>
    <row r="204">
      <c r="A204" t="inlineStr">
        <is>
          <t>nyx_ags_155</t>
        </is>
      </c>
      <c r="B204" t="n">
        <v>3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2</v>
      </c>
      <c r="G204">
        <f>IF(Vu_khi!$S$204&gt;0,(Vu_khi!$S$204-1)*Vu_khi!$R$204+Vu_khi!$T$204,Vu_khi!$R$204+(Vu_khi!$P$204-1)*Vu_khi!$Q$204)</f>
        <v/>
      </c>
      <c r="H204" t="n">
        <v>8.6</v>
      </c>
      <c r="I204">
        <f>Vu_khi!$W$204*MAX(1,$E$204)</f>
        <v/>
      </c>
      <c r="J204" t="n">
        <v>720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83.72093023255815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1.6</v>
      </c>
      <c r="AA204">
        <f>AND(Vu_khi!$K$204="Kinetic",NOT(Vu_khi!$AG$204))</f>
        <v/>
      </c>
      <c r="AB204" t="b">
        <v>0</v>
      </c>
      <c r="AC204">
        <f>IF(Vu_khi!$AG$204,INDEX(Bang_danh_noc!$C$2:$C$8,MIN(7,MAX(1,2-(Vu_khi!$L$204-0)+1))),INDEX(Bang_xuyen_giap!$C$2:$C$8,MIN(7,MAX(1,IF($O$204,MAX(1,2-(Vu_khi!$L$204-0)),2-(Vu_khi!$L$204-0))+1))))*IF($AA$204,INDEX(Bang_xuyen_qua!$C$2:$C$5,MIN(4,MAX(1,(Vu_khi!$L$204)-(0)-1))),1)</f>
        <v/>
      </c>
      <c r="AD204" t="n">
        <v>1.2</v>
      </c>
      <c r="AE204">
        <f>IF(Vu_khi!$AG$204,INDEX(Bang_danh_noc!$C$2:$C$8,MIN(7,MAX(1,2-(Vu_khi!$L$204-2)+1))),INDEX(Bang_xuyen_giap!$C$2:$C$8,MIN(7,MAX(1,IF($O$204,MAX(1,2-(Vu_khi!$L$204-2)),2-(Vu_khi!$L$204-2))+1))))*IF($AA$204,INDEX(Bang_xuyen_qua!$C$2:$C$5,MIN(4,MAX(1,(Vu_khi!$L$204)-(2)-1))),1)</f>
        <v/>
      </c>
      <c r="AF204" t="n">
        <v>1</v>
      </c>
      <c r="AG204">
        <f>IF(Vu_khi!$AG$204,INDEX(Bang_danh_noc!$C$2:$C$8,MIN(7,MAX(1,2-(Vu_khi!$L$204-4)+1))),INDEX(Bang_xuyen_giap!$C$2:$C$8,MIN(7,MAX(1,IF($O$204,MAX(1,2-(Vu_khi!$L$204-4)),2-(Vu_khi!$L$204-4))+1))))*IF($AA$204,INDEX(Bang_xuyen_qua!$C$2:$C$5,MIN(4,MAX(1,(Vu_khi!$L$204)-(4)-1))),1)</f>
        <v/>
      </c>
      <c r="AH204" t="n">
        <v>0.65</v>
      </c>
      <c r="AI204">
        <f>INDEX(Bang_xuyen_giap!$C$2:$C$8,MIN(7,MAX(1,MAX(1,2-(Vu_khi!$L$204-0))+1)))*IF($AA$204,INDEX(Bang_xuyen_qua!$C$2:$C$5,MIN(4,MAX(1,(Vu_khi!$L$204)-(0)-1))),1)</f>
        <v/>
      </c>
      <c r="AJ204" t="n">
        <v>1</v>
      </c>
      <c r="AK204">
        <f>IF($Q$204,$M$204*$AC$204*$U$204,0)</f>
        <v/>
      </c>
      <c r="AL204" t="n">
        <v>100.4651162790698</v>
      </c>
      <c r="AM204">
        <f>IF($Q$204,$M$204*$AE$204*$U$204,0)</f>
        <v/>
      </c>
      <c r="AN204" t="n">
        <v>83.72093023255815</v>
      </c>
      <c r="AO204">
        <f>IF($Q$204,$M$204*$AG$204*$U$204,0)</f>
        <v/>
      </c>
      <c r="AP204" t="n">
        <v>54.41860465116279</v>
      </c>
      <c r="AQ204">
        <f>IF($Q$204,$M$204*$AE$204*$Y$204,0)</f>
        <v/>
      </c>
      <c r="AR204" t="n">
        <v>133.953488372093</v>
      </c>
      <c r="AS204">
        <f>IF($S$204,$M$204*$AI$204*$W$204,0)</f>
        <v/>
      </c>
      <c r="AT204" t="n">
        <v>0</v>
      </c>
      <c r="AU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V204" t="b">
        <v>0</v>
      </c>
      <c r="AW204">
        <f>IF(AND($B$204&lt;0,$AU$204),4,$B$204)</f>
        <v/>
      </c>
      <c r="AX204" t="n">
        <v>3</v>
      </c>
      <c r="AY204">
        <f>IF($AW$204&lt;4,0,MIN(MAX(0.5,Canh_bao_vong!$D$4),MAX(IF(Vu_khi!$C$204="cal_406",Canh_bao_vong!$D$7,IF($AW$204&gt;=5,Canh_bao_vong!$D$9,Canh_bao_vong!$D$8)),Canh_bao_vong!$D$2+MAX(0,Vu_khi!$X$204)/MAX(0.1,Canh_bao_vong!$D$5))))</f>
        <v/>
      </c>
      <c r="AZ204" t="n">
        <v>0</v>
      </c>
      <c r="BA204" t="inlineStr"/>
      <c r="BB204" t="inlineStr">
        <is>
          <t>LECH_DOT_1</t>
        </is>
      </c>
      <c r="BC204" t="b">
        <v>1</v>
      </c>
      <c r="BD204" t="n">
        <v>88</v>
      </c>
      <c r="BE204" t="n">
        <v>114.4</v>
      </c>
      <c r="BF204" t="n">
        <v>0.227</v>
      </c>
      <c r="BG204" t="n">
        <v>0.455</v>
      </c>
      <c r="BH204" t="n">
        <v>0.909</v>
      </c>
      <c r="BI204" t="n">
        <v>0.699</v>
      </c>
      <c r="BJ204" t="inlineStr">
        <is>
          <t>NAVAL_DIRECT</t>
        </is>
      </c>
      <c r="BK204" t="inlineStr">
        <is>
          <t>ok</t>
        </is>
      </c>
      <c r="BL204" t="inlineStr">
        <is>
          <t>own line (over naval_155_triple)</t>
        </is>
      </c>
      <c r="BM204" t="inlineStr"/>
      <c r="BN204" t="inlineStr">
        <is>
          <t>Assets/MachineBrigade/Resources/Data/balance.json: weapons[id=nyx_ags_155] (lớp B trên 01_chien_dau/Vu_khi)</t>
        </is>
      </c>
      <c r="BO204" t="inlineStr"/>
    </row>
    <row r="205">
      <c r="A205" t="inlineStr">
        <is>
          <t>nyx_millennium</t>
        </is>
      </c>
      <c r="B205" t="n">
        <v>1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24</v>
      </c>
      <c r="G205">
        <f>IF(Vu_khi!$S$205&gt;0,(Vu_khi!$S$205-1)*Vu_khi!$R$205+Vu_khi!$T$205,Vu_khi!$R$205+(Vu_khi!$P$205-1)*Vu_khi!$Q$205)</f>
        <v/>
      </c>
      <c r="H205" t="n">
        <v>4.18</v>
      </c>
      <c r="I205">
        <f>Vu_khi!$W$205*MAX(1,$E$205)</f>
        <v/>
      </c>
      <c r="J205" t="n">
        <v>576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137.799043062201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0</v>
      </c>
      <c r="S205">
        <f>AND(NOT(Vu_khi!$AJ$205),OR(Vu_khi!$AC$205="Air",Vu_khi!$AC$205="All"))</f>
        <v/>
      </c>
      <c r="T205" t="b">
        <v>1</v>
      </c>
      <c r="U205">
        <f>INDEX(Bang_sat_thuong!$B$2:$B$7,MATCH(Vu_khi!$K$205,Bang_sat_thuong!$A$2:$A$7,0))</f>
        <v/>
      </c>
      <c r="V205" t="n">
        <v>0.45</v>
      </c>
      <c r="W205">
        <f>INDEX(Bang_sat_thuong!$C$2:$C$7,MATCH(Vu_khi!$K$205,Bang_sat_thuong!$A$2:$A$7,0))</f>
        <v/>
      </c>
      <c r="X205" t="n">
        <v>1.35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0.1</v>
      </c>
      <c r="AA205">
        <f>AND(Vu_khi!$K$205="Kinetic",NOT(Vu_khi!$AG$205))</f>
        <v/>
      </c>
      <c r="AB205" t="b">
        <v>0</v>
      </c>
      <c r="AC205">
        <f>IF(Vu_khi!$AG$205,INDEX(Bang_danh_noc!$C$2:$C$8,MIN(7,MAX(1,2-(Vu_khi!$L$205-0)+1))),INDEX(Bang_xuyen_giap!$C$2:$C$8,MIN(7,MAX(1,IF($O$205,MAX(1,2-(Vu_khi!$L$205-0)),2-(Vu_khi!$L$205-0))+1))))*IF($AA$205,INDEX(Bang_xuyen_qua!$C$2:$C$5,MIN(4,MAX(1,(Vu_khi!$L$205)-(0)-1))),1)</f>
        <v/>
      </c>
      <c r="AD205" t="n">
        <v>1.2</v>
      </c>
      <c r="AE205">
        <f>IF(Vu_khi!$AG$205,INDEX(Bang_danh_noc!$C$2:$C$8,MIN(7,MAX(1,2-(Vu_khi!$L$205-2)+1))),INDEX(Bang_xuyen_giap!$C$2:$C$8,MIN(7,MAX(1,IF($O$205,MAX(1,2-(Vu_khi!$L$205-2)),2-(Vu_khi!$L$205-2))+1))))*IF($AA$205,INDEX(Bang_xuyen_qua!$C$2:$C$5,MIN(4,MAX(1,(Vu_khi!$L$205)-(2)-1))),1)</f>
        <v/>
      </c>
      <c r="AF205" t="n">
        <v>0.85</v>
      </c>
      <c r="AG205">
        <f>IF(Vu_khi!$AG$205,INDEX(Bang_danh_noc!$C$2:$C$8,MIN(7,MAX(1,2-(Vu_khi!$L$205-4)+1))),INDEX(Bang_xuyen_giap!$C$2:$C$8,MIN(7,MAX(1,IF($O$205,MAX(1,2-(Vu_khi!$L$205-4)),2-(Vu_khi!$L$205-4))+1))))*IF($AA$205,INDEX(Bang_xuyen_qua!$C$2:$C$5,MIN(4,MAX(1,(Vu_khi!$L$205)-(4)-1))),1)</f>
        <v/>
      </c>
      <c r="AH205" t="n">
        <v>0.4</v>
      </c>
      <c r="AI205">
        <f>INDEX(Bang_xuyen_giap!$C$2:$C$8,MIN(7,MAX(1,MAX(1,2-(Vu_khi!$L$205-0))+1)))*IF($AA$205,INDEX(Bang_xuyen_qua!$C$2:$C$5,MIN(4,MAX(1,(Vu_khi!$L$205)-(0)-1))),1)</f>
        <v/>
      </c>
      <c r="AJ205" t="n">
        <v>1</v>
      </c>
      <c r="AK205">
        <f>IF($Q$205,$M$205*$AC$205*$U$205,0)</f>
        <v/>
      </c>
      <c r="AL205" t="n">
        <v>0</v>
      </c>
      <c r="AM205">
        <f>IF($Q$205,$M$205*$AE$205*$U$205,0)</f>
        <v/>
      </c>
      <c r="AN205" t="n">
        <v>0</v>
      </c>
      <c r="AO205">
        <f>IF($Q$205,$M$205*$AG$205*$U$205,0)</f>
        <v/>
      </c>
      <c r="AP205" t="n">
        <v>0</v>
      </c>
      <c r="AQ205">
        <f>IF($Q$205,$M$205*$AE$205*$Y$205,0)</f>
        <v/>
      </c>
      <c r="AR205" t="n">
        <v>0</v>
      </c>
      <c r="AS205">
        <f>IF($S$205,$M$205*$AI$205*$W$205,0)</f>
        <v/>
      </c>
      <c r="AT205" t="n">
        <v>186.0287081339713</v>
      </c>
      <c r="AU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V205" t="b">
        <v>0</v>
      </c>
      <c r="AW205">
        <f>IF(AND($B$205&lt;0,$AU$205),4,$B$205)</f>
        <v/>
      </c>
      <c r="AX205" t="n">
        <v>1</v>
      </c>
      <c r="AY205">
        <f>IF($AW$205&lt;4,0,MIN(MAX(0.5,Canh_bao_vong!$D$4),MAX(IF(Vu_khi!$C$205="cal_406",Canh_bao_vong!$D$7,IF($AW$205&gt;=5,Canh_bao_vong!$D$9,Canh_bao_vong!$D$8)),Canh_bao_vong!$D$2+MAX(0,Vu_khi!$X$205)/MAX(0.1,Canh_bao_vong!$D$5))))</f>
        <v/>
      </c>
      <c r="AZ205" t="n">
        <v>0</v>
      </c>
      <c r="BA205" t="inlineStr"/>
      <c r="BB205" t="inlineStr">
        <is>
          <t>LECH_DOT_1</t>
        </is>
      </c>
      <c r="BC205" t="b">
        <v>1</v>
      </c>
      <c r="BD205" t="n">
        <v>260</v>
      </c>
      <c r="BE205" t="n">
        <v>338</v>
      </c>
      <c r="BF205" t="n">
        <v>0.044</v>
      </c>
      <c r="BG205" t="n">
        <v>0.08799999999999999</v>
      </c>
      <c r="BH205" t="n">
        <v>0.177</v>
      </c>
      <c r="BI205" t="n">
        <v>0.136</v>
      </c>
      <c r="BJ205" t="inlineStr">
        <is>
          <t>DIRECT_BULLET</t>
        </is>
      </c>
      <c r="BK205" t="inlineStr">
        <is>
          <t>ok</t>
        </is>
      </c>
      <c r="BL205" t="inlineStr">
        <is>
          <t>family oerlikon_35_mm</t>
        </is>
      </c>
      <c r="BM205" t="inlineStr"/>
      <c r="BN205" t="inlineStr">
        <is>
          <t>Assets/MachineBrigade/Resources/Data/balance.json: weapons[id=nyx_millennium] (lớp B trên 01_chien_dau/Vu_khi)</t>
        </is>
      </c>
      <c r="BO205" t="inlineStr"/>
    </row>
    <row r="206">
      <c r="A206" t="inlineStr">
        <is>
          <t>nyx_tomahawk</t>
        </is>
      </c>
      <c r="B206" t="n">
        <v>4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2</v>
      </c>
      <c r="G206">
        <f>IF(Vu_khi!$S$206&gt;0,(Vu_khi!$S$206-1)*Vu_khi!$R$206+Vu_khi!$T$206,Vu_khi!$R$206+(Vu_khi!$P$206-1)*Vu_khi!$Q$206)</f>
        <v/>
      </c>
      <c r="H206" t="n">
        <v>54</v>
      </c>
      <c r="I206">
        <f>Vu_khi!$W$206*MAX(1,$E$206)</f>
        <v/>
      </c>
      <c r="J206" t="n">
        <v>680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12.59259259259259</v>
      </c>
      <c r="O206">
        <f>OR(Vu_khi!$AG$206,Vu_khi!$AB$206&gt;0,Vu_khi!$AH$206,Vu_khi!$M$206="Bomb",Vu_khi!$M$206="Drone")</f>
        <v/>
      </c>
      <c r="P206" t="b">
        <v>0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1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1.6</v>
      </c>
      <c r="AA206">
        <f>AND(Vu_khi!$K$206="Kinetic",NOT(Vu_khi!$AG$206))</f>
        <v/>
      </c>
      <c r="AB206" t="b">
        <v>0</v>
      </c>
      <c r="AC206">
        <f>IF(Vu_khi!$AG$206,INDEX(Bang_danh_noc!$C$2:$C$8,MIN(7,MAX(1,2-(Vu_khi!$L$206-0)+1))),INDEX(Bang_xuyen_giap!$C$2:$C$8,MIN(7,MAX(1,IF($O$206,MAX(1,2-(Vu_khi!$L$206-0)),2-(Vu_khi!$L$206-0))+1))))*IF($AA$206,INDEX(Bang_xuyen_qua!$C$2:$C$5,MIN(4,MAX(1,(Vu_khi!$L$206)-(0)-1))),1)</f>
        <v/>
      </c>
      <c r="AD206" t="n">
        <v>1.2</v>
      </c>
      <c r="AE206">
        <f>IF(Vu_khi!$AG$206,INDEX(Bang_danh_noc!$C$2:$C$8,MIN(7,MAX(1,2-(Vu_khi!$L$206-2)+1))),INDEX(Bang_xuyen_giap!$C$2:$C$8,MIN(7,MAX(1,IF($O$206,MAX(1,2-(Vu_khi!$L$206-2)),2-(Vu_khi!$L$206-2))+1))))*IF($AA$206,INDEX(Bang_xuyen_qua!$C$2:$C$5,MIN(4,MAX(1,(Vu_khi!$L$206)-(2)-1))),1)</f>
        <v/>
      </c>
      <c r="AF206" t="n">
        <v>1</v>
      </c>
      <c r="AG206">
        <f>IF(Vu_khi!$AG$206,INDEX(Bang_danh_noc!$C$2:$C$8,MIN(7,MAX(1,2-(Vu_khi!$L$206-4)+1))),INDEX(Bang_xuyen_giap!$C$2:$C$8,MIN(7,MAX(1,IF($O$206,MAX(1,2-(Vu_khi!$L$206-4)),2-(Vu_khi!$L$206-4))+1))))*IF($AA$206,INDEX(Bang_xuyen_qua!$C$2:$C$5,MIN(4,MAX(1,(Vu_khi!$L$206)-(4)-1))),1)</f>
        <v/>
      </c>
      <c r="AH206" t="n">
        <v>0.65</v>
      </c>
      <c r="AI206">
        <f>INDEX(Bang_xuyen_giap!$C$2:$C$8,MIN(7,MAX(1,MAX(1,2-(Vu_khi!$L$206-0))+1)))*IF($AA$206,INDEX(Bang_xuyen_qua!$C$2:$C$5,MIN(4,MAX(1,(Vu_khi!$L$206)-(0)-1))),1)</f>
        <v/>
      </c>
      <c r="AJ206" t="n">
        <v>1</v>
      </c>
      <c r="AK206">
        <f>IF($Q$206,$M$206*$AC$206*$U$206,0)</f>
        <v/>
      </c>
      <c r="AL206" t="n">
        <v>15.11111111111111</v>
      </c>
      <c r="AM206">
        <f>IF($Q$206,$M$206*$AE$206*$U$206,0)</f>
        <v/>
      </c>
      <c r="AN206" t="n">
        <v>12.59259259259259</v>
      </c>
      <c r="AO206">
        <f>IF($Q$206,$M$206*$AG$206*$U$206,0)</f>
        <v/>
      </c>
      <c r="AP206" t="n">
        <v>8.185185185185187</v>
      </c>
      <c r="AQ206">
        <f>IF($Q$206,$M$206*$AE$206*$Y$206,0)</f>
        <v/>
      </c>
      <c r="AR206" t="n">
        <v>20.14814814814815</v>
      </c>
      <c r="AS206">
        <f>IF($S$206,$M$206*$AI$206*$W$206,0)</f>
        <v/>
      </c>
      <c r="AT206" t="n">
        <v>0</v>
      </c>
      <c r="AU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V206" t="b">
        <v>0</v>
      </c>
      <c r="AW206">
        <f>IF(AND($B$206&lt;0,$AU$206),4,$B$206)</f>
        <v/>
      </c>
      <c r="AX206" t="n">
        <v>4</v>
      </c>
      <c r="AY206">
        <f>IF($AW$206&lt;4,0,MIN(MAX(0.5,Canh_bao_vong!$D$4),MAX(IF(Vu_khi!$C$206="cal_406",Canh_bao_vong!$D$7,IF($AW$206&gt;=5,Canh_bao_vong!$D$9,Canh_bao_vong!$D$8)),Canh_bao_vong!$D$2+MAX(0,Vu_khi!$X$206)/MAX(0.1,Canh_bao_vong!$D$5))))</f>
        <v/>
      </c>
      <c r="AZ206" t="n">
        <v>2.5</v>
      </c>
      <c r="BA206" t="n">
        <v>9</v>
      </c>
      <c r="BB206" t="inlineStr">
        <is>
          <t>CHAM_QUA</t>
        </is>
      </c>
      <c r="BC206" t="b">
        <v>1</v>
      </c>
      <c r="BD206" t="n">
        <v>70</v>
      </c>
      <c r="BE206" t="n">
        <v>91</v>
      </c>
      <c r="BF206" t="n">
        <v>0.429</v>
      </c>
      <c r="BG206" t="n">
        <v>0.857</v>
      </c>
      <c r="BH206" t="n">
        <v>1.714</v>
      </c>
      <c r="BI206" t="n">
        <v>1.319</v>
      </c>
      <c r="BJ206" t="inlineStr">
        <is>
          <t>CRUISE</t>
        </is>
      </c>
      <c r="BK206" t="inlineStr">
        <is>
          <t>ok</t>
        </is>
      </c>
      <c r="BL206" t="inlineStr">
        <is>
          <t>own line (over cruise_missile_ground)</t>
        </is>
      </c>
      <c r="BM206" t="inlineStr"/>
      <c r="BN206" t="inlineStr">
        <is>
          <t>Assets/MachineBrigade/Resources/Data/balance.json: weapons[id=nyx_tomahawk] (lớp B trên 01_chien_dau/Vu_khi)</t>
        </is>
      </c>
      <c r="BO206" t="inlineStr"/>
    </row>
    <row r="207">
      <c r="A207" t="inlineStr">
        <is>
          <t>one_shot_kornet</t>
        </is>
      </c>
      <c r="B207" t="n">
        <v>2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8</v>
      </c>
      <c r="G207">
        <f>IF(Vu_khi!$S$207&gt;0,(Vu_khi!$S$207-1)*Vu_khi!$R$207+Vu_khi!$T$207,Vu_khi!$R$207+(Vu_khi!$P$207-1)*Vu_khi!$Q$207)</f>
        <v/>
      </c>
      <c r="H207" t="n">
        <v>1000007.4</v>
      </c>
      <c r="I207">
        <f>Vu_khi!$W$207*MAX(1,$E$207)</f>
        <v/>
      </c>
      <c r="J207" t="n">
        <v>1840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0.001839986384100758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0</v>
      </c>
      <c r="U207">
        <f>INDEX(Bang_sat_thuong!$B$2:$B$7,MATCH(Vu_khi!$K$207,Bang_sat_thuong!$A$2:$A$7,0))</f>
        <v/>
      </c>
      <c r="V207" t="n">
        <v>1.3</v>
      </c>
      <c r="W207">
        <f>INDEX(Bang_sat_thuong!$C$2:$C$7,MATCH(Vu_khi!$K$207,Bang_sat_thuong!$A$2:$A$7,0))</f>
        <v/>
      </c>
      <c r="X207" t="n">
        <v>0.2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0.45</v>
      </c>
      <c r="AA207">
        <f>AND(Vu_khi!$K$207="Kinetic",NOT(Vu_khi!$AG$207))</f>
        <v/>
      </c>
      <c r="AB207" t="b">
        <v>0</v>
      </c>
      <c r="AC207">
        <f>IF(Vu_khi!$AG$207,INDEX(Bang_danh_noc!$C$2:$C$8,MIN(7,MAX(1,2-(Vu_khi!$L$207-0)+1))),INDEX(Bang_xuyen_giap!$C$2:$C$8,MIN(7,MAX(1,IF($O$207,MAX(1,2-(Vu_khi!$L$207-0)),2-(Vu_khi!$L$207-0))+1))))*IF($AA$207,INDEX(Bang_xuyen_qua!$C$2:$C$5,MIN(4,MAX(1,(Vu_khi!$L$207)-(0)-1))),1)</f>
        <v/>
      </c>
      <c r="AD207" t="n">
        <v>1.2</v>
      </c>
      <c r="AE207">
        <f>IF(Vu_khi!$AG$207,INDEX(Bang_danh_noc!$C$2:$C$8,MIN(7,MAX(1,2-(Vu_khi!$L$207-2)+1))),INDEX(Bang_xuyen_giap!$C$2:$C$8,MIN(7,MAX(1,IF($O$207,MAX(1,2-(Vu_khi!$L$207-2)),2-(Vu_khi!$L$207-2))+1))))*IF($AA$207,INDEX(Bang_xuyen_qua!$C$2:$C$5,MIN(4,MAX(1,(Vu_khi!$L$207)-(2)-1))),1)</f>
        <v/>
      </c>
      <c r="AF207" t="n">
        <v>1.2</v>
      </c>
      <c r="AG207">
        <f>IF(Vu_khi!$AG$207,INDEX(Bang_danh_noc!$C$2:$C$8,MIN(7,MAX(1,2-(Vu_khi!$L$207-4)+1))),INDEX(Bang_xuyen_giap!$C$2:$C$8,MIN(7,MAX(1,IF($O$207,MAX(1,2-(Vu_khi!$L$207-4)),2-(Vu_khi!$L$207-4))+1))))*IF($AA$207,INDEX(Bang_xuyen_qua!$C$2:$C$5,MIN(4,MAX(1,(Vu_khi!$L$207)-(4)-1))),1)</f>
        <v/>
      </c>
      <c r="AH207" t="n">
        <v>0.85</v>
      </c>
      <c r="AI207">
        <f>INDEX(Bang_xuyen_giap!$C$2:$C$8,MIN(7,MAX(1,MAX(1,2-(Vu_khi!$L$207-0))+1)))*IF($AA$207,INDEX(Bang_xuyen_qua!$C$2:$C$5,MIN(4,MAX(1,(Vu_khi!$L$207)-(0)-1))),1)</f>
        <v/>
      </c>
      <c r="AJ207" t="n">
        <v>1</v>
      </c>
      <c r="AK207">
        <f>IF($Q$207,$M$207*$AC$207*$U$207,0)</f>
        <v/>
      </c>
      <c r="AL207" t="n">
        <v>0.002870378759197182</v>
      </c>
      <c r="AM207">
        <f>IF($Q$207,$M$207*$AE$207*$U$207,0)</f>
        <v/>
      </c>
      <c r="AN207" t="n">
        <v>0.002870378759197182</v>
      </c>
      <c r="AO207">
        <f>IF($Q$207,$M$207*$AG$207*$U$207,0)</f>
        <v/>
      </c>
      <c r="AP207" t="n">
        <v>0.002033184954431337</v>
      </c>
      <c r="AQ207">
        <f>IF($Q$207,$M$207*$AE$207*$Y$207,0)</f>
        <v/>
      </c>
      <c r="AR207" t="n">
        <v>0.0009935926474144091</v>
      </c>
      <c r="AS207">
        <f>IF($S$207,$M$207*$AI$207*$W$207,0)</f>
        <v/>
      </c>
      <c r="AT207" t="n">
        <v>0</v>
      </c>
      <c r="AU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V207" t="b">
        <v>0</v>
      </c>
      <c r="AW207">
        <f>IF(AND($B$207&lt;0,$AU$207),4,$B$207)</f>
        <v/>
      </c>
      <c r="AX207" t="n">
        <v>2</v>
      </c>
      <c r="AY207">
        <f>IF($AW$207&lt;4,0,MIN(MAX(0.5,Canh_bao_vong!$D$4),MAX(IF(Vu_khi!$C$207="cal_406",Canh_bao_vong!$D$7,IF($AW$207&gt;=5,Canh_bao_vong!$D$9,Canh_bao_vong!$D$8)),Canh_bao_vong!$D$2+MAX(0,Vu_khi!$X$207)/MAX(0.1,Canh_bao_vong!$D$5))))</f>
        <v/>
      </c>
      <c r="AZ207" t="n">
        <v>0</v>
      </c>
      <c r="BA207" t="n">
        <v>0.06</v>
      </c>
      <c r="BB207" t="inlineStr">
        <is>
          <t>NHANH_QUA;LECH_DOT_1</t>
        </is>
      </c>
      <c r="BC207" t="inlineStr"/>
      <c r="BD207" t="n">
        <v>80</v>
      </c>
      <c r="BE207" t="n">
        <v>104</v>
      </c>
      <c r="BF207" t="n">
        <v>0.156</v>
      </c>
      <c r="BG207" t="n">
        <v>0.312</v>
      </c>
      <c r="BH207" t="n">
        <v>0.625</v>
      </c>
      <c r="BI207" t="n">
        <v>0.481</v>
      </c>
      <c r="BJ207" t="inlineStr">
        <is>
          <t>TACTICAL_MISSILE</t>
        </is>
      </c>
      <c r="BK207" t="inlineStr">
        <is>
          <t>ok</t>
        </is>
      </c>
      <c r="BL207" t="inlineStr">
        <is>
          <t>family 9m133_kornet</t>
        </is>
      </c>
      <c r="BM207" t="inlineStr"/>
      <c r="BN207" t="inlineStr">
        <is>
          <t>Assets/MachineBrigade/Resources/Data/balance.json: weapons[id=one_shot_kornet] (lớp B trên 01_chien_dau/Vu_khi)</t>
        </is>
      </c>
      <c r="BO207" t="inlineStr"/>
    </row>
    <row r="208">
      <c r="A208" t="inlineStr">
        <is>
          <t>orbital_laser</t>
        </is>
      </c>
      <c r="B208" t="n">
        <v>1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1</v>
      </c>
      <c r="G208">
        <f>IF(Vu_khi!$S$208&gt;0,(Vu_khi!$S$208-1)*Vu_khi!$R$208+Vu_khi!$T$208,Vu_khi!$R$208+(Vu_khi!$P$208-1)*Vu_khi!$Q$208)</f>
        <v/>
      </c>
      <c r="H208" t="n">
        <v>0.1</v>
      </c>
      <c r="I208">
        <f>Vu_khi!$W$208*MAX(1,$E$208)</f>
        <v/>
      </c>
      <c r="J208" t="n">
        <v>9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90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0</v>
      </c>
      <c r="U208">
        <f>INDEX(Bang_sat_thuong!$B$2:$B$7,MATCH(Vu_khi!$K$208,Bang_sat_thuong!$A$2:$A$7,0))</f>
        <v/>
      </c>
      <c r="V208" t="n">
        <v>0.9</v>
      </c>
      <c r="W208">
        <f>INDEX(Bang_sat_thuong!$C$2:$C$7,MATCH(Vu_khi!$K$208,Bang_sat_thuong!$A$2:$A$7,0))</f>
        <v/>
      </c>
      <c r="X208" t="n">
        <v>1.5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0.4</v>
      </c>
      <c r="AA208">
        <f>AND(Vu_khi!$K$208="Kinetic",NOT(Vu_khi!$AG$208))</f>
        <v/>
      </c>
      <c r="AB208" t="b">
        <v>0</v>
      </c>
      <c r="AC208">
        <f>IF(Vu_khi!$AG$208,INDEX(Bang_danh_noc!$C$2:$C$8,MIN(7,MAX(1,2-(Vu_khi!$L$208-0)+1))),INDEX(Bang_xuyen_giap!$C$2:$C$8,MIN(7,MAX(1,IF($O$208,MAX(1,2-(Vu_khi!$L$208-0)),2-(Vu_khi!$L$208-0))+1))))*IF($AA$208,INDEX(Bang_xuyen_qua!$C$2:$C$5,MIN(4,MAX(1,(Vu_khi!$L$208)-(0)-1))),1)</f>
        <v/>
      </c>
      <c r="AD208" t="n">
        <v>1.2</v>
      </c>
      <c r="AE208">
        <f>IF(Vu_khi!$AG$208,INDEX(Bang_danh_noc!$C$2:$C$8,MIN(7,MAX(1,2-(Vu_khi!$L$208-2)+1))),INDEX(Bang_xuyen_giap!$C$2:$C$8,MIN(7,MAX(1,IF($O$208,MAX(1,2-(Vu_khi!$L$208-2)),2-(Vu_khi!$L$208-2))+1))))*IF($AA$208,INDEX(Bang_xuyen_qua!$C$2:$C$5,MIN(4,MAX(1,(Vu_khi!$L$208)-(2)-1))),1)</f>
        <v/>
      </c>
      <c r="AF208" t="n">
        <v>1.2</v>
      </c>
      <c r="AG208">
        <f>IF(Vu_khi!$AG$208,INDEX(Bang_danh_noc!$C$2:$C$8,MIN(7,MAX(1,2-(Vu_khi!$L$208-4)+1))),INDEX(Bang_xuyen_giap!$C$2:$C$8,MIN(7,MAX(1,IF($O$208,MAX(1,2-(Vu_khi!$L$208-4)),2-(Vu_khi!$L$208-4))+1))))*IF($AA$208,INDEX(Bang_xuyen_qua!$C$2:$C$5,MIN(4,MAX(1,(Vu_khi!$L$208)-(4)-1))),1)</f>
        <v/>
      </c>
      <c r="AH208" t="n">
        <v>0.85</v>
      </c>
      <c r="AI208">
        <f>INDEX(Bang_xuyen_giap!$C$2:$C$8,MIN(7,MAX(1,MAX(1,2-(Vu_khi!$L$208-0))+1)))*IF($AA$208,INDEX(Bang_xuyen_qua!$C$2:$C$5,MIN(4,MAX(1,(Vu_khi!$L$208)-(0)-1))),1)</f>
        <v/>
      </c>
      <c r="AJ208" t="n">
        <v>1</v>
      </c>
      <c r="AK208">
        <f>IF($Q$208,$M$208*$AC$208*$U$208,0)</f>
        <v/>
      </c>
      <c r="AL208" t="n">
        <v>97.2</v>
      </c>
      <c r="AM208">
        <f>IF($Q$208,$M$208*$AE$208*$U$208,0)</f>
        <v/>
      </c>
      <c r="AN208" t="n">
        <v>97.2</v>
      </c>
      <c r="AO208">
        <f>IF($Q$208,$M$208*$AG$208*$U$208,0)</f>
        <v/>
      </c>
      <c r="AP208" t="n">
        <v>68.84999999999999</v>
      </c>
      <c r="AQ208">
        <f>IF($Q$208,$M$208*$AE$208*$Y$208,0)</f>
        <v/>
      </c>
      <c r="AR208" t="n">
        <v>43.2</v>
      </c>
      <c r="AS208">
        <f>IF($S$208,$M$208*$AI$208*$W$208,0)</f>
        <v/>
      </c>
      <c r="AT208" t="n">
        <v>0</v>
      </c>
      <c r="AU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V208" t="b">
        <v>0</v>
      </c>
      <c r="AW208">
        <f>IF(AND($B$208&lt;0,$AU$208),4,$B$208)</f>
        <v/>
      </c>
      <c r="AX208" t="n">
        <v>1</v>
      </c>
      <c r="AY208">
        <f>IF($AW$208&lt;4,0,MIN(MAX(0.5,Canh_bao_vong!$D$4),MAX(IF(Vu_khi!$C$208="cal_406",Canh_bao_vong!$D$7,IF($AW$208&gt;=5,Canh_bao_vong!$D$9,Canh_bao_vong!$D$8)),Canh_bao_vong!$D$2+MAX(0,Vu_khi!$X$208)/MAX(0.1,Canh_bao_vong!$D$5))))</f>
        <v/>
      </c>
      <c r="AZ208" t="n">
        <v>0</v>
      </c>
      <c r="BA208" t="inlineStr"/>
      <c r="BB208" t="inlineStr">
        <is>
          <t>ok</t>
        </is>
      </c>
      <c r="BC208" t="inlineStr"/>
      <c r="BD208" t="n">
        <v>3000</v>
      </c>
      <c r="BE208" t="n">
        <v>3900</v>
      </c>
      <c r="BF208" t="n">
        <v>0.003</v>
      </c>
      <c r="BG208" t="n">
        <v>0.006</v>
      </c>
      <c r="BH208" t="n">
        <v>0.012</v>
      </c>
      <c r="BI208" t="n">
        <v>0.008999999999999999</v>
      </c>
      <c r="BJ208" t="inlineStr">
        <is>
          <t>BEAM_OR_MELEE</t>
        </is>
      </c>
      <c r="BK208" t="inlineStr">
        <is>
          <t>ok</t>
        </is>
      </c>
      <c r="BL208" t="inlineStr">
        <is>
          <t>own line</t>
        </is>
      </c>
      <c r="BM208" t="inlineStr"/>
      <c r="BN208" t="inlineStr">
        <is>
          <t>Assets/MachineBrigade/Resources/Data/balance.json: weapons[id=orbital_laser] (lớp B trên 01_chien_dau/Vu_khi)</t>
        </is>
      </c>
      <c r="BO208" t="inlineStr"/>
    </row>
    <row r="209">
      <c r="A209" t="inlineStr">
        <is>
          <t>p26_bastion_b100</t>
        </is>
      </c>
      <c r="B209" t="n">
        <v>2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</v>
      </c>
      <c r="G209">
        <f>IF(Vu_khi!$S$209&gt;0,(Vu_khi!$S$209-1)*Vu_khi!$R$209+Vu_khi!$T$209,Vu_khi!$R$209+(Vu_khi!$P$209-1)*Vu_khi!$Q$209)</f>
        <v/>
      </c>
      <c r="H209" t="n">
        <v>4</v>
      </c>
      <c r="I209">
        <f>Vu_khi!$W$209*MAX(1,$E$209)</f>
        <v/>
      </c>
      <c r="J209" t="n">
        <v>240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60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0</v>
      </c>
      <c r="U209">
        <f>INDEX(Bang_sat_thuong!$B$2:$B$7,MATCH(Vu_khi!$K$209,Bang_sat_thuong!$A$2:$A$7,0))</f>
        <v/>
      </c>
      <c r="V209" t="n">
        <v>1.2</v>
      </c>
      <c r="W209">
        <f>INDEX(Bang_sat_thuong!$C$2:$C$7,MATCH(Vu_khi!$K$209,Bang_sat_thuong!$A$2:$A$7,0))</f>
        <v/>
      </c>
      <c r="X209" t="n">
        <v>0.3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0.7</v>
      </c>
      <c r="AA209">
        <f>AND(Vu_khi!$K$209="Kinetic",NOT(Vu_khi!$AG$209))</f>
        <v/>
      </c>
      <c r="AB209" t="b">
        <v>1</v>
      </c>
      <c r="AC209">
        <f>IF(Vu_khi!$AG$209,INDEX(Bang_danh_noc!$C$2:$C$8,MIN(7,MAX(1,2-(Vu_khi!$L$209-0)+1))),INDEX(Bang_xuyen_giap!$C$2:$C$8,MIN(7,MAX(1,IF($O$209,MAX(1,2-(Vu_khi!$L$209-0)),2-(Vu_khi!$L$209-0))+1))))*IF($AA$209,INDEX(Bang_xuyen_qua!$C$2:$C$5,MIN(4,MAX(1,(Vu_khi!$L$209)-(0)-1))),1)</f>
        <v/>
      </c>
      <c r="AD209" t="n">
        <v>0.8999999999999999</v>
      </c>
      <c r="AE209">
        <f>IF(Vu_khi!$AG$209,INDEX(Bang_danh_noc!$C$2:$C$8,MIN(7,MAX(1,2-(Vu_khi!$L$209-2)+1))),INDEX(Bang_xuyen_giap!$C$2:$C$8,MIN(7,MAX(1,IF($O$209,MAX(1,2-(Vu_khi!$L$209-2)),2-(Vu_khi!$L$209-2))+1))))*IF($AA$209,INDEX(Bang_xuyen_qua!$C$2:$C$5,MIN(4,MAX(1,(Vu_khi!$L$209)-(2)-1))),1)</f>
        <v/>
      </c>
      <c r="AF209" t="n">
        <v>1.14</v>
      </c>
      <c r="AG209">
        <f>IF(Vu_khi!$AG$209,INDEX(Bang_danh_noc!$C$2:$C$8,MIN(7,MAX(1,2-(Vu_khi!$L$209-4)+1))),INDEX(Bang_xuyen_giap!$C$2:$C$8,MIN(7,MAX(1,IF($O$209,MAX(1,2-(Vu_khi!$L$209-4)),2-(Vu_khi!$L$209-4))+1))))*IF($AA$209,INDEX(Bang_xuyen_qua!$C$2:$C$5,MIN(4,MAX(1,(Vu_khi!$L$209)-(4)-1))),1)</f>
        <v/>
      </c>
      <c r="AH209" t="n">
        <v>1</v>
      </c>
      <c r="AI209">
        <f>INDEX(Bang_xuyen_giap!$C$2:$C$8,MIN(7,MAX(1,MAX(1,2-(Vu_khi!$L$209-0))+1)))*IF($AA$209,INDEX(Bang_xuyen_qua!$C$2:$C$5,MIN(4,MAX(1,(Vu_khi!$L$209)-(0)-1))),1)</f>
        <v/>
      </c>
      <c r="AJ209" t="n">
        <v>0.75</v>
      </c>
      <c r="AK209">
        <f>IF($Q$209,$M$209*$AC$209*$U$209,0)</f>
        <v/>
      </c>
      <c r="AL209" t="n">
        <v>64.8</v>
      </c>
      <c r="AM209">
        <f>IF($Q$209,$M$209*$AE$209*$U$209,0)</f>
        <v/>
      </c>
      <c r="AN209" t="n">
        <v>82.08</v>
      </c>
      <c r="AO209">
        <f>IF($Q$209,$M$209*$AG$209*$U$209,0)</f>
        <v/>
      </c>
      <c r="AP209" t="n">
        <v>72</v>
      </c>
      <c r="AQ209">
        <f>IF($Q$209,$M$209*$AE$209*$Y$209,0)</f>
        <v/>
      </c>
      <c r="AR209" t="n">
        <v>47.88</v>
      </c>
      <c r="AS209">
        <f>IF($S$209,$M$209*$AI$209*$W$209,0)</f>
        <v/>
      </c>
      <c r="AT209" t="n">
        <v>0</v>
      </c>
      <c r="AU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V209" t="b">
        <v>0</v>
      </c>
      <c r="AW209">
        <f>IF(AND($B$209&lt;0,$AU$209),4,$B$209)</f>
        <v/>
      </c>
      <c r="AX209" t="n">
        <v>2</v>
      </c>
      <c r="AY209">
        <f>IF($AW$209&lt;4,0,MIN(MAX(0.5,Canh_bao_vong!$D$4),MAX(IF(Vu_khi!$C$209="cal_406",Canh_bao_vong!$D$7,IF($AW$209&gt;=5,Canh_bao_vong!$D$9,Canh_bao_vong!$D$8)),Canh_bao_vong!$D$2+MAX(0,Vu_khi!$X$209)/MAX(0.1,Canh_bao_vong!$D$5))))</f>
        <v/>
      </c>
      <c r="AZ209" t="n">
        <v>0</v>
      </c>
      <c r="BA209" t="n">
        <v>0.326667</v>
      </c>
      <c r="BB209" t="inlineStr">
        <is>
          <t>NHANH_QUA;LECH_DOT_1</t>
        </is>
      </c>
      <c r="BC209" t="inlineStr"/>
      <c r="BD209" t="n">
        <v>170</v>
      </c>
      <c r="BE209" t="n">
        <v>221</v>
      </c>
      <c r="BF209" t="n">
        <v>0.053</v>
      </c>
      <c r="BG209" t="n">
        <v>0.106</v>
      </c>
      <c r="BH209" t="n">
        <v>0.212</v>
      </c>
      <c r="BI209" t="n">
        <v>0.163</v>
      </c>
      <c r="BJ209" t="inlineStr">
        <is>
          <t>DIRECT_FAST</t>
        </is>
      </c>
      <c r="BK209" t="inlineStr">
        <is>
          <t>ok</t>
        </is>
      </c>
      <c r="BL209" t="inlineStr">
        <is>
          <t>inherited from gun_120mm</t>
        </is>
      </c>
      <c r="BM209" t="inlineStr"/>
      <c r="BN209" t="inlineStr">
        <is>
          <t>Assets/MachineBrigade/Resources/Data/balance.json: weapons[id=p26_bastion_b100] (lớp B trên 01_chien_dau/Vu_khi)</t>
        </is>
      </c>
      <c r="BO209" t="inlineStr"/>
    </row>
    <row r="210">
      <c r="A210" t="inlineStr">
        <is>
          <t>p26_bastion_b155</t>
        </is>
      </c>
      <c r="B210" t="n">
        <v>3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</v>
      </c>
      <c r="G210">
        <f>IF(Vu_khi!$S$210&gt;0,(Vu_khi!$S$210-1)*Vu_khi!$R$210+Vu_khi!$T$210,Vu_khi!$R$210+(Vu_khi!$P$210-1)*Vu_khi!$Q$210)</f>
        <v/>
      </c>
      <c r="H210" t="n">
        <v>15</v>
      </c>
      <c r="I210">
        <f>Vu_khi!$W$210*MAX(1,$E$210)</f>
        <v/>
      </c>
      <c r="J210" t="n">
        <v>1600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106.6666666666667</v>
      </c>
      <c r="O210">
        <f>OR(Vu_khi!$AG$210,Vu_khi!$AB$210&gt;0,Vu_khi!$AH$210,Vu_khi!$M$210="Bomb",Vu_khi!$M$210="Drone")</f>
        <v/>
      </c>
      <c r="P210" t="b">
        <v>1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0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1.6</v>
      </c>
      <c r="AA210">
        <f>AND(Vu_khi!$K$210="Kinetic",NOT(Vu_khi!$AG$210))</f>
        <v/>
      </c>
      <c r="AB210" t="b">
        <v>0</v>
      </c>
      <c r="AC210">
        <f>IF(Vu_khi!$AG$210,INDEX(Bang_danh_noc!$C$2:$C$8,MIN(7,MAX(1,2-(Vu_khi!$L$210-0)+1))),INDEX(Bang_xuyen_giap!$C$2:$C$8,MIN(7,MAX(1,IF($O$210,MAX(1,2-(Vu_khi!$L$210-0)),2-(Vu_khi!$L$210-0))+1))))*IF($AA$210,INDEX(Bang_xuyen_qua!$C$2:$C$5,MIN(4,MAX(1,(Vu_khi!$L$210)-(0)-1))),1)</f>
        <v/>
      </c>
      <c r="AD210" t="n">
        <v>1</v>
      </c>
      <c r="AE210">
        <f>IF(Vu_khi!$AG$210,INDEX(Bang_danh_noc!$C$2:$C$8,MIN(7,MAX(1,2-(Vu_khi!$L$210-2)+1))),INDEX(Bang_xuyen_giap!$C$2:$C$8,MIN(7,MAX(1,IF($O$210,MAX(1,2-(Vu_khi!$L$210-2)),2-(Vu_khi!$L$210-2))+1))))*IF($AA$210,INDEX(Bang_xuyen_qua!$C$2:$C$5,MIN(4,MAX(1,(Vu_khi!$L$210)-(2)-1))),1)</f>
        <v/>
      </c>
      <c r="AF210" t="n">
        <v>1</v>
      </c>
      <c r="AG210">
        <f>IF(Vu_khi!$AG$210,INDEX(Bang_danh_noc!$C$2:$C$8,MIN(7,MAX(1,2-(Vu_khi!$L$210-4)+1))),INDEX(Bang_xuyen_giap!$C$2:$C$8,MIN(7,MAX(1,IF($O$210,MAX(1,2-(Vu_khi!$L$210-4)),2-(Vu_khi!$L$210-4))+1))))*IF($AA$210,INDEX(Bang_xuyen_qua!$C$2:$C$5,MIN(4,MAX(1,(Vu_khi!$L$210)-(4)-1))),1)</f>
        <v/>
      </c>
      <c r="AH210" t="n">
        <v>0.85</v>
      </c>
      <c r="AI210">
        <f>INDEX(Bang_xuyen_giap!$C$2:$C$8,MIN(7,MAX(1,MAX(1,2-(Vu_khi!$L$210-0))+1)))*IF($AA$210,INDEX(Bang_xuyen_qua!$C$2:$C$5,MIN(4,MAX(1,(Vu_khi!$L$210)-(0)-1))),1)</f>
        <v/>
      </c>
      <c r="AJ210" t="n">
        <v>1</v>
      </c>
      <c r="AK210">
        <f>IF($Q$210,$M$210*$AC$210*$U$210,0)</f>
        <v/>
      </c>
      <c r="AL210" t="n">
        <v>106.6666666666667</v>
      </c>
      <c r="AM210">
        <f>IF($Q$210,$M$210*$AE$210*$U$210,0)</f>
        <v/>
      </c>
      <c r="AN210" t="n">
        <v>106.6666666666667</v>
      </c>
      <c r="AO210">
        <f>IF($Q$210,$M$210*$AG$210*$U$210,0)</f>
        <v/>
      </c>
      <c r="AP210" t="n">
        <v>90.66666666666667</v>
      </c>
      <c r="AQ210">
        <f>IF($Q$210,$M$210*$AE$210*$Y$210,0)</f>
        <v/>
      </c>
      <c r="AR210" t="n">
        <v>170.6666666666667</v>
      </c>
      <c r="AS210">
        <f>IF($S$210,$M$210*$AI$210*$W$210,0)</f>
        <v/>
      </c>
      <c r="AT210" t="n">
        <v>0</v>
      </c>
      <c r="AU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V210" t="b">
        <v>0</v>
      </c>
      <c r="AW210">
        <f>IF(AND($B$210&lt;0,$AU$210),4,$B$210)</f>
        <v/>
      </c>
      <c r="AX210" t="n">
        <v>3</v>
      </c>
      <c r="AY210">
        <f>IF($AW$210&lt;4,0,MIN(MAX(0.5,Canh_bao_vong!$D$4),MAX(IF(Vu_khi!$C$210="cal_406",Canh_bao_vong!$D$7,IF($AW$210&gt;=5,Canh_bao_vong!$D$9,Canh_bao_vong!$D$8)),Canh_bao_vong!$D$2+MAX(0,Vu_khi!$X$210)/MAX(0.1,Canh_bao_vong!$D$5))))</f>
        <v/>
      </c>
      <c r="AZ210" t="n">
        <v>0</v>
      </c>
      <c r="BA210" t="n">
        <v>0.7</v>
      </c>
      <c r="BB210" t="inlineStr">
        <is>
          <t>ok</t>
        </is>
      </c>
      <c r="BC210" t="inlineStr"/>
      <c r="BD210" t="n">
        <v>60</v>
      </c>
      <c r="BE210" t="n">
        <v>78</v>
      </c>
      <c r="BF210" t="n">
        <v>0.333</v>
      </c>
      <c r="BG210" t="n">
        <v>0.625</v>
      </c>
      <c r="BH210" t="n">
        <v>1.25</v>
      </c>
      <c r="BI210" t="n">
        <v>0.962</v>
      </c>
      <c r="BJ210" t="inlineStr">
        <is>
          <t>HOWITZER</t>
        </is>
      </c>
      <c r="BK210" t="inlineStr">
        <is>
          <t>ok</t>
        </is>
      </c>
      <c r="BL210" t="inlineStr">
        <is>
          <t>inherited from casemate_155</t>
        </is>
      </c>
      <c r="BM210" t="inlineStr"/>
      <c r="BN210" t="inlineStr">
        <is>
          <t>Assets/MachineBrigade/Resources/Data/balance.json: weapons[id=p26_bastion_b155] (lớp B trên 01_chien_dau/Vu_khi)</t>
        </is>
      </c>
      <c r="BO210" t="inlineStr"/>
    </row>
    <row r="211">
      <c r="A211" t="inlineStr">
        <is>
          <t>p26_bastion_b240</t>
        </is>
      </c>
      <c r="B211" t="n">
        <v>4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1</v>
      </c>
      <c r="G211">
        <f>IF(Vu_khi!$S$211&gt;0,(Vu_khi!$S$211-1)*Vu_khi!$R$211+Vu_khi!$T$211,Vu_khi!$R$211+(Vu_khi!$P$211-1)*Vu_khi!$Q$211)</f>
        <v/>
      </c>
      <c r="H211" t="n">
        <v>30</v>
      </c>
      <c r="I211">
        <f>Vu_khi!$W$211*MAX(1,$E$211)</f>
        <v/>
      </c>
      <c r="J211" t="n">
        <v>2400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80</v>
      </c>
      <c r="O211">
        <f>OR(Vu_khi!$AG$211,Vu_khi!$AB$211&gt;0,Vu_khi!$AH$211,Vu_khi!$M$211="Bomb",Vu_khi!$M$211="Drone")</f>
        <v/>
      </c>
      <c r="P211" t="b">
        <v>1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0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1.6</v>
      </c>
      <c r="AA211">
        <f>AND(Vu_khi!$K$211="Kinetic",NOT(Vu_khi!$AG$211))</f>
        <v/>
      </c>
      <c r="AB211" t="b">
        <v>0</v>
      </c>
      <c r="AC211">
        <f>IF(Vu_khi!$AG$211,INDEX(Bang_danh_noc!$C$2:$C$8,MIN(7,MAX(1,2-(Vu_khi!$L$211-0)+1))),INDEX(Bang_xuyen_giap!$C$2:$C$8,MIN(7,MAX(1,IF($O$211,MAX(1,2-(Vu_khi!$L$211-0)),2-(Vu_khi!$L$211-0))+1))))*IF($AA$211,INDEX(Bang_xuyen_qua!$C$2:$C$5,MIN(4,MAX(1,(Vu_khi!$L$211)-(0)-1))),1)</f>
        <v/>
      </c>
      <c r="AD211" t="n">
        <v>1</v>
      </c>
      <c r="AE211">
        <f>IF(Vu_khi!$AG$211,INDEX(Bang_danh_noc!$C$2:$C$8,MIN(7,MAX(1,2-(Vu_khi!$L$211-2)+1))),INDEX(Bang_xuyen_giap!$C$2:$C$8,MIN(7,MAX(1,IF($O$211,MAX(1,2-(Vu_khi!$L$211-2)),2-(Vu_khi!$L$211-2))+1))))*IF($AA$211,INDEX(Bang_xuyen_qua!$C$2:$C$5,MIN(4,MAX(1,(Vu_khi!$L$211)-(2)-1))),1)</f>
        <v/>
      </c>
      <c r="AF211" t="n">
        <v>1</v>
      </c>
      <c r="AG211">
        <f>IF(Vu_khi!$AG$211,INDEX(Bang_danh_noc!$C$2:$C$8,MIN(7,MAX(1,2-(Vu_khi!$L$211-4)+1))),INDEX(Bang_xuyen_giap!$C$2:$C$8,MIN(7,MAX(1,IF($O$211,MAX(1,2-(Vu_khi!$L$211-4)),2-(Vu_khi!$L$211-4))+1))))*IF($AA$211,INDEX(Bang_xuyen_qua!$C$2:$C$5,MIN(4,MAX(1,(Vu_khi!$L$211)-(4)-1))),1)</f>
        <v/>
      </c>
      <c r="AH211" t="n">
        <v>0.85</v>
      </c>
      <c r="AI211">
        <f>INDEX(Bang_xuyen_giap!$C$2:$C$8,MIN(7,MAX(1,MAX(1,2-(Vu_khi!$L$211-0))+1)))*IF($AA$211,INDEX(Bang_xuyen_qua!$C$2:$C$5,MIN(4,MAX(1,(Vu_khi!$L$211)-(0)-1))),1)</f>
        <v/>
      </c>
      <c r="AJ211" t="n">
        <v>1</v>
      </c>
      <c r="AK211">
        <f>IF($Q$211,$M$211*$AC$211*$U$211,0)</f>
        <v/>
      </c>
      <c r="AL211" t="n">
        <v>80</v>
      </c>
      <c r="AM211">
        <f>IF($Q$211,$M$211*$AE$211*$U$211,0)</f>
        <v/>
      </c>
      <c r="AN211" t="n">
        <v>80</v>
      </c>
      <c r="AO211">
        <f>IF($Q$211,$M$211*$AG$211*$U$211,0)</f>
        <v/>
      </c>
      <c r="AP211" t="n">
        <v>68</v>
      </c>
      <c r="AQ211">
        <f>IF($Q$211,$M$211*$AE$211*$Y$211,0)</f>
        <v/>
      </c>
      <c r="AR211" t="n">
        <v>128</v>
      </c>
      <c r="AS211">
        <f>IF($S$211,$M$211*$AI$211*$W$211,0)</f>
        <v/>
      </c>
      <c r="AT211" t="n">
        <v>0</v>
      </c>
      <c r="AU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V211" t="b">
        <v>1</v>
      </c>
      <c r="AW211">
        <f>IF(AND($B$211&lt;0,$AU$211),4,$B$211)</f>
        <v/>
      </c>
      <c r="AX211" t="n">
        <v>4</v>
      </c>
      <c r="AY211">
        <f>IF($AW$211&lt;4,0,MIN(MAX(0.5,Canh_bao_vong!$D$4),MAX(IF(Vu_khi!$C$211="cal_406",Canh_bao_vong!$D$7,IF($AW$211&gt;=5,Canh_bao_vong!$D$9,Canh_bao_vong!$D$8)),Canh_bao_vong!$D$2+MAX(0,Vu_khi!$X$211)/MAX(0.1,Canh_bao_vong!$D$5))))</f>
        <v/>
      </c>
      <c r="AZ211" t="n">
        <v>2.722222222222222</v>
      </c>
      <c r="BA211" t="n">
        <v>0.35</v>
      </c>
      <c r="BB211" t="inlineStr">
        <is>
          <t>NHANH_QUA;LECH_DOT_1</t>
        </is>
      </c>
      <c r="BC211" t="inlineStr"/>
      <c r="BD211" t="n">
        <v>40</v>
      </c>
      <c r="BE211" t="n">
        <v>52</v>
      </c>
      <c r="BF211" t="n">
        <v>0.3</v>
      </c>
      <c r="BG211" t="n">
        <v>1</v>
      </c>
      <c r="BH211" t="n">
        <v>2</v>
      </c>
      <c r="BI211" t="n">
        <v>1.538</v>
      </c>
      <c r="BJ211" t="inlineStr">
        <is>
          <t>MORTAR</t>
        </is>
      </c>
      <c r="BK211" t="inlineStr">
        <is>
          <t>ok</t>
        </is>
      </c>
      <c r="BL211" t="inlineStr">
        <is>
          <t>inherited from boss_mortar</t>
        </is>
      </c>
      <c r="BM211" t="inlineStr"/>
      <c r="BN211" t="inlineStr">
        <is>
          <t>Assets/MachineBrigade/Resources/Data/balance.json: weapons[id=p26_bastion_b240] (lớp B trên 01_chien_dau/Vu_khi)</t>
        </is>
      </c>
      <c r="BO211" t="inlineStr"/>
    </row>
    <row r="212">
      <c r="A212" t="inlineStr">
        <is>
          <t>p26_bastion_close_boss_hmg</t>
        </is>
      </c>
      <c r="B212" t="n">
        <v>0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100</v>
      </c>
      <c r="G212">
        <f>IF(Vu_khi!$S$212&gt;0,(Vu_khi!$S$212-1)*Vu_khi!$R$212+Vu_khi!$T$212,Vu_khi!$R$212+(Vu_khi!$P$212-1)*Vu_khi!$Q$212)</f>
        <v/>
      </c>
      <c r="H212" t="n">
        <v>13.2467</v>
      </c>
      <c r="I212">
        <f>Vu_khi!$W$212*MAX(1,$E$212)</f>
        <v/>
      </c>
      <c r="J212" t="n">
        <v>1500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113.235749280953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1</v>
      </c>
      <c r="U212">
        <f>INDEX(Bang_sat_thuong!$B$2:$B$7,MATCH(Vu_khi!$K$212,Bang_sat_thuong!$A$2:$A$7,0))</f>
        <v/>
      </c>
      <c r="V212" t="n">
        <v>1.2</v>
      </c>
      <c r="W212">
        <f>INDEX(Bang_sat_thuong!$C$2:$C$7,MATCH(Vu_khi!$K$212,Bang_sat_thuong!$A$2:$A$7,0))</f>
        <v/>
      </c>
      <c r="X212" t="n">
        <v>0.3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0.7</v>
      </c>
      <c r="AA212">
        <f>AND(Vu_khi!$K$212="Kinetic",NOT(Vu_khi!$AG$212))</f>
        <v/>
      </c>
      <c r="AB212" t="b">
        <v>1</v>
      </c>
      <c r="AC212">
        <f>IF(Vu_khi!$AG$212,INDEX(Bang_danh_noc!$C$2:$C$8,MIN(7,MAX(1,2-(Vu_khi!$L$212-0)+1))),INDEX(Bang_xuyen_giap!$C$2:$C$8,MIN(7,MAX(1,IF($O$212,MAX(1,2-(Vu_khi!$L$212-0)),2-(Vu_khi!$L$212-0))+1))))*IF($AA$212,INDEX(Bang_xuyen_qua!$C$2:$C$5,MIN(4,MAX(1,(Vu_khi!$L$212)-(0)-1))),1)</f>
        <v/>
      </c>
      <c r="AD212" t="n">
        <v>1</v>
      </c>
      <c r="AE212">
        <f>IF(Vu_khi!$AG$212,INDEX(Bang_danh_noc!$C$2:$C$8,MIN(7,MAX(1,2-(Vu_khi!$L$212-2)+1))),INDEX(Bang_xuyen_giap!$C$2:$C$8,MIN(7,MAX(1,IF($O$212,MAX(1,2-(Vu_khi!$L$212-2)),2-(Vu_khi!$L$212-2))+1))))*IF($AA$212,INDEX(Bang_xuyen_qua!$C$2:$C$5,MIN(4,MAX(1,(Vu_khi!$L$212)-(2)-1))),1)</f>
        <v/>
      </c>
      <c r="AF212" t="n">
        <v>0.65</v>
      </c>
      <c r="AG212">
        <f>IF(Vu_khi!$AG$212,INDEX(Bang_danh_noc!$C$2:$C$8,MIN(7,MAX(1,2-(Vu_khi!$L$212-4)+1))),INDEX(Bang_xuyen_giap!$C$2:$C$8,MIN(7,MAX(1,IF($O$212,MAX(1,2-(Vu_khi!$L$212-4)),2-(Vu_khi!$L$212-4))+1))))*IF($AA$212,INDEX(Bang_xuyen_qua!$C$2:$C$5,MIN(4,MAX(1,(Vu_khi!$L$212)-(4)-1))),1)</f>
        <v/>
      </c>
      <c r="AH212" t="n">
        <v>0.15</v>
      </c>
      <c r="AI212">
        <f>INDEX(Bang_xuyen_giap!$C$2:$C$8,MIN(7,MAX(1,MAX(1,2-(Vu_khi!$L$212-0))+1)))*IF($AA$212,INDEX(Bang_xuyen_qua!$C$2:$C$5,MIN(4,MAX(1,(Vu_khi!$L$212)-(0)-1))),1)</f>
        <v/>
      </c>
      <c r="AJ212" t="n">
        <v>1</v>
      </c>
      <c r="AK212">
        <f>IF($Q$212,$M$212*$AC$212*$U$212,0)</f>
        <v/>
      </c>
      <c r="AL212" t="n">
        <v>135.8828991371436</v>
      </c>
      <c r="AM212">
        <f>IF($Q$212,$M$212*$AE$212*$U$212,0)</f>
        <v/>
      </c>
      <c r="AN212" t="n">
        <v>88.32388443914333</v>
      </c>
      <c r="AO212">
        <f>IF($Q$212,$M$212*$AG$212*$U$212,0)</f>
        <v/>
      </c>
      <c r="AP212" t="n">
        <v>20.38243487057154</v>
      </c>
      <c r="AQ212">
        <f>IF($Q$212,$M$212*$AE$212*$Y$212,0)</f>
        <v/>
      </c>
      <c r="AR212" t="n">
        <v>51.5222659228336</v>
      </c>
      <c r="AS212">
        <f>IF($S$212,$M$212*$AI$212*$W$212,0)</f>
        <v/>
      </c>
      <c r="AT212" t="n">
        <v>33.97072478428589</v>
      </c>
      <c r="AU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V212" t="b">
        <v>0</v>
      </c>
      <c r="AW212">
        <f>IF(AND($B$212&lt;0,$AU$212),4,$B$212)</f>
        <v/>
      </c>
      <c r="AX212" t="n">
        <v>0</v>
      </c>
      <c r="AY212">
        <f>IF($AW$212&lt;4,0,MIN(MAX(0.5,Canh_bao_vong!$D$4),MAX(IF(Vu_khi!$C$212="cal_406",Canh_bao_vong!$D$7,IF($AW$212&gt;=5,Canh_bao_vong!$D$9,Canh_bao_vong!$D$8)),Canh_bao_vong!$D$2+MAX(0,Vu_khi!$X$212)/MAX(0.1,Canh_bao_vong!$D$5))))</f>
        <v/>
      </c>
      <c r="AZ212" t="n">
        <v>0</v>
      </c>
      <c r="BA212" t="n">
        <v>1.766227</v>
      </c>
      <c r="BB212" t="inlineStr">
        <is>
          <t>ok</t>
        </is>
      </c>
      <c r="BC212" t="b">
        <v>1</v>
      </c>
      <c r="BD212" t="n">
        <v>240</v>
      </c>
      <c r="BE212" t="n">
        <v>312</v>
      </c>
      <c r="BF212" t="n">
        <v>0.031</v>
      </c>
      <c r="BG212" t="n">
        <v>0.062</v>
      </c>
      <c r="BH212" t="n">
        <v>0.125</v>
      </c>
      <c r="BI212" t="n">
        <v>0.096</v>
      </c>
      <c r="BJ212" t="inlineStr">
        <is>
          <t>DIRECT_BULLET</t>
        </is>
      </c>
      <c r="BK212" t="inlineStr">
        <is>
          <t>ok</t>
        </is>
      </c>
      <c r="BL212" t="inlineStr">
        <is>
          <t>inherited from boss_hmg</t>
        </is>
      </c>
      <c r="BM212" t="inlineStr"/>
      <c r="BN212" t="inlineStr">
        <is>
          <t>Assets/MachineBrigade/Resources/Data/balance.json: weapons[id=p26_bastion_close_boss_hmg] (lớp B trên 01_chien_dau/Vu_khi)</t>
        </is>
      </c>
      <c r="BO212" t="inlineStr"/>
    </row>
    <row r="213">
      <c r="A213" t="inlineStr">
        <is>
          <t>p26_bastion_direct_b100</t>
        </is>
      </c>
      <c r="B213" t="n">
        <v>2</v>
      </c>
      <c r="C213">
        <f>IF(Vu_khi!$O$213="SIMULTANEOUS",MAX(1,Vu_khi!$N$213),1)</f>
        <v/>
      </c>
      <c r="D213" t="n">
        <v>2</v>
      </c>
      <c r="E213">
        <f>IF(Vu_khi!$S$213&gt;0,Vu_khi!$S$213,Vu_khi!$P$213*$C$213)</f>
        <v/>
      </c>
      <c r="F213" t="n">
        <v>2</v>
      </c>
      <c r="G213">
        <f>IF(Vu_khi!$S$213&gt;0,(Vu_khi!$S$213-1)*Vu_khi!$R$213+Vu_khi!$T$213,Vu_khi!$R$213+(Vu_khi!$P$213-1)*Vu_khi!$Q$213)</f>
        <v/>
      </c>
      <c r="H213" t="n">
        <v>8.6</v>
      </c>
      <c r="I213">
        <f>Vu_khi!$W$213*MAX(1,$E$213)</f>
        <v/>
      </c>
      <c r="J213" t="n">
        <v>480</v>
      </c>
      <c r="K213">
        <f>IF(Vu_khi!$V$213&gt;0,Vu_khi!$V$213,MIN(28,MAX(10,Vu_khi!$U$213*Vu_khi!$R$213*0.4)))</f>
        <v/>
      </c>
      <c r="L213" t="n">
        <v>10</v>
      </c>
      <c r="M213">
        <f>IF(Vu_khi!$W$213&lt;=0,0,IF(Vu_khi!$U$213&gt;0,$I$213*Vu_khi!$U$213/(MAX(0.05,$G$213)*Vu_khi!$U$213+$K$213),$I$213/MAX(0.05,$G$213)))</f>
        <v/>
      </c>
      <c r="N213" t="n">
        <v>55.81395348837209</v>
      </c>
      <c r="O213">
        <f>OR(Vu_khi!$AG$213,Vu_khi!$AB$213&gt;0,Vu_khi!$AH$213,Vu_khi!$M$213="Bomb",Vu_khi!$M$213="Drone")</f>
        <v/>
      </c>
      <c r="P213" t="b">
        <v>0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0</v>
      </c>
      <c r="U213">
        <f>INDEX(Bang_sat_thuong!$B$2:$B$7,MATCH(Vu_khi!$K$213,Bang_sat_thuong!$A$2:$A$7,0))</f>
        <v/>
      </c>
      <c r="V213" t="n">
        <v>1.2</v>
      </c>
      <c r="W213">
        <f>INDEX(Bang_sat_thuong!$C$2:$C$7,MATCH(Vu_khi!$K$213,Bang_sat_thuong!$A$2:$A$7,0))</f>
        <v/>
      </c>
      <c r="X213" t="n">
        <v>0.3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0.7</v>
      </c>
      <c r="AA213">
        <f>AND(Vu_khi!$K$213="Kinetic",NOT(Vu_khi!$AG$213))</f>
        <v/>
      </c>
      <c r="AB213" t="b">
        <v>1</v>
      </c>
      <c r="AC213">
        <f>IF(Vu_khi!$AG$213,INDEX(Bang_danh_noc!$C$2:$C$8,MIN(7,MAX(1,2-(Vu_khi!$L$213-0)+1))),INDEX(Bang_xuyen_giap!$C$2:$C$8,MIN(7,MAX(1,IF($O$213,MAX(1,2-(Vu_khi!$L$213-0)),2-(Vu_khi!$L$213-0))+1))))*IF($AA$213,INDEX(Bang_xuyen_qua!$C$2:$C$5,MIN(4,MAX(1,(Vu_khi!$L$213)-(0)-1))),1)</f>
        <v/>
      </c>
      <c r="AD213" t="n">
        <v>0.8999999999999999</v>
      </c>
      <c r="AE213">
        <f>IF(Vu_khi!$AG$213,INDEX(Bang_danh_noc!$C$2:$C$8,MIN(7,MAX(1,2-(Vu_khi!$L$213-2)+1))),INDEX(Bang_xuyen_giap!$C$2:$C$8,MIN(7,MAX(1,IF($O$213,MAX(1,2-(Vu_khi!$L$213-2)),2-(Vu_khi!$L$213-2))+1))))*IF($AA$213,INDEX(Bang_xuyen_qua!$C$2:$C$5,MIN(4,MAX(1,(Vu_khi!$L$213)-(2)-1))),1)</f>
        <v/>
      </c>
      <c r="AF213" t="n">
        <v>1.14</v>
      </c>
      <c r="AG213">
        <f>IF(Vu_khi!$AG$213,INDEX(Bang_danh_noc!$C$2:$C$8,MIN(7,MAX(1,2-(Vu_khi!$L$213-4)+1))),INDEX(Bang_xuyen_giap!$C$2:$C$8,MIN(7,MAX(1,IF($O$213,MAX(1,2-(Vu_khi!$L$213-4)),2-(Vu_khi!$L$213-4))+1))))*IF($AA$213,INDEX(Bang_xuyen_qua!$C$2:$C$5,MIN(4,MAX(1,(Vu_khi!$L$213)-(4)-1))),1)</f>
        <v/>
      </c>
      <c r="AH213" t="n">
        <v>1</v>
      </c>
      <c r="AI213">
        <f>INDEX(Bang_xuyen_giap!$C$2:$C$8,MIN(7,MAX(1,MAX(1,2-(Vu_khi!$L$213-0))+1)))*IF($AA$213,INDEX(Bang_xuyen_qua!$C$2:$C$5,MIN(4,MAX(1,(Vu_khi!$L$213)-(0)-1))),1)</f>
        <v/>
      </c>
      <c r="AJ213" t="n">
        <v>0.75</v>
      </c>
      <c r="AK213">
        <f>IF($Q$213,$M$213*$AC$213*$U$213,0)</f>
        <v/>
      </c>
      <c r="AL213" t="n">
        <v>60.27906976744185</v>
      </c>
      <c r="AM213">
        <f>IF($Q$213,$M$213*$AE$213*$U$213,0)</f>
        <v/>
      </c>
      <c r="AN213" t="n">
        <v>76.35348837209301</v>
      </c>
      <c r="AO213">
        <f>IF($Q$213,$M$213*$AG$213*$U$213,0)</f>
        <v/>
      </c>
      <c r="AP213" t="n">
        <v>66.9767441860465</v>
      </c>
      <c r="AQ213">
        <f>IF($Q$213,$M$213*$AE$213*$Y$213,0)</f>
        <v/>
      </c>
      <c r="AR213" t="n">
        <v>44.53953488372093</v>
      </c>
      <c r="AS213">
        <f>IF($S$213,$M$213*$AI$213*$W$213,0)</f>
        <v/>
      </c>
      <c r="AT213" t="n">
        <v>0</v>
      </c>
      <c r="AU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V213" t="b">
        <v>0</v>
      </c>
      <c r="AW213">
        <f>IF(AND($B$213&lt;0,$AU$213),4,$B$213)</f>
        <v/>
      </c>
      <c r="AX213" t="n">
        <v>2</v>
      </c>
      <c r="AY213">
        <f>IF($AW$213&lt;4,0,MIN(MAX(0.5,Canh_bao_vong!$D$4),MAX(IF(Vu_khi!$C$213="cal_406",Canh_bao_vong!$D$7,IF($AW$213&gt;=5,Canh_bao_vong!$D$9,Canh_bao_vong!$D$8)),Canh_bao_vong!$D$2+MAX(0,Vu_khi!$X$213)/MAX(0.1,Canh_bao_vong!$D$5))))</f>
        <v/>
      </c>
      <c r="AZ213" t="n">
        <v>0</v>
      </c>
      <c r="BA213" t="n">
        <v>0.702333</v>
      </c>
      <c r="BB213" t="inlineStr">
        <is>
          <t>ok</t>
        </is>
      </c>
      <c r="BC213" t="b">
        <v>1</v>
      </c>
      <c r="BD213" t="n">
        <v>170</v>
      </c>
      <c r="BE213" t="n">
        <v>221</v>
      </c>
      <c r="BF213" t="n">
        <v>0.053</v>
      </c>
      <c r="BG213" t="n">
        <v>0.106</v>
      </c>
      <c r="BH213" t="n">
        <v>0.212</v>
      </c>
      <c r="BI213" t="n">
        <v>0.163</v>
      </c>
      <c r="BJ213" t="inlineStr">
        <is>
          <t>DIRECT_FAST</t>
        </is>
      </c>
      <c r="BK213" t="inlineStr">
        <is>
          <t>ok</t>
        </is>
      </c>
      <c r="BL213" t="inlineStr">
        <is>
          <t>inherited from p26_bastion_b100</t>
        </is>
      </c>
      <c r="BM213" t="inlineStr"/>
      <c r="BN213" t="inlineStr">
        <is>
          <t>Assets/MachineBrigade/Resources/Data/balance.json: weapons[id=p26_bastion_direct_b100] (lớp B trên 01_chien_dau/Vu_khi)</t>
        </is>
      </c>
      <c r="BO213" t="inlineStr"/>
    </row>
    <row r="214">
      <c r="A214" t="inlineStr">
        <is>
          <t>p26_bastion_main_b155</t>
        </is>
      </c>
      <c r="B214" t="n">
        <v>3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1</v>
      </c>
      <c r="G214">
        <f>IF(Vu_khi!$S$214&gt;0,(Vu_khi!$S$214-1)*Vu_khi!$R$214+Vu_khi!$T$214,Vu_khi!$R$214+(Vu_khi!$P$214-1)*Vu_khi!$Q$214)</f>
        <v/>
      </c>
      <c r="H214" t="n">
        <v>15</v>
      </c>
      <c r="I214">
        <f>Vu_khi!$W$214*MAX(1,$E$214)</f>
        <v/>
      </c>
      <c r="J214" t="n">
        <v>600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40</v>
      </c>
      <c r="O214">
        <f>OR(Vu_khi!$AG$214,Vu_khi!$AB$214&gt;0,Vu_khi!$AH$214,Vu_khi!$M$214="Bomb",Vu_khi!$M$214="Drone")</f>
        <v/>
      </c>
      <c r="P214" t="b">
        <v>1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1.6</v>
      </c>
      <c r="AA214">
        <f>AND(Vu_khi!$K$214="Kinetic",NOT(Vu_khi!$AG$214))</f>
        <v/>
      </c>
      <c r="AB214" t="b">
        <v>0</v>
      </c>
      <c r="AC214">
        <f>IF(Vu_khi!$AG$214,INDEX(Bang_danh_noc!$C$2:$C$8,MIN(7,MAX(1,2-(Vu_khi!$L$214-0)+1))),INDEX(Bang_xuyen_giap!$C$2:$C$8,MIN(7,MAX(1,IF($O$214,MAX(1,2-(Vu_khi!$L$214-0)),2-(Vu_khi!$L$214-0))+1))))*IF($AA$214,INDEX(Bang_xuyen_qua!$C$2:$C$5,MIN(4,MAX(1,(Vu_khi!$L$214)-(0)-1))),1)</f>
        <v/>
      </c>
      <c r="AD214" t="n">
        <v>1</v>
      </c>
      <c r="AE214">
        <f>IF(Vu_khi!$AG$214,INDEX(Bang_danh_noc!$C$2:$C$8,MIN(7,MAX(1,2-(Vu_khi!$L$214-2)+1))),INDEX(Bang_xuyen_giap!$C$2:$C$8,MIN(7,MAX(1,IF($O$214,MAX(1,2-(Vu_khi!$L$214-2)),2-(Vu_khi!$L$214-2))+1))))*IF($AA$214,INDEX(Bang_xuyen_qua!$C$2:$C$5,MIN(4,MAX(1,(Vu_khi!$L$214)-(2)-1))),1)</f>
        <v/>
      </c>
      <c r="AF214" t="n">
        <v>1</v>
      </c>
      <c r="AG214">
        <f>IF(Vu_khi!$AG$214,INDEX(Bang_danh_noc!$C$2:$C$8,MIN(7,MAX(1,2-(Vu_khi!$L$214-4)+1))),INDEX(Bang_xuyen_giap!$C$2:$C$8,MIN(7,MAX(1,IF($O$214,MAX(1,2-(Vu_khi!$L$214-4)),2-(Vu_khi!$L$214-4))+1))))*IF($AA$214,INDEX(Bang_xuyen_qua!$C$2:$C$5,MIN(4,MAX(1,(Vu_khi!$L$214)-(4)-1))),1)</f>
        <v/>
      </c>
      <c r="AH214" t="n">
        <v>0.85</v>
      </c>
      <c r="AI214">
        <f>INDEX(Bang_xuyen_giap!$C$2:$C$8,MIN(7,MAX(1,MAX(1,2-(Vu_khi!$L$214-0))+1)))*IF($AA$214,INDEX(Bang_xuyen_qua!$C$2:$C$5,MIN(4,MAX(1,(Vu_khi!$L$214)-(0)-1))),1)</f>
        <v/>
      </c>
      <c r="AJ214" t="n">
        <v>1</v>
      </c>
      <c r="AK214">
        <f>IF($Q$214,$M$214*$AC$214*$U$214,0)</f>
        <v/>
      </c>
      <c r="AL214" t="n">
        <v>40</v>
      </c>
      <c r="AM214">
        <f>IF($Q$214,$M$214*$AE$214*$U$214,0)</f>
        <v/>
      </c>
      <c r="AN214" t="n">
        <v>40</v>
      </c>
      <c r="AO214">
        <f>IF($Q$214,$M$214*$AG$214*$U$214,0)</f>
        <v/>
      </c>
      <c r="AP214" t="n">
        <v>34</v>
      </c>
      <c r="AQ214">
        <f>IF($Q$214,$M$214*$AE$214*$Y$214,0)</f>
        <v/>
      </c>
      <c r="AR214" t="n">
        <v>64</v>
      </c>
      <c r="AS214">
        <f>IF($S$214,$M$214*$AI$214*$W$214,0)</f>
        <v/>
      </c>
      <c r="AT214" t="n">
        <v>0</v>
      </c>
      <c r="AU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V214" t="b">
        <v>0</v>
      </c>
      <c r="AW214">
        <f>IF(AND($B$214&lt;0,$AU$214),4,$B$214)</f>
        <v/>
      </c>
      <c r="AX214" t="n">
        <v>3</v>
      </c>
      <c r="AY214">
        <f>IF($AW$214&lt;4,0,MIN(MAX(0.5,Canh_bao_vong!$D$4),MAX(IF(Vu_khi!$C$214="cal_406",Canh_bao_vong!$D$7,IF($AW$214&gt;=5,Canh_bao_vong!$D$9,Canh_bao_vong!$D$8)),Canh_bao_vong!$D$2+MAX(0,Vu_khi!$X$214)/MAX(0.1,Canh_bao_vong!$D$5))))</f>
        <v/>
      </c>
      <c r="AZ214" t="n">
        <v>0</v>
      </c>
      <c r="BA214" t="n">
        <v>0.7</v>
      </c>
      <c r="BB214" t="inlineStr">
        <is>
          <t>ok</t>
        </is>
      </c>
      <c r="BC214" t="b">
        <v>1</v>
      </c>
      <c r="BD214" t="n">
        <v>60</v>
      </c>
      <c r="BE214" t="n">
        <v>78</v>
      </c>
      <c r="BF214" t="n">
        <v>0.333</v>
      </c>
      <c r="BG214" t="n">
        <v>0.625</v>
      </c>
      <c r="BH214" t="n">
        <v>1.25</v>
      </c>
      <c r="BI214" t="n">
        <v>0.962</v>
      </c>
      <c r="BJ214" t="inlineStr">
        <is>
          <t>HOWITZER</t>
        </is>
      </c>
      <c r="BK214" t="inlineStr">
        <is>
          <t>ok</t>
        </is>
      </c>
      <c r="BL214" t="inlineStr">
        <is>
          <t>own line (over p26_bastion_b155)</t>
        </is>
      </c>
      <c r="BM214" t="inlineStr"/>
      <c r="BN214" t="inlineStr">
        <is>
          <t>Assets/MachineBrigade/Resources/Data/balance.json: weapons[id=p26_bastion_main_b155] (lớp B trên 01_chien_dau/Vu_khi)</t>
        </is>
      </c>
      <c r="BO214" t="inlineStr"/>
    </row>
    <row r="215">
      <c r="A215" t="inlineStr">
        <is>
          <t>p26_bastion_sec_b240</t>
        </is>
      </c>
      <c r="B215" t="n">
        <v>4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60</v>
      </c>
      <c r="I215">
        <f>Vu_khi!$W$215*MAX(1,$E$215)</f>
        <v/>
      </c>
      <c r="J215" t="n">
        <v>1100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18.33333333333333</v>
      </c>
      <c r="O215">
        <f>OR(Vu_khi!$AG$215,Vu_khi!$AB$215&gt;0,Vu_khi!$AH$215,Vu_khi!$M$215="Bomb",Vu_khi!$M$215="Drone")</f>
        <v/>
      </c>
      <c r="P215" t="b">
        <v>1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1.6</v>
      </c>
      <c r="AA215">
        <f>AND(Vu_khi!$K$215="Kinetic",NOT(Vu_khi!$AG$215))</f>
        <v/>
      </c>
      <c r="AB215" t="b">
        <v>0</v>
      </c>
      <c r="AC215">
        <f>IF(Vu_khi!$AG$215,INDEX(Bang_danh_noc!$C$2:$C$8,MIN(7,MAX(1,2-(Vu_khi!$L$215-0)+1))),INDEX(Bang_xuyen_giap!$C$2:$C$8,MIN(7,MAX(1,IF($O$215,MAX(1,2-(Vu_khi!$L$215-0)),2-(Vu_khi!$L$215-0))+1))))*IF($AA$215,INDEX(Bang_xuyen_qua!$C$2:$C$5,MIN(4,MAX(1,(Vu_khi!$L$215)-(0)-1))),1)</f>
        <v/>
      </c>
      <c r="AD215" t="n">
        <v>1</v>
      </c>
      <c r="AE215">
        <f>IF(Vu_khi!$AG$215,INDEX(Bang_danh_noc!$C$2:$C$8,MIN(7,MAX(1,2-(Vu_khi!$L$215-2)+1))),INDEX(Bang_xuyen_giap!$C$2:$C$8,MIN(7,MAX(1,IF($O$215,MAX(1,2-(Vu_khi!$L$215-2)),2-(Vu_khi!$L$215-2))+1))))*IF($AA$215,INDEX(Bang_xuyen_qua!$C$2:$C$5,MIN(4,MAX(1,(Vu_khi!$L$215)-(2)-1))),1)</f>
        <v/>
      </c>
      <c r="AF215" t="n">
        <v>1</v>
      </c>
      <c r="AG215">
        <f>IF(Vu_khi!$AG$215,INDEX(Bang_danh_noc!$C$2:$C$8,MIN(7,MAX(1,2-(Vu_khi!$L$215-4)+1))),INDEX(Bang_xuyen_giap!$C$2:$C$8,MIN(7,MAX(1,IF($O$215,MAX(1,2-(Vu_khi!$L$215-4)),2-(Vu_khi!$L$215-4))+1))))*IF($AA$215,INDEX(Bang_xuyen_qua!$C$2:$C$5,MIN(4,MAX(1,(Vu_khi!$L$215)-(4)-1))),1)</f>
        <v/>
      </c>
      <c r="AH215" t="n">
        <v>0.85</v>
      </c>
      <c r="AI215">
        <f>INDEX(Bang_xuyen_giap!$C$2:$C$8,MIN(7,MAX(1,MAX(1,2-(Vu_khi!$L$215-0))+1)))*IF($AA$215,INDEX(Bang_xuyen_qua!$C$2:$C$5,MIN(4,MAX(1,(Vu_khi!$L$215)-(0)-1))),1)</f>
        <v/>
      </c>
      <c r="AJ215" t="n">
        <v>1</v>
      </c>
      <c r="AK215">
        <f>IF($Q$215,$M$215*$AC$215*$U$215,0)</f>
        <v/>
      </c>
      <c r="AL215" t="n">
        <v>18.33333333333333</v>
      </c>
      <c r="AM215">
        <f>IF($Q$215,$M$215*$AE$215*$U$215,0)</f>
        <v/>
      </c>
      <c r="AN215" t="n">
        <v>18.33333333333333</v>
      </c>
      <c r="AO215">
        <f>IF($Q$215,$M$215*$AG$215*$U$215,0)</f>
        <v/>
      </c>
      <c r="AP215" t="n">
        <v>15.58333333333333</v>
      </c>
      <c r="AQ215">
        <f>IF($Q$215,$M$215*$AE$215*$Y$215,0)</f>
        <v/>
      </c>
      <c r="AR215" t="n">
        <v>29.33333333333333</v>
      </c>
      <c r="AS215">
        <f>IF($S$215,$M$215*$AI$215*$W$215,0)</f>
        <v/>
      </c>
      <c r="AT215" t="n">
        <v>0</v>
      </c>
      <c r="AU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V215" t="b">
        <v>1</v>
      </c>
      <c r="AW215">
        <f>IF(AND($B$215&lt;0,$AU$215),4,$B$215)</f>
        <v/>
      </c>
      <c r="AX215" t="n">
        <v>4</v>
      </c>
      <c r="AY215">
        <f>IF($AW$215&lt;4,0,MIN(MAX(0.5,Canh_bao_vong!$D$4),MAX(IF(Vu_khi!$C$215="cal_406",Canh_bao_vong!$D$7,IF($AW$215&gt;=5,Canh_bao_vong!$D$9,Canh_bao_vong!$D$8)),Canh_bao_vong!$D$2+MAX(0,Vu_khi!$X$215)/MAX(0.1,Canh_bao_vong!$D$5))))</f>
        <v/>
      </c>
      <c r="AZ215" t="n">
        <v>2.722222222222222</v>
      </c>
      <c r="BA215" t="n">
        <v>0.7</v>
      </c>
      <c r="BB215" t="inlineStr">
        <is>
          <t>ok</t>
        </is>
      </c>
      <c r="BC215" t="b">
        <v>1</v>
      </c>
      <c r="BD215" t="n">
        <v>40</v>
      </c>
      <c r="BE215" t="n">
        <v>52</v>
      </c>
      <c r="BF215" t="n">
        <v>0.35</v>
      </c>
      <c r="BG215" t="n">
        <v>1</v>
      </c>
      <c r="BH215" t="n">
        <v>2</v>
      </c>
      <c r="BI215" t="n">
        <v>1.538</v>
      </c>
      <c r="BJ215" t="inlineStr">
        <is>
          <t>MORTAR</t>
        </is>
      </c>
      <c r="BK215" t="inlineStr">
        <is>
          <t>ok</t>
        </is>
      </c>
      <c r="BL215" t="inlineStr">
        <is>
          <t>inherited from p26_bastion_b240</t>
        </is>
      </c>
      <c r="BM215" t="inlineStr"/>
      <c r="BN215" t="inlineStr">
        <is>
          <t>Assets/MachineBrigade/Resources/Data/balance.json: weapons[id=p26_bastion_sec_b240] (lớp B trên 01_chien_dau/Vu_khi)</t>
        </is>
      </c>
      <c r="BO215" t="inlineStr"/>
    </row>
    <row r="216">
      <c r="A216" t="inlineStr">
        <is>
          <t>p26_bastion_tiny_autocannon_40</t>
        </is>
      </c>
      <c r="B216" t="n">
        <v>1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10</v>
      </c>
      <c r="G216">
        <f>IF(Vu_khi!$S$216&gt;0,(Vu_khi!$S$216-1)*Vu_khi!$R$216+Vu_khi!$T$216,Vu_khi!$R$216+(Vu_khi!$P$216-1)*Vu_khi!$Q$216)</f>
        <v/>
      </c>
      <c r="H216" t="n">
        <v>3.32</v>
      </c>
      <c r="I216">
        <f>Vu_khi!$W$216*MAX(1,$E$216)</f>
        <v/>
      </c>
      <c r="J216" t="n">
        <v>300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90.36144578313252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1</v>
      </c>
      <c r="U216">
        <f>INDEX(Bang_sat_thuong!$B$2:$B$7,MATCH(Vu_khi!$K$216,Bang_sat_thuong!$A$2:$A$7,0))</f>
        <v/>
      </c>
      <c r="V216" t="n">
        <v>1.2</v>
      </c>
      <c r="W216">
        <f>INDEX(Bang_sat_thuong!$C$2:$C$7,MATCH(Vu_khi!$K$216,Bang_sat_thuong!$A$2:$A$7,0))</f>
        <v/>
      </c>
      <c r="X216" t="n">
        <v>0.3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0.7</v>
      </c>
      <c r="AA216">
        <f>AND(Vu_khi!$K$216="Kinetic",NOT(Vu_khi!$AG$216))</f>
        <v/>
      </c>
      <c r="AB216" t="b">
        <v>1</v>
      </c>
      <c r="AC216">
        <f>IF(Vu_khi!$AG$216,INDEX(Bang_danh_noc!$C$2:$C$8,MIN(7,MAX(1,2-(Vu_khi!$L$216-0)+1))),INDEX(Bang_xuyen_giap!$C$2:$C$8,MIN(7,MAX(1,IF($O$216,MAX(1,2-(Vu_khi!$L$216-0)),2-(Vu_khi!$L$216-0))+1))))*IF($AA$216,INDEX(Bang_xuyen_qua!$C$2:$C$5,MIN(4,MAX(1,(Vu_khi!$L$216)-(0)-1))),1)</f>
        <v/>
      </c>
      <c r="AD216" t="n">
        <v>1.2</v>
      </c>
      <c r="AE216">
        <f>IF(Vu_khi!$AG$216,INDEX(Bang_danh_noc!$C$2:$C$8,MIN(7,MAX(1,2-(Vu_khi!$L$216-2)+1))),INDEX(Bang_xuyen_giap!$C$2:$C$8,MIN(7,MAX(1,IF($O$216,MAX(1,2-(Vu_khi!$L$216-2)),2-(Vu_khi!$L$216-2))+1))))*IF($AA$216,INDEX(Bang_xuyen_qua!$C$2:$C$5,MIN(4,MAX(1,(Vu_khi!$L$216)-(2)-1))),1)</f>
        <v/>
      </c>
      <c r="AF216" t="n">
        <v>0.85</v>
      </c>
      <c r="AG216">
        <f>IF(Vu_khi!$AG$216,INDEX(Bang_danh_noc!$C$2:$C$8,MIN(7,MAX(1,2-(Vu_khi!$L$216-4)+1))),INDEX(Bang_xuyen_giap!$C$2:$C$8,MIN(7,MAX(1,IF($O$216,MAX(1,2-(Vu_khi!$L$216-4)),2-(Vu_khi!$L$216-4))+1))))*IF($AA$216,INDEX(Bang_xuyen_qua!$C$2:$C$5,MIN(4,MAX(1,(Vu_khi!$L$216)-(4)-1))),1)</f>
        <v/>
      </c>
      <c r="AH216" t="n">
        <v>0.4</v>
      </c>
      <c r="AI216">
        <f>INDEX(Bang_xuyen_giap!$C$2:$C$8,MIN(7,MAX(1,MAX(1,2-(Vu_khi!$L$216-0))+1)))*IF($AA$216,INDEX(Bang_xuyen_qua!$C$2:$C$5,MIN(4,MAX(1,(Vu_khi!$L$216)-(0)-1))),1)</f>
        <v/>
      </c>
      <c r="AJ216" t="n">
        <v>1</v>
      </c>
      <c r="AK216">
        <f>IF($Q$216,$M$216*$AC$216*$U$216,0)</f>
        <v/>
      </c>
      <c r="AL216" t="n">
        <v>130.1204819277108</v>
      </c>
      <c r="AM216">
        <f>IF($Q$216,$M$216*$AE$216*$U$216,0)</f>
        <v/>
      </c>
      <c r="AN216" t="n">
        <v>92.16867469879517</v>
      </c>
      <c r="AO216">
        <f>IF($Q$216,$M$216*$AG$216*$U$216,0)</f>
        <v/>
      </c>
      <c r="AP216" t="n">
        <v>43.37349397590361</v>
      </c>
      <c r="AQ216">
        <f>IF($Q$216,$M$216*$AE$216*$Y$216,0)</f>
        <v/>
      </c>
      <c r="AR216" t="n">
        <v>53.76506024096385</v>
      </c>
      <c r="AS216">
        <f>IF($S$216,$M$216*$AI$216*$W$216,0)</f>
        <v/>
      </c>
      <c r="AT216" t="n">
        <v>27.10843373493976</v>
      </c>
      <c r="AU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V216" t="b">
        <v>0</v>
      </c>
      <c r="AW216">
        <f>IF(AND($B$216&lt;0,$AU$216),4,$B$216)</f>
        <v/>
      </c>
      <c r="AX216" t="n">
        <v>1</v>
      </c>
      <c r="AY216">
        <f>IF($AW$216&lt;4,0,MIN(MAX(0.5,Canh_bao_vong!$D$4),MAX(IF(Vu_khi!$C$216="cal_406",Canh_bao_vong!$D$7,IF($AW$216&gt;=5,Canh_bao_vong!$D$9,Canh_bao_vong!$D$8)),Canh_bao_vong!$D$2+MAX(0,Vu_khi!$X$216)/MAX(0.1,Canh_bao_vong!$D$5))))</f>
        <v/>
      </c>
      <c r="AZ216" t="n">
        <v>0</v>
      </c>
      <c r="BA216" t="n">
        <v>1.826</v>
      </c>
      <c r="BB216" t="inlineStr">
        <is>
          <t>ok</t>
        </is>
      </c>
      <c r="BC216" t="b">
        <v>1</v>
      </c>
      <c r="BD216" t="n">
        <v>210</v>
      </c>
      <c r="BE216" t="n">
        <v>273</v>
      </c>
      <c r="BF216" t="n">
        <v>0.033</v>
      </c>
      <c r="BG216" t="n">
        <v>0.067</v>
      </c>
      <c r="BH216" t="n">
        <v>0.133</v>
      </c>
      <c r="BI216" t="n">
        <v>0.103</v>
      </c>
      <c r="BJ216" t="inlineStr">
        <is>
          <t>DIRECT_BULLET</t>
        </is>
      </c>
      <c r="BK216" t="inlineStr">
        <is>
          <t>ok</t>
        </is>
      </c>
      <c r="BL216" t="inlineStr">
        <is>
          <t>inherited from autocannon_40</t>
        </is>
      </c>
      <c r="BM216" t="inlineStr"/>
      <c r="BN216" t="inlineStr">
        <is>
          <t>Assets/MachineBrigade/Resources/Data/balance.json: weapons[id=p26_bastion_tiny_autocannon_40] (lớp B trên 01_chien_dau/Vu_khi)</t>
        </is>
      </c>
      <c r="BO216" t="inlineStr"/>
    </row>
    <row r="217">
      <c r="A217" t="inlineStr">
        <is>
          <t>p26_bastion_tiny_kornet_twin</t>
        </is>
      </c>
      <c r="B217" t="n">
        <v>2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2</v>
      </c>
      <c r="G217">
        <f>IF(Vu_khi!$S$217&gt;0,(Vu_khi!$S$217-1)*Vu_khi!$R$217+Vu_khi!$T$217,Vu_khi!$R$217+(Vu_khi!$P$217-1)*Vu_khi!$Q$217)</f>
        <v/>
      </c>
      <c r="H217" t="n">
        <v>20</v>
      </c>
      <c r="I217">
        <f>Vu_khi!$W$217*MAX(1,$E$217)</f>
        <v/>
      </c>
      <c r="J217" t="n">
        <v>460</v>
      </c>
      <c r="K217">
        <f>IF(Vu_khi!$V$217&gt;0,Vu_khi!$V$217,MIN(28,MAX(10,Vu_khi!$U$217*Vu_khi!$R$217*0.4)))</f>
        <v/>
      </c>
      <c r="L217" t="n">
        <v>10</v>
      </c>
      <c r="M217">
        <f>IF(Vu_khi!$W$217&lt;=0,0,IF(Vu_khi!$U$217&gt;0,$I$217*Vu_khi!$U$217/(MAX(0.05,$G$217)*Vu_khi!$U$217+$K$217),$I$217/MAX(0.05,$G$217)))</f>
        <v/>
      </c>
      <c r="N217" t="n">
        <v>23</v>
      </c>
      <c r="O217">
        <f>OR(Vu_khi!$AG$217,Vu_khi!$AB$217&gt;0,Vu_khi!$AH$217,Vu_khi!$M$217="Bomb",Vu_khi!$M$217="Drone")</f>
        <v/>
      </c>
      <c r="P217" t="b">
        <v>0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1.3</v>
      </c>
      <c r="W217">
        <f>INDEX(Bang_sat_thuong!$C$2:$C$7,MATCH(Vu_khi!$K$217,Bang_sat_thuong!$A$2:$A$7,0))</f>
        <v/>
      </c>
      <c r="X217" t="n">
        <v>0.2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0.45</v>
      </c>
      <c r="AA217">
        <f>AND(Vu_khi!$K$217="Kinetic",NOT(Vu_khi!$AG$217))</f>
        <v/>
      </c>
      <c r="AB217" t="b">
        <v>0</v>
      </c>
      <c r="AC217">
        <f>IF(Vu_khi!$AG$217,INDEX(Bang_danh_noc!$C$2:$C$8,MIN(7,MAX(1,2-(Vu_khi!$L$217-0)+1))),INDEX(Bang_xuyen_giap!$C$2:$C$8,MIN(7,MAX(1,IF($O$217,MAX(1,2-(Vu_khi!$L$217-0)),2-(Vu_khi!$L$217-0))+1))))*IF($AA$217,INDEX(Bang_xuyen_qua!$C$2:$C$5,MIN(4,MAX(1,(Vu_khi!$L$217)-(0)-1))),1)</f>
        <v/>
      </c>
      <c r="AD217" t="n">
        <v>1.2</v>
      </c>
      <c r="AE217">
        <f>IF(Vu_khi!$AG$217,INDEX(Bang_danh_noc!$C$2:$C$8,MIN(7,MAX(1,2-(Vu_khi!$L$217-2)+1))),INDEX(Bang_xuyen_giap!$C$2:$C$8,MIN(7,MAX(1,IF($O$217,MAX(1,2-(Vu_khi!$L$217-2)),2-(Vu_khi!$L$217-2))+1))))*IF($AA$217,INDEX(Bang_xuyen_qua!$C$2:$C$5,MIN(4,MAX(1,(Vu_khi!$L$217)-(2)-1))),1)</f>
        <v/>
      </c>
      <c r="AF217" t="n">
        <v>1.2</v>
      </c>
      <c r="AG217">
        <f>IF(Vu_khi!$AG$217,INDEX(Bang_danh_noc!$C$2:$C$8,MIN(7,MAX(1,2-(Vu_khi!$L$217-4)+1))),INDEX(Bang_xuyen_giap!$C$2:$C$8,MIN(7,MAX(1,IF($O$217,MAX(1,2-(Vu_khi!$L$217-4)),2-(Vu_khi!$L$217-4))+1))))*IF($AA$217,INDEX(Bang_xuyen_qua!$C$2:$C$5,MIN(4,MAX(1,(Vu_khi!$L$217)-(4)-1))),1)</f>
        <v/>
      </c>
      <c r="AH217" t="n">
        <v>0.85</v>
      </c>
      <c r="AI217">
        <f>INDEX(Bang_xuyen_giap!$C$2:$C$8,MIN(7,MAX(1,MAX(1,2-(Vu_khi!$L$217-0))+1)))*IF($AA$217,INDEX(Bang_xuyen_qua!$C$2:$C$5,MIN(4,MAX(1,(Vu_khi!$L$217)-(0)-1))),1)</f>
        <v/>
      </c>
      <c r="AJ217" t="n">
        <v>1</v>
      </c>
      <c r="AK217">
        <f>IF($Q$217,$M$217*$AC$217*$U$217,0)</f>
        <v/>
      </c>
      <c r="AL217" t="n">
        <v>35.88</v>
      </c>
      <c r="AM217">
        <f>IF($Q$217,$M$217*$AE$217*$U$217,0)</f>
        <v/>
      </c>
      <c r="AN217" t="n">
        <v>35.88</v>
      </c>
      <c r="AO217">
        <f>IF($Q$217,$M$217*$AG$217*$U$217,0)</f>
        <v/>
      </c>
      <c r="AP217" t="n">
        <v>25.415</v>
      </c>
      <c r="AQ217">
        <f>IF($Q$217,$M$217*$AE$217*$Y$217,0)</f>
        <v/>
      </c>
      <c r="AR217" t="n">
        <v>12.42</v>
      </c>
      <c r="AS217">
        <f>IF($S$217,$M$217*$AI$217*$W$217,0)</f>
        <v/>
      </c>
      <c r="AT217" t="n">
        <v>0</v>
      </c>
      <c r="AU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V217" t="b">
        <v>0</v>
      </c>
      <c r="AW217">
        <f>IF(AND($B$217&lt;0,$AU$217),4,$B$217)</f>
        <v/>
      </c>
      <c r="AX217" t="n">
        <v>2</v>
      </c>
      <c r="AY217">
        <f>IF($AW$217&lt;4,0,MIN(MAX(0.5,Canh_bao_vong!$D$4),MAX(IF(Vu_khi!$C$217="cal_406",Canh_bao_vong!$D$7,IF($AW$217&gt;=5,Canh_bao_vong!$D$9,Canh_bao_vong!$D$8)),Canh_bao_vong!$D$2+MAX(0,Vu_khi!$X$217)/MAX(0.1,Canh_bao_vong!$D$5))))</f>
        <v/>
      </c>
      <c r="AZ217" t="n">
        <v>0</v>
      </c>
      <c r="BA217" t="n">
        <v>1</v>
      </c>
      <c r="BB217" t="inlineStr">
        <is>
          <t>ok</t>
        </is>
      </c>
      <c r="BC217" t="b">
        <v>1</v>
      </c>
      <c r="BD217" t="n">
        <v>80</v>
      </c>
      <c r="BE217" t="n">
        <v>104</v>
      </c>
      <c r="BF217" t="n">
        <v>0.156</v>
      </c>
      <c r="BG217" t="n">
        <v>0.312</v>
      </c>
      <c r="BH217" t="n">
        <v>0.625</v>
      </c>
      <c r="BI217" t="n">
        <v>0.481</v>
      </c>
      <c r="BJ217" t="inlineStr">
        <is>
          <t>TACTICAL_MISSILE</t>
        </is>
      </c>
      <c r="BK217" t="inlineStr">
        <is>
          <t>ok</t>
        </is>
      </c>
      <c r="BL217" t="inlineStr">
        <is>
          <t>inherited from kornet_twin</t>
        </is>
      </c>
      <c r="BM217" t="n">
        <v>48</v>
      </c>
      <c r="BN217" t="inlineStr">
        <is>
          <t>Assets/MachineBrigade/Resources/Data/balance.json: weapons[id=p26_bastion_tiny_kornet_twin] (lớp B trên 01_chien_dau/Vu_khi)</t>
        </is>
      </c>
      <c r="BO217" t="inlineStr"/>
    </row>
    <row r="218">
      <c r="A218" t="inlineStr">
        <is>
          <t>p26_bastion_tiny_zu23</t>
        </is>
      </c>
      <c r="B218" t="n">
        <v>1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100</v>
      </c>
      <c r="G218">
        <f>IF(Vu_khi!$S$218&gt;0,(Vu_khi!$S$218-1)*Vu_khi!$R$218+Vu_khi!$T$218,Vu_khi!$R$218+(Vu_khi!$P$218-1)*Vu_khi!$Q$218)</f>
        <v/>
      </c>
      <c r="H218" t="n">
        <v>4.96</v>
      </c>
      <c r="I218">
        <f>Vu_khi!$W$218*MAX(1,$E$218)</f>
        <v/>
      </c>
      <c r="J218" t="n">
        <v>350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70.56451612903226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1</v>
      </c>
      <c r="U218">
        <f>INDEX(Bang_sat_thuong!$B$2:$B$7,MATCH(Vu_khi!$K$218,Bang_sat_thuong!$A$2:$A$7,0))</f>
        <v/>
      </c>
      <c r="V218" t="n">
        <v>0.45</v>
      </c>
      <c r="W218">
        <f>INDEX(Bang_sat_thuong!$C$2:$C$7,MATCH(Vu_khi!$K$218,Bang_sat_thuong!$A$2:$A$7,0))</f>
        <v/>
      </c>
      <c r="X218" t="n">
        <v>1.35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0.1</v>
      </c>
      <c r="AA218">
        <f>AND(Vu_khi!$K$218="Kinetic",NOT(Vu_khi!$AG$218))</f>
        <v/>
      </c>
      <c r="AB218" t="b">
        <v>0</v>
      </c>
      <c r="AC218">
        <f>IF(Vu_khi!$AG$218,INDEX(Bang_danh_noc!$C$2:$C$8,MIN(7,MAX(1,2-(Vu_khi!$L$218-0)+1))),INDEX(Bang_xuyen_giap!$C$2:$C$8,MIN(7,MAX(1,IF($O$218,MAX(1,2-(Vu_khi!$L$218-0)),2-(Vu_khi!$L$218-0))+1))))*IF($AA$218,INDEX(Bang_xuyen_qua!$C$2:$C$5,MIN(4,MAX(1,(Vu_khi!$L$218)-(0)-1))),1)</f>
        <v/>
      </c>
      <c r="AD218" t="n">
        <v>1</v>
      </c>
      <c r="AE218">
        <f>IF(Vu_khi!$AG$218,INDEX(Bang_danh_noc!$C$2:$C$8,MIN(7,MAX(1,2-(Vu_khi!$L$218-2)+1))),INDEX(Bang_xuyen_giap!$C$2:$C$8,MIN(7,MAX(1,IF($O$218,MAX(1,2-(Vu_khi!$L$218-2)),2-(Vu_khi!$L$218-2))+1))))*IF($AA$218,INDEX(Bang_xuyen_qua!$C$2:$C$5,MIN(4,MAX(1,(Vu_khi!$L$218)-(2)-1))),1)</f>
        <v/>
      </c>
      <c r="AF218" t="n">
        <v>0.65</v>
      </c>
      <c r="AG218">
        <f>IF(Vu_khi!$AG$218,INDEX(Bang_danh_noc!$C$2:$C$8,MIN(7,MAX(1,2-(Vu_khi!$L$218-4)+1))),INDEX(Bang_xuyen_giap!$C$2:$C$8,MIN(7,MAX(1,IF($O$218,MAX(1,2-(Vu_khi!$L$218-4)),2-(Vu_khi!$L$218-4))+1))))*IF($AA$218,INDEX(Bang_xuyen_qua!$C$2:$C$5,MIN(4,MAX(1,(Vu_khi!$L$218)-(4)-1))),1)</f>
        <v/>
      </c>
      <c r="AH218" t="n">
        <v>0.15</v>
      </c>
      <c r="AI218">
        <f>INDEX(Bang_xuyen_giap!$C$2:$C$8,MIN(7,MAX(1,MAX(1,2-(Vu_khi!$L$218-0))+1)))*IF($AA$218,INDEX(Bang_xuyen_qua!$C$2:$C$5,MIN(4,MAX(1,(Vu_khi!$L$218)-(0)-1))),1)</f>
        <v/>
      </c>
      <c r="AJ218" t="n">
        <v>1</v>
      </c>
      <c r="AK218">
        <f>IF($Q$218,$M$218*$AC$218*$U$218,0)</f>
        <v/>
      </c>
      <c r="AL218" t="n">
        <v>31.75403225806452</v>
      </c>
      <c r="AM218">
        <f>IF($Q$218,$M$218*$AE$218*$U$218,0)</f>
        <v/>
      </c>
      <c r="AN218" t="n">
        <v>20.64012096774194</v>
      </c>
      <c r="AO218">
        <f>IF($Q$218,$M$218*$AG$218*$U$218,0)</f>
        <v/>
      </c>
      <c r="AP218" t="n">
        <v>4.763104838709678</v>
      </c>
      <c r="AQ218">
        <f>IF($Q$218,$M$218*$AE$218*$Y$218,0)</f>
        <v/>
      </c>
      <c r="AR218" t="n">
        <v>4.586693548387097</v>
      </c>
      <c r="AS218">
        <f>IF($S$218,$M$218*$AI$218*$W$218,0)</f>
        <v/>
      </c>
      <c r="AT218" t="n">
        <v>95.26209677419355</v>
      </c>
      <c r="AU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V218" t="b">
        <v>0</v>
      </c>
      <c r="AW218">
        <f>IF(AND($B$218&lt;0,$AU$218),4,$B$218)</f>
        <v/>
      </c>
      <c r="AX218" t="n">
        <v>1</v>
      </c>
      <c r="AY218">
        <f>IF($AW$218&lt;4,0,MIN(MAX(0.5,Canh_bao_vong!$D$4),MAX(IF(Vu_khi!$C$218="cal_406",Canh_bao_vong!$D$7,IF($AW$218&gt;=5,Canh_bao_vong!$D$9,Canh_bao_vong!$D$8)),Canh_bao_vong!$D$2+MAX(0,Vu_khi!$X$218)/MAX(0.1,Canh_bao_vong!$D$5))))</f>
        <v/>
      </c>
      <c r="AZ218" t="n">
        <v>0</v>
      </c>
      <c r="BA218" t="n">
        <v>1.653333</v>
      </c>
      <c r="BB218" t="inlineStr">
        <is>
          <t>ok</t>
        </is>
      </c>
      <c r="BC218" t="b">
        <v>1</v>
      </c>
      <c r="BD218" t="n">
        <v>240</v>
      </c>
      <c r="BE218" t="n">
        <v>312</v>
      </c>
      <c r="BF218" t="n">
        <v>0.04</v>
      </c>
      <c r="BG218" t="n">
        <v>0.079</v>
      </c>
      <c r="BH218" t="n">
        <v>0.158</v>
      </c>
      <c r="BI218" t="n">
        <v>0.122</v>
      </c>
      <c r="BJ218" t="inlineStr">
        <is>
          <t>DIRECT_BULLET</t>
        </is>
      </c>
      <c r="BK218" t="inlineStr">
        <is>
          <t>ok</t>
        </is>
      </c>
      <c r="BL218" t="inlineStr">
        <is>
          <t>inherited from zu23</t>
        </is>
      </c>
      <c r="BM218" t="inlineStr"/>
      <c r="BN218" t="inlineStr">
        <is>
          <t>Assets/MachineBrigade/Resources/Data/balance.json: weapons[id=p26_bastion_tiny_zu23] (lớp B trên 01_chien_dau/Vu_khi)</t>
        </is>
      </c>
      <c r="BO218" t="inlineStr"/>
    </row>
    <row r="219">
      <c r="A219" t="inlineStr">
        <is>
          <t>p26_behemoth_be120</t>
        </is>
      </c>
      <c r="B219" t="n">
        <v>3</v>
      </c>
      <c r="C219">
        <f>IF(Vu_khi!$O$219="SIMULTANEOUS",MAX(1,Vu_khi!$N$219),1)</f>
        <v/>
      </c>
      <c r="D219" t="n">
        <v>1</v>
      </c>
      <c r="E219">
        <f>IF(Vu_khi!$S$219&gt;0,Vu_khi!$S$219,Vu_khi!$P$219*$C$219)</f>
        <v/>
      </c>
      <c r="F219" t="n">
        <v>1</v>
      </c>
      <c r="G219">
        <f>IF(Vu_khi!$S$219&gt;0,(Vu_khi!$S$219-1)*Vu_khi!$R$219+Vu_khi!$T$219,Vu_khi!$R$219+(Vu_khi!$P$219-1)*Vu_khi!$Q$219)</f>
        <v/>
      </c>
      <c r="H219" t="n">
        <v>4</v>
      </c>
      <c r="I219">
        <f>Vu_khi!$W$219*MAX(1,$E$219)</f>
        <v/>
      </c>
      <c r="J219" t="n">
        <v>260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65</v>
      </c>
      <c r="O219">
        <f>OR(Vu_khi!$AG$219,Vu_khi!$AB$219&gt;0,Vu_khi!$AH$219,Vu_khi!$M$219="Bomb",Vu_khi!$M$219="Drone")</f>
        <v/>
      </c>
      <c r="P219" t="b">
        <v>0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1.2</v>
      </c>
      <c r="W219">
        <f>INDEX(Bang_sat_thuong!$C$2:$C$7,MATCH(Vu_khi!$K$219,Bang_sat_thuong!$A$2:$A$7,0))</f>
        <v/>
      </c>
      <c r="X219" t="n">
        <v>0.3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0.7</v>
      </c>
      <c r="AA219">
        <f>AND(Vu_khi!$K$219="Kinetic",NOT(Vu_khi!$AG$219))</f>
        <v/>
      </c>
      <c r="AB219" t="b">
        <v>1</v>
      </c>
      <c r="AC219">
        <f>IF(Vu_khi!$AG$219,INDEX(Bang_danh_noc!$C$2:$C$8,MIN(7,MAX(1,2-(Vu_khi!$L$219-0)+1))),INDEX(Bang_xuyen_giap!$C$2:$C$8,MIN(7,MAX(1,IF($O$219,MAX(1,2-(Vu_khi!$L$219-0)),2-(Vu_khi!$L$219-0))+1))))*IF($AA$219,INDEX(Bang_xuyen_qua!$C$2:$C$5,MIN(4,MAX(1,(Vu_khi!$L$219)-(0)-1))),1)</f>
        <v/>
      </c>
      <c r="AD219" t="n">
        <v>0.8999999999999999</v>
      </c>
      <c r="AE219">
        <f>IF(Vu_khi!$AG$219,INDEX(Bang_danh_noc!$C$2:$C$8,MIN(7,MAX(1,2-(Vu_khi!$L$219-2)+1))),INDEX(Bang_xuyen_giap!$C$2:$C$8,MIN(7,MAX(1,IF($O$219,MAX(1,2-(Vu_khi!$L$219-2)),2-(Vu_khi!$L$219-2))+1))))*IF($AA$219,INDEX(Bang_xuyen_qua!$C$2:$C$5,MIN(4,MAX(1,(Vu_khi!$L$219)-(2)-1))),1)</f>
        <v/>
      </c>
      <c r="AF219" t="n">
        <v>1.14</v>
      </c>
      <c r="AG219">
        <f>IF(Vu_khi!$AG$219,INDEX(Bang_danh_noc!$C$2:$C$8,MIN(7,MAX(1,2-(Vu_khi!$L$219-4)+1))),INDEX(Bang_xuyen_giap!$C$2:$C$8,MIN(7,MAX(1,IF($O$219,MAX(1,2-(Vu_khi!$L$219-4)),2-(Vu_khi!$L$219-4))+1))))*IF($AA$219,INDEX(Bang_xuyen_qua!$C$2:$C$5,MIN(4,MAX(1,(Vu_khi!$L$219)-(4)-1))),1)</f>
        <v/>
      </c>
      <c r="AH219" t="n">
        <v>1</v>
      </c>
      <c r="AI219">
        <f>INDEX(Bang_xuyen_giap!$C$2:$C$8,MIN(7,MAX(1,MAX(1,2-(Vu_khi!$L$219-0))+1)))*IF($AA$219,INDEX(Bang_xuyen_qua!$C$2:$C$5,MIN(4,MAX(1,(Vu_khi!$L$219)-(0)-1))),1)</f>
        <v/>
      </c>
      <c r="AJ219" t="n">
        <v>0.75</v>
      </c>
      <c r="AK219">
        <f>IF($Q$219,$M$219*$AC$219*$U$219,0)</f>
        <v/>
      </c>
      <c r="AL219" t="n">
        <v>70.19999999999999</v>
      </c>
      <c r="AM219">
        <f>IF($Q$219,$M$219*$AE$219*$U$219,0)</f>
        <v/>
      </c>
      <c r="AN219" t="n">
        <v>88.91999999999999</v>
      </c>
      <c r="AO219">
        <f>IF($Q$219,$M$219*$AG$219*$U$219,0)</f>
        <v/>
      </c>
      <c r="AP219" t="n">
        <v>78</v>
      </c>
      <c r="AQ219">
        <f>IF($Q$219,$M$219*$AE$219*$Y$219,0)</f>
        <v/>
      </c>
      <c r="AR219" t="n">
        <v>51.87</v>
      </c>
      <c r="AS219">
        <f>IF($S$219,$M$219*$AI$219*$W$219,0)</f>
        <v/>
      </c>
      <c r="AT219" t="n">
        <v>0</v>
      </c>
      <c r="AU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V219" t="b">
        <v>0</v>
      </c>
      <c r="AW219">
        <f>IF(AND($B$219&lt;0,$AU$219),4,$B$219)</f>
        <v/>
      </c>
      <c r="AX219" t="n">
        <v>3</v>
      </c>
      <c r="AY219">
        <f>IF($AW$219&lt;4,0,MIN(MAX(0.5,Canh_bao_vong!$D$4),MAX(IF(Vu_khi!$C$219="cal_406",Canh_bao_vong!$D$7,IF($AW$219&gt;=5,Canh_bao_vong!$D$9,Canh_bao_vong!$D$8)),Canh_bao_vong!$D$2+MAX(0,Vu_khi!$X$219)/MAX(0.1,Canh_bao_vong!$D$5))))</f>
        <v/>
      </c>
      <c r="AZ219" t="n">
        <v>0</v>
      </c>
      <c r="BA219" t="n">
        <v>0.373333</v>
      </c>
      <c r="BB219" t="inlineStr">
        <is>
          <t>NHANH_QUA;LECH_DOT_1</t>
        </is>
      </c>
      <c r="BC219" t="inlineStr"/>
      <c r="BD219" t="n">
        <v>170</v>
      </c>
      <c r="BE219" t="n">
        <v>221</v>
      </c>
      <c r="BF219" t="n">
        <v>0.047</v>
      </c>
      <c r="BG219" t="n">
        <v>0.094</v>
      </c>
      <c r="BH219" t="n">
        <v>0.188</v>
      </c>
      <c r="BI219" t="n">
        <v>0.145</v>
      </c>
      <c r="BJ219" t="inlineStr">
        <is>
          <t>DIRECT_FAST</t>
        </is>
      </c>
      <c r="BK219" t="inlineStr">
        <is>
          <t>ok</t>
        </is>
      </c>
      <c r="BL219" t="inlineStr">
        <is>
          <t>inherited from gun_120mm</t>
        </is>
      </c>
      <c r="BM219" t="inlineStr"/>
      <c r="BN219" t="inlineStr">
        <is>
          <t>Assets/MachineBrigade/Resources/Data/balance.json: weapons[id=p26_behemoth_be120] (lớp B trên 01_chien_dau/Vu_khi)</t>
        </is>
      </c>
      <c r="BO219" t="inlineStr"/>
    </row>
    <row r="220">
      <c r="A220" t="inlineStr">
        <is>
          <t>p26_behemoth_be152</t>
        </is>
      </c>
      <c r="B220" t="n">
        <v>3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1</v>
      </c>
      <c r="G220">
        <f>IF(Vu_khi!$S$220&gt;0,(Vu_khi!$S$220-1)*Vu_khi!$R$220+Vu_khi!$T$220,Vu_khi!$R$220+(Vu_khi!$P$220-1)*Vu_khi!$Q$220)</f>
        <v/>
      </c>
      <c r="H220" t="n">
        <v>2</v>
      </c>
      <c r="I220">
        <f>Vu_khi!$W$220*MAX(1,$E$220)</f>
        <v/>
      </c>
      <c r="J220" t="n">
        <v>590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295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1.6</v>
      </c>
      <c r="AA220">
        <f>AND(Vu_khi!$K$220="Kinetic",NOT(Vu_khi!$AG$220))</f>
        <v/>
      </c>
      <c r="AB220" t="b">
        <v>0</v>
      </c>
      <c r="AC220">
        <f>IF(Vu_khi!$AG$220,INDEX(Bang_danh_noc!$C$2:$C$8,MIN(7,MAX(1,2-(Vu_khi!$L$220-0)+1))),INDEX(Bang_xuyen_giap!$C$2:$C$8,MIN(7,MAX(1,IF($O$220,MAX(1,2-(Vu_khi!$L$220-0)),2-(Vu_khi!$L$220-0))+1))))*IF($AA$220,INDEX(Bang_xuyen_qua!$C$2:$C$5,MIN(4,MAX(1,(Vu_khi!$L$220)-(0)-1))),1)</f>
        <v/>
      </c>
      <c r="AD220" t="n">
        <v>1.2</v>
      </c>
      <c r="AE220">
        <f>IF(Vu_khi!$AG$220,INDEX(Bang_danh_noc!$C$2:$C$8,MIN(7,MAX(1,2-(Vu_khi!$L$220-2)+1))),INDEX(Bang_xuyen_giap!$C$2:$C$8,MIN(7,MAX(1,IF($O$220,MAX(1,2-(Vu_khi!$L$220-2)),2-(Vu_khi!$L$220-2))+1))))*IF($AA$220,INDEX(Bang_xuyen_qua!$C$2:$C$5,MIN(4,MAX(1,(Vu_khi!$L$220)-(2)-1))),1)</f>
        <v/>
      </c>
      <c r="AF220" t="n">
        <v>1</v>
      </c>
      <c r="AG220">
        <f>IF(Vu_khi!$AG$220,INDEX(Bang_danh_noc!$C$2:$C$8,MIN(7,MAX(1,2-(Vu_khi!$L$220-4)+1))),INDEX(Bang_xuyen_giap!$C$2:$C$8,MIN(7,MAX(1,IF($O$220,MAX(1,2-(Vu_khi!$L$220-4)),2-(Vu_khi!$L$220-4))+1))))*IF($AA$220,INDEX(Bang_xuyen_qua!$C$2:$C$5,MIN(4,MAX(1,(Vu_khi!$L$220)-(4)-1))),1)</f>
        <v/>
      </c>
      <c r="AH220" t="n">
        <v>0.65</v>
      </c>
      <c r="AI220">
        <f>INDEX(Bang_xuyen_giap!$C$2:$C$8,MIN(7,MAX(1,MAX(1,2-(Vu_khi!$L$220-0))+1)))*IF($AA$220,INDEX(Bang_xuyen_qua!$C$2:$C$5,MIN(4,MAX(1,(Vu_khi!$L$220)-(0)-1))),1)</f>
        <v/>
      </c>
      <c r="AJ220" t="n">
        <v>1</v>
      </c>
      <c r="AK220">
        <f>IF($Q$220,$M$220*$AC$220*$U$220,0)</f>
        <v/>
      </c>
      <c r="AL220" t="n">
        <v>354</v>
      </c>
      <c r="AM220">
        <f>IF($Q$220,$M$220*$AE$220*$U$220,0)</f>
        <v/>
      </c>
      <c r="AN220" t="n">
        <v>295</v>
      </c>
      <c r="AO220">
        <f>IF($Q$220,$M$220*$AG$220*$U$220,0)</f>
        <v/>
      </c>
      <c r="AP220" t="n">
        <v>191.75</v>
      </c>
      <c r="AQ220">
        <f>IF($Q$220,$M$220*$AE$220*$Y$220,0)</f>
        <v/>
      </c>
      <c r="AR220" t="n">
        <v>472</v>
      </c>
      <c r="AS220">
        <f>IF($S$220,$M$220*$AI$220*$W$220,0)</f>
        <v/>
      </c>
      <c r="AT220" t="n">
        <v>0</v>
      </c>
      <c r="AU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V220" t="b">
        <v>0</v>
      </c>
      <c r="AW220">
        <f>IF(AND($B$220&lt;0,$AU$220),4,$B$220)</f>
        <v/>
      </c>
      <c r="AX220" t="n">
        <v>3</v>
      </c>
      <c r="AY220">
        <f>IF($AW$220&lt;4,0,MIN(MAX(0.5,Canh_bao_vong!$D$4),MAX(IF(Vu_khi!$C$220="cal_406",Canh_bao_vong!$D$7,IF($AW$220&gt;=5,Canh_bao_vong!$D$9,Canh_bao_vong!$D$8)),Canh_bao_vong!$D$2+MAX(0,Vu_khi!$X$220)/MAX(0.1,Canh_bao_vong!$D$5))))</f>
        <v/>
      </c>
      <c r="AZ220" t="n">
        <v>0</v>
      </c>
      <c r="BA220" t="n">
        <v>0.186667</v>
      </c>
      <c r="BB220" t="inlineStr">
        <is>
          <t>NHANH_QUA;LECH_DOT_1</t>
        </is>
      </c>
      <c r="BC220" t="inlineStr"/>
      <c r="BD220" t="n">
        <v>150</v>
      </c>
      <c r="BE220" t="n">
        <v>195</v>
      </c>
      <c r="BF220" t="n">
        <v>0.067</v>
      </c>
      <c r="BG220" t="n">
        <v>0.133</v>
      </c>
      <c r="BH220" t="n">
        <v>0.267</v>
      </c>
      <c r="BI220" t="n">
        <v>0.205</v>
      </c>
      <c r="BJ220" t="inlineStr">
        <is>
          <t>DIRECT_FAST</t>
        </is>
      </c>
      <c r="BK220" t="inlineStr">
        <is>
          <t>ok</t>
        </is>
      </c>
      <c r="BL220" t="inlineStr">
        <is>
          <t>inherited from gun_behemoth</t>
        </is>
      </c>
      <c r="BM220" t="inlineStr"/>
      <c r="BN220" t="inlineStr">
        <is>
          <t>Assets/MachineBrigade/Resources/Data/balance.json: weapons[id=p26_behemoth_be152] (lớp B trên 01_chien_dau/Vu_khi)</t>
        </is>
      </c>
      <c r="BO220" t="inlineStr"/>
    </row>
    <row r="221">
      <c r="A221" t="inlineStr">
        <is>
          <t>p26_behemoth_be_rockets</t>
        </is>
      </c>
      <c r="B221" t="n">
        <v>3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8</v>
      </c>
      <c r="G221">
        <f>IF(Vu_khi!$S$221&gt;0,(Vu_khi!$S$221-1)*Vu_khi!$R$221+Vu_khi!$T$221,Vu_khi!$R$221+(Vu_khi!$P$221-1)*Vu_khi!$Q$221)</f>
        <v/>
      </c>
      <c r="H221" t="n">
        <v>8</v>
      </c>
      <c r="I221">
        <f>Vu_khi!$W$221*MAX(1,$E$221)</f>
        <v/>
      </c>
      <c r="J221" t="n">
        <v>1280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160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1.6</v>
      </c>
      <c r="AA221">
        <f>AND(Vu_khi!$K$221="Kinetic",NOT(Vu_khi!$AG$221))</f>
        <v/>
      </c>
      <c r="AB221" t="b">
        <v>0</v>
      </c>
      <c r="AC221">
        <f>IF(Vu_khi!$AG$221,INDEX(Bang_danh_noc!$C$2:$C$8,MIN(7,MAX(1,2-(Vu_khi!$L$221-0)+1))),INDEX(Bang_xuyen_giap!$C$2:$C$8,MIN(7,MAX(1,IF($O$221,MAX(1,2-(Vu_khi!$L$221-0)),2-(Vu_khi!$L$221-0))+1))))*IF($AA$221,INDEX(Bang_xuyen_qua!$C$2:$C$5,MIN(4,MAX(1,(Vu_khi!$L$221)-(0)-1))),1)</f>
        <v/>
      </c>
      <c r="AD221" t="n">
        <v>1.2</v>
      </c>
      <c r="AE221">
        <f>IF(Vu_khi!$AG$221,INDEX(Bang_danh_noc!$C$2:$C$8,MIN(7,MAX(1,2-(Vu_khi!$L$221-2)+1))),INDEX(Bang_xuyen_giap!$C$2:$C$8,MIN(7,MAX(1,IF($O$221,MAX(1,2-(Vu_khi!$L$221-2)),2-(Vu_khi!$L$221-2))+1))))*IF($AA$221,INDEX(Bang_xuyen_qua!$C$2:$C$5,MIN(4,MAX(1,(Vu_khi!$L$221)-(2)-1))),1)</f>
        <v/>
      </c>
      <c r="AF221" t="n">
        <v>0.85</v>
      </c>
      <c r="AG221">
        <f>IF(Vu_khi!$AG$221,INDEX(Bang_danh_noc!$C$2:$C$8,MIN(7,MAX(1,2-(Vu_khi!$L$221-4)+1))),INDEX(Bang_xuyen_giap!$C$2:$C$8,MIN(7,MAX(1,IF($O$221,MAX(1,2-(Vu_khi!$L$221-4)),2-(Vu_khi!$L$221-4))+1))))*IF($AA$221,INDEX(Bang_xuyen_qua!$C$2:$C$5,MIN(4,MAX(1,(Vu_khi!$L$221)-(4)-1))),1)</f>
        <v/>
      </c>
      <c r="AH221" t="n">
        <v>0.4</v>
      </c>
      <c r="AI221">
        <f>INDEX(Bang_xuyen_giap!$C$2:$C$8,MIN(7,MAX(1,MAX(1,2-(Vu_khi!$L$221-0))+1)))*IF($AA$221,INDEX(Bang_xuyen_qua!$C$2:$C$5,MIN(4,MAX(1,(Vu_khi!$L$221)-(0)-1))),1)</f>
        <v/>
      </c>
      <c r="AJ221" t="n">
        <v>1</v>
      </c>
      <c r="AK221">
        <f>IF($Q$221,$M$221*$AC$221*$U$221,0)</f>
        <v/>
      </c>
      <c r="AL221" t="n">
        <v>192</v>
      </c>
      <c r="AM221">
        <f>IF($Q$221,$M$221*$AE$221*$U$221,0)</f>
        <v/>
      </c>
      <c r="AN221" t="n">
        <v>136</v>
      </c>
      <c r="AO221">
        <f>IF($Q$221,$M$221*$AG$221*$U$221,0)</f>
        <v/>
      </c>
      <c r="AP221" t="n">
        <v>64</v>
      </c>
      <c r="AQ221">
        <f>IF($Q$221,$M$221*$AE$221*$Y$221,0)</f>
        <v/>
      </c>
      <c r="AR221" t="n">
        <v>217.6</v>
      </c>
      <c r="AS221">
        <f>IF($S$221,$M$221*$AI$221*$W$221,0)</f>
        <v/>
      </c>
      <c r="AT221" t="n">
        <v>0</v>
      </c>
      <c r="AU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V221" t="b">
        <v>0</v>
      </c>
      <c r="AW221">
        <f>IF(AND($B$221&lt;0,$AU$221),4,$B$221)</f>
        <v/>
      </c>
      <c r="AX221" t="n">
        <v>3</v>
      </c>
      <c r="AY221">
        <f>IF($AW$221&lt;4,0,MIN(MAX(0.5,Canh_bao_vong!$D$4),MAX(IF(Vu_khi!$C$221="cal_406",Canh_bao_vong!$D$7,IF($AW$221&gt;=5,Canh_bao_vong!$D$9,Canh_bao_vong!$D$8)),Canh_bao_vong!$D$2+MAX(0,Vu_khi!$X$221)/MAX(0.1,Canh_bao_vong!$D$5))))</f>
        <v/>
      </c>
      <c r="AZ221" t="n">
        <v>0</v>
      </c>
      <c r="BA221" t="n">
        <v>0.6</v>
      </c>
      <c r="BB221" t="inlineStr">
        <is>
          <t>LECH_DOT_1</t>
        </is>
      </c>
      <c r="BC221" t="inlineStr"/>
      <c r="BD221" t="n">
        <v>80</v>
      </c>
      <c r="BE221" t="n">
        <v>104</v>
      </c>
      <c r="BF221" t="n">
        <v>0.141</v>
      </c>
      <c r="BG221" t="n">
        <v>0.281</v>
      </c>
      <c r="BH221" t="n">
        <v>0.5620000000000001</v>
      </c>
      <c r="BI221" t="n">
        <v>0.433</v>
      </c>
      <c r="BJ221" t="inlineStr">
        <is>
          <t>ROCKET_ARTILLERY</t>
        </is>
      </c>
      <c r="BK221" t="inlineStr">
        <is>
          <t>TOO_FAST_FOR_CLASS;TOO_FAST_AT_GEAR_CAP</t>
        </is>
      </c>
      <c r="BL221" t="inlineStr">
        <is>
          <t>own line (over boss_rockets)</t>
        </is>
      </c>
      <c r="BM221" t="n">
        <v>24</v>
      </c>
      <c r="BN221" t="inlineStr">
        <is>
          <t>Assets/MachineBrigade/Resources/Data/balance.json: weapons[id=p26_behemoth_be_rockets] (lớp B trên 01_chien_dau/Vu_khi)</t>
        </is>
      </c>
      <c r="BO221" t="inlineStr"/>
    </row>
    <row r="222">
      <c r="A222" t="inlineStr">
        <is>
          <t>p26_behemoth_close_boss_flak</t>
        </is>
      </c>
      <c r="B222" t="n">
        <v>1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41</v>
      </c>
      <c r="G222">
        <f>IF(Vu_khi!$S$222&gt;0,(Vu_khi!$S$222-1)*Vu_khi!$R$222+Vu_khi!$T$222,Vu_khi!$R$222+(Vu_khi!$P$222-1)*Vu_khi!$Q$222)</f>
        <v/>
      </c>
      <c r="H222" t="n">
        <v>5.38</v>
      </c>
      <c r="I222">
        <f>Vu_khi!$W$222*MAX(1,$E$222)</f>
        <v/>
      </c>
      <c r="J222" t="n">
        <v>1025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190.5204460966543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1</v>
      </c>
      <c r="U222">
        <f>INDEX(Bang_sat_thuong!$B$2:$B$7,MATCH(Vu_khi!$K$222,Bang_sat_thuong!$A$2:$A$7,0))</f>
        <v/>
      </c>
      <c r="V222" t="n">
        <v>0.45</v>
      </c>
      <c r="W222">
        <f>INDEX(Bang_sat_thuong!$C$2:$C$7,MATCH(Vu_khi!$K$222,Bang_sat_thuong!$A$2:$A$7,0))</f>
        <v/>
      </c>
      <c r="X222" t="n">
        <v>1.35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0.1</v>
      </c>
      <c r="AA222">
        <f>AND(Vu_khi!$K$222="Kinetic",NOT(Vu_khi!$AG$222))</f>
        <v/>
      </c>
      <c r="AB222" t="b">
        <v>0</v>
      </c>
      <c r="AC222">
        <f>IF(Vu_khi!$AG$222,INDEX(Bang_danh_noc!$C$2:$C$8,MIN(7,MAX(1,2-(Vu_khi!$L$222-0)+1))),INDEX(Bang_xuyen_giap!$C$2:$C$8,MIN(7,MAX(1,IF($O$222,MAX(1,2-(Vu_khi!$L$222-0)),2-(Vu_khi!$L$222-0))+1))))*IF($AA$222,INDEX(Bang_xuyen_qua!$C$2:$C$5,MIN(4,MAX(1,(Vu_khi!$L$222)-(0)-1))),1)</f>
        <v/>
      </c>
      <c r="AD222" t="n">
        <v>1.2</v>
      </c>
      <c r="AE222">
        <f>IF(Vu_khi!$AG$222,INDEX(Bang_danh_noc!$C$2:$C$8,MIN(7,MAX(1,2-(Vu_khi!$L$222-2)+1))),INDEX(Bang_xuyen_giap!$C$2:$C$8,MIN(7,MAX(1,IF($O$222,MAX(1,2-(Vu_khi!$L$222-2)),2-(Vu_khi!$L$222-2))+1))))*IF($AA$222,INDEX(Bang_xuyen_qua!$C$2:$C$5,MIN(4,MAX(1,(Vu_khi!$L$222)-(2)-1))),1)</f>
        <v/>
      </c>
      <c r="AF222" t="n">
        <v>0.85</v>
      </c>
      <c r="AG222">
        <f>IF(Vu_khi!$AG$222,INDEX(Bang_danh_noc!$C$2:$C$8,MIN(7,MAX(1,2-(Vu_khi!$L$222-4)+1))),INDEX(Bang_xuyen_giap!$C$2:$C$8,MIN(7,MAX(1,IF($O$222,MAX(1,2-(Vu_khi!$L$222-4)),2-(Vu_khi!$L$222-4))+1))))*IF($AA$222,INDEX(Bang_xuyen_qua!$C$2:$C$5,MIN(4,MAX(1,(Vu_khi!$L$222)-(4)-1))),1)</f>
        <v/>
      </c>
      <c r="AH222" t="n">
        <v>0.4</v>
      </c>
      <c r="AI222">
        <f>INDEX(Bang_xuyen_giap!$C$2:$C$8,MIN(7,MAX(1,MAX(1,2-(Vu_khi!$L$222-0))+1)))*IF($AA$222,INDEX(Bang_xuyen_qua!$C$2:$C$5,MIN(4,MAX(1,(Vu_khi!$L$222)-(0)-1))),1)</f>
        <v/>
      </c>
      <c r="AJ222" t="n">
        <v>1</v>
      </c>
      <c r="AK222">
        <f>IF($Q$222,$M$222*$AC$222*$U$222,0)</f>
        <v/>
      </c>
      <c r="AL222" t="n">
        <v>102.8810408921933</v>
      </c>
      <c r="AM222">
        <f>IF($Q$222,$M$222*$AE$222*$U$222,0)</f>
        <v/>
      </c>
      <c r="AN222" t="n">
        <v>72.87407063197026</v>
      </c>
      <c r="AO222">
        <f>IF($Q$222,$M$222*$AG$222*$U$222,0)</f>
        <v/>
      </c>
      <c r="AP222" t="n">
        <v>34.29368029739777</v>
      </c>
      <c r="AQ222">
        <f>IF($Q$222,$M$222*$AE$222*$Y$222,0)</f>
        <v/>
      </c>
      <c r="AR222" t="n">
        <v>16.19423791821561</v>
      </c>
      <c r="AS222">
        <f>IF($S$222,$M$222*$AI$222*$W$222,0)</f>
        <v/>
      </c>
      <c r="AT222" t="n">
        <v>257.2026022304833</v>
      </c>
      <c r="AU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V222" t="b">
        <v>0</v>
      </c>
      <c r="AW222">
        <f>IF(AND($B$222&lt;0,$AU$222),4,$B$222)</f>
        <v/>
      </c>
      <c r="AX222" t="n">
        <v>1</v>
      </c>
      <c r="AY222">
        <f>IF($AW$222&lt;4,0,MIN(MAX(0.5,Canh_bao_vong!$D$4),MAX(IF(Vu_khi!$C$222="cal_406",Canh_bao_vong!$D$7,IF($AW$222&gt;=5,Canh_bao_vong!$D$9,Canh_bao_vong!$D$8)),Canh_bao_vong!$D$2+MAX(0,Vu_khi!$X$222)/MAX(0.1,Canh_bao_vong!$D$5))))</f>
        <v/>
      </c>
      <c r="AZ222" t="n">
        <v>0</v>
      </c>
      <c r="BA222" t="n">
        <v>2.405691</v>
      </c>
      <c r="BB222" t="inlineStr">
        <is>
          <t>ok</t>
        </is>
      </c>
      <c r="BC222" t="b">
        <v>1</v>
      </c>
      <c r="BD222" t="n">
        <v>260</v>
      </c>
      <c r="BE222" t="n">
        <v>338</v>
      </c>
      <c r="BF222" t="n">
        <v>0.038</v>
      </c>
      <c r="BG222" t="n">
        <v>0.077</v>
      </c>
      <c r="BH222" t="n">
        <v>0.154</v>
      </c>
      <c r="BI222" t="n">
        <v>0.118</v>
      </c>
      <c r="BJ222" t="inlineStr">
        <is>
          <t>DIRECT_BULLET</t>
        </is>
      </c>
      <c r="BK222" t="inlineStr">
        <is>
          <t>ok</t>
        </is>
      </c>
      <c r="BL222" t="inlineStr">
        <is>
          <t>inherited from boss_flak</t>
        </is>
      </c>
      <c r="BM222" t="inlineStr"/>
      <c r="BN222" t="inlineStr">
        <is>
          <t>Assets/MachineBrigade/Resources/Data/balance.json: weapons[id=p26_behemoth_close_boss_flak] (lớp B trên 01_chien_dau/Vu_khi)</t>
        </is>
      </c>
      <c r="BO222" t="inlineStr"/>
    </row>
    <row r="223">
      <c r="A223" t="inlineStr">
        <is>
          <t>p26_behemoth_direct_be120</t>
        </is>
      </c>
      <c r="B223" t="n">
        <v>3</v>
      </c>
      <c r="C223">
        <f>IF(Vu_khi!$O$223="SIMULTANEOUS",MAX(1,Vu_khi!$N$223),1)</f>
        <v/>
      </c>
      <c r="D223" t="n">
        <v>2</v>
      </c>
      <c r="E223">
        <f>IF(Vu_khi!$S$223&gt;0,Vu_khi!$S$223,Vu_khi!$P$223*$C$223)</f>
        <v/>
      </c>
      <c r="F223" t="n">
        <v>2</v>
      </c>
      <c r="G223">
        <f>IF(Vu_khi!$S$223&gt;0,(Vu_khi!$S$223-1)*Vu_khi!$R$223+Vu_khi!$T$223,Vu_khi!$R$223+(Vu_khi!$P$223-1)*Vu_khi!$Q$223)</f>
        <v/>
      </c>
      <c r="H223" t="n">
        <v>7.5</v>
      </c>
      <c r="I223">
        <f>Vu_khi!$W$223*MAX(1,$E$223)</f>
        <v/>
      </c>
      <c r="J223" t="n">
        <v>520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69.33333333333333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1.2</v>
      </c>
      <c r="W223">
        <f>INDEX(Bang_sat_thuong!$C$2:$C$7,MATCH(Vu_khi!$K$223,Bang_sat_thuong!$A$2:$A$7,0))</f>
        <v/>
      </c>
      <c r="X223" t="n">
        <v>0.3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0.7</v>
      </c>
      <c r="AA223">
        <f>AND(Vu_khi!$K$223="Kinetic",NOT(Vu_khi!$AG$223))</f>
        <v/>
      </c>
      <c r="AB223" t="b">
        <v>1</v>
      </c>
      <c r="AC223">
        <f>IF(Vu_khi!$AG$223,INDEX(Bang_danh_noc!$C$2:$C$8,MIN(7,MAX(1,2-(Vu_khi!$L$223-0)+1))),INDEX(Bang_xuyen_giap!$C$2:$C$8,MIN(7,MAX(1,IF($O$223,MAX(1,2-(Vu_khi!$L$223-0)),2-(Vu_khi!$L$223-0))+1))))*IF($AA$223,INDEX(Bang_xuyen_qua!$C$2:$C$5,MIN(4,MAX(1,(Vu_khi!$L$223)-(0)-1))),1)</f>
        <v/>
      </c>
      <c r="AD223" t="n">
        <v>0.8999999999999999</v>
      </c>
      <c r="AE223">
        <f>IF(Vu_khi!$AG$223,INDEX(Bang_danh_noc!$C$2:$C$8,MIN(7,MAX(1,2-(Vu_khi!$L$223-2)+1))),INDEX(Bang_xuyen_giap!$C$2:$C$8,MIN(7,MAX(1,IF($O$223,MAX(1,2-(Vu_khi!$L$223-2)),2-(Vu_khi!$L$223-2))+1))))*IF($AA$223,INDEX(Bang_xuyen_qua!$C$2:$C$5,MIN(4,MAX(1,(Vu_khi!$L$223)-(2)-1))),1)</f>
        <v/>
      </c>
      <c r="AF223" t="n">
        <v>1.14</v>
      </c>
      <c r="AG223">
        <f>IF(Vu_khi!$AG$223,INDEX(Bang_danh_noc!$C$2:$C$8,MIN(7,MAX(1,2-(Vu_khi!$L$223-4)+1))),INDEX(Bang_xuyen_giap!$C$2:$C$8,MIN(7,MAX(1,IF($O$223,MAX(1,2-(Vu_khi!$L$223-4)),2-(Vu_khi!$L$223-4))+1))))*IF($AA$223,INDEX(Bang_xuyen_qua!$C$2:$C$5,MIN(4,MAX(1,(Vu_khi!$L$223)-(4)-1))),1)</f>
        <v/>
      </c>
      <c r="AH223" t="n">
        <v>1</v>
      </c>
      <c r="AI223">
        <f>INDEX(Bang_xuyen_giap!$C$2:$C$8,MIN(7,MAX(1,MAX(1,2-(Vu_khi!$L$223-0))+1)))*IF($AA$223,INDEX(Bang_xuyen_qua!$C$2:$C$5,MIN(4,MAX(1,(Vu_khi!$L$223)-(0)-1))),1)</f>
        <v/>
      </c>
      <c r="AJ223" t="n">
        <v>0.75</v>
      </c>
      <c r="AK223">
        <f>IF($Q$223,$M$223*$AC$223*$U$223,0)</f>
        <v/>
      </c>
      <c r="AL223" t="n">
        <v>74.87999999999998</v>
      </c>
      <c r="AM223">
        <f>IF($Q$223,$M$223*$AE$223*$U$223,0)</f>
        <v/>
      </c>
      <c r="AN223" t="n">
        <v>94.84799999999998</v>
      </c>
      <c r="AO223">
        <f>IF($Q$223,$M$223*$AG$223*$U$223,0)</f>
        <v/>
      </c>
      <c r="AP223" t="n">
        <v>83.19999999999999</v>
      </c>
      <c r="AQ223">
        <f>IF($Q$223,$M$223*$AE$223*$Y$223,0)</f>
        <v/>
      </c>
      <c r="AR223" t="n">
        <v>55.32799999999999</v>
      </c>
      <c r="AS223">
        <f>IF($S$223,$M$223*$AI$223*$W$223,0)</f>
        <v/>
      </c>
      <c r="AT223" t="n">
        <v>0</v>
      </c>
      <c r="AU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V223" t="b">
        <v>0</v>
      </c>
      <c r="AW223">
        <f>IF(AND($B$223&lt;0,$AU$223),4,$B$223)</f>
        <v/>
      </c>
      <c r="AX223" t="n">
        <v>3</v>
      </c>
      <c r="AY223">
        <f>IF($AW$223&lt;4,0,MIN(MAX(0.5,Canh_bao_vong!$D$4),MAX(IF(Vu_khi!$C$223="cal_406",Canh_bao_vong!$D$7,IF($AW$223&gt;=5,Canh_bao_vong!$D$9,Canh_bao_vong!$D$8)),Canh_bao_vong!$D$2+MAX(0,Vu_khi!$X$223)/MAX(0.1,Canh_bao_vong!$D$5))))</f>
        <v/>
      </c>
      <c r="AZ223" t="n">
        <v>0</v>
      </c>
      <c r="BA223" t="n">
        <v>0.7</v>
      </c>
      <c r="BB223" t="inlineStr">
        <is>
          <t>LECH_HO</t>
        </is>
      </c>
      <c r="BC223" t="b">
        <v>0</v>
      </c>
      <c r="BD223" t="n">
        <v>170</v>
      </c>
      <c r="BE223" t="n">
        <v>221</v>
      </c>
      <c r="BF223" t="n">
        <v>0.047</v>
      </c>
      <c r="BG223" t="n">
        <v>0.094</v>
      </c>
      <c r="BH223" t="n">
        <v>0.188</v>
      </c>
      <c r="BI223" t="n">
        <v>0.145</v>
      </c>
      <c r="BJ223" t="inlineStr">
        <is>
          <t>DIRECT_FAST</t>
        </is>
      </c>
      <c r="BK223" t="inlineStr">
        <is>
          <t>ok</t>
        </is>
      </c>
      <c r="BL223" t="inlineStr">
        <is>
          <t>inherited from p26_behemoth_be120</t>
        </is>
      </c>
      <c r="BM223" t="inlineStr"/>
      <c r="BN223" t="inlineStr">
        <is>
          <t>Assets/MachineBrigade/Resources/Data/balance.json: weapons[id=p26_behemoth_direct_be120] (lớp B trên 01_chien_dau/Vu_khi)</t>
        </is>
      </c>
      <c r="BO223" t="inlineStr"/>
    </row>
    <row r="224">
      <c r="A224" t="inlineStr">
        <is>
          <t>p26_behemoth_main_be152</t>
        </is>
      </c>
      <c r="B224" t="n">
        <v>3</v>
      </c>
      <c r="C224">
        <f>IF(Vu_khi!$O$224="SIMULTANEOUS",MAX(1,Vu_khi!$N$224),1)</f>
        <v/>
      </c>
      <c r="D224" t="n">
        <v>2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8.98</v>
      </c>
      <c r="I224">
        <f>Vu_khi!$W$224*MAX(1,$E$224)</f>
        <v/>
      </c>
      <c r="J224" t="n">
        <v>1200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133.630289532294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1.6</v>
      </c>
      <c r="AA224">
        <f>AND(Vu_khi!$K$224="Kinetic",NOT(Vu_khi!$AG$224))</f>
        <v/>
      </c>
      <c r="AB224" t="b">
        <v>0</v>
      </c>
      <c r="AC224">
        <f>IF(Vu_khi!$AG$224,INDEX(Bang_danh_noc!$C$2:$C$8,MIN(7,MAX(1,2-(Vu_khi!$L$224-0)+1))),INDEX(Bang_xuyen_giap!$C$2:$C$8,MIN(7,MAX(1,IF($O$224,MAX(1,2-(Vu_khi!$L$224-0)),2-(Vu_khi!$L$224-0))+1))))*IF($AA$224,INDEX(Bang_xuyen_qua!$C$2:$C$5,MIN(4,MAX(1,(Vu_khi!$L$224)-(0)-1))),1)</f>
        <v/>
      </c>
      <c r="AD224" t="n">
        <v>1.2</v>
      </c>
      <c r="AE224">
        <f>IF(Vu_khi!$AG$224,INDEX(Bang_danh_noc!$C$2:$C$8,MIN(7,MAX(1,2-(Vu_khi!$L$224-2)+1))),INDEX(Bang_xuyen_giap!$C$2:$C$8,MIN(7,MAX(1,IF($O$224,MAX(1,2-(Vu_khi!$L$224-2)),2-(Vu_khi!$L$224-2))+1))))*IF($AA$224,INDEX(Bang_xuyen_qua!$C$2:$C$5,MIN(4,MAX(1,(Vu_khi!$L$224)-(2)-1))),1)</f>
        <v/>
      </c>
      <c r="AF224" t="n">
        <v>1</v>
      </c>
      <c r="AG224">
        <f>IF(Vu_khi!$AG$224,INDEX(Bang_danh_noc!$C$2:$C$8,MIN(7,MAX(1,2-(Vu_khi!$L$224-4)+1))),INDEX(Bang_xuyen_giap!$C$2:$C$8,MIN(7,MAX(1,IF($O$224,MAX(1,2-(Vu_khi!$L$224-4)),2-(Vu_khi!$L$224-4))+1))))*IF($AA$224,INDEX(Bang_xuyen_qua!$C$2:$C$5,MIN(4,MAX(1,(Vu_khi!$L$224)-(4)-1))),1)</f>
        <v/>
      </c>
      <c r="AH224" t="n">
        <v>0.65</v>
      </c>
      <c r="AI224">
        <f>INDEX(Bang_xuyen_giap!$C$2:$C$8,MIN(7,MAX(1,MAX(1,2-(Vu_khi!$L$224-0))+1)))*IF($AA$224,INDEX(Bang_xuyen_qua!$C$2:$C$5,MIN(4,MAX(1,(Vu_khi!$L$224)-(0)-1))),1)</f>
        <v/>
      </c>
      <c r="AJ224" t="n">
        <v>1</v>
      </c>
      <c r="AK224">
        <f>IF($Q$224,$M$224*$AC$224*$U$224,0)</f>
        <v/>
      </c>
      <c r="AL224" t="n">
        <v>160.3563474387527</v>
      </c>
      <c r="AM224">
        <f>IF($Q$224,$M$224*$AE$224*$U$224,0)</f>
        <v/>
      </c>
      <c r="AN224" t="n">
        <v>133.630289532294</v>
      </c>
      <c r="AO224">
        <f>IF($Q$224,$M$224*$AG$224*$U$224,0)</f>
        <v/>
      </c>
      <c r="AP224" t="n">
        <v>86.85968819599108</v>
      </c>
      <c r="AQ224">
        <f>IF($Q$224,$M$224*$AE$224*$Y$224,0)</f>
        <v/>
      </c>
      <c r="AR224" t="n">
        <v>213.8084632516704</v>
      </c>
      <c r="AS224">
        <f>IF($S$224,$M$224*$AI$224*$W$224,0)</f>
        <v/>
      </c>
      <c r="AT224" t="n">
        <v>0</v>
      </c>
      <c r="AU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V224" t="b">
        <v>0</v>
      </c>
      <c r="AW224">
        <f>IF(AND($B$224&lt;0,$AU$224),4,$B$224)</f>
        <v/>
      </c>
      <c r="AX224" t="n">
        <v>3</v>
      </c>
      <c r="AY224">
        <f>IF($AW$224&lt;4,0,MIN(MAX(0.5,Canh_bao_vong!$D$4),MAX(IF(Vu_khi!$C$224="cal_406",Canh_bao_vong!$D$7,IF($AW$224&gt;=5,Canh_bao_vong!$D$9,Canh_bao_vong!$D$8)),Canh_bao_vong!$D$2+MAX(0,Vu_khi!$X$224)/MAX(0.1,Canh_bao_vong!$D$5))))</f>
        <v/>
      </c>
      <c r="AZ224" t="n">
        <v>0</v>
      </c>
      <c r="BA224" t="n">
        <v>0.838133</v>
      </c>
      <c r="BB224" t="inlineStr">
        <is>
          <t>ok</t>
        </is>
      </c>
      <c r="BC224" t="b">
        <v>1</v>
      </c>
      <c r="BD224" t="n">
        <v>150</v>
      </c>
      <c r="BE224" t="n">
        <v>195</v>
      </c>
      <c r="BF224" t="n">
        <v>0.067</v>
      </c>
      <c r="BG224" t="n">
        <v>0.133</v>
      </c>
      <c r="BH224" t="n">
        <v>0.267</v>
      </c>
      <c r="BI224" t="n">
        <v>0.205</v>
      </c>
      <c r="BJ224" t="inlineStr">
        <is>
          <t>DIRECT_FAST</t>
        </is>
      </c>
      <c r="BK224" t="inlineStr">
        <is>
          <t>ok</t>
        </is>
      </c>
      <c r="BL224" t="inlineStr">
        <is>
          <t>inherited from p26_behemoth_be152</t>
        </is>
      </c>
      <c r="BM224" t="inlineStr"/>
      <c r="BN224" t="inlineStr">
        <is>
          <t>Assets/MachineBrigade/Resources/Data/balance.json: weapons[id=p26_behemoth_main_be152] (lớp B trên 01_chien_dau/Vu_khi)</t>
        </is>
      </c>
      <c r="BO224" t="inlineStr"/>
    </row>
    <row r="225">
      <c r="A225" t="inlineStr">
        <is>
          <t>p26_behemoth_sec_be_rockets</t>
        </is>
      </c>
      <c r="B225" t="n">
        <v>3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40</v>
      </c>
      <c r="G225">
        <f>IF(Vu_khi!$S$225&gt;0,(Vu_khi!$S$225-1)*Vu_khi!$R$225+Vu_khi!$T$225,Vu_khi!$R$225+(Vu_khi!$P$225-1)*Vu_khi!$Q$225)</f>
        <v/>
      </c>
      <c r="H225" t="n">
        <v>21.94</v>
      </c>
      <c r="I225">
        <f>Vu_khi!$W$225*MAX(1,$E$225)</f>
        <v/>
      </c>
      <c r="J225" t="n">
        <v>8000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364.6308113035551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0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1.6</v>
      </c>
      <c r="AA225">
        <f>AND(Vu_khi!$K$225="Kinetic",NOT(Vu_khi!$AG$225))</f>
        <v/>
      </c>
      <c r="AB225" t="b">
        <v>0</v>
      </c>
      <c r="AC225">
        <f>IF(Vu_khi!$AG$225,INDEX(Bang_danh_noc!$C$2:$C$8,MIN(7,MAX(1,2-(Vu_khi!$L$225-0)+1))),INDEX(Bang_xuyen_giap!$C$2:$C$8,MIN(7,MAX(1,IF($O$225,MAX(1,2-(Vu_khi!$L$225-0)),2-(Vu_khi!$L$225-0))+1))))*IF($AA$225,INDEX(Bang_xuyen_qua!$C$2:$C$5,MIN(4,MAX(1,(Vu_khi!$L$225)-(0)-1))),1)</f>
        <v/>
      </c>
      <c r="AD225" t="n">
        <v>1.2</v>
      </c>
      <c r="AE225">
        <f>IF(Vu_khi!$AG$225,INDEX(Bang_danh_noc!$C$2:$C$8,MIN(7,MAX(1,2-(Vu_khi!$L$225-2)+1))),INDEX(Bang_xuyen_giap!$C$2:$C$8,MIN(7,MAX(1,IF($O$225,MAX(1,2-(Vu_khi!$L$225-2)),2-(Vu_khi!$L$225-2))+1))))*IF($AA$225,INDEX(Bang_xuyen_qua!$C$2:$C$5,MIN(4,MAX(1,(Vu_khi!$L$225)-(2)-1))),1)</f>
        <v/>
      </c>
      <c r="AF225" t="n">
        <v>0.85</v>
      </c>
      <c r="AG225">
        <f>IF(Vu_khi!$AG$225,INDEX(Bang_danh_noc!$C$2:$C$8,MIN(7,MAX(1,2-(Vu_khi!$L$225-4)+1))),INDEX(Bang_xuyen_giap!$C$2:$C$8,MIN(7,MAX(1,IF($O$225,MAX(1,2-(Vu_khi!$L$225-4)),2-(Vu_khi!$L$225-4))+1))))*IF($AA$225,INDEX(Bang_xuyen_qua!$C$2:$C$5,MIN(4,MAX(1,(Vu_khi!$L$225)-(4)-1))),1)</f>
        <v/>
      </c>
      <c r="AH225" t="n">
        <v>0.4</v>
      </c>
      <c r="AI225">
        <f>INDEX(Bang_xuyen_giap!$C$2:$C$8,MIN(7,MAX(1,MAX(1,2-(Vu_khi!$L$225-0))+1)))*IF($AA$225,INDEX(Bang_xuyen_qua!$C$2:$C$5,MIN(4,MAX(1,(Vu_khi!$L$225)-(0)-1))),1)</f>
        <v/>
      </c>
      <c r="AJ225" t="n">
        <v>1</v>
      </c>
      <c r="AK225">
        <f>IF($Q$225,$M$225*$AC$225*$U$225,0)</f>
        <v/>
      </c>
      <c r="AL225" t="n">
        <v>437.5569735642661</v>
      </c>
      <c r="AM225">
        <f>IF($Q$225,$M$225*$AE$225*$U$225,0)</f>
        <v/>
      </c>
      <c r="AN225" t="n">
        <v>309.9361896080218</v>
      </c>
      <c r="AO225">
        <f>IF($Q$225,$M$225*$AG$225*$U$225,0)</f>
        <v/>
      </c>
      <c r="AP225" t="n">
        <v>145.852324521422</v>
      </c>
      <c r="AQ225">
        <f>IF($Q$225,$M$225*$AE$225*$Y$225,0)</f>
        <v/>
      </c>
      <c r="AR225" t="n">
        <v>495.897903372835</v>
      </c>
      <c r="AS225">
        <f>IF($S$225,$M$225*$AI$225*$W$225,0)</f>
        <v/>
      </c>
      <c r="AT225" t="n">
        <v>0</v>
      </c>
      <c r="AU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V225" t="b">
        <v>0</v>
      </c>
      <c r="AW225">
        <f>IF(AND($B$225&lt;0,$AU$225),4,$B$225)</f>
        <v/>
      </c>
      <c r="AX225" t="n">
        <v>3</v>
      </c>
      <c r="AY225">
        <f>IF($AW$225&lt;4,0,MIN(MAX(0.5,Canh_bao_vong!$D$4),MAX(IF(Vu_khi!$C$225="cal_406",Canh_bao_vong!$D$7,IF($AW$225&gt;=5,Canh_bao_vong!$D$9,Canh_bao_vong!$D$8)),Canh_bao_vong!$D$2+MAX(0,Vu_khi!$X$225)/MAX(0.1,Canh_bao_vong!$D$5))))</f>
        <v/>
      </c>
      <c r="AZ225" t="n">
        <v>0</v>
      </c>
      <c r="BA225" t="n">
        <v>1</v>
      </c>
      <c r="BB225" t="inlineStr">
        <is>
          <t>ok</t>
        </is>
      </c>
      <c r="BC225" t="b">
        <v>1</v>
      </c>
      <c r="BD225" t="n">
        <v>80</v>
      </c>
      <c r="BE225" t="n">
        <v>104</v>
      </c>
      <c r="BF225" t="n">
        <v>0.141</v>
      </c>
      <c r="BG225" t="n">
        <v>0.281</v>
      </c>
      <c r="BH225" t="n">
        <v>0.5620000000000001</v>
      </c>
      <c r="BI225" t="n">
        <v>0.433</v>
      </c>
      <c r="BJ225" t="inlineStr">
        <is>
          <t>ROCKET_ARTILLERY</t>
        </is>
      </c>
      <c r="BK225" t="inlineStr">
        <is>
          <t>TOO_FAST_FOR_CLASS;TOO_FAST_AT_GEAR_CAP</t>
        </is>
      </c>
      <c r="BL225" t="inlineStr">
        <is>
          <t>inherited from p26_behemoth_be_rockets</t>
        </is>
      </c>
      <c r="BM225" t="n">
        <v>40</v>
      </c>
      <c r="BN225" t="inlineStr">
        <is>
          <t>Assets/MachineBrigade/Resources/Data/balance.json: weapons[id=p26_behemoth_sec_be_rockets] (lớp B trên 01_chien_dau/Vu_khi)</t>
        </is>
      </c>
      <c r="BO225" t="inlineStr"/>
    </row>
    <row r="226">
      <c r="A226" t="inlineStr">
        <is>
          <t>p26_behemoth_tiny_be120</t>
        </is>
      </c>
      <c r="B226" t="n">
        <v>3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1</v>
      </c>
      <c r="G226">
        <f>IF(Vu_khi!$S$226&gt;0,(Vu_khi!$S$226-1)*Vu_khi!$R$226+Vu_khi!$T$226,Vu_khi!$R$226+(Vu_khi!$P$226-1)*Vu_khi!$Q$226)</f>
        <v/>
      </c>
      <c r="H226" t="n">
        <v>7.5</v>
      </c>
      <c r="I226">
        <f>Vu_khi!$W$226*MAX(1,$E$226)</f>
        <v/>
      </c>
      <c r="J226" t="n">
        <v>260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34.66666666666666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1.2</v>
      </c>
      <c r="W226">
        <f>INDEX(Bang_sat_thuong!$C$2:$C$7,MATCH(Vu_khi!$K$226,Bang_sat_thuong!$A$2:$A$7,0))</f>
        <v/>
      </c>
      <c r="X226" t="n">
        <v>0.3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0.7</v>
      </c>
      <c r="AA226">
        <f>AND(Vu_khi!$K$226="Kinetic",NOT(Vu_khi!$AG$226))</f>
        <v/>
      </c>
      <c r="AB226" t="b">
        <v>1</v>
      </c>
      <c r="AC226">
        <f>IF(Vu_khi!$AG$226,INDEX(Bang_danh_noc!$C$2:$C$8,MIN(7,MAX(1,2-(Vu_khi!$L$226-0)+1))),INDEX(Bang_xuyen_giap!$C$2:$C$8,MIN(7,MAX(1,IF($O$226,MAX(1,2-(Vu_khi!$L$226-0)),2-(Vu_khi!$L$226-0))+1))))*IF($AA$226,INDEX(Bang_xuyen_qua!$C$2:$C$5,MIN(4,MAX(1,(Vu_khi!$L$226)-(0)-1))),1)</f>
        <v/>
      </c>
      <c r="AD226" t="n">
        <v>0.8999999999999999</v>
      </c>
      <c r="AE226">
        <f>IF(Vu_khi!$AG$226,INDEX(Bang_danh_noc!$C$2:$C$8,MIN(7,MAX(1,2-(Vu_khi!$L$226-2)+1))),INDEX(Bang_xuyen_giap!$C$2:$C$8,MIN(7,MAX(1,IF($O$226,MAX(1,2-(Vu_khi!$L$226-2)),2-(Vu_khi!$L$226-2))+1))))*IF($AA$226,INDEX(Bang_xuyen_qua!$C$2:$C$5,MIN(4,MAX(1,(Vu_khi!$L$226)-(2)-1))),1)</f>
        <v/>
      </c>
      <c r="AF226" t="n">
        <v>1.14</v>
      </c>
      <c r="AG226">
        <f>IF(Vu_khi!$AG$226,INDEX(Bang_danh_noc!$C$2:$C$8,MIN(7,MAX(1,2-(Vu_khi!$L$226-4)+1))),INDEX(Bang_xuyen_giap!$C$2:$C$8,MIN(7,MAX(1,IF($O$226,MAX(1,2-(Vu_khi!$L$226-4)),2-(Vu_khi!$L$226-4))+1))))*IF($AA$226,INDEX(Bang_xuyen_qua!$C$2:$C$5,MIN(4,MAX(1,(Vu_khi!$L$226)-(4)-1))),1)</f>
        <v/>
      </c>
      <c r="AH226" t="n">
        <v>1</v>
      </c>
      <c r="AI226">
        <f>INDEX(Bang_xuyen_giap!$C$2:$C$8,MIN(7,MAX(1,MAX(1,2-(Vu_khi!$L$226-0))+1)))*IF($AA$226,INDEX(Bang_xuyen_qua!$C$2:$C$5,MIN(4,MAX(1,(Vu_khi!$L$226)-(0)-1))),1)</f>
        <v/>
      </c>
      <c r="AJ226" t="n">
        <v>0.75</v>
      </c>
      <c r="AK226">
        <f>IF($Q$226,$M$226*$AC$226*$U$226,0)</f>
        <v/>
      </c>
      <c r="AL226" t="n">
        <v>37.43999999999999</v>
      </c>
      <c r="AM226">
        <f>IF($Q$226,$M$226*$AE$226*$U$226,0)</f>
        <v/>
      </c>
      <c r="AN226" t="n">
        <v>47.42399999999999</v>
      </c>
      <c r="AO226">
        <f>IF($Q$226,$M$226*$AG$226*$U$226,0)</f>
        <v/>
      </c>
      <c r="AP226" t="n">
        <v>41.59999999999999</v>
      </c>
      <c r="AQ226">
        <f>IF($Q$226,$M$226*$AE$226*$Y$226,0)</f>
        <v/>
      </c>
      <c r="AR226" t="n">
        <v>27.66399999999999</v>
      </c>
      <c r="AS226">
        <f>IF($S$226,$M$226*$AI$226*$W$226,0)</f>
        <v/>
      </c>
      <c r="AT226" t="n">
        <v>0</v>
      </c>
      <c r="AU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V226" t="b">
        <v>0</v>
      </c>
      <c r="AW226">
        <f>IF(AND($B$226&lt;0,$AU$226),4,$B$226)</f>
        <v/>
      </c>
      <c r="AX226" t="n">
        <v>3</v>
      </c>
      <c r="AY226">
        <f>IF($AW$226&lt;4,0,MIN(MAX(0.5,Canh_bao_vong!$D$4),MAX(IF(Vu_khi!$C$226="cal_406",Canh_bao_vong!$D$7,IF($AW$226&gt;=5,Canh_bao_vong!$D$9,Canh_bao_vong!$D$8)),Canh_bao_vong!$D$2+MAX(0,Vu_khi!$X$226)/MAX(0.1,Canh_bao_vong!$D$5))))</f>
        <v/>
      </c>
      <c r="AZ226" t="n">
        <v>0</v>
      </c>
      <c r="BA226" t="n">
        <v>0.7</v>
      </c>
      <c r="BB226" t="inlineStr">
        <is>
          <t>LECH_HO</t>
        </is>
      </c>
      <c r="BC226" t="b">
        <v>0</v>
      </c>
      <c r="BD226" t="n">
        <v>170</v>
      </c>
      <c r="BE226" t="n">
        <v>221</v>
      </c>
      <c r="BF226" t="n">
        <v>0.047</v>
      </c>
      <c r="BG226" t="n">
        <v>0.094</v>
      </c>
      <c r="BH226" t="n">
        <v>0.188</v>
      </c>
      <c r="BI226" t="n">
        <v>0.145</v>
      </c>
      <c r="BJ226" t="inlineStr">
        <is>
          <t>DIRECT_FAST</t>
        </is>
      </c>
      <c r="BK226" t="inlineStr">
        <is>
          <t>ok</t>
        </is>
      </c>
      <c r="BL226" t="inlineStr">
        <is>
          <t>inherited from p26_behemoth_be120</t>
        </is>
      </c>
      <c r="BM226" t="inlineStr"/>
      <c r="BN226" t="inlineStr">
        <is>
          <t>Assets/MachineBrigade/Resources/Data/balance.json: weapons[id=p26_behemoth_tiny_be120] (lớp B trên 01_chien_dau/Vu_khi)</t>
        </is>
      </c>
      <c r="BO226" t="inlineStr"/>
    </row>
    <row r="227">
      <c r="A227" t="inlineStr">
        <is>
          <t>p26_behemoth_tiny_boss_missiles</t>
        </is>
      </c>
      <c r="B227" t="n">
        <v>2</v>
      </c>
      <c r="C227">
        <f>IF(Vu_khi!$O$227="SIMULTANEOUS",MAX(1,Vu_khi!$N$227),1)</f>
        <v/>
      </c>
      <c r="D227" t="n">
        <v>1</v>
      </c>
      <c r="E227">
        <f>IF(Vu_khi!$S$227&gt;0,Vu_khi!$S$227,Vu_khi!$P$227*$C$227)</f>
        <v/>
      </c>
      <c r="F227" t="n">
        <v>1</v>
      </c>
      <c r="G227">
        <f>IF(Vu_khi!$S$227&gt;0,(Vu_khi!$S$227-1)*Vu_khi!$R$227+Vu_khi!$T$227,Vu_khi!$R$227+(Vu_khi!$P$227-1)*Vu_khi!$Q$227)</f>
        <v/>
      </c>
      <c r="H227" t="n">
        <v>20</v>
      </c>
      <c r="I227">
        <f>Vu_khi!$W$227*MAX(1,$E$227)</f>
        <v/>
      </c>
      <c r="J227" t="n">
        <v>230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11.5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1.3</v>
      </c>
      <c r="W227">
        <f>INDEX(Bang_sat_thuong!$C$2:$C$7,MATCH(Vu_khi!$K$227,Bang_sat_thuong!$A$2:$A$7,0))</f>
        <v/>
      </c>
      <c r="X227" t="n">
        <v>0.2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0.45</v>
      </c>
      <c r="AA227">
        <f>AND(Vu_khi!$K$227="Kinetic",NOT(Vu_khi!$AG$227))</f>
        <v/>
      </c>
      <c r="AB227" t="b">
        <v>0</v>
      </c>
      <c r="AC227">
        <f>IF(Vu_khi!$AG$227,INDEX(Bang_danh_noc!$C$2:$C$8,MIN(7,MAX(1,2-(Vu_khi!$L$227-0)+1))),INDEX(Bang_xuyen_giap!$C$2:$C$8,MIN(7,MAX(1,IF($O$227,MAX(1,2-(Vu_khi!$L$227-0)),2-(Vu_khi!$L$227-0))+1))))*IF($AA$227,INDEX(Bang_xuyen_qua!$C$2:$C$5,MIN(4,MAX(1,(Vu_khi!$L$227)-(0)-1))),1)</f>
        <v/>
      </c>
      <c r="AD227" t="n">
        <v>1.2</v>
      </c>
      <c r="AE227">
        <f>IF(Vu_khi!$AG$227,INDEX(Bang_danh_noc!$C$2:$C$8,MIN(7,MAX(1,2-(Vu_khi!$L$227-2)+1))),INDEX(Bang_xuyen_giap!$C$2:$C$8,MIN(7,MAX(1,IF($O$227,MAX(1,2-(Vu_khi!$L$227-2)),2-(Vu_khi!$L$227-2))+1))))*IF($AA$227,INDEX(Bang_xuyen_qua!$C$2:$C$5,MIN(4,MAX(1,(Vu_khi!$L$227)-(2)-1))),1)</f>
        <v/>
      </c>
      <c r="AF227" t="n">
        <v>1.2</v>
      </c>
      <c r="AG227">
        <f>IF(Vu_khi!$AG$227,INDEX(Bang_danh_noc!$C$2:$C$8,MIN(7,MAX(1,2-(Vu_khi!$L$227-4)+1))),INDEX(Bang_xuyen_giap!$C$2:$C$8,MIN(7,MAX(1,IF($O$227,MAX(1,2-(Vu_khi!$L$227-4)),2-(Vu_khi!$L$227-4))+1))))*IF($AA$227,INDEX(Bang_xuyen_qua!$C$2:$C$5,MIN(4,MAX(1,(Vu_khi!$L$227)-(4)-1))),1)</f>
        <v/>
      </c>
      <c r="AH227" t="n">
        <v>0.85</v>
      </c>
      <c r="AI227">
        <f>INDEX(Bang_xuyen_giap!$C$2:$C$8,MIN(7,MAX(1,MAX(1,2-(Vu_khi!$L$227-0))+1)))*IF($AA$227,INDEX(Bang_xuyen_qua!$C$2:$C$5,MIN(4,MAX(1,(Vu_khi!$L$227)-(0)-1))),1)</f>
        <v/>
      </c>
      <c r="AJ227" t="n">
        <v>1</v>
      </c>
      <c r="AK227">
        <f>IF($Q$227,$M$227*$AC$227*$U$227,0)</f>
        <v/>
      </c>
      <c r="AL227" t="n">
        <v>17.94</v>
      </c>
      <c r="AM227">
        <f>IF($Q$227,$M$227*$AE$227*$U$227,0)</f>
        <v/>
      </c>
      <c r="AN227" t="n">
        <v>17.94</v>
      </c>
      <c r="AO227">
        <f>IF($Q$227,$M$227*$AG$227*$U$227,0)</f>
        <v/>
      </c>
      <c r="AP227" t="n">
        <v>12.7075</v>
      </c>
      <c r="AQ227">
        <f>IF($Q$227,$M$227*$AE$227*$Y$227,0)</f>
        <v/>
      </c>
      <c r="AR227" t="n">
        <v>6.210000000000001</v>
      </c>
      <c r="AS227">
        <f>IF($S$227,$M$227*$AI$227*$W$227,0)</f>
        <v/>
      </c>
      <c r="AT227" t="n">
        <v>0</v>
      </c>
      <c r="AU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V227" t="b">
        <v>0</v>
      </c>
      <c r="AW227">
        <f>IF(AND($B$227&lt;0,$AU$227),4,$B$227)</f>
        <v/>
      </c>
      <c r="AX227" t="n">
        <v>2</v>
      </c>
      <c r="AY227">
        <f>IF($AW$227&lt;4,0,MIN(MAX(0.5,Canh_bao_vong!$D$4),MAX(IF(Vu_khi!$C$227="cal_406",Canh_bao_vong!$D$7,IF($AW$227&gt;=5,Canh_bao_vong!$D$9,Canh_bao_vong!$D$8)),Canh_bao_vong!$D$2+MAX(0,Vu_khi!$X$227)/MAX(0.1,Canh_bao_vong!$D$5))))</f>
        <v/>
      </c>
      <c r="AZ227" t="n">
        <v>0</v>
      </c>
      <c r="BA227" t="n">
        <v>1</v>
      </c>
      <c r="BB227" t="inlineStr">
        <is>
          <t>ok</t>
        </is>
      </c>
      <c r="BC227" t="b">
        <v>1</v>
      </c>
      <c r="BD227" t="n">
        <v>80</v>
      </c>
      <c r="BE227" t="n">
        <v>104</v>
      </c>
      <c r="BF227" t="n">
        <v>0.141</v>
      </c>
      <c r="BG227" t="n">
        <v>0.281</v>
      </c>
      <c r="BH227" t="n">
        <v>0.5620000000000001</v>
      </c>
      <c r="BI227" t="n">
        <v>0.433</v>
      </c>
      <c r="BJ227" t="inlineStr">
        <is>
          <t>TACTICAL_MISSILE</t>
        </is>
      </c>
      <c r="BK227" t="inlineStr">
        <is>
          <t>ok</t>
        </is>
      </c>
      <c r="BL227" t="inlineStr">
        <is>
          <t>inherited from boss_missiles</t>
        </is>
      </c>
      <c r="BM227" t="inlineStr"/>
      <c r="BN227" t="inlineStr">
        <is>
          <t>Assets/MachineBrigade/Resources/Data/balance.json: weapons[id=p26_behemoth_tiny_boss_missiles] (lớp B trên 01_chien_dau/Vu_khi)</t>
        </is>
      </c>
      <c r="BO227" t="inlineStr"/>
    </row>
    <row r="228">
      <c r="A228" t="inlineStr">
        <is>
          <t>p26_behemoth_tiny_kornet_twin</t>
        </is>
      </c>
      <c r="B228" t="n">
        <v>3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</v>
      </c>
      <c r="G228">
        <f>IF(Vu_khi!$S$228&gt;0,(Vu_khi!$S$228-1)*Vu_khi!$R$228+Vu_khi!$T$228,Vu_khi!$R$228+(Vu_khi!$P$228-1)*Vu_khi!$Q$228)</f>
        <v/>
      </c>
      <c r="H228" t="n">
        <v>9.699999999999999</v>
      </c>
      <c r="I228">
        <f>Vu_khi!$W$228*MAX(1,$E$228)</f>
        <v/>
      </c>
      <c r="J228" t="n">
        <v>230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23.71134020618557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0</v>
      </c>
      <c r="U228">
        <f>INDEX(Bang_sat_thuong!$B$2:$B$7,MATCH(Vu_khi!$K$228,Bang_sat_thuong!$A$2:$A$7,0))</f>
        <v/>
      </c>
      <c r="V228" t="n">
        <v>1.2</v>
      </c>
      <c r="W228">
        <f>INDEX(Bang_sat_thuong!$C$2:$C$7,MATCH(Vu_khi!$K$228,Bang_sat_thuong!$A$2:$A$7,0))</f>
        <v/>
      </c>
      <c r="X228" t="n">
        <v>0.3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0.7</v>
      </c>
      <c r="AA228">
        <f>AND(Vu_khi!$K$228="Kinetic",NOT(Vu_khi!$AG$228))</f>
        <v/>
      </c>
      <c r="AB228" t="b">
        <v>1</v>
      </c>
      <c r="AC228">
        <f>IF(Vu_khi!$AG$228,INDEX(Bang_danh_noc!$C$2:$C$8,MIN(7,MAX(1,2-(Vu_khi!$L$228-0)+1))),INDEX(Bang_xuyen_giap!$C$2:$C$8,MIN(7,MAX(1,IF($O$228,MAX(1,2-(Vu_khi!$L$228-0)),2-(Vu_khi!$L$228-0))+1))))*IF($AA$228,INDEX(Bang_xuyen_qua!$C$2:$C$5,MIN(4,MAX(1,(Vu_khi!$L$228)-(0)-1))),1)</f>
        <v/>
      </c>
      <c r="AD228" t="n">
        <v>0.8999999999999999</v>
      </c>
      <c r="AE228">
        <f>IF(Vu_khi!$AG$228,INDEX(Bang_danh_noc!$C$2:$C$8,MIN(7,MAX(1,2-(Vu_khi!$L$228-2)+1))),INDEX(Bang_xuyen_giap!$C$2:$C$8,MIN(7,MAX(1,IF($O$228,MAX(1,2-(Vu_khi!$L$228-2)),2-(Vu_khi!$L$228-2))+1))))*IF($AA$228,INDEX(Bang_xuyen_qua!$C$2:$C$5,MIN(4,MAX(1,(Vu_khi!$L$228)-(2)-1))),1)</f>
        <v/>
      </c>
      <c r="AF228" t="n">
        <v>1.14</v>
      </c>
      <c r="AG228">
        <f>IF(Vu_khi!$AG$228,INDEX(Bang_danh_noc!$C$2:$C$8,MIN(7,MAX(1,2-(Vu_khi!$L$228-4)+1))),INDEX(Bang_xuyen_giap!$C$2:$C$8,MIN(7,MAX(1,IF($O$228,MAX(1,2-(Vu_khi!$L$228-4)),2-(Vu_khi!$L$228-4))+1))))*IF($AA$228,INDEX(Bang_xuyen_qua!$C$2:$C$5,MIN(4,MAX(1,(Vu_khi!$L$228)-(4)-1))),1)</f>
        <v/>
      </c>
      <c r="AH228" t="n">
        <v>1</v>
      </c>
      <c r="AI228">
        <f>INDEX(Bang_xuyen_giap!$C$2:$C$8,MIN(7,MAX(1,MAX(1,2-(Vu_khi!$L$228-0))+1)))*IF($AA$228,INDEX(Bang_xuyen_qua!$C$2:$C$5,MIN(4,MAX(1,(Vu_khi!$L$228)-(0)-1))),1)</f>
        <v/>
      </c>
      <c r="AJ228" t="n">
        <v>0.75</v>
      </c>
      <c r="AK228">
        <f>IF($Q$228,$M$228*$AC$228*$U$228,0)</f>
        <v/>
      </c>
      <c r="AL228" t="n">
        <v>25.60824742268041</v>
      </c>
      <c r="AM228">
        <f>IF($Q$228,$M$228*$AE$228*$U$228,0)</f>
        <v/>
      </c>
      <c r="AN228" t="n">
        <v>32.43711340206185</v>
      </c>
      <c r="AO228">
        <f>IF($Q$228,$M$228*$AG$228*$U$228,0)</f>
        <v/>
      </c>
      <c r="AP228" t="n">
        <v>28.45360824742268</v>
      </c>
      <c r="AQ228">
        <f>IF($Q$228,$M$228*$AE$228*$Y$228,0)</f>
        <v/>
      </c>
      <c r="AR228" t="n">
        <v>18.92164948453608</v>
      </c>
      <c r="AS228">
        <f>IF($S$228,$M$228*$AI$228*$W$228,0)</f>
        <v/>
      </c>
      <c r="AT228" t="n">
        <v>0</v>
      </c>
      <c r="AU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V228" t="b">
        <v>0</v>
      </c>
      <c r="AW228">
        <f>IF(AND($B$228&lt;0,$AU$228),4,$B$228)</f>
        <v/>
      </c>
      <c r="AX228" t="n">
        <v>3</v>
      </c>
      <c r="AY228">
        <f>IF($AW$228&lt;4,0,MIN(MAX(0.5,Canh_bao_vong!$D$4),MAX(IF(Vu_khi!$C$228="cal_406",Canh_bao_vong!$D$7,IF($AW$228&gt;=5,Canh_bao_vong!$D$9,Canh_bao_vong!$D$8)),Canh_bao_vong!$D$2+MAX(0,Vu_khi!$X$228)/MAX(0.1,Canh_bao_vong!$D$5))))</f>
        <v/>
      </c>
      <c r="AZ228" t="n">
        <v>0</v>
      </c>
      <c r="BA228" t="n">
        <v>0.9053330000000001</v>
      </c>
      <c r="BB228" t="inlineStr">
        <is>
          <t>LECH_HO</t>
        </is>
      </c>
      <c r="BC228" t="b">
        <v>0</v>
      </c>
      <c r="BD228" t="n">
        <v>170</v>
      </c>
      <c r="BE228" t="n">
        <v>221</v>
      </c>
      <c r="BF228" t="n">
        <v>0.047</v>
      </c>
      <c r="BG228" t="n">
        <v>0.094</v>
      </c>
      <c r="BH228" t="n">
        <v>0.188</v>
      </c>
      <c r="BI228" t="n">
        <v>0.145</v>
      </c>
      <c r="BJ228" t="inlineStr">
        <is>
          <t>DIRECT_FAST</t>
        </is>
      </c>
      <c r="BK228" t="inlineStr">
        <is>
          <t>ok</t>
        </is>
      </c>
      <c r="BL228" t="inlineStr">
        <is>
          <t>inherited from p26_behemoth_be120</t>
        </is>
      </c>
      <c r="BM228" t="inlineStr"/>
      <c r="BN228" t="inlineStr">
        <is>
          <t>Assets/MachineBrigade/Resources/Data/balance.json: weapons[id=p26_behemoth_tiny_kornet_twin] (lớp B trên 01_chien_dau/Vu_khi)</t>
        </is>
      </c>
      <c r="BO228" t="inlineStr"/>
    </row>
    <row r="229">
      <c r="A229" t="inlineStr">
        <is>
          <t>p26_daedalus_dae57</t>
        </is>
      </c>
      <c r="B229" t="n">
        <v>2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2</v>
      </c>
      <c r="G229">
        <f>IF(Vu_khi!$S$229&gt;0,(Vu_khi!$S$229-1)*Vu_khi!$R$229+Vu_khi!$T$229,Vu_khi!$R$229+(Vu_khi!$P$229-1)*Vu_khi!$Q$229)</f>
        <v/>
      </c>
      <c r="H229" t="n">
        <v>2.5</v>
      </c>
      <c r="I229">
        <f>Vu_khi!$W$229*MAX(1,$E$229)</f>
        <v/>
      </c>
      <c r="J229" t="n">
        <v>240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96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0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1.6</v>
      </c>
      <c r="AA229">
        <f>AND(Vu_khi!$K$229="Kinetic",NOT(Vu_khi!$AG$229))</f>
        <v/>
      </c>
      <c r="AB229" t="b">
        <v>0</v>
      </c>
      <c r="AC229">
        <f>IF(Vu_khi!$AG$229,INDEX(Bang_danh_noc!$C$2:$C$8,MIN(7,MAX(1,2-(Vu_khi!$L$229-0)+1))),INDEX(Bang_xuyen_giap!$C$2:$C$8,MIN(7,MAX(1,IF($O$229,MAX(1,2-(Vu_khi!$L$229-0)),2-(Vu_khi!$L$229-0))+1))))*IF($AA$229,INDEX(Bang_xuyen_qua!$C$2:$C$5,MIN(4,MAX(1,(Vu_khi!$L$229)-(0)-1))),1)</f>
        <v/>
      </c>
      <c r="AD229" t="n">
        <v>1.2</v>
      </c>
      <c r="AE229">
        <f>IF(Vu_khi!$AG$229,INDEX(Bang_danh_noc!$C$2:$C$8,MIN(7,MAX(1,2-(Vu_khi!$L$229-2)+1))),INDEX(Bang_xuyen_giap!$C$2:$C$8,MIN(7,MAX(1,IF($O$229,MAX(1,2-(Vu_khi!$L$229-2)),2-(Vu_khi!$L$229-2))+1))))*IF($AA$229,INDEX(Bang_xuyen_qua!$C$2:$C$5,MIN(4,MAX(1,(Vu_khi!$L$229)-(2)-1))),1)</f>
        <v/>
      </c>
      <c r="AF229" t="n">
        <v>1.2</v>
      </c>
      <c r="AG229">
        <f>IF(Vu_khi!$AG$229,INDEX(Bang_danh_noc!$C$2:$C$8,MIN(7,MAX(1,2-(Vu_khi!$L$229-4)+1))),INDEX(Bang_xuyen_giap!$C$2:$C$8,MIN(7,MAX(1,IF($O$229,MAX(1,2-(Vu_khi!$L$229-4)),2-(Vu_khi!$L$229-4))+1))))*IF($AA$229,INDEX(Bang_xuyen_qua!$C$2:$C$5,MIN(4,MAX(1,(Vu_khi!$L$229)-(4)-1))),1)</f>
        <v/>
      </c>
      <c r="AH229" t="n">
        <v>0.85</v>
      </c>
      <c r="AI229">
        <f>INDEX(Bang_xuyen_giap!$C$2:$C$8,MIN(7,MAX(1,MAX(1,2-(Vu_khi!$L$229-0))+1)))*IF($AA$229,INDEX(Bang_xuyen_qua!$C$2:$C$5,MIN(4,MAX(1,(Vu_khi!$L$229)-(0)-1))),1)</f>
        <v/>
      </c>
      <c r="AJ229" t="n">
        <v>1</v>
      </c>
      <c r="AK229">
        <f>IF($Q$229,$M$229*$AC$229*$U$229,0)</f>
        <v/>
      </c>
      <c r="AL229" t="n">
        <v>115.2</v>
      </c>
      <c r="AM229">
        <f>IF($Q$229,$M$229*$AE$229*$U$229,0)</f>
        <v/>
      </c>
      <c r="AN229" t="n">
        <v>115.2</v>
      </c>
      <c r="AO229">
        <f>IF($Q$229,$M$229*$AG$229*$U$229,0)</f>
        <v/>
      </c>
      <c r="AP229" t="n">
        <v>81.59999999999999</v>
      </c>
      <c r="AQ229">
        <f>IF($Q$229,$M$229*$AE$229*$Y$229,0)</f>
        <v/>
      </c>
      <c r="AR229" t="n">
        <v>184.32</v>
      </c>
      <c r="AS229">
        <f>IF($S$229,$M$229*$AI$229*$W$229,0)</f>
        <v/>
      </c>
      <c r="AT229" t="n">
        <v>0</v>
      </c>
      <c r="AU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V229" t="b">
        <v>0</v>
      </c>
      <c r="AW229">
        <f>IF(AND($B$229&lt;0,$AU$229),4,$B$229)</f>
        <v/>
      </c>
      <c r="AX229" t="n">
        <v>2</v>
      </c>
      <c r="AY229">
        <f>IF($AW$229&lt;4,0,MIN(MAX(0.5,Canh_bao_vong!$D$4),MAX(IF(Vu_khi!$C$229="cal_406",Canh_bao_vong!$D$7,IF($AW$229&gt;=5,Canh_bao_vong!$D$9,Canh_bao_vong!$D$8)),Canh_bao_vong!$D$2+MAX(0,Vu_khi!$X$229)/MAX(0.1,Canh_bao_vong!$D$5))))</f>
        <v/>
      </c>
      <c r="AZ229" t="n">
        <v>0</v>
      </c>
      <c r="BA229" t="n">
        <v>2.5</v>
      </c>
      <c r="BB229" t="inlineStr">
        <is>
          <t>NHANH_QUA;LECH_DOT_1</t>
        </is>
      </c>
      <c r="BC229" t="inlineStr"/>
      <c r="BD229" t="n">
        <v>150</v>
      </c>
      <c r="BE229" t="n">
        <v>195</v>
      </c>
      <c r="BF229" t="n">
        <v>0.047</v>
      </c>
      <c r="BG229" t="n">
        <v>0.093</v>
      </c>
      <c r="BH229" t="n">
        <v>0.187</v>
      </c>
      <c r="BI229" t="n">
        <v>0.144</v>
      </c>
      <c r="BJ229" t="inlineStr">
        <is>
          <t>DIRECT_FAST</t>
        </is>
      </c>
      <c r="BK229" t="inlineStr">
        <is>
          <t>ok</t>
        </is>
      </c>
      <c r="BL229" t="inlineStr">
        <is>
          <t>inherited from gun_57mm</t>
        </is>
      </c>
      <c r="BM229" t="inlineStr"/>
      <c r="BN229" t="inlineStr">
        <is>
          <t>Assets/MachineBrigade/Resources/Data/balance.json: weapons[id=p26_daedalus_dae57] (lớp B trên 01_chien_dau/Vu_khi)</t>
        </is>
      </c>
      <c r="BO229" t="inlineStr"/>
    </row>
    <row r="230">
      <c r="A230" t="inlineStr">
        <is>
          <t>p26_daedalus_dae_laser</t>
        </is>
      </c>
      <c r="B230" t="n">
        <v>1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0.1</v>
      </c>
      <c r="I230">
        <f>Vu_khi!$W$230*MAX(1,$E$230)</f>
        <v/>
      </c>
      <c r="J230" t="n">
        <v>40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400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0</v>
      </c>
      <c r="U230">
        <f>INDEX(Bang_sat_thuong!$B$2:$B$7,MATCH(Vu_khi!$K$230,Bang_sat_thuong!$A$2:$A$7,0))</f>
        <v/>
      </c>
      <c r="V230" t="n">
        <v>0.9</v>
      </c>
      <c r="W230">
        <f>INDEX(Bang_sat_thuong!$C$2:$C$7,MATCH(Vu_khi!$K$230,Bang_sat_thuong!$A$2:$A$7,0))</f>
        <v/>
      </c>
      <c r="X230" t="n">
        <v>1.5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0.4</v>
      </c>
      <c r="AA230">
        <f>AND(Vu_khi!$K$230="Kinetic",NOT(Vu_khi!$AG$230))</f>
        <v/>
      </c>
      <c r="AB230" t="b">
        <v>0</v>
      </c>
      <c r="AC230">
        <f>IF(Vu_khi!$AG$230,INDEX(Bang_danh_noc!$C$2:$C$8,MIN(7,MAX(1,2-(Vu_khi!$L$230-0)+1))),INDEX(Bang_xuyen_giap!$C$2:$C$8,MIN(7,MAX(1,IF($O$230,MAX(1,2-(Vu_khi!$L$230-0)),2-(Vu_khi!$L$230-0))+1))))*IF($AA$230,INDEX(Bang_xuyen_qua!$C$2:$C$5,MIN(4,MAX(1,(Vu_khi!$L$230)-(0)-1))),1)</f>
        <v/>
      </c>
      <c r="AD230" t="n">
        <v>1.2</v>
      </c>
      <c r="AE230">
        <f>IF(Vu_khi!$AG$230,INDEX(Bang_danh_noc!$C$2:$C$8,MIN(7,MAX(1,2-(Vu_khi!$L$230-2)+1))),INDEX(Bang_xuyen_giap!$C$2:$C$8,MIN(7,MAX(1,IF($O$230,MAX(1,2-(Vu_khi!$L$230-2)),2-(Vu_khi!$L$230-2))+1))))*IF($AA$230,INDEX(Bang_xuyen_qua!$C$2:$C$5,MIN(4,MAX(1,(Vu_khi!$L$230)-(2)-1))),1)</f>
        <v/>
      </c>
      <c r="AF230" t="n">
        <v>1.2</v>
      </c>
      <c r="AG230">
        <f>IF(Vu_khi!$AG$230,INDEX(Bang_danh_noc!$C$2:$C$8,MIN(7,MAX(1,2-(Vu_khi!$L$230-4)+1))),INDEX(Bang_xuyen_giap!$C$2:$C$8,MIN(7,MAX(1,IF($O$230,MAX(1,2-(Vu_khi!$L$230-4)),2-(Vu_khi!$L$230-4))+1))))*IF($AA$230,INDEX(Bang_xuyen_qua!$C$2:$C$5,MIN(4,MAX(1,(Vu_khi!$L$230)-(4)-1))),1)</f>
        <v/>
      </c>
      <c r="AH230" t="n">
        <v>0.85</v>
      </c>
      <c r="AI230">
        <f>INDEX(Bang_xuyen_giap!$C$2:$C$8,MIN(7,MAX(1,MAX(1,2-(Vu_khi!$L$230-0))+1)))*IF($AA$230,INDEX(Bang_xuyen_qua!$C$2:$C$5,MIN(4,MAX(1,(Vu_khi!$L$230)-(0)-1))),1)</f>
        <v/>
      </c>
      <c r="AJ230" t="n">
        <v>1</v>
      </c>
      <c r="AK230">
        <f>IF($Q$230,$M$230*$AC$230*$U$230,0)</f>
        <v/>
      </c>
      <c r="AL230" t="n">
        <v>432</v>
      </c>
      <c r="AM230">
        <f>IF($Q$230,$M$230*$AE$230*$U$230,0)</f>
        <v/>
      </c>
      <c r="AN230" t="n">
        <v>432</v>
      </c>
      <c r="AO230">
        <f>IF($Q$230,$M$230*$AG$230*$U$230,0)</f>
        <v/>
      </c>
      <c r="AP230" t="n">
        <v>306</v>
      </c>
      <c r="AQ230">
        <f>IF($Q$230,$M$230*$AE$230*$Y$230,0)</f>
        <v/>
      </c>
      <c r="AR230" t="n">
        <v>192</v>
      </c>
      <c r="AS230">
        <f>IF($S$230,$M$230*$AI$230*$W$230,0)</f>
        <v/>
      </c>
      <c r="AT230" t="n">
        <v>0</v>
      </c>
      <c r="AU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V230" t="b">
        <v>0</v>
      </c>
      <c r="AW230">
        <f>IF(AND($B$230&lt;0,$AU$230),4,$B$230)</f>
        <v/>
      </c>
      <c r="AX230" t="n">
        <v>1</v>
      </c>
      <c r="AY230">
        <f>IF($AW$230&lt;4,0,MIN(MAX(0.5,Canh_bao_vong!$D$4),MAX(IF(Vu_khi!$C$230="cal_406",Canh_bao_vong!$D$7,IF($AW$230&gt;=5,Canh_bao_vong!$D$9,Canh_bao_vong!$D$8)),Canh_bao_vong!$D$2+MAX(0,Vu_khi!$X$230)/MAX(0.1,Canh_bao_vong!$D$5))))</f>
        <v/>
      </c>
      <c r="AZ230" t="n">
        <v>0</v>
      </c>
      <c r="BA230" t="inlineStr"/>
      <c r="BB230" t="inlineStr">
        <is>
          <t>ok</t>
        </is>
      </c>
      <c r="BC230" t="inlineStr"/>
      <c r="BD230" t="n">
        <v>3000</v>
      </c>
      <c r="BE230" t="n">
        <v>3900</v>
      </c>
      <c r="BF230" t="n">
        <v>0.003</v>
      </c>
      <c r="BG230" t="n">
        <v>0.006</v>
      </c>
      <c r="BH230" t="n">
        <v>0.012</v>
      </c>
      <c r="BI230" t="n">
        <v>0.008999999999999999</v>
      </c>
      <c r="BJ230" t="inlineStr">
        <is>
          <t>BEAM_OR_MELEE</t>
        </is>
      </c>
      <c r="BK230" t="inlineStr">
        <is>
          <t>ok</t>
        </is>
      </c>
      <c r="BL230" t="inlineStr">
        <is>
          <t>inherited from orbital_laser</t>
        </is>
      </c>
      <c r="BM230" t="inlineStr"/>
      <c r="BN230" t="inlineStr">
        <is>
          <t>Assets/MachineBrigade/Resources/Data/balance.json: weapons[id=p26_daedalus_dae_laser] (lớp B trên 01_chien_dau/Vu_khi)</t>
        </is>
      </c>
      <c r="BO230" t="inlineStr"/>
    </row>
    <row r="231">
      <c r="A231" t="inlineStr">
        <is>
          <t>p26_daedalus_direct_dae_laser</t>
        </is>
      </c>
      <c r="B231" t="n">
        <v>1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1</v>
      </c>
      <c r="G231">
        <f>IF(Vu_khi!$S$231&gt;0,(Vu_khi!$S$231-1)*Vu_khi!$R$231+Vu_khi!$T$231,Vu_khi!$R$231+(Vu_khi!$P$231-1)*Vu_khi!$Q$231)</f>
        <v/>
      </c>
      <c r="H231" t="n">
        <v>0.1</v>
      </c>
      <c r="I231">
        <f>Vu_khi!$W$231*MAX(1,$E$231)</f>
        <v/>
      </c>
      <c r="J231" t="n">
        <v>16.5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165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0.9</v>
      </c>
      <c r="W231">
        <f>INDEX(Bang_sat_thuong!$C$2:$C$7,MATCH(Vu_khi!$K$231,Bang_sat_thuong!$A$2:$A$7,0))</f>
        <v/>
      </c>
      <c r="X231" t="n">
        <v>1.5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0.4</v>
      </c>
      <c r="AA231">
        <f>AND(Vu_khi!$K$231="Kinetic",NOT(Vu_khi!$AG$231))</f>
        <v/>
      </c>
      <c r="AB231" t="b">
        <v>0</v>
      </c>
      <c r="AC231">
        <f>IF(Vu_khi!$AG$231,INDEX(Bang_danh_noc!$C$2:$C$8,MIN(7,MAX(1,2-(Vu_khi!$L$231-0)+1))),INDEX(Bang_xuyen_giap!$C$2:$C$8,MIN(7,MAX(1,IF($O$231,MAX(1,2-(Vu_khi!$L$231-0)),2-(Vu_khi!$L$231-0))+1))))*IF($AA$231,INDEX(Bang_xuyen_qua!$C$2:$C$5,MIN(4,MAX(1,(Vu_khi!$L$231)-(0)-1))),1)</f>
        <v/>
      </c>
      <c r="AD231" t="n">
        <v>1.2</v>
      </c>
      <c r="AE231">
        <f>IF(Vu_khi!$AG$231,INDEX(Bang_danh_noc!$C$2:$C$8,MIN(7,MAX(1,2-(Vu_khi!$L$231-2)+1))),INDEX(Bang_xuyen_giap!$C$2:$C$8,MIN(7,MAX(1,IF($O$231,MAX(1,2-(Vu_khi!$L$231-2)),2-(Vu_khi!$L$231-2))+1))))*IF($AA$231,INDEX(Bang_xuyen_qua!$C$2:$C$5,MIN(4,MAX(1,(Vu_khi!$L$231)-(2)-1))),1)</f>
        <v/>
      </c>
      <c r="AF231" t="n">
        <v>1.2</v>
      </c>
      <c r="AG231">
        <f>IF(Vu_khi!$AG$231,INDEX(Bang_danh_noc!$C$2:$C$8,MIN(7,MAX(1,2-(Vu_khi!$L$231-4)+1))),INDEX(Bang_xuyen_giap!$C$2:$C$8,MIN(7,MAX(1,IF($O$231,MAX(1,2-(Vu_khi!$L$231-4)),2-(Vu_khi!$L$231-4))+1))))*IF($AA$231,INDEX(Bang_xuyen_qua!$C$2:$C$5,MIN(4,MAX(1,(Vu_khi!$L$231)-(4)-1))),1)</f>
        <v/>
      </c>
      <c r="AH231" t="n">
        <v>0.85</v>
      </c>
      <c r="AI231">
        <f>INDEX(Bang_xuyen_giap!$C$2:$C$8,MIN(7,MAX(1,MAX(1,2-(Vu_khi!$L$231-0))+1)))*IF($AA$231,INDEX(Bang_xuyen_qua!$C$2:$C$5,MIN(4,MAX(1,(Vu_khi!$L$231)-(0)-1))),1)</f>
        <v/>
      </c>
      <c r="AJ231" t="n">
        <v>1</v>
      </c>
      <c r="AK231">
        <f>IF($Q$231,$M$231*$AC$231*$U$231,0)</f>
        <v/>
      </c>
      <c r="AL231" t="n">
        <v>178.2</v>
      </c>
      <c r="AM231">
        <f>IF($Q$231,$M$231*$AE$231*$U$231,0)</f>
        <v/>
      </c>
      <c r="AN231" t="n">
        <v>178.2</v>
      </c>
      <c r="AO231">
        <f>IF($Q$231,$M$231*$AG$231*$U$231,0)</f>
        <v/>
      </c>
      <c r="AP231" t="n">
        <v>126.225</v>
      </c>
      <c r="AQ231">
        <f>IF($Q$231,$M$231*$AE$231*$Y$231,0)</f>
        <v/>
      </c>
      <c r="AR231" t="n">
        <v>79.2</v>
      </c>
      <c r="AS231">
        <f>IF($S$231,$M$231*$AI$231*$W$231,0)</f>
        <v/>
      </c>
      <c r="AT231" t="n">
        <v>0</v>
      </c>
      <c r="AU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V231" t="b">
        <v>0</v>
      </c>
      <c r="AW231">
        <f>IF(AND($B$231&lt;0,$AU$231),4,$B$231)</f>
        <v/>
      </c>
      <c r="AX231" t="n">
        <v>1</v>
      </c>
      <c r="AY231">
        <f>IF($AW$231&lt;4,0,MIN(MAX(0.5,Canh_bao_vong!$D$4),MAX(IF(Vu_khi!$C$231="cal_406",Canh_bao_vong!$D$7,IF($AW$231&gt;=5,Canh_bao_vong!$D$9,Canh_bao_vong!$D$8)),Canh_bao_vong!$D$2+MAX(0,Vu_khi!$X$231)/MAX(0.1,Canh_bao_vong!$D$5))))</f>
        <v/>
      </c>
      <c r="AZ231" t="n">
        <v>0</v>
      </c>
      <c r="BA231" t="inlineStr"/>
      <c r="BB231" t="inlineStr">
        <is>
          <t>ok</t>
        </is>
      </c>
      <c r="BC231" t="b">
        <v>1</v>
      </c>
      <c r="BD231" t="n">
        <v>3000</v>
      </c>
      <c r="BE231" t="n">
        <v>3900</v>
      </c>
      <c r="BF231" t="n">
        <v>0.003</v>
      </c>
      <c r="BG231" t="n">
        <v>0.006</v>
      </c>
      <c r="BH231" t="n">
        <v>0.012</v>
      </c>
      <c r="BI231" t="n">
        <v>0.008999999999999999</v>
      </c>
      <c r="BJ231" t="inlineStr">
        <is>
          <t>BEAM_OR_MELEE</t>
        </is>
      </c>
      <c r="BK231" t="inlineStr">
        <is>
          <t>ok</t>
        </is>
      </c>
      <c r="BL231" t="inlineStr">
        <is>
          <t>inherited from p26_daedalus_dae_laser</t>
        </is>
      </c>
      <c r="BM231" t="inlineStr"/>
      <c r="BN231" t="inlineStr">
        <is>
          <t>Assets/MachineBrigade/Resources/Data/balance.json: weapons[id=p26_daedalus_direct_dae_laser] (lớp B trên 01_chien_dau/Vu_khi)</t>
        </is>
      </c>
      <c r="BO231" t="inlineStr"/>
    </row>
    <row r="232">
      <c r="A232" t="inlineStr">
        <is>
          <t>p26_daedalus_sec_dae57</t>
        </is>
      </c>
      <c r="B232" t="n">
        <v>2</v>
      </c>
      <c r="C232">
        <f>IF(Vu_khi!$O$232="SIMULTANEOUS",MAX(1,Vu_khi!$N$232),1)</f>
        <v/>
      </c>
      <c r="D232" t="n">
        <v>2</v>
      </c>
      <c r="E232">
        <f>IF(Vu_khi!$S$232&gt;0,Vu_khi!$S$232,Vu_khi!$P$232*$C$232)</f>
        <v/>
      </c>
      <c r="F232" t="n">
        <v>8</v>
      </c>
      <c r="G232">
        <f>IF(Vu_khi!$S$232&gt;0,(Vu_khi!$S$232-1)*Vu_khi!$R$232+Vu_khi!$T$232,Vu_khi!$R$232+(Vu_khi!$P$232-1)*Vu_khi!$Q$232)</f>
        <v/>
      </c>
      <c r="H232" t="n">
        <v>4.29</v>
      </c>
      <c r="I232">
        <f>Vu_khi!$W$232*MAX(1,$E$232)</f>
        <v/>
      </c>
      <c r="J232" t="n">
        <v>960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223.7762237762238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0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1.6</v>
      </c>
      <c r="AA232">
        <f>AND(Vu_khi!$K$232="Kinetic",NOT(Vu_khi!$AG$232))</f>
        <v/>
      </c>
      <c r="AB232" t="b">
        <v>0</v>
      </c>
      <c r="AC232">
        <f>IF(Vu_khi!$AG$232,INDEX(Bang_danh_noc!$C$2:$C$8,MIN(7,MAX(1,2-(Vu_khi!$L$232-0)+1))),INDEX(Bang_xuyen_giap!$C$2:$C$8,MIN(7,MAX(1,IF($O$232,MAX(1,2-(Vu_khi!$L$232-0)),2-(Vu_khi!$L$232-0))+1))))*IF($AA$232,INDEX(Bang_xuyen_qua!$C$2:$C$5,MIN(4,MAX(1,(Vu_khi!$L$232)-(0)-1))),1)</f>
        <v/>
      </c>
      <c r="AD232" t="n">
        <v>1.2</v>
      </c>
      <c r="AE232">
        <f>IF(Vu_khi!$AG$232,INDEX(Bang_danh_noc!$C$2:$C$8,MIN(7,MAX(1,2-(Vu_khi!$L$232-2)+1))),INDEX(Bang_xuyen_giap!$C$2:$C$8,MIN(7,MAX(1,IF($O$232,MAX(1,2-(Vu_khi!$L$232-2)),2-(Vu_khi!$L$232-2))+1))))*IF($AA$232,INDEX(Bang_xuyen_qua!$C$2:$C$5,MIN(4,MAX(1,(Vu_khi!$L$232)-(2)-1))),1)</f>
        <v/>
      </c>
      <c r="AF232" t="n">
        <v>1.2</v>
      </c>
      <c r="AG232">
        <f>IF(Vu_khi!$AG$232,INDEX(Bang_danh_noc!$C$2:$C$8,MIN(7,MAX(1,2-(Vu_khi!$L$232-4)+1))),INDEX(Bang_xuyen_giap!$C$2:$C$8,MIN(7,MAX(1,IF($O$232,MAX(1,2-(Vu_khi!$L$232-4)),2-(Vu_khi!$L$232-4))+1))))*IF($AA$232,INDEX(Bang_xuyen_qua!$C$2:$C$5,MIN(4,MAX(1,(Vu_khi!$L$232)-(4)-1))),1)</f>
        <v/>
      </c>
      <c r="AH232" t="n">
        <v>0.85</v>
      </c>
      <c r="AI232">
        <f>INDEX(Bang_xuyen_giap!$C$2:$C$8,MIN(7,MAX(1,MAX(1,2-(Vu_khi!$L$232-0))+1)))*IF($AA$232,INDEX(Bang_xuyen_qua!$C$2:$C$5,MIN(4,MAX(1,(Vu_khi!$L$232)-(0)-1))),1)</f>
        <v/>
      </c>
      <c r="AJ232" t="n">
        <v>1</v>
      </c>
      <c r="AK232">
        <f>IF($Q$232,$M$232*$AC$232*$U$232,0)</f>
        <v/>
      </c>
      <c r="AL232" t="n">
        <v>268.5314685314685</v>
      </c>
      <c r="AM232">
        <f>IF($Q$232,$M$232*$AE$232*$U$232,0)</f>
        <v/>
      </c>
      <c r="AN232" t="n">
        <v>268.5314685314685</v>
      </c>
      <c r="AO232">
        <f>IF($Q$232,$M$232*$AG$232*$U$232,0)</f>
        <v/>
      </c>
      <c r="AP232" t="n">
        <v>190.2097902097902</v>
      </c>
      <c r="AQ232">
        <f>IF($Q$232,$M$232*$AE$232*$Y$232,0)</f>
        <v/>
      </c>
      <c r="AR232" t="n">
        <v>429.6503496503497</v>
      </c>
      <c r="AS232">
        <f>IF($S$232,$M$232*$AI$232*$W$232,0)</f>
        <v/>
      </c>
      <c r="AT232" t="n">
        <v>0</v>
      </c>
      <c r="AU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V232" t="b">
        <v>0</v>
      </c>
      <c r="AW232">
        <f>IF(AND($B$232&lt;0,$AU$232),4,$B$232)</f>
        <v/>
      </c>
      <c r="AX232" t="n">
        <v>2</v>
      </c>
      <c r="AY232">
        <f>IF($AW$232&lt;4,0,MIN(MAX(0.5,Canh_bao_vong!$D$4),MAX(IF(Vu_khi!$C$232="cal_406",Canh_bao_vong!$D$7,IF($AW$232&gt;=5,Canh_bao_vong!$D$9,Canh_bao_vong!$D$8)),Canh_bao_vong!$D$2+MAX(0,Vu_khi!$X$232)/MAX(0.1,Canh_bao_vong!$D$5))))</f>
        <v/>
      </c>
      <c r="AZ232" t="n">
        <v>0</v>
      </c>
      <c r="BA232" t="n">
        <v>2.145</v>
      </c>
      <c r="BB232" t="inlineStr">
        <is>
          <t>ok</t>
        </is>
      </c>
      <c r="BC232" t="inlineStr"/>
      <c r="BD232" t="n">
        <v>150</v>
      </c>
      <c r="BE232" t="n">
        <v>195</v>
      </c>
      <c r="BF232" t="n">
        <v>0.047</v>
      </c>
      <c r="BG232" t="n">
        <v>0.093</v>
      </c>
      <c r="BH232" t="n">
        <v>0.187</v>
      </c>
      <c r="BI232" t="n">
        <v>0.144</v>
      </c>
      <c r="BJ232" t="inlineStr">
        <is>
          <t>DIRECT_FAST</t>
        </is>
      </c>
      <c r="BK232" t="inlineStr">
        <is>
          <t>ok</t>
        </is>
      </c>
      <c r="BL232" t="inlineStr">
        <is>
          <t>inherited from p26_daedalus_dae57</t>
        </is>
      </c>
      <c r="BM232" t="inlineStr"/>
      <c r="BN232" t="inlineStr">
        <is>
          <t>Assets/MachineBrigade/Resources/Data/balance.json: weapons[id=p26_daedalus_sec_dae57] (lớp B trên 01_chien_dau/Vu_khi)</t>
        </is>
      </c>
      <c r="BO232" t="inlineStr"/>
    </row>
    <row r="233">
      <c r="A233" t="inlineStr">
        <is>
          <t>p26_icarus_close_autocannon_40</t>
        </is>
      </c>
      <c r="B233" t="n">
        <v>1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10</v>
      </c>
      <c r="G233">
        <f>IF(Vu_khi!$S$233&gt;0,(Vu_khi!$S$233-1)*Vu_khi!$R$233+Vu_khi!$T$233,Vu_khi!$R$233+(Vu_khi!$P$233-1)*Vu_khi!$Q$233)</f>
        <v/>
      </c>
      <c r="H233" t="n">
        <v>3.32</v>
      </c>
      <c r="I233">
        <f>Vu_khi!$W$233*MAX(1,$E$233)</f>
        <v/>
      </c>
      <c r="J233" t="n">
        <v>300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90.36144578313252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1</v>
      </c>
      <c r="U233">
        <f>INDEX(Bang_sat_thuong!$B$2:$B$7,MATCH(Vu_khi!$K$233,Bang_sat_thuong!$A$2:$A$7,0))</f>
        <v/>
      </c>
      <c r="V233" t="n">
        <v>1.2</v>
      </c>
      <c r="W233">
        <f>INDEX(Bang_sat_thuong!$C$2:$C$7,MATCH(Vu_khi!$K$233,Bang_sat_thuong!$A$2:$A$7,0))</f>
        <v/>
      </c>
      <c r="X233" t="n">
        <v>0.3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0.7</v>
      </c>
      <c r="AA233">
        <f>AND(Vu_khi!$K$233="Kinetic",NOT(Vu_khi!$AG$233))</f>
        <v/>
      </c>
      <c r="AB233" t="b">
        <v>1</v>
      </c>
      <c r="AC233">
        <f>IF(Vu_khi!$AG$233,INDEX(Bang_danh_noc!$C$2:$C$8,MIN(7,MAX(1,2-(Vu_khi!$L$233-0)+1))),INDEX(Bang_xuyen_giap!$C$2:$C$8,MIN(7,MAX(1,IF($O$233,MAX(1,2-(Vu_khi!$L$233-0)),2-(Vu_khi!$L$233-0))+1))))*IF($AA$233,INDEX(Bang_xuyen_qua!$C$2:$C$5,MIN(4,MAX(1,(Vu_khi!$L$233)-(0)-1))),1)</f>
        <v/>
      </c>
      <c r="AD233" t="n">
        <v>1.2</v>
      </c>
      <c r="AE233">
        <f>IF(Vu_khi!$AG$233,INDEX(Bang_danh_noc!$C$2:$C$8,MIN(7,MAX(1,2-(Vu_khi!$L$233-2)+1))),INDEX(Bang_xuyen_giap!$C$2:$C$8,MIN(7,MAX(1,IF($O$233,MAX(1,2-(Vu_khi!$L$233-2)),2-(Vu_khi!$L$233-2))+1))))*IF($AA$233,INDEX(Bang_xuyen_qua!$C$2:$C$5,MIN(4,MAX(1,(Vu_khi!$L$233)-(2)-1))),1)</f>
        <v/>
      </c>
      <c r="AF233" t="n">
        <v>0.85</v>
      </c>
      <c r="AG233">
        <f>IF(Vu_khi!$AG$233,INDEX(Bang_danh_noc!$C$2:$C$8,MIN(7,MAX(1,2-(Vu_khi!$L$233-4)+1))),INDEX(Bang_xuyen_giap!$C$2:$C$8,MIN(7,MAX(1,IF($O$233,MAX(1,2-(Vu_khi!$L$233-4)),2-(Vu_khi!$L$233-4))+1))))*IF($AA$233,INDEX(Bang_xuyen_qua!$C$2:$C$5,MIN(4,MAX(1,(Vu_khi!$L$233)-(4)-1))),1)</f>
        <v/>
      </c>
      <c r="AH233" t="n">
        <v>0.4</v>
      </c>
      <c r="AI233">
        <f>INDEX(Bang_xuyen_giap!$C$2:$C$8,MIN(7,MAX(1,MAX(1,2-(Vu_khi!$L$233-0))+1)))*IF($AA$233,INDEX(Bang_xuyen_qua!$C$2:$C$5,MIN(4,MAX(1,(Vu_khi!$L$233)-(0)-1))),1)</f>
        <v/>
      </c>
      <c r="AJ233" t="n">
        <v>1</v>
      </c>
      <c r="AK233">
        <f>IF($Q$233,$M$233*$AC$233*$U$233,0)</f>
        <v/>
      </c>
      <c r="AL233" t="n">
        <v>130.1204819277108</v>
      </c>
      <c r="AM233">
        <f>IF($Q$233,$M$233*$AE$233*$U$233,0)</f>
        <v/>
      </c>
      <c r="AN233" t="n">
        <v>92.16867469879517</v>
      </c>
      <c r="AO233">
        <f>IF($Q$233,$M$233*$AG$233*$U$233,0)</f>
        <v/>
      </c>
      <c r="AP233" t="n">
        <v>43.37349397590361</v>
      </c>
      <c r="AQ233">
        <f>IF($Q$233,$M$233*$AE$233*$Y$233,0)</f>
        <v/>
      </c>
      <c r="AR233" t="n">
        <v>53.76506024096385</v>
      </c>
      <c r="AS233">
        <f>IF($S$233,$M$233*$AI$233*$W$233,0)</f>
        <v/>
      </c>
      <c r="AT233" t="n">
        <v>27.10843373493976</v>
      </c>
      <c r="AU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V233" t="b">
        <v>0</v>
      </c>
      <c r="AW233">
        <f>IF(AND($B$233&lt;0,$AU$233),4,$B$233)</f>
        <v/>
      </c>
      <c r="AX233" t="n">
        <v>1</v>
      </c>
      <c r="AY233">
        <f>IF($AW$233&lt;4,0,MIN(MAX(0.5,Canh_bao_vong!$D$4),MAX(IF(Vu_khi!$C$233="cal_406",Canh_bao_vong!$D$7,IF($AW$233&gt;=5,Canh_bao_vong!$D$9,Canh_bao_vong!$D$8)),Canh_bao_vong!$D$2+MAX(0,Vu_khi!$X$233)/MAX(0.1,Canh_bao_vong!$D$5))))</f>
        <v/>
      </c>
      <c r="AZ233" t="n">
        <v>0</v>
      </c>
      <c r="BA233" t="n">
        <v>1.826</v>
      </c>
      <c r="BB233" t="inlineStr">
        <is>
          <t>ok</t>
        </is>
      </c>
      <c r="BC233" t="b">
        <v>1</v>
      </c>
      <c r="BD233" t="n">
        <v>210</v>
      </c>
      <c r="BE233" t="n">
        <v>273</v>
      </c>
      <c r="BF233" t="n">
        <v>0.033</v>
      </c>
      <c r="BG233" t="n">
        <v>0.067</v>
      </c>
      <c r="BH233" t="n">
        <v>0.133</v>
      </c>
      <c r="BI233" t="n">
        <v>0.103</v>
      </c>
      <c r="BJ233" t="inlineStr">
        <is>
          <t>DIRECT_BULLET</t>
        </is>
      </c>
      <c r="BK233" t="inlineStr">
        <is>
          <t>ok</t>
        </is>
      </c>
      <c r="BL233" t="inlineStr">
        <is>
          <t>inherited from autocannon_40</t>
        </is>
      </c>
      <c r="BM233" t="inlineStr"/>
      <c r="BN233" t="inlineStr">
        <is>
          <t>Assets/MachineBrigade/Resources/Data/balance.json: weapons[id=p26_icarus_close_autocannon_40] (lớp B trên 01_chien_dau/Vu_khi)</t>
        </is>
      </c>
      <c r="BO233" t="inlineStr"/>
    </row>
    <row r="234">
      <c r="A234" t="inlineStr">
        <is>
          <t>p26_icarus_direct_ic_laser</t>
        </is>
      </c>
      <c r="B234" t="n">
        <v>1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0.1</v>
      </c>
      <c r="I234">
        <f>Vu_khi!$W$234*MAX(1,$E$234)</f>
        <v/>
      </c>
      <c r="J234" t="n">
        <v>16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160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0.9</v>
      </c>
      <c r="W234">
        <f>INDEX(Bang_sat_thuong!$C$2:$C$7,MATCH(Vu_khi!$K$234,Bang_sat_thuong!$A$2:$A$7,0))</f>
        <v/>
      </c>
      <c r="X234" t="n">
        <v>1.5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0.4</v>
      </c>
      <c r="AA234">
        <f>AND(Vu_khi!$K$234="Kinetic",NOT(Vu_khi!$AG$234))</f>
        <v/>
      </c>
      <c r="AB234" t="b">
        <v>0</v>
      </c>
      <c r="AC234">
        <f>IF(Vu_khi!$AG$234,INDEX(Bang_danh_noc!$C$2:$C$8,MIN(7,MAX(1,2-(Vu_khi!$L$234-0)+1))),INDEX(Bang_xuyen_giap!$C$2:$C$8,MIN(7,MAX(1,IF($O$234,MAX(1,2-(Vu_khi!$L$234-0)),2-(Vu_khi!$L$234-0))+1))))*IF($AA$234,INDEX(Bang_xuyen_qua!$C$2:$C$5,MIN(4,MAX(1,(Vu_khi!$L$234)-(0)-1))),1)</f>
        <v/>
      </c>
      <c r="AD234" t="n">
        <v>1.2</v>
      </c>
      <c r="AE234">
        <f>IF(Vu_khi!$AG$234,INDEX(Bang_danh_noc!$C$2:$C$8,MIN(7,MAX(1,2-(Vu_khi!$L$234-2)+1))),INDEX(Bang_xuyen_giap!$C$2:$C$8,MIN(7,MAX(1,IF($O$234,MAX(1,2-(Vu_khi!$L$234-2)),2-(Vu_khi!$L$234-2))+1))))*IF($AA$234,INDEX(Bang_xuyen_qua!$C$2:$C$5,MIN(4,MAX(1,(Vu_khi!$L$234)-(2)-1))),1)</f>
        <v/>
      </c>
      <c r="AF234" t="n">
        <v>1.2</v>
      </c>
      <c r="AG234">
        <f>IF(Vu_khi!$AG$234,INDEX(Bang_danh_noc!$C$2:$C$8,MIN(7,MAX(1,2-(Vu_khi!$L$234-4)+1))),INDEX(Bang_xuyen_giap!$C$2:$C$8,MIN(7,MAX(1,IF($O$234,MAX(1,2-(Vu_khi!$L$234-4)),2-(Vu_khi!$L$234-4))+1))))*IF($AA$234,INDEX(Bang_xuyen_qua!$C$2:$C$5,MIN(4,MAX(1,(Vu_khi!$L$234)-(4)-1))),1)</f>
        <v/>
      </c>
      <c r="AH234" t="n">
        <v>0.85</v>
      </c>
      <c r="AI234">
        <f>INDEX(Bang_xuyen_giap!$C$2:$C$8,MIN(7,MAX(1,MAX(1,2-(Vu_khi!$L$234-0))+1)))*IF($AA$234,INDEX(Bang_xuyen_qua!$C$2:$C$5,MIN(4,MAX(1,(Vu_khi!$L$234)-(0)-1))),1)</f>
        <v/>
      </c>
      <c r="AJ234" t="n">
        <v>1</v>
      </c>
      <c r="AK234">
        <f>IF($Q$234,$M$234*$AC$234*$U$234,0)</f>
        <v/>
      </c>
      <c r="AL234" t="n">
        <v>172.8</v>
      </c>
      <c r="AM234">
        <f>IF($Q$234,$M$234*$AE$234*$U$234,0)</f>
        <v/>
      </c>
      <c r="AN234" t="n">
        <v>172.8</v>
      </c>
      <c r="AO234">
        <f>IF($Q$234,$M$234*$AG$234*$U$234,0)</f>
        <v/>
      </c>
      <c r="AP234" t="n">
        <v>122.4</v>
      </c>
      <c r="AQ234">
        <f>IF($Q$234,$M$234*$AE$234*$Y$234,0)</f>
        <v/>
      </c>
      <c r="AR234" t="n">
        <v>76.8</v>
      </c>
      <c r="AS234">
        <f>IF($S$234,$M$234*$AI$234*$W$234,0)</f>
        <v/>
      </c>
      <c r="AT234" t="n">
        <v>0</v>
      </c>
      <c r="AU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V234" t="b">
        <v>0</v>
      </c>
      <c r="AW234">
        <f>IF(AND($B$234&lt;0,$AU$234),4,$B$234)</f>
        <v/>
      </c>
      <c r="AX234" t="n">
        <v>1</v>
      </c>
      <c r="AY234">
        <f>IF($AW$234&lt;4,0,MIN(MAX(0.5,Canh_bao_vong!$D$4),MAX(IF(Vu_khi!$C$234="cal_406",Canh_bao_vong!$D$7,IF($AW$234&gt;=5,Canh_bao_vong!$D$9,Canh_bao_vong!$D$8)),Canh_bao_vong!$D$2+MAX(0,Vu_khi!$X$234)/MAX(0.1,Canh_bao_vong!$D$5))))</f>
        <v/>
      </c>
      <c r="AZ234" t="n">
        <v>0</v>
      </c>
      <c r="BA234" t="inlineStr"/>
      <c r="BB234" t="inlineStr">
        <is>
          <t>ok</t>
        </is>
      </c>
      <c r="BC234" t="b">
        <v>1</v>
      </c>
      <c r="BD234" t="n">
        <v>3000</v>
      </c>
      <c r="BE234" t="n">
        <v>3900</v>
      </c>
      <c r="BF234" t="n">
        <v>0.003</v>
      </c>
      <c r="BG234" t="n">
        <v>0.006</v>
      </c>
      <c r="BH234" t="n">
        <v>0.012</v>
      </c>
      <c r="BI234" t="n">
        <v>0.008999999999999999</v>
      </c>
      <c r="BJ234" t="inlineStr">
        <is>
          <t>BEAM_OR_MELEE</t>
        </is>
      </c>
      <c r="BK234" t="inlineStr">
        <is>
          <t>ok</t>
        </is>
      </c>
      <c r="BL234" t="inlineStr">
        <is>
          <t>inherited from p26_icarus_ic_laser</t>
        </is>
      </c>
      <c r="BM234" t="inlineStr"/>
      <c r="BN234" t="inlineStr">
        <is>
          <t>Assets/MachineBrigade/Resources/Data/balance.json: weapons[id=p26_icarus_direct_ic_laser] (lớp B trên 01_chien_dau/Vu_khi)</t>
        </is>
      </c>
      <c r="BO234" t="inlineStr"/>
    </row>
    <row r="235">
      <c r="A235" t="inlineStr">
        <is>
          <t>p26_icarus_ic_coil</t>
        </is>
      </c>
      <c r="B235" t="n">
        <v>3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2</v>
      </c>
      <c r="I235">
        <f>Vu_khi!$W$235*MAX(1,$E$235)</f>
        <v/>
      </c>
      <c r="J235" t="n">
        <v>1440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720</v>
      </c>
      <c r="O235">
        <f>OR(Vu_khi!$AG$235,Vu_khi!$AB$235&gt;0,Vu_khi!$AH$235,Vu_khi!$M$235="Bomb",Vu_khi!$M$235="Drone")</f>
        <v/>
      </c>
      <c r="P235" t="b">
        <v>0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1</v>
      </c>
      <c r="U235">
        <f>INDEX(Bang_sat_thuong!$B$2:$B$7,MATCH(Vu_khi!$K$235,Bang_sat_thuong!$A$2:$A$7,0))</f>
        <v/>
      </c>
      <c r="V235" t="n">
        <v>1.2</v>
      </c>
      <c r="W235">
        <f>INDEX(Bang_sat_thuong!$C$2:$C$7,MATCH(Vu_khi!$K$235,Bang_sat_thuong!$A$2:$A$7,0))</f>
        <v/>
      </c>
      <c r="X235" t="n">
        <v>0.3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0.7</v>
      </c>
      <c r="AA235">
        <f>AND(Vu_khi!$K$235="Kinetic",NOT(Vu_khi!$AG$235))</f>
        <v/>
      </c>
      <c r="AB235" t="b">
        <v>1</v>
      </c>
      <c r="AC235">
        <f>IF(Vu_khi!$AG$235,INDEX(Bang_danh_noc!$C$2:$C$8,MIN(7,MAX(1,2-(Vu_khi!$L$235-0)+1))),INDEX(Bang_xuyen_giap!$C$2:$C$8,MIN(7,MAX(1,IF($O$235,MAX(1,2-(Vu_khi!$L$235-0)),2-(Vu_khi!$L$235-0))+1))))*IF($AA$235,INDEX(Bang_xuyen_qua!$C$2:$C$5,MIN(4,MAX(1,(Vu_khi!$L$235)-(0)-1))),1)</f>
        <v/>
      </c>
      <c r="AD235" t="n">
        <v>0.8999999999999999</v>
      </c>
      <c r="AE235">
        <f>IF(Vu_khi!$AG$235,INDEX(Bang_danh_noc!$C$2:$C$8,MIN(7,MAX(1,2-(Vu_khi!$L$235-2)+1))),INDEX(Bang_xuyen_giap!$C$2:$C$8,MIN(7,MAX(1,IF($O$235,MAX(1,2-(Vu_khi!$L$235-2)),2-(Vu_khi!$L$235-2))+1))))*IF($AA$235,INDEX(Bang_xuyen_qua!$C$2:$C$5,MIN(4,MAX(1,(Vu_khi!$L$235)-(2)-1))),1)</f>
        <v/>
      </c>
      <c r="AF235" t="n">
        <v>1.14</v>
      </c>
      <c r="AG235">
        <f>IF(Vu_khi!$AG$235,INDEX(Bang_danh_noc!$C$2:$C$8,MIN(7,MAX(1,2-(Vu_khi!$L$235-4)+1))),INDEX(Bang_xuyen_giap!$C$2:$C$8,MIN(7,MAX(1,IF($O$235,MAX(1,2-(Vu_khi!$L$235-4)),2-(Vu_khi!$L$235-4))+1))))*IF($AA$235,INDEX(Bang_xuyen_qua!$C$2:$C$5,MIN(4,MAX(1,(Vu_khi!$L$235)-(4)-1))),1)</f>
        <v/>
      </c>
      <c r="AH235" t="n">
        <v>1</v>
      </c>
      <c r="AI235">
        <f>INDEX(Bang_xuyen_giap!$C$2:$C$8,MIN(7,MAX(1,MAX(1,2-(Vu_khi!$L$235-0))+1)))*IF($AA$235,INDEX(Bang_xuyen_qua!$C$2:$C$5,MIN(4,MAX(1,(Vu_khi!$L$235)-(0)-1))),1)</f>
        <v/>
      </c>
      <c r="AJ235" t="n">
        <v>0.75</v>
      </c>
      <c r="AK235">
        <f>IF($Q$235,$M$235*$AC$235*$U$235,0)</f>
        <v/>
      </c>
      <c r="AL235" t="n">
        <v>777.5999999999999</v>
      </c>
      <c r="AM235">
        <f>IF($Q$235,$M$235*$AE$235*$U$235,0)</f>
        <v/>
      </c>
      <c r="AN235" t="n">
        <v>984.9599999999999</v>
      </c>
      <c r="AO235">
        <f>IF($Q$235,$M$235*$AG$235*$U$235,0)</f>
        <v/>
      </c>
      <c r="AP235" t="n">
        <v>864</v>
      </c>
      <c r="AQ235">
        <f>IF($Q$235,$M$235*$AE$235*$Y$235,0)</f>
        <v/>
      </c>
      <c r="AR235" t="n">
        <v>574.5599999999999</v>
      </c>
      <c r="AS235">
        <f>IF($S$235,$M$235*$AI$235*$W$235,0)</f>
        <v/>
      </c>
      <c r="AT235" t="n">
        <v>162</v>
      </c>
      <c r="AU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V235" t="b">
        <v>0</v>
      </c>
      <c r="AW235">
        <f>IF(AND($B$235&lt;0,$AU$235),4,$B$235)</f>
        <v/>
      </c>
      <c r="AX235" t="n">
        <v>3</v>
      </c>
      <c r="AY235">
        <f>IF($AW$235&lt;4,0,MIN(MAX(0.5,Canh_bao_vong!$D$4),MAX(IF(Vu_khi!$C$235="cal_406",Canh_bao_vong!$D$7,IF($AW$235&gt;=5,Canh_bao_vong!$D$9,Canh_bao_vong!$D$8)),Canh_bao_vong!$D$2+MAX(0,Vu_khi!$X$235)/MAX(0.1,Canh_bao_vong!$D$5))))</f>
        <v/>
      </c>
      <c r="AZ235" t="n">
        <v>0</v>
      </c>
      <c r="BA235" t="inlineStr"/>
      <c r="BB235" t="inlineStr">
        <is>
          <t>LECH_DOT_1</t>
        </is>
      </c>
      <c r="BC235" t="inlineStr"/>
      <c r="BD235" t="n">
        <v>420</v>
      </c>
      <c r="BE235" t="n">
        <v>546</v>
      </c>
      <c r="BF235" t="n">
        <v>0.033</v>
      </c>
      <c r="BG235" t="n">
        <v>0.065</v>
      </c>
      <c r="BH235" t="n">
        <v>0.131</v>
      </c>
      <c r="BI235" t="n">
        <v>0.101</v>
      </c>
      <c r="BJ235" t="inlineStr">
        <is>
          <t>DIRECT_BULLET</t>
        </is>
      </c>
      <c r="BK235" t="inlineStr">
        <is>
          <t>ok</t>
        </is>
      </c>
      <c r="BL235" t="inlineStr">
        <is>
          <t>inherited from coilgun</t>
        </is>
      </c>
      <c r="BM235" t="inlineStr"/>
      <c r="BN235" t="inlineStr">
        <is>
          <t>Assets/MachineBrigade/Resources/Data/balance.json: weapons[id=p26_icarus_ic_coil] (lớp B trên 01_chien_dau/Vu_khi)</t>
        </is>
      </c>
      <c r="BO235" t="inlineStr"/>
    </row>
    <row r="236">
      <c r="A236" t="inlineStr">
        <is>
          <t>p26_icarus_ic_laser</t>
        </is>
      </c>
      <c r="B236" t="n">
        <v>1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</v>
      </c>
      <c r="G236">
        <f>IF(Vu_khi!$S$236&gt;0,(Vu_khi!$S$236-1)*Vu_khi!$R$236+Vu_khi!$T$236,Vu_khi!$R$236+(Vu_khi!$P$236-1)*Vu_khi!$Q$236)</f>
        <v/>
      </c>
      <c r="H236" t="n">
        <v>0.1</v>
      </c>
      <c r="I236">
        <f>Vu_khi!$W$236*MAX(1,$E$236)</f>
        <v/>
      </c>
      <c r="J236" t="n">
        <v>40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400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0</v>
      </c>
      <c r="U236">
        <f>INDEX(Bang_sat_thuong!$B$2:$B$7,MATCH(Vu_khi!$K$236,Bang_sat_thuong!$A$2:$A$7,0))</f>
        <v/>
      </c>
      <c r="V236" t="n">
        <v>0.9</v>
      </c>
      <c r="W236">
        <f>INDEX(Bang_sat_thuong!$C$2:$C$7,MATCH(Vu_khi!$K$236,Bang_sat_thuong!$A$2:$A$7,0))</f>
        <v/>
      </c>
      <c r="X236" t="n">
        <v>1.5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0.4</v>
      </c>
      <c r="AA236">
        <f>AND(Vu_khi!$K$236="Kinetic",NOT(Vu_khi!$AG$236))</f>
        <v/>
      </c>
      <c r="AB236" t="b">
        <v>0</v>
      </c>
      <c r="AC236">
        <f>IF(Vu_khi!$AG$236,INDEX(Bang_danh_noc!$C$2:$C$8,MIN(7,MAX(1,2-(Vu_khi!$L$236-0)+1))),INDEX(Bang_xuyen_giap!$C$2:$C$8,MIN(7,MAX(1,IF($O$236,MAX(1,2-(Vu_khi!$L$236-0)),2-(Vu_khi!$L$236-0))+1))))*IF($AA$236,INDEX(Bang_xuyen_qua!$C$2:$C$5,MIN(4,MAX(1,(Vu_khi!$L$236)-(0)-1))),1)</f>
        <v/>
      </c>
      <c r="AD236" t="n">
        <v>1.2</v>
      </c>
      <c r="AE236">
        <f>IF(Vu_khi!$AG$236,INDEX(Bang_danh_noc!$C$2:$C$8,MIN(7,MAX(1,2-(Vu_khi!$L$236-2)+1))),INDEX(Bang_xuyen_giap!$C$2:$C$8,MIN(7,MAX(1,IF($O$236,MAX(1,2-(Vu_khi!$L$236-2)),2-(Vu_khi!$L$236-2))+1))))*IF($AA$236,INDEX(Bang_xuyen_qua!$C$2:$C$5,MIN(4,MAX(1,(Vu_khi!$L$236)-(2)-1))),1)</f>
        <v/>
      </c>
      <c r="AF236" t="n">
        <v>1.2</v>
      </c>
      <c r="AG236">
        <f>IF(Vu_khi!$AG$236,INDEX(Bang_danh_noc!$C$2:$C$8,MIN(7,MAX(1,2-(Vu_khi!$L$236-4)+1))),INDEX(Bang_xuyen_giap!$C$2:$C$8,MIN(7,MAX(1,IF($O$236,MAX(1,2-(Vu_khi!$L$236-4)),2-(Vu_khi!$L$236-4))+1))))*IF($AA$236,INDEX(Bang_xuyen_qua!$C$2:$C$5,MIN(4,MAX(1,(Vu_khi!$L$236)-(4)-1))),1)</f>
        <v/>
      </c>
      <c r="AH236" t="n">
        <v>0.85</v>
      </c>
      <c r="AI236">
        <f>INDEX(Bang_xuyen_giap!$C$2:$C$8,MIN(7,MAX(1,MAX(1,2-(Vu_khi!$L$236-0))+1)))*IF($AA$236,INDEX(Bang_xuyen_qua!$C$2:$C$5,MIN(4,MAX(1,(Vu_khi!$L$236)-(0)-1))),1)</f>
        <v/>
      </c>
      <c r="AJ236" t="n">
        <v>1</v>
      </c>
      <c r="AK236">
        <f>IF($Q$236,$M$236*$AC$236*$U$236,0)</f>
        <v/>
      </c>
      <c r="AL236" t="n">
        <v>432</v>
      </c>
      <c r="AM236">
        <f>IF($Q$236,$M$236*$AE$236*$U$236,0)</f>
        <v/>
      </c>
      <c r="AN236" t="n">
        <v>432</v>
      </c>
      <c r="AO236">
        <f>IF($Q$236,$M$236*$AG$236*$U$236,0)</f>
        <v/>
      </c>
      <c r="AP236" t="n">
        <v>306</v>
      </c>
      <c r="AQ236">
        <f>IF($Q$236,$M$236*$AE$236*$Y$236,0)</f>
        <v/>
      </c>
      <c r="AR236" t="n">
        <v>192</v>
      </c>
      <c r="AS236">
        <f>IF($S$236,$M$236*$AI$236*$W$236,0)</f>
        <v/>
      </c>
      <c r="AT236" t="n">
        <v>0</v>
      </c>
      <c r="AU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V236" t="b">
        <v>0</v>
      </c>
      <c r="AW236">
        <f>IF(AND($B$236&lt;0,$AU$236),4,$B$236)</f>
        <v/>
      </c>
      <c r="AX236" t="n">
        <v>1</v>
      </c>
      <c r="AY236">
        <f>IF($AW$236&lt;4,0,MIN(MAX(0.5,Canh_bao_vong!$D$4),MAX(IF(Vu_khi!$C$236="cal_406",Canh_bao_vong!$D$7,IF($AW$236&gt;=5,Canh_bao_vong!$D$9,Canh_bao_vong!$D$8)),Canh_bao_vong!$D$2+MAX(0,Vu_khi!$X$236)/MAX(0.1,Canh_bao_vong!$D$5))))</f>
        <v/>
      </c>
      <c r="AZ236" t="n">
        <v>0</v>
      </c>
      <c r="BA236" t="inlineStr"/>
      <c r="BB236" t="inlineStr">
        <is>
          <t>ok</t>
        </is>
      </c>
      <c r="BC236" t="inlineStr"/>
      <c r="BD236" t="n">
        <v>3000</v>
      </c>
      <c r="BE236" t="n">
        <v>3900</v>
      </c>
      <c r="BF236" t="n">
        <v>0.003</v>
      </c>
      <c r="BG236" t="n">
        <v>0.006</v>
      </c>
      <c r="BH236" t="n">
        <v>0.012</v>
      </c>
      <c r="BI236" t="n">
        <v>0.008999999999999999</v>
      </c>
      <c r="BJ236" t="inlineStr">
        <is>
          <t>BEAM_OR_MELEE</t>
        </is>
      </c>
      <c r="BK236" t="inlineStr">
        <is>
          <t>ok</t>
        </is>
      </c>
      <c r="BL236" t="inlineStr">
        <is>
          <t>inherited from orbital_laser</t>
        </is>
      </c>
      <c r="BM236" t="inlineStr"/>
      <c r="BN236" t="inlineStr">
        <is>
          <t>Assets/MachineBrigade/Resources/Data/balance.json: weapons[id=p26_icarus_ic_laser] (lớp B trên 01_chien_dau/Vu_khi)</t>
        </is>
      </c>
      <c r="BO236" t="inlineStr"/>
    </row>
    <row r="237">
      <c r="A237" t="inlineStr">
        <is>
          <t>p26_icarus_main_ic_coil</t>
        </is>
      </c>
      <c r="B237" t="n">
        <v>3</v>
      </c>
      <c r="C237">
        <f>IF(Vu_khi!$O$237="SIMULTANEOUS",MAX(1,Vu_khi!$N$237),1)</f>
        <v/>
      </c>
      <c r="D237" t="n">
        <v>1</v>
      </c>
      <c r="E237">
        <f>IF(Vu_khi!$S$237&gt;0,Vu_khi!$S$237,Vu_khi!$P$237*$C$237)</f>
        <v/>
      </c>
      <c r="F237" t="n">
        <v>1</v>
      </c>
      <c r="G237">
        <f>IF(Vu_khi!$S$237&gt;0,(Vu_khi!$S$237-1)*Vu_khi!$R$237+Vu_khi!$T$237,Vu_khi!$R$237+(Vu_khi!$P$237-1)*Vu_khi!$Q$237)</f>
        <v/>
      </c>
      <c r="H237" t="n">
        <v>5</v>
      </c>
      <c r="I237">
        <f>Vu_khi!$W$237*MAX(1,$E$237)</f>
        <v/>
      </c>
      <c r="J237" t="n">
        <v>1500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300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1</v>
      </c>
      <c r="U237">
        <f>INDEX(Bang_sat_thuong!$B$2:$B$7,MATCH(Vu_khi!$K$237,Bang_sat_thuong!$A$2:$A$7,0))</f>
        <v/>
      </c>
      <c r="V237" t="n">
        <v>1.2</v>
      </c>
      <c r="W237">
        <f>INDEX(Bang_sat_thuong!$C$2:$C$7,MATCH(Vu_khi!$K$237,Bang_sat_thuong!$A$2:$A$7,0))</f>
        <v/>
      </c>
      <c r="X237" t="n">
        <v>0.3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0.7</v>
      </c>
      <c r="AA237">
        <f>AND(Vu_khi!$K$237="Kinetic",NOT(Vu_khi!$AG$237))</f>
        <v/>
      </c>
      <c r="AB237" t="b">
        <v>1</v>
      </c>
      <c r="AC237">
        <f>IF(Vu_khi!$AG$237,INDEX(Bang_danh_noc!$C$2:$C$8,MIN(7,MAX(1,2-(Vu_khi!$L$237-0)+1))),INDEX(Bang_xuyen_giap!$C$2:$C$8,MIN(7,MAX(1,IF($O$237,MAX(1,2-(Vu_khi!$L$237-0)),2-(Vu_khi!$L$237-0))+1))))*IF($AA$237,INDEX(Bang_xuyen_qua!$C$2:$C$5,MIN(4,MAX(1,(Vu_khi!$L$237)-(0)-1))),1)</f>
        <v/>
      </c>
      <c r="AD237" t="n">
        <v>0.8999999999999999</v>
      </c>
      <c r="AE237">
        <f>IF(Vu_khi!$AG$237,INDEX(Bang_danh_noc!$C$2:$C$8,MIN(7,MAX(1,2-(Vu_khi!$L$237-2)+1))),INDEX(Bang_xuyen_giap!$C$2:$C$8,MIN(7,MAX(1,IF($O$237,MAX(1,2-(Vu_khi!$L$237-2)),2-(Vu_khi!$L$237-2))+1))))*IF($AA$237,INDEX(Bang_xuyen_qua!$C$2:$C$5,MIN(4,MAX(1,(Vu_khi!$L$237)-(2)-1))),1)</f>
        <v/>
      </c>
      <c r="AF237" t="n">
        <v>1.14</v>
      </c>
      <c r="AG237">
        <f>IF(Vu_khi!$AG$237,INDEX(Bang_danh_noc!$C$2:$C$8,MIN(7,MAX(1,2-(Vu_khi!$L$237-4)+1))),INDEX(Bang_xuyen_giap!$C$2:$C$8,MIN(7,MAX(1,IF($O$237,MAX(1,2-(Vu_khi!$L$237-4)),2-(Vu_khi!$L$237-4))+1))))*IF($AA$237,INDEX(Bang_xuyen_qua!$C$2:$C$5,MIN(4,MAX(1,(Vu_khi!$L$237)-(4)-1))),1)</f>
        <v/>
      </c>
      <c r="AH237" t="n">
        <v>1</v>
      </c>
      <c r="AI237">
        <f>INDEX(Bang_xuyen_giap!$C$2:$C$8,MIN(7,MAX(1,MAX(1,2-(Vu_khi!$L$237-0))+1)))*IF($AA$237,INDEX(Bang_xuyen_qua!$C$2:$C$5,MIN(4,MAX(1,(Vu_khi!$L$237)-(0)-1))),1)</f>
        <v/>
      </c>
      <c r="AJ237" t="n">
        <v>0.75</v>
      </c>
      <c r="AK237">
        <f>IF($Q$237,$M$237*$AC$237*$U$237,0)</f>
        <v/>
      </c>
      <c r="AL237" t="n">
        <v>323.9999999999999</v>
      </c>
      <c r="AM237">
        <f>IF($Q$237,$M$237*$AE$237*$U$237,0)</f>
        <v/>
      </c>
      <c r="AN237" t="n">
        <v>410.4</v>
      </c>
      <c r="AO237">
        <f>IF($Q$237,$M$237*$AG$237*$U$237,0)</f>
        <v/>
      </c>
      <c r="AP237" t="n">
        <v>360</v>
      </c>
      <c r="AQ237">
        <f>IF($Q$237,$M$237*$AE$237*$Y$237,0)</f>
        <v/>
      </c>
      <c r="AR237" t="n">
        <v>239.4</v>
      </c>
      <c r="AS237">
        <f>IF($S$237,$M$237*$AI$237*$W$237,0)</f>
        <v/>
      </c>
      <c r="AT237" t="n">
        <v>67.5</v>
      </c>
      <c r="AU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V237" t="b">
        <v>0</v>
      </c>
      <c r="AW237">
        <f>IF(AND($B$237&lt;0,$AU$237),4,$B$237)</f>
        <v/>
      </c>
      <c r="AX237" t="n">
        <v>3</v>
      </c>
      <c r="AY237">
        <f>IF($AW$237&lt;4,0,MIN(MAX(0.5,Canh_bao_vong!$D$4),MAX(IF(Vu_khi!$C$237="cal_406",Canh_bao_vong!$D$7,IF($AW$237&gt;=5,Canh_bao_vong!$D$9,Canh_bao_vong!$D$8)),Canh_bao_vong!$D$2+MAX(0,Vu_khi!$X$237)/MAX(0.1,Canh_bao_vong!$D$5))))</f>
        <v/>
      </c>
      <c r="AZ237" t="n">
        <v>0</v>
      </c>
      <c r="BA237" t="inlineStr"/>
      <c r="BB237" t="inlineStr">
        <is>
          <t>ok</t>
        </is>
      </c>
      <c r="BC237" t="b">
        <v>1</v>
      </c>
      <c r="BD237" t="n">
        <v>420</v>
      </c>
      <c r="BE237" t="n">
        <v>546</v>
      </c>
      <c r="BF237" t="n">
        <v>0.033</v>
      </c>
      <c r="BG237" t="n">
        <v>0.065</v>
      </c>
      <c r="BH237" t="n">
        <v>0.131</v>
      </c>
      <c r="BI237" t="n">
        <v>0.101</v>
      </c>
      <c r="BJ237" t="inlineStr">
        <is>
          <t>DIRECT_BULLET</t>
        </is>
      </c>
      <c r="BK237" t="inlineStr">
        <is>
          <t>ok</t>
        </is>
      </c>
      <c r="BL237" t="inlineStr">
        <is>
          <t>inherited from p26_icarus_ic_coil</t>
        </is>
      </c>
      <c r="BM237" t="inlineStr"/>
      <c r="BN237" t="inlineStr">
        <is>
          <t>Assets/MachineBrigade/Resources/Data/balance.json: weapons[id=p26_icarus_main_ic_coil] (lớp B trên 01_chien_dau/Vu_khi)</t>
        </is>
      </c>
      <c r="BO237" t="inlineStr"/>
    </row>
    <row r="238">
      <c r="A238" t="inlineStr">
        <is>
          <t>p26_icarus_sec_orbital_laser</t>
        </is>
      </c>
      <c r="B238" t="n">
        <v>1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0.1</v>
      </c>
      <c r="I238">
        <f>Vu_khi!$W$238*MAX(1,$E$238)</f>
        <v/>
      </c>
      <c r="J238" t="n">
        <v>40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400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0.9</v>
      </c>
      <c r="W238">
        <f>INDEX(Bang_sat_thuong!$C$2:$C$7,MATCH(Vu_khi!$K$238,Bang_sat_thuong!$A$2:$A$7,0))</f>
        <v/>
      </c>
      <c r="X238" t="n">
        <v>1.5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0.4</v>
      </c>
      <c r="AA238">
        <f>AND(Vu_khi!$K$238="Kinetic",NOT(Vu_khi!$AG$238))</f>
        <v/>
      </c>
      <c r="AB238" t="b">
        <v>0</v>
      </c>
      <c r="AC238">
        <f>IF(Vu_khi!$AG$238,INDEX(Bang_danh_noc!$C$2:$C$8,MIN(7,MAX(1,2-(Vu_khi!$L$238-0)+1))),INDEX(Bang_xuyen_giap!$C$2:$C$8,MIN(7,MAX(1,IF($O$238,MAX(1,2-(Vu_khi!$L$238-0)),2-(Vu_khi!$L$238-0))+1))))*IF($AA$238,INDEX(Bang_xuyen_qua!$C$2:$C$5,MIN(4,MAX(1,(Vu_khi!$L$238)-(0)-1))),1)</f>
        <v/>
      </c>
      <c r="AD238" t="n">
        <v>1.2</v>
      </c>
      <c r="AE238">
        <f>IF(Vu_khi!$AG$238,INDEX(Bang_danh_noc!$C$2:$C$8,MIN(7,MAX(1,2-(Vu_khi!$L$238-2)+1))),INDEX(Bang_xuyen_giap!$C$2:$C$8,MIN(7,MAX(1,IF($O$238,MAX(1,2-(Vu_khi!$L$238-2)),2-(Vu_khi!$L$238-2))+1))))*IF($AA$238,INDEX(Bang_xuyen_qua!$C$2:$C$5,MIN(4,MAX(1,(Vu_khi!$L$238)-(2)-1))),1)</f>
        <v/>
      </c>
      <c r="AF238" t="n">
        <v>1.2</v>
      </c>
      <c r="AG238">
        <f>IF(Vu_khi!$AG$238,INDEX(Bang_danh_noc!$C$2:$C$8,MIN(7,MAX(1,2-(Vu_khi!$L$238-4)+1))),INDEX(Bang_xuyen_giap!$C$2:$C$8,MIN(7,MAX(1,IF($O$238,MAX(1,2-(Vu_khi!$L$238-4)),2-(Vu_khi!$L$238-4))+1))))*IF($AA$238,INDEX(Bang_xuyen_qua!$C$2:$C$5,MIN(4,MAX(1,(Vu_khi!$L$238)-(4)-1))),1)</f>
        <v/>
      </c>
      <c r="AH238" t="n">
        <v>0.85</v>
      </c>
      <c r="AI238">
        <f>INDEX(Bang_xuyen_giap!$C$2:$C$8,MIN(7,MAX(1,MAX(1,2-(Vu_khi!$L$238-0))+1)))*IF($AA$238,INDEX(Bang_xuyen_qua!$C$2:$C$5,MIN(4,MAX(1,(Vu_khi!$L$238)-(0)-1))),1)</f>
        <v/>
      </c>
      <c r="AJ238" t="n">
        <v>1</v>
      </c>
      <c r="AK238">
        <f>IF($Q$238,$M$238*$AC$238*$U$238,0)</f>
        <v/>
      </c>
      <c r="AL238" t="n">
        <v>432</v>
      </c>
      <c r="AM238">
        <f>IF($Q$238,$M$238*$AE$238*$U$238,0)</f>
        <v/>
      </c>
      <c r="AN238" t="n">
        <v>432</v>
      </c>
      <c r="AO238">
        <f>IF($Q$238,$M$238*$AG$238*$U$238,0)</f>
        <v/>
      </c>
      <c r="AP238" t="n">
        <v>306</v>
      </c>
      <c r="AQ238">
        <f>IF($Q$238,$M$238*$AE$238*$Y$238,0)</f>
        <v/>
      </c>
      <c r="AR238" t="n">
        <v>192</v>
      </c>
      <c r="AS238">
        <f>IF($S$238,$M$238*$AI$238*$W$238,0)</f>
        <v/>
      </c>
      <c r="AT238" t="n">
        <v>0</v>
      </c>
      <c r="AU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V238" t="b">
        <v>0</v>
      </c>
      <c r="AW238">
        <f>IF(AND($B$238&lt;0,$AU$238),4,$B$238)</f>
        <v/>
      </c>
      <c r="AX238" t="n">
        <v>1</v>
      </c>
      <c r="AY238">
        <f>IF($AW$238&lt;4,0,MIN(MAX(0.5,Canh_bao_vong!$D$4),MAX(IF(Vu_khi!$C$238="cal_406",Canh_bao_vong!$D$7,IF($AW$238&gt;=5,Canh_bao_vong!$D$9,Canh_bao_vong!$D$8)),Canh_bao_vong!$D$2+MAX(0,Vu_khi!$X$238)/MAX(0.1,Canh_bao_vong!$D$5))))</f>
        <v/>
      </c>
      <c r="AZ238" t="n">
        <v>0</v>
      </c>
      <c r="BA238" t="inlineStr"/>
      <c r="BB238" t="inlineStr">
        <is>
          <t>ok</t>
        </is>
      </c>
      <c r="BC238" t="b">
        <v>1</v>
      </c>
      <c r="BD238" t="n">
        <v>3000</v>
      </c>
      <c r="BE238" t="n">
        <v>3900</v>
      </c>
      <c r="BF238" t="n">
        <v>0.003</v>
      </c>
      <c r="BG238" t="n">
        <v>0.006</v>
      </c>
      <c r="BH238" t="n">
        <v>0.012</v>
      </c>
      <c r="BI238" t="n">
        <v>0.008999999999999999</v>
      </c>
      <c r="BJ238" t="inlineStr">
        <is>
          <t>BEAM_OR_MELEE</t>
        </is>
      </c>
      <c r="BK238" t="inlineStr">
        <is>
          <t>ok</t>
        </is>
      </c>
      <c r="BL238" t="inlineStr">
        <is>
          <t>inherited from orbital_laser</t>
        </is>
      </c>
      <c r="BM238" t="inlineStr"/>
      <c r="BN238" t="inlineStr">
        <is>
          <t>Assets/MachineBrigade/Resources/Data/balance.json: weapons[id=p26_icarus_sec_orbital_laser] (lớp B trên 01_chien_dau/Vu_khi)</t>
        </is>
      </c>
      <c r="BO238" t="inlineStr"/>
    </row>
    <row r="239">
      <c r="A239" t="inlineStr">
        <is>
          <t>p26_ixion_125</t>
        </is>
      </c>
      <c r="B239" t="n">
        <v>3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7.5</v>
      </c>
      <c r="I239">
        <f>Vu_khi!$W$239*MAX(1,$E$239)</f>
        <v/>
      </c>
      <c r="J239" t="n">
        <v>400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53.33333333333334</v>
      </c>
      <c r="O239">
        <f>OR(Vu_khi!$AG$239,Vu_khi!$AB$239&gt;0,Vu_khi!$AH$239,Vu_khi!$M$239="Bomb",Vu_khi!$M$239="Drone")</f>
        <v/>
      </c>
      <c r="P239" t="b">
        <v>0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1.2</v>
      </c>
      <c r="W239">
        <f>INDEX(Bang_sat_thuong!$C$2:$C$7,MATCH(Vu_khi!$K$239,Bang_sat_thuong!$A$2:$A$7,0))</f>
        <v/>
      </c>
      <c r="X239" t="n">
        <v>0.3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0.7</v>
      </c>
      <c r="AA239">
        <f>AND(Vu_khi!$K$239="Kinetic",NOT(Vu_khi!$AG$239))</f>
        <v/>
      </c>
      <c r="AB239" t="b">
        <v>1</v>
      </c>
      <c r="AC239">
        <f>IF(Vu_khi!$AG$239,INDEX(Bang_danh_noc!$C$2:$C$8,MIN(7,MAX(1,2-(Vu_khi!$L$239-0)+1))),INDEX(Bang_xuyen_giap!$C$2:$C$8,MIN(7,MAX(1,IF($O$239,MAX(1,2-(Vu_khi!$L$239-0)),2-(Vu_khi!$L$239-0))+1))))*IF($AA$239,INDEX(Bang_xuyen_qua!$C$2:$C$5,MIN(4,MAX(1,(Vu_khi!$L$239)-(0)-1))),1)</f>
        <v/>
      </c>
      <c r="AD239" t="n">
        <v>0.8999999999999999</v>
      </c>
      <c r="AE239">
        <f>IF(Vu_khi!$AG$239,INDEX(Bang_danh_noc!$C$2:$C$8,MIN(7,MAX(1,2-(Vu_khi!$L$239-2)+1))),INDEX(Bang_xuyen_giap!$C$2:$C$8,MIN(7,MAX(1,IF($O$239,MAX(1,2-(Vu_khi!$L$239-2)),2-(Vu_khi!$L$239-2))+1))))*IF($AA$239,INDEX(Bang_xuyen_qua!$C$2:$C$5,MIN(4,MAX(1,(Vu_khi!$L$239)-(2)-1))),1)</f>
        <v/>
      </c>
      <c r="AF239" t="n">
        <v>1.14</v>
      </c>
      <c r="AG239">
        <f>IF(Vu_khi!$AG$239,INDEX(Bang_danh_noc!$C$2:$C$8,MIN(7,MAX(1,2-(Vu_khi!$L$239-4)+1))),INDEX(Bang_xuyen_giap!$C$2:$C$8,MIN(7,MAX(1,IF($O$239,MAX(1,2-(Vu_khi!$L$239-4)),2-(Vu_khi!$L$239-4))+1))))*IF($AA$239,INDEX(Bang_xuyen_qua!$C$2:$C$5,MIN(4,MAX(1,(Vu_khi!$L$239)-(4)-1))),1)</f>
        <v/>
      </c>
      <c r="AH239" t="n">
        <v>1</v>
      </c>
      <c r="AI239">
        <f>INDEX(Bang_xuyen_giap!$C$2:$C$8,MIN(7,MAX(1,MAX(1,2-(Vu_khi!$L$239-0))+1)))*IF($AA$239,INDEX(Bang_xuyen_qua!$C$2:$C$5,MIN(4,MAX(1,(Vu_khi!$L$239)-(0)-1))),1)</f>
        <v/>
      </c>
      <c r="AJ239" t="n">
        <v>0.75</v>
      </c>
      <c r="AK239">
        <f>IF($Q$239,$M$239*$AC$239*$U$239,0)</f>
        <v/>
      </c>
      <c r="AL239" t="n">
        <v>57.59999999999999</v>
      </c>
      <c r="AM239">
        <f>IF($Q$239,$M$239*$AE$239*$U$239,0)</f>
        <v/>
      </c>
      <c r="AN239" t="n">
        <v>72.95999999999999</v>
      </c>
      <c r="AO239">
        <f>IF($Q$239,$M$239*$AG$239*$U$239,0)</f>
        <v/>
      </c>
      <c r="AP239" t="n">
        <v>64</v>
      </c>
      <c r="AQ239">
        <f>IF($Q$239,$M$239*$AE$239*$Y$239,0)</f>
        <v/>
      </c>
      <c r="AR239" t="n">
        <v>42.56</v>
      </c>
      <c r="AS239">
        <f>IF($S$239,$M$239*$AI$239*$W$239,0)</f>
        <v/>
      </c>
      <c r="AT239" t="n">
        <v>0</v>
      </c>
      <c r="AU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V239" t="b">
        <v>0</v>
      </c>
      <c r="AW239">
        <f>IF(AND($B$239&lt;0,$AU$239),4,$B$239)</f>
        <v/>
      </c>
      <c r="AX239" t="n">
        <v>3</v>
      </c>
      <c r="AY239">
        <f>IF($AW$239&lt;4,0,MIN(MAX(0.5,Canh_bao_vong!$D$4),MAX(IF(Vu_khi!$C$239="cal_406",Canh_bao_vong!$D$7,IF($AW$239&gt;=5,Canh_bao_vong!$D$9,Canh_bao_vong!$D$8)),Canh_bao_vong!$D$2+MAX(0,Vu_khi!$X$239)/MAX(0.1,Canh_bao_vong!$D$5))))</f>
        <v/>
      </c>
      <c r="AZ239" t="n">
        <v>0</v>
      </c>
      <c r="BA239" t="n">
        <v>0.7</v>
      </c>
      <c r="BB239" t="inlineStr">
        <is>
          <t>ok</t>
        </is>
      </c>
      <c r="BC239" t="b">
        <v>1</v>
      </c>
      <c r="BD239" t="n">
        <v>170</v>
      </c>
      <c r="BE239" t="n">
        <v>221</v>
      </c>
      <c r="BF239" t="n">
        <v>0.056</v>
      </c>
      <c r="BG239" t="n">
        <v>0.112</v>
      </c>
      <c r="BH239" t="n">
        <v>0.224</v>
      </c>
      <c r="BI239" t="n">
        <v>0.172</v>
      </c>
      <c r="BJ239" t="inlineStr">
        <is>
          <t>DIRECT_FAST</t>
        </is>
      </c>
      <c r="BK239" t="inlineStr">
        <is>
          <t>ok</t>
        </is>
      </c>
      <c r="BL239" t="inlineStr">
        <is>
          <t>inherited from gun_120mm</t>
        </is>
      </c>
      <c r="BM239" t="inlineStr"/>
      <c r="BN239" t="inlineStr">
        <is>
          <t>Assets/MachineBrigade/Resources/Data/balance.json: weapons[id=p26_ixion_125] (lớp B trên 01_chien_dau/Vu_khi)</t>
        </is>
      </c>
      <c r="BO239" t="inlineStr"/>
    </row>
    <row r="240">
      <c r="A240" t="inlineStr">
        <is>
          <t>p26_ixion_125_he</t>
        </is>
      </c>
      <c r="B240" t="n">
        <v>3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</v>
      </c>
      <c r="G240">
        <f>IF(Vu_khi!$S$240&gt;0,(Vu_khi!$S$240-1)*Vu_khi!$R$240+Vu_khi!$T$240,Vu_khi!$R$240+(Vu_khi!$P$240-1)*Vu_khi!$Q$240)</f>
        <v/>
      </c>
      <c r="H240" t="n">
        <v>7.5</v>
      </c>
      <c r="I240">
        <f>Vu_khi!$W$240*MAX(1,$E$240)</f>
        <v/>
      </c>
      <c r="J240" t="n">
        <v>400.1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53.34666666666667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1.6</v>
      </c>
      <c r="AA240">
        <f>AND(Vu_khi!$K$240="Kinetic",NOT(Vu_khi!$AG$240))</f>
        <v/>
      </c>
      <c r="AB240" t="b">
        <v>0</v>
      </c>
      <c r="AC240">
        <f>IF(Vu_khi!$AG$240,INDEX(Bang_danh_noc!$C$2:$C$8,MIN(7,MAX(1,2-(Vu_khi!$L$240-0)+1))),INDEX(Bang_xuyen_giap!$C$2:$C$8,MIN(7,MAX(1,IF($O$240,MAX(1,2-(Vu_khi!$L$240-0)),2-(Vu_khi!$L$240-0))+1))))*IF($AA$240,INDEX(Bang_xuyen_qua!$C$2:$C$5,MIN(4,MAX(1,(Vu_khi!$L$240)-(0)-1))),1)</f>
        <v/>
      </c>
      <c r="AD240" t="n">
        <v>1.2</v>
      </c>
      <c r="AE240">
        <f>IF(Vu_khi!$AG$240,INDEX(Bang_danh_noc!$C$2:$C$8,MIN(7,MAX(1,2-(Vu_khi!$L$240-2)+1))),INDEX(Bang_xuyen_giap!$C$2:$C$8,MIN(7,MAX(1,IF($O$240,MAX(1,2-(Vu_khi!$L$240-2)),2-(Vu_khi!$L$240-2))+1))))*IF($AA$240,INDEX(Bang_xuyen_qua!$C$2:$C$5,MIN(4,MAX(1,(Vu_khi!$L$240)-(2)-1))),1)</f>
        <v/>
      </c>
      <c r="AF240" t="n">
        <v>1</v>
      </c>
      <c r="AG240">
        <f>IF(Vu_khi!$AG$240,INDEX(Bang_danh_noc!$C$2:$C$8,MIN(7,MAX(1,2-(Vu_khi!$L$240-4)+1))),INDEX(Bang_xuyen_giap!$C$2:$C$8,MIN(7,MAX(1,IF($O$240,MAX(1,2-(Vu_khi!$L$240-4)),2-(Vu_khi!$L$240-4))+1))))*IF($AA$240,INDEX(Bang_xuyen_qua!$C$2:$C$5,MIN(4,MAX(1,(Vu_khi!$L$240)-(4)-1))),1)</f>
        <v/>
      </c>
      <c r="AH240" t="n">
        <v>0.65</v>
      </c>
      <c r="AI240">
        <f>INDEX(Bang_xuyen_giap!$C$2:$C$8,MIN(7,MAX(1,MAX(1,2-(Vu_khi!$L$240-0))+1)))*IF($AA$240,INDEX(Bang_xuyen_qua!$C$2:$C$5,MIN(4,MAX(1,(Vu_khi!$L$240)-(0)-1))),1)</f>
        <v/>
      </c>
      <c r="AJ240" t="n">
        <v>1</v>
      </c>
      <c r="AK240">
        <f>IF($Q$240,$M$240*$AC$240*$U$240,0)</f>
        <v/>
      </c>
      <c r="AL240" t="n">
        <v>64.01600000000001</v>
      </c>
      <c r="AM240">
        <f>IF($Q$240,$M$240*$AE$240*$U$240,0)</f>
        <v/>
      </c>
      <c r="AN240" t="n">
        <v>53.34666666666667</v>
      </c>
      <c r="AO240">
        <f>IF($Q$240,$M$240*$AG$240*$U$240,0)</f>
        <v/>
      </c>
      <c r="AP240" t="n">
        <v>34.67533333333333</v>
      </c>
      <c r="AQ240">
        <f>IF($Q$240,$M$240*$AE$240*$Y$240,0)</f>
        <v/>
      </c>
      <c r="AR240" t="n">
        <v>85.35466666666667</v>
      </c>
      <c r="AS240">
        <f>IF($S$240,$M$240*$AI$240*$W$240,0)</f>
        <v/>
      </c>
      <c r="AT240" t="n">
        <v>0</v>
      </c>
      <c r="AU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V240" t="b">
        <v>0</v>
      </c>
      <c r="AW240">
        <f>IF(AND($B$240&lt;0,$AU$240),4,$B$240)</f>
        <v/>
      </c>
      <c r="AX240" t="n">
        <v>3</v>
      </c>
      <c r="AY240">
        <f>IF($AW$240&lt;4,0,MIN(MAX(0.5,Canh_bao_vong!$D$4),MAX(IF(Vu_khi!$C$240="cal_406",Canh_bao_vong!$D$7,IF($AW$240&gt;=5,Canh_bao_vong!$D$9,Canh_bao_vong!$D$8)),Canh_bao_vong!$D$2+MAX(0,Vu_khi!$X$240)/MAX(0.1,Canh_bao_vong!$D$5))))</f>
        <v/>
      </c>
      <c r="AZ240" t="n">
        <v>0</v>
      </c>
      <c r="BD240" t="n">
        <v>170</v>
      </c>
      <c r="BE240" t="n">
        <v>221</v>
      </c>
      <c r="BF240" t="n">
        <v>0.056</v>
      </c>
      <c r="BG240" t="n">
        <v>0.112</v>
      </c>
      <c r="BH240" t="n">
        <v>0.224</v>
      </c>
      <c r="BI240" t="n">
        <v>0.172</v>
      </c>
      <c r="BJ240" t="inlineStr">
        <is>
          <t>DIRECT_FAST</t>
        </is>
      </c>
      <c r="BK240" t="inlineStr">
        <is>
          <t>ok</t>
        </is>
      </c>
      <c r="BL240" t="inlineStr">
        <is>
          <t>inherited from p26_ixion_125</t>
        </is>
      </c>
      <c r="BM240" t="inlineStr"/>
      <c r="BN240" t="inlineStr">
        <is>
          <t>Assets/MachineBrigade/Resources/Data/balance.json: weapons[id=p26_ixion_125_he] (lớp B trên 01_chien_dau/Vu_khi)</t>
        </is>
      </c>
      <c r="BO240" t="inlineStr"/>
    </row>
    <row r="241">
      <c r="A241" t="inlineStr">
        <is>
          <t>p26_ixion_mg</t>
        </is>
      </c>
      <c r="B241" t="n">
        <v>0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100</v>
      </c>
      <c r="G241">
        <f>IF(Vu_khi!$S$241&gt;0,(Vu_khi!$S$241-1)*Vu_khi!$R$241+Vu_khi!$T$241,Vu_khi!$R$241+(Vu_khi!$P$241-1)*Vu_khi!$Q$241)</f>
        <v/>
      </c>
      <c r="H241" t="n">
        <v>13.2467</v>
      </c>
      <c r="I241">
        <f>Vu_khi!$W$241*MAX(1,$E$241)</f>
        <v/>
      </c>
      <c r="J241" t="n">
        <v>1500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113.235749280953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1</v>
      </c>
      <c r="U241">
        <f>INDEX(Bang_sat_thuong!$B$2:$B$7,MATCH(Vu_khi!$K$241,Bang_sat_thuong!$A$2:$A$7,0))</f>
        <v/>
      </c>
      <c r="V241" t="n">
        <v>1.2</v>
      </c>
      <c r="W241">
        <f>INDEX(Bang_sat_thuong!$C$2:$C$7,MATCH(Vu_khi!$K$241,Bang_sat_thuong!$A$2:$A$7,0))</f>
        <v/>
      </c>
      <c r="X241" t="n">
        <v>0.3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0.7</v>
      </c>
      <c r="AA241">
        <f>AND(Vu_khi!$K$241="Kinetic",NOT(Vu_khi!$AG$241))</f>
        <v/>
      </c>
      <c r="AB241" t="b">
        <v>1</v>
      </c>
      <c r="AC241">
        <f>IF(Vu_khi!$AG$241,INDEX(Bang_danh_noc!$C$2:$C$8,MIN(7,MAX(1,2-(Vu_khi!$L$241-0)+1))),INDEX(Bang_xuyen_giap!$C$2:$C$8,MIN(7,MAX(1,IF($O$241,MAX(1,2-(Vu_khi!$L$241-0)),2-(Vu_khi!$L$241-0))+1))))*IF($AA$241,INDEX(Bang_xuyen_qua!$C$2:$C$5,MIN(4,MAX(1,(Vu_khi!$L$241)-(0)-1))),1)</f>
        <v/>
      </c>
      <c r="AD241" t="n">
        <v>1</v>
      </c>
      <c r="AE241">
        <f>IF(Vu_khi!$AG$241,INDEX(Bang_danh_noc!$C$2:$C$8,MIN(7,MAX(1,2-(Vu_khi!$L$241-2)+1))),INDEX(Bang_xuyen_giap!$C$2:$C$8,MIN(7,MAX(1,IF($O$241,MAX(1,2-(Vu_khi!$L$241-2)),2-(Vu_khi!$L$241-2))+1))))*IF($AA$241,INDEX(Bang_xuyen_qua!$C$2:$C$5,MIN(4,MAX(1,(Vu_khi!$L$241)-(2)-1))),1)</f>
        <v/>
      </c>
      <c r="AF241" t="n">
        <v>0.65</v>
      </c>
      <c r="AG241">
        <f>IF(Vu_khi!$AG$241,INDEX(Bang_danh_noc!$C$2:$C$8,MIN(7,MAX(1,2-(Vu_khi!$L$241-4)+1))),INDEX(Bang_xuyen_giap!$C$2:$C$8,MIN(7,MAX(1,IF($O$241,MAX(1,2-(Vu_khi!$L$241-4)),2-(Vu_khi!$L$241-4))+1))))*IF($AA$241,INDEX(Bang_xuyen_qua!$C$2:$C$5,MIN(4,MAX(1,(Vu_khi!$L$241)-(4)-1))),1)</f>
        <v/>
      </c>
      <c r="AH241" t="n">
        <v>0.15</v>
      </c>
      <c r="AI241">
        <f>INDEX(Bang_xuyen_giap!$C$2:$C$8,MIN(7,MAX(1,MAX(1,2-(Vu_khi!$L$241-0))+1)))*IF($AA$241,INDEX(Bang_xuyen_qua!$C$2:$C$5,MIN(4,MAX(1,(Vu_khi!$L$241)-(0)-1))),1)</f>
        <v/>
      </c>
      <c r="AJ241" t="n">
        <v>1</v>
      </c>
      <c r="AK241">
        <f>IF($Q$241,$M$241*$AC$241*$U$241,0)</f>
        <v/>
      </c>
      <c r="AL241" t="n">
        <v>135.8828991371436</v>
      </c>
      <c r="AM241">
        <f>IF($Q$241,$M$241*$AE$241*$U$241,0)</f>
        <v/>
      </c>
      <c r="AN241" t="n">
        <v>88.32388443914333</v>
      </c>
      <c r="AO241">
        <f>IF($Q$241,$M$241*$AG$241*$U$241,0)</f>
        <v/>
      </c>
      <c r="AP241" t="n">
        <v>20.38243487057154</v>
      </c>
      <c r="AQ241">
        <f>IF($Q$241,$M$241*$AE$241*$Y$241,0)</f>
        <v/>
      </c>
      <c r="AR241" t="n">
        <v>51.5222659228336</v>
      </c>
      <c r="AS241">
        <f>IF($S$241,$M$241*$AI$241*$W$241,0)</f>
        <v/>
      </c>
      <c r="AT241" t="n">
        <v>33.97072478428589</v>
      </c>
      <c r="AU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V241" t="b">
        <v>0</v>
      </c>
      <c r="AW241">
        <f>IF(AND($B$241&lt;0,$AU$241),4,$B$241)</f>
        <v/>
      </c>
      <c r="AX241" t="n">
        <v>0</v>
      </c>
      <c r="AY241">
        <f>IF($AW$241&lt;4,0,MIN(MAX(0.5,Canh_bao_vong!$D$4),MAX(IF(Vu_khi!$C$241="cal_406",Canh_bao_vong!$D$7,IF($AW$241&gt;=5,Canh_bao_vong!$D$9,Canh_bao_vong!$D$8)),Canh_bao_vong!$D$2+MAX(0,Vu_khi!$X$241)/MAX(0.1,Canh_bao_vong!$D$5))))</f>
        <v/>
      </c>
      <c r="AZ241" t="n">
        <v>0</v>
      </c>
      <c r="BA241" t="n">
        <v>1.766227</v>
      </c>
      <c r="BB241" t="inlineStr">
        <is>
          <t>ok</t>
        </is>
      </c>
      <c r="BC241" t="b">
        <v>1</v>
      </c>
      <c r="BD241" t="n">
        <v>240</v>
      </c>
      <c r="BE241" t="n">
        <v>312</v>
      </c>
      <c r="BF241" t="n">
        <v>0.031</v>
      </c>
      <c r="BG241" t="n">
        <v>0.062</v>
      </c>
      <c r="BH241" t="n">
        <v>0.125</v>
      </c>
      <c r="BI241" t="n">
        <v>0.096</v>
      </c>
      <c r="BJ241" t="inlineStr">
        <is>
          <t>DIRECT_BULLET</t>
        </is>
      </c>
      <c r="BK241" t="inlineStr">
        <is>
          <t>ok</t>
        </is>
      </c>
      <c r="BL241" t="inlineStr">
        <is>
          <t>inherited from boss_hmg</t>
        </is>
      </c>
      <c r="BM241" t="inlineStr"/>
      <c r="BN241" t="inlineStr">
        <is>
          <t>Assets/MachineBrigade/Resources/Data/balance.json: weapons[id=p26_ixion_mg] (lớp B trên 01_chien_dau/Vu_khi)</t>
        </is>
      </c>
      <c r="BO241" t="inlineStr"/>
    </row>
    <row r="242">
      <c r="A242" t="inlineStr">
        <is>
          <t>p26_jotunn_close_boss_flak</t>
        </is>
      </c>
      <c r="B242" t="n">
        <v>1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41</v>
      </c>
      <c r="G242">
        <f>IF(Vu_khi!$S$242&gt;0,(Vu_khi!$S$242-1)*Vu_khi!$R$242+Vu_khi!$T$242,Vu_khi!$R$242+(Vu_khi!$P$242-1)*Vu_khi!$Q$242)</f>
        <v/>
      </c>
      <c r="H242" t="n">
        <v>5.38</v>
      </c>
      <c r="I242">
        <f>Vu_khi!$W$242*MAX(1,$E$242)</f>
        <v/>
      </c>
      <c r="J242" t="n">
        <v>1025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190.5204460966543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1</v>
      </c>
      <c r="U242">
        <f>INDEX(Bang_sat_thuong!$B$2:$B$7,MATCH(Vu_khi!$K$242,Bang_sat_thuong!$A$2:$A$7,0))</f>
        <v/>
      </c>
      <c r="V242" t="n">
        <v>0.45</v>
      </c>
      <c r="W242">
        <f>INDEX(Bang_sat_thuong!$C$2:$C$7,MATCH(Vu_khi!$K$242,Bang_sat_thuong!$A$2:$A$7,0))</f>
        <v/>
      </c>
      <c r="X242" t="n">
        <v>1.35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0.1</v>
      </c>
      <c r="AA242">
        <f>AND(Vu_khi!$K$242="Kinetic",NOT(Vu_khi!$AG$242))</f>
        <v/>
      </c>
      <c r="AB242" t="b">
        <v>0</v>
      </c>
      <c r="AC242">
        <f>IF(Vu_khi!$AG$242,INDEX(Bang_danh_noc!$C$2:$C$8,MIN(7,MAX(1,2-(Vu_khi!$L$242-0)+1))),INDEX(Bang_xuyen_giap!$C$2:$C$8,MIN(7,MAX(1,IF($O$242,MAX(1,2-(Vu_khi!$L$242-0)),2-(Vu_khi!$L$242-0))+1))))*IF($AA$242,INDEX(Bang_xuyen_qua!$C$2:$C$5,MIN(4,MAX(1,(Vu_khi!$L$242)-(0)-1))),1)</f>
        <v/>
      </c>
      <c r="AD242" t="n">
        <v>1.2</v>
      </c>
      <c r="AE242">
        <f>IF(Vu_khi!$AG$242,INDEX(Bang_danh_noc!$C$2:$C$8,MIN(7,MAX(1,2-(Vu_khi!$L$242-2)+1))),INDEX(Bang_xuyen_giap!$C$2:$C$8,MIN(7,MAX(1,IF($O$242,MAX(1,2-(Vu_khi!$L$242-2)),2-(Vu_khi!$L$242-2))+1))))*IF($AA$242,INDEX(Bang_xuyen_qua!$C$2:$C$5,MIN(4,MAX(1,(Vu_khi!$L$242)-(2)-1))),1)</f>
        <v/>
      </c>
      <c r="AF242" t="n">
        <v>0.85</v>
      </c>
      <c r="AG242">
        <f>IF(Vu_khi!$AG$242,INDEX(Bang_danh_noc!$C$2:$C$8,MIN(7,MAX(1,2-(Vu_khi!$L$242-4)+1))),INDEX(Bang_xuyen_giap!$C$2:$C$8,MIN(7,MAX(1,IF($O$242,MAX(1,2-(Vu_khi!$L$242-4)),2-(Vu_khi!$L$242-4))+1))))*IF($AA$242,INDEX(Bang_xuyen_qua!$C$2:$C$5,MIN(4,MAX(1,(Vu_khi!$L$242)-(4)-1))),1)</f>
        <v/>
      </c>
      <c r="AH242" t="n">
        <v>0.4</v>
      </c>
      <c r="AI242">
        <f>INDEX(Bang_xuyen_giap!$C$2:$C$8,MIN(7,MAX(1,MAX(1,2-(Vu_khi!$L$242-0))+1)))*IF($AA$242,INDEX(Bang_xuyen_qua!$C$2:$C$5,MIN(4,MAX(1,(Vu_khi!$L$242)-(0)-1))),1)</f>
        <v/>
      </c>
      <c r="AJ242" t="n">
        <v>1</v>
      </c>
      <c r="AK242">
        <f>IF($Q$242,$M$242*$AC$242*$U$242,0)</f>
        <v/>
      </c>
      <c r="AL242" t="n">
        <v>102.8810408921933</v>
      </c>
      <c r="AM242">
        <f>IF($Q$242,$M$242*$AE$242*$U$242,0)</f>
        <v/>
      </c>
      <c r="AN242" t="n">
        <v>72.87407063197026</v>
      </c>
      <c r="AO242">
        <f>IF($Q$242,$M$242*$AG$242*$U$242,0)</f>
        <v/>
      </c>
      <c r="AP242" t="n">
        <v>34.29368029739777</v>
      </c>
      <c r="AQ242">
        <f>IF($Q$242,$M$242*$AE$242*$Y$242,0)</f>
        <v/>
      </c>
      <c r="AR242" t="n">
        <v>16.19423791821561</v>
      </c>
      <c r="AS242">
        <f>IF($S$242,$M$242*$AI$242*$W$242,0)</f>
        <v/>
      </c>
      <c r="AT242" t="n">
        <v>257.2026022304833</v>
      </c>
      <c r="AU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V242" t="b">
        <v>0</v>
      </c>
      <c r="AW242">
        <f>IF(AND($B$242&lt;0,$AU$242),4,$B$242)</f>
        <v/>
      </c>
      <c r="AX242" t="n">
        <v>1</v>
      </c>
      <c r="AY242">
        <f>IF($AW$242&lt;4,0,MIN(MAX(0.5,Canh_bao_vong!$D$4),MAX(IF(Vu_khi!$C$242="cal_406",Canh_bao_vong!$D$7,IF($AW$242&gt;=5,Canh_bao_vong!$D$9,Canh_bao_vong!$D$8)),Canh_bao_vong!$D$2+MAX(0,Vu_khi!$X$242)/MAX(0.1,Canh_bao_vong!$D$5))))</f>
        <v/>
      </c>
      <c r="AZ242" t="n">
        <v>0</v>
      </c>
      <c r="BA242" t="n">
        <v>2.405691</v>
      </c>
      <c r="BB242" t="inlineStr">
        <is>
          <t>ok</t>
        </is>
      </c>
      <c r="BC242" t="b">
        <v>1</v>
      </c>
      <c r="BD242" t="n">
        <v>260</v>
      </c>
      <c r="BE242" t="n">
        <v>338</v>
      </c>
      <c r="BF242" t="n">
        <v>0.038</v>
      </c>
      <c r="BG242" t="n">
        <v>0.077</v>
      </c>
      <c r="BH242" t="n">
        <v>0.154</v>
      </c>
      <c r="BI242" t="n">
        <v>0.118</v>
      </c>
      <c r="BJ242" t="inlineStr">
        <is>
          <t>DIRECT_BULLET</t>
        </is>
      </c>
      <c r="BK242" t="inlineStr">
        <is>
          <t>ok</t>
        </is>
      </c>
      <c r="BL242" t="inlineStr">
        <is>
          <t>inherited from boss_flak</t>
        </is>
      </c>
      <c r="BM242" t="inlineStr"/>
      <c r="BN242" t="inlineStr">
        <is>
          <t>Assets/MachineBrigade/Resources/Data/balance.json: weapons[id=p26_jotunn_close_boss_flak] (lớp B trên 01_chien_dau/Vu_khi)</t>
        </is>
      </c>
      <c r="BO242" t="inlineStr"/>
    </row>
    <row r="243">
      <c r="A243" t="inlineStr">
        <is>
          <t>p26_jotunn_direct_jo125</t>
        </is>
      </c>
      <c r="B243" t="n">
        <v>3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</v>
      </c>
      <c r="G243">
        <f>IF(Vu_khi!$S$243&gt;0,(Vu_khi!$S$243-1)*Vu_khi!$R$243+Vu_khi!$T$243,Vu_khi!$R$243+(Vu_khi!$P$243-1)*Vu_khi!$Q$243)</f>
        <v/>
      </c>
      <c r="H243" t="n">
        <v>7.5</v>
      </c>
      <c r="I243">
        <f>Vu_khi!$W$243*MAX(1,$E$243)</f>
        <v/>
      </c>
      <c r="J243" t="n">
        <v>400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53.33333333333334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1.2</v>
      </c>
      <c r="W243">
        <f>INDEX(Bang_sat_thuong!$C$2:$C$7,MATCH(Vu_khi!$K$243,Bang_sat_thuong!$A$2:$A$7,0))</f>
        <v/>
      </c>
      <c r="X243" t="n">
        <v>0.3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0.7</v>
      </c>
      <c r="AA243">
        <f>AND(Vu_khi!$K$243="Kinetic",NOT(Vu_khi!$AG$243))</f>
        <v/>
      </c>
      <c r="AB243" t="b">
        <v>1</v>
      </c>
      <c r="AC243">
        <f>IF(Vu_khi!$AG$243,INDEX(Bang_danh_noc!$C$2:$C$8,MIN(7,MAX(1,2-(Vu_khi!$L$243-0)+1))),INDEX(Bang_xuyen_giap!$C$2:$C$8,MIN(7,MAX(1,IF($O$243,MAX(1,2-(Vu_khi!$L$243-0)),2-(Vu_khi!$L$243-0))+1))))*IF($AA$243,INDEX(Bang_xuyen_qua!$C$2:$C$5,MIN(4,MAX(1,(Vu_khi!$L$243)-(0)-1))),1)</f>
        <v/>
      </c>
      <c r="AD243" t="n">
        <v>0.8999999999999999</v>
      </c>
      <c r="AE243">
        <f>IF(Vu_khi!$AG$243,INDEX(Bang_danh_noc!$C$2:$C$8,MIN(7,MAX(1,2-(Vu_khi!$L$243-2)+1))),INDEX(Bang_xuyen_giap!$C$2:$C$8,MIN(7,MAX(1,IF($O$243,MAX(1,2-(Vu_khi!$L$243-2)),2-(Vu_khi!$L$243-2))+1))))*IF($AA$243,INDEX(Bang_xuyen_qua!$C$2:$C$5,MIN(4,MAX(1,(Vu_khi!$L$243)-(2)-1))),1)</f>
        <v/>
      </c>
      <c r="AF243" t="n">
        <v>1.14</v>
      </c>
      <c r="AG243">
        <f>IF(Vu_khi!$AG$243,INDEX(Bang_danh_noc!$C$2:$C$8,MIN(7,MAX(1,2-(Vu_khi!$L$243-4)+1))),INDEX(Bang_xuyen_giap!$C$2:$C$8,MIN(7,MAX(1,IF($O$243,MAX(1,2-(Vu_khi!$L$243-4)),2-(Vu_khi!$L$243-4))+1))))*IF($AA$243,INDEX(Bang_xuyen_qua!$C$2:$C$5,MIN(4,MAX(1,(Vu_khi!$L$243)-(4)-1))),1)</f>
        <v/>
      </c>
      <c r="AH243" t="n">
        <v>1</v>
      </c>
      <c r="AI243">
        <f>INDEX(Bang_xuyen_giap!$C$2:$C$8,MIN(7,MAX(1,MAX(1,2-(Vu_khi!$L$243-0))+1)))*IF($AA$243,INDEX(Bang_xuyen_qua!$C$2:$C$5,MIN(4,MAX(1,(Vu_khi!$L$243)-(0)-1))),1)</f>
        <v/>
      </c>
      <c r="AJ243" t="n">
        <v>0.75</v>
      </c>
      <c r="AK243">
        <f>IF($Q$243,$M$243*$AC$243*$U$243,0)</f>
        <v/>
      </c>
      <c r="AL243" t="n">
        <v>57.59999999999999</v>
      </c>
      <c r="AM243">
        <f>IF($Q$243,$M$243*$AE$243*$U$243,0)</f>
        <v/>
      </c>
      <c r="AN243" t="n">
        <v>72.95999999999999</v>
      </c>
      <c r="AO243">
        <f>IF($Q$243,$M$243*$AG$243*$U$243,0)</f>
        <v/>
      </c>
      <c r="AP243" t="n">
        <v>64</v>
      </c>
      <c r="AQ243">
        <f>IF($Q$243,$M$243*$AE$243*$Y$243,0)</f>
        <v/>
      </c>
      <c r="AR243" t="n">
        <v>42.56</v>
      </c>
      <c r="AS243">
        <f>IF($S$243,$M$243*$AI$243*$W$243,0)</f>
        <v/>
      </c>
      <c r="AT243" t="n">
        <v>0</v>
      </c>
      <c r="AU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V243" t="b">
        <v>0</v>
      </c>
      <c r="AW243">
        <f>IF(AND($B$243&lt;0,$AU$243),4,$B$243)</f>
        <v/>
      </c>
      <c r="AX243" t="n">
        <v>3</v>
      </c>
      <c r="AY243">
        <f>IF($AW$243&lt;4,0,MIN(MAX(0.5,Canh_bao_vong!$D$4),MAX(IF(Vu_khi!$C$243="cal_406",Canh_bao_vong!$D$7,IF($AW$243&gt;=5,Canh_bao_vong!$D$9,Canh_bao_vong!$D$8)),Canh_bao_vong!$D$2+MAX(0,Vu_khi!$X$243)/MAX(0.1,Canh_bao_vong!$D$5))))</f>
        <v/>
      </c>
      <c r="AZ243" t="n">
        <v>0</v>
      </c>
      <c r="BA243" t="n">
        <v>0.7</v>
      </c>
      <c r="BB243" t="inlineStr">
        <is>
          <t>ok</t>
        </is>
      </c>
      <c r="BC243" t="b">
        <v>1</v>
      </c>
      <c r="BD243" t="n">
        <v>170</v>
      </c>
      <c r="BE243" t="n">
        <v>221</v>
      </c>
      <c r="BF243" t="n">
        <v>0.056</v>
      </c>
      <c r="BG243" t="n">
        <v>0.112</v>
      </c>
      <c r="BH243" t="n">
        <v>0.224</v>
      </c>
      <c r="BI243" t="n">
        <v>0.172</v>
      </c>
      <c r="BJ243" t="inlineStr">
        <is>
          <t>DIRECT_FAST</t>
        </is>
      </c>
      <c r="BK243" t="inlineStr">
        <is>
          <t>ok</t>
        </is>
      </c>
      <c r="BL243" t="inlineStr">
        <is>
          <t>inherited from p26_jotunn_jo125</t>
        </is>
      </c>
      <c r="BM243" t="inlineStr"/>
      <c r="BN243" t="inlineStr">
        <is>
          <t>Assets/MachineBrigade/Resources/Data/balance.json: weapons[id=p26_jotunn_direct_jo125] (lớp B trên 01_chien_dau/Vu_khi)</t>
        </is>
      </c>
      <c r="BO243" t="inlineStr"/>
    </row>
    <row r="244">
      <c r="A244" t="inlineStr">
        <is>
          <t>p26_jotunn_jo125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2</v>
      </c>
      <c r="I244">
        <f>Vu_khi!$W$244*MAX(1,$E$244)</f>
        <v/>
      </c>
      <c r="J244" t="n">
        <v>280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140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1.2</v>
      </c>
      <c r="W244">
        <f>INDEX(Bang_sat_thuong!$C$2:$C$7,MATCH(Vu_khi!$K$244,Bang_sat_thuong!$A$2:$A$7,0))</f>
        <v/>
      </c>
      <c r="X244" t="n">
        <v>0.3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0.7</v>
      </c>
      <c r="AA244">
        <f>AND(Vu_khi!$K$244="Kinetic",NOT(Vu_khi!$AG$244))</f>
        <v/>
      </c>
      <c r="AB244" t="b">
        <v>1</v>
      </c>
      <c r="AC244">
        <f>IF(Vu_khi!$AG$244,INDEX(Bang_danh_noc!$C$2:$C$8,MIN(7,MAX(1,2-(Vu_khi!$L$244-0)+1))),INDEX(Bang_xuyen_giap!$C$2:$C$8,MIN(7,MAX(1,IF($O$244,MAX(1,2-(Vu_khi!$L$244-0)),2-(Vu_khi!$L$244-0))+1))))*IF($AA$244,INDEX(Bang_xuyen_qua!$C$2:$C$5,MIN(4,MAX(1,(Vu_khi!$L$244)-(0)-1))),1)</f>
        <v/>
      </c>
      <c r="AD244" t="n">
        <v>0.8999999999999999</v>
      </c>
      <c r="AE244">
        <f>IF(Vu_khi!$AG$244,INDEX(Bang_danh_noc!$C$2:$C$8,MIN(7,MAX(1,2-(Vu_khi!$L$244-2)+1))),INDEX(Bang_xuyen_giap!$C$2:$C$8,MIN(7,MAX(1,IF($O$244,MAX(1,2-(Vu_khi!$L$244-2)),2-(Vu_khi!$L$244-2))+1))))*IF($AA$244,INDEX(Bang_xuyen_qua!$C$2:$C$5,MIN(4,MAX(1,(Vu_khi!$L$244)-(2)-1))),1)</f>
        <v/>
      </c>
      <c r="AF244" t="n">
        <v>1.14</v>
      </c>
      <c r="AG244">
        <f>IF(Vu_khi!$AG$244,INDEX(Bang_danh_noc!$C$2:$C$8,MIN(7,MAX(1,2-(Vu_khi!$L$244-4)+1))),INDEX(Bang_xuyen_giap!$C$2:$C$8,MIN(7,MAX(1,IF($O$244,MAX(1,2-(Vu_khi!$L$244-4)),2-(Vu_khi!$L$244-4))+1))))*IF($AA$244,INDEX(Bang_xuyen_qua!$C$2:$C$5,MIN(4,MAX(1,(Vu_khi!$L$244)-(4)-1))),1)</f>
        <v/>
      </c>
      <c r="AH244" t="n">
        <v>1</v>
      </c>
      <c r="AI244">
        <f>INDEX(Bang_xuyen_giap!$C$2:$C$8,MIN(7,MAX(1,MAX(1,2-(Vu_khi!$L$244-0))+1)))*IF($AA$244,INDEX(Bang_xuyen_qua!$C$2:$C$5,MIN(4,MAX(1,(Vu_khi!$L$244)-(0)-1))),1)</f>
        <v/>
      </c>
      <c r="AJ244" t="n">
        <v>0.75</v>
      </c>
      <c r="AK244">
        <f>IF($Q$244,$M$244*$AC$244*$U$244,0)</f>
        <v/>
      </c>
      <c r="AL244" t="n">
        <v>151.2</v>
      </c>
      <c r="AM244">
        <f>IF($Q$244,$M$244*$AE$244*$U$244,0)</f>
        <v/>
      </c>
      <c r="AN244" t="n">
        <v>191.52</v>
      </c>
      <c r="AO244">
        <f>IF($Q$244,$M$244*$AG$244*$U$244,0)</f>
        <v/>
      </c>
      <c r="AP244" t="n">
        <v>168</v>
      </c>
      <c r="AQ244">
        <f>IF($Q$244,$M$244*$AE$244*$Y$244,0)</f>
        <v/>
      </c>
      <c r="AR244" t="n">
        <v>111.72</v>
      </c>
      <c r="AS244">
        <f>IF($S$244,$M$244*$AI$244*$W$244,0)</f>
        <v/>
      </c>
      <c r="AT244" t="n">
        <v>0</v>
      </c>
      <c r="AU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V244" t="b">
        <v>0</v>
      </c>
      <c r="AW244">
        <f>IF(AND($B$244&lt;0,$AU$244),4,$B$244)</f>
        <v/>
      </c>
      <c r="AX244" t="n">
        <v>3</v>
      </c>
      <c r="AY244">
        <f>IF($AW$244&lt;4,0,MIN(MAX(0.5,Canh_bao_vong!$D$4),MAX(IF(Vu_khi!$C$244="cal_406",Canh_bao_vong!$D$7,IF($AW$244&gt;=5,Canh_bao_vong!$D$9,Canh_bao_vong!$D$8)),Canh_bao_vong!$D$2+MAX(0,Vu_khi!$X$244)/MAX(0.1,Canh_bao_vong!$D$5))))</f>
        <v/>
      </c>
      <c r="AZ244" t="n">
        <v>0</v>
      </c>
      <c r="BA244" t="n">
        <v>0.186667</v>
      </c>
      <c r="BB244" t="inlineStr">
        <is>
          <t>NHANH_QUA;LECH_DOT_1</t>
        </is>
      </c>
      <c r="BC244" t="inlineStr"/>
      <c r="BD244" t="n">
        <v>170</v>
      </c>
      <c r="BE244" t="n">
        <v>221</v>
      </c>
      <c r="BF244" t="n">
        <v>0.056</v>
      </c>
      <c r="BG244" t="n">
        <v>0.112</v>
      </c>
      <c r="BH244" t="n">
        <v>0.224</v>
      </c>
      <c r="BI244" t="n">
        <v>0.172</v>
      </c>
      <c r="BJ244" t="inlineStr">
        <is>
          <t>DIRECT_FAST</t>
        </is>
      </c>
      <c r="BK244" t="inlineStr">
        <is>
          <t>ok</t>
        </is>
      </c>
      <c r="BL244" t="inlineStr">
        <is>
          <t>inherited from gun_120mm</t>
        </is>
      </c>
      <c r="BM244" t="inlineStr"/>
      <c r="BN244" t="inlineStr">
        <is>
          <t>Assets/MachineBrigade/Resources/Data/balance.json: weapons[id=p26_jotunn_jo125] (lớp B trên 01_chien_dau/Vu_khi)</t>
        </is>
      </c>
      <c r="BO244" t="inlineStr"/>
    </row>
    <row r="245">
      <c r="A245" t="inlineStr">
        <is>
          <t>p26_jotunn_jo203</t>
        </is>
      </c>
      <c r="B245" t="n">
        <v>4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1</v>
      </c>
      <c r="G245">
        <f>IF(Vu_khi!$S$245&gt;0,(Vu_khi!$S$245-1)*Vu_khi!$R$245+Vu_khi!$T$245,Vu_khi!$R$245+(Vu_khi!$P$245-1)*Vu_khi!$Q$245)</f>
        <v/>
      </c>
      <c r="H245" t="n">
        <v>24</v>
      </c>
      <c r="I245">
        <f>Vu_khi!$W$245*MAX(1,$E$245)</f>
        <v/>
      </c>
      <c r="J245" t="n">
        <v>900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37.5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1.6</v>
      </c>
      <c r="AA245">
        <f>AND(Vu_khi!$K$245="Kinetic",NOT(Vu_khi!$AG$245))</f>
        <v/>
      </c>
      <c r="AB245" t="b">
        <v>0</v>
      </c>
      <c r="AC245">
        <f>IF(Vu_khi!$AG$245,INDEX(Bang_danh_noc!$C$2:$C$8,MIN(7,MAX(1,2-(Vu_khi!$L$245-0)+1))),INDEX(Bang_xuyen_giap!$C$2:$C$8,MIN(7,MAX(1,IF($O$245,MAX(1,2-(Vu_khi!$L$245-0)),2-(Vu_khi!$L$245-0))+1))))*IF($AA$245,INDEX(Bang_xuyen_qua!$C$2:$C$5,MIN(4,MAX(1,(Vu_khi!$L$245)-(0)-1))),1)</f>
        <v/>
      </c>
      <c r="AD245" t="n">
        <v>1.2</v>
      </c>
      <c r="AE245">
        <f>IF(Vu_khi!$AG$245,INDEX(Bang_danh_noc!$C$2:$C$8,MIN(7,MAX(1,2-(Vu_khi!$L$245-2)+1))),INDEX(Bang_xuyen_giap!$C$2:$C$8,MIN(7,MAX(1,IF($O$245,MAX(1,2-(Vu_khi!$L$245-2)),2-(Vu_khi!$L$245-2))+1))))*IF($AA$245,INDEX(Bang_xuyen_qua!$C$2:$C$5,MIN(4,MAX(1,(Vu_khi!$L$245)-(2)-1))),1)</f>
        <v/>
      </c>
      <c r="AF245" t="n">
        <v>1.2</v>
      </c>
      <c r="AG245">
        <f>IF(Vu_khi!$AG$245,INDEX(Bang_danh_noc!$C$2:$C$8,MIN(7,MAX(1,2-(Vu_khi!$L$245-4)+1))),INDEX(Bang_xuyen_giap!$C$2:$C$8,MIN(7,MAX(1,IF($O$245,MAX(1,2-(Vu_khi!$L$245-4)),2-(Vu_khi!$L$245-4))+1))))*IF($AA$245,INDEX(Bang_xuyen_qua!$C$2:$C$5,MIN(4,MAX(1,(Vu_khi!$L$245)-(4)-1))),1)</f>
        <v/>
      </c>
      <c r="AH245" t="n">
        <v>0.85</v>
      </c>
      <c r="AI245">
        <f>INDEX(Bang_xuyen_giap!$C$2:$C$8,MIN(7,MAX(1,MAX(1,2-(Vu_khi!$L$245-0))+1)))*IF($AA$245,INDEX(Bang_xuyen_qua!$C$2:$C$5,MIN(4,MAX(1,(Vu_khi!$L$245)-(0)-1))),1)</f>
        <v/>
      </c>
      <c r="AJ245" t="n">
        <v>1</v>
      </c>
      <c r="AK245">
        <f>IF($Q$245,$M$245*$AC$245*$U$245,0)</f>
        <v/>
      </c>
      <c r="AL245" t="n">
        <v>45</v>
      </c>
      <c r="AM245">
        <f>IF($Q$245,$M$245*$AE$245*$U$245,0)</f>
        <v/>
      </c>
      <c r="AN245" t="n">
        <v>45</v>
      </c>
      <c r="AO245">
        <f>IF($Q$245,$M$245*$AG$245*$U$245,0)</f>
        <v/>
      </c>
      <c r="AP245" t="n">
        <v>31.875</v>
      </c>
      <c r="AQ245">
        <f>IF($Q$245,$M$245*$AE$245*$Y$245,0)</f>
        <v/>
      </c>
      <c r="AR245" t="n">
        <v>72</v>
      </c>
      <c r="AS245">
        <f>IF($S$245,$M$245*$AI$245*$W$245,0)</f>
        <v/>
      </c>
      <c r="AT245" t="n">
        <v>0</v>
      </c>
      <c r="AU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V245" t="b">
        <v>1</v>
      </c>
      <c r="AW245">
        <f>IF(AND($B$245&lt;0,$AU$245),4,$B$245)</f>
        <v/>
      </c>
      <c r="AX245" t="n">
        <v>4</v>
      </c>
      <c r="AY245">
        <f>IF($AW$245&lt;4,0,MIN(MAX(0.5,Canh_bao_vong!$D$4),MAX(IF(Vu_khi!$C$245="cal_406",Canh_bao_vong!$D$7,IF($AW$245&gt;=5,Canh_bao_vong!$D$9,Canh_bao_vong!$D$8)),Canh_bao_vong!$D$2+MAX(0,Vu_khi!$X$245)/MAX(0.1,Canh_bao_vong!$D$5))))</f>
        <v/>
      </c>
      <c r="AZ245" t="n">
        <v>2.5</v>
      </c>
      <c r="BA245" t="n">
        <v>0.7</v>
      </c>
      <c r="BB245" t="inlineStr">
        <is>
          <t>ok</t>
        </is>
      </c>
      <c r="BC245" t="b">
        <v>1</v>
      </c>
      <c r="BD245" t="n">
        <v>60</v>
      </c>
      <c r="BE245" t="n">
        <v>78</v>
      </c>
      <c r="BF245" t="n">
        <v>0.25</v>
      </c>
      <c r="BG245" t="n">
        <v>0.5</v>
      </c>
      <c r="BH245" t="n">
        <v>1</v>
      </c>
      <c r="BI245" t="n">
        <v>0.769</v>
      </c>
      <c r="BJ245" t="inlineStr">
        <is>
          <t>HOWITZER</t>
        </is>
      </c>
      <c r="BK245" t="inlineStr">
        <is>
          <t>ok</t>
        </is>
      </c>
      <c r="BL245" t="inlineStr">
        <is>
          <t>inherited from boss_howitzer</t>
        </is>
      </c>
      <c r="BM245" t="inlineStr"/>
      <c r="BN245" t="inlineStr">
        <is>
          <t>Assets/MachineBrigade/Resources/Data/balance.json: weapons[id=p26_jotunn_jo203] (lớp B trên 01_chien_dau/Vu_khi)</t>
        </is>
      </c>
      <c r="BO245" t="inlineStr"/>
    </row>
    <row r="246">
      <c r="A246" t="inlineStr">
        <is>
          <t>p26_jotunn_jo_rockets</t>
        </is>
      </c>
      <c r="B246" t="n">
        <v>4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8</v>
      </c>
      <c r="G246">
        <f>IF(Vu_khi!$S$246&gt;0,(Vu_khi!$S$246-1)*Vu_khi!$R$246+Vu_khi!$T$246,Vu_khi!$R$246+(Vu_khi!$P$246-1)*Vu_khi!$Q$246)</f>
        <v/>
      </c>
      <c r="H246" t="n">
        <v>10</v>
      </c>
      <c r="I246">
        <f>Vu_khi!$W$246*MAX(1,$E$246)</f>
        <v/>
      </c>
      <c r="J246" t="n">
        <v>880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88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0</v>
      </c>
      <c r="U246">
        <f>INDEX(Bang_sat_thuong!$B$2:$B$7,MATCH(Vu_khi!$K$246,Bang_sat_thuong!$A$2:$A$7,0))</f>
        <v/>
      </c>
      <c r="V246" t="n">
        <v>1</v>
      </c>
      <c r="W246">
        <f>INDEX(Bang_sat_thuong!$C$2:$C$7,MATCH(Vu_khi!$K$246,Bang_sat_thuong!$A$2:$A$7,0))</f>
        <v/>
      </c>
      <c r="X246" t="n">
        <v>0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1.6</v>
      </c>
      <c r="AA246">
        <f>AND(Vu_khi!$K$246="Kinetic",NOT(Vu_khi!$AG$246))</f>
        <v/>
      </c>
      <c r="AB246" t="b">
        <v>0</v>
      </c>
      <c r="AC246">
        <f>IF(Vu_khi!$AG$246,INDEX(Bang_danh_noc!$C$2:$C$8,MIN(7,MAX(1,2-(Vu_khi!$L$246-0)+1))),INDEX(Bang_xuyen_giap!$C$2:$C$8,MIN(7,MAX(1,IF($O$246,MAX(1,2-(Vu_khi!$L$246-0)),2-(Vu_khi!$L$246-0))+1))))*IF($AA$246,INDEX(Bang_xuyen_qua!$C$2:$C$5,MIN(4,MAX(1,(Vu_khi!$L$246)-(0)-1))),1)</f>
        <v/>
      </c>
      <c r="AD246" t="n">
        <v>1.2</v>
      </c>
      <c r="AE246">
        <f>IF(Vu_khi!$AG$246,INDEX(Bang_danh_noc!$C$2:$C$8,MIN(7,MAX(1,2-(Vu_khi!$L$246-2)+1))),INDEX(Bang_xuyen_giap!$C$2:$C$8,MIN(7,MAX(1,IF($O$246,MAX(1,2-(Vu_khi!$L$246-2)),2-(Vu_khi!$L$246-2))+1))))*IF($AA$246,INDEX(Bang_xuyen_qua!$C$2:$C$5,MIN(4,MAX(1,(Vu_khi!$L$246)-(2)-1))),1)</f>
        <v/>
      </c>
      <c r="AF246" t="n">
        <v>0.85</v>
      </c>
      <c r="AG246">
        <f>IF(Vu_khi!$AG$246,INDEX(Bang_danh_noc!$C$2:$C$8,MIN(7,MAX(1,2-(Vu_khi!$L$246-4)+1))),INDEX(Bang_xuyen_giap!$C$2:$C$8,MIN(7,MAX(1,IF($O$246,MAX(1,2-(Vu_khi!$L$246-4)),2-(Vu_khi!$L$246-4))+1))))*IF($AA$246,INDEX(Bang_xuyen_qua!$C$2:$C$5,MIN(4,MAX(1,(Vu_khi!$L$246)-(4)-1))),1)</f>
        <v/>
      </c>
      <c r="AH246" t="n">
        <v>0.4</v>
      </c>
      <c r="AI246">
        <f>INDEX(Bang_xuyen_giap!$C$2:$C$8,MIN(7,MAX(1,MAX(1,2-(Vu_khi!$L$246-0))+1)))*IF($AA$246,INDEX(Bang_xuyen_qua!$C$2:$C$5,MIN(4,MAX(1,(Vu_khi!$L$246)-(0)-1))),1)</f>
        <v/>
      </c>
      <c r="AJ246" t="n">
        <v>1</v>
      </c>
      <c r="AK246">
        <f>IF($Q$246,$M$246*$AC$246*$U$246,0)</f>
        <v/>
      </c>
      <c r="AL246" t="n">
        <v>105.6</v>
      </c>
      <c r="AM246">
        <f>IF($Q$246,$M$246*$AE$246*$U$246,0)</f>
        <v/>
      </c>
      <c r="AN246" t="n">
        <v>74.8</v>
      </c>
      <c r="AO246">
        <f>IF($Q$246,$M$246*$AG$246*$U$246,0)</f>
        <v/>
      </c>
      <c r="AP246" t="n">
        <v>35.2</v>
      </c>
      <c r="AQ246">
        <f>IF($Q$246,$M$246*$AE$246*$Y$246,0)</f>
        <v/>
      </c>
      <c r="AR246" t="n">
        <v>119.68</v>
      </c>
      <c r="AS246">
        <f>IF($S$246,$M$246*$AI$246*$W$246,0)</f>
        <v/>
      </c>
      <c r="AT246" t="n">
        <v>0</v>
      </c>
      <c r="AU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V246" t="b">
        <v>1</v>
      </c>
      <c r="AW246">
        <f>IF(AND($B$246&lt;0,$AU$246),4,$B$246)</f>
        <v/>
      </c>
      <c r="AX246" t="n">
        <v>4</v>
      </c>
      <c r="AY246">
        <f>IF($AW$246&lt;4,0,MIN(MAX(0.5,Canh_bao_vong!$D$4),MAX(IF(Vu_khi!$C$246="cal_406",Canh_bao_vong!$D$7,IF($AW$246&gt;=5,Canh_bao_vong!$D$9,Canh_bao_vong!$D$8)),Canh_bao_vong!$D$2+MAX(0,Vu_khi!$X$246)/MAX(0.1,Canh_bao_vong!$D$5))))</f>
        <v/>
      </c>
      <c r="AZ246" t="n">
        <v>2.5</v>
      </c>
      <c r="BA246" t="n">
        <v>0.095</v>
      </c>
      <c r="BB246" t="inlineStr">
        <is>
          <t>NHANH_QUA;LECH_DOT_1</t>
        </is>
      </c>
      <c r="BC246" t="inlineStr"/>
      <c r="BD246" t="n">
        <v>80</v>
      </c>
      <c r="BE246" t="n">
        <v>104</v>
      </c>
      <c r="BF246" t="n">
        <v>0.141</v>
      </c>
      <c r="BG246" t="n">
        <v>0.281</v>
      </c>
      <c r="BH246" t="n">
        <v>0.5620000000000001</v>
      </c>
      <c r="BI246" t="n">
        <v>0.433</v>
      </c>
      <c r="BJ246" t="inlineStr">
        <is>
          <t>ROCKET_ARTILLERY</t>
        </is>
      </c>
      <c r="BK246" t="inlineStr">
        <is>
          <t>TOO_FAST_FOR_CLASS;TOO_FAST_AT_GEAR_CAP</t>
        </is>
      </c>
      <c r="BL246" t="inlineStr">
        <is>
          <t>own line (over boss_rockets)</t>
        </is>
      </c>
      <c r="BM246" t="n">
        <v>24</v>
      </c>
      <c r="BN246" t="inlineStr">
        <is>
          <t>Assets/MachineBrigade/Resources/Data/balance.json: weapons[id=p26_jotunn_jo_rockets] (lớp B trên 01_chien_dau/Vu_khi)</t>
        </is>
      </c>
      <c r="BO246" t="inlineStr"/>
    </row>
    <row r="247">
      <c r="A247" t="inlineStr">
        <is>
          <t>p26_jotunn_sec_jo_rockets</t>
        </is>
      </c>
      <c r="B247" t="n">
        <v>4</v>
      </c>
      <c r="C247">
        <f>IF(Vu_khi!$O$247="SIMULTANEOUS",MAX(1,Vu_khi!$N$247),1)</f>
        <v/>
      </c>
      <c r="D247" t="n">
        <v>1</v>
      </c>
      <c r="E247">
        <f>IF(Vu_khi!$S$247&gt;0,Vu_khi!$S$247,Vu_khi!$P$247*$C$247)</f>
        <v/>
      </c>
      <c r="F247" t="n">
        <v>8</v>
      </c>
      <c r="G247">
        <f>IF(Vu_khi!$S$247&gt;0,(Vu_khi!$S$247-1)*Vu_khi!$R$247+Vu_khi!$T$247,Vu_khi!$R$247+(Vu_khi!$P$247-1)*Vu_khi!$Q$247)</f>
        <v/>
      </c>
      <c r="H247" t="n">
        <v>37.95</v>
      </c>
      <c r="I247">
        <f>Vu_khi!$W$247*MAX(1,$E$247)</f>
        <v/>
      </c>
      <c r="J247" t="n">
        <v>3600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94.86166007905139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1.6</v>
      </c>
      <c r="AA247">
        <f>AND(Vu_khi!$K$247="Kinetic",NOT(Vu_khi!$AG$247))</f>
        <v/>
      </c>
      <c r="AB247" t="b">
        <v>0</v>
      </c>
      <c r="AC247">
        <f>IF(Vu_khi!$AG$247,INDEX(Bang_danh_noc!$C$2:$C$8,MIN(7,MAX(1,2-(Vu_khi!$L$247-0)+1))),INDEX(Bang_xuyen_giap!$C$2:$C$8,MIN(7,MAX(1,IF($O$247,MAX(1,2-(Vu_khi!$L$247-0)),2-(Vu_khi!$L$247-0))+1))))*IF($AA$247,INDEX(Bang_xuyen_qua!$C$2:$C$5,MIN(4,MAX(1,(Vu_khi!$L$247)-(0)-1))),1)</f>
        <v/>
      </c>
      <c r="AD247" t="n">
        <v>1.2</v>
      </c>
      <c r="AE247">
        <f>IF(Vu_khi!$AG$247,INDEX(Bang_danh_noc!$C$2:$C$8,MIN(7,MAX(1,2-(Vu_khi!$L$247-2)+1))),INDEX(Bang_xuyen_giap!$C$2:$C$8,MIN(7,MAX(1,IF($O$247,MAX(1,2-(Vu_khi!$L$247-2)),2-(Vu_khi!$L$247-2))+1))))*IF($AA$247,INDEX(Bang_xuyen_qua!$C$2:$C$5,MIN(4,MAX(1,(Vu_khi!$L$247)-(2)-1))),1)</f>
        <v/>
      </c>
      <c r="AF247" t="n">
        <v>0.85</v>
      </c>
      <c r="AG247">
        <f>IF(Vu_khi!$AG$247,INDEX(Bang_danh_noc!$C$2:$C$8,MIN(7,MAX(1,2-(Vu_khi!$L$247-4)+1))),INDEX(Bang_xuyen_giap!$C$2:$C$8,MIN(7,MAX(1,IF($O$247,MAX(1,2-(Vu_khi!$L$247-4)),2-(Vu_khi!$L$247-4))+1))))*IF($AA$247,INDEX(Bang_xuyen_qua!$C$2:$C$5,MIN(4,MAX(1,(Vu_khi!$L$247)-(4)-1))),1)</f>
        <v/>
      </c>
      <c r="AH247" t="n">
        <v>0.4</v>
      </c>
      <c r="AI247">
        <f>INDEX(Bang_xuyen_giap!$C$2:$C$8,MIN(7,MAX(1,MAX(1,2-(Vu_khi!$L$247-0))+1)))*IF($AA$247,INDEX(Bang_xuyen_qua!$C$2:$C$5,MIN(4,MAX(1,(Vu_khi!$L$247)-(0)-1))),1)</f>
        <v/>
      </c>
      <c r="AJ247" t="n">
        <v>1</v>
      </c>
      <c r="AK247">
        <f>IF($Q$247,$M$247*$AC$247*$U$247,0)</f>
        <v/>
      </c>
      <c r="AL247" t="n">
        <v>113.8339920948617</v>
      </c>
      <c r="AM247">
        <f>IF($Q$247,$M$247*$AE$247*$U$247,0)</f>
        <v/>
      </c>
      <c r="AN247" t="n">
        <v>80.63241106719369</v>
      </c>
      <c r="AO247">
        <f>IF($Q$247,$M$247*$AG$247*$U$247,0)</f>
        <v/>
      </c>
      <c r="AP247" t="n">
        <v>37.94466403162055</v>
      </c>
      <c r="AQ247">
        <f>IF($Q$247,$M$247*$AE$247*$Y$247,0)</f>
        <v/>
      </c>
      <c r="AR247" t="n">
        <v>129.0118577075099</v>
      </c>
      <c r="AS247">
        <f>IF($S$247,$M$247*$AI$247*$W$247,0)</f>
        <v/>
      </c>
      <c r="AT247" t="n">
        <v>0</v>
      </c>
      <c r="AU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V247" t="b">
        <v>1</v>
      </c>
      <c r="AW247">
        <f>IF(AND($B$247&lt;0,$AU$247),4,$B$247)</f>
        <v/>
      </c>
      <c r="AX247" t="n">
        <v>4</v>
      </c>
      <c r="AY247">
        <f>IF($AW$247&lt;4,0,MIN(MAX(0.5,Canh_bao_vong!$D$4),MAX(IF(Vu_khi!$C$247="cal_406",Canh_bao_vong!$D$7,IF($AW$247&gt;=5,Canh_bao_vong!$D$9,Canh_bao_vong!$D$8)),Canh_bao_vong!$D$2+MAX(0,Vu_khi!$X$247)/MAX(0.1,Canh_bao_vong!$D$5))))</f>
        <v/>
      </c>
      <c r="AZ247" t="n">
        <v>2.5</v>
      </c>
      <c r="BA247" t="n">
        <v>1.003833</v>
      </c>
      <c r="BB247" t="inlineStr">
        <is>
          <t>ok</t>
        </is>
      </c>
      <c r="BC247" t="b">
        <v>1</v>
      </c>
      <c r="BD247" t="n">
        <v>80</v>
      </c>
      <c r="BE247" t="n">
        <v>104</v>
      </c>
      <c r="BF247" t="n">
        <v>0.141</v>
      </c>
      <c r="BG247" t="n">
        <v>0.281</v>
      </c>
      <c r="BH247" t="n">
        <v>0.5620000000000001</v>
      </c>
      <c r="BI247" t="n">
        <v>0.433</v>
      </c>
      <c r="BJ247" t="inlineStr">
        <is>
          <t>ROCKET_ARTILLERY</t>
        </is>
      </c>
      <c r="BK247" t="inlineStr">
        <is>
          <t>TOO_FAST_FOR_CLASS;TOO_FAST_AT_GEAR_CAP</t>
        </is>
      </c>
      <c r="BL247" t="inlineStr">
        <is>
          <t>inherited from p26_jotunn_jo_rockets</t>
        </is>
      </c>
      <c r="BM247" t="n">
        <v>253.6</v>
      </c>
      <c r="BN247" t="inlineStr">
        <is>
          <t>Assets/MachineBrigade/Resources/Data/balance.json: weapons[id=p26_jotunn_sec_jo_rockets] (lớp B trên 01_chien_dau/Vu_khi)</t>
        </is>
      </c>
      <c r="BO247" t="inlineStr"/>
    </row>
    <row r="248">
      <c r="A248" t="inlineStr">
        <is>
          <t>p26_jotunn_tiny_twin_30_flak</t>
        </is>
      </c>
      <c r="B248" t="n">
        <v>1</v>
      </c>
      <c r="C248">
        <f>IF(Vu_khi!$O$248="SIMULTANEOUS",MAX(1,Vu_khi!$N$248),1)</f>
        <v/>
      </c>
      <c r="D248" t="n">
        <v>1</v>
      </c>
      <c r="E248">
        <f>IF(Vu_khi!$S$248&gt;0,Vu_khi!$S$248,Vu_khi!$P$248*$C$248)</f>
        <v/>
      </c>
      <c r="F248" t="n">
        <v>160</v>
      </c>
      <c r="G248">
        <f>IF(Vu_khi!$S$248&gt;0,(Vu_khi!$S$248-1)*Vu_khi!$R$248+Vu_khi!$T$248,Vu_khi!$R$248+(Vu_khi!$P$248-1)*Vu_khi!$Q$248)</f>
        <v/>
      </c>
      <c r="H248" t="n">
        <v>6.975</v>
      </c>
      <c r="I248">
        <f>Vu_khi!$W$248*MAX(1,$E$248)</f>
        <v/>
      </c>
      <c r="J248" t="n">
        <v>3520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504.6594982078853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1</v>
      </c>
      <c r="U248">
        <f>INDEX(Bang_sat_thuong!$B$2:$B$7,MATCH(Vu_khi!$K$248,Bang_sat_thuong!$A$2:$A$7,0))</f>
        <v/>
      </c>
      <c r="V248" t="n">
        <v>0.45</v>
      </c>
      <c r="W248">
        <f>INDEX(Bang_sat_thuong!$C$2:$C$7,MATCH(Vu_khi!$K$248,Bang_sat_thuong!$A$2:$A$7,0))</f>
        <v/>
      </c>
      <c r="X248" t="n">
        <v>1.35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0.1</v>
      </c>
      <c r="AA248">
        <f>AND(Vu_khi!$K$248="Kinetic",NOT(Vu_khi!$AG$248))</f>
        <v/>
      </c>
      <c r="AB248" t="b">
        <v>0</v>
      </c>
      <c r="AC248">
        <f>IF(Vu_khi!$AG$248,INDEX(Bang_danh_noc!$C$2:$C$8,MIN(7,MAX(1,2-(Vu_khi!$L$248-0)+1))),INDEX(Bang_xuyen_giap!$C$2:$C$8,MIN(7,MAX(1,IF($O$248,MAX(1,2-(Vu_khi!$L$248-0)),2-(Vu_khi!$L$248-0))+1))))*IF($AA$248,INDEX(Bang_xuyen_qua!$C$2:$C$5,MIN(4,MAX(1,(Vu_khi!$L$248)-(0)-1))),1)</f>
        <v/>
      </c>
      <c r="AD248" t="n">
        <v>1.2</v>
      </c>
      <c r="AE248">
        <f>IF(Vu_khi!$AG$248,INDEX(Bang_danh_noc!$C$2:$C$8,MIN(7,MAX(1,2-(Vu_khi!$L$248-2)+1))),INDEX(Bang_xuyen_giap!$C$2:$C$8,MIN(7,MAX(1,IF($O$248,MAX(1,2-(Vu_khi!$L$248-2)),2-(Vu_khi!$L$248-2))+1))))*IF($AA$248,INDEX(Bang_xuyen_qua!$C$2:$C$5,MIN(4,MAX(1,(Vu_khi!$L$248)-(2)-1))),1)</f>
        <v/>
      </c>
      <c r="AF248" t="n">
        <v>0.85</v>
      </c>
      <c r="AG248">
        <f>IF(Vu_khi!$AG$248,INDEX(Bang_danh_noc!$C$2:$C$8,MIN(7,MAX(1,2-(Vu_khi!$L$248-4)+1))),INDEX(Bang_xuyen_giap!$C$2:$C$8,MIN(7,MAX(1,IF($O$248,MAX(1,2-(Vu_khi!$L$248-4)),2-(Vu_khi!$L$248-4))+1))))*IF($AA$248,INDEX(Bang_xuyen_qua!$C$2:$C$5,MIN(4,MAX(1,(Vu_khi!$L$248)-(4)-1))),1)</f>
        <v/>
      </c>
      <c r="AH248" t="n">
        <v>0.4</v>
      </c>
      <c r="AI248">
        <f>INDEX(Bang_xuyen_giap!$C$2:$C$8,MIN(7,MAX(1,MAX(1,2-(Vu_khi!$L$248-0))+1)))*IF($AA$248,INDEX(Bang_xuyen_qua!$C$2:$C$5,MIN(4,MAX(1,(Vu_khi!$L$248)-(0)-1))),1)</f>
        <v/>
      </c>
      <c r="AJ248" t="n">
        <v>1</v>
      </c>
      <c r="AK248">
        <f>IF($Q$248,$M$248*$AC$248*$U$248,0)</f>
        <v/>
      </c>
      <c r="AL248" t="n">
        <v>272.5161290322581</v>
      </c>
      <c r="AM248">
        <f>IF($Q$248,$M$248*$AE$248*$U$248,0)</f>
        <v/>
      </c>
      <c r="AN248" t="n">
        <v>193.0322580645162</v>
      </c>
      <c r="AO248">
        <f>IF($Q$248,$M$248*$AG$248*$U$248,0)</f>
        <v/>
      </c>
      <c r="AP248" t="n">
        <v>90.83870967741937</v>
      </c>
      <c r="AQ248">
        <f>IF($Q$248,$M$248*$AE$248*$Y$248,0)</f>
        <v/>
      </c>
      <c r="AR248" t="n">
        <v>42.89605734767026</v>
      </c>
      <c r="AS248">
        <f>IF($S$248,$M$248*$AI$248*$W$248,0)</f>
        <v/>
      </c>
      <c r="AT248" t="n">
        <v>681.2903225806452</v>
      </c>
      <c r="AU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V248" t="b">
        <v>0</v>
      </c>
      <c r="AW248">
        <f>IF(AND($B$248&lt;0,$AU$248),4,$B$248)</f>
        <v/>
      </c>
      <c r="AX248" t="n">
        <v>1</v>
      </c>
      <c r="AY248">
        <f>IF($AW$248&lt;4,0,MIN(MAX(0.5,Canh_bao_vong!$D$4),MAX(IF(Vu_khi!$C$248="cal_406",Canh_bao_vong!$D$7,IF($AW$248&gt;=5,Canh_bao_vong!$D$9,Canh_bao_vong!$D$8)),Canh_bao_vong!$D$2+MAX(0,Vu_khi!$X$248)/MAX(0.1,Canh_bao_vong!$D$5))))</f>
        <v/>
      </c>
      <c r="AZ248" t="n">
        <v>0</v>
      </c>
      <c r="BA248" t="n">
        <v>3.632812</v>
      </c>
      <c r="BB248" t="inlineStr">
        <is>
          <t>ok</t>
        </is>
      </c>
      <c r="BC248" t="b">
        <v>1</v>
      </c>
      <c r="BD248" t="n">
        <v>280</v>
      </c>
      <c r="BE248" t="n">
        <v>364</v>
      </c>
      <c r="BF248" t="n">
        <v>0.037</v>
      </c>
      <c r="BG248" t="n">
        <v>0.075</v>
      </c>
      <c r="BH248" t="n">
        <v>0.15</v>
      </c>
      <c r="BI248" t="n">
        <v>0.115</v>
      </c>
      <c r="BJ248" t="inlineStr">
        <is>
          <t>DIRECT_BULLET</t>
        </is>
      </c>
      <c r="BK248" t="inlineStr">
        <is>
          <t>ok</t>
        </is>
      </c>
      <c r="BL248" t="inlineStr">
        <is>
          <t>inherited from twin_30_flak</t>
        </is>
      </c>
      <c r="BM248" t="inlineStr"/>
      <c r="BN248" t="inlineStr">
        <is>
          <t>Assets/MachineBrigade/Resources/Data/balance.json: weapons[id=p26_jotunn_tiny_twin_30_flak] (lớp B trên 01_chien_dau/Vu_khi)</t>
        </is>
      </c>
      <c r="BO248" t="inlineStr"/>
    </row>
    <row r="249">
      <c r="A249" t="inlineStr">
        <is>
          <t>p26_leviathan_direct_lev127</t>
        </is>
      </c>
      <c r="B249" t="n">
        <v>3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1</v>
      </c>
      <c r="G249">
        <f>IF(Vu_khi!$S$249&gt;0,(Vu_khi!$S$249-1)*Vu_khi!$R$249+Vu_khi!$T$249,Vu_khi!$R$249+(Vu_khi!$P$249-1)*Vu_khi!$Q$249)</f>
        <v/>
      </c>
      <c r="H249" t="n">
        <v>3</v>
      </c>
      <c r="I249">
        <f>Vu_khi!$W$249*MAX(1,$E$249)</f>
        <v/>
      </c>
      <c r="J249" t="n">
        <v>380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126.6666666666667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1.2</v>
      </c>
      <c r="W249">
        <f>INDEX(Bang_sat_thuong!$C$2:$C$7,MATCH(Vu_khi!$K$249,Bang_sat_thuong!$A$2:$A$7,0))</f>
        <v/>
      </c>
      <c r="X249" t="n">
        <v>0.3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0.7</v>
      </c>
      <c r="AA249">
        <f>AND(Vu_khi!$K$249="Kinetic",NOT(Vu_khi!$AG$249))</f>
        <v/>
      </c>
      <c r="AB249" t="b">
        <v>1</v>
      </c>
      <c r="AC249">
        <f>IF(Vu_khi!$AG$249,INDEX(Bang_danh_noc!$C$2:$C$8,MIN(7,MAX(1,2-(Vu_khi!$L$249-0)+1))),INDEX(Bang_xuyen_giap!$C$2:$C$8,MIN(7,MAX(1,IF($O$249,MAX(1,2-(Vu_khi!$L$249-0)),2-(Vu_khi!$L$249-0))+1))))*IF($AA$249,INDEX(Bang_xuyen_qua!$C$2:$C$5,MIN(4,MAX(1,(Vu_khi!$L$249)-(0)-1))),1)</f>
        <v/>
      </c>
      <c r="AD249" t="n">
        <v>0.8999999999999999</v>
      </c>
      <c r="AE249">
        <f>IF(Vu_khi!$AG$249,INDEX(Bang_danh_noc!$C$2:$C$8,MIN(7,MAX(1,2-(Vu_khi!$L$249-2)+1))),INDEX(Bang_xuyen_giap!$C$2:$C$8,MIN(7,MAX(1,IF($O$249,MAX(1,2-(Vu_khi!$L$249-2)),2-(Vu_khi!$L$249-2))+1))))*IF($AA$249,INDEX(Bang_xuyen_qua!$C$2:$C$5,MIN(4,MAX(1,(Vu_khi!$L$249)-(2)-1))),1)</f>
        <v/>
      </c>
      <c r="AF249" t="n">
        <v>1.14</v>
      </c>
      <c r="AG249">
        <f>IF(Vu_khi!$AG$249,INDEX(Bang_danh_noc!$C$2:$C$8,MIN(7,MAX(1,2-(Vu_khi!$L$249-4)+1))),INDEX(Bang_xuyen_giap!$C$2:$C$8,MIN(7,MAX(1,IF($O$249,MAX(1,2-(Vu_khi!$L$249-4)),2-(Vu_khi!$L$249-4))+1))))*IF($AA$249,INDEX(Bang_xuyen_qua!$C$2:$C$5,MIN(4,MAX(1,(Vu_khi!$L$249)-(4)-1))),1)</f>
        <v/>
      </c>
      <c r="AH249" t="n">
        <v>1</v>
      </c>
      <c r="AI249">
        <f>INDEX(Bang_xuyen_giap!$C$2:$C$8,MIN(7,MAX(1,MAX(1,2-(Vu_khi!$L$249-0))+1)))*IF($AA$249,INDEX(Bang_xuyen_qua!$C$2:$C$5,MIN(4,MAX(1,(Vu_khi!$L$249)-(0)-1))),1)</f>
        <v/>
      </c>
      <c r="AJ249" t="n">
        <v>0.75</v>
      </c>
      <c r="AK249">
        <f>IF($Q$249,$M$249*$AC$249*$U$249,0)</f>
        <v/>
      </c>
      <c r="AL249" t="n">
        <v>136.8</v>
      </c>
      <c r="AM249">
        <f>IF($Q$249,$M$249*$AE$249*$U$249,0)</f>
        <v/>
      </c>
      <c r="AN249" t="n">
        <v>173.28</v>
      </c>
      <c r="AO249">
        <f>IF($Q$249,$M$249*$AG$249*$U$249,0)</f>
        <v/>
      </c>
      <c r="AP249" t="n">
        <v>152</v>
      </c>
      <c r="AQ249">
        <f>IF($Q$249,$M$249*$AE$249*$Y$249,0)</f>
        <v/>
      </c>
      <c r="AR249" t="n">
        <v>101.08</v>
      </c>
      <c r="AS249">
        <f>IF($S$249,$M$249*$AI$249*$W$249,0)</f>
        <v/>
      </c>
      <c r="AT249" t="n">
        <v>0</v>
      </c>
      <c r="AU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V249" t="b">
        <v>0</v>
      </c>
      <c r="AW249">
        <f>IF(AND($B$249&lt;0,$AU$249),4,$B$249)</f>
        <v/>
      </c>
      <c r="AX249" t="n">
        <v>3</v>
      </c>
      <c r="AY249">
        <f>IF($AW$249&lt;4,0,MIN(MAX(0.5,Canh_bao_vong!$D$4),MAX(IF(Vu_khi!$C$249="cal_406",Canh_bao_vong!$D$7,IF($AW$249&gt;=5,Canh_bao_vong!$D$9,Canh_bao_vong!$D$8)),Canh_bao_vong!$D$2+MAX(0,Vu_khi!$X$249)/MAX(0.1,Canh_bao_vong!$D$5))))</f>
        <v/>
      </c>
      <c r="AZ249" t="n">
        <v>0</v>
      </c>
      <c r="BA249" t="n">
        <v>1.05</v>
      </c>
      <c r="BB249" t="inlineStr">
        <is>
          <t>ok</t>
        </is>
      </c>
      <c r="BC249" t="b">
        <v>1</v>
      </c>
      <c r="BD249" t="n">
        <v>105</v>
      </c>
      <c r="BE249" t="n">
        <v>136.5</v>
      </c>
      <c r="BF249" t="n">
        <v>0.214</v>
      </c>
      <c r="BG249" t="n">
        <v>0.429</v>
      </c>
      <c r="BH249" t="n">
        <v>0.857</v>
      </c>
      <c r="BI249" t="n">
        <v>0.659</v>
      </c>
      <c r="BJ249" t="inlineStr">
        <is>
          <t>NAVAL_DIRECT</t>
        </is>
      </c>
      <c r="BK249" t="inlineStr">
        <is>
          <t>ok</t>
        </is>
      </c>
      <c r="BL249" t="inlineStr">
        <is>
          <t>own line (over p26_leviathan_lev127)</t>
        </is>
      </c>
      <c r="BM249" t="inlineStr"/>
      <c r="BN249" t="inlineStr">
        <is>
          <t>Assets/MachineBrigade/Resources/Data/balance.json: weapons[id=p26_leviathan_direct_lev127] (lớp B trên 01_chien_dau/Vu_khi)</t>
        </is>
      </c>
      <c r="BO249" t="inlineStr"/>
    </row>
    <row r="250">
      <c r="A250" t="inlineStr">
        <is>
          <t>p26_leviathan_lev127</t>
        </is>
      </c>
      <c r="B250" t="n">
        <v>3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2</v>
      </c>
      <c r="I250">
        <f>Vu_khi!$W$250*MAX(1,$E$250)</f>
        <v/>
      </c>
      <c r="J250" t="n">
        <v>320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160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1.2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0.7</v>
      </c>
      <c r="AA250">
        <f>AND(Vu_khi!$K$250="Kinetic",NOT(Vu_khi!$AG$250))</f>
        <v/>
      </c>
      <c r="AB250" t="b">
        <v>1</v>
      </c>
      <c r="AC250">
        <f>IF(Vu_khi!$AG$250,INDEX(Bang_danh_noc!$C$2:$C$8,MIN(7,MAX(1,2-(Vu_khi!$L$250-0)+1))),INDEX(Bang_xuyen_giap!$C$2:$C$8,MIN(7,MAX(1,IF($O$250,MAX(1,2-(Vu_khi!$L$250-0)),2-(Vu_khi!$L$250-0))+1))))*IF($AA$250,INDEX(Bang_xuyen_qua!$C$2:$C$5,MIN(4,MAX(1,(Vu_khi!$L$250)-(0)-1))),1)</f>
        <v/>
      </c>
      <c r="AD250" t="n">
        <v>0.8999999999999999</v>
      </c>
      <c r="AE250">
        <f>IF(Vu_khi!$AG$250,INDEX(Bang_danh_noc!$C$2:$C$8,MIN(7,MAX(1,2-(Vu_khi!$L$250-2)+1))),INDEX(Bang_xuyen_giap!$C$2:$C$8,MIN(7,MAX(1,IF($O$250,MAX(1,2-(Vu_khi!$L$250-2)),2-(Vu_khi!$L$250-2))+1))))*IF($AA$250,INDEX(Bang_xuyen_qua!$C$2:$C$5,MIN(4,MAX(1,(Vu_khi!$L$250)-(2)-1))),1)</f>
        <v/>
      </c>
      <c r="AF250" t="n">
        <v>1.14</v>
      </c>
      <c r="AG250">
        <f>IF(Vu_khi!$AG$250,INDEX(Bang_danh_noc!$C$2:$C$8,MIN(7,MAX(1,2-(Vu_khi!$L$250-4)+1))),INDEX(Bang_xuyen_giap!$C$2:$C$8,MIN(7,MAX(1,IF($O$250,MAX(1,2-(Vu_khi!$L$250-4)),2-(Vu_khi!$L$250-4))+1))))*IF($AA$250,INDEX(Bang_xuyen_qua!$C$2:$C$5,MIN(4,MAX(1,(Vu_khi!$L$250)-(4)-1))),1)</f>
        <v/>
      </c>
      <c r="AH250" t="n">
        <v>1</v>
      </c>
      <c r="AI250">
        <f>INDEX(Bang_xuyen_giap!$C$2:$C$8,MIN(7,MAX(1,MAX(1,2-(Vu_khi!$L$250-0))+1)))*IF($AA$250,INDEX(Bang_xuyen_qua!$C$2:$C$5,MIN(4,MAX(1,(Vu_khi!$L$250)-(0)-1))),1)</f>
        <v/>
      </c>
      <c r="AJ250" t="n">
        <v>0.75</v>
      </c>
      <c r="AK250">
        <f>IF($Q$250,$M$250*$AC$250*$U$250,0)</f>
        <v/>
      </c>
      <c r="AL250" t="n">
        <v>172.8</v>
      </c>
      <c r="AM250">
        <f>IF($Q$250,$M$250*$AE$250*$U$250,0)</f>
        <v/>
      </c>
      <c r="AN250" t="n">
        <v>218.88</v>
      </c>
      <c r="AO250">
        <f>IF($Q$250,$M$250*$AG$250*$U$250,0)</f>
        <v/>
      </c>
      <c r="AP250" t="n">
        <v>192</v>
      </c>
      <c r="AQ250">
        <f>IF($Q$250,$M$250*$AE$250*$Y$250,0)</f>
        <v/>
      </c>
      <c r="AR250" t="n">
        <v>127.68</v>
      </c>
      <c r="AS250">
        <f>IF($S$250,$M$250*$AI$250*$W$250,0)</f>
        <v/>
      </c>
      <c r="AT250" t="n">
        <v>0</v>
      </c>
      <c r="AU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V250" t="b">
        <v>0</v>
      </c>
      <c r="AW250">
        <f>IF(AND($B$250&lt;0,$AU$250),4,$B$250)</f>
        <v/>
      </c>
      <c r="AX250" t="n">
        <v>3</v>
      </c>
      <c r="AY250">
        <f>IF($AW$250&lt;4,0,MIN(MAX(0.5,Canh_bao_vong!$D$4),MAX(IF(Vu_khi!$C$250="cal_406",Canh_bao_vong!$D$7,IF($AW$250&gt;=5,Canh_bao_vong!$D$9,Canh_bao_vong!$D$8)),Canh_bao_vong!$D$2+MAX(0,Vu_khi!$X$250)/MAX(0.1,Canh_bao_vong!$D$5))))</f>
        <v/>
      </c>
      <c r="AZ250" t="n">
        <v>0</v>
      </c>
      <c r="BA250" t="n">
        <v>0.7</v>
      </c>
      <c r="BB250" t="inlineStr">
        <is>
          <t>LECH_DOT_1</t>
        </is>
      </c>
      <c r="BC250" t="inlineStr"/>
      <c r="BD250" t="n">
        <v>90</v>
      </c>
      <c r="BE250" t="n">
        <v>117</v>
      </c>
      <c r="BF250" t="n">
        <v>0.25</v>
      </c>
      <c r="BG250" t="n">
        <v>0.5</v>
      </c>
      <c r="BH250" t="n">
        <v>1</v>
      </c>
      <c r="BI250" t="n">
        <v>0.769</v>
      </c>
      <c r="BJ250" t="inlineStr">
        <is>
          <t>NAVAL_DIRECT</t>
        </is>
      </c>
      <c r="BK250" t="inlineStr">
        <is>
          <t>ok</t>
        </is>
      </c>
      <c r="BL250" t="inlineStr">
        <is>
          <t>own line (over naval_100)</t>
        </is>
      </c>
      <c r="BM250" t="inlineStr"/>
      <c r="BN250" t="inlineStr">
        <is>
          <t>Assets/MachineBrigade/Resources/Data/balance.json: weapons[id=p26_leviathan_lev127] (lớp B trên 01_chien_dau/Vu_khi)</t>
        </is>
      </c>
      <c r="BO250" t="inlineStr"/>
    </row>
    <row r="251">
      <c r="A251" t="inlineStr">
        <is>
          <t>p26_leviathan_lev155</t>
        </is>
      </c>
      <c r="B251" t="n">
        <v>3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3</v>
      </c>
      <c r="G251">
        <f>IF(Vu_khi!$S$251&gt;0,(Vu_khi!$S$251-1)*Vu_khi!$R$251+Vu_khi!$T$251,Vu_khi!$R$251+(Vu_khi!$P$251-1)*Vu_khi!$Q$251)</f>
        <v/>
      </c>
      <c r="H251" t="n">
        <v>5</v>
      </c>
      <c r="I251">
        <f>Vu_khi!$W$251*MAX(1,$E$251)</f>
        <v/>
      </c>
      <c r="J251" t="n">
        <v>510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102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1.6</v>
      </c>
      <c r="AA251">
        <f>AND(Vu_khi!$K$251="Kinetic",NOT(Vu_khi!$AG$251))</f>
        <v/>
      </c>
      <c r="AB251" t="b">
        <v>0</v>
      </c>
      <c r="AC251">
        <f>IF(Vu_khi!$AG$251,INDEX(Bang_danh_noc!$C$2:$C$8,MIN(7,MAX(1,2-(Vu_khi!$L$251-0)+1))),INDEX(Bang_xuyen_giap!$C$2:$C$8,MIN(7,MAX(1,IF($O$251,MAX(1,2-(Vu_khi!$L$251-0)),2-(Vu_khi!$L$251-0))+1))))*IF($AA$251,INDEX(Bang_xuyen_qua!$C$2:$C$5,MIN(4,MAX(1,(Vu_khi!$L$251)-(0)-1))),1)</f>
        <v/>
      </c>
      <c r="AD251" t="n">
        <v>1.2</v>
      </c>
      <c r="AE251">
        <f>IF(Vu_khi!$AG$251,INDEX(Bang_danh_noc!$C$2:$C$8,MIN(7,MAX(1,2-(Vu_khi!$L$251-2)+1))),INDEX(Bang_xuyen_giap!$C$2:$C$8,MIN(7,MAX(1,IF($O$251,MAX(1,2-(Vu_khi!$L$251-2)),2-(Vu_khi!$L$251-2))+1))))*IF($AA$251,INDEX(Bang_xuyen_qua!$C$2:$C$5,MIN(4,MAX(1,(Vu_khi!$L$251)-(2)-1))),1)</f>
        <v/>
      </c>
      <c r="AF251" t="n">
        <v>1</v>
      </c>
      <c r="AG251">
        <f>IF(Vu_khi!$AG$251,INDEX(Bang_danh_noc!$C$2:$C$8,MIN(7,MAX(1,2-(Vu_khi!$L$251-4)+1))),INDEX(Bang_xuyen_giap!$C$2:$C$8,MIN(7,MAX(1,IF($O$251,MAX(1,2-(Vu_khi!$L$251-4)),2-(Vu_khi!$L$251-4))+1))))*IF($AA$251,INDEX(Bang_xuyen_qua!$C$2:$C$5,MIN(4,MAX(1,(Vu_khi!$L$251)-(4)-1))),1)</f>
        <v/>
      </c>
      <c r="AH251" t="n">
        <v>0.65</v>
      </c>
      <c r="AI251">
        <f>INDEX(Bang_xuyen_giap!$C$2:$C$8,MIN(7,MAX(1,MAX(1,2-(Vu_khi!$L$251-0))+1)))*IF($AA$251,INDEX(Bang_xuyen_qua!$C$2:$C$5,MIN(4,MAX(1,(Vu_khi!$L$251)-(0)-1))),1)</f>
        <v/>
      </c>
      <c r="AJ251" t="n">
        <v>1</v>
      </c>
      <c r="AK251">
        <f>IF($Q$251,$M$251*$AC$251*$U$251,0)</f>
        <v/>
      </c>
      <c r="AL251" t="n">
        <v>122.4</v>
      </c>
      <c r="AM251">
        <f>IF($Q$251,$M$251*$AE$251*$U$251,0)</f>
        <v/>
      </c>
      <c r="AN251" t="n">
        <v>102</v>
      </c>
      <c r="AO251">
        <f>IF($Q$251,$M$251*$AG$251*$U$251,0)</f>
        <v/>
      </c>
      <c r="AP251" t="n">
        <v>66.3</v>
      </c>
      <c r="AQ251">
        <f>IF($Q$251,$M$251*$AE$251*$Y$251,0)</f>
        <v/>
      </c>
      <c r="AR251" t="n">
        <v>163.2</v>
      </c>
      <c r="AS251">
        <f>IF($S$251,$M$251*$AI$251*$W$251,0)</f>
        <v/>
      </c>
      <c r="AT251" t="n">
        <v>0</v>
      </c>
      <c r="AU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V251" t="b">
        <v>0</v>
      </c>
      <c r="AW251">
        <f>IF(AND($B$251&lt;0,$AU$251),4,$B$251)</f>
        <v/>
      </c>
      <c r="AX251" t="n">
        <v>3</v>
      </c>
      <c r="AY251">
        <f>IF($AW$251&lt;4,0,MIN(MAX(0.5,Canh_bao_vong!$D$4),MAX(IF(Vu_khi!$C$251="cal_406",Canh_bao_vong!$D$7,IF($AW$251&gt;=5,Canh_bao_vong!$D$9,Canh_bao_vong!$D$8)),Canh_bao_vong!$D$2+MAX(0,Vu_khi!$X$251)/MAX(0.1,Canh_bao_vong!$D$5))))</f>
        <v/>
      </c>
      <c r="AZ251" t="n">
        <v>0</v>
      </c>
      <c r="BA251" t="n">
        <v>0.291667</v>
      </c>
      <c r="BB251" t="inlineStr">
        <is>
          <t>NHANH_QUA;LECH_DOT_1</t>
        </is>
      </c>
      <c r="BC251" t="inlineStr"/>
      <c r="BD251" t="n">
        <v>88</v>
      </c>
      <c r="BE251" t="n">
        <v>114.4</v>
      </c>
      <c r="BF251" t="n">
        <v>0.312</v>
      </c>
      <c r="BG251" t="n">
        <v>0.625</v>
      </c>
      <c r="BH251" t="n">
        <v>1.25</v>
      </c>
      <c r="BI251" t="n">
        <v>0.962</v>
      </c>
      <c r="BJ251" t="inlineStr">
        <is>
          <t>NAVAL_DIRECT</t>
        </is>
      </c>
      <c r="BK251" t="inlineStr">
        <is>
          <t>ok</t>
        </is>
      </c>
      <c r="BL251" t="inlineStr">
        <is>
          <t>inherited from naval_155_triple</t>
        </is>
      </c>
      <c r="BM251" t="inlineStr"/>
      <c r="BN251" t="inlineStr">
        <is>
          <t>Assets/MachineBrigade/Resources/Data/balance.json: weapons[id=p26_leviathan_lev155] (lớp B trên 01_chien_dau/Vu_khi)</t>
        </is>
      </c>
      <c r="BO251" t="inlineStr"/>
    </row>
    <row r="252">
      <c r="A252" t="inlineStr">
        <is>
          <t>p26_leviathan_lev406</t>
        </is>
      </c>
      <c r="B252" t="n">
        <v>5</v>
      </c>
      <c r="C252">
        <f>IF(Vu_khi!$O$252="SIMULTANEOUS",MAX(1,Vu_khi!$N$252),1)</f>
        <v/>
      </c>
      <c r="D252" t="n">
        <v>3</v>
      </c>
      <c r="E252">
        <f>IF(Vu_khi!$S$252&gt;0,Vu_khi!$S$252,Vu_khi!$P$252*$C$252)</f>
        <v/>
      </c>
      <c r="F252" t="n">
        <v>3</v>
      </c>
      <c r="G252">
        <f>IF(Vu_khi!$S$252&gt;0,(Vu_khi!$S$252-1)*Vu_khi!$R$252+Vu_khi!$T$252,Vu_khi!$R$252+(Vu_khi!$P$252-1)*Vu_khi!$Q$252)</f>
        <v/>
      </c>
      <c r="H252" t="n">
        <v>60</v>
      </c>
      <c r="I252">
        <f>Vu_khi!$W$252*MAX(1,$E$252)</f>
        <v/>
      </c>
      <c r="J252" t="n">
        <v>7200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120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1.6</v>
      </c>
      <c r="AA252">
        <f>AND(Vu_khi!$K$252="Kinetic",NOT(Vu_khi!$AG$252))</f>
        <v/>
      </c>
      <c r="AB252" t="b">
        <v>0</v>
      </c>
      <c r="AC252">
        <f>IF(Vu_khi!$AG$252,INDEX(Bang_danh_noc!$C$2:$C$8,MIN(7,MAX(1,2-(Vu_khi!$L$252-0)+1))),INDEX(Bang_xuyen_giap!$C$2:$C$8,MIN(7,MAX(1,IF($O$252,MAX(1,2-(Vu_khi!$L$252-0)),2-(Vu_khi!$L$252-0))+1))))*IF($AA$252,INDEX(Bang_xuyen_qua!$C$2:$C$5,MIN(4,MAX(1,(Vu_khi!$L$252)-(0)-1))),1)</f>
        <v/>
      </c>
      <c r="AD252" t="n">
        <v>1.2</v>
      </c>
      <c r="AE252">
        <f>IF(Vu_khi!$AG$252,INDEX(Bang_danh_noc!$C$2:$C$8,MIN(7,MAX(1,2-(Vu_khi!$L$252-2)+1))),INDEX(Bang_xuyen_giap!$C$2:$C$8,MIN(7,MAX(1,IF($O$252,MAX(1,2-(Vu_khi!$L$252-2)),2-(Vu_khi!$L$252-2))+1))))*IF($AA$252,INDEX(Bang_xuyen_qua!$C$2:$C$5,MIN(4,MAX(1,(Vu_khi!$L$252)-(2)-1))),1)</f>
        <v/>
      </c>
      <c r="AF252" t="n">
        <v>1.2</v>
      </c>
      <c r="AG252">
        <f>IF(Vu_khi!$AG$252,INDEX(Bang_danh_noc!$C$2:$C$8,MIN(7,MAX(1,2-(Vu_khi!$L$252-4)+1))),INDEX(Bang_xuyen_giap!$C$2:$C$8,MIN(7,MAX(1,IF($O$252,MAX(1,2-(Vu_khi!$L$252-4)),2-(Vu_khi!$L$252-4))+1))))*IF($AA$252,INDEX(Bang_xuyen_qua!$C$2:$C$5,MIN(4,MAX(1,(Vu_khi!$L$252)-(4)-1))),1)</f>
        <v/>
      </c>
      <c r="AH252" t="n">
        <v>0.85</v>
      </c>
      <c r="AI252">
        <f>INDEX(Bang_xuyen_giap!$C$2:$C$8,MIN(7,MAX(1,MAX(1,2-(Vu_khi!$L$252-0))+1)))*IF($AA$252,INDEX(Bang_xuyen_qua!$C$2:$C$5,MIN(4,MAX(1,(Vu_khi!$L$252)-(0)-1))),1)</f>
        <v/>
      </c>
      <c r="AJ252" t="n">
        <v>1</v>
      </c>
      <c r="AK252">
        <f>IF($Q$252,$M$252*$AC$252*$U$252,0)</f>
        <v/>
      </c>
      <c r="AL252" t="n">
        <v>144</v>
      </c>
      <c r="AM252">
        <f>IF($Q$252,$M$252*$AE$252*$U$252,0)</f>
        <v/>
      </c>
      <c r="AN252" t="n">
        <v>144</v>
      </c>
      <c r="AO252">
        <f>IF($Q$252,$M$252*$AG$252*$U$252,0)</f>
        <v/>
      </c>
      <c r="AP252" t="n">
        <v>102</v>
      </c>
      <c r="AQ252">
        <f>IF($Q$252,$M$252*$AE$252*$Y$252,0)</f>
        <v/>
      </c>
      <c r="AR252" t="n">
        <v>230.4</v>
      </c>
      <c r="AS252">
        <f>IF($S$252,$M$252*$AI$252*$W$252,0)</f>
        <v/>
      </c>
      <c r="AT252" t="n">
        <v>0</v>
      </c>
      <c r="AU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V252" t="b">
        <v>0</v>
      </c>
      <c r="AW252">
        <f>IF(AND($B$252&lt;0,$AU$252),4,$B$252)</f>
        <v/>
      </c>
      <c r="AX252" t="n">
        <v>5</v>
      </c>
      <c r="AY252">
        <f>IF($AW$252&lt;4,0,MIN(MAX(0.5,Canh_bao_vong!$D$4),MAX(IF(Vu_khi!$C$252="cal_406",Canh_bao_vong!$D$7,IF($AW$252&gt;=5,Canh_bao_vong!$D$9,Canh_bao_vong!$D$8)),Canh_bao_vong!$D$2+MAX(0,Vu_khi!$X$252)/MAX(0.1,Canh_bao_vong!$D$5))))</f>
        <v/>
      </c>
      <c r="AZ252" t="n">
        <v>3.611111111111111</v>
      </c>
      <c r="BA252" t="n">
        <v>1.4</v>
      </c>
      <c r="BB252" t="inlineStr">
        <is>
          <t>ok</t>
        </is>
      </c>
      <c r="BC252" t="b">
        <v>1</v>
      </c>
      <c r="BD252" t="n">
        <v>85</v>
      </c>
      <c r="BE252" t="n">
        <v>110.5</v>
      </c>
      <c r="BF252" t="n">
        <v>0.471</v>
      </c>
      <c r="BG252" t="n">
        <v>0.9409999999999999</v>
      </c>
      <c r="BH252" t="n">
        <v>1.882</v>
      </c>
      <c r="BI252" t="n">
        <v>1.448</v>
      </c>
      <c r="BJ252" t="inlineStr">
        <is>
          <t>NAVAL_DIRECT</t>
        </is>
      </c>
      <c r="BK252" t="inlineStr">
        <is>
          <t>ok</t>
        </is>
      </c>
      <c r="BL252" t="inlineStr">
        <is>
          <t>inherited from leviathan_460</t>
        </is>
      </c>
      <c r="BM252" t="inlineStr"/>
      <c r="BN252" t="inlineStr">
        <is>
          <t>Assets/MachineBrigade/Resources/Data/balance.json: weapons[id=p26_leviathan_lev406] (lớp B trên 01_chien_dau/Vu_khi)</t>
        </is>
      </c>
      <c r="BO252" t="inlineStr"/>
    </row>
    <row r="253">
      <c r="A253" t="inlineStr">
        <is>
          <t>p26_leviathan_sec_lev155</t>
        </is>
      </c>
      <c r="B253" t="n">
        <v>3</v>
      </c>
      <c r="C253">
        <f>IF(Vu_khi!$O$253="SIMULTANEOUS",MAX(1,Vu_khi!$N$253),1)</f>
        <v/>
      </c>
      <c r="D253" t="n">
        <v>3</v>
      </c>
      <c r="E253">
        <f>IF(Vu_khi!$S$253&gt;0,Vu_khi!$S$253,Vu_khi!$P$253*$C$253)</f>
        <v/>
      </c>
      <c r="F253" t="n">
        <v>3</v>
      </c>
      <c r="G253">
        <f>IF(Vu_khi!$S$253&gt;0,(Vu_khi!$S$253-1)*Vu_khi!$R$253+Vu_khi!$T$253,Vu_khi!$R$253+(Vu_khi!$P$253-1)*Vu_khi!$Q$253)</f>
        <v/>
      </c>
      <c r="H253" t="n">
        <v>10.5</v>
      </c>
      <c r="I253">
        <f>Vu_khi!$W$253*MAX(1,$E$253)</f>
        <v/>
      </c>
      <c r="J253" t="n">
        <v>1800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171.4285714285714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1.6</v>
      </c>
      <c r="AA253">
        <f>AND(Vu_khi!$K$253="Kinetic",NOT(Vu_khi!$AG$253))</f>
        <v/>
      </c>
      <c r="AB253" t="b">
        <v>0</v>
      </c>
      <c r="AC253">
        <f>IF(Vu_khi!$AG$253,INDEX(Bang_danh_noc!$C$2:$C$8,MIN(7,MAX(1,2-(Vu_khi!$L$253-0)+1))),INDEX(Bang_xuyen_giap!$C$2:$C$8,MIN(7,MAX(1,IF($O$253,MAX(1,2-(Vu_khi!$L$253-0)),2-(Vu_khi!$L$253-0))+1))))*IF($AA$253,INDEX(Bang_xuyen_qua!$C$2:$C$5,MIN(4,MAX(1,(Vu_khi!$L$253)-(0)-1))),1)</f>
        <v/>
      </c>
      <c r="AD253" t="n">
        <v>1.2</v>
      </c>
      <c r="AE253">
        <f>IF(Vu_khi!$AG$253,INDEX(Bang_danh_noc!$C$2:$C$8,MIN(7,MAX(1,2-(Vu_khi!$L$253-2)+1))),INDEX(Bang_xuyen_giap!$C$2:$C$8,MIN(7,MAX(1,IF($O$253,MAX(1,2-(Vu_khi!$L$253-2)),2-(Vu_khi!$L$253-2))+1))))*IF($AA$253,INDEX(Bang_xuyen_qua!$C$2:$C$5,MIN(4,MAX(1,(Vu_khi!$L$253)-(2)-1))),1)</f>
        <v/>
      </c>
      <c r="AF253" t="n">
        <v>1</v>
      </c>
      <c r="AG253">
        <f>IF(Vu_khi!$AG$253,INDEX(Bang_danh_noc!$C$2:$C$8,MIN(7,MAX(1,2-(Vu_khi!$L$253-4)+1))),INDEX(Bang_xuyen_giap!$C$2:$C$8,MIN(7,MAX(1,IF($O$253,MAX(1,2-(Vu_khi!$L$253-4)),2-(Vu_khi!$L$253-4))+1))))*IF($AA$253,INDEX(Bang_xuyen_qua!$C$2:$C$5,MIN(4,MAX(1,(Vu_khi!$L$253)-(4)-1))),1)</f>
        <v/>
      </c>
      <c r="AH253" t="n">
        <v>0.65</v>
      </c>
      <c r="AI253">
        <f>INDEX(Bang_xuyen_giap!$C$2:$C$8,MIN(7,MAX(1,MAX(1,2-(Vu_khi!$L$253-0))+1)))*IF($AA$253,INDEX(Bang_xuyen_qua!$C$2:$C$5,MIN(4,MAX(1,(Vu_khi!$L$253)-(0)-1))),1)</f>
        <v/>
      </c>
      <c r="AJ253" t="n">
        <v>1</v>
      </c>
      <c r="AK253">
        <f>IF($Q$253,$M$253*$AC$253*$U$253,0)</f>
        <v/>
      </c>
      <c r="AL253" t="n">
        <v>205.7142857142857</v>
      </c>
      <c r="AM253">
        <f>IF($Q$253,$M$253*$AE$253*$U$253,0)</f>
        <v/>
      </c>
      <c r="AN253" t="n">
        <v>171.4285714285714</v>
      </c>
      <c r="AO253">
        <f>IF($Q$253,$M$253*$AG$253*$U$253,0)</f>
        <v/>
      </c>
      <c r="AP253" t="n">
        <v>111.4285714285714</v>
      </c>
      <c r="AQ253">
        <f>IF($Q$253,$M$253*$AE$253*$Y$253,0)</f>
        <v/>
      </c>
      <c r="AR253" t="n">
        <v>274.2857142857143</v>
      </c>
      <c r="AS253">
        <f>IF($S$253,$M$253*$AI$253*$W$253,0)</f>
        <v/>
      </c>
      <c r="AT253" t="n">
        <v>0</v>
      </c>
      <c r="AU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V253" t="b">
        <v>0</v>
      </c>
      <c r="AW253">
        <f>IF(AND($B$253&lt;0,$AU$253),4,$B$253)</f>
        <v/>
      </c>
      <c r="AX253" t="n">
        <v>3</v>
      </c>
      <c r="AY253">
        <f>IF($AW$253&lt;4,0,MIN(MAX(0.5,Canh_bao_vong!$D$4),MAX(IF(Vu_khi!$C$253="cal_406",Canh_bao_vong!$D$7,IF($AW$253&gt;=5,Canh_bao_vong!$D$9,Canh_bao_vong!$D$8)),Canh_bao_vong!$D$2+MAX(0,Vu_khi!$X$253)/MAX(0.1,Canh_bao_vong!$D$5))))</f>
        <v/>
      </c>
      <c r="AZ253" t="n">
        <v>0</v>
      </c>
      <c r="BA253" t="n">
        <v>0.6125</v>
      </c>
      <c r="BB253" t="inlineStr">
        <is>
          <t>ok</t>
        </is>
      </c>
      <c r="BC253" t="b">
        <v>1</v>
      </c>
      <c r="BD253" t="n">
        <v>88</v>
      </c>
      <c r="BE253" t="n">
        <v>114.4</v>
      </c>
      <c r="BF253" t="n">
        <v>0.312</v>
      </c>
      <c r="BG253" t="n">
        <v>0.625</v>
      </c>
      <c r="BH253" t="n">
        <v>1.25</v>
      </c>
      <c r="BI253" t="n">
        <v>0.962</v>
      </c>
      <c r="BJ253" t="inlineStr">
        <is>
          <t>NAVAL_DIRECT</t>
        </is>
      </c>
      <c r="BK253" t="inlineStr">
        <is>
          <t>ok</t>
        </is>
      </c>
      <c r="BL253" t="inlineStr">
        <is>
          <t>own line (over p26_leviathan_lev155)</t>
        </is>
      </c>
      <c r="BM253" t="inlineStr"/>
      <c r="BN253" t="inlineStr">
        <is>
          <t>Assets/MachineBrigade/Resources/Data/balance.json: weapons[id=p26_leviathan_sec_lev155] (lớp B trên 01_chien_dau/Vu_khi)</t>
        </is>
      </c>
      <c r="BO253" t="inlineStr"/>
    </row>
    <row r="254">
      <c r="A254" t="inlineStr">
        <is>
          <t>p26_matriarch_close_boss_flak</t>
        </is>
      </c>
      <c r="B254" t="n">
        <v>1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41</v>
      </c>
      <c r="G254">
        <f>IF(Vu_khi!$S$254&gt;0,(Vu_khi!$S$254-1)*Vu_khi!$R$254+Vu_khi!$T$254,Vu_khi!$R$254+(Vu_khi!$P$254-1)*Vu_khi!$Q$254)</f>
        <v/>
      </c>
      <c r="H254" t="n">
        <v>5.38</v>
      </c>
      <c r="I254">
        <f>Vu_khi!$W$254*MAX(1,$E$254)</f>
        <v/>
      </c>
      <c r="J254" t="n">
        <v>1025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190.5204460966543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1</v>
      </c>
      <c r="U254">
        <f>INDEX(Bang_sat_thuong!$B$2:$B$7,MATCH(Vu_khi!$K$254,Bang_sat_thuong!$A$2:$A$7,0))</f>
        <v/>
      </c>
      <c r="V254" t="n">
        <v>0.45</v>
      </c>
      <c r="W254">
        <f>INDEX(Bang_sat_thuong!$C$2:$C$7,MATCH(Vu_khi!$K$254,Bang_sat_thuong!$A$2:$A$7,0))</f>
        <v/>
      </c>
      <c r="X254" t="n">
        <v>1.35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0.1</v>
      </c>
      <c r="AA254">
        <f>AND(Vu_khi!$K$254="Kinetic",NOT(Vu_khi!$AG$254))</f>
        <v/>
      </c>
      <c r="AB254" t="b">
        <v>0</v>
      </c>
      <c r="AC254">
        <f>IF(Vu_khi!$AG$254,INDEX(Bang_danh_noc!$C$2:$C$8,MIN(7,MAX(1,2-(Vu_khi!$L$254-0)+1))),INDEX(Bang_xuyen_giap!$C$2:$C$8,MIN(7,MAX(1,IF($O$254,MAX(1,2-(Vu_khi!$L$254-0)),2-(Vu_khi!$L$254-0))+1))))*IF($AA$254,INDEX(Bang_xuyen_qua!$C$2:$C$5,MIN(4,MAX(1,(Vu_khi!$L$254)-(0)-1))),1)</f>
        <v/>
      </c>
      <c r="AD254" t="n">
        <v>1.2</v>
      </c>
      <c r="AE254">
        <f>IF(Vu_khi!$AG$254,INDEX(Bang_danh_noc!$C$2:$C$8,MIN(7,MAX(1,2-(Vu_khi!$L$254-2)+1))),INDEX(Bang_xuyen_giap!$C$2:$C$8,MIN(7,MAX(1,IF($O$254,MAX(1,2-(Vu_khi!$L$254-2)),2-(Vu_khi!$L$254-2))+1))))*IF($AA$254,INDEX(Bang_xuyen_qua!$C$2:$C$5,MIN(4,MAX(1,(Vu_khi!$L$254)-(2)-1))),1)</f>
        <v/>
      </c>
      <c r="AF254" t="n">
        <v>0.85</v>
      </c>
      <c r="AG254">
        <f>IF(Vu_khi!$AG$254,INDEX(Bang_danh_noc!$C$2:$C$8,MIN(7,MAX(1,2-(Vu_khi!$L$254-4)+1))),INDEX(Bang_xuyen_giap!$C$2:$C$8,MIN(7,MAX(1,IF($O$254,MAX(1,2-(Vu_khi!$L$254-4)),2-(Vu_khi!$L$254-4))+1))))*IF($AA$254,INDEX(Bang_xuyen_qua!$C$2:$C$5,MIN(4,MAX(1,(Vu_khi!$L$254)-(4)-1))),1)</f>
        <v/>
      </c>
      <c r="AH254" t="n">
        <v>0.4</v>
      </c>
      <c r="AI254">
        <f>INDEX(Bang_xuyen_giap!$C$2:$C$8,MIN(7,MAX(1,MAX(1,2-(Vu_khi!$L$254-0))+1)))*IF($AA$254,INDEX(Bang_xuyen_qua!$C$2:$C$5,MIN(4,MAX(1,(Vu_khi!$L$254)-(0)-1))),1)</f>
        <v/>
      </c>
      <c r="AJ254" t="n">
        <v>1</v>
      </c>
      <c r="AK254">
        <f>IF($Q$254,$M$254*$AC$254*$U$254,0)</f>
        <v/>
      </c>
      <c r="AL254" t="n">
        <v>102.8810408921933</v>
      </c>
      <c r="AM254">
        <f>IF($Q$254,$M$254*$AE$254*$U$254,0)</f>
        <v/>
      </c>
      <c r="AN254" t="n">
        <v>72.87407063197026</v>
      </c>
      <c r="AO254">
        <f>IF($Q$254,$M$254*$AG$254*$U$254,0)</f>
        <v/>
      </c>
      <c r="AP254" t="n">
        <v>34.29368029739777</v>
      </c>
      <c r="AQ254">
        <f>IF($Q$254,$M$254*$AE$254*$Y$254,0)</f>
        <v/>
      </c>
      <c r="AR254" t="n">
        <v>16.19423791821561</v>
      </c>
      <c r="AS254">
        <f>IF($S$254,$M$254*$AI$254*$W$254,0)</f>
        <v/>
      </c>
      <c r="AT254" t="n">
        <v>257.2026022304833</v>
      </c>
      <c r="AU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V254" t="b">
        <v>0</v>
      </c>
      <c r="AW254">
        <f>IF(AND($B$254&lt;0,$AU$254),4,$B$254)</f>
        <v/>
      </c>
      <c r="AX254" t="n">
        <v>1</v>
      </c>
      <c r="AY254">
        <f>IF($AW$254&lt;4,0,MIN(MAX(0.5,Canh_bao_vong!$D$4),MAX(IF(Vu_khi!$C$254="cal_406",Canh_bao_vong!$D$7,IF($AW$254&gt;=5,Canh_bao_vong!$D$9,Canh_bao_vong!$D$8)),Canh_bao_vong!$D$2+MAX(0,Vu_khi!$X$254)/MAX(0.1,Canh_bao_vong!$D$5))))</f>
        <v/>
      </c>
      <c r="AZ254" t="n">
        <v>0</v>
      </c>
      <c r="BA254" t="n">
        <v>2.405691</v>
      </c>
      <c r="BB254" t="inlineStr">
        <is>
          <t>ok</t>
        </is>
      </c>
      <c r="BC254" t="b">
        <v>1</v>
      </c>
      <c r="BD254" t="n">
        <v>260</v>
      </c>
      <c r="BE254" t="n">
        <v>338</v>
      </c>
      <c r="BF254" t="n">
        <v>0.038</v>
      </c>
      <c r="BG254" t="n">
        <v>0.077</v>
      </c>
      <c r="BH254" t="n">
        <v>0.154</v>
      </c>
      <c r="BI254" t="n">
        <v>0.118</v>
      </c>
      <c r="BJ254" t="inlineStr">
        <is>
          <t>DIRECT_BULLET</t>
        </is>
      </c>
      <c r="BK254" t="inlineStr">
        <is>
          <t>ok</t>
        </is>
      </c>
      <c r="BL254" t="inlineStr">
        <is>
          <t>inherited from boss_flak</t>
        </is>
      </c>
      <c r="BM254" t="inlineStr"/>
      <c r="BN254" t="inlineStr">
        <is>
          <t>Assets/MachineBrigade/Resources/Data/balance.json: weapons[id=p26_matriarch_close_boss_flak] (lớp B trên 01_chien_dau/Vu_khi)</t>
        </is>
      </c>
      <c r="BO254" t="inlineStr"/>
    </row>
    <row r="255">
      <c r="A255" t="inlineStr">
        <is>
          <t>p26_matriarch_direct_ma_atgm</t>
        </is>
      </c>
      <c r="B255" t="n">
        <v>2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1</v>
      </c>
      <c r="G255">
        <f>IF(Vu_khi!$S$255&gt;0,(Vu_khi!$S$255-1)*Vu_khi!$R$255+Vu_khi!$T$255,Vu_khi!$R$255+(Vu_khi!$P$255-1)*Vu_khi!$Q$255)</f>
        <v/>
      </c>
      <c r="H255" t="n">
        <v>20</v>
      </c>
      <c r="I255">
        <f>Vu_khi!$W$255*MAX(1,$E$255)</f>
        <v/>
      </c>
      <c r="J255" t="n">
        <v>230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11.5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0</v>
      </c>
      <c r="U255">
        <f>INDEX(Bang_sat_thuong!$B$2:$B$7,MATCH(Vu_khi!$K$255,Bang_sat_thuong!$A$2:$A$7,0))</f>
        <v/>
      </c>
      <c r="V255" t="n">
        <v>1.3</v>
      </c>
      <c r="W255">
        <f>INDEX(Bang_sat_thuong!$C$2:$C$7,MATCH(Vu_khi!$K$255,Bang_sat_thuong!$A$2:$A$7,0))</f>
        <v/>
      </c>
      <c r="X255" t="n">
        <v>0.2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0.45</v>
      </c>
      <c r="AA255">
        <f>AND(Vu_khi!$K$255="Kinetic",NOT(Vu_khi!$AG$255))</f>
        <v/>
      </c>
      <c r="AB255" t="b">
        <v>0</v>
      </c>
      <c r="AC255">
        <f>IF(Vu_khi!$AG$255,INDEX(Bang_danh_noc!$C$2:$C$8,MIN(7,MAX(1,2-(Vu_khi!$L$255-0)+1))),INDEX(Bang_xuyen_giap!$C$2:$C$8,MIN(7,MAX(1,IF($O$255,MAX(1,2-(Vu_khi!$L$255-0)),2-(Vu_khi!$L$255-0))+1))))*IF($AA$255,INDEX(Bang_xuyen_qua!$C$2:$C$5,MIN(4,MAX(1,(Vu_khi!$L$255)-(0)-1))),1)</f>
        <v/>
      </c>
      <c r="AD255" t="n">
        <v>1.2</v>
      </c>
      <c r="AE255">
        <f>IF(Vu_khi!$AG$255,INDEX(Bang_danh_noc!$C$2:$C$8,MIN(7,MAX(1,2-(Vu_khi!$L$255-2)+1))),INDEX(Bang_xuyen_giap!$C$2:$C$8,MIN(7,MAX(1,IF($O$255,MAX(1,2-(Vu_khi!$L$255-2)),2-(Vu_khi!$L$255-2))+1))))*IF($AA$255,INDEX(Bang_xuyen_qua!$C$2:$C$5,MIN(4,MAX(1,(Vu_khi!$L$255)-(2)-1))),1)</f>
        <v/>
      </c>
      <c r="AF255" t="n">
        <v>1.2</v>
      </c>
      <c r="AG255">
        <f>IF(Vu_khi!$AG$255,INDEX(Bang_danh_noc!$C$2:$C$8,MIN(7,MAX(1,2-(Vu_khi!$L$255-4)+1))),INDEX(Bang_xuyen_giap!$C$2:$C$8,MIN(7,MAX(1,IF($O$255,MAX(1,2-(Vu_khi!$L$255-4)),2-(Vu_khi!$L$255-4))+1))))*IF($AA$255,INDEX(Bang_xuyen_qua!$C$2:$C$5,MIN(4,MAX(1,(Vu_khi!$L$255)-(4)-1))),1)</f>
        <v/>
      </c>
      <c r="AH255" t="n">
        <v>1</v>
      </c>
      <c r="AI255">
        <f>INDEX(Bang_xuyen_giap!$C$2:$C$8,MIN(7,MAX(1,MAX(1,2-(Vu_khi!$L$255-0))+1)))*IF($AA$255,INDEX(Bang_xuyen_qua!$C$2:$C$5,MIN(4,MAX(1,(Vu_khi!$L$255)-(0)-1))),1)</f>
        <v/>
      </c>
      <c r="AJ255" t="n">
        <v>1</v>
      </c>
      <c r="AK255">
        <f>IF($Q$255,$M$255*$AC$255*$U$255,0)</f>
        <v/>
      </c>
      <c r="AL255" t="n">
        <v>17.94</v>
      </c>
      <c r="AM255">
        <f>IF($Q$255,$M$255*$AE$255*$U$255,0)</f>
        <v/>
      </c>
      <c r="AN255" t="n">
        <v>17.94</v>
      </c>
      <c r="AO255">
        <f>IF($Q$255,$M$255*$AG$255*$U$255,0)</f>
        <v/>
      </c>
      <c r="AP255" t="n">
        <v>14.95</v>
      </c>
      <c r="AQ255">
        <f>IF($Q$255,$M$255*$AE$255*$Y$255,0)</f>
        <v/>
      </c>
      <c r="AR255" t="n">
        <v>6.210000000000001</v>
      </c>
      <c r="AS255">
        <f>IF($S$255,$M$255*$AI$255*$W$255,0)</f>
        <v/>
      </c>
      <c r="AT255" t="n">
        <v>0</v>
      </c>
      <c r="AU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V255" t="b">
        <v>0</v>
      </c>
      <c r="AW255">
        <f>IF(AND($B$255&lt;0,$AU$255),4,$B$255)</f>
        <v/>
      </c>
      <c r="AX255" t="n">
        <v>2</v>
      </c>
      <c r="AY255">
        <f>IF($AW$255&lt;4,0,MIN(MAX(0.5,Canh_bao_vong!$D$4),MAX(IF(Vu_khi!$C$255="cal_406",Canh_bao_vong!$D$7,IF($AW$255&gt;=5,Canh_bao_vong!$D$9,Canh_bao_vong!$D$8)),Canh_bao_vong!$D$2+MAX(0,Vu_khi!$X$255)/MAX(0.1,Canh_bao_vong!$D$5))))</f>
        <v/>
      </c>
      <c r="AZ255" t="n">
        <v>0</v>
      </c>
      <c r="BA255" t="n">
        <v>1</v>
      </c>
      <c r="BB255" t="inlineStr">
        <is>
          <t>ok</t>
        </is>
      </c>
      <c r="BC255" t="b">
        <v>1</v>
      </c>
      <c r="BD255" t="n">
        <v>80</v>
      </c>
      <c r="BE255" t="n">
        <v>104</v>
      </c>
      <c r="BF255" t="n">
        <v>0.172</v>
      </c>
      <c r="BG255" t="n">
        <v>0.344</v>
      </c>
      <c r="BH255" t="n">
        <v>0.6879999999999999</v>
      </c>
      <c r="BI255" t="n">
        <v>0.529</v>
      </c>
      <c r="BJ255" t="inlineStr">
        <is>
          <t>TACTICAL_MISSILE</t>
        </is>
      </c>
      <c r="BK255" t="inlineStr">
        <is>
          <t>ok</t>
        </is>
      </c>
      <c r="BL255" t="inlineStr">
        <is>
          <t>inherited from p26_matriarch_ma_atgm</t>
        </is>
      </c>
      <c r="BM255" t="inlineStr"/>
      <c r="BN255" t="inlineStr">
        <is>
          <t>Assets/MachineBrigade/Resources/Data/balance.json: weapons[id=p26_matriarch_direct_ma_atgm] (lớp B trên 01_chien_dau/Vu_khi)</t>
        </is>
      </c>
      <c r="BO255" t="inlineStr"/>
    </row>
    <row r="256">
      <c r="A256" t="inlineStr">
        <is>
          <t>p26_matriarch_ma_atgm</t>
        </is>
      </c>
      <c r="B256" t="n">
        <v>2</v>
      </c>
      <c r="C256">
        <f>IF(Vu_khi!$O$256="SIMULTANEOUS",MAX(1,Vu_khi!$N$256),1)</f>
        <v/>
      </c>
      <c r="D256" t="n">
        <v>1</v>
      </c>
      <c r="E256">
        <f>IF(Vu_khi!$S$256&gt;0,Vu_khi!$S$256,Vu_khi!$P$256*$C$256)</f>
        <v/>
      </c>
      <c r="F256" t="n">
        <v>1</v>
      </c>
      <c r="G256">
        <f>IF(Vu_khi!$S$256&gt;0,(Vu_khi!$S$256-1)*Vu_khi!$R$256+Vu_khi!$T$256,Vu_khi!$R$256+(Vu_khi!$P$256-1)*Vu_khi!$Q$256)</f>
        <v/>
      </c>
      <c r="H256" t="n">
        <v>2</v>
      </c>
      <c r="I256">
        <f>Vu_khi!$W$256*MAX(1,$E$256)</f>
        <v/>
      </c>
      <c r="J256" t="n">
        <v>340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170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1.3</v>
      </c>
      <c r="W256">
        <f>INDEX(Bang_sat_thuong!$C$2:$C$7,MATCH(Vu_khi!$K$256,Bang_sat_thuong!$A$2:$A$7,0))</f>
        <v/>
      </c>
      <c r="X256" t="n">
        <v>0.2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0.45</v>
      </c>
      <c r="AA256">
        <f>AND(Vu_khi!$K$256="Kinetic",NOT(Vu_khi!$AG$256))</f>
        <v/>
      </c>
      <c r="AB256" t="b">
        <v>0</v>
      </c>
      <c r="AC256">
        <f>IF(Vu_khi!$AG$256,INDEX(Bang_danh_noc!$C$2:$C$8,MIN(7,MAX(1,2-(Vu_khi!$L$256-0)+1))),INDEX(Bang_xuyen_giap!$C$2:$C$8,MIN(7,MAX(1,IF($O$256,MAX(1,2-(Vu_khi!$L$256-0)),2-(Vu_khi!$L$256-0))+1))))*IF($AA$256,INDEX(Bang_xuyen_qua!$C$2:$C$5,MIN(4,MAX(1,(Vu_khi!$L$256)-(0)-1))),1)</f>
        <v/>
      </c>
      <c r="AD256" t="n">
        <v>1.2</v>
      </c>
      <c r="AE256">
        <f>IF(Vu_khi!$AG$256,INDEX(Bang_danh_noc!$C$2:$C$8,MIN(7,MAX(1,2-(Vu_khi!$L$256-2)+1))),INDEX(Bang_xuyen_giap!$C$2:$C$8,MIN(7,MAX(1,IF($O$256,MAX(1,2-(Vu_khi!$L$256-2)),2-(Vu_khi!$L$256-2))+1))))*IF($AA$256,INDEX(Bang_xuyen_qua!$C$2:$C$5,MIN(4,MAX(1,(Vu_khi!$L$256)-(2)-1))),1)</f>
        <v/>
      </c>
      <c r="AF256" t="n">
        <v>1.2</v>
      </c>
      <c r="AG256">
        <f>IF(Vu_khi!$AG$256,INDEX(Bang_danh_noc!$C$2:$C$8,MIN(7,MAX(1,2-(Vu_khi!$L$256-4)+1))),INDEX(Bang_xuyen_giap!$C$2:$C$8,MIN(7,MAX(1,IF($O$256,MAX(1,2-(Vu_khi!$L$256-4)),2-(Vu_khi!$L$256-4))+1))))*IF($AA$256,INDEX(Bang_xuyen_qua!$C$2:$C$5,MIN(4,MAX(1,(Vu_khi!$L$256)-(4)-1))),1)</f>
        <v/>
      </c>
      <c r="AH256" t="n">
        <v>1</v>
      </c>
      <c r="AI256">
        <f>INDEX(Bang_xuyen_giap!$C$2:$C$8,MIN(7,MAX(1,MAX(1,2-(Vu_khi!$L$256-0))+1)))*IF($AA$256,INDEX(Bang_xuyen_qua!$C$2:$C$5,MIN(4,MAX(1,(Vu_khi!$L$256)-(0)-1))),1)</f>
        <v/>
      </c>
      <c r="AJ256" t="n">
        <v>1</v>
      </c>
      <c r="AK256">
        <f>IF($Q$256,$M$256*$AC$256*$U$256,0)</f>
        <v/>
      </c>
      <c r="AL256" t="n">
        <v>265.2</v>
      </c>
      <c r="AM256">
        <f>IF($Q$256,$M$256*$AE$256*$U$256,0)</f>
        <v/>
      </c>
      <c r="AN256" t="n">
        <v>265.2</v>
      </c>
      <c r="AO256">
        <f>IF($Q$256,$M$256*$AG$256*$U$256,0)</f>
        <v/>
      </c>
      <c r="AP256" t="n">
        <v>221</v>
      </c>
      <c r="AQ256">
        <f>IF($Q$256,$M$256*$AE$256*$Y$256,0)</f>
        <v/>
      </c>
      <c r="AR256" t="n">
        <v>91.80000000000001</v>
      </c>
      <c r="AS256">
        <f>IF($S$256,$M$256*$AI$256*$W$256,0)</f>
        <v/>
      </c>
      <c r="AT256" t="n">
        <v>0</v>
      </c>
      <c r="AU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V256" t="b">
        <v>0</v>
      </c>
      <c r="AW256">
        <f>IF(AND($B$256&lt;0,$AU$256),4,$B$256)</f>
        <v/>
      </c>
      <c r="AX256" t="n">
        <v>2</v>
      </c>
      <c r="AY256">
        <f>IF($AW$256&lt;4,0,MIN(MAX(0.5,Canh_bao_vong!$D$4),MAX(IF(Vu_khi!$C$256="cal_406",Canh_bao_vong!$D$7,IF($AW$256&gt;=5,Canh_bao_vong!$D$9,Canh_bao_vong!$D$8)),Canh_bao_vong!$D$2+MAX(0,Vu_khi!$X$256)/MAX(0.1,Canh_bao_vong!$D$5))))</f>
        <v/>
      </c>
      <c r="AZ256" t="n">
        <v>0</v>
      </c>
      <c r="BA256" t="n">
        <v>0.1</v>
      </c>
      <c r="BB256" t="inlineStr">
        <is>
          <t>NHANH_QUA;LECH_DOT_1</t>
        </is>
      </c>
      <c r="BC256" t="inlineStr"/>
      <c r="BD256" t="n">
        <v>80</v>
      </c>
      <c r="BE256" t="n">
        <v>104</v>
      </c>
      <c r="BF256" t="n">
        <v>0.172</v>
      </c>
      <c r="BG256" t="n">
        <v>0.344</v>
      </c>
      <c r="BH256" t="n">
        <v>0.6879999999999999</v>
      </c>
      <c r="BI256" t="n">
        <v>0.529</v>
      </c>
      <c r="BJ256" t="inlineStr">
        <is>
          <t>TACTICAL_MISSILE</t>
        </is>
      </c>
      <c r="BK256" t="inlineStr">
        <is>
          <t>ok</t>
        </is>
      </c>
      <c r="BL256" t="inlineStr">
        <is>
          <t>inherited from boss_missiles</t>
        </is>
      </c>
      <c r="BM256" t="inlineStr"/>
      <c r="BN256" t="inlineStr">
        <is>
          <t>Assets/MachineBrigade/Resources/Data/balance.json: weapons[id=p26_matriarch_ma_atgm] (lớp B trên 01_chien_dau/Vu_khi)</t>
        </is>
      </c>
      <c r="BO256" t="inlineStr"/>
    </row>
    <row r="257">
      <c r="A257" t="inlineStr">
        <is>
          <t>p26_matriarch_ma_drones</t>
        </is>
      </c>
      <c r="B257" t="n">
        <v>2</v>
      </c>
      <c r="C257">
        <f>IF(Vu_khi!$O$257="SIMULTANEOUS",MAX(1,Vu_khi!$N$257),1)</f>
        <v/>
      </c>
      <c r="D257" t="n">
        <v>1</v>
      </c>
      <c r="E257">
        <f>IF(Vu_khi!$S$257&gt;0,Vu_khi!$S$257,Vu_khi!$P$257*$C$257)</f>
        <v/>
      </c>
      <c r="F257" t="n">
        <v>6</v>
      </c>
      <c r="G257">
        <f>IF(Vu_khi!$S$257&gt;0,(Vu_khi!$S$257-1)*Vu_khi!$R$257+Vu_khi!$T$257,Vu_khi!$R$257+(Vu_khi!$P$257-1)*Vu_khi!$Q$257)</f>
        <v/>
      </c>
      <c r="H257" t="n">
        <v>5</v>
      </c>
      <c r="I257">
        <f>Vu_khi!$W$257*MAX(1,$E$257)</f>
        <v/>
      </c>
      <c r="J257" t="n">
        <v>1920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384</v>
      </c>
      <c r="O257">
        <f>OR(Vu_khi!$AG$257,Vu_khi!$AB$257&gt;0,Vu_khi!$AH$257,Vu_khi!$M$257="Bomb",Vu_khi!$M$257="Drone")</f>
        <v/>
      </c>
      <c r="P257" t="b">
        <v>1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1.3</v>
      </c>
      <c r="W257">
        <f>INDEX(Bang_sat_thuong!$C$2:$C$7,MATCH(Vu_khi!$K$257,Bang_sat_thuong!$A$2:$A$7,0))</f>
        <v/>
      </c>
      <c r="X257" t="n">
        <v>0.2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0.45</v>
      </c>
      <c r="AA257">
        <f>AND(Vu_khi!$K$257="Kinetic",NOT(Vu_khi!$AG$257))</f>
        <v/>
      </c>
      <c r="AB257" t="b">
        <v>0</v>
      </c>
      <c r="AC257">
        <f>IF(Vu_khi!$AG$257,INDEX(Bang_danh_noc!$C$2:$C$8,MIN(7,MAX(1,2-(Vu_khi!$L$257-0)+1))),INDEX(Bang_xuyen_giap!$C$2:$C$8,MIN(7,MAX(1,IF($O$257,MAX(1,2-(Vu_khi!$L$257-0)),2-(Vu_khi!$L$257-0))+1))))*IF($AA$257,INDEX(Bang_xuyen_qua!$C$2:$C$5,MIN(4,MAX(1,(Vu_khi!$L$257)-(0)-1))),1)</f>
        <v/>
      </c>
      <c r="AD257" t="n">
        <v>1.15</v>
      </c>
      <c r="AE257">
        <f>IF(Vu_khi!$AG$257,INDEX(Bang_danh_noc!$C$2:$C$8,MIN(7,MAX(1,2-(Vu_khi!$L$257-2)+1))),INDEX(Bang_xuyen_giap!$C$2:$C$8,MIN(7,MAX(1,IF($O$257,MAX(1,2-(Vu_khi!$L$257-2)),2-(Vu_khi!$L$257-2))+1))))*IF($AA$257,INDEX(Bang_xuyen_qua!$C$2:$C$5,MIN(4,MAX(1,(Vu_khi!$L$257)-(2)-1))),1)</f>
        <v/>
      </c>
      <c r="AF257" t="n">
        <v>1.15</v>
      </c>
      <c r="AG257">
        <f>IF(Vu_khi!$AG$257,INDEX(Bang_danh_noc!$C$2:$C$8,MIN(7,MAX(1,2-(Vu_khi!$L$257-4)+1))),INDEX(Bang_xuyen_giap!$C$2:$C$8,MIN(7,MAX(1,IF($O$257,MAX(1,2-(Vu_khi!$L$257-4)),2-(Vu_khi!$L$257-4))+1))))*IF($AA$257,INDEX(Bang_xuyen_qua!$C$2:$C$5,MIN(4,MAX(1,(Vu_khi!$L$257)-(4)-1))),1)</f>
        <v/>
      </c>
      <c r="AH257" t="n">
        <v>0.95</v>
      </c>
      <c r="AI257">
        <f>INDEX(Bang_xuyen_giap!$C$2:$C$8,MIN(7,MAX(1,MAX(1,2-(Vu_khi!$L$257-0))+1)))*IF($AA$257,INDEX(Bang_xuyen_qua!$C$2:$C$5,MIN(4,MAX(1,(Vu_khi!$L$257)-(0)-1))),1)</f>
        <v/>
      </c>
      <c r="AJ257" t="n">
        <v>1</v>
      </c>
      <c r="AK257">
        <f>IF($Q$257,$M$257*$AC$257*$U$257,0)</f>
        <v/>
      </c>
      <c r="AL257" t="n">
        <v>574.0799999999999</v>
      </c>
      <c r="AM257">
        <f>IF($Q$257,$M$257*$AE$257*$U$257,0)</f>
        <v/>
      </c>
      <c r="AN257" t="n">
        <v>574.0799999999999</v>
      </c>
      <c r="AO257">
        <f>IF($Q$257,$M$257*$AG$257*$U$257,0)</f>
        <v/>
      </c>
      <c r="AP257" t="n">
        <v>474.24</v>
      </c>
      <c r="AQ257">
        <f>IF($Q$257,$M$257*$AE$257*$Y$257,0)</f>
        <v/>
      </c>
      <c r="AR257" t="n">
        <v>198.72</v>
      </c>
      <c r="AS257">
        <f>IF($S$257,$M$257*$AI$257*$W$257,0)</f>
        <v/>
      </c>
      <c r="AT257" t="n">
        <v>0</v>
      </c>
      <c r="AU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V257" t="b">
        <v>0</v>
      </c>
      <c r="AW257">
        <f>IF(AND($B$257&lt;0,$AU$257),4,$B$257)</f>
        <v/>
      </c>
      <c r="AX257" t="n">
        <v>2</v>
      </c>
      <c r="AY257">
        <f>IF($AW$257&lt;4,0,MIN(MAX(0.5,Canh_bao_vong!$D$4),MAX(IF(Vu_khi!$C$257="cal_406",Canh_bao_vong!$D$7,IF($AW$257&gt;=5,Canh_bao_vong!$D$9,Canh_bao_vong!$D$8)),Canh_bao_vong!$D$2+MAX(0,Vu_khi!$X$257)/MAX(0.1,Canh_bao_vong!$D$5))))</f>
        <v/>
      </c>
      <c r="AZ257" t="n">
        <v>0</v>
      </c>
      <c r="BA257" t="inlineStr"/>
      <c r="BB257" t="inlineStr">
        <is>
          <t>ok</t>
        </is>
      </c>
      <c r="BC257" t="b">
        <v>1</v>
      </c>
      <c r="BD257" t="n">
        <v>28</v>
      </c>
      <c r="BE257" t="n">
        <v>36.4</v>
      </c>
      <c r="BF257" t="n">
        <v>0.625</v>
      </c>
      <c r="BG257" t="n">
        <v>1.25</v>
      </c>
      <c r="BH257" t="n">
        <v>2.5</v>
      </c>
      <c r="BI257" t="n">
        <v>1.923</v>
      </c>
      <c r="BJ257" t="inlineStr">
        <is>
          <t>DRONE</t>
        </is>
      </c>
      <c r="BK257" t="inlineStr">
        <is>
          <t>ok</t>
        </is>
      </c>
      <c r="BL257" t="inlineStr">
        <is>
          <t>inherited from mothership_drones</t>
        </is>
      </c>
      <c r="BM257" t="inlineStr"/>
      <c r="BN257" t="inlineStr">
        <is>
          <t>Assets/MachineBrigade/Resources/Data/balance.json: weapons[id=p26_matriarch_ma_drones] (lớp B trên 01_chien_dau/Vu_khi)</t>
        </is>
      </c>
      <c r="BO257" t="inlineStr"/>
    </row>
    <row r="258">
      <c r="A258" t="inlineStr">
        <is>
          <t>p26_matriarch_sec_autocannon_30</t>
        </is>
      </c>
      <c r="B258" t="n">
        <v>1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10</v>
      </c>
      <c r="G258">
        <f>IF(Vu_khi!$S$258&gt;0,(Vu_khi!$S$258-1)*Vu_khi!$R$258+Vu_khi!$T$258,Vu_khi!$R$258+(Vu_khi!$P$258-1)*Vu_khi!$Q$258)</f>
        <v/>
      </c>
      <c r="H258" t="n">
        <v>2.4999</v>
      </c>
      <c r="I258">
        <f>Vu_khi!$W$258*MAX(1,$E$258)</f>
        <v/>
      </c>
      <c r="J258" t="n">
        <v>220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88.00352014080562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0</v>
      </c>
      <c r="U258">
        <f>INDEX(Bang_sat_thuong!$B$2:$B$7,MATCH(Vu_khi!$K$258,Bang_sat_thuong!$A$2:$A$7,0))</f>
        <v/>
      </c>
      <c r="V258" t="n">
        <v>1.2</v>
      </c>
      <c r="W258">
        <f>INDEX(Bang_sat_thuong!$C$2:$C$7,MATCH(Vu_khi!$K$258,Bang_sat_thuong!$A$2:$A$7,0))</f>
        <v/>
      </c>
      <c r="X258" t="n">
        <v>0.3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0.7</v>
      </c>
      <c r="AA258">
        <f>AND(Vu_khi!$K$258="Kinetic",NOT(Vu_khi!$AG$258))</f>
        <v/>
      </c>
      <c r="AB258" t="b">
        <v>1</v>
      </c>
      <c r="AC258">
        <f>IF(Vu_khi!$AG$258,INDEX(Bang_danh_noc!$C$2:$C$8,MIN(7,MAX(1,2-(Vu_khi!$L$258-0)+1))),INDEX(Bang_xuyen_giap!$C$2:$C$8,MIN(7,MAX(1,IF($O$258,MAX(1,2-(Vu_khi!$L$258-0)),2-(Vu_khi!$L$258-0))+1))))*IF($AA$258,INDEX(Bang_xuyen_qua!$C$2:$C$5,MIN(4,MAX(1,(Vu_khi!$L$258)-(0)-1))),1)</f>
        <v/>
      </c>
      <c r="AD258" t="n">
        <v>1.2</v>
      </c>
      <c r="AE258">
        <f>IF(Vu_khi!$AG$258,INDEX(Bang_danh_noc!$C$2:$C$8,MIN(7,MAX(1,2-(Vu_khi!$L$258-2)+1))),INDEX(Bang_xuyen_giap!$C$2:$C$8,MIN(7,MAX(1,IF($O$258,MAX(1,2-(Vu_khi!$L$258-2)),2-(Vu_khi!$L$258-2))+1))))*IF($AA$258,INDEX(Bang_xuyen_qua!$C$2:$C$5,MIN(4,MAX(1,(Vu_khi!$L$258)-(2)-1))),1)</f>
        <v/>
      </c>
      <c r="AF258" t="n">
        <v>0.85</v>
      </c>
      <c r="AG258">
        <f>IF(Vu_khi!$AG$258,INDEX(Bang_danh_noc!$C$2:$C$8,MIN(7,MAX(1,2-(Vu_khi!$L$258-4)+1))),INDEX(Bang_xuyen_giap!$C$2:$C$8,MIN(7,MAX(1,IF($O$258,MAX(1,2-(Vu_khi!$L$258-4)),2-(Vu_khi!$L$258-4))+1))))*IF($AA$258,INDEX(Bang_xuyen_qua!$C$2:$C$5,MIN(4,MAX(1,(Vu_khi!$L$258)-(4)-1))),1)</f>
        <v/>
      </c>
      <c r="AH258" t="n">
        <v>0.4</v>
      </c>
      <c r="AI258">
        <f>INDEX(Bang_xuyen_giap!$C$2:$C$8,MIN(7,MAX(1,MAX(1,2-(Vu_khi!$L$258-0))+1)))*IF($AA$258,INDEX(Bang_xuyen_qua!$C$2:$C$5,MIN(4,MAX(1,(Vu_khi!$L$258)-(0)-1))),1)</f>
        <v/>
      </c>
      <c r="AJ258" t="n">
        <v>1</v>
      </c>
      <c r="AK258">
        <f>IF($Q$258,$M$258*$AC$258*$U$258,0)</f>
        <v/>
      </c>
      <c r="AL258" t="n">
        <v>126.7250690027601</v>
      </c>
      <c r="AM258">
        <f>IF($Q$258,$M$258*$AE$258*$U$258,0)</f>
        <v/>
      </c>
      <c r="AN258" t="n">
        <v>89.76359054362173</v>
      </c>
      <c r="AO258">
        <f>IF($Q$258,$M$258*$AG$258*$U$258,0)</f>
        <v/>
      </c>
      <c r="AP258" t="n">
        <v>42.2416896675867</v>
      </c>
      <c r="AQ258">
        <f>IF($Q$258,$M$258*$AE$258*$Y$258,0)</f>
        <v/>
      </c>
      <c r="AR258" t="n">
        <v>52.36209448377934</v>
      </c>
      <c r="AS258">
        <f>IF($S$258,$M$258*$AI$258*$W$258,0)</f>
        <v/>
      </c>
      <c r="AT258" t="n">
        <v>0</v>
      </c>
      <c r="AU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V258" t="b">
        <v>0</v>
      </c>
      <c r="AW258">
        <f>IF(AND($B$258&lt;0,$AU$258),4,$B$258)</f>
        <v/>
      </c>
      <c r="AX258" t="n">
        <v>1</v>
      </c>
      <c r="AY258">
        <f>IF($AW$258&lt;4,0,MIN(MAX(0.5,Canh_bao_vong!$D$4),MAX(IF(Vu_khi!$C$258="cal_406",Canh_bao_vong!$D$7,IF($AW$258&gt;=5,Canh_bao_vong!$D$9,Canh_bao_vong!$D$8)),Canh_bao_vong!$D$2+MAX(0,Vu_khi!$X$258)/MAX(0.1,Canh_bao_vong!$D$5))))</f>
        <v/>
      </c>
      <c r="AZ258" t="n">
        <v>0</v>
      </c>
      <c r="BA258" t="n">
        <v>3.3332</v>
      </c>
      <c r="BB258" t="inlineStr">
        <is>
          <t>ok</t>
        </is>
      </c>
      <c r="BC258" t="b">
        <v>1</v>
      </c>
      <c r="BD258" t="n">
        <v>200</v>
      </c>
      <c r="BE258" t="n">
        <v>260</v>
      </c>
      <c r="BF258" t="n">
        <v>0.037</v>
      </c>
      <c r="BG258" t="n">
        <v>0.075</v>
      </c>
      <c r="BH258" t="n">
        <v>0.15</v>
      </c>
      <c r="BI258" t="n">
        <v>0.115</v>
      </c>
      <c r="BJ258" t="inlineStr">
        <is>
          <t>DIRECT_BULLET</t>
        </is>
      </c>
      <c r="BK258" t="inlineStr">
        <is>
          <t>ok</t>
        </is>
      </c>
      <c r="BL258" t="inlineStr">
        <is>
          <t>inherited from autocannon_30</t>
        </is>
      </c>
      <c r="BM258" t="inlineStr"/>
      <c r="BN258" t="inlineStr">
        <is>
          <t>Assets/MachineBrigade/Resources/Data/balance.json: weapons[id=p26_matriarch_sec_autocannon_30] (lớp B trên 01_chien_dau/Vu_khi)</t>
        </is>
      </c>
      <c r="BO258" t="inlineStr"/>
    </row>
    <row r="259">
      <c r="A259" t="inlineStr">
        <is>
          <t>p26_matriarch_tiny_mothership_cannon</t>
        </is>
      </c>
      <c r="B259" t="n">
        <v>2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4</v>
      </c>
      <c r="G259">
        <f>IF(Vu_khi!$S$259&gt;0,(Vu_khi!$S$259-1)*Vu_khi!$R$259+Vu_khi!$T$259,Vu_khi!$R$259+(Vu_khi!$P$259-1)*Vu_khi!$Q$259)</f>
        <v/>
      </c>
      <c r="H259" t="n">
        <v>4.29</v>
      </c>
      <c r="I259">
        <f>Vu_khi!$W$259*MAX(1,$E$259)</f>
        <v/>
      </c>
      <c r="J259" t="n">
        <v>480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111.8881118881119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0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1.6</v>
      </c>
      <c r="AA259">
        <f>AND(Vu_khi!$K$259="Kinetic",NOT(Vu_khi!$AG$259))</f>
        <v/>
      </c>
      <c r="AB259" t="b">
        <v>0</v>
      </c>
      <c r="AC259">
        <f>IF(Vu_khi!$AG$259,INDEX(Bang_danh_noc!$C$2:$C$8,MIN(7,MAX(1,2-(Vu_khi!$L$259-0)+1))),INDEX(Bang_xuyen_giap!$C$2:$C$8,MIN(7,MAX(1,IF($O$259,MAX(1,2-(Vu_khi!$L$259-0)),2-(Vu_khi!$L$259-0))+1))))*IF($AA$259,INDEX(Bang_xuyen_qua!$C$2:$C$5,MIN(4,MAX(1,(Vu_khi!$L$259)-(0)-1))),1)</f>
        <v/>
      </c>
      <c r="AD259" t="n">
        <v>1.2</v>
      </c>
      <c r="AE259">
        <f>IF(Vu_khi!$AG$259,INDEX(Bang_danh_noc!$C$2:$C$8,MIN(7,MAX(1,2-(Vu_khi!$L$259-2)+1))),INDEX(Bang_xuyen_giap!$C$2:$C$8,MIN(7,MAX(1,IF($O$259,MAX(1,2-(Vu_khi!$L$259-2)),2-(Vu_khi!$L$259-2))+1))))*IF($AA$259,INDEX(Bang_xuyen_qua!$C$2:$C$5,MIN(4,MAX(1,(Vu_khi!$L$259)-(2)-1))),1)</f>
        <v/>
      </c>
      <c r="AF259" t="n">
        <v>0.85</v>
      </c>
      <c r="AG259">
        <f>IF(Vu_khi!$AG$259,INDEX(Bang_danh_noc!$C$2:$C$8,MIN(7,MAX(1,2-(Vu_khi!$L$259-4)+1))),INDEX(Bang_xuyen_giap!$C$2:$C$8,MIN(7,MAX(1,IF($O$259,MAX(1,2-(Vu_khi!$L$259-4)),2-(Vu_khi!$L$259-4))+1))))*IF($AA$259,INDEX(Bang_xuyen_qua!$C$2:$C$5,MIN(4,MAX(1,(Vu_khi!$L$259)-(4)-1))),1)</f>
        <v/>
      </c>
      <c r="AH259" t="n">
        <v>0.4</v>
      </c>
      <c r="AI259">
        <f>INDEX(Bang_xuyen_giap!$C$2:$C$8,MIN(7,MAX(1,MAX(1,2-(Vu_khi!$L$259-0))+1)))*IF($AA$259,INDEX(Bang_xuyen_qua!$C$2:$C$5,MIN(4,MAX(1,(Vu_khi!$L$259)-(0)-1))),1)</f>
        <v/>
      </c>
      <c r="AJ259" t="n">
        <v>1</v>
      </c>
      <c r="AK259">
        <f>IF($Q$259,$M$259*$AC$259*$U$259,0)</f>
        <v/>
      </c>
      <c r="AL259" t="n">
        <v>134.2657342657343</v>
      </c>
      <c r="AM259">
        <f>IF($Q$259,$M$259*$AE$259*$U$259,0)</f>
        <v/>
      </c>
      <c r="AN259" t="n">
        <v>95.10489510489511</v>
      </c>
      <c r="AO259">
        <f>IF($Q$259,$M$259*$AG$259*$U$259,0)</f>
        <v/>
      </c>
      <c r="AP259" t="n">
        <v>44.75524475524476</v>
      </c>
      <c r="AQ259">
        <f>IF($Q$259,$M$259*$AE$259*$Y$259,0)</f>
        <v/>
      </c>
      <c r="AR259" t="n">
        <v>152.1678321678322</v>
      </c>
      <c r="AS259">
        <f>IF($S$259,$M$259*$AI$259*$W$259,0)</f>
        <v/>
      </c>
      <c r="AT259" t="n">
        <v>0</v>
      </c>
      <c r="AU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V259" t="b">
        <v>0</v>
      </c>
      <c r="AW259">
        <f>IF(AND($B$259&lt;0,$AU$259),4,$B$259)</f>
        <v/>
      </c>
      <c r="AX259" t="n">
        <v>2</v>
      </c>
      <c r="AY259">
        <f>IF($AW$259&lt;4,0,MIN(MAX(0.5,Canh_bao_vong!$D$4),MAX(IF(Vu_khi!$C$259="cal_406",Canh_bao_vong!$D$7,IF($AW$259&gt;=5,Canh_bao_vong!$D$9,Canh_bao_vong!$D$8)),Canh_bao_vong!$D$2+MAX(0,Vu_khi!$X$259)/MAX(0.1,Canh_bao_vong!$D$5))))</f>
        <v/>
      </c>
      <c r="AZ259" t="n">
        <v>0</v>
      </c>
      <c r="BA259" t="n">
        <v>2.145</v>
      </c>
      <c r="BB259" t="inlineStr">
        <is>
          <t>ok</t>
        </is>
      </c>
      <c r="BC259" t="b">
        <v>1</v>
      </c>
      <c r="BD259" t="n">
        <v>150</v>
      </c>
      <c r="BE259" t="n">
        <v>195</v>
      </c>
      <c r="BF259" t="n">
        <v>0.075</v>
      </c>
      <c r="BG259" t="n">
        <v>0.15</v>
      </c>
      <c r="BH259" t="n">
        <v>0.3</v>
      </c>
      <c r="BI259" t="n">
        <v>0.231</v>
      </c>
      <c r="BJ259" t="inlineStr">
        <is>
          <t>DIRECT_BULLET</t>
        </is>
      </c>
      <c r="BK259" t="inlineStr">
        <is>
          <t>ok</t>
        </is>
      </c>
      <c r="BL259" t="inlineStr">
        <is>
          <t>inherited from mothership_cannon</t>
        </is>
      </c>
      <c r="BM259" t="inlineStr"/>
      <c r="BN259" t="inlineStr">
        <is>
          <t>Assets/MachineBrigade/Resources/Data/balance.json: weapons[id=p26_matriarch_tiny_mothership_cannon] (lớp B trên 01_chien_dau/Vu_khi)</t>
        </is>
      </c>
      <c r="BO259" t="inlineStr"/>
    </row>
    <row r="260">
      <c r="A260" t="inlineStr">
        <is>
          <t>p26_moloch_close_boss_flak</t>
        </is>
      </c>
      <c r="B260" t="n">
        <v>1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41</v>
      </c>
      <c r="G260">
        <f>IF(Vu_khi!$S$260&gt;0,(Vu_khi!$S$260-1)*Vu_khi!$R$260+Vu_khi!$T$260,Vu_khi!$R$260+(Vu_khi!$P$260-1)*Vu_khi!$Q$260)</f>
        <v/>
      </c>
      <c r="H260" t="n">
        <v>5.38</v>
      </c>
      <c r="I260">
        <f>Vu_khi!$W$260*MAX(1,$E$260)</f>
        <v/>
      </c>
      <c r="J260" t="n">
        <v>1025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190.5204460966543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1</v>
      </c>
      <c r="U260">
        <f>INDEX(Bang_sat_thuong!$B$2:$B$7,MATCH(Vu_khi!$K$260,Bang_sat_thuong!$A$2:$A$7,0))</f>
        <v/>
      </c>
      <c r="V260" t="n">
        <v>0.45</v>
      </c>
      <c r="W260">
        <f>INDEX(Bang_sat_thuong!$C$2:$C$7,MATCH(Vu_khi!$K$260,Bang_sat_thuong!$A$2:$A$7,0))</f>
        <v/>
      </c>
      <c r="X260" t="n">
        <v>1.35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0.1</v>
      </c>
      <c r="AA260">
        <f>AND(Vu_khi!$K$260="Kinetic",NOT(Vu_khi!$AG$260))</f>
        <v/>
      </c>
      <c r="AB260" t="b">
        <v>0</v>
      </c>
      <c r="AC260">
        <f>IF(Vu_khi!$AG$260,INDEX(Bang_danh_noc!$C$2:$C$8,MIN(7,MAX(1,2-(Vu_khi!$L$260-0)+1))),INDEX(Bang_xuyen_giap!$C$2:$C$8,MIN(7,MAX(1,IF($O$260,MAX(1,2-(Vu_khi!$L$260-0)),2-(Vu_khi!$L$260-0))+1))))*IF($AA$260,INDEX(Bang_xuyen_qua!$C$2:$C$5,MIN(4,MAX(1,(Vu_khi!$L$260)-(0)-1))),1)</f>
        <v/>
      </c>
      <c r="AD260" t="n">
        <v>1.2</v>
      </c>
      <c r="AE260">
        <f>IF(Vu_khi!$AG$260,INDEX(Bang_danh_noc!$C$2:$C$8,MIN(7,MAX(1,2-(Vu_khi!$L$260-2)+1))),INDEX(Bang_xuyen_giap!$C$2:$C$8,MIN(7,MAX(1,IF($O$260,MAX(1,2-(Vu_khi!$L$260-2)),2-(Vu_khi!$L$260-2))+1))))*IF($AA$260,INDEX(Bang_xuyen_qua!$C$2:$C$5,MIN(4,MAX(1,(Vu_khi!$L$260)-(2)-1))),1)</f>
        <v/>
      </c>
      <c r="AF260" t="n">
        <v>0.85</v>
      </c>
      <c r="AG260">
        <f>IF(Vu_khi!$AG$260,INDEX(Bang_danh_noc!$C$2:$C$8,MIN(7,MAX(1,2-(Vu_khi!$L$260-4)+1))),INDEX(Bang_xuyen_giap!$C$2:$C$8,MIN(7,MAX(1,IF($O$260,MAX(1,2-(Vu_khi!$L$260-4)),2-(Vu_khi!$L$260-4))+1))))*IF($AA$260,INDEX(Bang_xuyen_qua!$C$2:$C$5,MIN(4,MAX(1,(Vu_khi!$L$260)-(4)-1))),1)</f>
        <v/>
      </c>
      <c r="AH260" t="n">
        <v>0.4</v>
      </c>
      <c r="AI260">
        <f>INDEX(Bang_xuyen_giap!$C$2:$C$8,MIN(7,MAX(1,MAX(1,2-(Vu_khi!$L$260-0))+1)))*IF($AA$260,INDEX(Bang_xuyen_qua!$C$2:$C$5,MIN(4,MAX(1,(Vu_khi!$L$260)-(0)-1))),1)</f>
        <v/>
      </c>
      <c r="AJ260" t="n">
        <v>1</v>
      </c>
      <c r="AK260">
        <f>IF($Q$260,$M$260*$AC$260*$U$260,0)</f>
        <v/>
      </c>
      <c r="AL260" t="n">
        <v>102.8810408921933</v>
      </c>
      <c r="AM260">
        <f>IF($Q$260,$M$260*$AE$260*$U$260,0)</f>
        <v/>
      </c>
      <c r="AN260" t="n">
        <v>72.87407063197026</v>
      </c>
      <c r="AO260">
        <f>IF($Q$260,$M$260*$AG$260*$U$260,0)</f>
        <v/>
      </c>
      <c r="AP260" t="n">
        <v>34.29368029739777</v>
      </c>
      <c r="AQ260">
        <f>IF($Q$260,$M$260*$AE$260*$Y$260,0)</f>
        <v/>
      </c>
      <c r="AR260" t="n">
        <v>16.19423791821561</v>
      </c>
      <c r="AS260">
        <f>IF($S$260,$M$260*$AI$260*$W$260,0)</f>
        <v/>
      </c>
      <c r="AT260" t="n">
        <v>257.2026022304833</v>
      </c>
      <c r="AU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V260" t="b">
        <v>0</v>
      </c>
      <c r="AW260">
        <f>IF(AND($B$260&lt;0,$AU$260),4,$B$260)</f>
        <v/>
      </c>
      <c r="AX260" t="n">
        <v>1</v>
      </c>
      <c r="AY260">
        <f>IF($AW$260&lt;4,0,MIN(MAX(0.5,Canh_bao_vong!$D$4),MAX(IF(Vu_khi!$C$260="cal_406",Canh_bao_vong!$D$7,IF($AW$260&gt;=5,Canh_bao_vong!$D$9,Canh_bao_vong!$D$8)),Canh_bao_vong!$D$2+MAX(0,Vu_khi!$X$260)/MAX(0.1,Canh_bao_vong!$D$5))))</f>
        <v/>
      </c>
      <c r="AZ260" t="n">
        <v>0</v>
      </c>
      <c r="BA260" t="n">
        <v>2.405691</v>
      </c>
      <c r="BB260" t="inlineStr">
        <is>
          <t>ok</t>
        </is>
      </c>
      <c r="BC260" t="b">
        <v>1</v>
      </c>
      <c r="BD260" t="n">
        <v>260</v>
      </c>
      <c r="BE260" t="n">
        <v>338</v>
      </c>
      <c r="BF260" t="n">
        <v>0.038</v>
      </c>
      <c r="BG260" t="n">
        <v>0.077</v>
      </c>
      <c r="BH260" t="n">
        <v>0.154</v>
      </c>
      <c r="BI260" t="n">
        <v>0.118</v>
      </c>
      <c r="BJ260" t="inlineStr">
        <is>
          <t>DIRECT_BULLET</t>
        </is>
      </c>
      <c r="BK260" t="inlineStr">
        <is>
          <t>ok</t>
        </is>
      </c>
      <c r="BL260" t="inlineStr">
        <is>
          <t>inherited from boss_flak</t>
        </is>
      </c>
      <c r="BM260" t="inlineStr"/>
      <c r="BN260" t="inlineStr">
        <is>
          <t>Assets/MachineBrigade/Resources/Data/balance.json: weapons[id=p26_moloch_close_boss_flak] (lớp B trên 01_chien_dau/Vu_khi)</t>
        </is>
      </c>
      <c r="BO260" t="inlineStr"/>
    </row>
    <row r="261">
      <c r="A261" t="inlineStr">
        <is>
          <t>p26_moloch_direct_mo120ap</t>
        </is>
      </c>
      <c r="B261" t="n">
        <v>3</v>
      </c>
      <c r="C261">
        <f>IF(Vu_khi!$O$261="SIMULTANEOUS",MAX(1,Vu_khi!$N$261),1)</f>
        <v/>
      </c>
      <c r="D261" t="n">
        <v>2</v>
      </c>
      <c r="E261">
        <f>IF(Vu_khi!$S$261&gt;0,Vu_khi!$S$261,Vu_khi!$P$261*$C$261)</f>
        <v/>
      </c>
      <c r="F261" t="n">
        <v>2</v>
      </c>
      <c r="G261">
        <f>IF(Vu_khi!$S$261&gt;0,(Vu_khi!$S$261-1)*Vu_khi!$R$261+Vu_khi!$T$261,Vu_khi!$R$261+(Vu_khi!$P$261-1)*Vu_khi!$Q$261)</f>
        <v/>
      </c>
      <c r="H261" t="n">
        <v>7.5</v>
      </c>
      <c r="I261">
        <f>Vu_khi!$W$261*MAX(1,$E$261)</f>
        <v/>
      </c>
      <c r="J261" t="n">
        <v>520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69.33333333333333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0</v>
      </c>
      <c r="U261">
        <f>INDEX(Bang_sat_thuong!$B$2:$B$7,MATCH(Vu_khi!$K$261,Bang_sat_thuong!$A$2:$A$7,0))</f>
        <v/>
      </c>
      <c r="V261" t="n">
        <v>1.2</v>
      </c>
      <c r="W261">
        <f>INDEX(Bang_sat_thuong!$C$2:$C$7,MATCH(Vu_khi!$K$261,Bang_sat_thuong!$A$2:$A$7,0))</f>
        <v/>
      </c>
      <c r="X261" t="n">
        <v>0.3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0.7</v>
      </c>
      <c r="AA261">
        <f>AND(Vu_khi!$K$261="Kinetic",NOT(Vu_khi!$AG$261))</f>
        <v/>
      </c>
      <c r="AB261" t="b">
        <v>1</v>
      </c>
      <c r="AC261">
        <f>IF(Vu_khi!$AG$261,INDEX(Bang_danh_noc!$C$2:$C$8,MIN(7,MAX(1,2-(Vu_khi!$L$261-0)+1))),INDEX(Bang_xuyen_giap!$C$2:$C$8,MIN(7,MAX(1,IF($O$261,MAX(1,2-(Vu_khi!$L$261-0)),2-(Vu_khi!$L$261-0))+1))))*IF($AA$261,INDEX(Bang_xuyen_qua!$C$2:$C$5,MIN(4,MAX(1,(Vu_khi!$L$261)-(0)-1))),1)</f>
        <v/>
      </c>
      <c r="AD261" t="n">
        <v>0.8999999999999999</v>
      </c>
      <c r="AE261">
        <f>IF(Vu_khi!$AG$261,INDEX(Bang_danh_noc!$C$2:$C$8,MIN(7,MAX(1,2-(Vu_khi!$L$261-2)+1))),INDEX(Bang_xuyen_giap!$C$2:$C$8,MIN(7,MAX(1,IF($O$261,MAX(1,2-(Vu_khi!$L$261-2)),2-(Vu_khi!$L$261-2))+1))))*IF($AA$261,INDEX(Bang_xuyen_qua!$C$2:$C$5,MIN(4,MAX(1,(Vu_khi!$L$261)-(2)-1))),1)</f>
        <v/>
      </c>
      <c r="AF261" t="n">
        <v>1.14</v>
      </c>
      <c r="AG261">
        <f>IF(Vu_khi!$AG$261,INDEX(Bang_danh_noc!$C$2:$C$8,MIN(7,MAX(1,2-(Vu_khi!$L$261-4)+1))),INDEX(Bang_xuyen_giap!$C$2:$C$8,MIN(7,MAX(1,IF($O$261,MAX(1,2-(Vu_khi!$L$261-4)),2-(Vu_khi!$L$261-4))+1))))*IF($AA$261,INDEX(Bang_xuyen_qua!$C$2:$C$5,MIN(4,MAX(1,(Vu_khi!$L$261)-(4)-1))),1)</f>
        <v/>
      </c>
      <c r="AH261" t="n">
        <v>1</v>
      </c>
      <c r="AI261">
        <f>INDEX(Bang_xuyen_giap!$C$2:$C$8,MIN(7,MAX(1,MAX(1,2-(Vu_khi!$L$261-0))+1)))*IF($AA$261,INDEX(Bang_xuyen_qua!$C$2:$C$5,MIN(4,MAX(1,(Vu_khi!$L$261)-(0)-1))),1)</f>
        <v/>
      </c>
      <c r="AJ261" t="n">
        <v>0.75</v>
      </c>
      <c r="AK261">
        <f>IF($Q$261,$M$261*$AC$261*$U$261,0)</f>
        <v/>
      </c>
      <c r="AL261" t="n">
        <v>74.87999999999998</v>
      </c>
      <c r="AM261">
        <f>IF($Q$261,$M$261*$AE$261*$U$261,0)</f>
        <v/>
      </c>
      <c r="AN261" t="n">
        <v>94.84799999999998</v>
      </c>
      <c r="AO261">
        <f>IF($Q$261,$M$261*$AG$261*$U$261,0)</f>
        <v/>
      </c>
      <c r="AP261" t="n">
        <v>83.19999999999999</v>
      </c>
      <c r="AQ261">
        <f>IF($Q$261,$M$261*$AE$261*$Y$261,0)</f>
        <v/>
      </c>
      <c r="AR261" t="n">
        <v>55.32799999999999</v>
      </c>
      <c r="AS261">
        <f>IF($S$261,$M$261*$AI$261*$W$261,0)</f>
        <v/>
      </c>
      <c r="AT261" t="n">
        <v>0</v>
      </c>
      <c r="AU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V261" t="b">
        <v>0</v>
      </c>
      <c r="AW261">
        <f>IF(AND($B$261&lt;0,$AU$261),4,$B$261)</f>
        <v/>
      </c>
      <c r="AX261" t="n">
        <v>3</v>
      </c>
      <c r="AY261">
        <f>IF($AW$261&lt;4,0,MIN(MAX(0.5,Canh_bao_vong!$D$4),MAX(IF(Vu_khi!$C$261="cal_406",Canh_bao_vong!$D$7,IF($AW$261&gt;=5,Canh_bao_vong!$D$9,Canh_bao_vong!$D$8)),Canh_bao_vong!$D$2+MAX(0,Vu_khi!$X$261)/MAX(0.1,Canh_bao_vong!$D$5))))</f>
        <v/>
      </c>
      <c r="AZ261" t="n">
        <v>0</v>
      </c>
      <c r="BA261" t="n">
        <v>0.7</v>
      </c>
      <c r="BB261" t="inlineStr">
        <is>
          <t>ok</t>
        </is>
      </c>
      <c r="BC261" t="b">
        <v>1</v>
      </c>
      <c r="BD261" t="n">
        <v>170</v>
      </c>
      <c r="BE261" t="n">
        <v>221</v>
      </c>
      <c r="BF261" t="n">
        <v>0.047</v>
      </c>
      <c r="BG261" t="n">
        <v>0.094</v>
      </c>
      <c r="BH261" t="n">
        <v>0.188</v>
      </c>
      <c r="BI261" t="n">
        <v>0.145</v>
      </c>
      <c r="BJ261" t="inlineStr">
        <is>
          <t>DIRECT_FAST</t>
        </is>
      </c>
      <c r="BK261" t="inlineStr">
        <is>
          <t>ok</t>
        </is>
      </c>
      <c r="BL261" t="inlineStr">
        <is>
          <t>inherited from p26_moloch_mo120ap</t>
        </is>
      </c>
      <c r="BM261" t="inlineStr"/>
      <c r="BN261" t="inlineStr">
        <is>
          <t>Assets/MachineBrigade/Resources/Data/balance.json: weapons[id=p26_moloch_direct_mo120ap] (lớp B trên 01_chien_dau/Vu_khi)</t>
        </is>
      </c>
      <c r="BO261" t="inlineStr"/>
    </row>
    <row r="262">
      <c r="A262" t="inlineStr">
        <is>
          <t>p26_moloch_main_mo120</t>
        </is>
      </c>
      <c r="B262" t="n">
        <v>3</v>
      </c>
      <c r="C262">
        <f>IF(Vu_khi!$O$262="SIMULTANEOUS",MAX(1,Vu_khi!$N$262),1)</f>
        <v/>
      </c>
      <c r="D262" t="n">
        <v>2</v>
      </c>
      <c r="E262">
        <f>IF(Vu_khi!$S$262&gt;0,Vu_khi!$S$262,Vu_khi!$P$262*$C$262)</f>
        <v/>
      </c>
      <c r="F262" t="n">
        <v>2</v>
      </c>
      <c r="G262">
        <f>IF(Vu_khi!$S$262&gt;0,(Vu_khi!$S$262-1)*Vu_khi!$R$262+Vu_khi!$T$262,Vu_khi!$R$262+(Vu_khi!$P$262-1)*Vu_khi!$Q$262)</f>
        <v/>
      </c>
      <c r="H262" t="n">
        <v>7.5</v>
      </c>
      <c r="I262">
        <f>Vu_khi!$W$262*MAX(1,$E$262)</f>
        <v/>
      </c>
      <c r="J262" t="n">
        <v>680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90.66666666666667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0</v>
      </c>
      <c r="U262">
        <f>INDEX(Bang_sat_thuong!$B$2:$B$7,MATCH(Vu_khi!$K$262,Bang_sat_thuong!$A$2:$A$7,0))</f>
        <v/>
      </c>
      <c r="V262" t="n">
        <v>1</v>
      </c>
      <c r="W262">
        <f>INDEX(Bang_sat_thuong!$C$2:$C$7,MATCH(Vu_khi!$K$262,Bang_sat_thuong!$A$2:$A$7,0))</f>
        <v/>
      </c>
      <c r="X262" t="n">
        <v>0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1.6</v>
      </c>
      <c r="AA262">
        <f>AND(Vu_khi!$K$262="Kinetic",NOT(Vu_khi!$AG$262))</f>
        <v/>
      </c>
      <c r="AB262" t="b">
        <v>0</v>
      </c>
      <c r="AC262">
        <f>IF(Vu_khi!$AG$262,INDEX(Bang_danh_noc!$C$2:$C$8,MIN(7,MAX(1,2-(Vu_khi!$L$262-0)+1))),INDEX(Bang_xuyen_giap!$C$2:$C$8,MIN(7,MAX(1,IF($O$262,MAX(1,2-(Vu_khi!$L$262-0)),2-(Vu_khi!$L$262-0))+1))))*IF($AA$262,INDEX(Bang_xuyen_qua!$C$2:$C$5,MIN(4,MAX(1,(Vu_khi!$L$262)-(0)-1))),1)</f>
        <v/>
      </c>
      <c r="AD262" t="n">
        <v>1.2</v>
      </c>
      <c r="AE262">
        <f>IF(Vu_khi!$AG$262,INDEX(Bang_danh_noc!$C$2:$C$8,MIN(7,MAX(1,2-(Vu_khi!$L$262-2)+1))),INDEX(Bang_xuyen_giap!$C$2:$C$8,MIN(7,MAX(1,IF($O$262,MAX(1,2-(Vu_khi!$L$262-2)),2-(Vu_khi!$L$262-2))+1))))*IF($AA$262,INDEX(Bang_xuyen_qua!$C$2:$C$5,MIN(4,MAX(1,(Vu_khi!$L$262)-(2)-1))),1)</f>
        <v/>
      </c>
      <c r="AF262" t="n">
        <v>1.2</v>
      </c>
      <c r="AG262">
        <f>IF(Vu_khi!$AG$262,INDEX(Bang_danh_noc!$C$2:$C$8,MIN(7,MAX(1,2-(Vu_khi!$L$262-4)+1))),INDEX(Bang_xuyen_giap!$C$2:$C$8,MIN(7,MAX(1,IF($O$262,MAX(1,2-(Vu_khi!$L$262-4)),2-(Vu_khi!$L$262-4))+1))))*IF($AA$262,INDEX(Bang_xuyen_qua!$C$2:$C$5,MIN(4,MAX(1,(Vu_khi!$L$262)-(4)-1))),1)</f>
        <v/>
      </c>
      <c r="AH262" t="n">
        <v>0.85</v>
      </c>
      <c r="AI262">
        <f>INDEX(Bang_xuyen_giap!$C$2:$C$8,MIN(7,MAX(1,MAX(1,2-(Vu_khi!$L$262-0))+1)))*IF($AA$262,INDEX(Bang_xuyen_qua!$C$2:$C$5,MIN(4,MAX(1,(Vu_khi!$L$262)-(0)-1))),1)</f>
        <v/>
      </c>
      <c r="AJ262" t="n">
        <v>1</v>
      </c>
      <c r="AK262">
        <f>IF($Q$262,$M$262*$AC$262*$U$262,0)</f>
        <v/>
      </c>
      <c r="AL262" t="n">
        <v>108.8</v>
      </c>
      <c r="AM262">
        <f>IF($Q$262,$M$262*$AE$262*$U$262,0)</f>
        <v/>
      </c>
      <c r="AN262" t="n">
        <v>108.8</v>
      </c>
      <c r="AO262">
        <f>IF($Q$262,$M$262*$AG$262*$U$262,0)</f>
        <v/>
      </c>
      <c r="AP262" t="n">
        <v>77.06666666666666</v>
      </c>
      <c r="AQ262">
        <f>IF($Q$262,$M$262*$AE$262*$Y$262,0)</f>
        <v/>
      </c>
      <c r="AR262" t="n">
        <v>174.08</v>
      </c>
      <c r="AS262">
        <f>IF($S$262,$M$262*$AI$262*$W$262,0)</f>
        <v/>
      </c>
      <c r="AT262" t="n">
        <v>0</v>
      </c>
      <c r="AU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V262" t="b">
        <v>0</v>
      </c>
      <c r="AW262">
        <f>IF(AND($B$262&lt;0,$AU$262),4,$B$262)</f>
        <v/>
      </c>
      <c r="AX262" t="n">
        <v>3</v>
      </c>
      <c r="AY262">
        <f>IF($AW$262&lt;4,0,MIN(MAX(0.5,Canh_bao_vong!$D$4),MAX(IF(Vu_khi!$C$262="cal_406",Canh_bao_vong!$D$7,IF($AW$262&gt;=5,Canh_bao_vong!$D$9,Canh_bao_vong!$D$8)),Canh_bao_vong!$D$2+MAX(0,Vu_khi!$X$262)/MAX(0.1,Canh_bao_vong!$D$5))))</f>
        <v/>
      </c>
      <c r="AZ262" t="n">
        <v>0</v>
      </c>
      <c r="BA262" t="n">
        <v>0.7</v>
      </c>
      <c r="BB262" t="inlineStr">
        <is>
          <t>ok</t>
        </is>
      </c>
      <c r="BC262" t="b">
        <v>1</v>
      </c>
      <c r="BD262" t="n">
        <v>170</v>
      </c>
      <c r="BE262" t="n">
        <v>221</v>
      </c>
      <c r="BF262" t="n">
        <v>0.047</v>
      </c>
      <c r="BG262" t="n">
        <v>0.094</v>
      </c>
      <c r="BH262" t="n">
        <v>0.188</v>
      </c>
      <c r="BI262" t="n">
        <v>0.145</v>
      </c>
      <c r="BJ262" t="inlineStr">
        <is>
          <t>DIRECT_FAST</t>
        </is>
      </c>
      <c r="BK262" t="inlineStr">
        <is>
          <t>ok</t>
        </is>
      </c>
      <c r="BL262" t="inlineStr">
        <is>
          <t>inherited from p26_moloch_mo120</t>
        </is>
      </c>
      <c r="BM262" t="inlineStr"/>
      <c r="BN262" t="inlineStr">
        <is>
          <t>Assets/MachineBrigade/Resources/Data/balance.json: weapons[id=p26_moloch_main_mo120] (lớp B trên 01_chien_dau/Vu_khi)</t>
        </is>
      </c>
      <c r="BO262" t="inlineStr"/>
    </row>
    <row r="263">
      <c r="A263" t="inlineStr">
        <is>
          <t>p26_moloch_mo120</t>
        </is>
      </c>
      <c r="B263" t="n">
        <v>3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2</v>
      </c>
      <c r="I263">
        <f>Vu_khi!$W$263*MAX(1,$E$263)</f>
        <v/>
      </c>
      <c r="J263" t="n">
        <v>225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112.5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0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1.6</v>
      </c>
      <c r="AA263">
        <f>AND(Vu_khi!$K$263="Kinetic",NOT(Vu_khi!$AG$263))</f>
        <v/>
      </c>
      <c r="AB263" t="b">
        <v>0</v>
      </c>
      <c r="AC263">
        <f>IF(Vu_khi!$AG$263,INDEX(Bang_danh_noc!$C$2:$C$8,MIN(7,MAX(1,2-(Vu_khi!$L$263-0)+1))),INDEX(Bang_xuyen_giap!$C$2:$C$8,MIN(7,MAX(1,IF($O$263,MAX(1,2-(Vu_khi!$L$263-0)),2-(Vu_khi!$L$263-0))+1))))*IF($AA$263,INDEX(Bang_xuyen_qua!$C$2:$C$5,MIN(4,MAX(1,(Vu_khi!$L$263)-(0)-1))),1)</f>
        <v/>
      </c>
      <c r="AD263" t="n">
        <v>1.2</v>
      </c>
      <c r="AE263">
        <f>IF(Vu_khi!$AG$263,INDEX(Bang_danh_noc!$C$2:$C$8,MIN(7,MAX(1,2-(Vu_khi!$L$263-2)+1))),INDEX(Bang_xuyen_giap!$C$2:$C$8,MIN(7,MAX(1,IF($O$263,MAX(1,2-(Vu_khi!$L$263-2)),2-(Vu_khi!$L$263-2))+1))))*IF($AA$263,INDEX(Bang_xuyen_qua!$C$2:$C$5,MIN(4,MAX(1,(Vu_khi!$L$263)-(2)-1))),1)</f>
        <v/>
      </c>
      <c r="AF263" t="n">
        <v>1.2</v>
      </c>
      <c r="AG263">
        <f>IF(Vu_khi!$AG$263,INDEX(Bang_danh_noc!$C$2:$C$8,MIN(7,MAX(1,2-(Vu_khi!$L$263-4)+1))),INDEX(Bang_xuyen_giap!$C$2:$C$8,MIN(7,MAX(1,IF($O$263,MAX(1,2-(Vu_khi!$L$263-4)),2-(Vu_khi!$L$263-4))+1))))*IF($AA$263,INDEX(Bang_xuyen_qua!$C$2:$C$5,MIN(4,MAX(1,(Vu_khi!$L$263)-(4)-1))),1)</f>
        <v/>
      </c>
      <c r="AH263" t="n">
        <v>0.85</v>
      </c>
      <c r="AI263">
        <f>INDEX(Bang_xuyen_giap!$C$2:$C$8,MIN(7,MAX(1,MAX(1,2-(Vu_khi!$L$263-0))+1)))*IF($AA$263,INDEX(Bang_xuyen_qua!$C$2:$C$5,MIN(4,MAX(1,(Vu_khi!$L$263)-(0)-1))),1)</f>
        <v/>
      </c>
      <c r="AJ263" t="n">
        <v>1</v>
      </c>
      <c r="AK263">
        <f>IF($Q$263,$M$263*$AC$263*$U$263,0)</f>
        <v/>
      </c>
      <c r="AL263" t="n">
        <v>135</v>
      </c>
      <c r="AM263">
        <f>IF($Q$263,$M$263*$AE$263*$U$263,0)</f>
        <v/>
      </c>
      <c r="AN263" t="n">
        <v>135</v>
      </c>
      <c r="AO263">
        <f>IF($Q$263,$M$263*$AG$263*$U$263,0)</f>
        <v/>
      </c>
      <c r="AP263" t="n">
        <v>95.625</v>
      </c>
      <c r="AQ263">
        <f>IF($Q$263,$M$263*$AE$263*$Y$263,0)</f>
        <v/>
      </c>
      <c r="AR263" t="n">
        <v>216</v>
      </c>
      <c r="AS263">
        <f>IF($S$263,$M$263*$AI$263*$W$263,0)</f>
        <v/>
      </c>
      <c r="AT263" t="n">
        <v>0</v>
      </c>
      <c r="AU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V263" t="b">
        <v>0</v>
      </c>
      <c r="AW263">
        <f>IF(AND($B$263&lt;0,$AU$263),4,$B$263)</f>
        <v/>
      </c>
      <c r="AX263" t="n">
        <v>3</v>
      </c>
      <c r="AY263">
        <f>IF($AW$263&lt;4,0,MIN(MAX(0.5,Canh_bao_vong!$D$4),MAX(IF(Vu_khi!$C$263="cal_406",Canh_bao_vong!$D$7,IF($AW$263&gt;=5,Canh_bao_vong!$D$9,Canh_bao_vong!$D$8)),Canh_bao_vong!$D$2+MAX(0,Vu_khi!$X$263)/MAX(0.1,Canh_bao_vong!$D$5))))</f>
        <v/>
      </c>
      <c r="AZ263" t="n">
        <v>0</v>
      </c>
      <c r="BA263" t="n">
        <v>0.186667</v>
      </c>
      <c r="BB263" t="inlineStr">
        <is>
          <t>NHANH_QUA;LECH_DOT_1</t>
        </is>
      </c>
      <c r="BC263" t="inlineStr"/>
      <c r="BD263" t="n">
        <v>170</v>
      </c>
      <c r="BE263" t="n">
        <v>221</v>
      </c>
      <c r="BF263" t="n">
        <v>0.047</v>
      </c>
      <c r="BG263" t="n">
        <v>0.094</v>
      </c>
      <c r="BH263" t="n">
        <v>0.188</v>
      </c>
      <c r="BI263" t="n">
        <v>0.145</v>
      </c>
      <c r="BJ263" t="inlineStr">
        <is>
          <t>DIRECT_FAST</t>
        </is>
      </c>
      <c r="BK263" t="inlineStr">
        <is>
          <t>ok</t>
        </is>
      </c>
      <c r="BL263" t="inlineStr">
        <is>
          <t>inherited from gun_120mm</t>
        </is>
      </c>
      <c r="BM263" t="inlineStr"/>
      <c r="BN263" t="inlineStr">
        <is>
          <t>Assets/MachineBrigade/Resources/Data/balance.json: weapons[id=p26_moloch_mo120] (lớp B trên 01_chien_dau/Vu_khi)</t>
        </is>
      </c>
      <c r="BO263" t="inlineStr"/>
    </row>
    <row r="264">
      <c r="A264" t="inlineStr">
        <is>
          <t>p26_moloch_mo120ap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2</v>
      </c>
      <c r="I264">
        <f>Vu_khi!$W$264*MAX(1,$E$264)</f>
        <v/>
      </c>
      <c r="J264" t="n">
        <v>240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120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1.2</v>
      </c>
      <c r="W264">
        <f>INDEX(Bang_sat_thuong!$C$2:$C$7,MATCH(Vu_khi!$K$264,Bang_sat_thuong!$A$2:$A$7,0))</f>
        <v/>
      </c>
      <c r="X264" t="n">
        <v>0.3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0.7</v>
      </c>
      <c r="AA264">
        <f>AND(Vu_khi!$K$264="Kinetic",NOT(Vu_khi!$AG$264))</f>
        <v/>
      </c>
      <c r="AB264" t="b">
        <v>1</v>
      </c>
      <c r="AC264">
        <f>IF(Vu_khi!$AG$264,INDEX(Bang_danh_noc!$C$2:$C$8,MIN(7,MAX(1,2-(Vu_khi!$L$264-0)+1))),INDEX(Bang_xuyen_giap!$C$2:$C$8,MIN(7,MAX(1,IF($O$264,MAX(1,2-(Vu_khi!$L$264-0)),2-(Vu_khi!$L$264-0))+1))))*IF($AA$264,INDEX(Bang_xuyen_qua!$C$2:$C$5,MIN(4,MAX(1,(Vu_khi!$L$264)-(0)-1))),1)</f>
        <v/>
      </c>
      <c r="AD264" t="n">
        <v>0.8999999999999999</v>
      </c>
      <c r="AE264">
        <f>IF(Vu_khi!$AG$264,INDEX(Bang_danh_noc!$C$2:$C$8,MIN(7,MAX(1,2-(Vu_khi!$L$264-2)+1))),INDEX(Bang_xuyen_giap!$C$2:$C$8,MIN(7,MAX(1,IF($O$264,MAX(1,2-(Vu_khi!$L$264-2)),2-(Vu_khi!$L$264-2))+1))))*IF($AA$264,INDEX(Bang_xuyen_qua!$C$2:$C$5,MIN(4,MAX(1,(Vu_khi!$L$264)-(2)-1))),1)</f>
        <v/>
      </c>
      <c r="AF264" t="n">
        <v>1.14</v>
      </c>
      <c r="AG264">
        <f>IF(Vu_khi!$AG$264,INDEX(Bang_danh_noc!$C$2:$C$8,MIN(7,MAX(1,2-(Vu_khi!$L$264-4)+1))),INDEX(Bang_xuyen_giap!$C$2:$C$8,MIN(7,MAX(1,IF($O$264,MAX(1,2-(Vu_khi!$L$264-4)),2-(Vu_khi!$L$264-4))+1))))*IF($AA$264,INDEX(Bang_xuyen_qua!$C$2:$C$5,MIN(4,MAX(1,(Vu_khi!$L$264)-(4)-1))),1)</f>
        <v/>
      </c>
      <c r="AH264" t="n">
        <v>1</v>
      </c>
      <c r="AI264">
        <f>INDEX(Bang_xuyen_giap!$C$2:$C$8,MIN(7,MAX(1,MAX(1,2-(Vu_khi!$L$264-0))+1)))*IF($AA$264,INDEX(Bang_xuyen_qua!$C$2:$C$5,MIN(4,MAX(1,(Vu_khi!$L$264)-(0)-1))),1)</f>
        <v/>
      </c>
      <c r="AJ264" t="n">
        <v>0.75</v>
      </c>
      <c r="AK264">
        <f>IF($Q$264,$M$264*$AC$264*$U$264,0)</f>
        <v/>
      </c>
      <c r="AL264" t="n">
        <v>129.6</v>
      </c>
      <c r="AM264">
        <f>IF($Q$264,$M$264*$AE$264*$U$264,0)</f>
        <v/>
      </c>
      <c r="AN264" t="n">
        <v>164.16</v>
      </c>
      <c r="AO264">
        <f>IF($Q$264,$M$264*$AG$264*$U$264,0)</f>
        <v/>
      </c>
      <c r="AP264" t="n">
        <v>144</v>
      </c>
      <c r="AQ264">
        <f>IF($Q$264,$M$264*$AE$264*$Y$264,0)</f>
        <v/>
      </c>
      <c r="AR264" t="n">
        <v>95.75999999999999</v>
      </c>
      <c r="AS264">
        <f>IF($S$264,$M$264*$AI$264*$W$264,0)</f>
        <v/>
      </c>
      <c r="AT264" t="n">
        <v>0</v>
      </c>
      <c r="AU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V264" t="b">
        <v>0</v>
      </c>
      <c r="AW264">
        <f>IF(AND($B$264&lt;0,$AU$264),4,$B$264)</f>
        <v/>
      </c>
      <c r="AX264" t="n">
        <v>3</v>
      </c>
      <c r="AY264">
        <f>IF($AW$264&lt;4,0,MIN(MAX(0.5,Canh_bao_vong!$D$4),MAX(IF(Vu_khi!$C$264="cal_406",Canh_bao_vong!$D$7,IF($AW$264&gt;=5,Canh_bao_vong!$D$9,Canh_bao_vong!$D$8)),Canh_bao_vong!$D$2+MAX(0,Vu_khi!$X$264)/MAX(0.1,Canh_bao_vong!$D$5))))</f>
        <v/>
      </c>
      <c r="AZ264" t="n">
        <v>0</v>
      </c>
      <c r="BA264" t="n">
        <v>0.186667</v>
      </c>
      <c r="BB264" t="inlineStr">
        <is>
          <t>NHANH_QUA;LECH_DOT_1</t>
        </is>
      </c>
      <c r="BC264" t="inlineStr"/>
      <c r="BD264" t="n">
        <v>170</v>
      </c>
      <c r="BE264" t="n">
        <v>221</v>
      </c>
      <c r="BF264" t="n">
        <v>0.047</v>
      </c>
      <c r="BG264" t="n">
        <v>0.094</v>
      </c>
      <c r="BH264" t="n">
        <v>0.188</v>
      </c>
      <c r="BI264" t="n">
        <v>0.145</v>
      </c>
      <c r="BJ264" t="inlineStr">
        <is>
          <t>DIRECT_FAST</t>
        </is>
      </c>
      <c r="BK264" t="inlineStr">
        <is>
          <t>ok</t>
        </is>
      </c>
      <c r="BL264" t="inlineStr">
        <is>
          <t>inherited from gun_120mm</t>
        </is>
      </c>
      <c r="BM264" t="inlineStr"/>
      <c r="BN264" t="inlineStr">
        <is>
          <t>Assets/MachineBrigade/Resources/Data/balance.json: weapons[id=p26_moloch_mo120ap] (lớp B trên 01_chien_dau/Vu_khi)</t>
        </is>
      </c>
      <c r="BO264" t="inlineStr"/>
    </row>
    <row r="265">
      <c r="A265" t="inlineStr">
        <is>
          <t>p26_moloch_tiny_zu23</t>
        </is>
      </c>
      <c r="B265" t="n">
        <v>1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100</v>
      </c>
      <c r="G265">
        <f>IF(Vu_khi!$S$265&gt;0,(Vu_khi!$S$265-1)*Vu_khi!$R$265+Vu_khi!$T$265,Vu_khi!$R$265+(Vu_khi!$P$265-1)*Vu_khi!$Q$265)</f>
        <v/>
      </c>
      <c r="H265" t="n">
        <v>4.96</v>
      </c>
      <c r="I265">
        <f>Vu_khi!$W$265*MAX(1,$E$265)</f>
        <v/>
      </c>
      <c r="J265" t="n">
        <v>350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70.56451612903226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1</v>
      </c>
      <c r="U265">
        <f>INDEX(Bang_sat_thuong!$B$2:$B$7,MATCH(Vu_khi!$K$265,Bang_sat_thuong!$A$2:$A$7,0))</f>
        <v/>
      </c>
      <c r="V265" t="n">
        <v>0.45</v>
      </c>
      <c r="W265">
        <f>INDEX(Bang_sat_thuong!$C$2:$C$7,MATCH(Vu_khi!$K$265,Bang_sat_thuong!$A$2:$A$7,0))</f>
        <v/>
      </c>
      <c r="X265" t="n">
        <v>1.35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0.1</v>
      </c>
      <c r="AA265">
        <f>AND(Vu_khi!$K$265="Kinetic",NOT(Vu_khi!$AG$265))</f>
        <v/>
      </c>
      <c r="AB265" t="b">
        <v>0</v>
      </c>
      <c r="AC265">
        <f>IF(Vu_khi!$AG$265,INDEX(Bang_danh_noc!$C$2:$C$8,MIN(7,MAX(1,2-(Vu_khi!$L$265-0)+1))),INDEX(Bang_xuyen_giap!$C$2:$C$8,MIN(7,MAX(1,IF($O$265,MAX(1,2-(Vu_khi!$L$265-0)),2-(Vu_khi!$L$265-0))+1))))*IF($AA$265,INDEX(Bang_xuyen_qua!$C$2:$C$5,MIN(4,MAX(1,(Vu_khi!$L$265)-(0)-1))),1)</f>
        <v/>
      </c>
      <c r="AD265" t="n">
        <v>1</v>
      </c>
      <c r="AE265">
        <f>IF(Vu_khi!$AG$265,INDEX(Bang_danh_noc!$C$2:$C$8,MIN(7,MAX(1,2-(Vu_khi!$L$265-2)+1))),INDEX(Bang_xuyen_giap!$C$2:$C$8,MIN(7,MAX(1,IF($O$265,MAX(1,2-(Vu_khi!$L$265-2)),2-(Vu_khi!$L$265-2))+1))))*IF($AA$265,INDEX(Bang_xuyen_qua!$C$2:$C$5,MIN(4,MAX(1,(Vu_khi!$L$265)-(2)-1))),1)</f>
        <v/>
      </c>
      <c r="AF265" t="n">
        <v>0.65</v>
      </c>
      <c r="AG265">
        <f>IF(Vu_khi!$AG$265,INDEX(Bang_danh_noc!$C$2:$C$8,MIN(7,MAX(1,2-(Vu_khi!$L$265-4)+1))),INDEX(Bang_xuyen_giap!$C$2:$C$8,MIN(7,MAX(1,IF($O$265,MAX(1,2-(Vu_khi!$L$265-4)),2-(Vu_khi!$L$265-4))+1))))*IF($AA$265,INDEX(Bang_xuyen_qua!$C$2:$C$5,MIN(4,MAX(1,(Vu_khi!$L$265)-(4)-1))),1)</f>
        <v/>
      </c>
      <c r="AH265" t="n">
        <v>0.15</v>
      </c>
      <c r="AI265">
        <f>INDEX(Bang_xuyen_giap!$C$2:$C$8,MIN(7,MAX(1,MAX(1,2-(Vu_khi!$L$265-0))+1)))*IF($AA$265,INDEX(Bang_xuyen_qua!$C$2:$C$5,MIN(4,MAX(1,(Vu_khi!$L$265)-(0)-1))),1)</f>
        <v/>
      </c>
      <c r="AJ265" t="n">
        <v>1</v>
      </c>
      <c r="AK265">
        <f>IF($Q$265,$M$265*$AC$265*$U$265,0)</f>
        <v/>
      </c>
      <c r="AL265" t="n">
        <v>31.75403225806452</v>
      </c>
      <c r="AM265">
        <f>IF($Q$265,$M$265*$AE$265*$U$265,0)</f>
        <v/>
      </c>
      <c r="AN265" t="n">
        <v>20.64012096774194</v>
      </c>
      <c r="AO265">
        <f>IF($Q$265,$M$265*$AG$265*$U$265,0)</f>
        <v/>
      </c>
      <c r="AP265" t="n">
        <v>4.763104838709678</v>
      </c>
      <c r="AQ265">
        <f>IF($Q$265,$M$265*$AE$265*$Y$265,0)</f>
        <v/>
      </c>
      <c r="AR265" t="n">
        <v>4.586693548387097</v>
      </c>
      <c r="AS265">
        <f>IF($S$265,$M$265*$AI$265*$W$265,0)</f>
        <v/>
      </c>
      <c r="AT265" t="n">
        <v>95.26209677419355</v>
      </c>
      <c r="AU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V265" t="b">
        <v>0</v>
      </c>
      <c r="AW265">
        <f>IF(AND($B$265&lt;0,$AU$265),4,$B$265)</f>
        <v/>
      </c>
      <c r="AX265" t="n">
        <v>1</v>
      </c>
      <c r="AY265">
        <f>IF($AW$265&lt;4,0,MIN(MAX(0.5,Canh_bao_vong!$D$4),MAX(IF(Vu_khi!$C$265="cal_406",Canh_bao_vong!$D$7,IF($AW$265&gt;=5,Canh_bao_vong!$D$9,Canh_bao_vong!$D$8)),Canh_bao_vong!$D$2+MAX(0,Vu_khi!$X$265)/MAX(0.1,Canh_bao_vong!$D$5))))</f>
        <v/>
      </c>
      <c r="AZ265" t="n">
        <v>0</v>
      </c>
      <c r="BA265" t="n">
        <v>1.653333</v>
      </c>
      <c r="BB265" t="inlineStr">
        <is>
          <t>ok</t>
        </is>
      </c>
      <c r="BC265" t="b">
        <v>1</v>
      </c>
      <c r="BD265" t="n">
        <v>240</v>
      </c>
      <c r="BE265" t="n">
        <v>312</v>
      </c>
      <c r="BF265" t="n">
        <v>0.04</v>
      </c>
      <c r="BG265" t="n">
        <v>0.079</v>
      </c>
      <c r="BH265" t="n">
        <v>0.158</v>
      </c>
      <c r="BI265" t="n">
        <v>0.122</v>
      </c>
      <c r="BJ265" t="inlineStr">
        <is>
          <t>DIRECT_BULLET</t>
        </is>
      </c>
      <c r="BK265" t="inlineStr">
        <is>
          <t>ok</t>
        </is>
      </c>
      <c r="BL265" t="inlineStr">
        <is>
          <t>inherited from zu23</t>
        </is>
      </c>
      <c r="BM265" t="inlineStr"/>
      <c r="BN265" t="inlineStr">
        <is>
          <t>Assets/MachineBrigade/Resources/Data/balance.json: weapons[id=p26_moloch_tiny_zu23] (lớp B trên 01_chien_dau/Vu_khi)</t>
        </is>
      </c>
      <c r="BO265" t="inlineStr"/>
    </row>
    <row r="266">
      <c r="A266" t="inlineStr">
        <is>
          <t>p26_nemesis_close_boss_flak</t>
        </is>
      </c>
      <c r="B266" t="n">
        <v>1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41</v>
      </c>
      <c r="G266">
        <f>IF(Vu_khi!$S$266&gt;0,(Vu_khi!$S$266-1)*Vu_khi!$R$266+Vu_khi!$T$266,Vu_khi!$R$266+(Vu_khi!$P$266-1)*Vu_khi!$Q$266)</f>
        <v/>
      </c>
      <c r="H266" t="n">
        <v>5.38</v>
      </c>
      <c r="I266">
        <f>Vu_khi!$W$266*MAX(1,$E$266)</f>
        <v/>
      </c>
      <c r="J266" t="n">
        <v>1025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190.5204460966543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1</v>
      </c>
      <c r="U266">
        <f>INDEX(Bang_sat_thuong!$B$2:$B$7,MATCH(Vu_khi!$K$266,Bang_sat_thuong!$A$2:$A$7,0))</f>
        <v/>
      </c>
      <c r="V266" t="n">
        <v>0.45</v>
      </c>
      <c r="W266">
        <f>INDEX(Bang_sat_thuong!$C$2:$C$7,MATCH(Vu_khi!$K$266,Bang_sat_thuong!$A$2:$A$7,0))</f>
        <v/>
      </c>
      <c r="X266" t="n">
        <v>1.35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0.1</v>
      </c>
      <c r="AA266">
        <f>AND(Vu_khi!$K$266="Kinetic",NOT(Vu_khi!$AG$266))</f>
        <v/>
      </c>
      <c r="AB266" t="b">
        <v>0</v>
      </c>
      <c r="AC266">
        <f>IF(Vu_khi!$AG$266,INDEX(Bang_danh_noc!$C$2:$C$8,MIN(7,MAX(1,2-(Vu_khi!$L$266-0)+1))),INDEX(Bang_xuyen_giap!$C$2:$C$8,MIN(7,MAX(1,IF($O$266,MAX(1,2-(Vu_khi!$L$266-0)),2-(Vu_khi!$L$266-0))+1))))*IF($AA$266,INDEX(Bang_xuyen_qua!$C$2:$C$5,MIN(4,MAX(1,(Vu_khi!$L$266)-(0)-1))),1)</f>
        <v/>
      </c>
      <c r="AD266" t="n">
        <v>1.2</v>
      </c>
      <c r="AE266">
        <f>IF(Vu_khi!$AG$266,INDEX(Bang_danh_noc!$C$2:$C$8,MIN(7,MAX(1,2-(Vu_khi!$L$266-2)+1))),INDEX(Bang_xuyen_giap!$C$2:$C$8,MIN(7,MAX(1,IF($O$266,MAX(1,2-(Vu_khi!$L$266-2)),2-(Vu_khi!$L$266-2))+1))))*IF($AA$266,INDEX(Bang_xuyen_qua!$C$2:$C$5,MIN(4,MAX(1,(Vu_khi!$L$266)-(2)-1))),1)</f>
        <v/>
      </c>
      <c r="AF266" t="n">
        <v>0.85</v>
      </c>
      <c r="AG266">
        <f>IF(Vu_khi!$AG$266,INDEX(Bang_danh_noc!$C$2:$C$8,MIN(7,MAX(1,2-(Vu_khi!$L$266-4)+1))),INDEX(Bang_xuyen_giap!$C$2:$C$8,MIN(7,MAX(1,IF($O$266,MAX(1,2-(Vu_khi!$L$266-4)),2-(Vu_khi!$L$266-4))+1))))*IF($AA$266,INDEX(Bang_xuyen_qua!$C$2:$C$5,MIN(4,MAX(1,(Vu_khi!$L$266)-(4)-1))),1)</f>
        <v/>
      </c>
      <c r="AH266" t="n">
        <v>0.4</v>
      </c>
      <c r="AI266">
        <f>INDEX(Bang_xuyen_giap!$C$2:$C$8,MIN(7,MAX(1,MAX(1,2-(Vu_khi!$L$266-0))+1)))*IF($AA$266,INDEX(Bang_xuyen_qua!$C$2:$C$5,MIN(4,MAX(1,(Vu_khi!$L$266)-(0)-1))),1)</f>
        <v/>
      </c>
      <c r="AJ266" t="n">
        <v>1</v>
      </c>
      <c r="AK266">
        <f>IF($Q$266,$M$266*$AC$266*$U$266,0)</f>
        <v/>
      </c>
      <c r="AL266" t="n">
        <v>102.8810408921933</v>
      </c>
      <c r="AM266">
        <f>IF($Q$266,$M$266*$AE$266*$U$266,0)</f>
        <v/>
      </c>
      <c r="AN266" t="n">
        <v>72.87407063197026</v>
      </c>
      <c r="AO266">
        <f>IF($Q$266,$M$266*$AG$266*$U$266,0)</f>
        <v/>
      </c>
      <c r="AP266" t="n">
        <v>34.29368029739777</v>
      </c>
      <c r="AQ266">
        <f>IF($Q$266,$M$266*$AE$266*$Y$266,0)</f>
        <v/>
      </c>
      <c r="AR266" t="n">
        <v>16.19423791821561</v>
      </c>
      <c r="AS266">
        <f>IF($S$266,$M$266*$AI$266*$W$266,0)</f>
        <v/>
      </c>
      <c r="AT266" t="n">
        <v>257.2026022304833</v>
      </c>
      <c r="AU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V266" t="b">
        <v>0</v>
      </c>
      <c r="AW266">
        <f>IF(AND($B$266&lt;0,$AU$266),4,$B$266)</f>
        <v/>
      </c>
      <c r="AX266" t="n">
        <v>1</v>
      </c>
      <c r="AY266">
        <f>IF($AW$266&lt;4,0,MIN(MAX(0.5,Canh_bao_vong!$D$4),MAX(IF(Vu_khi!$C$266="cal_406",Canh_bao_vong!$D$7,IF($AW$266&gt;=5,Canh_bao_vong!$D$9,Canh_bao_vong!$D$8)),Canh_bao_vong!$D$2+MAX(0,Vu_khi!$X$266)/MAX(0.1,Canh_bao_vong!$D$5))))</f>
        <v/>
      </c>
      <c r="AZ266" t="n">
        <v>0</v>
      </c>
      <c r="BA266" t="n">
        <v>2.405691</v>
      </c>
      <c r="BB266" t="inlineStr">
        <is>
          <t>ok</t>
        </is>
      </c>
      <c r="BC266" t="b">
        <v>1</v>
      </c>
      <c r="BD266" t="n">
        <v>260</v>
      </c>
      <c r="BE266" t="n">
        <v>338</v>
      </c>
      <c r="BF266" t="n">
        <v>0.038</v>
      </c>
      <c r="BG266" t="n">
        <v>0.077</v>
      </c>
      <c r="BH266" t="n">
        <v>0.154</v>
      </c>
      <c r="BI266" t="n">
        <v>0.118</v>
      </c>
      <c r="BJ266" t="inlineStr">
        <is>
          <t>DIRECT_BULLET</t>
        </is>
      </c>
      <c r="BK266" t="inlineStr">
        <is>
          <t>ok</t>
        </is>
      </c>
      <c r="BL266" t="inlineStr">
        <is>
          <t>inherited from boss_flak</t>
        </is>
      </c>
      <c r="BM266" t="inlineStr"/>
      <c r="BN266" t="inlineStr">
        <is>
          <t>Assets/MachineBrigade/Resources/Data/balance.json: weapons[id=p26_nemesis_close_boss_flak] (lớp B trên 01_chien_dau/Vu_khi)</t>
        </is>
      </c>
      <c r="BO266" t="inlineStr"/>
    </row>
    <row r="267">
      <c r="A267" t="inlineStr">
        <is>
          <t>p26_nemesis_direct_ne125</t>
        </is>
      </c>
      <c r="B267" t="n">
        <v>3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1</v>
      </c>
      <c r="G267">
        <f>IF(Vu_khi!$S$267&gt;0,(Vu_khi!$S$267-1)*Vu_khi!$R$267+Vu_khi!$T$267,Vu_khi!$R$267+(Vu_khi!$P$267-1)*Vu_khi!$Q$267)</f>
        <v/>
      </c>
      <c r="H267" t="n">
        <v>7.5</v>
      </c>
      <c r="I267">
        <f>Vu_khi!$W$267*MAX(1,$E$267)</f>
        <v/>
      </c>
      <c r="J267" t="n">
        <v>400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53.33333333333334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0</v>
      </c>
      <c r="U267">
        <f>INDEX(Bang_sat_thuong!$B$2:$B$7,MATCH(Vu_khi!$K$267,Bang_sat_thuong!$A$2:$A$7,0))</f>
        <v/>
      </c>
      <c r="V267" t="n">
        <v>1.2</v>
      </c>
      <c r="W267">
        <f>INDEX(Bang_sat_thuong!$C$2:$C$7,MATCH(Vu_khi!$K$267,Bang_sat_thuong!$A$2:$A$7,0))</f>
        <v/>
      </c>
      <c r="X267" t="n">
        <v>0.3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0.7</v>
      </c>
      <c r="AA267">
        <f>AND(Vu_khi!$K$267="Kinetic",NOT(Vu_khi!$AG$267))</f>
        <v/>
      </c>
      <c r="AB267" t="b">
        <v>1</v>
      </c>
      <c r="AC267">
        <f>IF(Vu_khi!$AG$267,INDEX(Bang_danh_noc!$C$2:$C$8,MIN(7,MAX(1,2-(Vu_khi!$L$267-0)+1))),INDEX(Bang_xuyen_giap!$C$2:$C$8,MIN(7,MAX(1,IF($O$267,MAX(1,2-(Vu_khi!$L$267-0)),2-(Vu_khi!$L$267-0))+1))))*IF($AA$267,INDEX(Bang_xuyen_qua!$C$2:$C$5,MIN(4,MAX(1,(Vu_khi!$L$267)-(0)-1))),1)</f>
        <v/>
      </c>
      <c r="AD267" t="n">
        <v>0.8999999999999999</v>
      </c>
      <c r="AE267">
        <f>IF(Vu_khi!$AG$267,INDEX(Bang_danh_noc!$C$2:$C$8,MIN(7,MAX(1,2-(Vu_khi!$L$267-2)+1))),INDEX(Bang_xuyen_giap!$C$2:$C$8,MIN(7,MAX(1,IF($O$267,MAX(1,2-(Vu_khi!$L$267-2)),2-(Vu_khi!$L$267-2))+1))))*IF($AA$267,INDEX(Bang_xuyen_qua!$C$2:$C$5,MIN(4,MAX(1,(Vu_khi!$L$267)-(2)-1))),1)</f>
        <v/>
      </c>
      <c r="AF267" t="n">
        <v>1.14</v>
      </c>
      <c r="AG267">
        <f>IF(Vu_khi!$AG$267,INDEX(Bang_danh_noc!$C$2:$C$8,MIN(7,MAX(1,2-(Vu_khi!$L$267-4)+1))),INDEX(Bang_xuyen_giap!$C$2:$C$8,MIN(7,MAX(1,IF($O$267,MAX(1,2-(Vu_khi!$L$267-4)),2-(Vu_khi!$L$267-4))+1))))*IF($AA$267,INDEX(Bang_xuyen_qua!$C$2:$C$5,MIN(4,MAX(1,(Vu_khi!$L$267)-(4)-1))),1)</f>
        <v/>
      </c>
      <c r="AH267" t="n">
        <v>1</v>
      </c>
      <c r="AI267">
        <f>INDEX(Bang_xuyen_giap!$C$2:$C$8,MIN(7,MAX(1,MAX(1,2-(Vu_khi!$L$267-0))+1)))*IF($AA$267,INDEX(Bang_xuyen_qua!$C$2:$C$5,MIN(4,MAX(1,(Vu_khi!$L$267)-(0)-1))),1)</f>
        <v/>
      </c>
      <c r="AJ267" t="n">
        <v>0.75</v>
      </c>
      <c r="AK267">
        <f>IF($Q$267,$M$267*$AC$267*$U$267,0)</f>
        <v/>
      </c>
      <c r="AL267" t="n">
        <v>57.59999999999999</v>
      </c>
      <c r="AM267">
        <f>IF($Q$267,$M$267*$AE$267*$U$267,0)</f>
        <v/>
      </c>
      <c r="AN267" t="n">
        <v>72.95999999999999</v>
      </c>
      <c r="AO267">
        <f>IF($Q$267,$M$267*$AG$267*$U$267,0)</f>
        <v/>
      </c>
      <c r="AP267" t="n">
        <v>64</v>
      </c>
      <c r="AQ267">
        <f>IF($Q$267,$M$267*$AE$267*$Y$267,0)</f>
        <v/>
      </c>
      <c r="AR267" t="n">
        <v>42.56</v>
      </c>
      <c r="AS267">
        <f>IF($S$267,$M$267*$AI$267*$W$267,0)</f>
        <v/>
      </c>
      <c r="AT267" t="n">
        <v>0</v>
      </c>
      <c r="AU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V267" t="b">
        <v>0</v>
      </c>
      <c r="AW267">
        <f>IF(AND($B$267&lt;0,$AU$267),4,$B$267)</f>
        <v/>
      </c>
      <c r="AX267" t="n">
        <v>3</v>
      </c>
      <c r="AY267">
        <f>IF($AW$267&lt;4,0,MIN(MAX(0.5,Canh_bao_vong!$D$4),MAX(IF(Vu_khi!$C$267="cal_406",Canh_bao_vong!$D$7,IF($AW$267&gt;=5,Canh_bao_vong!$D$9,Canh_bao_vong!$D$8)),Canh_bao_vong!$D$2+MAX(0,Vu_khi!$X$267)/MAX(0.1,Canh_bao_vong!$D$5))))</f>
        <v/>
      </c>
      <c r="AZ267" t="n">
        <v>0</v>
      </c>
      <c r="BA267" t="n">
        <v>0.7</v>
      </c>
      <c r="BB267" t="inlineStr">
        <is>
          <t>ok</t>
        </is>
      </c>
      <c r="BC267" t="b">
        <v>1</v>
      </c>
      <c r="BD267" t="n">
        <v>170</v>
      </c>
      <c r="BE267" t="n">
        <v>221</v>
      </c>
      <c r="BF267" t="n">
        <v>0.056</v>
      </c>
      <c r="BG267" t="n">
        <v>0.112</v>
      </c>
      <c r="BH267" t="n">
        <v>0.224</v>
      </c>
      <c r="BI267" t="n">
        <v>0.172</v>
      </c>
      <c r="BJ267" t="inlineStr">
        <is>
          <t>DIRECT_FAST</t>
        </is>
      </c>
      <c r="BK267" t="inlineStr">
        <is>
          <t>ok</t>
        </is>
      </c>
      <c r="BL267" t="inlineStr">
        <is>
          <t>inherited from p26_nemesis_ne125</t>
        </is>
      </c>
      <c r="BM267" t="inlineStr"/>
      <c r="BN267" t="inlineStr">
        <is>
          <t>Assets/MachineBrigade/Resources/Data/balance.json: weapons[id=p26_nemesis_direct_ne125] (lớp B trên 01_chien_dau/Vu_khi)</t>
        </is>
      </c>
      <c r="BO267" t="inlineStr"/>
    </row>
    <row r="268">
      <c r="A268" t="inlineStr">
        <is>
          <t>p26_nemesis_main_ne152</t>
        </is>
      </c>
      <c r="B268" t="n">
        <v>3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1</v>
      </c>
      <c r="G268">
        <f>IF(Vu_khi!$S$268&gt;0,(Vu_khi!$S$268-1)*Vu_khi!$R$268+Vu_khi!$T$268,Vu_khi!$R$268+(Vu_khi!$P$268-1)*Vu_khi!$Q$268)</f>
        <v/>
      </c>
      <c r="H268" t="n">
        <v>7.5</v>
      </c>
      <c r="I268">
        <f>Vu_khi!$W$268*MAX(1,$E$268)</f>
        <v/>
      </c>
      <c r="J268" t="n">
        <v>600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80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1.6</v>
      </c>
      <c r="AA268">
        <f>AND(Vu_khi!$K$268="Kinetic",NOT(Vu_khi!$AG$268))</f>
        <v/>
      </c>
      <c r="AB268" t="b">
        <v>0</v>
      </c>
      <c r="AC268">
        <f>IF(Vu_khi!$AG$268,INDEX(Bang_danh_noc!$C$2:$C$8,MIN(7,MAX(1,2-(Vu_khi!$L$268-0)+1))),INDEX(Bang_xuyen_giap!$C$2:$C$8,MIN(7,MAX(1,IF($O$268,MAX(1,2-(Vu_khi!$L$268-0)),2-(Vu_khi!$L$268-0))+1))))*IF($AA$268,INDEX(Bang_xuyen_qua!$C$2:$C$5,MIN(4,MAX(1,(Vu_khi!$L$268)-(0)-1))),1)</f>
        <v/>
      </c>
      <c r="AD268" t="n">
        <v>1.2</v>
      </c>
      <c r="AE268">
        <f>IF(Vu_khi!$AG$268,INDEX(Bang_danh_noc!$C$2:$C$8,MIN(7,MAX(1,2-(Vu_khi!$L$268-2)+1))),INDEX(Bang_xuyen_giap!$C$2:$C$8,MIN(7,MAX(1,IF($O$268,MAX(1,2-(Vu_khi!$L$268-2)),2-(Vu_khi!$L$268-2))+1))))*IF($AA$268,INDEX(Bang_xuyen_qua!$C$2:$C$5,MIN(4,MAX(1,(Vu_khi!$L$268)-(2)-1))),1)</f>
        <v/>
      </c>
      <c r="AF268" t="n">
        <v>1</v>
      </c>
      <c r="AG268">
        <f>IF(Vu_khi!$AG$268,INDEX(Bang_danh_noc!$C$2:$C$8,MIN(7,MAX(1,2-(Vu_khi!$L$268-4)+1))),INDEX(Bang_xuyen_giap!$C$2:$C$8,MIN(7,MAX(1,IF($O$268,MAX(1,2-(Vu_khi!$L$268-4)),2-(Vu_khi!$L$268-4))+1))))*IF($AA$268,INDEX(Bang_xuyen_qua!$C$2:$C$5,MIN(4,MAX(1,(Vu_khi!$L$268)-(4)-1))),1)</f>
        <v/>
      </c>
      <c r="AH268" t="n">
        <v>0.65</v>
      </c>
      <c r="AI268">
        <f>INDEX(Bang_xuyen_giap!$C$2:$C$8,MIN(7,MAX(1,MAX(1,2-(Vu_khi!$L$268-0))+1)))*IF($AA$268,INDEX(Bang_xuyen_qua!$C$2:$C$5,MIN(4,MAX(1,(Vu_khi!$L$268)-(0)-1))),1)</f>
        <v/>
      </c>
      <c r="AJ268" t="n">
        <v>1</v>
      </c>
      <c r="AK268">
        <f>IF($Q$268,$M$268*$AC$268*$U$268,0)</f>
        <v/>
      </c>
      <c r="AL268" t="n">
        <v>96</v>
      </c>
      <c r="AM268">
        <f>IF($Q$268,$M$268*$AE$268*$U$268,0)</f>
        <v/>
      </c>
      <c r="AN268" t="n">
        <v>80</v>
      </c>
      <c r="AO268">
        <f>IF($Q$268,$M$268*$AG$268*$U$268,0)</f>
        <v/>
      </c>
      <c r="AP268" t="n">
        <v>52</v>
      </c>
      <c r="AQ268">
        <f>IF($Q$268,$M$268*$AE$268*$Y$268,0)</f>
        <v/>
      </c>
      <c r="AR268" t="n">
        <v>128</v>
      </c>
      <c r="AS268">
        <f>IF($S$268,$M$268*$AI$268*$W$268,0)</f>
        <v/>
      </c>
      <c r="AT268" t="n">
        <v>0</v>
      </c>
      <c r="AU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V268" t="b">
        <v>0</v>
      </c>
      <c r="AW268">
        <f>IF(AND($B$268&lt;0,$AU$268),4,$B$268)</f>
        <v/>
      </c>
      <c r="AX268" t="n">
        <v>3</v>
      </c>
      <c r="AY268">
        <f>IF($AW$268&lt;4,0,MIN(MAX(0.5,Canh_bao_vong!$D$4),MAX(IF(Vu_khi!$C$268="cal_406",Canh_bao_vong!$D$7,IF($AW$268&gt;=5,Canh_bao_vong!$D$9,Canh_bao_vong!$D$8)),Canh_bao_vong!$D$2+MAX(0,Vu_khi!$X$268)/MAX(0.1,Canh_bao_vong!$D$5))))</f>
        <v/>
      </c>
      <c r="AZ268" t="n">
        <v>0</v>
      </c>
      <c r="BA268" t="n">
        <v>0.7</v>
      </c>
      <c r="BB268" t="inlineStr">
        <is>
          <t>ok</t>
        </is>
      </c>
      <c r="BC268" t="b">
        <v>1</v>
      </c>
      <c r="BD268" t="n">
        <v>150</v>
      </c>
      <c r="BE268" t="n">
        <v>195</v>
      </c>
      <c r="BF268" t="n">
        <v>0.067</v>
      </c>
      <c r="BG268" t="n">
        <v>0.133</v>
      </c>
      <c r="BH268" t="n">
        <v>0.267</v>
      </c>
      <c r="BI268" t="n">
        <v>0.205</v>
      </c>
      <c r="BJ268" t="inlineStr">
        <is>
          <t>DIRECT_FAST</t>
        </is>
      </c>
      <c r="BK268" t="inlineStr">
        <is>
          <t>ok</t>
        </is>
      </c>
      <c r="BL268" t="inlineStr">
        <is>
          <t>inherited from p26_nemesis_ne152</t>
        </is>
      </c>
      <c r="BM268" t="inlineStr"/>
      <c r="BN268" t="inlineStr">
        <is>
          <t>Assets/MachineBrigade/Resources/Data/balance.json: weapons[id=p26_nemesis_main_ne152] (lớp B trên 01_chien_dau/Vu_khi)</t>
        </is>
      </c>
      <c r="BO268" t="inlineStr"/>
    </row>
    <row r="269">
      <c r="A269" t="inlineStr">
        <is>
          <t>p26_nemesis_ne125</t>
        </is>
      </c>
      <c r="B269" t="n">
        <v>3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1</v>
      </c>
      <c r="G269">
        <f>IF(Vu_khi!$S$269&gt;0,(Vu_khi!$S$269-1)*Vu_khi!$R$269+Vu_khi!$T$269,Vu_khi!$R$269+(Vu_khi!$P$269-1)*Vu_khi!$Q$269)</f>
        <v/>
      </c>
      <c r="H269" t="n">
        <v>2</v>
      </c>
      <c r="I269">
        <f>Vu_khi!$W$269*MAX(1,$E$269)</f>
        <v/>
      </c>
      <c r="J269" t="n">
        <v>280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140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1.2</v>
      </c>
      <c r="W269">
        <f>INDEX(Bang_sat_thuong!$C$2:$C$7,MATCH(Vu_khi!$K$269,Bang_sat_thuong!$A$2:$A$7,0))</f>
        <v/>
      </c>
      <c r="X269" t="n">
        <v>0.3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0.7</v>
      </c>
      <c r="AA269">
        <f>AND(Vu_khi!$K$269="Kinetic",NOT(Vu_khi!$AG$269))</f>
        <v/>
      </c>
      <c r="AB269" t="b">
        <v>1</v>
      </c>
      <c r="AC269">
        <f>IF(Vu_khi!$AG$269,INDEX(Bang_danh_noc!$C$2:$C$8,MIN(7,MAX(1,2-(Vu_khi!$L$269-0)+1))),INDEX(Bang_xuyen_giap!$C$2:$C$8,MIN(7,MAX(1,IF($O$269,MAX(1,2-(Vu_khi!$L$269-0)),2-(Vu_khi!$L$269-0))+1))))*IF($AA$269,INDEX(Bang_xuyen_qua!$C$2:$C$5,MIN(4,MAX(1,(Vu_khi!$L$269)-(0)-1))),1)</f>
        <v/>
      </c>
      <c r="AD269" t="n">
        <v>0.8999999999999999</v>
      </c>
      <c r="AE269">
        <f>IF(Vu_khi!$AG$269,INDEX(Bang_danh_noc!$C$2:$C$8,MIN(7,MAX(1,2-(Vu_khi!$L$269-2)+1))),INDEX(Bang_xuyen_giap!$C$2:$C$8,MIN(7,MAX(1,IF($O$269,MAX(1,2-(Vu_khi!$L$269-2)),2-(Vu_khi!$L$269-2))+1))))*IF($AA$269,INDEX(Bang_xuyen_qua!$C$2:$C$5,MIN(4,MAX(1,(Vu_khi!$L$269)-(2)-1))),1)</f>
        <v/>
      </c>
      <c r="AF269" t="n">
        <v>1.14</v>
      </c>
      <c r="AG269">
        <f>IF(Vu_khi!$AG$269,INDEX(Bang_danh_noc!$C$2:$C$8,MIN(7,MAX(1,2-(Vu_khi!$L$269-4)+1))),INDEX(Bang_xuyen_giap!$C$2:$C$8,MIN(7,MAX(1,IF($O$269,MAX(1,2-(Vu_khi!$L$269-4)),2-(Vu_khi!$L$269-4))+1))))*IF($AA$269,INDEX(Bang_xuyen_qua!$C$2:$C$5,MIN(4,MAX(1,(Vu_khi!$L$269)-(4)-1))),1)</f>
        <v/>
      </c>
      <c r="AH269" t="n">
        <v>1</v>
      </c>
      <c r="AI269">
        <f>INDEX(Bang_xuyen_giap!$C$2:$C$8,MIN(7,MAX(1,MAX(1,2-(Vu_khi!$L$269-0))+1)))*IF($AA$269,INDEX(Bang_xuyen_qua!$C$2:$C$5,MIN(4,MAX(1,(Vu_khi!$L$269)-(0)-1))),1)</f>
        <v/>
      </c>
      <c r="AJ269" t="n">
        <v>0.75</v>
      </c>
      <c r="AK269">
        <f>IF($Q$269,$M$269*$AC$269*$U$269,0)</f>
        <v/>
      </c>
      <c r="AL269" t="n">
        <v>151.2</v>
      </c>
      <c r="AM269">
        <f>IF($Q$269,$M$269*$AE$269*$U$269,0)</f>
        <v/>
      </c>
      <c r="AN269" t="n">
        <v>191.52</v>
      </c>
      <c r="AO269">
        <f>IF($Q$269,$M$269*$AG$269*$U$269,0)</f>
        <v/>
      </c>
      <c r="AP269" t="n">
        <v>168</v>
      </c>
      <c r="AQ269">
        <f>IF($Q$269,$M$269*$AE$269*$Y$269,0)</f>
        <v/>
      </c>
      <c r="AR269" t="n">
        <v>111.72</v>
      </c>
      <c r="AS269">
        <f>IF($S$269,$M$269*$AI$269*$W$269,0)</f>
        <v/>
      </c>
      <c r="AT269" t="n">
        <v>0</v>
      </c>
      <c r="AU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V269" t="b">
        <v>0</v>
      </c>
      <c r="AW269">
        <f>IF(AND($B$269&lt;0,$AU$269),4,$B$269)</f>
        <v/>
      </c>
      <c r="AX269" t="n">
        <v>3</v>
      </c>
      <c r="AY269">
        <f>IF($AW$269&lt;4,0,MIN(MAX(0.5,Canh_bao_vong!$D$4),MAX(IF(Vu_khi!$C$269="cal_406",Canh_bao_vong!$D$7,IF($AW$269&gt;=5,Canh_bao_vong!$D$9,Canh_bao_vong!$D$8)),Canh_bao_vong!$D$2+MAX(0,Vu_khi!$X$269)/MAX(0.1,Canh_bao_vong!$D$5))))</f>
        <v/>
      </c>
      <c r="AZ269" t="n">
        <v>0</v>
      </c>
      <c r="BA269" t="n">
        <v>0.186667</v>
      </c>
      <c r="BB269" t="inlineStr">
        <is>
          <t>NHANH_QUA;LECH_DOT_1</t>
        </is>
      </c>
      <c r="BC269" t="inlineStr"/>
      <c r="BD269" t="n">
        <v>170</v>
      </c>
      <c r="BE269" t="n">
        <v>221</v>
      </c>
      <c r="BF269" t="n">
        <v>0.056</v>
      </c>
      <c r="BG269" t="n">
        <v>0.112</v>
      </c>
      <c r="BH269" t="n">
        <v>0.224</v>
      </c>
      <c r="BI269" t="n">
        <v>0.172</v>
      </c>
      <c r="BJ269" t="inlineStr">
        <is>
          <t>DIRECT_FAST</t>
        </is>
      </c>
      <c r="BK269" t="inlineStr">
        <is>
          <t>ok</t>
        </is>
      </c>
      <c r="BL269" t="inlineStr">
        <is>
          <t>inherited from gun_120mm</t>
        </is>
      </c>
      <c r="BM269" t="inlineStr"/>
      <c r="BN269" t="inlineStr">
        <is>
          <t>Assets/MachineBrigade/Resources/Data/balance.json: weapons[id=p26_nemesis_ne125] (lớp B trên 01_chien_dau/Vu_khi)</t>
        </is>
      </c>
      <c r="BO269" t="inlineStr"/>
    </row>
    <row r="270">
      <c r="A270" t="inlineStr">
        <is>
          <t>p26_nemesis_ne152</t>
        </is>
      </c>
      <c r="B270" t="n">
        <v>3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4</v>
      </c>
      <c r="G270">
        <f>IF(Vu_khi!$S$270&gt;0,(Vu_khi!$S$270-1)*Vu_khi!$R$270+Vu_khi!$T$270,Vu_khi!$R$270+(Vu_khi!$P$270-1)*Vu_khi!$Q$270)</f>
        <v/>
      </c>
      <c r="H270" t="n">
        <v>5</v>
      </c>
      <c r="I270">
        <f>Vu_khi!$W$270*MAX(1,$E$270)</f>
        <v/>
      </c>
      <c r="J270" t="n">
        <v>2480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496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1.6</v>
      </c>
      <c r="AA270">
        <f>AND(Vu_khi!$K$270="Kinetic",NOT(Vu_khi!$AG$270))</f>
        <v/>
      </c>
      <c r="AB270" t="b">
        <v>0</v>
      </c>
      <c r="AC270">
        <f>IF(Vu_khi!$AG$270,INDEX(Bang_danh_noc!$C$2:$C$8,MIN(7,MAX(1,2-(Vu_khi!$L$270-0)+1))),INDEX(Bang_xuyen_giap!$C$2:$C$8,MIN(7,MAX(1,IF($O$270,MAX(1,2-(Vu_khi!$L$270-0)),2-(Vu_khi!$L$270-0))+1))))*IF($AA$270,INDEX(Bang_xuyen_qua!$C$2:$C$5,MIN(4,MAX(1,(Vu_khi!$L$270)-(0)-1))),1)</f>
        <v/>
      </c>
      <c r="AD270" t="n">
        <v>1.2</v>
      </c>
      <c r="AE270">
        <f>IF(Vu_khi!$AG$270,INDEX(Bang_danh_noc!$C$2:$C$8,MIN(7,MAX(1,2-(Vu_khi!$L$270-2)+1))),INDEX(Bang_xuyen_giap!$C$2:$C$8,MIN(7,MAX(1,IF($O$270,MAX(1,2-(Vu_khi!$L$270-2)),2-(Vu_khi!$L$270-2))+1))))*IF($AA$270,INDEX(Bang_xuyen_qua!$C$2:$C$5,MIN(4,MAX(1,(Vu_khi!$L$270)-(2)-1))),1)</f>
        <v/>
      </c>
      <c r="AF270" t="n">
        <v>1</v>
      </c>
      <c r="AG270">
        <f>IF(Vu_khi!$AG$270,INDEX(Bang_danh_noc!$C$2:$C$8,MIN(7,MAX(1,2-(Vu_khi!$L$270-4)+1))),INDEX(Bang_xuyen_giap!$C$2:$C$8,MIN(7,MAX(1,IF($O$270,MAX(1,2-(Vu_khi!$L$270-4)),2-(Vu_khi!$L$270-4))+1))))*IF($AA$270,INDEX(Bang_xuyen_qua!$C$2:$C$5,MIN(4,MAX(1,(Vu_khi!$L$270)-(4)-1))),1)</f>
        <v/>
      </c>
      <c r="AH270" t="n">
        <v>0.65</v>
      </c>
      <c r="AI270">
        <f>INDEX(Bang_xuyen_giap!$C$2:$C$8,MIN(7,MAX(1,MAX(1,2-(Vu_khi!$L$270-0))+1)))*IF($AA$270,INDEX(Bang_xuyen_qua!$C$2:$C$5,MIN(4,MAX(1,(Vu_khi!$L$270)-(0)-1))),1)</f>
        <v/>
      </c>
      <c r="AJ270" t="n">
        <v>1</v>
      </c>
      <c r="AK270">
        <f>IF($Q$270,$M$270*$AC$270*$U$270,0)</f>
        <v/>
      </c>
      <c r="AL270" t="n">
        <v>595.1999999999999</v>
      </c>
      <c r="AM270">
        <f>IF($Q$270,$M$270*$AE$270*$U$270,0)</f>
        <v/>
      </c>
      <c r="AN270" t="n">
        <v>496</v>
      </c>
      <c r="AO270">
        <f>IF($Q$270,$M$270*$AG$270*$U$270,0)</f>
        <v/>
      </c>
      <c r="AP270" t="n">
        <v>322.4</v>
      </c>
      <c r="AQ270">
        <f>IF($Q$270,$M$270*$AE$270*$Y$270,0)</f>
        <v/>
      </c>
      <c r="AR270" t="n">
        <v>793.6</v>
      </c>
      <c r="AS270">
        <f>IF($S$270,$M$270*$AI$270*$W$270,0)</f>
        <v/>
      </c>
      <c r="AT270" t="n">
        <v>0</v>
      </c>
      <c r="AU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V270" t="b">
        <v>0</v>
      </c>
      <c r="AW270">
        <f>IF(AND($B$270&lt;0,$AU$270),4,$B$270)</f>
        <v/>
      </c>
      <c r="AX270" t="n">
        <v>3</v>
      </c>
      <c r="AY270">
        <f>IF($AW$270&lt;4,0,MIN(MAX(0.5,Canh_bao_vong!$D$4),MAX(IF(Vu_khi!$C$270="cal_406",Canh_bao_vong!$D$7,IF($AW$270&gt;=5,Canh_bao_vong!$D$9,Canh_bao_vong!$D$8)),Canh_bao_vong!$D$2+MAX(0,Vu_khi!$X$270)/MAX(0.1,Canh_bao_vong!$D$5))))</f>
        <v/>
      </c>
      <c r="AZ270" t="n">
        <v>0</v>
      </c>
      <c r="BA270" t="n">
        <v>0.116667</v>
      </c>
      <c r="BB270" t="inlineStr">
        <is>
          <t>NHANH_QUA;LECH_DOT_1</t>
        </is>
      </c>
      <c r="BC270" t="inlineStr"/>
      <c r="BD270" t="n">
        <v>150</v>
      </c>
      <c r="BE270" t="n">
        <v>195</v>
      </c>
      <c r="BF270" t="n">
        <v>0.067</v>
      </c>
      <c r="BG270" t="n">
        <v>0.133</v>
      </c>
      <c r="BH270" t="n">
        <v>0.267</v>
      </c>
      <c r="BI270" t="n">
        <v>0.205</v>
      </c>
      <c r="BJ270" t="inlineStr">
        <is>
          <t>DIRECT_FAST</t>
        </is>
      </c>
      <c r="BK270" t="inlineStr">
        <is>
          <t>ok</t>
        </is>
      </c>
      <c r="BL270" t="inlineStr">
        <is>
          <t>inherited from gun_behemoth</t>
        </is>
      </c>
      <c r="BM270" t="inlineStr"/>
      <c r="BN270" t="inlineStr">
        <is>
          <t>Assets/MachineBrigade/Resources/Data/balance.json: weapons[id=p26_nemesis_ne152] (lớp B trên 01_chien_dau/Vu_khi)</t>
        </is>
      </c>
      <c r="BO270" t="inlineStr"/>
    </row>
    <row r="271">
      <c r="A271" t="inlineStr">
        <is>
          <t>p26_nemesis_sec_boss_rockets</t>
        </is>
      </c>
      <c r="B271" t="n">
        <v>3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40</v>
      </c>
      <c r="G271">
        <f>IF(Vu_khi!$S$271&gt;0,(Vu_khi!$S$271-1)*Vu_khi!$R$271+Vu_khi!$T$271,Vu_khi!$R$271+(Vu_khi!$P$271-1)*Vu_khi!$Q$271)</f>
        <v/>
      </c>
      <c r="H271" t="n">
        <v>21.94</v>
      </c>
      <c r="I271">
        <f>Vu_khi!$W$271*MAX(1,$E$271)</f>
        <v/>
      </c>
      <c r="J271" t="n">
        <v>8000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364.6308113035551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1.6</v>
      </c>
      <c r="AA271">
        <f>AND(Vu_khi!$K$271="Kinetic",NOT(Vu_khi!$AG$271))</f>
        <v/>
      </c>
      <c r="AB271" t="b">
        <v>0</v>
      </c>
      <c r="AC271">
        <f>IF(Vu_khi!$AG$271,INDEX(Bang_danh_noc!$C$2:$C$8,MIN(7,MAX(1,2-(Vu_khi!$L$271-0)+1))),INDEX(Bang_xuyen_giap!$C$2:$C$8,MIN(7,MAX(1,IF($O$271,MAX(1,2-(Vu_khi!$L$271-0)),2-(Vu_khi!$L$271-0))+1))))*IF($AA$271,INDEX(Bang_xuyen_qua!$C$2:$C$5,MIN(4,MAX(1,(Vu_khi!$L$271)-(0)-1))),1)</f>
        <v/>
      </c>
      <c r="AD271" t="n">
        <v>1.2</v>
      </c>
      <c r="AE271">
        <f>IF(Vu_khi!$AG$271,INDEX(Bang_danh_noc!$C$2:$C$8,MIN(7,MAX(1,2-(Vu_khi!$L$271-2)+1))),INDEX(Bang_xuyen_giap!$C$2:$C$8,MIN(7,MAX(1,IF($O$271,MAX(1,2-(Vu_khi!$L$271-2)),2-(Vu_khi!$L$271-2))+1))))*IF($AA$271,INDEX(Bang_xuyen_qua!$C$2:$C$5,MIN(4,MAX(1,(Vu_khi!$L$271)-(2)-1))),1)</f>
        <v/>
      </c>
      <c r="AF271" t="n">
        <v>0.85</v>
      </c>
      <c r="AG271">
        <f>IF(Vu_khi!$AG$271,INDEX(Bang_danh_noc!$C$2:$C$8,MIN(7,MAX(1,2-(Vu_khi!$L$271-4)+1))),INDEX(Bang_xuyen_giap!$C$2:$C$8,MIN(7,MAX(1,IF($O$271,MAX(1,2-(Vu_khi!$L$271-4)),2-(Vu_khi!$L$271-4))+1))))*IF($AA$271,INDEX(Bang_xuyen_qua!$C$2:$C$5,MIN(4,MAX(1,(Vu_khi!$L$271)-(4)-1))),1)</f>
        <v/>
      </c>
      <c r="AH271" t="n">
        <v>0.4</v>
      </c>
      <c r="AI271">
        <f>INDEX(Bang_xuyen_giap!$C$2:$C$8,MIN(7,MAX(1,MAX(1,2-(Vu_khi!$L$271-0))+1)))*IF($AA$271,INDEX(Bang_xuyen_qua!$C$2:$C$5,MIN(4,MAX(1,(Vu_khi!$L$271)-(0)-1))),1)</f>
        <v/>
      </c>
      <c r="AJ271" t="n">
        <v>1</v>
      </c>
      <c r="AK271">
        <f>IF($Q$271,$M$271*$AC$271*$U$271,0)</f>
        <v/>
      </c>
      <c r="AL271" t="n">
        <v>437.5569735642661</v>
      </c>
      <c r="AM271">
        <f>IF($Q$271,$M$271*$AE$271*$U$271,0)</f>
        <v/>
      </c>
      <c r="AN271" t="n">
        <v>309.9361896080218</v>
      </c>
      <c r="AO271">
        <f>IF($Q$271,$M$271*$AG$271*$U$271,0)</f>
        <v/>
      </c>
      <c r="AP271" t="n">
        <v>145.852324521422</v>
      </c>
      <c r="AQ271">
        <f>IF($Q$271,$M$271*$AE$271*$Y$271,0)</f>
        <v/>
      </c>
      <c r="AR271" t="n">
        <v>495.897903372835</v>
      </c>
      <c r="AS271">
        <f>IF($S$271,$M$271*$AI$271*$W$271,0)</f>
        <v/>
      </c>
      <c r="AT271" t="n">
        <v>0</v>
      </c>
      <c r="AU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V271" t="b">
        <v>0</v>
      </c>
      <c r="AW271">
        <f>IF(AND($B$271&lt;0,$AU$271),4,$B$271)</f>
        <v/>
      </c>
      <c r="AX271" t="n">
        <v>3</v>
      </c>
      <c r="AY271">
        <f>IF($AW$271&lt;4,0,MIN(MAX(0.5,Canh_bao_vong!$D$4),MAX(IF(Vu_khi!$C$271="cal_406",Canh_bao_vong!$D$7,IF($AW$271&gt;=5,Canh_bao_vong!$D$9,Canh_bao_vong!$D$8)),Canh_bao_vong!$D$2+MAX(0,Vu_khi!$X$271)/MAX(0.1,Canh_bao_vong!$D$5))))</f>
        <v/>
      </c>
      <c r="AZ271" t="n">
        <v>0</v>
      </c>
      <c r="BA271" t="n">
        <v>1</v>
      </c>
      <c r="BB271" t="inlineStr">
        <is>
          <t>ok</t>
        </is>
      </c>
      <c r="BC271" t="b">
        <v>1</v>
      </c>
      <c r="BD271" t="n">
        <v>80</v>
      </c>
      <c r="BE271" t="n">
        <v>104</v>
      </c>
      <c r="BF271" t="n">
        <v>0.141</v>
      </c>
      <c r="BG271" t="n">
        <v>0.281</v>
      </c>
      <c r="BH271" t="n">
        <v>0.5620000000000001</v>
      </c>
      <c r="BI271" t="n">
        <v>0.433</v>
      </c>
      <c r="BJ271" t="inlineStr">
        <is>
          <t>ROCKET_ARTILLERY</t>
        </is>
      </c>
      <c r="BK271" t="inlineStr">
        <is>
          <t>TOO_FAST_FOR_CLASS;TOO_FAST_AT_GEAR_CAP</t>
        </is>
      </c>
      <c r="BL271" t="inlineStr">
        <is>
          <t>own line (over boss_rockets)</t>
        </is>
      </c>
      <c r="BM271" t="n">
        <v>40</v>
      </c>
      <c r="BN271" t="inlineStr">
        <is>
          <t>Assets/MachineBrigade/Resources/Data/balance.json: weapons[id=p26_nemesis_sec_boss_rockets] (lớp B trên 01_chien_dau/Vu_khi)</t>
        </is>
      </c>
      <c r="BO271" t="inlineStr"/>
    </row>
    <row r="272">
      <c r="A272" t="inlineStr">
        <is>
          <t>p26_roc_close_twin_30_bmpt</t>
        </is>
      </c>
      <c r="B272" t="n">
        <v>1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12</v>
      </c>
      <c r="G272">
        <f>IF(Vu_khi!$S$272&gt;0,(Vu_khi!$S$272-1)*Vu_khi!$R$272+Vu_khi!$T$272,Vu_khi!$R$272+(Vu_khi!$P$272-1)*Vu_khi!$Q$272)</f>
        <v/>
      </c>
      <c r="H272" t="n">
        <v>2.3663</v>
      </c>
      <c r="I272">
        <f>Vu_khi!$W$272*MAX(1,$E$272)</f>
        <v/>
      </c>
      <c r="J272" t="n">
        <v>264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111.5665807378608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1.2</v>
      </c>
      <c r="W272">
        <f>INDEX(Bang_sat_thuong!$C$2:$C$7,MATCH(Vu_khi!$K$272,Bang_sat_thuong!$A$2:$A$7,0))</f>
        <v/>
      </c>
      <c r="X272" t="n">
        <v>0.3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0.7</v>
      </c>
      <c r="AA272">
        <f>AND(Vu_khi!$K$272="Kinetic",NOT(Vu_khi!$AG$272))</f>
        <v/>
      </c>
      <c r="AB272" t="b">
        <v>1</v>
      </c>
      <c r="AC272">
        <f>IF(Vu_khi!$AG$272,INDEX(Bang_danh_noc!$C$2:$C$8,MIN(7,MAX(1,2-(Vu_khi!$L$272-0)+1))),INDEX(Bang_xuyen_giap!$C$2:$C$8,MIN(7,MAX(1,IF($O$272,MAX(1,2-(Vu_khi!$L$272-0)),2-(Vu_khi!$L$272-0))+1))))*IF($AA$272,INDEX(Bang_xuyen_qua!$C$2:$C$5,MIN(4,MAX(1,(Vu_khi!$L$272)-(0)-1))),1)</f>
        <v/>
      </c>
      <c r="AD272" t="n">
        <v>1.2</v>
      </c>
      <c r="AE272">
        <f>IF(Vu_khi!$AG$272,INDEX(Bang_danh_noc!$C$2:$C$8,MIN(7,MAX(1,2-(Vu_khi!$L$272-2)+1))),INDEX(Bang_xuyen_giap!$C$2:$C$8,MIN(7,MAX(1,IF($O$272,MAX(1,2-(Vu_khi!$L$272-2)),2-(Vu_khi!$L$272-2))+1))))*IF($AA$272,INDEX(Bang_xuyen_qua!$C$2:$C$5,MIN(4,MAX(1,(Vu_khi!$L$272)-(2)-1))),1)</f>
        <v/>
      </c>
      <c r="AF272" t="n">
        <v>0.85</v>
      </c>
      <c r="AG272">
        <f>IF(Vu_khi!$AG$272,INDEX(Bang_danh_noc!$C$2:$C$8,MIN(7,MAX(1,2-(Vu_khi!$L$272-4)+1))),INDEX(Bang_xuyen_giap!$C$2:$C$8,MIN(7,MAX(1,IF($O$272,MAX(1,2-(Vu_khi!$L$272-4)),2-(Vu_khi!$L$272-4))+1))))*IF($AA$272,INDEX(Bang_xuyen_qua!$C$2:$C$5,MIN(4,MAX(1,(Vu_khi!$L$272)-(4)-1))),1)</f>
        <v/>
      </c>
      <c r="AH272" t="n">
        <v>0.4</v>
      </c>
      <c r="AI272">
        <f>INDEX(Bang_xuyen_giap!$C$2:$C$8,MIN(7,MAX(1,MAX(1,2-(Vu_khi!$L$272-0))+1)))*IF($AA$272,INDEX(Bang_xuyen_qua!$C$2:$C$5,MIN(4,MAX(1,(Vu_khi!$L$272)-(0)-1))),1)</f>
        <v/>
      </c>
      <c r="AJ272" t="n">
        <v>1</v>
      </c>
      <c r="AK272">
        <f>IF($Q$272,$M$272*$AC$272*$U$272,0)</f>
        <v/>
      </c>
      <c r="AL272" t="n">
        <v>160.6558762625195</v>
      </c>
      <c r="AM272">
        <f>IF($Q$272,$M$272*$AE$272*$U$272,0)</f>
        <v/>
      </c>
      <c r="AN272" t="n">
        <v>113.797912352618</v>
      </c>
      <c r="AO272">
        <f>IF($Q$272,$M$272*$AG$272*$U$272,0)</f>
        <v/>
      </c>
      <c r="AP272" t="n">
        <v>53.55195875417319</v>
      </c>
      <c r="AQ272">
        <f>IF($Q$272,$M$272*$AE$272*$Y$272,0)</f>
        <v/>
      </c>
      <c r="AR272" t="n">
        <v>66.38211553902717</v>
      </c>
      <c r="AS272">
        <f>IF($S$272,$M$272*$AI$272*$W$272,0)</f>
        <v/>
      </c>
      <c r="AT272" t="n">
        <v>0</v>
      </c>
      <c r="AU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V272" t="b">
        <v>0</v>
      </c>
      <c r="AW272">
        <f>IF(AND($B$272&lt;0,$AU$272),4,$B$272)</f>
        <v/>
      </c>
      <c r="AX272" t="n">
        <v>1</v>
      </c>
      <c r="AY272">
        <f>IF($AW$272&lt;4,0,MIN(MAX(0.5,Canh_bao_vong!$D$4),MAX(IF(Vu_khi!$C$272="cal_406",Canh_bao_vong!$D$7,IF($AW$272&gt;=5,Canh_bao_vong!$D$9,Canh_bao_vong!$D$8)),Canh_bao_vong!$D$2+MAX(0,Vu_khi!$X$272)/MAX(0.1,Canh_bao_vong!$D$5))))</f>
        <v/>
      </c>
      <c r="AZ272" t="n">
        <v>0</v>
      </c>
      <c r="BA272" t="n">
        <v>5.258444</v>
      </c>
      <c r="BB272" t="inlineStr">
        <is>
          <t>ok</t>
        </is>
      </c>
      <c r="BC272" t="b">
        <v>1</v>
      </c>
      <c r="BD272" t="n">
        <v>200</v>
      </c>
      <c r="BE272" t="n">
        <v>260</v>
      </c>
      <c r="BF272" t="n">
        <v>0.037</v>
      </c>
      <c r="BG272" t="n">
        <v>0.075</v>
      </c>
      <c r="BH272" t="n">
        <v>0.15</v>
      </c>
      <c r="BI272" t="n">
        <v>0.115</v>
      </c>
      <c r="BJ272" t="inlineStr">
        <is>
          <t>DIRECT_BULLET</t>
        </is>
      </c>
      <c r="BK272" t="inlineStr">
        <is>
          <t>ok</t>
        </is>
      </c>
      <c r="BL272" t="inlineStr">
        <is>
          <t>inherited from twin_30_bmpt</t>
        </is>
      </c>
      <c r="BM272" t="inlineStr"/>
      <c r="BN272" t="inlineStr">
        <is>
          <t>Assets/MachineBrigade/Resources/Data/balance.json: weapons[id=p26_roc_close_twin_30_bmpt] (lớp B trên 01_chien_dau/Vu_khi)</t>
        </is>
      </c>
      <c r="BO272" t="inlineStr"/>
    </row>
    <row r="273">
      <c r="A273" t="inlineStr">
        <is>
          <t>p26_roc_direct_roc_atgm</t>
        </is>
      </c>
      <c r="B273" t="n">
        <v>2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2</v>
      </c>
      <c r="G273">
        <f>IF(Vu_khi!$S$273&gt;0,(Vu_khi!$S$273-1)*Vu_khi!$R$273+Vu_khi!$T$273,Vu_khi!$R$273+(Vu_khi!$P$273-1)*Vu_khi!$Q$273)</f>
        <v/>
      </c>
      <c r="H273" t="n">
        <v>20</v>
      </c>
      <c r="I273">
        <f>Vu_khi!$W$273*MAX(1,$E$273)</f>
        <v/>
      </c>
      <c r="J273" t="n">
        <v>460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23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0</v>
      </c>
      <c r="U273">
        <f>INDEX(Bang_sat_thuong!$B$2:$B$7,MATCH(Vu_khi!$K$273,Bang_sat_thuong!$A$2:$A$7,0))</f>
        <v/>
      </c>
      <c r="V273" t="n">
        <v>1.3</v>
      </c>
      <c r="W273">
        <f>INDEX(Bang_sat_thuong!$C$2:$C$7,MATCH(Vu_khi!$K$273,Bang_sat_thuong!$A$2:$A$7,0))</f>
        <v/>
      </c>
      <c r="X273" t="n">
        <v>0.2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0.45</v>
      </c>
      <c r="AA273">
        <f>AND(Vu_khi!$K$273="Kinetic",NOT(Vu_khi!$AG$273))</f>
        <v/>
      </c>
      <c r="AB273" t="b">
        <v>0</v>
      </c>
      <c r="AC273">
        <f>IF(Vu_khi!$AG$273,INDEX(Bang_danh_noc!$C$2:$C$8,MIN(7,MAX(1,2-(Vu_khi!$L$273-0)+1))),INDEX(Bang_xuyen_giap!$C$2:$C$8,MIN(7,MAX(1,IF($O$273,MAX(1,2-(Vu_khi!$L$273-0)),2-(Vu_khi!$L$273-0))+1))))*IF($AA$273,INDEX(Bang_xuyen_qua!$C$2:$C$5,MIN(4,MAX(1,(Vu_khi!$L$273)-(0)-1))),1)</f>
        <v/>
      </c>
      <c r="AD273" t="n">
        <v>1.2</v>
      </c>
      <c r="AE273">
        <f>IF(Vu_khi!$AG$273,INDEX(Bang_danh_noc!$C$2:$C$8,MIN(7,MAX(1,2-(Vu_khi!$L$273-2)+1))),INDEX(Bang_xuyen_giap!$C$2:$C$8,MIN(7,MAX(1,IF($O$273,MAX(1,2-(Vu_khi!$L$273-2)),2-(Vu_khi!$L$273-2))+1))))*IF($AA$273,INDEX(Bang_xuyen_qua!$C$2:$C$5,MIN(4,MAX(1,(Vu_khi!$L$273)-(2)-1))),1)</f>
        <v/>
      </c>
      <c r="AF273" t="n">
        <v>1.2</v>
      </c>
      <c r="AG273">
        <f>IF(Vu_khi!$AG$273,INDEX(Bang_danh_noc!$C$2:$C$8,MIN(7,MAX(1,2-(Vu_khi!$L$273-4)+1))),INDEX(Bang_xuyen_giap!$C$2:$C$8,MIN(7,MAX(1,IF($O$273,MAX(1,2-(Vu_khi!$L$273-4)),2-(Vu_khi!$L$273-4))+1))))*IF($AA$273,INDEX(Bang_xuyen_qua!$C$2:$C$5,MIN(4,MAX(1,(Vu_khi!$L$273)-(4)-1))),1)</f>
        <v/>
      </c>
      <c r="AH273" t="n">
        <v>1</v>
      </c>
      <c r="AI273">
        <f>INDEX(Bang_xuyen_giap!$C$2:$C$8,MIN(7,MAX(1,MAX(1,2-(Vu_khi!$L$273-0))+1)))*IF($AA$273,INDEX(Bang_xuyen_qua!$C$2:$C$5,MIN(4,MAX(1,(Vu_khi!$L$273)-(0)-1))),1)</f>
        <v/>
      </c>
      <c r="AJ273" t="n">
        <v>1</v>
      </c>
      <c r="AK273">
        <f>IF($Q$273,$M$273*$AC$273*$U$273,0)</f>
        <v/>
      </c>
      <c r="AL273" t="n">
        <v>35.88</v>
      </c>
      <c r="AM273">
        <f>IF($Q$273,$M$273*$AE$273*$U$273,0)</f>
        <v/>
      </c>
      <c r="AN273" t="n">
        <v>35.88</v>
      </c>
      <c r="AO273">
        <f>IF($Q$273,$M$273*$AG$273*$U$273,0)</f>
        <v/>
      </c>
      <c r="AP273" t="n">
        <v>29.9</v>
      </c>
      <c r="AQ273">
        <f>IF($Q$273,$M$273*$AE$273*$Y$273,0)</f>
        <v/>
      </c>
      <c r="AR273" t="n">
        <v>12.42</v>
      </c>
      <c r="AS273">
        <f>IF($S$273,$M$273*$AI$273*$W$273,0)</f>
        <v/>
      </c>
      <c r="AT273" t="n">
        <v>0</v>
      </c>
      <c r="AU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V273" t="b">
        <v>0</v>
      </c>
      <c r="AW273">
        <f>IF(AND($B$273&lt;0,$AU$273),4,$B$273)</f>
        <v/>
      </c>
      <c r="AX273" t="n">
        <v>2</v>
      </c>
      <c r="AY273">
        <f>IF($AW$273&lt;4,0,MIN(MAX(0.5,Canh_bao_vong!$D$4),MAX(IF(Vu_khi!$C$273="cal_406",Canh_bao_vong!$D$7,IF($AW$273&gt;=5,Canh_bao_vong!$D$9,Canh_bao_vong!$D$8)),Canh_bao_vong!$D$2+MAX(0,Vu_khi!$X$273)/MAX(0.1,Canh_bao_vong!$D$5))))</f>
        <v/>
      </c>
      <c r="AZ273" t="n">
        <v>0</v>
      </c>
      <c r="BA273" t="n">
        <v>1</v>
      </c>
      <c r="BB273" t="inlineStr">
        <is>
          <t>ok</t>
        </is>
      </c>
      <c r="BC273" t="b">
        <v>1</v>
      </c>
      <c r="BD273" t="n">
        <v>80</v>
      </c>
      <c r="BE273" t="n">
        <v>104</v>
      </c>
      <c r="BF273" t="n">
        <v>0.172</v>
      </c>
      <c r="BG273" t="n">
        <v>0.344</v>
      </c>
      <c r="BH273" t="n">
        <v>0.6879999999999999</v>
      </c>
      <c r="BI273" t="n">
        <v>0.529</v>
      </c>
      <c r="BJ273" t="inlineStr">
        <is>
          <t>TACTICAL_MISSILE</t>
        </is>
      </c>
      <c r="BK273" t="inlineStr">
        <is>
          <t>ok</t>
        </is>
      </c>
      <c r="BL273" t="inlineStr">
        <is>
          <t>inherited from p26_roc_roc_atgm</t>
        </is>
      </c>
      <c r="BM273" t="n">
        <v>48</v>
      </c>
      <c r="BN273" t="inlineStr">
        <is>
          <t>Assets/MachineBrigade/Resources/Data/balance.json: weapons[id=p26_roc_direct_roc_atgm] (lớp B trên 01_chien_dau/Vu_khi)</t>
        </is>
      </c>
      <c r="BO273" t="inlineStr"/>
    </row>
    <row r="274">
      <c r="A274" t="inlineStr">
        <is>
          <t>p26_roc_main_roc_bombs</t>
        </is>
      </c>
      <c r="B274" t="n">
        <v>4</v>
      </c>
      <c r="C274">
        <f>IF(Vu_khi!$O$274="SIMULTANEOUS",MAX(1,Vu_khi!$N$274),1)</f>
        <v/>
      </c>
      <c r="D274" t="n">
        <v>1</v>
      </c>
      <c r="E274">
        <f>IF(Vu_khi!$S$274&gt;0,Vu_khi!$S$274,Vu_khi!$P$274*$C$274)</f>
        <v/>
      </c>
      <c r="F274" t="n">
        <v>8</v>
      </c>
      <c r="G274">
        <f>IF(Vu_khi!$S$274&gt;0,(Vu_khi!$S$274-1)*Vu_khi!$R$274+Vu_khi!$T$274,Vu_khi!$R$274+(Vu_khi!$P$274-1)*Vu_khi!$Q$274)</f>
        <v/>
      </c>
      <c r="H274" t="n">
        <v>35.44</v>
      </c>
      <c r="I274">
        <f>Vu_khi!$W$274*MAX(1,$E$274)</f>
        <v/>
      </c>
      <c r="J274" t="n">
        <v>5600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158.0135440180587</v>
      </c>
      <c r="O274">
        <f>OR(Vu_khi!$AG$274,Vu_khi!$AB$274&gt;0,Vu_khi!$AH$274,Vu_khi!$M$274="Bomb",Vu_khi!$M$274="Drone")</f>
        <v/>
      </c>
      <c r="P274" t="b">
        <v>1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1.6</v>
      </c>
      <c r="AA274">
        <f>AND(Vu_khi!$K$274="Kinetic",NOT(Vu_khi!$AG$274))</f>
        <v/>
      </c>
      <c r="AB274" t="b">
        <v>0</v>
      </c>
      <c r="AC274">
        <f>IF(Vu_khi!$AG$274,INDEX(Bang_danh_noc!$C$2:$C$8,MIN(7,MAX(1,2-(Vu_khi!$L$274-0)+1))),INDEX(Bang_xuyen_giap!$C$2:$C$8,MIN(7,MAX(1,IF($O$274,MAX(1,2-(Vu_khi!$L$274-0)),2-(Vu_khi!$L$274-0))+1))))*IF($AA$274,INDEX(Bang_xuyen_qua!$C$2:$C$5,MIN(4,MAX(1,(Vu_khi!$L$274)-(0)-1))),1)</f>
        <v/>
      </c>
      <c r="AD274" t="n">
        <v>1.15</v>
      </c>
      <c r="AE274">
        <f>IF(Vu_khi!$AG$274,INDEX(Bang_danh_noc!$C$2:$C$8,MIN(7,MAX(1,2-(Vu_khi!$L$274-2)+1))),INDEX(Bang_xuyen_giap!$C$2:$C$8,MIN(7,MAX(1,IF($O$274,MAX(1,2-(Vu_khi!$L$274-2)),2-(Vu_khi!$L$274-2))+1))))*IF($AA$274,INDEX(Bang_xuyen_qua!$C$2:$C$5,MIN(4,MAX(1,(Vu_khi!$L$274)-(2)-1))),1)</f>
        <v/>
      </c>
      <c r="AF274" t="n">
        <v>1.15</v>
      </c>
      <c r="AG274">
        <f>IF(Vu_khi!$AG$274,INDEX(Bang_danh_noc!$C$2:$C$8,MIN(7,MAX(1,2-(Vu_khi!$L$274-4)+1))),INDEX(Bang_xuyen_giap!$C$2:$C$8,MIN(7,MAX(1,IF($O$274,MAX(1,2-(Vu_khi!$L$274-4)),2-(Vu_khi!$L$274-4))+1))))*IF($AA$274,INDEX(Bang_xuyen_qua!$C$2:$C$5,MIN(4,MAX(1,(Vu_khi!$L$274)-(4)-1))),1)</f>
        <v/>
      </c>
      <c r="AH274" t="n">
        <v>0.95</v>
      </c>
      <c r="AI274">
        <f>INDEX(Bang_xuyen_giap!$C$2:$C$8,MIN(7,MAX(1,MAX(1,2-(Vu_khi!$L$274-0))+1)))*IF($AA$274,INDEX(Bang_xuyen_qua!$C$2:$C$5,MIN(4,MAX(1,(Vu_khi!$L$274)-(0)-1))),1)</f>
        <v/>
      </c>
      <c r="AJ274" t="n">
        <v>1</v>
      </c>
      <c r="AK274">
        <f>IF($Q$274,$M$274*$AC$274*$U$274,0)</f>
        <v/>
      </c>
      <c r="AL274" t="n">
        <v>181.7155756207675</v>
      </c>
      <c r="AM274">
        <f>IF($Q$274,$M$274*$AE$274*$U$274,0)</f>
        <v/>
      </c>
      <c r="AN274" t="n">
        <v>181.7155756207675</v>
      </c>
      <c r="AO274">
        <f>IF($Q$274,$M$274*$AG$274*$U$274,0)</f>
        <v/>
      </c>
      <c r="AP274" t="n">
        <v>150.1128668171557</v>
      </c>
      <c r="AQ274">
        <f>IF($Q$274,$M$274*$AE$274*$Y$274,0)</f>
        <v/>
      </c>
      <c r="AR274" t="n">
        <v>290.7449209932279</v>
      </c>
      <c r="AS274">
        <f>IF($S$274,$M$274*$AI$274*$W$274,0)</f>
        <v/>
      </c>
      <c r="AT274" t="n">
        <v>0</v>
      </c>
      <c r="AU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V274" t="b">
        <v>1</v>
      </c>
      <c r="AW274">
        <f>IF(AND($B$274&lt;0,$AU$274),4,$B$274)</f>
        <v/>
      </c>
      <c r="AX274" t="n">
        <v>4</v>
      </c>
      <c r="AY274">
        <f>IF($AW$274&lt;4,0,MIN(MAX(0.5,Canh_bao_vong!$D$4),MAX(IF(Vu_khi!$C$274="cal_406",Canh_bao_vong!$D$7,IF($AW$274&gt;=5,Canh_bao_vong!$D$9,Canh_bao_vong!$D$8)),Canh_bao_vong!$D$2+MAX(0,Vu_khi!$X$274)/MAX(0.1,Canh_bao_vong!$D$5))))</f>
        <v/>
      </c>
      <c r="AZ274" t="n">
        <v>2.722222222222222</v>
      </c>
      <c r="BA274" t="n">
        <v>3</v>
      </c>
      <c r="BB274" t="inlineStr">
        <is>
          <t>ok</t>
        </is>
      </c>
      <c r="BC274" t="b">
        <v>1</v>
      </c>
      <c r="BD274" t="n">
        <v>60</v>
      </c>
      <c r="BE274" t="n">
        <v>78</v>
      </c>
      <c r="BF274" t="n">
        <v>0.188</v>
      </c>
      <c r="BG274" t="n">
        <v>0.375</v>
      </c>
      <c r="BH274" t="n">
        <v>0.75</v>
      </c>
      <c r="BI274" t="n">
        <v>0.577</v>
      </c>
      <c r="BJ274" t="inlineStr">
        <is>
          <t>BOMB</t>
        </is>
      </c>
      <c r="BK274" t="inlineStr">
        <is>
          <t>ok</t>
        </is>
      </c>
      <c r="BL274" t="inlineStr">
        <is>
          <t>inherited from p26_roc_roc_bombs</t>
        </is>
      </c>
      <c r="BM274" t="inlineStr"/>
      <c r="BN274" t="inlineStr">
        <is>
          <t>Assets/MachineBrigade/Resources/Data/balance.json: weapons[id=p26_roc_main_roc_bombs] (lớp B trên 01_chien_dau/Vu_khi)</t>
        </is>
      </c>
      <c r="BO274" t="inlineStr"/>
    </row>
    <row r="275">
      <c r="A275" t="inlineStr">
        <is>
          <t>p26_roc_roc105</t>
        </is>
      </c>
      <c r="B275" t="n">
        <v>2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1</v>
      </c>
      <c r="G275">
        <f>IF(Vu_khi!$S$275&gt;0,(Vu_khi!$S$275-1)*Vu_khi!$R$275+Vu_khi!$T$275,Vu_khi!$R$275+(Vu_khi!$P$275-1)*Vu_khi!$Q$275)</f>
        <v/>
      </c>
      <c r="H275" t="n">
        <v>6</v>
      </c>
      <c r="I275">
        <f>Vu_khi!$W$275*MAX(1,$E$275)</f>
        <v/>
      </c>
      <c r="J275" t="n">
        <v>300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50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1.6</v>
      </c>
      <c r="AA275">
        <f>AND(Vu_khi!$K$275="Kinetic",NOT(Vu_khi!$AG$275))</f>
        <v/>
      </c>
      <c r="AB275" t="b">
        <v>0</v>
      </c>
      <c r="AC275">
        <f>IF(Vu_khi!$AG$275,INDEX(Bang_danh_noc!$C$2:$C$8,MIN(7,MAX(1,2-(Vu_khi!$L$275-0)+1))),INDEX(Bang_xuyen_giap!$C$2:$C$8,MIN(7,MAX(1,IF($O$275,MAX(1,2-(Vu_khi!$L$275-0)),2-(Vu_khi!$L$275-0))+1))))*IF($AA$275,INDEX(Bang_xuyen_qua!$C$2:$C$5,MIN(4,MAX(1,(Vu_khi!$L$275)-(0)-1))),1)</f>
        <v/>
      </c>
      <c r="AD275" t="n">
        <v>1.2</v>
      </c>
      <c r="AE275">
        <f>IF(Vu_khi!$AG$275,INDEX(Bang_danh_noc!$C$2:$C$8,MIN(7,MAX(1,2-(Vu_khi!$L$275-2)+1))),INDEX(Bang_xuyen_giap!$C$2:$C$8,MIN(7,MAX(1,IF($O$275,MAX(1,2-(Vu_khi!$L$275-2)),2-(Vu_khi!$L$275-2))+1))))*IF($AA$275,INDEX(Bang_xuyen_qua!$C$2:$C$5,MIN(4,MAX(1,(Vu_khi!$L$275)-(2)-1))),1)</f>
        <v/>
      </c>
      <c r="AF275" t="n">
        <v>0.85</v>
      </c>
      <c r="AG275">
        <f>IF(Vu_khi!$AG$275,INDEX(Bang_danh_noc!$C$2:$C$8,MIN(7,MAX(1,2-(Vu_khi!$L$275-4)+1))),INDEX(Bang_xuyen_giap!$C$2:$C$8,MIN(7,MAX(1,IF($O$275,MAX(1,2-(Vu_khi!$L$275-4)),2-(Vu_khi!$L$275-4))+1))))*IF($AA$275,INDEX(Bang_xuyen_qua!$C$2:$C$5,MIN(4,MAX(1,(Vu_khi!$L$275)-(4)-1))),1)</f>
        <v/>
      </c>
      <c r="AH275" t="n">
        <v>0.4</v>
      </c>
      <c r="AI275">
        <f>INDEX(Bang_xuyen_giap!$C$2:$C$8,MIN(7,MAX(1,MAX(1,2-(Vu_khi!$L$275-0))+1)))*IF($AA$275,INDEX(Bang_xuyen_qua!$C$2:$C$5,MIN(4,MAX(1,(Vu_khi!$L$275)-(0)-1))),1)</f>
        <v/>
      </c>
      <c r="AJ275" t="n">
        <v>1</v>
      </c>
      <c r="AK275">
        <f>IF($Q$275,$M$275*$AC$275*$U$275,0)</f>
        <v/>
      </c>
      <c r="AL275" t="n">
        <v>60</v>
      </c>
      <c r="AM275">
        <f>IF($Q$275,$M$275*$AE$275*$U$275,0)</f>
        <v/>
      </c>
      <c r="AN275" t="n">
        <v>42.5</v>
      </c>
      <c r="AO275">
        <f>IF($Q$275,$M$275*$AG$275*$U$275,0)</f>
        <v/>
      </c>
      <c r="AP275" t="n">
        <v>20</v>
      </c>
      <c r="AQ275">
        <f>IF($Q$275,$M$275*$AE$275*$Y$275,0)</f>
        <v/>
      </c>
      <c r="AR275" t="n">
        <v>68</v>
      </c>
      <c r="AS275">
        <f>IF($S$275,$M$275*$AI$275*$W$275,0)</f>
        <v/>
      </c>
      <c r="AT275" t="n">
        <v>0</v>
      </c>
      <c r="AU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V275" t="b">
        <v>0</v>
      </c>
      <c r="AW275">
        <f>IF(AND($B$275&lt;0,$AU$275),4,$B$275)</f>
        <v/>
      </c>
      <c r="AX275" t="n">
        <v>2</v>
      </c>
      <c r="AY275">
        <f>IF($AW$275&lt;4,0,MIN(MAX(0.5,Canh_bao_vong!$D$4),MAX(IF(Vu_khi!$C$275="cal_406",Canh_bao_vong!$D$7,IF($AW$275&gt;=5,Canh_bao_vong!$D$9,Canh_bao_vong!$D$8)),Canh_bao_vong!$D$2+MAX(0,Vu_khi!$X$275)/MAX(0.1,Canh_bao_vong!$D$5))))</f>
        <v/>
      </c>
      <c r="AZ275" t="n">
        <v>0</v>
      </c>
      <c r="BA275" t="n">
        <v>0.7</v>
      </c>
      <c r="BB275" t="inlineStr">
        <is>
          <t>ok</t>
        </is>
      </c>
      <c r="BC275" t="b">
        <v>1</v>
      </c>
      <c r="BD275" t="n">
        <v>120</v>
      </c>
      <c r="BE275" t="n">
        <v>156</v>
      </c>
      <c r="BF275" t="n">
        <v>0.121</v>
      </c>
      <c r="BG275" t="n">
        <v>0.242</v>
      </c>
      <c r="BH275" t="n">
        <v>0.483</v>
      </c>
      <c r="BI275" t="n">
        <v>0.372</v>
      </c>
      <c r="BJ275" t="inlineStr">
        <is>
          <t>DIRECT_FAST</t>
        </is>
      </c>
      <c r="BK275" t="inlineStr">
        <is>
          <t>ok</t>
        </is>
      </c>
      <c r="BL275" t="inlineStr">
        <is>
          <t>inherited from gunship_105</t>
        </is>
      </c>
      <c r="BM275" t="inlineStr"/>
      <c r="BN275" t="inlineStr">
        <is>
          <t>Assets/MachineBrigade/Resources/Data/balance.json: weapons[id=p26_roc_roc105] (lớp B trên 01_chien_dau/Vu_khi)</t>
        </is>
      </c>
      <c r="BO275" t="inlineStr"/>
    </row>
    <row r="276">
      <c r="A276" t="inlineStr">
        <is>
          <t>p26_roc_roc_atgm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1</v>
      </c>
      <c r="G276">
        <f>IF(Vu_khi!$S$276&gt;0,(Vu_khi!$S$276-1)*Vu_khi!$R$276+Vu_khi!$T$276,Vu_khi!$R$276+(Vu_khi!$P$276-1)*Vu_khi!$Q$276)</f>
        <v/>
      </c>
      <c r="H276" t="n">
        <v>2</v>
      </c>
      <c r="I276">
        <f>Vu_khi!$W$276*MAX(1,$E$276)</f>
        <v/>
      </c>
      <c r="J276" t="n">
        <v>300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150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1.3</v>
      </c>
      <c r="W276">
        <f>INDEX(Bang_sat_thuong!$C$2:$C$7,MATCH(Vu_khi!$K$276,Bang_sat_thuong!$A$2:$A$7,0))</f>
        <v/>
      </c>
      <c r="X276" t="n">
        <v>0.2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0.45</v>
      </c>
      <c r="AA276">
        <f>AND(Vu_khi!$K$276="Kinetic",NOT(Vu_khi!$AG$276))</f>
        <v/>
      </c>
      <c r="AB276" t="b">
        <v>0</v>
      </c>
      <c r="AC276">
        <f>IF(Vu_khi!$AG$276,INDEX(Bang_danh_noc!$C$2:$C$8,MIN(7,MAX(1,2-(Vu_khi!$L$276-0)+1))),INDEX(Bang_xuyen_giap!$C$2:$C$8,MIN(7,MAX(1,IF($O$276,MAX(1,2-(Vu_khi!$L$276-0)),2-(Vu_khi!$L$276-0))+1))))*IF($AA$276,INDEX(Bang_xuyen_qua!$C$2:$C$5,MIN(4,MAX(1,(Vu_khi!$L$276)-(0)-1))),1)</f>
        <v/>
      </c>
      <c r="AD276" t="n">
        <v>1.2</v>
      </c>
      <c r="AE276">
        <f>IF(Vu_khi!$AG$276,INDEX(Bang_danh_noc!$C$2:$C$8,MIN(7,MAX(1,2-(Vu_khi!$L$276-2)+1))),INDEX(Bang_xuyen_giap!$C$2:$C$8,MIN(7,MAX(1,IF($O$276,MAX(1,2-(Vu_khi!$L$276-2)),2-(Vu_khi!$L$276-2))+1))))*IF($AA$276,INDEX(Bang_xuyen_qua!$C$2:$C$5,MIN(4,MAX(1,(Vu_khi!$L$276)-(2)-1))),1)</f>
        <v/>
      </c>
      <c r="AF276" t="n">
        <v>1.2</v>
      </c>
      <c r="AG276">
        <f>IF(Vu_khi!$AG$276,INDEX(Bang_danh_noc!$C$2:$C$8,MIN(7,MAX(1,2-(Vu_khi!$L$276-4)+1))),INDEX(Bang_xuyen_giap!$C$2:$C$8,MIN(7,MAX(1,IF($O$276,MAX(1,2-(Vu_khi!$L$276-4)),2-(Vu_khi!$L$276-4))+1))))*IF($AA$276,INDEX(Bang_xuyen_qua!$C$2:$C$5,MIN(4,MAX(1,(Vu_khi!$L$276)-(4)-1))),1)</f>
        <v/>
      </c>
      <c r="AH276" t="n">
        <v>1</v>
      </c>
      <c r="AI276">
        <f>INDEX(Bang_xuyen_giap!$C$2:$C$8,MIN(7,MAX(1,MAX(1,2-(Vu_khi!$L$276-0))+1)))*IF($AA$276,INDEX(Bang_xuyen_qua!$C$2:$C$5,MIN(4,MAX(1,(Vu_khi!$L$276)-(0)-1))),1)</f>
        <v/>
      </c>
      <c r="AJ276" t="n">
        <v>1</v>
      </c>
      <c r="AK276">
        <f>IF($Q$276,$M$276*$AC$276*$U$276,0)</f>
        <v/>
      </c>
      <c r="AL276" t="n">
        <v>234</v>
      </c>
      <c r="AM276">
        <f>IF($Q$276,$M$276*$AE$276*$U$276,0)</f>
        <v/>
      </c>
      <c r="AN276" t="n">
        <v>234</v>
      </c>
      <c r="AO276">
        <f>IF($Q$276,$M$276*$AG$276*$U$276,0)</f>
        <v/>
      </c>
      <c r="AP276" t="n">
        <v>195</v>
      </c>
      <c r="AQ276">
        <f>IF($Q$276,$M$276*$AE$276*$Y$276,0)</f>
        <v/>
      </c>
      <c r="AR276" t="n">
        <v>81</v>
      </c>
      <c r="AS276">
        <f>IF($S$276,$M$276*$AI$276*$W$276,0)</f>
        <v/>
      </c>
      <c r="AT276" t="n">
        <v>0</v>
      </c>
      <c r="AU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V276" t="b">
        <v>0</v>
      </c>
      <c r="AW276">
        <f>IF(AND($B$276&lt;0,$AU$276),4,$B$276)</f>
        <v/>
      </c>
      <c r="AX276" t="n">
        <v>2</v>
      </c>
      <c r="AY276">
        <f>IF($AW$276&lt;4,0,MIN(MAX(0.5,Canh_bao_vong!$D$4),MAX(IF(Vu_khi!$C$276="cal_406",Canh_bao_vong!$D$7,IF($AW$276&gt;=5,Canh_bao_vong!$D$9,Canh_bao_vong!$D$8)),Canh_bao_vong!$D$2+MAX(0,Vu_khi!$X$276)/MAX(0.1,Canh_bao_vong!$D$5))))</f>
        <v/>
      </c>
      <c r="AZ276" t="n">
        <v>0</v>
      </c>
      <c r="BA276" t="n">
        <v>0.1</v>
      </c>
      <c r="BB276" t="inlineStr">
        <is>
          <t>NHANH_QUA;LECH_DOT_1</t>
        </is>
      </c>
      <c r="BC276" t="inlineStr"/>
      <c r="BD276" t="n">
        <v>80</v>
      </c>
      <c r="BE276" t="n">
        <v>104</v>
      </c>
      <c r="BF276" t="n">
        <v>0.172</v>
      </c>
      <c r="BG276" t="n">
        <v>0.344</v>
      </c>
      <c r="BH276" t="n">
        <v>0.6879999999999999</v>
      </c>
      <c r="BI276" t="n">
        <v>0.529</v>
      </c>
      <c r="BJ276" t="inlineStr">
        <is>
          <t>TACTICAL_MISSILE</t>
        </is>
      </c>
      <c r="BK276" t="inlineStr">
        <is>
          <t>ok</t>
        </is>
      </c>
      <c r="BL276" t="inlineStr">
        <is>
          <t>inherited from boss_missiles</t>
        </is>
      </c>
      <c r="BM276" t="inlineStr"/>
      <c r="BN276" t="inlineStr">
        <is>
          <t>Assets/MachineBrigade/Resources/Data/balance.json: weapons[id=p26_roc_roc_atgm] (lớp B trên 01_chien_dau/Vu_khi)</t>
        </is>
      </c>
      <c r="BO276" t="inlineStr"/>
    </row>
    <row r="277">
      <c r="A277" t="inlineStr">
        <is>
          <t>p26_roc_roc_bombs</t>
        </is>
      </c>
      <c r="B277" t="n">
        <v>4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8</v>
      </c>
      <c r="G277">
        <f>IF(Vu_khi!$S$277&gt;0,(Vu_khi!$S$277-1)*Vu_khi!$R$277+Vu_khi!$T$277,Vu_khi!$R$277+(Vu_khi!$P$277-1)*Vu_khi!$Q$277)</f>
        <v/>
      </c>
      <c r="H277" t="n">
        <v>5</v>
      </c>
      <c r="I277">
        <f>Vu_khi!$W$277*MAX(1,$E$277)</f>
        <v/>
      </c>
      <c r="J277" t="n">
        <v>3200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640</v>
      </c>
      <c r="O277">
        <f>OR(Vu_khi!$AG$277,Vu_khi!$AB$277&gt;0,Vu_khi!$AH$277,Vu_khi!$M$277="Bomb",Vu_khi!$M$277="Drone")</f>
        <v/>
      </c>
      <c r="P277" t="b">
        <v>1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1</v>
      </c>
      <c r="W277">
        <f>INDEX(Bang_sat_thuong!$C$2:$C$7,MATCH(Vu_khi!$K$277,Bang_sat_thuong!$A$2:$A$7,0))</f>
        <v/>
      </c>
      <c r="X277" t="n">
        <v>0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1.6</v>
      </c>
      <c r="AA277">
        <f>AND(Vu_khi!$K$277="Kinetic",NOT(Vu_khi!$AG$277))</f>
        <v/>
      </c>
      <c r="AB277" t="b">
        <v>0</v>
      </c>
      <c r="AC277">
        <f>IF(Vu_khi!$AG$277,INDEX(Bang_danh_noc!$C$2:$C$8,MIN(7,MAX(1,2-(Vu_khi!$L$277-0)+1))),INDEX(Bang_xuyen_giap!$C$2:$C$8,MIN(7,MAX(1,IF($O$277,MAX(1,2-(Vu_khi!$L$277-0)),2-(Vu_khi!$L$277-0))+1))))*IF($AA$277,INDEX(Bang_xuyen_qua!$C$2:$C$5,MIN(4,MAX(1,(Vu_khi!$L$277)-(0)-1))),1)</f>
        <v/>
      </c>
      <c r="AD277" t="n">
        <v>1.15</v>
      </c>
      <c r="AE277">
        <f>IF(Vu_khi!$AG$277,INDEX(Bang_danh_noc!$C$2:$C$8,MIN(7,MAX(1,2-(Vu_khi!$L$277-2)+1))),INDEX(Bang_xuyen_giap!$C$2:$C$8,MIN(7,MAX(1,IF($O$277,MAX(1,2-(Vu_khi!$L$277-2)),2-(Vu_khi!$L$277-2))+1))))*IF($AA$277,INDEX(Bang_xuyen_qua!$C$2:$C$5,MIN(4,MAX(1,(Vu_khi!$L$277)-(2)-1))),1)</f>
        <v/>
      </c>
      <c r="AF277" t="n">
        <v>1.15</v>
      </c>
      <c r="AG277">
        <f>IF(Vu_khi!$AG$277,INDEX(Bang_danh_noc!$C$2:$C$8,MIN(7,MAX(1,2-(Vu_khi!$L$277-4)+1))),INDEX(Bang_xuyen_giap!$C$2:$C$8,MIN(7,MAX(1,IF($O$277,MAX(1,2-(Vu_khi!$L$277-4)),2-(Vu_khi!$L$277-4))+1))))*IF($AA$277,INDEX(Bang_xuyen_qua!$C$2:$C$5,MIN(4,MAX(1,(Vu_khi!$L$277)-(4)-1))),1)</f>
        <v/>
      </c>
      <c r="AH277" t="n">
        <v>0.95</v>
      </c>
      <c r="AI277">
        <f>INDEX(Bang_xuyen_giap!$C$2:$C$8,MIN(7,MAX(1,MAX(1,2-(Vu_khi!$L$277-0))+1)))*IF($AA$277,INDEX(Bang_xuyen_qua!$C$2:$C$5,MIN(4,MAX(1,(Vu_khi!$L$277)-(0)-1))),1)</f>
        <v/>
      </c>
      <c r="AJ277" t="n">
        <v>1</v>
      </c>
      <c r="AK277">
        <f>IF($Q$277,$M$277*$AC$277*$U$277,0)</f>
        <v/>
      </c>
      <c r="AL277" t="n">
        <v>736</v>
      </c>
      <c r="AM277">
        <f>IF($Q$277,$M$277*$AE$277*$U$277,0)</f>
        <v/>
      </c>
      <c r="AN277" t="n">
        <v>736</v>
      </c>
      <c r="AO277">
        <f>IF($Q$277,$M$277*$AG$277*$U$277,0)</f>
        <v/>
      </c>
      <c r="AP277" t="n">
        <v>608</v>
      </c>
      <c r="AQ277">
        <f>IF($Q$277,$M$277*$AE$277*$Y$277,0)</f>
        <v/>
      </c>
      <c r="AR277" t="n">
        <v>1177.6</v>
      </c>
      <c r="AS277">
        <f>IF($S$277,$M$277*$AI$277*$W$277,0)</f>
        <v/>
      </c>
      <c r="AT277" t="n">
        <v>0</v>
      </c>
      <c r="AU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V277" t="b">
        <v>1</v>
      </c>
      <c r="AW277">
        <f>IF(AND($B$277&lt;0,$AU$277),4,$B$277)</f>
        <v/>
      </c>
      <c r="AX277" t="n">
        <v>4</v>
      </c>
      <c r="AY277">
        <f>IF($AW$277&lt;4,0,MIN(MAX(0.5,Canh_bao_vong!$D$4),MAX(IF(Vu_khi!$C$277="cal_406",Canh_bao_vong!$D$7,IF($AW$277&gt;=5,Canh_bao_vong!$D$9,Canh_bao_vong!$D$8)),Canh_bao_vong!$D$2+MAX(0,Vu_khi!$X$277)/MAX(0.1,Canh_bao_vong!$D$5))))</f>
        <v/>
      </c>
      <c r="AZ277" t="n">
        <v>2.722222222222222</v>
      </c>
      <c r="BA277" t="n">
        <v>3</v>
      </c>
      <c r="BB277" t="inlineStr">
        <is>
          <t>LECH_DOT_1</t>
        </is>
      </c>
      <c r="BC277" t="inlineStr"/>
      <c r="BD277" t="n">
        <v>60</v>
      </c>
      <c r="BE277" t="n">
        <v>78</v>
      </c>
      <c r="BF277" t="n">
        <v>0.188</v>
      </c>
      <c r="BG277" t="n">
        <v>0.375</v>
      </c>
      <c r="BH277" t="n">
        <v>0.75</v>
      </c>
      <c r="BI277" t="n">
        <v>0.577</v>
      </c>
      <c r="BJ277" t="inlineStr">
        <is>
          <t>BOMB</t>
        </is>
      </c>
      <c r="BK277" t="inlineStr">
        <is>
          <t>ok</t>
        </is>
      </c>
      <c r="BL277" t="inlineStr">
        <is>
          <t>inherited from boss_howitzer</t>
        </is>
      </c>
      <c r="BM277" t="inlineStr"/>
      <c r="BN277" t="inlineStr">
        <is>
          <t>Assets/MachineBrigade/Resources/Data/balance.json: weapons[id=p26_roc_roc_bombs] (lớp B trên 01_chien_dau/Vu_khi)</t>
        </is>
      </c>
      <c r="BO277" t="inlineStr"/>
    </row>
    <row r="278">
      <c r="A278" t="inlineStr">
        <is>
          <t>p26_typhon_direct_ty100</t>
        </is>
      </c>
      <c r="B278" t="n">
        <v>2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2</v>
      </c>
      <c r="G278">
        <f>IF(Vu_khi!$S$278&gt;0,(Vu_khi!$S$278-1)*Vu_khi!$R$278+Vu_khi!$T$278,Vu_khi!$R$278+(Vu_khi!$P$278-1)*Vu_khi!$Q$278)</f>
        <v/>
      </c>
      <c r="H278" t="n">
        <v>3.5</v>
      </c>
      <c r="I278">
        <f>Vu_khi!$W$278*MAX(1,$E$278)</f>
        <v/>
      </c>
      <c r="J278" t="n">
        <v>600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171.4285714285714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0</v>
      </c>
      <c r="U278">
        <f>INDEX(Bang_sat_thuong!$B$2:$B$7,MATCH(Vu_khi!$K$278,Bang_sat_thuong!$A$2:$A$7,0))</f>
        <v/>
      </c>
      <c r="V278" t="n">
        <v>1</v>
      </c>
      <c r="W278">
        <f>INDEX(Bang_sat_thuong!$C$2:$C$7,MATCH(Vu_khi!$K$278,Bang_sat_thuong!$A$2:$A$7,0))</f>
        <v/>
      </c>
      <c r="X278" t="n">
        <v>0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1.6</v>
      </c>
      <c r="AA278">
        <f>AND(Vu_khi!$K$278="Kinetic",NOT(Vu_khi!$AG$278))</f>
        <v/>
      </c>
      <c r="AB278" t="b">
        <v>0</v>
      </c>
      <c r="AC278">
        <f>IF(Vu_khi!$AG$278,INDEX(Bang_danh_noc!$C$2:$C$8,MIN(7,MAX(1,2-(Vu_khi!$L$278-0)+1))),INDEX(Bang_xuyen_giap!$C$2:$C$8,MIN(7,MAX(1,IF($O$278,MAX(1,2-(Vu_khi!$L$278-0)),2-(Vu_khi!$L$278-0))+1))))*IF($AA$278,INDEX(Bang_xuyen_qua!$C$2:$C$5,MIN(4,MAX(1,(Vu_khi!$L$278)-(0)-1))),1)</f>
        <v/>
      </c>
      <c r="AD278" t="n">
        <v>1.2</v>
      </c>
      <c r="AE278">
        <f>IF(Vu_khi!$AG$278,INDEX(Bang_danh_noc!$C$2:$C$8,MIN(7,MAX(1,2-(Vu_khi!$L$278-2)+1))),INDEX(Bang_xuyen_giap!$C$2:$C$8,MIN(7,MAX(1,IF($O$278,MAX(1,2-(Vu_khi!$L$278-2)),2-(Vu_khi!$L$278-2))+1))))*IF($AA$278,INDEX(Bang_xuyen_qua!$C$2:$C$5,MIN(4,MAX(1,(Vu_khi!$L$278)-(2)-1))),1)</f>
        <v/>
      </c>
      <c r="AF278" t="n">
        <v>1.2</v>
      </c>
      <c r="AG278">
        <f>IF(Vu_khi!$AG$278,INDEX(Bang_danh_noc!$C$2:$C$8,MIN(7,MAX(1,2-(Vu_khi!$L$278-4)+1))),INDEX(Bang_xuyen_giap!$C$2:$C$8,MIN(7,MAX(1,IF($O$278,MAX(1,2-(Vu_khi!$L$278-4)),2-(Vu_khi!$L$278-4))+1))))*IF($AA$278,INDEX(Bang_xuyen_qua!$C$2:$C$5,MIN(4,MAX(1,(Vu_khi!$L$278)-(4)-1))),1)</f>
        <v/>
      </c>
      <c r="AH278" t="n">
        <v>0.85</v>
      </c>
      <c r="AI278">
        <f>INDEX(Bang_xuyen_giap!$C$2:$C$8,MIN(7,MAX(1,MAX(1,2-(Vu_khi!$L$278-0))+1)))*IF($AA$278,INDEX(Bang_xuyen_qua!$C$2:$C$5,MIN(4,MAX(1,(Vu_khi!$L$278)-(0)-1))),1)</f>
        <v/>
      </c>
      <c r="AJ278" t="n">
        <v>1</v>
      </c>
      <c r="AK278">
        <f>IF($Q$278,$M$278*$AC$278*$U$278,0)</f>
        <v/>
      </c>
      <c r="AL278" t="n">
        <v>205.7142857142857</v>
      </c>
      <c r="AM278">
        <f>IF($Q$278,$M$278*$AE$278*$U$278,0)</f>
        <v/>
      </c>
      <c r="AN278" t="n">
        <v>205.7142857142857</v>
      </c>
      <c r="AO278">
        <f>IF($Q$278,$M$278*$AG$278*$U$278,0)</f>
        <v/>
      </c>
      <c r="AP278" t="n">
        <v>145.7142857142857</v>
      </c>
      <c r="AQ278">
        <f>IF($Q$278,$M$278*$AE$278*$Y$278,0)</f>
        <v/>
      </c>
      <c r="AR278" t="n">
        <v>329.1428571428571</v>
      </c>
      <c r="AS278">
        <f>IF($S$278,$M$278*$AI$278*$W$278,0)</f>
        <v/>
      </c>
      <c r="AT278" t="n">
        <v>0</v>
      </c>
      <c r="AU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V278" t="b">
        <v>0</v>
      </c>
      <c r="AW278">
        <f>IF(AND($B$278&lt;0,$AU$278),4,$B$278)</f>
        <v/>
      </c>
      <c r="AX278" t="n">
        <v>2</v>
      </c>
      <c r="AY278">
        <f>IF($AW$278&lt;4,0,MIN(MAX(0.5,Canh_bao_vong!$D$4),MAX(IF(Vu_khi!$C$278="cal_406",Canh_bao_vong!$D$7,IF($AW$278&gt;=5,Canh_bao_vong!$D$9,Canh_bao_vong!$D$8)),Canh_bao_vong!$D$2+MAX(0,Vu_khi!$X$278)/MAX(0.1,Canh_bao_vong!$D$5))))</f>
        <v/>
      </c>
      <c r="AZ278" t="n">
        <v>0</v>
      </c>
      <c r="BA278" t="n">
        <v>1.225</v>
      </c>
      <c r="BB278" t="inlineStr">
        <is>
          <t>ok</t>
        </is>
      </c>
      <c r="BC278" t="b">
        <v>1</v>
      </c>
      <c r="BD278" t="n">
        <v>115</v>
      </c>
      <c r="BE278" t="n">
        <v>149.5</v>
      </c>
      <c r="BF278" t="n">
        <v>0.196</v>
      </c>
      <c r="BG278" t="n">
        <v>0.391</v>
      </c>
      <c r="BH278" t="n">
        <v>0.783</v>
      </c>
      <c r="BI278" t="n">
        <v>0.602</v>
      </c>
      <c r="BJ278" t="inlineStr">
        <is>
          <t>NAVAL_DIRECT</t>
        </is>
      </c>
      <c r="BK278" t="inlineStr">
        <is>
          <t>ok</t>
        </is>
      </c>
      <c r="BL278" t="inlineStr">
        <is>
          <t>own line (over p26_typhon_ty100)</t>
        </is>
      </c>
      <c r="BM278" t="inlineStr"/>
      <c r="BN278" t="inlineStr">
        <is>
          <t>Assets/MachineBrigade/Resources/Data/balance.json: weapons[id=p26_typhon_direct_ty100] (lớp B trên 01_chien_dau/Vu_khi)</t>
        </is>
      </c>
      <c r="BO278" t="inlineStr"/>
    </row>
    <row r="279">
      <c r="A279" t="inlineStr">
        <is>
          <t>p26_typhon_sec_ty57</t>
        </is>
      </c>
      <c r="B279" t="n">
        <v>2</v>
      </c>
      <c r="C279">
        <f>IF(Vu_khi!$O$279="SIMULTANEOUS",MAX(1,Vu_khi!$N$279),1)</f>
        <v/>
      </c>
      <c r="D279" t="n">
        <v>2</v>
      </c>
      <c r="E279">
        <f>IF(Vu_khi!$S$279&gt;0,Vu_khi!$S$279,Vu_khi!$P$279*$C$279)</f>
        <v/>
      </c>
      <c r="F279" t="n">
        <v>8</v>
      </c>
      <c r="G279">
        <f>IF(Vu_khi!$S$279&gt;0,(Vu_khi!$S$279-1)*Vu_khi!$R$279+Vu_khi!$T$279,Vu_khi!$R$279+(Vu_khi!$P$279-1)*Vu_khi!$Q$279)</f>
        <v/>
      </c>
      <c r="H279" t="n">
        <v>4.29</v>
      </c>
      <c r="I279">
        <f>Vu_khi!$W$279*MAX(1,$E$279)</f>
        <v/>
      </c>
      <c r="J279" t="n">
        <v>960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223.7762237762238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1.6</v>
      </c>
      <c r="AA279">
        <f>AND(Vu_khi!$K$279="Kinetic",NOT(Vu_khi!$AG$279))</f>
        <v/>
      </c>
      <c r="AB279" t="b">
        <v>0</v>
      </c>
      <c r="AC279">
        <f>IF(Vu_khi!$AG$279,INDEX(Bang_danh_noc!$C$2:$C$8,MIN(7,MAX(1,2-(Vu_khi!$L$279-0)+1))),INDEX(Bang_xuyen_giap!$C$2:$C$8,MIN(7,MAX(1,IF($O$279,MAX(1,2-(Vu_khi!$L$279-0)),2-(Vu_khi!$L$279-0))+1))))*IF($AA$279,INDEX(Bang_xuyen_qua!$C$2:$C$5,MIN(4,MAX(1,(Vu_khi!$L$279)-(0)-1))),1)</f>
        <v/>
      </c>
      <c r="AD279" t="n">
        <v>1.2</v>
      </c>
      <c r="AE279">
        <f>IF(Vu_khi!$AG$279,INDEX(Bang_danh_noc!$C$2:$C$8,MIN(7,MAX(1,2-(Vu_khi!$L$279-2)+1))),INDEX(Bang_xuyen_giap!$C$2:$C$8,MIN(7,MAX(1,IF($O$279,MAX(1,2-(Vu_khi!$L$279-2)),2-(Vu_khi!$L$279-2))+1))))*IF($AA$279,INDEX(Bang_xuyen_qua!$C$2:$C$5,MIN(4,MAX(1,(Vu_khi!$L$279)-(2)-1))),1)</f>
        <v/>
      </c>
      <c r="AF279" t="n">
        <v>1</v>
      </c>
      <c r="AG279">
        <f>IF(Vu_khi!$AG$279,INDEX(Bang_danh_noc!$C$2:$C$8,MIN(7,MAX(1,2-(Vu_khi!$L$279-4)+1))),INDEX(Bang_xuyen_giap!$C$2:$C$8,MIN(7,MAX(1,IF($O$279,MAX(1,2-(Vu_khi!$L$279-4)),2-(Vu_khi!$L$279-4))+1))))*IF($AA$279,INDEX(Bang_xuyen_qua!$C$2:$C$5,MIN(4,MAX(1,(Vu_khi!$L$279)-(4)-1))),1)</f>
        <v/>
      </c>
      <c r="AH279" t="n">
        <v>0.65</v>
      </c>
      <c r="AI279">
        <f>INDEX(Bang_xuyen_giap!$C$2:$C$8,MIN(7,MAX(1,MAX(1,2-(Vu_khi!$L$279-0))+1)))*IF($AA$279,INDEX(Bang_xuyen_qua!$C$2:$C$5,MIN(4,MAX(1,(Vu_khi!$L$279)-(0)-1))),1)</f>
        <v/>
      </c>
      <c r="AJ279" t="n">
        <v>1</v>
      </c>
      <c r="AK279">
        <f>IF($Q$279,$M$279*$AC$279*$U$279,0)</f>
        <v/>
      </c>
      <c r="AL279" t="n">
        <v>268.5314685314685</v>
      </c>
      <c r="AM279">
        <f>IF($Q$279,$M$279*$AE$279*$U$279,0)</f>
        <v/>
      </c>
      <c r="AN279" t="n">
        <v>223.7762237762238</v>
      </c>
      <c r="AO279">
        <f>IF($Q$279,$M$279*$AG$279*$U$279,0)</f>
        <v/>
      </c>
      <c r="AP279" t="n">
        <v>145.4545454545455</v>
      </c>
      <c r="AQ279">
        <f>IF($Q$279,$M$279*$AE$279*$Y$279,0)</f>
        <v/>
      </c>
      <c r="AR279" t="n">
        <v>358.0419580419581</v>
      </c>
      <c r="AS279">
        <f>IF($S$279,$M$279*$AI$279*$W$279,0)</f>
        <v/>
      </c>
      <c r="AT279" t="n">
        <v>0</v>
      </c>
      <c r="AU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V279" t="b">
        <v>0</v>
      </c>
      <c r="AW279">
        <f>IF(AND($B$279&lt;0,$AU$279),4,$B$279)</f>
        <v/>
      </c>
      <c r="AX279" t="n">
        <v>2</v>
      </c>
      <c r="AY279">
        <f>IF($AW$279&lt;4,0,MIN(MAX(0.5,Canh_bao_vong!$D$4),MAX(IF(Vu_khi!$C$279="cal_406",Canh_bao_vong!$D$7,IF($AW$279&gt;=5,Canh_bao_vong!$D$9,Canh_bao_vong!$D$8)),Canh_bao_vong!$D$2+MAX(0,Vu_khi!$X$279)/MAX(0.1,Canh_bao_vong!$D$5))))</f>
        <v/>
      </c>
      <c r="AZ279" t="n">
        <v>0</v>
      </c>
      <c r="BA279" t="n">
        <v>2.145</v>
      </c>
      <c r="BB279" t="inlineStr">
        <is>
          <t>ok</t>
        </is>
      </c>
      <c r="BC279" t="b">
        <v>1</v>
      </c>
      <c r="BD279" t="n">
        <v>150</v>
      </c>
      <c r="BE279" t="n">
        <v>195</v>
      </c>
      <c r="BF279" t="n">
        <v>0.067</v>
      </c>
      <c r="BG279" t="n">
        <v>0.133</v>
      </c>
      <c r="BH279" t="n">
        <v>0.267</v>
      </c>
      <c r="BI279" t="n">
        <v>0.205</v>
      </c>
      <c r="BJ279" t="inlineStr">
        <is>
          <t>DIRECT_FAST</t>
        </is>
      </c>
      <c r="BK279" t="inlineStr">
        <is>
          <t>ok</t>
        </is>
      </c>
      <c r="BL279" t="inlineStr">
        <is>
          <t>inherited from p26_typhon_ty57</t>
        </is>
      </c>
      <c r="BM279" t="inlineStr"/>
      <c r="BN279" t="inlineStr">
        <is>
          <t>Assets/MachineBrigade/Resources/Data/balance.json: weapons[id=p26_typhon_sec_ty57] (lớp B trên 01_chien_dau/Vu_khi)</t>
        </is>
      </c>
      <c r="BO279" t="inlineStr"/>
    </row>
    <row r="280">
      <c r="A280" t="inlineStr">
        <is>
          <t>p26_typhon_ty57</t>
        </is>
      </c>
      <c r="B280" t="n">
        <v>2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2</v>
      </c>
      <c r="G280">
        <f>IF(Vu_khi!$S$280&gt;0,(Vu_khi!$S$280-1)*Vu_khi!$R$280+Vu_khi!$T$280,Vu_khi!$R$280+(Vu_khi!$P$280-1)*Vu_khi!$Q$280)</f>
        <v/>
      </c>
      <c r="H280" t="n">
        <v>1.5</v>
      </c>
      <c r="I280">
        <f>Vu_khi!$W$280*MAX(1,$E$280)</f>
        <v/>
      </c>
      <c r="J280" t="n">
        <v>260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173.3333333333333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1.6</v>
      </c>
      <c r="AA280">
        <f>AND(Vu_khi!$K$280="Kinetic",NOT(Vu_khi!$AG$280))</f>
        <v/>
      </c>
      <c r="AB280" t="b">
        <v>0</v>
      </c>
      <c r="AC280">
        <f>IF(Vu_khi!$AG$280,INDEX(Bang_danh_noc!$C$2:$C$8,MIN(7,MAX(1,2-(Vu_khi!$L$280-0)+1))),INDEX(Bang_xuyen_giap!$C$2:$C$8,MIN(7,MAX(1,IF($O$280,MAX(1,2-(Vu_khi!$L$280-0)),2-(Vu_khi!$L$280-0))+1))))*IF($AA$280,INDEX(Bang_xuyen_qua!$C$2:$C$5,MIN(4,MAX(1,(Vu_khi!$L$280)-(0)-1))),1)</f>
        <v/>
      </c>
      <c r="AD280" t="n">
        <v>1.2</v>
      </c>
      <c r="AE280">
        <f>IF(Vu_khi!$AG$280,INDEX(Bang_danh_noc!$C$2:$C$8,MIN(7,MAX(1,2-(Vu_khi!$L$280-2)+1))),INDEX(Bang_xuyen_giap!$C$2:$C$8,MIN(7,MAX(1,IF($O$280,MAX(1,2-(Vu_khi!$L$280-2)),2-(Vu_khi!$L$280-2))+1))))*IF($AA$280,INDEX(Bang_xuyen_qua!$C$2:$C$5,MIN(4,MAX(1,(Vu_khi!$L$280)-(2)-1))),1)</f>
        <v/>
      </c>
      <c r="AF280" t="n">
        <v>1</v>
      </c>
      <c r="AG280">
        <f>IF(Vu_khi!$AG$280,INDEX(Bang_danh_noc!$C$2:$C$8,MIN(7,MAX(1,2-(Vu_khi!$L$280-4)+1))),INDEX(Bang_xuyen_giap!$C$2:$C$8,MIN(7,MAX(1,IF($O$280,MAX(1,2-(Vu_khi!$L$280-4)),2-(Vu_khi!$L$280-4))+1))))*IF($AA$280,INDEX(Bang_xuyen_qua!$C$2:$C$5,MIN(4,MAX(1,(Vu_khi!$L$280)-(4)-1))),1)</f>
        <v/>
      </c>
      <c r="AH280" t="n">
        <v>0.65</v>
      </c>
      <c r="AI280">
        <f>INDEX(Bang_xuyen_giap!$C$2:$C$8,MIN(7,MAX(1,MAX(1,2-(Vu_khi!$L$280-0))+1)))*IF($AA$280,INDEX(Bang_xuyen_qua!$C$2:$C$5,MIN(4,MAX(1,(Vu_khi!$L$280)-(0)-1))),1)</f>
        <v/>
      </c>
      <c r="AJ280" t="n">
        <v>1</v>
      </c>
      <c r="AK280">
        <f>IF($Q$280,$M$280*$AC$280*$U$280,0)</f>
        <v/>
      </c>
      <c r="AL280" t="n">
        <v>208</v>
      </c>
      <c r="AM280">
        <f>IF($Q$280,$M$280*$AE$280*$U$280,0)</f>
        <v/>
      </c>
      <c r="AN280" t="n">
        <v>173.3333333333333</v>
      </c>
      <c r="AO280">
        <f>IF($Q$280,$M$280*$AG$280*$U$280,0)</f>
        <v/>
      </c>
      <c r="AP280" t="n">
        <v>112.6666666666667</v>
      </c>
      <c r="AQ280">
        <f>IF($Q$280,$M$280*$AE$280*$Y$280,0)</f>
        <v/>
      </c>
      <c r="AR280" t="n">
        <v>277.3333333333334</v>
      </c>
      <c r="AS280">
        <f>IF($S$280,$M$280*$AI$280*$W$280,0)</f>
        <v/>
      </c>
      <c r="AT280" t="n">
        <v>0</v>
      </c>
      <c r="AU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V280" t="b">
        <v>0</v>
      </c>
      <c r="AW280">
        <f>IF(AND($B$280&lt;0,$AU$280),4,$B$280)</f>
        <v/>
      </c>
      <c r="AX280" t="n">
        <v>2</v>
      </c>
      <c r="AY280">
        <f>IF($AW$280&lt;4,0,MIN(MAX(0.5,Canh_bao_vong!$D$4),MAX(IF(Vu_khi!$C$280="cal_406",Canh_bao_vong!$D$7,IF($AW$280&gt;=5,Canh_bao_vong!$D$9,Canh_bao_vong!$D$8)),Canh_bao_vong!$D$2+MAX(0,Vu_khi!$X$280)/MAX(0.1,Canh_bao_vong!$D$5))))</f>
        <v/>
      </c>
      <c r="AZ280" t="n">
        <v>0</v>
      </c>
      <c r="BA280" t="n">
        <v>1.5</v>
      </c>
      <c r="BB280" t="inlineStr">
        <is>
          <t>NHANH_QUA;LECH_DOT_1</t>
        </is>
      </c>
      <c r="BC280" t="inlineStr"/>
      <c r="BD280" t="n">
        <v>150</v>
      </c>
      <c r="BE280" t="n">
        <v>195</v>
      </c>
      <c r="BF280" t="n">
        <v>0.067</v>
      </c>
      <c r="BG280" t="n">
        <v>0.133</v>
      </c>
      <c r="BH280" t="n">
        <v>0.267</v>
      </c>
      <c r="BI280" t="n">
        <v>0.205</v>
      </c>
      <c r="BJ280" t="inlineStr">
        <is>
          <t>DIRECT_FAST</t>
        </is>
      </c>
      <c r="BK280" t="inlineStr">
        <is>
          <t>ok</t>
        </is>
      </c>
      <c r="BL280" t="inlineStr">
        <is>
          <t>inherited from gun_57mm</t>
        </is>
      </c>
      <c r="BM280" t="inlineStr"/>
      <c r="BN280" t="inlineStr">
        <is>
          <t>Assets/MachineBrigade/Resources/Data/balance.json: weapons[id=p26_typhon_ty57] (lớp B trên 01_chien_dau/Vu_khi)</t>
        </is>
      </c>
      <c r="BO280" t="inlineStr"/>
    </row>
    <row r="281">
      <c r="A281" t="inlineStr">
        <is>
          <t>p26_typhon_ty100</t>
        </is>
      </c>
      <c r="B281" t="n">
        <v>2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1</v>
      </c>
      <c r="G281">
        <f>IF(Vu_khi!$S$281&gt;0,(Vu_khi!$S$281-1)*Vu_khi!$R$281+Vu_khi!$T$281,Vu_khi!$R$281+(Vu_khi!$P$281-1)*Vu_khi!$Q$281)</f>
        <v/>
      </c>
      <c r="H281" t="n">
        <v>2.5</v>
      </c>
      <c r="I281">
        <f>Vu_khi!$W$281*MAX(1,$E$281)</f>
        <v/>
      </c>
      <c r="J281" t="n">
        <v>600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240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1.6</v>
      </c>
      <c r="AA281">
        <f>AND(Vu_khi!$K$281="Kinetic",NOT(Vu_khi!$AG$281))</f>
        <v/>
      </c>
      <c r="AB281" t="b">
        <v>0</v>
      </c>
      <c r="AC281">
        <f>IF(Vu_khi!$AG$281,INDEX(Bang_danh_noc!$C$2:$C$8,MIN(7,MAX(1,2-(Vu_khi!$L$281-0)+1))),INDEX(Bang_xuyen_giap!$C$2:$C$8,MIN(7,MAX(1,IF($O$281,MAX(1,2-(Vu_khi!$L$281-0)),2-(Vu_khi!$L$281-0))+1))))*IF($AA$281,INDEX(Bang_xuyen_qua!$C$2:$C$5,MIN(4,MAX(1,(Vu_khi!$L$281)-(0)-1))),1)</f>
        <v/>
      </c>
      <c r="AD281" t="n">
        <v>1.2</v>
      </c>
      <c r="AE281">
        <f>IF(Vu_khi!$AG$281,INDEX(Bang_danh_noc!$C$2:$C$8,MIN(7,MAX(1,2-(Vu_khi!$L$281-2)+1))),INDEX(Bang_xuyen_giap!$C$2:$C$8,MIN(7,MAX(1,IF($O$281,MAX(1,2-(Vu_khi!$L$281-2)),2-(Vu_khi!$L$281-2))+1))))*IF($AA$281,INDEX(Bang_xuyen_qua!$C$2:$C$5,MIN(4,MAX(1,(Vu_khi!$L$281)-(2)-1))),1)</f>
        <v/>
      </c>
      <c r="AF281" t="n">
        <v>1.2</v>
      </c>
      <c r="AG281">
        <f>IF(Vu_khi!$AG$281,INDEX(Bang_danh_noc!$C$2:$C$8,MIN(7,MAX(1,2-(Vu_khi!$L$281-4)+1))),INDEX(Bang_xuyen_giap!$C$2:$C$8,MIN(7,MAX(1,IF($O$281,MAX(1,2-(Vu_khi!$L$281-4)),2-(Vu_khi!$L$281-4))+1))))*IF($AA$281,INDEX(Bang_xuyen_qua!$C$2:$C$5,MIN(4,MAX(1,(Vu_khi!$L$281)-(4)-1))),1)</f>
        <v/>
      </c>
      <c r="AH281" t="n">
        <v>0.85</v>
      </c>
      <c r="AI281">
        <f>INDEX(Bang_xuyen_giap!$C$2:$C$8,MIN(7,MAX(1,MAX(1,2-(Vu_khi!$L$281-0))+1)))*IF($AA$281,INDEX(Bang_xuyen_qua!$C$2:$C$5,MIN(4,MAX(1,(Vu_khi!$L$281)-(0)-1))),1)</f>
        <v/>
      </c>
      <c r="AJ281" t="n">
        <v>1</v>
      </c>
      <c r="AK281">
        <f>IF($Q$281,$M$281*$AC$281*$U$281,0)</f>
        <v/>
      </c>
      <c r="AL281" t="n">
        <v>288</v>
      </c>
      <c r="AM281">
        <f>IF($Q$281,$M$281*$AE$281*$U$281,0)</f>
        <v/>
      </c>
      <c r="AN281" t="n">
        <v>288</v>
      </c>
      <c r="AO281">
        <f>IF($Q$281,$M$281*$AG$281*$U$281,0)</f>
        <v/>
      </c>
      <c r="AP281" t="n">
        <v>204</v>
      </c>
      <c r="AQ281">
        <f>IF($Q$281,$M$281*$AE$281*$Y$281,0)</f>
        <v/>
      </c>
      <c r="AR281" t="n">
        <v>460.8</v>
      </c>
      <c r="AS281">
        <f>IF($S$281,$M$281*$AI$281*$W$281,0)</f>
        <v/>
      </c>
      <c r="AT281" t="n">
        <v>0</v>
      </c>
      <c r="AU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V281" t="b">
        <v>0</v>
      </c>
      <c r="AW281">
        <f>IF(AND($B$281&lt;0,$AU$281),4,$B$281)</f>
        <v/>
      </c>
      <c r="AX281" t="n">
        <v>2</v>
      </c>
      <c r="AY281">
        <f>IF($AW$281&lt;4,0,MIN(MAX(0.5,Canh_bao_vong!$D$4),MAX(IF(Vu_khi!$C$281="cal_406",Canh_bao_vong!$D$7,IF($AW$281&gt;=5,Canh_bao_vong!$D$9,Canh_bao_vong!$D$8)),Canh_bao_vong!$D$2+MAX(0,Vu_khi!$X$281)/MAX(0.1,Canh_bao_vong!$D$5))))</f>
        <v/>
      </c>
      <c r="AZ281" t="n">
        <v>0</v>
      </c>
      <c r="BA281" t="n">
        <v>1.75</v>
      </c>
      <c r="BB281" t="inlineStr">
        <is>
          <t>LECH_DOT_1</t>
        </is>
      </c>
      <c r="BC281" t="inlineStr"/>
      <c r="BD281" t="n">
        <v>100</v>
      </c>
      <c r="BE281" t="n">
        <v>130</v>
      </c>
      <c r="BF281" t="n">
        <v>0.225</v>
      </c>
      <c r="BG281" t="n">
        <v>0.45</v>
      </c>
      <c r="BH281" t="n">
        <v>0.9</v>
      </c>
      <c r="BI281" t="n">
        <v>0.6919999999999999</v>
      </c>
      <c r="BJ281" t="inlineStr">
        <is>
          <t>NAVAL_DIRECT</t>
        </is>
      </c>
      <c r="BK281" t="inlineStr">
        <is>
          <t>ok</t>
        </is>
      </c>
      <c r="BL281" t="inlineStr">
        <is>
          <t>inherited from naval_100</t>
        </is>
      </c>
      <c r="BM281" t="inlineStr"/>
      <c r="BN281" t="inlineStr">
        <is>
          <t>Assets/MachineBrigade/Resources/Data/balance.json: weapons[id=p26_typhon_ty100] (lớp B trên 01_chien_dau/Vu_khi)</t>
        </is>
      </c>
      <c r="BO281" t="inlineStr"/>
    </row>
    <row r="282">
      <c r="A282" t="inlineStr">
        <is>
          <t>patriot</t>
        </is>
      </c>
      <c r="B282" t="n">
        <v>2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2</v>
      </c>
      <c r="G282">
        <f>IF(Vu_khi!$S$282&gt;0,(Vu_khi!$S$282-1)*Vu_khi!$R$282+Vu_khi!$T$282,Vu_khi!$R$282+(Vu_khi!$P$282-1)*Vu_khi!$Q$282)</f>
        <v/>
      </c>
      <c r="H282" t="n">
        <v>3.2</v>
      </c>
      <c r="I282">
        <f>Vu_khi!$W$282*MAX(1,$E$282)</f>
        <v/>
      </c>
      <c r="J282" t="n">
        <v>680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212.5</v>
      </c>
      <c r="O282">
        <f>OR(Vu_khi!$AG$282,Vu_khi!$AB$282&gt;0,Vu_khi!$AH$282,Vu_khi!$M$282="Bomb",Vu_khi!$M$282="Drone")</f>
        <v/>
      </c>
      <c r="P282" t="b">
        <v>1</v>
      </c>
      <c r="Q282">
        <f>AND(NOT(Vu_khi!$AJ$282),OR(Vu_khi!$AC$282="Ground",Vu_khi!$AC$282="All"))</f>
        <v/>
      </c>
      <c r="R282" t="b">
        <v>0</v>
      </c>
      <c r="S282">
        <f>AND(NOT(Vu_khi!$AJ$282),OR(Vu_khi!$AC$282="Air",Vu_khi!$AC$282="All"))</f>
        <v/>
      </c>
      <c r="T282" t="b">
        <v>1</v>
      </c>
      <c r="U282">
        <f>INDEX(Bang_sat_thuong!$B$2:$B$7,MATCH(Vu_khi!$K$282,Bang_sat_thuong!$A$2:$A$7,0))</f>
        <v/>
      </c>
      <c r="V282" t="n">
        <v>0.45</v>
      </c>
      <c r="W282">
        <f>INDEX(Bang_sat_thuong!$C$2:$C$7,MATCH(Vu_khi!$K$282,Bang_sat_thuong!$A$2:$A$7,0))</f>
        <v/>
      </c>
      <c r="X282" t="n">
        <v>1.35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0.1</v>
      </c>
      <c r="AA282">
        <f>AND(Vu_khi!$K$282="Kinetic",NOT(Vu_khi!$AG$282))</f>
        <v/>
      </c>
      <c r="AB282" t="b">
        <v>0</v>
      </c>
      <c r="AC282">
        <f>IF(Vu_khi!$AG$282,INDEX(Bang_danh_noc!$C$2:$C$8,MIN(7,MAX(1,2-(Vu_khi!$L$282-0)+1))),INDEX(Bang_xuyen_giap!$C$2:$C$8,MIN(7,MAX(1,IF($O$282,MAX(1,2-(Vu_khi!$L$282-0)),2-(Vu_khi!$L$282-0))+1))))*IF($AA$282,INDEX(Bang_xuyen_qua!$C$2:$C$5,MIN(4,MAX(1,(Vu_khi!$L$282)-(0)-1))),1)</f>
        <v/>
      </c>
      <c r="AD282" t="n">
        <v>1</v>
      </c>
      <c r="AE282">
        <f>IF(Vu_khi!$AG$282,INDEX(Bang_danh_noc!$C$2:$C$8,MIN(7,MAX(1,2-(Vu_khi!$L$282-2)+1))),INDEX(Bang_xuyen_giap!$C$2:$C$8,MIN(7,MAX(1,IF($O$282,MAX(1,2-(Vu_khi!$L$282-2)),2-(Vu_khi!$L$282-2))+1))))*IF($AA$282,INDEX(Bang_xuyen_qua!$C$2:$C$5,MIN(4,MAX(1,(Vu_khi!$L$282)-(2)-1))),1)</f>
        <v/>
      </c>
      <c r="AF282" t="n">
        <v>1</v>
      </c>
      <c r="AG282">
        <f>IF(Vu_khi!$AG$282,INDEX(Bang_danh_noc!$C$2:$C$8,MIN(7,MAX(1,2-(Vu_khi!$L$282-4)+1))),INDEX(Bang_xuyen_giap!$C$2:$C$8,MIN(7,MAX(1,IF($O$282,MAX(1,2-(Vu_khi!$L$282-4)),2-(Vu_khi!$L$282-4))+1))))*IF($AA$282,INDEX(Bang_xuyen_qua!$C$2:$C$5,MIN(4,MAX(1,(Vu_khi!$L$282)-(4)-1))),1)</f>
        <v/>
      </c>
      <c r="AH282" t="n">
        <v>0.65</v>
      </c>
      <c r="AI282">
        <f>INDEX(Bang_xuyen_giap!$C$2:$C$8,MIN(7,MAX(1,MAX(1,2-(Vu_khi!$L$282-0))+1)))*IF($AA$282,INDEX(Bang_xuyen_qua!$C$2:$C$5,MIN(4,MAX(1,(Vu_khi!$L$282)-(0)-1))),1)</f>
        <v/>
      </c>
      <c r="AJ282" t="n">
        <v>1</v>
      </c>
      <c r="AK282">
        <f>IF($Q$282,$M$282*$AC$282*$U$282,0)</f>
        <v/>
      </c>
      <c r="AL282" t="n">
        <v>0</v>
      </c>
      <c r="AM282">
        <f>IF($Q$282,$M$282*$AE$282*$U$282,0)</f>
        <v/>
      </c>
      <c r="AN282" t="n">
        <v>0</v>
      </c>
      <c r="AO282">
        <f>IF($Q$282,$M$282*$AG$282*$U$282,0)</f>
        <v/>
      </c>
      <c r="AP282" t="n">
        <v>0</v>
      </c>
      <c r="AQ282">
        <f>IF($Q$282,$M$282*$AE$282*$Y$282,0)</f>
        <v/>
      </c>
      <c r="AR282" t="n">
        <v>0</v>
      </c>
      <c r="AS282">
        <f>IF($S$282,$M$282*$AI$282*$W$282,0)</f>
        <v/>
      </c>
      <c r="AT282" t="n">
        <v>286.875</v>
      </c>
      <c r="AU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V282" t="b">
        <v>0</v>
      </c>
      <c r="AW282">
        <f>IF(AND($B$282&lt;0,$AU$282),4,$B$282)</f>
        <v/>
      </c>
      <c r="AX282" t="n">
        <v>2</v>
      </c>
      <c r="AY282">
        <f>IF($AW$282&lt;4,0,MIN(MAX(0.5,Canh_bao_vong!$D$4),MAX(IF(Vu_khi!$C$282="cal_406",Canh_bao_vong!$D$7,IF($AW$282&gt;=5,Canh_bao_vong!$D$9,Canh_bao_vong!$D$8)),Canh_bao_vong!$D$2+MAX(0,Vu_khi!$X$282)/MAX(0.1,Canh_bao_vong!$D$5))))</f>
        <v/>
      </c>
      <c r="AZ282" t="n">
        <v>0</v>
      </c>
      <c r="BA282" t="n">
        <v>0.5333329999999999</v>
      </c>
      <c r="BB282" t="inlineStr">
        <is>
          <t>NHANH_QUA</t>
        </is>
      </c>
      <c r="BC282" t="inlineStr"/>
      <c r="BD282" t="n">
        <v>165</v>
      </c>
      <c r="BE282" t="n">
        <v>214.5</v>
      </c>
      <c r="BF282" t="n">
        <v>0.121</v>
      </c>
      <c r="BG282" t="n">
        <v>0.273</v>
      </c>
      <c r="BH282" t="n">
        <v>0.545</v>
      </c>
      <c r="BI282" t="n">
        <v>0.42</v>
      </c>
      <c r="BJ282" t="inlineStr">
        <is>
          <t>AIR_DEFENCE_MISSILE</t>
        </is>
      </c>
      <c r="BK282" t="inlineStr">
        <is>
          <t>ok</t>
        </is>
      </c>
      <c r="BL282" t="inlineStr">
        <is>
          <t>family mim_104_patriot_pac_2</t>
        </is>
      </c>
      <c r="BM282" t="n">
        <v>74.2</v>
      </c>
      <c r="BN282" t="inlineStr">
        <is>
          <t>Assets/MachineBrigade/Resources/Data/balance.json: weapons[id=patriot] (lớp B trên 01_chien_dau/Vu_khi)</t>
        </is>
      </c>
      <c r="BO282" t="inlineStr"/>
    </row>
    <row r="283">
      <c r="A283" t="inlineStr">
        <is>
          <t>pt14_co_203</t>
        </is>
      </c>
      <c r="B283" t="n">
        <v>4</v>
      </c>
      <c r="C283">
        <f>IF(Vu_khi!$O$283="SIMULTANEOUS",MAX(1,Vu_khi!$N$283),1)</f>
        <v/>
      </c>
      <c r="D283" t="n">
        <v>2</v>
      </c>
      <c r="E283">
        <f>IF(Vu_khi!$S$283&gt;0,Vu_khi!$S$283,Vu_khi!$P$283*$C$283)</f>
        <v/>
      </c>
      <c r="F283" t="n">
        <v>2</v>
      </c>
      <c r="G283">
        <f>IF(Vu_khi!$S$283&gt;0,(Vu_khi!$S$283-1)*Vu_khi!$R$283+Vu_khi!$T$283,Vu_khi!$R$283+(Vu_khi!$P$283-1)*Vu_khi!$Q$283)</f>
        <v/>
      </c>
      <c r="H283" t="n">
        <v>21</v>
      </c>
      <c r="I283">
        <f>Vu_khi!$W$283*MAX(1,$E$283)</f>
        <v/>
      </c>
      <c r="J283" t="n">
        <v>1800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85.71428571428571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</v>
      </c>
      <c r="W283">
        <f>INDEX(Bang_sat_thuong!$C$2:$C$7,MATCH(Vu_khi!$K$283,Bang_sat_thuong!$A$2:$A$7,0))</f>
        <v/>
      </c>
      <c r="X283" t="n">
        <v>0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1.6</v>
      </c>
      <c r="AA283">
        <f>AND(Vu_khi!$K$283="Kinetic",NOT(Vu_khi!$AG$283))</f>
        <v/>
      </c>
      <c r="AB283" t="b">
        <v>0</v>
      </c>
      <c r="AC283">
        <f>IF(Vu_khi!$AG$283,INDEX(Bang_danh_noc!$C$2:$C$8,MIN(7,MAX(1,2-(Vu_khi!$L$283-0)+1))),INDEX(Bang_xuyen_giap!$C$2:$C$8,MIN(7,MAX(1,IF($O$283,MAX(1,2-(Vu_khi!$L$283-0)),2-(Vu_khi!$L$283-0))+1))))*IF($AA$283,INDEX(Bang_xuyen_qua!$C$2:$C$5,MIN(4,MAX(1,(Vu_khi!$L$283)-(0)-1))),1)</f>
        <v/>
      </c>
      <c r="AD283" t="n">
        <v>1.2</v>
      </c>
      <c r="AE283">
        <f>IF(Vu_khi!$AG$283,INDEX(Bang_danh_noc!$C$2:$C$8,MIN(7,MAX(1,2-(Vu_khi!$L$283-2)+1))),INDEX(Bang_xuyen_giap!$C$2:$C$8,MIN(7,MAX(1,IF($O$283,MAX(1,2-(Vu_khi!$L$283-2)),2-(Vu_khi!$L$283-2))+1))))*IF($AA$283,INDEX(Bang_xuyen_qua!$C$2:$C$5,MIN(4,MAX(1,(Vu_khi!$L$283)-(2)-1))),1)</f>
        <v/>
      </c>
      <c r="AF283" t="n">
        <v>1.2</v>
      </c>
      <c r="AG283">
        <f>IF(Vu_khi!$AG$283,INDEX(Bang_danh_noc!$C$2:$C$8,MIN(7,MAX(1,2-(Vu_khi!$L$283-4)+1))),INDEX(Bang_xuyen_giap!$C$2:$C$8,MIN(7,MAX(1,IF($O$283,MAX(1,2-(Vu_khi!$L$283-4)),2-(Vu_khi!$L$283-4))+1))))*IF($AA$283,INDEX(Bang_xuyen_qua!$C$2:$C$5,MIN(4,MAX(1,(Vu_khi!$L$283)-(4)-1))),1)</f>
        <v/>
      </c>
      <c r="AH283" t="n">
        <v>0.85</v>
      </c>
      <c r="AI283">
        <f>INDEX(Bang_xuyen_giap!$C$2:$C$8,MIN(7,MAX(1,MAX(1,2-(Vu_khi!$L$283-0))+1)))*IF($AA$283,INDEX(Bang_xuyen_qua!$C$2:$C$5,MIN(4,MAX(1,(Vu_khi!$L$283)-(0)-1))),1)</f>
        <v/>
      </c>
      <c r="AJ283" t="n">
        <v>1</v>
      </c>
      <c r="AK283">
        <f>IF($Q$283,$M$283*$AC$283*$U$283,0)</f>
        <v/>
      </c>
      <c r="AL283" t="n">
        <v>102.8571428571428</v>
      </c>
      <c r="AM283">
        <f>IF($Q$283,$M$283*$AE$283*$U$283,0)</f>
        <v/>
      </c>
      <c r="AN283" t="n">
        <v>102.8571428571428</v>
      </c>
      <c r="AO283">
        <f>IF($Q$283,$M$283*$AG$283*$U$283,0)</f>
        <v/>
      </c>
      <c r="AP283" t="n">
        <v>72.85714285714285</v>
      </c>
      <c r="AQ283">
        <f>IF($Q$283,$M$283*$AE$283*$Y$283,0)</f>
        <v/>
      </c>
      <c r="AR283" t="n">
        <v>164.5714285714286</v>
      </c>
      <c r="AS283">
        <f>IF($S$283,$M$283*$AI$283*$W$283,0)</f>
        <v/>
      </c>
      <c r="AT283" t="n">
        <v>0</v>
      </c>
      <c r="AU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V283" t="b">
        <v>1</v>
      </c>
      <c r="AW283">
        <f>IF(AND($B$283&lt;0,$AU$283),4,$B$283)</f>
        <v/>
      </c>
      <c r="AX283" t="n">
        <v>4</v>
      </c>
      <c r="AY283">
        <f>IF($AW$283&lt;4,0,MIN(MAX(0.5,Canh_bao_vong!$D$4),MAX(IF(Vu_khi!$C$283="cal_406",Canh_bao_vong!$D$7,IF($AW$283&gt;=5,Canh_bao_vong!$D$9,Canh_bao_vong!$D$8)),Canh_bao_vong!$D$2+MAX(0,Vu_khi!$X$283)/MAX(0.1,Canh_bao_vong!$D$5))))</f>
        <v/>
      </c>
      <c r="AZ283" t="n">
        <v>2.5</v>
      </c>
      <c r="BA283" t="n">
        <v>2.94</v>
      </c>
      <c r="BB283" t="inlineStr">
        <is>
          <t>CHAM_QUA;LECH_DOT_1</t>
        </is>
      </c>
      <c r="BC283" t="b">
        <v>1</v>
      </c>
      <c r="BD283" t="n">
        <v>85</v>
      </c>
      <c r="BE283" t="n">
        <v>110.5</v>
      </c>
      <c r="BF283" t="n">
        <v>0.279</v>
      </c>
      <c r="BG283" t="n">
        <v>0.5590000000000001</v>
      </c>
      <c r="BH283" t="n">
        <v>1.118</v>
      </c>
      <c r="BI283" t="n">
        <v>0.86</v>
      </c>
      <c r="BJ283" t="inlineStr">
        <is>
          <t>NAVAL_DIRECT</t>
        </is>
      </c>
      <c r="BK283" t="inlineStr">
        <is>
          <t>ok</t>
        </is>
      </c>
      <c r="BL283" t="inlineStr">
        <is>
          <t>inherited from cruiser_203</t>
        </is>
      </c>
      <c r="BM283" t="inlineStr"/>
      <c r="BN283" t="inlineStr">
        <is>
          <t>Assets/MachineBrigade/Resources/Data/balance.json: weapons[id=pt14_co_203] (lớp B trên 01_chien_dau/Vu_khi)</t>
        </is>
      </c>
      <c r="BO283" t="inlineStr"/>
    </row>
    <row r="284">
      <c r="A284" t="inlineStr">
        <is>
          <t>pt14_co_spike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2</v>
      </c>
      <c r="G284">
        <f>IF(Vu_khi!$S$284&gt;0,(Vu_khi!$S$284-1)*Vu_khi!$R$284+Vu_khi!$T$284,Vu_khi!$R$284+(Vu_khi!$P$284-1)*Vu_khi!$Q$284)</f>
        <v/>
      </c>
      <c r="H284" t="n">
        <v>12.8</v>
      </c>
      <c r="I284">
        <f>Vu_khi!$W$284*MAX(1,$E$284)</f>
        <v/>
      </c>
      <c r="J284" t="n">
        <v>600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46.875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1.3</v>
      </c>
      <c r="W284">
        <f>INDEX(Bang_sat_thuong!$C$2:$C$7,MATCH(Vu_khi!$K$284,Bang_sat_thuong!$A$2:$A$7,0))</f>
        <v/>
      </c>
      <c r="X284" t="n">
        <v>0.2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0.45</v>
      </c>
      <c r="AA284">
        <f>AND(Vu_khi!$K$284="Kinetic",NOT(Vu_khi!$AG$284))</f>
        <v/>
      </c>
      <c r="AB284" t="b">
        <v>0</v>
      </c>
      <c r="AC284">
        <f>IF(Vu_khi!$AG$284,INDEX(Bang_danh_noc!$C$2:$C$8,MIN(7,MAX(1,2-(Vu_khi!$L$284-0)+1))),INDEX(Bang_xuyen_giap!$C$2:$C$8,MIN(7,MAX(1,IF($O$284,MAX(1,2-(Vu_khi!$L$284-0)),2-(Vu_khi!$L$284-0))+1))))*IF($AA$284,INDEX(Bang_xuyen_qua!$C$2:$C$5,MIN(4,MAX(1,(Vu_khi!$L$284)-(0)-1))),1)</f>
        <v/>
      </c>
      <c r="AD284" t="n">
        <v>1.2</v>
      </c>
      <c r="AE284">
        <f>IF(Vu_khi!$AG$284,INDEX(Bang_danh_noc!$C$2:$C$8,MIN(7,MAX(1,2-(Vu_khi!$L$284-2)+1))),INDEX(Bang_xuyen_giap!$C$2:$C$8,MIN(7,MAX(1,IF($O$284,MAX(1,2-(Vu_khi!$L$284-2)),2-(Vu_khi!$L$284-2))+1))))*IF($AA$284,INDEX(Bang_xuyen_qua!$C$2:$C$5,MIN(4,MAX(1,(Vu_khi!$L$284)-(2)-1))),1)</f>
        <v/>
      </c>
      <c r="AF284" t="n">
        <v>1.2</v>
      </c>
      <c r="AG284">
        <f>IF(Vu_khi!$AG$284,INDEX(Bang_danh_noc!$C$2:$C$8,MIN(7,MAX(1,2-(Vu_khi!$L$284-4)+1))),INDEX(Bang_xuyen_giap!$C$2:$C$8,MIN(7,MAX(1,IF($O$284,MAX(1,2-(Vu_khi!$L$284-4)),2-(Vu_khi!$L$284-4))+1))))*IF($AA$284,INDEX(Bang_xuyen_qua!$C$2:$C$5,MIN(4,MAX(1,(Vu_khi!$L$284)-(4)-1))),1)</f>
        <v/>
      </c>
      <c r="AH284" t="n">
        <v>0.85</v>
      </c>
      <c r="AI284">
        <f>INDEX(Bang_xuyen_giap!$C$2:$C$8,MIN(7,MAX(1,MAX(1,2-(Vu_khi!$L$284-0))+1)))*IF($AA$284,INDEX(Bang_xuyen_qua!$C$2:$C$5,MIN(4,MAX(1,(Vu_khi!$L$284)-(0)-1))),1)</f>
        <v/>
      </c>
      <c r="AJ284" t="n">
        <v>1</v>
      </c>
      <c r="AK284">
        <f>IF($Q$284,$M$284*$AC$284*$U$284,0)</f>
        <v/>
      </c>
      <c r="AL284" t="n">
        <v>73.125</v>
      </c>
      <c r="AM284">
        <f>IF($Q$284,$M$284*$AE$284*$U$284,0)</f>
        <v/>
      </c>
      <c r="AN284" t="n">
        <v>73.125</v>
      </c>
      <c r="AO284">
        <f>IF($Q$284,$M$284*$AG$284*$U$284,0)</f>
        <v/>
      </c>
      <c r="AP284" t="n">
        <v>51.796875</v>
      </c>
      <c r="AQ284">
        <f>IF($Q$284,$M$284*$AE$284*$Y$284,0)</f>
        <v/>
      </c>
      <c r="AR284" t="n">
        <v>25.3125</v>
      </c>
      <c r="AS284">
        <f>IF($S$284,$M$284*$AI$284*$W$284,0)</f>
        <v/>
      </c>
      <c r="AT284" t="n">
        <v>0</v>
      </c>
      <c r="AU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V284" t="b">
        <v>0</v>
      </c>
      <c r="AW284">
        <f>IF(AND($B$284&lt;0,$AU$284),4,$B$284)</f>
        <v/>
      </c>
      <c r="AX284" t="n">
        <v>2</v>
      </c>
      <c r="AY284">
        <f>IF($AW$284&lt;4,0,MIN(MAX(0.5,Canh_bao_vong!$D$4),MAX(IF(Vu_khi!$C$284="cal_406",Canh_bao_vong!$D$7,IF($AW$284&gt;=5,Canh_bao_vong!$D$9,Canh_bao_vong!$D$8)),Canh_bao_vong!$D$2+MAX(0,Vu_khi!$X$284)/MAX(0.1,Canh_bao_vong!$D$5))))</f>
        <v/>
      </c>
      <c r="AZ284" t="n">
        <v>0</v>
      </c>
      <c r="BA284" t="inlineStr"/>
      <c r="BB284" t="inlineStr">
        <is>
          <t>LECH_DOT_1</t>
        </is>
      </c>
      <c r="BC284" t="b">
        <v>1</v>
      </c>
      <c r="BD284" t="n">
        <v>75</v>
      </c>
      <c r="BE284" t="n">
        <v>97.5</v>
      </c>
      <c r="BF284" t="n">
        <v>0.267</v>
      </c>
      <c r="BG284" t="n">
        <v>0.533</v>
      </c>
      <c r="BH284" t="n">
        <v>1.067</v>
      </c>
      <c r="BI284" t="n">
        <v>0.821</v>
      </c>
      <c r="BJ284" t="inlineStr">
        <is>
          <t>TACTICAL_MISSILE</t>
        </is>
      </c>
      <c r="BK284" t="inlineStr">
        <is>
          <t>OWNER_EXCEPTION</t>
        </is>
      </c>
      <c r="BL284" t="inlineStr">
        <is>
          <t>own line (over drone_missile)</t>
        </is>
      </c>
      <c r="BM284" t="n">
        <v>60</v>
      </c>
      <c r="BN284" t="inlineStr">
        <is>
          <t>Assets/MachineBrigade/Resources/Data/balance.json: weapons[id=pt14_co_spike] (lớp B trên 01_chien_dau/Vu_khi)</t>
        </is>
      </c>
      <c r="BO284" t="inlineStr"/>
    </row>
    <row r="285">
      <c r="A285" t="inlineStr">
        <is>
          <t>pt14_co_v76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4</v>
      </c>
      <c r="G285">
        <f>IF(Vu_khi!$S$285&gt;0,(Vu_khi!$S$285-1)*Vu_khi!$R$285+Vu_khi!$T$285,Vu_khi!$R$285+(Vu_khi!$P$285-1)*Vu_khi!$Q$285)</f>
        <v/>
      </c>
      <c r="H285" t="n">
        <v>4.1</v>
      </c>
      <c r="I285">
        <f>Vu_khi!$W$285*MAX(1,$E$285)</f>
        <v/>
      </c>
      <c r="J285" t="n">
        <v>480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117.0731707317073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1.6</v>
      </c>
      <c r="AA285">
        <f>AND(Vu_khi!$K$285="Kinetic",NOT(Vu_khi!$AG$285))</f>
        <v/>
      </c>
      <c r="AB285" t="b">
        <v>0</v>
      </c>
      <c r="AC285">
        <f>IF(Vu_khi!$AG$285,INDEX(Bang_danh_noc!$C$2:$C$8,MIN(7,MAX(1,2-(Vu_khi!$L$285-0)+1))),INDEX(Bang_xuyen_giap!$C$2:$C$8,MIN(7,MAX(1,IF($O$285,MAX(1,2-(Vu_khi!$L$285-0)),2-(Vu_khi!$L$285-0))+1))))*IF($AA$285,INDEX(Bang_xuyen_qua!$C$2:$C$5,MIN(4,MAX(1,(Vu_khi!$L$285)-(0)-1))),1)</f>
        <v/>
      </c>
      <c r="AD285" t="n">
        <v>1.2</v>
      </c>
      <c r="AE285">
        <f>IF(Vu_khi!$AG$285,INDEX(Bang_danh_noc!$C$2:$C$8,MIN(7,MAX(1,2-(Vu_khi!$L$285-2)+1))),INDEX(Bang_xuyen_giap!$C$2:$C$8,MIN(7,MAX(1,IF($O$285,MAX(1,2-(Vu_khi!$L$285-2)),2-(Vu_khi!$L$285-2))+1))))*IF($AA$285,INDEX(Bang_xuyen_qua!$C$2:$C$5,MIN(4,MAX(1,(Vu_khi!$L$285)-(2)-1))),1)</f>
        <v/>
      </c>
      <c r="AF285" t="n">
        <v>1</v>
      </c>
      <c r="AG285">
        <f>IF(Vu_khi!$AG$285,INDEX(Bang_danh_noc!$C$2:$C$8,MIN(7,MAX(1,2-(Vu_khi!$L$285-4)+1))),INDEX(Bang_xuyen_giap!$C$2:$C$8,MIN(7,MAX(1,IF($O$285,MAX(1,2-(Vu_khi!$L$285-4)),2-(Vu_khi!$L$285-4))+1))))*IF($AA$285,INDEX(Bang_xuyen_qua!$C$2:$C$5,MIN(4,MAX(1,(Vu_khi!$L$285)-(4)-1))),1)</f>
        <v/>
      </c>
      <c r="AH285" t="n">
        <v>0.65</v>
      </c>
      <c r="AI285">
        <f>INDEX(Bang_xuyen_giap!$C$2:$C$8,MIN(7,MAX(1,MAX(1,2-(Vu_khi!$L$285-0))+1)))*IF($AA$285,INDEX(Bang_xuyen_qua!$C$2:$C$5,MIN(4,MAX(1,(Vu_khi!$L$285)-(0)-1))),1)</f>
        <v/>
      </c>
      <c r="AJ285" t="n">
        <v>1</v>
      </c>
      <c r="AK285">
        <f>IF($Q$285,$M$285*$AC$285*$U$285,0)</f>
        <v/>
      </c>
      <c r="AL285" t="n">
        <v>140.4878048780488</v>
      </c>
      <c r="AM285">
        <f>IF($Q$285,$M$285*$AE$285*$U$285,0)</f>
        <v/>
      </c>
      <c r="AN285" t="n">
        <v>117.0731707317073</v>
      </c>
      <c r="AO285">
        <f>IF($Q$285,$M$285*$AG$285*$U$285,0)</f>
        <v/>
      </c>
      <c r="AP285" t="n">
        <v>76.09756097560977</v>
      </c>
      <c r="AQ285">
        <f>IF($Q$285,$M$285*$AE$285*$Y$285,0)</f>
        <v/>
      </c>
      <c r="AR285" t="n">
        <v>187.3170731707317</v>
      </c>
      <c r="AS285">
        <f>IF($S$285,$M$285*$AI$285*$W$285,0)</f>
        <v/>
      </c>
      <c r="AT285" t="n">
        <v>0</v>
      </c>
      <c r="AU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V285" t="b">
        <v>0</v>
      </c>
      <c r="AW285">
        <f>IF(AND($B$285&lt;0,$AU$285),4,$B$285)</f>
        <v/>
      </c>
      <c r="AX285" t="n">
        <v>2</v>
      </c>
      <c r="AY285">
        <f>IF($AW$285&lt;4,0,MIN(MAX(0.5,Canh_bao_vong!$D$4),MAX(IF(Vu_khi!$C$285="cal_406",Canh_bao_vong!$D$7,IF($AW$285&gt;=5,Canh_bao_vong!$D$9,Canh_bao_vong!$D$8)),Canh_bao_vong!$D$2+MAX(0,Vu_khi!$X$285)/MAX(0.1,Canh_bao_vong!$D$5))))</f>
        <v/>
      </c>
      <c r="AZ285" t="n">
        <v>0</v>
      </c>
      <c r="BA285" t="n">
        <v>2.87</v>
      </c>
      <c r="BB285" t="inlineStr">
        <is>
          <t>CHAM_QUA;LECH_DOT_1</t>
        </is>
      </c>
      <c r="BC285" t="b">
        <v>1</v>
      </c>
      <c r="BD285" t="n">
        <v>95</v>
      </c>
      <c r="BE285" t="n">
        <v>123.5</v>
      </c>
      <c r="BF285" t="n">
        <v>0.184</v>
      </c>
      <c r="BG285" t="n">
        <v>0.368</v>
      </c>
      <c r="BH285" t="n">
        <v>0.737</v>
      </c>
      <c r="BI285" t="n">
        <v>0.5669999999999999</v>
      </c>
      <c r="BJ285" t="inlineStr">
        <is>
          <t>NAVAL_DIRECT</t>
        </is>
      </c>
      <c r="BK285" t="inlineStr">
        <is>
          <t>ok</t>
        </is>
      </c>
      <c r="BL285" t="inlineStr">
        <is>
          <t>inherited from naval_76</t>
        </is>
      </c>
      <c r="BM285" t="inlineStr"/>
      <c r="BN285" t="inlineStr">
        <is>
          <t>Assets/MachineBrigade/Resources/Data/balance.json: weapons[id=pt14_co_v76] (lớp B trên 01_chien_dau/Vu_khi)</t>
        </is>
      </c>
      <c r="BO285" t="inlineStr"/>
    </row>
    <row r="286">
      <c r="A286" t="inlineStr">
        <is>
          <t>pt14_dd_v25</t>
        </is>
      </c>
      <c r="B286" t="n">
        <v>1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14</v>
      </c>
      <c r="G286">
        <f>IF(Vu_khi!$S$286&gt;0,(Vu_khi!$S$286-1)*Vu_khi!$R$286+Vu_khi!$T$286,Vu_khi!$R$286+(Vu_khi!$P$286-1)*Vu_khi!$Q$286)</f>
        <v/>
      </c>
      <c r="H286" t="n">
        <v>2.85</v>
      </c>
      <c r="I286">
        <f>Vu_khi!$W$286*MAX(1,$E$286)</f>
        <v/>
      </c>
      <c r="J286" t="n">
        <v>210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73.68421052631578</v>
      </c>
      <c r="O286">
        <f>OR(Vu_khi!$AG$286,Vu_khi!$AB$286&gt;0,Vu_khi!$AH$286,Vu_khi!$M$286="Bomb",Vu_khi!$M$286="Drone")</f>
        <v/>
      </c>
      <c r="P286" t="b">
        <v>0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1.2</v>
      </c>
      <c r="W286">
        <f>INDEX(Bang_sat_thuong!$C$2:$C$7,MATCH(Vu_khi!$K$286,Bang_sat_thuong!$A$2:$A$7,0))</f>
        <v/>
      </c>
      <c r="X286" t="n">
        <v>0.3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0.7</v>
      </c>
      <c r="AA286">
        <f>AND(Vu_khi!$K$286="Kinetic",NOT(Vu_khi!$AG$286))</f>
        <v/>
      </c>
      <c r="AB286" t="b">
        <v>1</v>
      </c>
      <c r="AC286">
        <f>IF(Vu_khi!$AG$286,INDEX(Bang_danh_noc!$C$2:$C$8,MIN(7,MAX(1,2-(Vu_khi!$L$286-0)+1))),INDEX(Bang_xuyen_giap!$C$2:$C$8,MIN(7,MAX(1,IF($O$286,MAX(1,2-(Vu_khi!$L$286-0)),2-(Vu_khi!$L$286-0))+1))))*IF($AA$286,INDEX(Bang_xuyen_qua!$C$2:$C$5,MIN(4,MAX(1,(Vu_khi!$L$286)-(0)-1))),1)</f>
        <v/>
      </c>
      <c r="AD286" t="n">
        <v>1.2</v>
      </c>
      <c r="AE286">
        <f>IF(Vu_khi!$AG$286,INDEX(Bang_danh_noc!$C$2:$C$8,MIN(7,MAX(1,2-(Vu_khi!$L$286-2)+1))),INDEX(Bang_xuyen_giap!$C$2:$C$8,MIN(7,MAX(1,IF($O$286,MAX(1,2-(Vu_khi!$L$286-2)),2-(Vu_khi!$L$286-2))+1))))*IF($AA$286,INDEX(Bang_xuyen_qua!$C$2:$C$5,MIN(4,MAX(1,(Vu_khi!$L$286)-(2)-1))),1)</f>
        <v/>
      </c>
      <c r="AF286" t="n">
        <v>0.85</v>
      </c>
      <c r="AG286">
        <f>IF(Vu_khi!$AG$286,INDEX(Bang_danh_noc!$C$2:$C$8,MIN(7,MAX(1,2-(Vu_khi!$L$286-4)+1))),INDEX(Bang_xuyen_giap!$C$2:$C$8,MIN(7,MAX(1,IF($O$286,MAX(1,2-(Vu_khi!$L$286-4)),2-(Vu_khi!$L$286-4))+1))))*IF($AA$286,INDEX(Bang_xuyen_qua!$C$2:$C$5,MIN(4,MAX(1,(Vu_khi!$L$286)-(4)-1))),1)</f>
        <v/>
      </c>
      <c r="AH286" t="n">
        <v>0.4</v>
      </c>
      <c r="AI286">
        <f>INDEX(Bang_xuyen_giap!$C$2:$C$8,MIN(7,MAX(1,MAX(1,2-(Vu_khi!$L$286-0))+1)))*IF($AA$286,INDEX(Bang_xuyen_qua!$C$2:$C$5,MIN(4,MAX(1,(Vu_khi!$L$286)-(0)-1))),1)</f>
        <v/>
      </c>
      <c r="AJ286" t="n">
        <v>1</v>
      </c>
      <c r="AK286">
        <f>IF($Q$286,$M$286*$AC$286*$U$286,0)</f>
        <v/>
      </c>
      <c r="AL286" t="n">
        <v>106.1052631578947</v>
      </c>
      <c r="AM286">
        <f>IF($Q$286,$M$286*$AE$286*$U$286,0)</f>
        <v/>
      </c>
      <c r="AN286" t="n">
        <v>75.1578947368421</v>
      </c>
      <c r="AO286">
        <f>IF($Q$286,$M$286*$AG$286*$U$286,0)</f>
        <v/>
      </c>
      <c r="AP286" t="n">
        <v>35.36842105263158</v>
      </c>
      <c r="AQ286">
        <f>IF($Q$286,$M$286*$AE$286*$Y$286,0)</f>
        <v/>
      </c>
      <c r="AR286" t="n">
        <v>43.84210526315789</v>
      </c>
      <c r="AS286">
        <f>IF($S$286,$M$286*$AI$286*$W$286,0)</f>
        <v/>
      </c>
      <c r="AT286" t="n">
        <v>0</v>
      </c>
      <c r="AU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V286" t="b">
        <v>0</v>
      </c>
      <c r="AW286">
        <f>IF(AND($B$286&lt;0,$AU$286),4,$B$286)</f>
        <v/>
      </c>
      <c r="AX286" t="n">
        <v>1</v>
      </c>
      <c r="AY286">
        <f>IF($AW$286&lt;4,0,MIN(MAX(0.5,Canh_bao_vong!$D$4),MAX(IF(Vu_khi!$C$286="cal_406",Canh_bao_vong!$D$7,IF($AW$286&gt;=5,Canh_bao_vong!$D$9,Canh_bao_vong!$D$8)),Canh_bao_vong!$D$2+MAX(0,Vu_khi!$X$286)/MAX(0.1,Canh_bao_vong!$D$5))))</f>
        <v/>
      </c>
      <c r="AZ286" t="n">
        <v>0</v>
      </c>
      <c r="BA286" t="n">
        <v>14.25</v>
      </c>
      <c r="BB286" t="inlineStr">
        <is>
          <t>LECH_DOT_1</t>
        </is>
      </c>
      <c r="BC286" t="b">
        <v>1</v>
      </c>
      <c r="BD286" t="n">
        <v>210</v>
      </c>
      <c r="BE286" t="n">
        <v>273</v>
      </c>
      <c r="BF286" t="n">
        <v>0.036</v>
      </c>
      <c r="BG286" t="n">
        <v>0.07099999999999999</v>
      </c>
      <c r="BH286" t="n">
        <v>0.143</v>
      </c>
      <c r="BI286" t="n">
        <v>0.11</v>
      </c>
      <c r="BJ286" t="inlineStr">
        <is>
          <t>DIRECT_BULLET</t>
        </is>
      </c>
      <c r="BK286" t="inlineStr">
        <is>
          <t>ok</t>
        </is>
      </c>
      <c r="BL286" t="inlineStr">
        <is>
          <t>inherited from autocannon_25</t>
        </is>
      </c>
      <c r="BM286" t="inlineStr"/>
      <c r="BN286" t="inlineStr">
        <is>
          <t>Assets/MachineBrigade/Resources/Data/balance.json: weapons[id=pt14_dd_v25] (lớp B trên 01_chien_dau/Vu_khi)</t>
        </is>
      </c>
      <c r="BO286" t="inlineStr"/>
    </row>
    <row r="287">
      <c r="A287" t="inlineStr">
        <is>
          <t>pt14_dd_v57</t>
        </is>
      </c>
      <c r="B287" t="n">
        <v>2</v>
      </c>
      <c r="C287">
        <f>IF(Vu_khi!$O$287="SIMULTANEOUS",MAX(1,Vu_khi!$N$287),1)</f>
        <v/>
      </c>
      <c r="D287" t="n">
        <v>2</v>
      </c>
      <c r="E287">
        <f>IF(Vu_khi!$S$287&gt;0,Vu_khi!$S$287,Vu_khi!$P$287*$C$287)</f>
        <v/>
      </c>
      <c r="F287" t="n">
        <v>8</v>
      </c>
      <c r="G287">
        <f>IF(Vu_khi!$S$287&gt;0,(Vu_khi!$S$287-1)*Vu_khi!$R$287+Vu_khi!$T$287,Vu_khi!$R$287+(Vu_khi!$P$287-1)*Vu_khi!$Q$287)</f>
        <v/>
      </c>
      <c r="H287" t="n">
        <v>4.29</v>
      </c>
      <c r="I287">
        <f>Vu_khi!$W$287*MAX(1,$E$287)</f>
        <v/>
      </c>
      <c r="J287" t="n">
        <v>960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223.7762237762238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0</v>
      </c>
      <c r="U287">
        <f>INDEX(Bang_sat_thuong!$B$2:$B$7,MATCH(Vu_khi!$K$287,Bang_sat_thuong!$A$2:$A$7,0))</f>
        <v/>
      </c>
      <c r="V287" t="n">
        <v>1</v>
      </c>
      <c r="W287">
        <f>INDEX(Bang_sat_thuong!$C$2:$C$7,MATCH(Vu_khi!$K$287,Bang_sat_thuong!$A$2:$A$7,0))</f>
        <v/>
      </c>
      <c r="X287" t="n">
        <v>0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1.6</v>
      </c>
      <c r="AA287">
        <f>AND(Vu_khi!$K$287="Kinetic",NOT(Vu_khi!$AG$287))</f>
        <v/>
      </c>
      <c r="AB287" t="b">
        <v>0</v>
      </c>
      <c r="AC287">
        <f>IF(Vu_khi!$AG$287,INDEX(Bang_danh_noc!$C$2:$C$8,MIN(7,MAX(1,2-(Vu_khi!$L$287-0)+1))),INDEX(Bang_xuyen_giap!$C$2:$C$8,MIN(7,MAX(1,IF($O$287,MAX(1,2-(Vu_khi!$L$287-0)),2-(Vu_khi!$L$287-0))+1))))*IF($AA$287,INDEX(Bang_xuyen_qua!$C$2:$C$5,MIN(4,MAX(1,(Vu_khi!$L$287)-(0)-1))),1)</f>
        <v/>
      </c>
      <c r="AD287" t="n">
        <v>1.2</v>
      </c>
      <c r="AE287">
        <f>IF(Vu_khi!$AG$287,INDEX(Bang_danh_noc!$C$2:$C$8,MIN(7,MAX(1,2-(Vu_khi!$L$287-2)+1))),INDEX(Bang_xuyen_giap!$C$2:$C$8,MIN(7,MAX(1,IF($O$287,MAX(1,2-(Vu_khi!$L$287-2)),2-(Vu_khi!$L$287-2))+1))))*IF($AA$287,INDEX(Bang_xuyen_qua!$C$2:$C$5,MIN(4,MAX(1,(Vu_khi!$L$287)-(2)-1))),1)</f>
        <v/>
      </c>
      <c r="AF287" t="n">
        <v>1.2</v>
      </c>
      <c r="AG287">
        <f>IF(Vu_khi!$AG$287,INDEX(Bang_danh_noc!$C$2:$C$8,MIN(7,MAX(1,2-(Vu_khi!$L$287-4)+1))),INDEX(Bang_xuyen_giap!$C$2:$C$8,MIN(7,MAX(1,IF($O$287,MAX(1,2-(Vu_khi!$L$287-4)),2-(Vu_khi!$L$287-4))+1))))*IF($AA$287,INDEX(Bang_xuyen_qua!$C$2:$C$5,MIN(4,MAX(1,(Vu_khi!$L$287)-(4)-1))),1)</f>
        <v/>
      </c>
      <c r="AH287" t="n">
        <v>0.85</v>
      </c>
      <c r="AI287">
        <f>INDEX(Bang_xuyen_giap!$C$2:$C$8,MIN(7,MAX(1,MAX(1,2-(Vu_khi!$L$287-0))+1)))*IF($AA$287,INDEX(Bang_xuyen_qua!$C$2:$C$5,MIN(4,MAX(1,(Vu_khi!$L$287)-(0)-1))),1)</f>
        <v/>
      </c>
      <c r="AJ287" t="n">
        <v>1</v>
      </c>
      <c r="AK287">
        <f>IF($Q$287,$M$287*$AC$287*$U$287,0)</f>
        <v/>
      </c>
      <c r="AL287" t="n">
        <v>268.5314685314685</v>
      </c>
      <c r="AM287">
        <f>IF($Q$287,$M$287*$AE$287*$U$287,0)</f>
        <v/>
      </c>
      <c r="AN287" t="n">
        <v>268.5314685314685</v>
      </c>
      <c r="AO287">
        <f>IF($Q$287,$M$287*$AG$287*$U$287,0)</f>
        <v/>
      </c>
      <c r="AP287" t="n">
        <v>190.2097902097902</v>
      </c>
      <c r="AQ287">
        <f>IF($Q$287,$M$287*$AE$287*$Y$287,0)</f>
        <v/>
      </c>
      <c r="AR287" t="n">
        <v>429.6503496503497</v>
      </c>
      <c r="AS287">
        <f>IF($S$287,$M$287*$AI$287*$W$287,0)</f>
        <v/>
      </c>
      <c r="AT287" t="n">
        <v>0</v>
      </c>
      <c r="AU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V287" t="b">
        <v>0</v>
      </c>
      <c r="AW287">
        <f>IF(AND($B$287&lt;0,$AU$287),4,$B$287)</f>
        <v/>
      </c>
      <c r="AX287" t="n">
        <v>2</v>
      </c>
      <c r="AY287">
        <f>IF($AW$287&lt;4,0,MIN(MAX(0.5,Canh_bao_vong!$D$4),MAX(IF(Vu_khi!$C$287="cal_406",Canh_bao_vong!$D$7,IF($AW$287&gt;=5,Canh_bao_vong!$D$9,Canh_bao_vong!$D$8)),Canh_bao_vong!$D$2+MAX(0,Vu_khi!$X$287)/MAX(0.1,Canh_bao_vong!$D$5))))</f>
        <v/>
      </c>
      <c r="AZ287" t="n">
        <v>0</v>
      </c>
      <c r="BA287" t="n">
        <v>2.145</v>
      </c>
      <c r="BB287" t="inlineStr">
        <is>
          <t>ok</t>
        </is>
      </c>
      <c r="BC287" t="b">
        <v>1</v>
      </c>
      <c r="BD287" t="n">
        <v>150</v>
      </c>
      <c r="BE287" t="n">
        <v>195</v>
      </c>
      <c r="BF287" t="n">
        <v>0.047</v>
      </c>
      <c r="BG287" t="n">
        <v>0.093</v>
      </c>
      <c r="BH287" t="n">
        <v>0.187</v>
      </c>
      <c r="BI287" t="n">
        <v>0.144</v>
      </c>
      <c r="BJ287" t="inlineStr">
        <is>
          <t>DIRECT_FAST</t>
        </is>
      </c>
      <c r="BK287" t="inlineStr">
        <is>
          <t>ok</t>
        </is>
      </c>
      <c r="BL287" t="inlineStr">
        <is>
          <t>inherited from p26_daedalus_sec_dae57</t>
        </is>
      </c>
      <c r="BM287" t="inlineStr"/>
      <c r="BN287" t="inlineStr">
        <is>
          <t>Assets/MachineBrigade/Resources/Data/balance.json: weapons[id=pt14_dd_v57] (lớp B trên 01_chien_dau/Vu_khi)</t>
        </is>
      </c>
      <c r="BO287" t="inlineStr"/>
    </row>
    <row r="288">
      <c r="A288" t="inlineStr">
        <is>
          <t>pt14_hp_155</t>
        </is>
      </c>
      <c r="B288" t="n">
        <v>3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2</v>
      </c>
      <c r="G288">
        <f>IF(Vu_khi!$S$288&gt;0,(Vu_khi!$S$288-1)*Vu_khi!$R$288+Vu_khi!$T$288,Vu_khi!$R$288+(Vu_khi!$P$288-1)*Vu_khi!$Q$288)</f>
        <v/>
      </c>
      <c r="H288" t="n">
        <v>13.9</v>
      </c>
      <c r="I288">
        <f>Vu_khi!$W$288*MAX(1,$E$288)</f>
        <v/>
      </c>
      <c r="J288" t="n">
        <v>1200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86.33093525179856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1</v>
      </c>
      <c r="S288">
        <f>AND(NOT(Vu_khi!$AJ$288),OR(Vu_khi!$AC$288="Air",Vu_khi!$AC$288="All"))</f>
        <v/>
      </c>
      <c r="T288" t="b">
        <v>0</v>
      </c>
      <c r="U288">
        <f>INDEX(Bang_sat_thuong!$B$2:$B$7,MATCH(Vu_khi!$K$288,Bang_sat_thuong!$A$2:$A$7,0))</f>
        <v/>
      </c>
      <c r="V288" t="n">
        <v>1</v>
      </c>
      <c r="W288">
        <f>INDEX(Bang_sat_thuong!$C$2:$C$7,MATCH(Vu_khi!$K$288,Bang_sat_thuong!$A$2:$A$7,0))</f>
        <v/>
      </c>
      <c r="X288" t="n">
        <v>0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1.6</v>
      </c>
      <c r="AA288">
        <f>AND(Vu_khi!$K$288="Kinetic",NOT(Vu_khi!$AG$288))</f>
        <v/>
      </c>
      <c r="AB288" t="b">
        <v>0</v>
      </c>
      <c r="AC288">
        <f>IF(Vu_khi!$AG$288,INDEX(Bang_danh_noc!$C$2:$C$8,MIN(7,MAX(1,2-(Vu_khi!$L$288-0)+1))),INDEX(Bang_xuyen_giap!$C$2:$C$8,MIN(7,MAX(1,IF($O$288,MAX(1,2-(Vu_khi!$L$288-0)),2-(Vu_khi!$L$288-0))+1))))*IF($AA$288,INDEX(Bang_xuyen_qua!$C$2:$C$5,MIN(4,MAX(1,(Vu_khi!$L$288)-(0)-1))),1)</f>
        <v/>
      </c>
      <c r="AD288" t="n">
        <v>1.2</v>
      </c>
      <c r="AE288">
        <f>IF(Vu_khi!$AG$288,INDEX(Bang_danh_noc!$C$2:$C$8,MIN(7,MAX(1,2-(Vu_khi!$L$288-2)+1))),INDEX(Bang_xuyen_giap!$C$2:$C$8,MIN(7,MAX(1,IF($O$288,MAX(1,2-(Vu_khi!$L$288-2)),2-(Vu_khi!$L$288-2))+1))))*IF($AA$288,INDEX(Bang_xuyen_qua!$C$2:$C$5,MIN(4,MAX(1,(Vu_khi!$L$288)-(2)-1))),1)</f>
        <v/>
      </c>
      <c r="AF288" t="n">
        <v>1</v>
      </c>
      <c r="AG288">
        <f>IF(Vu_khi!$AG$288,INDEX(Bang_danh_noc!$C$2:$C$8,MIN(7,MAX(1,2-(Vu_khi!$L$288-4)+1))),INDEX(Bang_xuyen_giap!$C$2:$C$8,MIN(7,MAX(1,IF($O$288,MAX(1,2-(Vu_khi!$L$288-4)),2-(Vu_khi!$L$288-4))+1))))*IF($AA$288,INDEX(Bang_xuyen_qua!$C$2:$C$5,MIN(4,MAX(1,(Vu_khi!$L$288)-(4)-1))),1)</f>
        <v/>
      </c>
      <c r="AH288" t="n">
        <v>0.65</v>
      </c>
      <c r="AI288">
        <f>INDEX(Bang_xuyen_giap!$C$2:$C$8,MIN(7,MAX(1,MAX(1,2-(Vu_khi!$L$288-0))+1)))*IF($AA$288,INDEX(Bang_xuyen_qua!$C$2:$C$5,MIN(4,MAX(1,(Vu_khi!$L$288)-(0)-1))),1)</f>
        <v/>
      </c>
      <c r="AJ288" t="n">
        <v>1</v>
      </c>
      <c r="AK288">
        <f>IF($Q$288,$M$288*$AC$288*$U$288,0)</f>
        <v/>
      </c>
      <c r="AL288" t="n">
        <v>103.5971223021583</v>
      </c>
      <c r="AM288">
        <f>IF($Q$288,$M$288*$AE$288*$U$288,0)</f>
        <v/>
      </c>
      <c r="AN288" t="n">
        <v>86.33093525179856</v>
      </c>
      <c r="AO288">
        <f>IF($Q$288,$M$288*$AG$288*$U$288,0)</f>
        <v/>
      </c>
      <c r="AP288" t="n">
        <v>56.11510791366907</v>
      </c>
      <c r="AQ288">
        <f>IF($Q$288,$M$288*$AE$288*$Y$288,0)</f>
        <v/>
      </c>
      <c r="AR288" t="n">
        <v>138.1294964028777</v>
      </c>
      <c r="AS288">
        <f>IF($S$288,$M$288*$AI$288*$W$288,0)</f>
        <v/>
      </c>
      <c r="AT288" t="n">
        <v>0</v>
      </c>
      <c r="AU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V288" t="b">
        <v>0</v>
      </c>
      <c r="AW288">
        <f>IF(AND($B$288&lt;0,$AU$288),4,$B$288)</f>
        <v/>
      </c>
      <c r="AX288" t="n">
        <v>3</v>
      </c>
      <c r="AY288">
        <f>IF($AW$288&lt;4,0,MIN(MAX(0.5,Canh_bao_vong!$D$4),MAX(IF(Vu_khi!$C$288="cal_406",Canh_bao_vong!$D$7,IF($AW$288&gt;=5,Canh_bao_vong!$D$9,Canh_bao_vong!$D$8)),Canh_bao_vong!$D$2+MAX(0,Vu_khi!$X$288)/MAX(0.1,Canh_bao_vong!$D$5))))</f>
        <v/>
      </c>
      <c r="AZ288" t="n">
        <v>0</v>
      </c>
      <c r="BA288" t="n">
        <v>0.810833</v>
      </c>
      <c r="BB288" t="inlineStr">
        <is>
          <t>LECH_DOT_1</t>
        </is>
      </c>
      <c r="BC288" t="b">
        <v>1</v>
      </c>
      <c r="BD288" t="n">
        <v>88</v>
      </c>
      <c r="BE288" t="n">
        <v>114.4</v>
      </c>
      <c r="BF288" t="n">
        <v>0.27</v>
      </c>
      <c r="BG288" t="n">
        <v>0.54</v>
      </c>
      <c r="BH288" t="n">
        <v>1.08</v>
      </c>
      <c r="BI288" t="n">
        <v>0.83</v>
      </c>
      <c r="BJ288" t="inlineStr">
        <is>
          <t>NAVAL_DIRECT</t>
        </is>
      </c>
      <c r="BK288" t="inlineStr">
        <is>
          <t>ok</t>
        </is>
      </c>
      <c r="BL288" t="inlineStr">
        <is>
          <t>inherited from naval_155_triple</t>
        </is>
      </c>
      <c r="BM288" t="inlineStr"/>
      <c r="BN288" t="inlineStr">
        <is>
          <t>Assets/MachineBrigade/Resources/Data/balance.json: weapons[id=pt14_hp_155] (lớp B trên 01_chien_dau/Vu_khi)</t>
        </is>
      </c>
      <c r="BO288" t="inlineStr"/>
    </row>
    <row r="289">
      <c r="A289" t="inlineStr">
        <is>
          <t>pt14_hp_nsm</t>
        </is>
      </c>
      <c r="B289" t="n">
        <v>4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2</v>
      </c>
      <c r="G289">
        <f>IF(Vu_khi!$S$289&gt;0,(Vu_khi!$S$289-1)*Vu_khi!$R$289+Vu_khi!$T$289,Vu_khi!$R$289+(Vu_khi!$P$289-1)*Vu_khi!$Q$289)</f>
        <v/>
      </c>
      <c r="H289" t="n">
        <v>14.6</v>
      </c>
      <c r="I289">
        <f>Vu_khi!$W$289*MAX(1,$E$289)</f>
        <v/>
      </c>
      <c r="J289" t="n">
        <v>760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52.05479452054794</v>
      </c>
      <c r="O289">
        <f>OR(Vu_khi!$AG$289,Vu_khi!$AB$289&gt;0,Vu_khi!$AH$289,Vu_khi!$M$289="Bomb",Vu_khi!$M$289="Drone")</f>
        <v/>
      </c>
      <c r="P289" t="b">
        <v>0</v>
      </c>
      <c r="Q289">
        <f>AND(NOT(Vu_khi!$AJ$289),OR(Vu_khi!$AC$289="Ground",Vu_khi!$AC$289="All"))</f>
        <v/>
      </c>
      <c r="R289" t="b">
        <v>1</v>
      </c>
      <c r="S289">
        <f>AND(NOT(Vu_khi!$AJ$289),OR(Vu_khi!$AC$289="Air",Vu_khi!$AC$289="All"))</f>
        <v/>
      </c>
      <c r="T289" t="b">
        <v>0</v>
      </c>
      <c r="U289">
        <f>INDEX(Bang_sat_thuong!$B$2:$B$7,MATCH(Vu_khi!$K$289,Bang_sat_thuong!$A$2:$A$7,0))</f>
        <v/>
      </c>
      <c r="V289" t="n">
        <v>1</v>
      </c>
      <c r="W289">
        <f>INDEX(Bang_sat_thuong!$C$2:$C$7,MATCH(Vu_khi!$K$289,Bang_sat_thuong!$A$2:$A$7,0))</f>
        <v/>
      </c>
      <c r="X289" t="n">
        <v>0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1.6</v>
      </c>
      <c r="AA289">
        <f>AND(Vu_khi!$K$289="Kinetic",NOT(Vu_khi!$AG$289))</f>
        <v/>
      </c>
      <c r="AB289" t="b">
        <v>0</v>
      </c>
      <c r="AC289">
        <f>IF(Vu_khi!$AG$289,INDEX(Bang_danh_noc!$C$2:$C$8,MIN(7,MAX(1,2-(Vu_khi!$L$289-0)+1))),INDEX(Bang_xuyen_giap!$C$2:$C$8,MIN(7,MAX(1,IF($O$289,MAX(1,2-(Vu_khi!$L$289-0)),2-(Vu_khi!$L$289-0))+1))))*IF($AA$289,INDEX(Bang_xuyen_qua!$C$2:$C$5,MIN(4,MAX(1,(Vu_khi!$L$289)-(0)-1))),1)</f>
        <v/>
      </c>
      <c r="AD289" t="n">
        <v>1.2</v>
      </c>
      <c r="AE289">
        <f>IF(Vu_khi!$AG$289,INDEX(Bang_danh_noc!$C$2:$C$8,MIN(7,MAX(1,2-(Vu_khi!$L$289-2)+1))),INDEX(Bang_xuyen_giap!$C$2:$C$8,MIN(7,MAX(1,IF($O$289,MAX(1,2-(Vu_khi!$L$289-2)),2-(Vu_khi!$L$289-2))+1))))*IF($AA$289,INDEX(Bang_xuyen_qua!$C$2:$C$5,MIN(4,MAX(1,(Vu_khi!$L$289)-(2)-1))),1)</f>
        <v/>
      </c>
      <c r="AF289" t="n">
        <v>1.2</v>
      </c>
      <c r="AG289">
        <f>IF(Vu_khi!$AG$289,INDEX(Bang_danh_noc!$C$2:$C$8,MIN(7,MAX(1,2-(Vu_khi!$L$289-4)+1))),INDEX(Bang_xuyen_giap!$C$2:$C$8,MIN(7,MAX(1,IF($O$289,MAX(1,2-(Vu_khi!$L$289-4)),2-(Vu_khi!$L$289-4))+1))))*IF($AA$289,INDEX(Bang_xuyen_qua!$C$2:$C$5,MIN(4,MAX(1,(Vu_khi!$L$289)-(4)-1))),1)</f>
        <v/>
      </c>
      <c r="AH289" t="n">
        <v>0.85</v>
      </c>
      <c r="AI289">
        <f>INDEX(Bang_xuyen_giap!$C$2:$C$8,MIN(7,MAX(1,MAX(1,2-(Vu_khi!$L$289-0))+1)))*IF($AA$289,INDEX(Bang_xuyen_qua!$C$2:$C$5,MIN(4,MAX(1,(Vu_khi!$L$289)-(0)-1))),1)</f>
        <v/>
      </c>
      <c r="AJ289" t="n">
        <v>1</v>
      </c>
      <c r="AK289">
        <f>IF($Q$289,$M$289*$AC$289*$U$289,0)</f>
        <v/>
      </c>
      <c r="AL289" t="n">
        <v>62.46575342465753</v>
      </c>
      <c r="AM289">
        <f>IF($Q$289,$M$289*$AE$289*$U$289,0)</f>
        <v/>
      </c>
      <c r="AN289" t="n">
        <v>62.46575342465753</v>
      </c>
      <c r="AO289">
        <f>IF($Q$289,$M$289*$AG$289*$U$289,0)</f>
        <v/>
      </c>
      <c r="AP289" t="n">
        <v>44.24657534246575</v>
      </c>
      <c r="AQ289">
        <f>IF($Q$289,$M$289*$AE$289*$Y$289,0)</f>
        <v/>
      </c>
      <c r="AR289" t="n">
        <v>99.94520547945204</v>
      </c>
      <c r="AS289">
        <f>IF($S$289,$M$289*$AI$289*$W$289,0)</f>
        <v/>
      </c>
      <c r="AT289" t="n">
        <v>0</v>
      </c>
      <c r="AU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V289" t="b">
        <v>0</v>
      </c>
      <c r="AW289">
        <f>IF(AND($B$289&lt;0,$AU$289),4,$B$289)</f>
        <v/>
      </c>
      <c r="AX289" t="n">
        <v>4</v>
      </c>
      <c r="AY289">
        <f>IF($AW$289&lt;4,0,MIN(MAX(0.5,Canh_bao_vong!$D$4),MAX(IF(Vu_khi!$C$289="cal_406",Canh_bao_vong!$D$7,IF($AW$289&gt;=5,Canh_bao_vong!$D$9,Canh_bao_vong!$D$8)),Canh_bao_vong!$D$2+MAX(0,Vu_khi!$X$289)/MAX(0.1,Canh_bao_vong!$D$5))))</f>
        <v/>
      </c>
      <c r="AZ289" t="n">
        <v>2.5</v>
      </c>
      <c r="BA289" t="n">
        <v>2.433333</v>
      </c>
      <c r="BB289" t="inlineStr">
        <is>
          <t>NHANH_QUA</t>
        </is>
      </c>
      <c r="BC289" t="b">
        <v>1</v>
      </c>
      <c r="BD289" t="n">
        <v>90</v>
      </c>
      <c r="BE289" t="n">
        <v>117</v>
      </c>
      <c r="BF289" t="n">
        <v>0.264</v>
      </c>
      <c r="BG289" t="n">
        <v>0.528</v>
      </c>
      <c r="BH289" t="n">
        <v>1.056</v>
      </c>
      <c r="BI289" t="n">
        <v>0.8120000000000001</v>
      </c>
      <c r="BJ289" t="inlineStr">
        <is>
          <t>ANTI_SHIP_MISSILE</t>
        </is>
      </c>
      <c r="BK289" t="inlineStr">
        <is>
          <t>ok</t>
        </is>
      </c>
      <c r="BL289" t="inlineStr">
        <is>
          <t>own line (over anti_ship_missile)</t>
        </is>
      </c>
      <c r="BM289" t="n">
        <v>54</v>
      </c>
      <c r="BN289" t="inlineStr">
        <is>
          <t>Assets/MachineBrigade/Resources/Data/balance.json: weapons[id=pt14_hp_nsm] (lớp B trên 01_chien_dau/Vu_khi)</t>
        </is>
      </c>
      <c r="BO289" t="inlineStr"/>
    </row>
    <row r="290">
      <c r="A290" t="inlineStr">
        <is>
          <t>pt14_hp_v127</t>
        </is>
      </c>
      <c r="B290" t="n">
        <v>3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5</v>
      </c>
      <c r="I290">
        <f>Vu_khi!$W$290*MAX(1,$E$290)</f>
        <v/>
      </c>
      <c r="J290" t="n">
        <v>760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152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1</v>
      </c>
      <c r="S290">
        <f>AND(NOT(Vu_khi!$AJ$290),OR(Vu_khi!$AC$290="Air",Vu_khi!$AC$290="All"))</f>
        <v/>
      </c>
      <c r="T290" t="b">
        <v>0</v>
      </c>
      <c r="U290">
        <f>INDEX(Bang_sat_thuong!$B$2:$B$7,MATCH(Vu_khi!$K$290,Bang_sat_thuong!$A$2:$A$7,0))</f>
        <v/>
      </c>
      <c r="V290" t="n">
        <v>1</v>
      </c>
      <c r="W290">
        <f>INDEX(Bang_sat_thuong!$C$2:$C$7,MATCH(Vu_khi!$K$290,Bang_sat_thuong!$A$2:$A$7,0))</f>
        <v/>
      </c>
      <c r="X290" t="n">
        <v>0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1.6</v>
      </c>
      <c r="AA290">
        <f>AND(Vu_khi!$K$290="Kinetic",NOT(Vu_khi!$AG$290))</f>
        <v/>
      </c>
      <c r="AB290" t="b">
        <v>0</v>
      </c>
      <c r="AC290">
        <f>IF(Vu_khi!$AG$290,INDEX(Bang_danh_noc!$C$2:$C$8,MIN(7,MAX(1,2-(Vu_khi!$L$290-0)+1))),INDEX(Bang_xuyen_giap!$C$2:$C$8,MIN(7,MAX(1,IF($O$290,MAX(1,2-(Vu_khi!$L$290-0)),2-(Vu_khi!$L$290-0))+1))))*IF($AA$290,INDEX(Bang_xuyen_qua!$C$2:$C$5,MIN(4,MAX(1,(Vu_khi!$L$290)-(0)-1))),1)</f>
        <v/>
      </c>
      <c r="AD290" t="n">
        <v>1.2</v>
      </c>
      <c r="AE290">
        <f>IF(Vu_khi!$AG$290,INDEX(Bang_danh_noc!$C$2:$C$8,MIN(7,MAX(1,2-(Vu_khi!$L$290-2)+1))),INDEX(Bang_xuyen_giap!$C$2:$C$8,MIN(7,MAX(1,IF($O$290,MAX(1,2-(Vu_khi!$L$290-2)),2-(Vu_khi!$L$290-2))+1))))*IF($AA$290,INDEX(Bang_xuyen_qua!$C$2:$C$5,MIN(4,MAX(1,(Vu_khi!$L$290)-(2)-1))),1)</f>
        <v/>
      </c>
      <c r="AF290" t="n">
        <v>1</v>
      </c>
      <c r="AG290">
        <f>IF(Vu_khi!$AG$290,INDEX(Bang_danh_noc!$C$2:$C$8,MIN(7,MAX(1,2-(Vu_khi!$L$290-4)+1))),INDEX(Bang_xuyen_giap!$C$2:$C$8,MIN(7,MAX(1,IF($O$290,MAX(1,2-(Vu_khi!$L$290-4)),2-(Vu_khi!$L$290-4))+1))))*IF($AA$290,INDEX(Bang_xuyen_qua!$C$2:$C$5,MIN(4,MAX(1,(Vu_khi!$L$290)-(4)-1))),1)</f>
        <v/>
      </c>
      <c r="AH290" t="n">
        <v>0.65</v>
      </c>
      <c r="AI290">
        <f>INDEX(Bang_xuyen_giap!$C$2:$C$8,MIN(7,MAX(1,MAX(1,2-(Vu_khi!$L$290-0))+1)))*IF($AA$290,INDEX(Bang_xuyen_qua!$C$2:$C$5,MIN(4,MAX(1,(Vu_khi!$L$290)-(0)-1))),1)</f>
        <v/>
      </c>
      <c r="AJ290" t="n">
        <v>1</v>
      </c>
      <c r="AK290">
        <f>IF($Q$290,$M$290*$AC$290*$U$290,0)</f>
        <v/>
      </c>
      <c r="AL290" t="n">
        <v>182.4</v>
      </c>
      <c r="AM290">
        <f>IF($Q$290,$M$290*$AE$290*$U$290,0)</f>
        <v/>
      </c>
      <c r="AN290" t="n">
        <v>152</v>
      </c>
      <c r="AO290">
        <f>IF($Q$290,$M$290*$AG$290*$U$290,0)</f>
        <v/>
      </c>
      <c r="AP290" t="n">
        <v>98.8</v>
      </c>
      <c r="AQ290">
        <f>IF($Q$290,$M$290*$AE$290*$Y$290,0)</f>
        <v/>
      </c>
      <c r="AR290" t="n">
        <v>243.2</v>
      </c>
      <c r="AS290">
        <f>IF($S$290,$M$290*$AI$290*$W$290,0)</f>
        <v/>
      </c>
      <c r="AT290" t="n">
        <v>0</v>
      </c>
      <c r="AU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V290" t="b">
        <v>0</v>
      </c>
      <c r="AW290">
        <f>IF(AND($B$290&lt;0,$AU$290),4,$B$290)</f>
        <v/>
      </c>
      <c r="AX290" t="n">
        <v>3</v>
      </c>
      <c r="AY290">
        <f>IF($AW$290&lt;4,0,MIN(MAX(0.5,Canh_bao_vong!$D$4),MAX(IF(Vu_khi!$C$290="cal_406",Canh_bao_vong!$D$7,IF($AW$290&gt;=5,Canh_bao_vong!$D$9,Canh_bao_vong!$D$8)),Canh_bao_vong!$D$2+MAX(0,Vu_khi!$X$290)/MAX(0.1,Canh_bao_vong!$D$5))))</f>
        <v/>
      </c>
      <c r="AZ290" t="n">
        <v>0</v>
      </c>
      <c r="BA290" t="n">
        <v>0.583333</v>
      </c>
      <c r="BB290" t="inlineStr">
        <is>
          <t>NHANH_QUA;LECH_DOT_1</t>
        </is>
      </c>
      <c r="BC290" t="b">
        <v>1</v>
      </c>
      <c r="BD290" t="n">
        <v>90</v>
      </c>
      <c r="BE290" t="n">
        <v>117</v>
      </c>
      <c r="BF290" t="n">
        <v>0.222</v>
      </c>
      <c r="BG290" t="n">
        <v>0.444</v>
      </c>
      <c r="BH290" t="n">
        <v>0.889</v>
      </c>
      <c r="BI290" t="n">
        <v>0.6840000000000001</v>
      </c>
      <c r="BJ290" t="inlineStr">
        <is>
          <t>NAVAL_DIRECT</t>
        </is>
      </c>
      <c r="BK290" t="inlineStr">
        <is>
          <t>ok</t>
        </is>
      </c>
      <c r="BL290" t="inlineStr">
        <is>
          <t>inherited from naval_127</t>
        </is>
      </c>
      <c r="BM290" t="inlineStr"/>
      <c r="BN290" t="inlineStr">
        <is>
          <t>Assets/MachineBrigade/Resources/Data/balance.json: weapons[id=pt14_hp_v127] (lớp B trên 01_chien_dau/Vu_khi)</t>
        </is>
      </c>
      <c r="BO290" t="inlineStr"/>
    </row>
    <row r="291">
      <c r="A291" t="inlineStr">
        <is>
          <t>pt14_hp_vlaser</t>
        </is>
      </c>
      <c r="B291" t="n">
        <v>1</v>
      </c>
      <c r="C291">
        <f>IF(Vu_khi!$O$291="SIMULTANEOUS",MAX(1,Vu_khi!$N$291),1)</f>
        <v/>
      </c>
      <c r="D291" t="n">
        <v>1</v>
      </c>
      <c r="E291">
        <f>IF(Vu_khi!$S$291&gt;0,Vu_khi!$S$291,Vu_khi!$P$291*$C$291)</f>
        <v/>
      </c>
      <c r="F291" t="n">
        <v>1</v>
      </c>
      <c r="G291">
        <f>IF(Vu_khi!$S$291&gt;0,(Vu_khi!$S$291-1)*Vu_khi!$R$291+Vu_khi!$T$291,Vu_khi!$R$291+(Vu_khi!$P$291-1)*Vu_khi!$Q$291)</f>
        <v/>
      </c>
      <c r="H291" t="n">
        <v>0.1</v>
      </c>
      <c r="I291">
        <f>Vu_khi!$W$291*MAX(1,$E$291)</f>
        <v/>
      </c>
      <c r="J291" t="n">
        <v>16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160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0.9</v>
      </c>
      <c r="W291">
        <f>INDEX(Bang_sat_thuong!$C$2:$C$7,MATCH(Vu_khi!$K$291,Bang_sat_thuong!$A$2:$A$7,0))</f>
        <v/>
      </c>
      <c r="X291" t="n">
        <v>1.5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0.4</v>
      </c>
      <c r="AA291">
        <f>AND(Vu_khi!$K$291="Kinetic",NOT(Vu_khi!$AG$291))</f>
        <v/>
      </c>
      <c r="AB291" t="b">
        <v>0</v>
      </c>
      <c r="AC291">
        <f>IF(Vu_khi!$AG$291,INDEX(Bang_danh_noc!$C$2:$C$8,MIN(7,MAX(1,2-(Vu_khi!$L$291-0)+1))),INDEX(Bang_xuyen_giap!$C$2:$C$8,MIN(7,MAX(1,IF($O$291,MAX(1,2-(Vu_khi!$L$291-0)),2-(Vu_khi!$L$291-0))+1))))*IF($AA$291,INDEX(Bang_xuyen_qua!$C$2:$C$5,MIN(4,MAX(1,(Vu_khi!$L$291)-(0)-1))),1)</f>
        <v/>
      </c>
      <c r="AD291" t="n">
        <v>1.2</v>
      </c>
      <c r="AE291">
        <f>IF(Vu_khi!$AG$291,INDEX(Bang_danh_noc!$C$2:$C$8,MIN(7,MAX(1,2-(Vu_khi!$L$291-2)+1))),INDEX(Bang_xuyen_giap!$C$2:$C$8,MIN(7,MAX(1,IF($O$291,MAX(1,2-(Vu_khi!$L$291-2)),2-(Vu_khi!$L$291-2))+1))))*IF($AA$291,INDEX(Bang_xuyen_qua!$C$2:$C$5,MIN(4,MAX(1,(Vu_khi!$L$291)-(2)-1))),1)</f>
        <v/>
      </c>
      <c r="AF291" t="n">
        <v>1.2</v>
      </c>
      <c r="AG291">
        <f>IF(Vu_khi!$AG$291,INDEX(Bang_danh_noc!$C$2:$C$8,MIN(7,MAX(1,2-(Vu_khi!$L$291-4)+1))),INDEX(Bang_xuyen_giap!$C$2:$C$8,MIN(7,MAX(1,IF($O$291,MAX(1,2-(Vu_khi!$L$291-4)),2-(Vu_khi!$L$291-4))+1))))*IF($AA$291,INDEX(Bang_xuyen_qua!$C$2:$C$5,MIN(4,MAX(1,(Vu_khi!$L$291)-(4)-1))),1)</f>
        <v/>
      </c>
      <c r="AH291" t="n">
        <v>0.85</v>
      </c>
      <c r="AI291">
        <f>INDEX(Bang_xuyen_giap!$C$2:$C$8,MIN(7,MAX(1,MAX(1,2-(Vu_khi!$L$291-0))+1)))*IF($AA$291,INDEX(Bang_xuyen_qua!$C$2:$C$5,MIN(4,MAX(1,(Vu_khi!$L$291)-(0)-1))),1)</f>
        <v/>
      </c>
      <c r="AJ291" t="n">
        <v>1</v>
      </c>
      <c r="AK291">
        <f>IF($Q$291,$M$291*$AC$291*$U$291,0)</f>
        <v/>
      </c>
      <c r="AL291" t="n">
        <v>172.8</v>
      </c>
      <c r="AM291">
        <f>IF($Q$291,$M$291*$AE$291*$U$291,0)</f>
        <v/>
      </c>
      <c r="AN291" t="n">
        <v>172.8</v>
      </c>
      <c r="AO291">
        <f>IF($Q$291,$M$291*$AG$291*$U$291,0)</f>
        <v/>
      </c>
      <c r="AP291" t="n">
        <v>122.4</v>
      </c>
      <c r="AQ291">
        <f>IF($Q$291,$M$291*$AE$291*$Y$291,0)</f>
        <v/>
      </c>
      <c r="AR291" t="n">
        <v>76.8</v>
      </c>
      <c r="AS291">
        <f>IF($S$291,$M$291*$AI$291*$W$291,0)</f>
        <v/>
      </c>
      <c r="AT291" t="n">
        <v>0</v>
      </c>
      <c r="AU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V291" t="b">
        <v>0</v>
      </c>
      <c r="AW291">
        <f>IF(AND($B$291&lt;0,$AU$291),4,$B$291)</f>
        <v/>
      </c>
      <c r="AX291" t="n">
        <v>1</v>
      </c>
      <c r="AY291">
        <f>IF($AW$291&lt;4,0,MIN(MAX(0.5,Canh_bao_vong!$D$4),MAX(IF(Vu_khi!$C$291="cal_406",Canh_bao_vong!$D$7,IF($AW$291&gt;=5,Canh_bao_vong!$D$9,Canh_bao_vong!$D$8)),Canh_bao_vong!$D$2+MAX(0,Vu_khi!$X$291)/MAX(0.1,Canh_bao_vong!$D$5))))</f>
        <v/>
      </c>
      <c r="AZ291" t="n">
        <v>0</v>
      </c>
      <c r="BA291" t="inlineStr"/>
      <c r="BB291" t="inlineStr">
        <is>
          <t>ok</t>
        </is>
      </c>
      <c r="BC291" t="b">
        <v>1</v>
      </c>
      <c r="BD291" t="n">
        <v>3000</v>
      </c>
      <c r="BE291" t="n">
        <v>3900</v>
      </c>
      <c r="BF291" t="n">
        <v>0.003</v>
      </c>
      <c r="BG291" t="n">
        <v>0.006</v>
      </c>
      <c r="BH291" t="n">
        <v>0.012</v>
      </c>
      <c r="BI291" t="n">
        <v>0.008999999999999999</v>
      </c>
      <c r="BJ291" t="inlineStr">
        <is>
          <t>BEAM_OR_MELEE</t>
        </is>
      </c>
      <c r="BK291" t="inlineStr">
        <is>
          <t>ok</t>
        </is>
      </c>
      <c r="BL291" t="inlineStr">
        <is>
          <t>inherited from p26_icarus_direct_ic_laser</t>
        </is>
      </c>
      <c r="BM291" t="inlineStr"/>
      <c r="BN291" t="inlineStr">
        <is>
          <t>Assets/MachineBrigade/Resources/Data/balance.json: weapons[id=pt14_hp_vlaser] (lớp B trên 01_chien_dau/Vu_khi)</t>
        </is>
      </c>
      <c r="BO291" t="inlineStr"/>
    </row>
    <row r="292">
      <c r="A292" t="inlineStr">
        <is>
          <t>pt14_ixion_30</t>
        </is>
      </c>
      <c r="B292" t="n">
        <v>1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8</v>
      </c>
      <c r="G292">
        <f>IF(Vu_khi!$S$292&gt;0,(Vu_khi!$S$292-1)*Vu_khi!$R$292+Vu_khi!$T$292,Vu_khi!$R$292+(Vu_khi!$P$292-1)*Vu_khi!$Q$292)</f>
        <v/>
      </c>
      <c r="H292" t="n">
        <v>4.2777</v>
      </c>
      <c r="I292">
        <f>Vu_khi!$W$292*MAX(1,$E$292)</f>
        <v/>
      </c>
      <c r="J292" t="n">
        <v>176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41.14360520840638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1.2</v>
      </c>
      <c r="W292">
        <f>INDEX(Bang_sat_thuong!$C$2:$C$7,MATCH(Vu_khi!$K$292,Bang_sat_thuong!$A$2:$A$7,0))</f>
        <v/>
      </c>
      <c r="X292" t="n">
        <v>0.3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0.7</v>
      </c>
      <c r="AA292">
        <f>AND(Vu_khi!$K$292="Kinetic",NOT(Vu_khi!$AG$292))</f>
        <v/>
      </c>
      <c r="AB292" t="b">
        <v>1</v>
      </c>
      <c r="AC292">
        <f>IF(Vu_khi!$AG$292,INDEX(Bang_danh_noc!$C$2:$C$8,MIN(7,MAX(1,2-(Vu_khi!$L$292-0)+1))),INDEX(Bang_xuyen_giap!$C$2:$C$8,MIN(7,MAX(1,IF($O$292,MAX(1,2-(Vu_khi!$L$292-0)),2-(Vu_khi!$L$292-0))+1))))*IF($AA$292,INDEX(Bang_xuyen_qua!$C$2:$C$5,MIN(4,MAX(1,(Vu_khi!$L$292)-(0)-1))),1)</f>
        <v/>
      </c>
      <c r="AD292" t="n">
        <v>1.2</v>
      </c>
      <c r="AE292">
        <f>IF(Vu_khi!$AG$292,INDEX(Bang_danh_noc!$C$2:$C$8,MIN(7,MAX(1,2-(Vu_khi!$L$292-2)+1))),INDEX(Bang_xuyen_giap!$C$2:$C$8,MIN(7,MAX(1,IF($O$292,MAX(1,2-(Vu_khi!$L$292-2)),2-(Vu_khi!$L$292-2))+1))))*IF($AA$292,INDEX(Bang_xuyen_qua!$C$2:$C$5,MIN(4,MAX(1,(Vu_khi!$L$292)-(2)-1))),1)</f>
        <v/>
      </c>
      <c r="AF292" t="n">
        <v>0.85</v>
      </c>
      <c r="AG292">
        <f>IF(Vu_khi!$AG$292,INDEX(Bang_danh_noc!$C$2:$C$8,MIN(7,MAX(1,2-(Vu_khi!$L$292-4)+1))),INDEX(Bang_xuyen_giap!$C$2:$C$8,MIN(7,MAX(1,IF($O$292,MAX(1,2-(Vu_khi!$L$292-4)),2-(Vu_khi!$L$292-4))+1))))*IF($AA$292,INDEX(Bang_xuyen_qua!$C$2:$C$5,MIN(4,MAX(1,(Vu_khi!$L$292)-(4)-1))),1)</f>
        <v/>
      </c>
      <c r="AH292" t="n">
        <v>0.4</v>
      </c>
      <c r="AI292">
        <f>INDEX(Bang_xuyen_giap!$C$2:$C$8,MIN(7,MAX(1,MAX(1,2-(Vu_khi!$L$292-0))+1)))*IF($AA$292,INDEX(Bang_xuyen_qua!$C$2:$C$5,MIN(4,MAX(1,(Vu_khi!$L$292)-(0)-1))),1)</f>
        <v/>
      </c>
      <c r="AJ292" t="n">
        <v>1</v>
      </c>
      <c r="AK292">
        <f>IF($Q$292,$M$292*$AC$292*$U$292,0)</f>
        <v/>
      </c>
      <c r="AL292" t="n">
        <v>59.24679150010519</v>
      </c>
      <c r="AM292">
        <f>IF($Q$292,$M$292*$AE$292*$U$292,0)</f>
        <v/>
      </c>
      <c r="AN292" t="n">
        <v>41.96647731257451</v>
      </c>
      <c r="AO292">
        <f>IF($Q$292,$M$292*$AG$292*$U$292,0)</f>
        <v/>
      </c>
      <c r="AP292" t="n">
        <v>19.74893050003507</v>
      </c>
      <c r="AQ292">
        <f>IF($Q$292,$M$292*$AE$292*$Y$292,0)</f>
        <v/>
      </c>
      <c r="AR292" t="n">
        <v>24.4804450990018</v>
      </c>
      <c r="AS292">
        <f>IF($S$292,$M$292*$AI$292*$W$292,0)</f>
        <v/>
      </c>
      <c r="AT292" t="n">
        <v>0</v>
      </c>
      <c r="AU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V292" t="b">
        <v>0</v>
      </c>
      <c r="AW292">
        <f>IF(AND($B$292&lt;0,$AU$292),4,$B$292)</f>
        <v/>
      </c>
      <c r="AX292" t="n">
        <v>1</v>
      </c>
      <c r="AY292">
        <f>IF($AW$292&lt;4,0,MIN(MAX(0.5,Canh_bao_vong!$D$4),MAX(IF(Vu_khi!$C$292="cal_406",Canh_bao_vong!$D$7,IF($AW$292&gt;=5,Canh_bao_vong!$D$9,Canh_bao_vong!$D$8)),Canh_bao_vong!$D$2+MAX(0,Vu_khi!$X$292)/MAX(0.1,Canh_bao_vong!$D$5))))</f>
        <v/>
      </c>
      <c r="AZ292" t="n">
        <v>0</v>
      </c>
      <c r="BA292" t="n">
        <v>7.1295</v>
      </c>
      <c r="BB292" t="inlineStr">
        <is>
          <t>CHAM_QUA;LECH_DOT_1</t>
        </is>
      </c>
      <c r="BC292" t="b">
        <v>1</v>
      </c>
      <c r="BD292" t="n">
        <v>200</v>
      </c>
      <c r="BE292" t="n">
        <v>260</v>
      </c>
      <c r="BF292" t="n">
        <v>0.037</v>
      </c>
      <c r="BG292" t="n">
        <v>0.075</v>
      </c>
      <c r="BH292" t="n">
        <v>0.15</v>
      </c>
      <c r="BI292" t="n">
        <v>0.115</v>
      </c>
      <c r="BJ292" t="inlineStr">
        <is>
          <t>DIRECT_BULLET</t>
        </is>
      </c>
      <c r="BK292" t="inlineStr">
        <is>
          <t>ok</t>
        </is>
      </c>
      <c r="BL292" t="inlineStr">
        <is>
          <t>inherited from autocannon_30</t>
        </is>
      </c>
      <c r="BM292" t="inlineStr"/>
      <c r="BN292" t="inlineStr">
        <is>
          <t>Assets/MachineBrigade/Resources/Data/balance.json: weapons[id=pt14_ixion_30] (lớp B trên 01_chien_dau/Vu_khi)</t>
        </is>
      </c>
      <c r="BO292" t="inlineStr"/>
    </row>
    <row r="293">
      <c r="A293" t="inlineStr">
        <is>
          <t>pt14_ixion_grad</t>
        </is>
      </c>
      <c r="B293" t="n">
        <v>3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9</v>
      </c>
      <c r="G293">
        <f>IF(Vu_khi!$S$293&gt;0,(Vu_khi!$S$293-1)*Vu_khi!$R$293+Vu_khi!$T$293,Vu_khi!$R$293+(Vu_khi!$P$293-1)*Vu_khi!$Q$293)</f>
        <v/>
      </c>
      <c r="H293" t="n">
        <v>24</v>
      </c>
      <c r="I293">
        <f>Vu_khi!$W$293*MAX(1,$E$293)</f>
        <v/>
      </c>
      <c r="J293" t="n">
        <v>513</v>
      </c>
      <c r="K293">
        <f>IF(Vu_khi!$V$293&gt;0,Vu_khi!$V$293,MIN(28,MAX(10,Vu_khi!$U$293*Vu_khi!$R$293*0.4)))</f>
        <v/>
      </c>
      <c r="L293" t="n">
        <v>16.6</v>
      </c>
      <c r="M293">
        <f>IF(Vu_khi!$W$293&lt;=0,0,IF(Vu_khi!$U$293&gt;0,$I$293*Vu_khi!$U$293/(MAX(0.05,$G$293)*Vu_khi!$U$293+$K$293),$I$293/MAX(0.05,$G$293)))</f>
        <v/>
      </c>
      <c r="N293" t="n">
        <v>17.37020316027088</v>
      </c>
      <c r="O293">
        <f>OR(Vu_khi!$AG$293,Vu_khi!$AB$293&gt;0,Vu_khi!$AH$293,Vu_khi!$M$293="Bomb",Vu_khi!$M$293="Drone")</f>
        <v/>
      </c>
      <c r="P293" t="b">
        <v>1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1.6</v>
      </c>
      <c r="AA293">
        <f>AND(Vu_khi!$K$293="Kinetic",NOT(Vu_khi!$AG$293))</f>
        <v/>
      </c>
      <c r="AB293" t="b">
        <v>0</v>
      </c>
      <c r="AC293">
        <f>IF(Vu_khi!$AG$293,INDEX(Bang_danh_noc!$C$2:$C$8,MIN(7,MAX(1,2-(Vu_khi!$L$293-0)+1))),INDEX(Bang_xuyen_giap!$C$2:$C$8,MIN(7,MAX(1,IF($O$293,MAX(1,2-(Vu_khi!$L$293-0)),2-(Vu_khi!$L$293-0))+1))))*IF($AA$293,INDEX(Bang_xuyen_qua!$C$2:$C$5,MIN(4,MAX(1,(Vu_khi!$L$293)-(0)-1))),1)</f>
        <v/>
      </c>
      <c r="AD293" t="n">
        <v>1</v>
      </c>
      <c r="AE293">
        <f>IF(Vu_khi!$AG$293,INDEX(Bang_danh_noc!$C$2:$C$8,MIN(7,MAX(1,2-(Vu_khi!$L$293-2)+1))),INDEX(Bang_xuyen_giap!$C$2:$C$8,MIN(7,MAX(1,IF($O$293,MAX(1,2-(Vu_khi!$L$293-2)),2-(Vu_khi!$L$293-2))+1))))*IF($AA$293,INDEX(Bang_xuyen_qua!$C$2:$C$5,MIN(4,MAX(1,(Vu_khi!$L$293)-(2)-1))),1)</f>
        <v/>
      </c>
      <c r="AF293" t="n">
        <v>0.85</v>
      </c>
      <c r="AG293">
        <f>IF(Vu_khi!$AG$293,INDEX(Bang_danh_noc!$C$2:$C$8,MIN(7,MAX(1,2-(Vu_khi!$L$293-4)+1))),INDEX(Bang_xuyen_giap!$C$2:$C$8,MIN(7,MAX(1,IF($O$293,MAX(1,2-(Vu_khi!$L$293-4)),2-(Vu_khi!$L$293-4))+1))))*IF($AA$293,INDEX(Bang_xuyen_qua!$C$2:$C$5,MIN(4,MAX(1,(Vu_khi!$L$293)-(4)-1))),1)</f>
        <v/>
      </c>
      <c r="AH293" t="n">
        <v>0.4</v>
      </c>
      <c r="AI293">
        <f>INDEX(Bang_xuyen_giap!$C$2:$C$8,MIN(7,MAX(1,MAX(1,2-(Vu_khi!$L$293-0))+1)))*IF($AA$293,INDEX(Bang_xuyen_qua!$C$2:$C$5,MIN(4,MAX(1,(Vu_khi!$L$293)-(0)-1))),1)</f>
        <v/>
      </c>
      <c r="AJ293" t="n">
        <v>1</v>
      </c>
      <c r="AK293">
        <f>IF($Q$293,$M$293*$AC$293*$U$293,0)</f>
        <v/>
      </c>
      <c r="AL293" t="n">
        <v>17.37020316027088</v>
      </c>
      <c r="AM293">
        <f>IF($Q$293,$M$293*$AE$293*$U$293,0)</f>
        <v/>
      </c>
      <c r="AN293" t="n">
        <v>14.76467268623025</v>
      </c>
      <c r="AO293">
        <f>IF($Q$293,$M$293*$AG$293*$U$293,0)</f>
        <v/>
      </c>
      <c r="AP293" t="n">
        <v>6.948081264108353</v>
      </c>
      <c r="AQ293">
        <f>IF($Q$293,$M$293*$AE$293*$Y$293,0)</f>
        <v/>
      </c>
      <c r="AR293" t="n">
        <v>23.6234762979684</v>
      </c>
      <c r="AS293">
        <f>IF($S$293,$M$293*$AI$293*$W$293,0)</f>
        <v/>
      </c>
      <c r="AT293" t="n">
        <v>0</v>
      </c>
      <c r="AU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V293" t="b">
        <v>0</v>
      </c>
      <c r="AW293">
        <f>IF(AND($B$293&lt;0,$AU$293),4,$B$293)</f>
        <v/>
      </c>
      <c r="AX293" t="n">
        <v>3</v>
      </c>
      <c r="AY293">
        <f>IF($AW$293&lt;4,0,MIN(MAX(0.5,Canh_bao_vong!$D$4),MAX(IF(Vu_khi!$C$293="cal_406",Canh_bao_vong!$D$7,IF($AW$293&gt;=5,Canh_bao_vong!$D$9,Canh_bao_vong!$D$8)),Canh_bao_vong!$D$2+MAX(0,Vu_khi!$X$293)/MAX(0.1,Canh_bao_vong!$D$5))))</f>
        <v/>
      </c>
      <c r="AZ293" t="n">
        <v>0</v>
      </c>
      <c r="BA293" t="n">
        <v>1</v>
      </c>
      <c r="BB293" t="inlineStr">
        <is>
          <t>ok</t>
        </is>
      </c>
      <c r="BC293" t="b">
        <v>1</v>
      </c>
      <c r="BD293" t="n">
        <v>80</v>
      </c>
      <c r="BE293" t="n">
        <v>104</v>
      </c>
      <c r="BF293" t="n">
        <v>0.225</v>
      </c>
      <c r="BG293" t="n">
        <v>0.344</v>
      </c>
      <c r="BH293" t="n">
        <v>0.6879999999999999</v>
      </c>
      <c r="BI293" t="n">
        <v>0.529</v>
      </c>
      <c r="BJ293" t="inlineStr">
        <is>
          <t>ROCKET_ARTILLERY</t>
        </is>
      </c>
      <c r="BK293" t="inlineStr">
        <is>
          <t>TOO_FAST_FOR_CLASS</t>
        </is>
      </c>
      <c r="BL293" t="inlineStr">
        <is>
          <t>inherited from grad_rockets</t>
        </is>
      </c>
      <c r="BM293" t="n">
        <v>40</v>
      </c>
      <c r="BN293" t="inlineStr">
        <is>
          <t>Assets/MachineBrigade/Resources/Data/balance.json: weapons[id=pt14_ixion_grad] (lớp B trên 01_chien_dau/Vu_khi)</t>
        </is>
      </c>
      <c r="BO293" t="inlineStr"/>
    </row>
    <row r="294">
      <c r="A294" t="inlineStr">
        <is>
          <t>pt14_ixion_kornet</t>
        </is>
      </c>
      <c r="B294" t="n">
        <v>2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</v>
      </c>
      <c r="G294">
        <f>IF(Vu_khi!$S$294&gt;0,(Vu_khi!$S$294-1)*Vu_khi!$R$294+Vu_khi!$T$294,Vu_khi!$R$294+(Vu_khi!$P$294-1)*Vu_khi!$Q$294)</f>
        <v/>
      </c>
      <c r="H294" t="n">
        <v>12</v>
      </c>
      <c r="I294">
        <f>Vu_khi!$W$294*MAX(1,$E$294)</f>
        <v/>
      </c>
      <c r="J294" t="n">
        <v>230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19.16666666666667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0</v>
      </c>
      <c r="U294">
        <f>INDEX(Bang_sat_thuong!$B$2:$B$7,MATCH(Vu_khi!$K$294,Bang_sat_thuong!$A$2:$A$7,0))</f>
        <v/>
      </c>
      <c r="V294" t="n">
        <v>1.3</v>
      </c>
      <c r="W294">
        <f>INDEX(Bang_sat_thuong!$C$2:$C$7,MATCH(Vu_khi!$K$294,Bang_sat_thuong!$A$2:$A$7,0))</f>
        <v/>
      </c>
      <c r="X294" t="n">
        <v>0.2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0.45</v>
      </c>
      <c r="AA294">
        <f>AND(Vu_khi!$K$294="Kinetic",NOT(Vu_khi!$AG$294))</f>
        <v/>
      </c>
      <c r="AB294" t="b">
        <v>0</v>
      </c>
      <c r="AC294">
        <f>IF(Vu_khi!$AG$294,INDEX(Bang_danh_noc!$C$2:$C$8,MIN(7,MAX(1,2-(Vu_khi!$L$294-0)+1))),INDEX(Bang_xuyen_giap!$C$2:$C$8,MIN(7,MAX(1,IF($O$294,MAX(1,2-(Vu_khi!$L$294-0)),2-(Vu_khi!$L$294-0))+1))))*IF($AA$294,INDEX(Bang_xuyen_qua!$C$2:$C$5,MIN(4,MAX(1,(Vu_khi!$L$294)-(0)-1))),1)</f>
        <v/>
      </c>
      <c r="AD294" t="n">
        <v>1.2</v>
      </c>
      <c r="AE294">
        <f>IF(Vu_khi!$AG$294,INDEX(Bang_danh_noc!$C$2:$C$8,MIN(7,MAX(1,2-(Vu_khi!$L$294-2)+1))),INDEX(Bang_xuyen_giap!$C$2:$C$8,MIN(7,MAX(1,IF($O$294,MAX(1,2-(Vu_khi!$L$294-2)),2-(Vu_khi!$L$294-2))+1))))*IF($AA$294,INDEX(Bang_xuyen_qua!$C$2:$C$5,MIN(4,MAX(1,(Vu_khi!$L$294)-(2)-1))),1)</f>
        <v/>
      </c>
      <c r="AF294" t="n">
        <v>1.2</v>
      </c>
      <c r="AG294">
        <f>IF(Vu_khi!$AG$294,INDEX(Bang_danh_noc!$C$2:$C$8,MIN(7,MAX(1,2-(Vu_khi!$L$294-4)+1))),INDEX(Bang_xuyen_giap!$C$2:$C$8,MIN(7,MAX(1,IF($O$294,MAX(1,2-(Vu_khi!$L$294-4)),2-(Vu_khi!$L$294-4))+1))))*IF($AA$294,INDEX(Bang_xuyen_qua!$C$2:$C$5,MIN(4,MAX(1,(Vu_khi!$L$294)-(4)-1))),1)</f>
        <v/>
      </c>
      <c r="AH294" t="n">
        <v>0.85</v>
      </c>
      <c r="AI294">
        <f>INDEX(Bang_xuyen_giap!$C$2:$C$8,MIN(7,MAX(1,MAX(1,2-(Vu_khi!$L$294-0))+1)))*IF($AA$294,INDEX(Bang_xuyen_qua!$C$2:$C$5,MIN(4,MAX(1,(Vu_khi!$L$294)-(0)-1))),1)</f>
        <v/>
      </c>
      <c r="AJ294" t="n">
        <v>1</v>
      </c>
      <c r="AK294">
        <f>IF($Q$294,$M$294*$AC$294*$U$294,0)</f>
        <v/>
      </c>
      <c r="AL294" t="n">
        <v>29.9</v>
      </c>
      <c r="AM294">
        <f>IF($Q$294,$M$294*$AE$294*$U$294,0)</f>
        <v/>
      </c>
      <c r="AN294" t="n">
        <v>29.9</v>
      </c>
      <c r="AO294">
        <f>IF($Q$294,$M$294*$AG$294*$U$294,0)</f>
        <v/>
      </c>
      <c r="AP294" t="n">
        <v>21.17916666666667</v>
      </c>
      <c r="AQ294">
        <f>IF($Q$294,$M$294*$AE$294*$Y$294,0)</f>
        <v/>
      </c>
      <c r="AR294" t="n">
        <v>10.35</v>
      </c>
      <c r="AS294">
        <f>IF($S$294,$M$294*$AI$294*$W$294,0)</f>
        <v/>
      </c>
      <c r="AT294" t="n">
        <v>0</v>
      </c>
      <c r="AU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V294" t="b">
        <v>0</v>
      </c>
      <c r="AW294">
        <f>IF(AND($B$294&lt;0,$AU$294),4,$B$294)</f>
        <v/>
      </c>
      <c r="AX294" t="n">
        <v>2</v>
      </c>
      <c r="AY294">
        <f>IF($AW$294&lt;4,0,MIN(MAX(0.5,Canh_bao_vong!$D$4),MAX(IF(Vu_khi!$C$294="cal_406",Canh_bao_vong!$D$7,IF($AW$294&gt;=5,Canh_bao_vong!$D$9,Canh_bao_vong!$D$8)),Canh_bao_vong!$D$2+MAX(0,Vu_khi!$X$294)/MAX(0.1,Canh_bao_vong!$D$5))))</f>
        <v/>
      </c>
      <c r="AZ294" t="n">
        <v>0</v>
      </c>
      <c r="BA294" t="n">
        <v>1.2</v>
      </c>
      <c r="BB294" t="inlineStr">
        <is>
          <t>LECH_DOT_1</t>
        </is>
      </c>
      <c r="BC294" t="b">
        <v>1</v>
      </c>
      <c r="BD294" t="n">
        <v>80</v>
      </c>
      <c r="BE294" t="n">
        <v>104</v>
      </c>
      <c r="BF294" t="n">
        <v>0.141</v>
      </c>
      <c r="BG294" t="n">
        <v>0.281</v>
      </c>
      <c r="BH294" t="n">
        <v>0.5620000000000001</v>
      </c>
      <c r="BI294" t="n">
        <v>0.433</v>
      </c>
      <c r="BJ294" t="inlineStr">
        <is>
          <t>TACTICAL_MISSILE</t>
        </is>
      </c>
      <c r="BK294" t="inlineStr">
        <is>
          <t>ok</t>
        </is>
      </c>
      <c r="BL294" t="inlineStr">
        <is>
          <t>inherited from boss_missiles</t>
        </is>
      </c>
      <c r="BM294" t="inlineStr"/>
      <c r="BN294" t="inlineStr">
        <is>
          <t>Assets/MachineBrigade/Resources/Data/balance.json: weapons[id=pt14_ixion_kornet] (lớp B trên 01_chien_dau/Vu_khi)</t>
        </is>
      </c>
      <c r="BO294" t="inlineStr"/>
    </row>
    <row r="295">
      <c r="A295" t="inlineStr">
        <is>
          <t>pt14_mk0_v40</t>
        </is>
      </c>
      <c r="B295" t="n">
        <v>1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8</v>
      </c>
      <c r="G295">
        <f>IF(Vu_khi!$S$295&gt;0,(Vu_khi!$S$295-1)*Vu_khi!$R$295+Vu_khi!$T$295,Vu_khi!$R$295+(Vu_khi!$P$295-1)*Vu_khi!$Q$295)</f>
        <v/>
      </c>
      <c r="H295" t="n">
        <v>4.300000000000001</v>
      </c>
      <c r="I295">
        <f>Vu_khi!$W$295*MAX(1,$E$295)</f>
        <v/>
      </c>
      <c r="J295" t="n">
        <v>240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55.81395348837209</v>
      </c>
      <c r="O295">
        <f>OR(Vu_khi!$AG$295,Vu_khi!$AB$295&gt;0,Vu_khi!$AH$295,Vu_khi!$M$295="Bomb",Vu_khi!$M$295="Drone")</f>
        <v/>
      </c>
      <c r="P295" t="b">
        <v>0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1</v>
      </c>
      <c r="U295">
        <f>INDEX(Bang_sat_thuong!$B$2:$B$7,MATCH(Vu_khi!$K$295,Bang_sat_thuong!$A$2:$A$7,0))</f>
        <v/>
      </c>
      <c r="V295" t="n">
        <v>1.2</v>
      </c>
      <c r="W295">
        <f>INDEX(Bang_sat_thuong!$C$2:$C$7,MATCH(Vu_khi!$K$295,Bang_sat_thuong!$A$2:$A$7,0))</f>
        <v/>
      </c>
      <c r="X295" t="n">
        <v>0.3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0.7</v>
      </c>
      <c r="AA295">
        <f>AND(Vu_khi!$K$295="Kinetic",NOT(Vu_khi!$AG$295))</f>
        <v/>
      </c>
      <c r="AB295" t="b">
        <v>1</v>
      </c>
      <c r="AC295">
        <f>IF(Vu_khi!$AG$295,INDEX(Bang_danh_noc!$C$2:$C$8,MIN(7,MAX(1,2-(Vu_khi!$L$295-0)+1))),INDEX(Bang_xuyen_giap!$C$2:$C$8,MIN(7,MAX(1,IF($O$295,MAX(1,2-(Vu_khi!$L$295-0)),2-(Vu_khi!$L$295-0))+1))))*IF($AA$295,INDEX(Bang_xuyen_qua!$C$2:$C$5,MIN(4,MAX(1,(Vu_khi!$L$295)-(0)-1))),1)</f>
        <v/>
      </c>
      <c r="AD295" t="n">
        <v>1.2</v>
      </c>
      <c r="AE295">
        <f>IF(Vu_khi!$AG$295,INDEX(Bang_danh_noc!$C$2:$C$8,MIN(7,MAX(1,2-(Vu_khi!$L$295-2)+1))),INDEX(Bang_xuyen_giap!$C$2:$C$8,MIN(7,MAX(1,IF($O$295,MAX(1,2-(Vu_khi!$L$295-2)),2-(Vu_khi!$L$295-2))+1))))*IF($AA$295,INDEX(Bang_xuyen_qua!$C$2:$C$5,MIN(4,MAX(1,(Vu_khi!$L$295)-(2)-1))),1)</f>
        <v/>
      </c>
      <c r="AF295" t="n">
        <v>0.85</v>
      </c>
      <c r="AG295">
        <f>IF(Vu_khi!$AG$295,INDEX(Bang_danh_noc!$C$2:$C$8,MIN(7,MAX(1,2-(Vu_khi!$L$295-4)+1))),INDEX(Bang_xuyen_giap!$C$2:$C$8,MIN(7,MAX(1,IF($O$295,MAX(1,2-(Vu_khi!$L$295-4)),2-(Vu_khi!$L$295-4))+1))))*IF($AA$295,INDEX(Bang_xuyen_qua!$C$2:$C$5,MIN(4,MAX(1,(Vu_khi!$L$295)-(4)-1))),1)</f>
        <v/>
      </c>
      <c r="AH295" t="n">
        <v>0.4</v>
      </c>
      <c r="AI295">
        <f>INDEX(Bang_xuyen_giap!$C$2:$C$8,MIN(7,MAX(1,MAX(1,2-(Vu_khi!$L$295-0))+1)))*IF($AA$295,INDEX(Bang_xuyen_qua!$C$2:$C$5,MIN(4,MAX(1,(Vu_khi!$L$295)-(0)-1))),1)</f>
        <v/>
      </c>
      <c r="AJ295" t="n">
        <v>1</v>
      </c>
      <c r="AK295">
        <f>IF($Q$295,$M$295*$AC$295*$U$295,0)</f>
        <v/>
      </c>
      <c r="AL295" t="n">
        <v>80.3720930232558</v>
      </c>
      <c r="AM295">
        <f>IF($Q$295,$M$295*$AE$295*$U$295,0)</f>
        <v/>
      </c>
      <c r="AN295" t="n">
        <v>56.93023255813953</v>
      </c>
      <c r="AO295">
        <f>IF($Q$295,$M$295*$AG$295*$U$295,0)</f>
        <v/>
      </c>
      <c r="AP295" t="n">
        <v>26.7906976744186</v>
      </c>
      <c r="AQ295">
        <f>IF($Q$295,$M$295*$AE$295*$Y$295,0)</f>
        <v/>
      </c>
      <c r="AR295" t="n">
        <v>33.20930232558139</v>
      </c>
      <c r="AS295">
        <f>IF($S$295,$M$295*$AI$295*$W$295,0)</f>
        <v/>
      </c>
      <c r="AT295" t="n">
        <v>16.74418604651163</v>
      </c>
      <c r="AU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V295" t="b">
        <v>0</v>
      </c>
      <c r="AW295">
        <f>IF(AND($B$295&lt;0,$AU$295),4,$B$295)</f>
        <v/>
      </c>
      <c r="AX295" t="n">
        <v>1</v>
      </c>
      <c r="AY295">
        <f>IF($AW$295&lt;4,0,MIN(MAX(0.5,Canh_bao_vong!$D$4),MAX(IF(Vu_khi!$C$295="cal_406",Canh_bao_vong!$D$7,IF($AW$295&gt;=5,Canh_bao_vong!$D$9,Canh_bao_vong!$D$8)),Canh_bao_vong!$D$2+MAX(0,Vu_khi!$X$295)/MAX(0.1,Canh_bao_vong!$D$5))))</f>
        <v/>
      </c>
      <c r="AZ295" t="n">
        <v>0</v>
      </c>
      <c r="BA295" t="n">
        <v>1.075</v>
      </c>
      <c r="BB295" t="inlineStr">
        <is>
          <t>LECH_DOT_1</t>
        </is>
      </c>
      <c r="BC295" t="b">
        <v>1</v>
      </c>
      <c r="BD295" t="n">
        <v>210</v>
      </c>
      <c r="BE295" t="n">
        <v>273</v>
      </c>
      <c r="BF295" t="n">
        <v>0.033</v>
      </c>
      <c r="BG295" t="n">
        <v>0.067</v>
      </c>
      <c r="BH295" t="n">
        <v>0.133</v>
      </c>
      <c r="BI295" t="n">
        <v>0.103</v>
      </c>
      <c r="BJ295" t="inlineStr">
        <is>
          <t>DIRECT_BULLET</t>
        </is>
      </c>
      <c r="BK295" t="inlineStr">
        <is>
          <t>ok</t>
        </is>
      </c>
      <c r="BL295" t="inlineStr">
        <is>
          <t>inherited from autocannon_40</t>
        </is>
      </c>
      <c r="BM295" t="inlineStr"/>
      <c r="BN295" t="inlineStr">
        <is>
          <t>Assets/MachineBrigade/Resources/Data/balance.json: weapons[id=pt14_mk0_v40] (lớp B trên 01_chien_dau/Vu_khi)</t>
        </is>
      </c>
      <c r="BO295" t="inlineStr"/>
    </row>
    <row r="296">
      <c r="A296" t="inlineStr">
        <is>
          <t>pt14_sb_v30</t>
        </is>
      </c>
      <c r="B296" t="n">
        <v>1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8</v>
      </c>
      <c r="G296">
        <f>IF(Vu_khi!$S$296&gt;0,(Vu_khi!$S$296-1)*Vu_khi!$R$296+Vu_khi!$T$296,Vu_khi!$R$296+(Vu_khi!$P$296-1)*Vu_khi!$Q$296)</f>
        <v/>
      </c>
      <c r="H296" t="n">
        <v>2.6</v>
      </c>
      <c r="I296">
        <f>Vu_khi!$W$296*MAX(1,$E$296)</f>
        <v/>
      </c>
      <c r="J296" t="n">
        <v>176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67.69230769230769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1.2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0.7</v>
      </c>
      <c r="AA296">
        <f>AND(Vu_khi!$K$296="Kinetic",NOT(Vu_khi!$AG$296))</f>
        <v/>
      </c>
      <c r="AB296" t="b">
        <v>1</v>
      </c>
      <c r="AC296">
        <f>IF(Vu_khi!$AG$296,INDEX(Bang_danh_noc!$C$2:$C$8,MIN(7,MAX(1,2-(Vu_khi!$L$296-0)+1))),INDEX(Bang_xuyen_giap!$C$2:$C$8,MIN(7,MAX(1,IF($O$296,MAX(1,2-(Vu_khi!$L$296-0)),2-(Vu_khi!$L$296-0))+1))))*IF($AA$296,INDEX(Bang_xuyen_qua!$C$2:$C$5,MIN(4,MAX(1,(Vu_khi!$L$296)-(0)-1))),1)</f>
        <v/>
      </c>
      <c r="AD296" t="n">
        <v>1.2</v>
      </c>
      <c r="AE296">
        <f>IF(Vu_khi!$AG$296,INDEX(Bang_danh_noc!$C$2:$C$8,MIN(7,MAX(1,2-(Vu_khi!$L$296-2)+1))),INDEX(Bang_xuyen_giap!$C$2:$C$8,MIN(7,MAX(1,IF($O$296,MAX(1,2-(Vu_khi!$L$296-2)),2-(Vu_khi!$L$296-2))+1))))*IF($AA$296,INDEX(Bang_xuyen_qua!$C$2:$C$5,MIN(4,MAX(1,(Vu_khi!$L$296)-(2)-1))),1)</f>
        <v/>
      </c>
      <c r="AF296" t="n">
        <v>0.85</v>
      </c>
      <c r="AG296">
        <f>IF(Vu_khi!$AG$296,INDEX(Bang_danh_noc!$C$2:$C$8,MIN(7,MAX(1,2-(Vu_khi!$L$296-4)+1))),INDEX(Bang_xuyen_giap!$C$2:$C$8,MIN(7,MAX(1,IF($O$296,MAX(1,2-(Vu_khi!$L$296-4)),2-(Vu_khi!$L$296-4))+1))))*IF($AA$296,INDEX(Bang_xuyen_qua!$C$2:$C$5,MIN(4,MAX(1,(Vu_khi!$L$296)-(4)-1))),1)</f>
        <v/>
      </c>
      <c r="AH296" t="n">
        <v>0.4</v>
      </c>
      <c r="AI296">
        <f>INDEX(Bang_xuyen_giap!$C$2:$C$8,MIN(7,MAX(1,MAX(1,2-(Vu_khi!$L$296-0))+1)))*IF($AA$296,INDEX(Bang_xuyen_qua!$C$2:$C$5,MIN(4,MAX(1,(Vu_khi!$L$296)-(0)-1))),1)</f>
        <v/>
      </c>
      <c r="AJ296" t="n">
        <v>1</v>
      </c>
      <c r="AK296">
        <f>IF($Q$296,$M$296*$AC$296*$U$296,0)</f>
        <v/>
      </c>
      <c r="AL296" t="n">
        <v>97.47692307692307</v>
      </c>
      <c r="AM296">
        <f>IF($Q$296,$M$296*$AE$296*$U$296,0)</f>
        <v/>
      </c>
      <c r="AN296" t="n">
        <v>69.04615384615384</v>
      </c>
      <c r="AO296">
        <f>IF($Q$296,$M$296*$AG$296*$U$296,0)</f>
        <v/>
      </c>
      <c r="AP296" t="n">
        <v>32.49230769230769</v>
      </c>
      <c r="AQ296">
        <f>IF($Q$296,$M$296*$AE$296*$Y$296,0)</f>
        <v/>
      </c>
      <c r="AR296" t="n">
        <v>40.27692307692308</v>
      </c>
      <c r="AS296">
        <f>IF($S$296,$M$296*$AI$296*$W$296,0)</f>
        <v/>
      </c>
      <c r="AT296" t="n">
        <v>0</v>
      </c>
      <c r="AU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V296" t="b">
        <v>0</v>
      </c>
      <c r="AW296">
        <f>IF(AND($B$296&lt;0,$AU$296),4,$B$296)</f>
        <v/>
      </c>
      <c r="AX296" t="n">
        <v>1</v>
      </c>
      <c r="AY296">
        <f>IF($AW$296&lt;4,0,MIN(MAX(0.5,Canh_bao_vong!$D$4),MAX(IF(Vu_khi!$C$296="cal_406",Canh_bao_vong!$D$7,IF($AW$296&gt;=5,Canh_bao_vong!$D$9,Canh_bao_vong!$D$8)),Canh_bao_vong!$D$2+MAX(0,Vu_khi!$X$296)/MAX(0.1,Canh_bao_vong!$D$5))))</f>
        <v/>
      </c>
      <c r="AZ296" t="n">
        <v>0</v>
      </c>
      <c r="BA296" t="inlineStr"/>
      <c r="BB296" t="inlineStr">
        <is>
          <t>LECH_DOT_1</t>
        </is>
      </c>
      <c r="BC296" t="b">
        <v>1</v>
      </c>
      <c r="BD296" t="n">
        <v>200</v>
      </c>
      <c r="BE296" t="n">
        <v>260</v>
      </c>
      <c r="BF296" t="n">
        <v>0.04</v>
      </c>
      <c r="BG296" t="n">
        <v>0.08</v>
      </c>
      <c r="BH296" t="n">
        <v>0.16</v>
      </c>
      <c r="BI296" t="n">
        <v>0.123</v>
      </c>
      <c r="BJ296" t="inlineStr">
        <is>
          <t>DIRECT_BULLET</t>
        </is>
      </c>
      <c r="BK296" t="inlineStr">
        <is>
          <t>ok</t>
        </is>
      </c>
      <c r="BL296" t="inlineStr">
        <is>
          <t>inherited from autocannon_30</t>
        </is>
      </c>
      <c r="BM296" t="inlineStr"/>
      <c r="BN296" t="inlineStr">
        <is>
          <t>Assets/MachineBrigade/Resources/Data/balance.json: weapons[id=pt14_sb_v30] (lớp B trên 01_chien_dau/Vu_khi)</t>
        </is>
      </c>
      <c r="BO296" t="inlineStr"/>
    </row>
    <row r="297">
      <c r="A297" t="inlineStr">
        <is>
          <t>pt14_sb_v105</t>
        </is>
      </c>
      <c r="B297" t="n">
        <v>2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1</v>
      </c>
      <c r="G297">
        <f>IF(Vu_khi!$S$297&gt;0,(Vu_khi!$S$297-1)*Vu_khi!$R$297+Vu_khi!$T$297,Vu_khi!$R$297+(Vu_khi!$P$297-1)*Vu_khi!$Q$297)</f>
        <v/>
      </c>
      <c r="H297" t="n">
        <v>6</v>
      </c>
      <c r="I297">
        <f>Vu_khi!$W$297*MAX(1,$E$297)</f>
        <v/>
      </c>
      <c r="J297" t="n">
        <v>300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50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1.6</v>
      </c>
      <c r="AA297">
        <f>AND(Vu_khi!$K$297="Kinetic",NOT(Vu_khi!$AG$297))</f>
        <v/>
      </c>
      <c r="AB297" t="b">
        <v>0</v>
      </c>
      <c r="AC297">
        <f>IF(Vu_khi!$AG$297,INDEX(Bang_danh_noc!$C$2:$C$8,MIN(7,MAX(1,2-(Vu_khi!$L$297-0)+1))),INDEX(Bang_xuyen_giap!$C$2:$C$8,MIN(7,MAX(1,IF($O$297,MAX(1,2-(Vu_khi!$L$297-0)),2-(Vu_khi!$L$297-0))+1))))*IF($AA$297,INDEX(Bang_xuyen_qua!$C$2:$C$5,MIN(4,MAX(1,(Vu_khi!$L$297)-(0)-1))),1)</f>
        <v/>
      </c>
      <c r="AD297" t="n">
        <v>1.2</v>
      </c>
      <c r="AE297">
        <f>IF(Vu_khi!$AG$297,INDEX(Bang_danh_noc!$C$2:$C$8,MIN(7,MAX(1,2-(Vu_khi!$L$297-2)+1))),INDEX(Bang_xuyen_giap!$C$2:$C$8,MIN(7,MAX(1,IF($O$297,MAX(1,2-(Vu_khi!$L$297-2)),2-(Vu_khi!$L$297-2))+1))))*IF($AA$297,INDEX(Bang_xuyen_qua!$C$2:$C$5,MIN(4,MAX(1,(Vu_khi!$L$297)-(2)-1))),1)</f>
        <v/>
      </c>
      <c r="AF297" t="n">
        <v>0.85</v>
      </c>
      <c r="AG297">
        <f>IF(Vu_khi!$AG$297,INDEX(Bang_danh_noc!$C$2:$C$8,MIN(7,MAX(1,2-(Vu_khi!$L$297-4)+1))),INDEX(Bang_xuyen_giap!$C$2:$C$8,MIN(7,MAX(1,IF($O$297,MAX(1,2-(Vu_khi!$L$297-4)),2-(Vu_khi!$L$297-4))+1))))*IF($AA$297,INDEX(Bang_xuyen_qua!$C$2:$C$5,MIN(4,MAX(1,(Vu_khi!$L$297)-(4)-1))),1)</f>
        <v/>
      </c>
      <c r="AH297" t="n">
        <v>0.4</v>
      </c>
      <c r="AI297">
        <f>INDEX(Bang_xuyen_giap!$C$2:$C$8,MIN(7,MAX(1,MAX(1,2-(Vu_khi!$L$297-0))+1)))*IF($AA$297,INDEX(Bang_xuyen_qua!$C$2:$C$5,MIN(4,MAX(1,(Vu_khi!$L$297)-(0)-1))),1)</f>
        <v/>
      </c>
      <c r="AJ297" t="n">
        <v>1</v>
      </c>
      <c r="AK297">
        <f>IF($Q$297,$M$297*$AC$297*$U$297,0)</f>
        <v/>
      </c>
      <c r="AL297" t="n">
        <v>60</v>
      </c>
      <c r="AM297">
        <f>IF($Q$297,$M$297*$AE$297*$U$297,0)</f>
        <v/>
      </c>
      <c r="AN297" t="n">
        <v>42.5</v>
      </c>
      <c r="AO297">
        <f>IF($Q$297,$M$297*$AG$297*$U$297,0)</f>
        <v/>
      </c>
      <c r="AP297" t="n">
        <v>20</v>
      </c>
      <c r="AQ297">
        <f>IF($Q$297,$M$297*$AE$297*$Y$297,0)</f>
        <v/>
      </c>
      <c r="AR297" t="n">
        <v>68</v>
      </c>
      <c r="AS297">
        <f>IF($S$297,$M$297*$AI$297*$W$297,0)</f>
        <v/>
      </c>
      <c r="AT297" t="n">
        <v>0</v>
      </c>
      <c r="AU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V297" t="b">
        <v>0</v>
      </c>
      <c r="AW297">
        <f>IF(AND($B$297&lt;0,$AU$297),4,$B$297)</f>
        <v/>
      </c>
      <c r="AX297" t="n">
        <v>2</v>
      </c>
      <c r="AY297">
        <f>IF($AW$297&lt;4,0,MIN(MAX(0.5,Canh_bao_vong!$D$4),MAX(IF(Vu_khi!$C$297="cal_406",Canh_bao_vong!$D$7,IF($AW$297&gt;=5,Canh_bao_vong!$D$9,Canh_bao_vong!$D$8)),Canh_bao_vong!$D$2+MAX(0,Vu_khi!$X$297)/MAX(0.1,Canh_bao_vong!$D$5))))</f>
        <v/>
      </c>
      <c r="AZ297" t="n">
        <v>0</v>
      </c>
      <c r="BA297" t="n">
        <v>0.7</v>
      </c>
      <c r="BB297" t="inlineStr">
        <is>
          <t>LECH_DOT_1</t>
        </is>
      </c>
      <c r="BC297" t="b">
        <v>1</v>
      </c>
      <c r="BD297" t="n">
        <v>120</v>
      </c>
      <c r="BE297" t="n">
        <v>156</v>
      </c>
      <c r="BF297" t="n">
        <v>0.104</v>
      </c>
      <c r="BG297" t="n">
        <v>0.208</v>
      </c>
      <c r="BH297" t="n">
        <v>0.417</v>
      </c>
      <c r="BI297" t="n">
        <v>0.321</v>
      </c>
      <c r="BJ297" t="inlineStr">
        <is>
          <t>DIRECT_FAST</t>
        </is>
      </c>
      <c r="BK297" t="inlineStr">
        <is>
          <t>ok</t>
        </is>
      </c>
      <c r="BL297" t="inlineStr">
        <is>
          <t>inherited from gunship_105</t>
        </is>
      </c>
      <c r="BM297" t="inlineStr"/>
      <c r="BN297" t="inlineStr">
        <is>
          <t>Assets/MachineBrigade/Resources/Data/balance.json: weapons[id=pt14_sb_v105] (lớp B trên 01_chien_dau/Vu_khi)</t>
        </is>
      </c>
      <c r="BO297" t="inlineStr"/>
    </row>
    <row r="298">
      <c r="A298" t="inlineStr">
        <is>
          <t>pt14_th_jagm</t>
        </is>
      </c>
      <c r="B298" t="n">
        <v>2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2</v>
      </c>
      <c r="G298">
        <f>IF(Vu_khi!$S$298&gt;0,(Vu_khi!$S$298-1)*Vu_khi!$R$298+Vu_khi!$T$298,Vu_khi!$R$298+(Vu_khi!$P$298-1)*Vu_khi!$Q$298)</f>
        <v/>
      </c>
      <c r="H298" t="n">
        <v>9.5</v>
      </c>
      <c r="I298">
        <f>Vu_khi!$W$298*MAX(1,$E$298)</f>
        <v/>
      </c>
      <c r="J298" t="n">
        <v>540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56.8421052631579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1.3</v>
      </c>
      <c r="W298">
        <f>INDEX(Bang_sat_thuong!$C$2:$C$7,MATCH(Vu_khi!$K$298,Bang_sat_thuong!$A$2:$A$7,0))</f>
        <v/>
      </c>
      <c r="X298" t="n">
        <v>0.2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0.45</v>
      </c>
      <c r="AA298">
        <f>AND(Vu_khi!$K$298="Kinetic",NOT(Vu_khi!$AG$298))</f>
        <v/>
      </c>
      <c r="AB298" t="b">
        <v>0</v>
      </c>
      <c r="AC298">
        <f>IF(Vu_khi!$AG$298,INDEX(Bang_danh_noc!$C$2:$C$8,MIN(7,MAX(1,2-(Vu_khi!$L$298-0)+1))),INDEX(Bang_xuyen_giap!$C$2:$C$8,MIN(7,MAX(1,IF($O$298,MAX(1,2-(Vu_khi!$L$298-0)),2-(Vu_khi!$L$298-0))+1))))*IF($AA$298,INDEX(Bang_xuyen_qua!$C$2:$C$5,MIN(4,MAX(1,(Vu_khi!$L$298)-(0)-1))),1)</f>
        <v/>
      </c>
      <c r="AD298" t="n">
        <v>1.2</v>
      </c>
      <c r="AE298">
        <f>IF(Vu_khi!$AG$298,INDEX(Bang_danh_noc!$C$2:$C$8,MIN(7,MAX(1,2-(Vu_khi!$L$298-2)+1))),INDEX(Bang_xuyen_giap!$C$2:$C$8,MIN(7,MAX(1,IF($O$298,MAX(1,2-(Vu_khi!$L$298-2)),2-(Vu_khi!$L$298-2))+1))))*IF($AA$298,INDEX(Bang_xuyen_qua!$C$2:$C$5,MIN(4,MAX(1,(Vu_khi!$L$298)-(2)-1))),1)</f>
        <v/>
      </c>
      <c r="AF298" t="n">
        <v>1.2</v>
      </c>
      <c r="AG298">
        <f>IF(Vu_khi!$AG$298,INDEX(Bang_danh_noc!$C$2:$C$8,MIN(7,MAX(1,2-(Vu_khi!$L$298-4)+1))),INDEX(Bang_xuyen_giap!$C$2:$C$8,MIN(7,MAX(1,IF($O$298,MAX(1,2-(Vu_khi!$L$298-4)),2-(Vu_khi!$L$298-4))+1))))*IF($AA$298,INDEX(Bang_xuyen_qua!$C$2:$C$5,MIN(4,MAX(1,(Vu_khi!$L$298)-(4)-1))),1)</f>
        <v/>
      </c>
      <c r="AH298" t="n">
        <v>0.85</v>
      </c>
      <c r="AI298">
        <f>INDEX(Bang_xuyen_giap!$C$2:$C$8,MIN(7,MAX(1,MAX(1,2-(Vu_khi!$L$298-0))+1)))*IF($AA$298,INDEX(Bang_xuyen_qua!$C$2:$C$5,MIN(4,MAX(1,(Vu_khi!$L$298)-(0)-1))),1)</f>
        <v/>
      </c>
      <c r="AJ298" t="n">
        <v>1</v>
      </c>
      <c r="AK298">
        <f>IF($Q$298,$M$298*$AC$298*$U$298,0)</f>
        <v/>
      </c>
      <c r="AL298" t="n">
        <v>88.67368421052632</v>
      </c>
      <c r="AM298">
        <f>IF($Q$298,$M$298*$AE$298*$U$298,0)</f>
        <v/>
      </c>
      <c r="AN298" t="n">
        <v>88.67368421052632</v>
      </c>
      <c r="AO298">
        <f>IF($Q$298,$M$298*$AG$298*$U$298,0)</f>
        <v/>
      </c>
      <c r="AP298" t="n">
        <v>62.81052631578947</v>
      </c>
      <c r="AQ298">
        <f>IF($Q$298,$M$298*$AE$298*$Y$298,0)</f>
        <v/>
      </c>
      <c r="AR298" t="n">
        <v>30.69473684210527</v>
      </c>
      <c r="AS298">
        <f>IF($S$298,$M$298*$AI$298*$W$298,0)</f>
        <v/>
      </c>
      <c r="AT298" t="n">
        <v>0</v>
      </c>
      <c r="AU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V298" t="b">
        <v>0</v>
      </c>
      <c r="AW298">
        <f>IF(AND($B$298&lt;0,$AU$298),4,$B$298)</f>
        <v/>
      </c>
      <c r="AX298" t="n">
        <v>2</v>
      </c>
      <c r="AY298">
        <f>IF($AW$298&lt;4,0,MIN(MAX(0.5,Canh_bao_vong!$D$4),MAX(IF(Vu_khi!$C$298="cal_406",Canh_bao_vong!$D$7,IF($AW$298&gt;=5,Canh_bao_vong!$D$9,Canh_bao_vong!$D$8)),Canh_bao_vong!$D$2+MAX(0,Vu_khi!$X$298)/MAX(0.1,Canh_bao_vong!$D$5))))</f>
        <v/>
      </c>
      <c r="AZ298" t="n">
        <v>0</v>
      </c>
      <c r="BA298" t="inlineStr"/>
      <c r="BB298" t="inlineStr">
        <is>
          <t>LECH_DOT_1</t>
        </is>
      </c>
      <c r="BC298" t="b">
        <v>1</v>
      </c>
      <c r="BD298" t="n">
        <v>85</v>
      </c>
      <c r="BE298" t="n">
        <v>110.5</v>
      </c>
      <c r="BF298" t="n">
        <v>0.162</v>
      </c>
      <c r="BG298" t="n">
        <v>0.324</v>
      </c>
      <c r="BH298" t="n">
        <v>0.647</v>
      </c>
      <c r="BI298" t="n">
        <v>0.498</v>
      </c>
      <c r="BJ298" t="inlineStr">
        <is>
          <t>TACTICAL_MISSILE</t>
        </is>
      </c>
      <c r="BK298" t="inlineStr">
        <is>
          <t>ok</t>
        </is>
      </c>
      <c r="BL298" t="inlineStr">
        <is>
          <t>own line (over drone_missile)</t>
        </is>
      </c>
      <c r="BM298" t="n">
        <v>42.5</v>
      </c>
      <c r="BN298" t="inlineStr">
        <is>
          <t>Assets/MachineBrigade/Resources/Data/balance.json: weapons[id=pt14_th_jagm] (lớp B trên 01_chien_dau/Vu_khi)</t>
        </is>
      </c>
      <c r="BO298" t="inlineStr"/>
    </row>
    <row r="299">
      <c r="A299" t="inlineStr">
        <is>
          <t>pt14_th_pd</t>
        </is>
      </c>
      <c r="B299" t="n">
        <v>1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1</v>
      </c>
      <c r="G299">
        <f>IF(Vu_khi!$S$299&gt;0,(Vu_khi!$S$299-1)*Vu_khi!$R$299+Vu_khi!$T$299,Vu_khi!$R$299+(Vu_khi!$P$299-1)*Vu_khi!$Q$299)</f>
        <v/>
      </c>
      <c r="H299" t="n">
        <v>0.0667</v>
      </c>
      <c r="I299">
        <f>Vu_khi!$W$299*MAX(1,$E$299)</f>
        <v/>
      </c>
      <c r="J299" t="n">
        <v>6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89.95502248875563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0</v>
      </c>
      <c r="S299">
        <f>AND(NOT(Vu_khi!$AJ$299),OR(Vu_khi!$AC$299="Air",Vu_khi!$AC$299="All"))</f>
        <v/>
      </c>
      <c r="T299" t="b">
        <v>1</v>
      </c>
      <c r="U299">
        <f>INDEX(Bang_sat_thuong!$B$2:$B$7,MATCH(Vu_khi!$K$299,Bang_sat_thuong!$A$2:$A$7,0))</f>
        <v/>
      </c>
      <c r="V299" t="n">
        <v>0.9</v>
      </c>
      <c r="W299">
        <f>INDEX(Bang_sat_thuong!$C$2:$C$7,MATCH(Vu_khi!$K$299,Bang_sat_thuong!$A$2:$A$7,0))</f>
        <v/>
      </c>
      <c r="X299" t="n">
        <v>1.5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0.4</v>
      </c>
      <c r="AA299">
        <f>AND(Vu_khi!$K$299="Kinetic",NOT(Vu_khi!$AG$299))</f>
        <v/>
      </c>
      <c r="AB299" t="b">
        <v>0</v>
      </c>
      <c r="AC299">
        <f>IF(Vu_khi!$AG$299,INDEX(Bang_danh_noc!$C$2:$C$8,MIN(7,MAX(1,2-(Vu_khi!$L$299-0)+1))),INDEX(Bang_xuyen_giap!$C$2:$C$8,MIN(7,MAX(1,IF($O$299,MAX(1,2-(Vu_khi!$L$299-0)),2-(Vu_khi!$L$299-0))+1))))*IF($AA$299,INDEX(Bang_xuyen_qua!$C$2:$C$5,MIN(4,MAX(1,(Vu_khi!$L$299)-(0)-1))),1)</f>
        <v/>
      </c>
      <c r="AD299" t="n">
        <v>1.2</v>
      </c>
      <c r="AE299">
        <f>IF(Vu_khi!$AG$299,INDEX(Bang_danh_noc!$C$2:$C$8,MIN(7,MAX(1,2-(Vu_khi!$L$299-2)+1))),INDEX(Bang_xuyen_giap!$C$2:$C$8,MIN(7,MAX(1,IF($O$299,MAX(1,2-(Vu_khi!$L$299-2)),2-(Vu_khi!$L$299-2))+1))))*IF($AA$299,INDEX(Bang_xuyen_qua!$C$2:$C$5,MIN(4,MAX(1,(Vu_khi!$L$299)-(2)-1))),1)</f>
        <v/>
      </c>
      <c r="AF299" t="n">
        <v>0.85</v>
      </c>
      <c r="AG299">
        <f>IF(Vu_khi!$AG$299,INDEX(Bang_danh_noc!$C$2:$C$8,MIN(7,MAX(1,2-(Vu_khi!$L$299-4)+1))),INDEX(Bang_xuyen_giap!$C$2:$C$8,MIN(7,MAX(1,IF($O$299,MAX(1,2-(Vu_khi!$L$299-4)),2-(Vu_khi!$L$299-4))+1))))*IF($AA$299,INDEX(Bang_xuyen_qua!$C$2:$C$5,MIN(4,MAX(1,(Vu_khi!$L$299)-(4)-1))),1)</f>
        <v/>
      </c>
      <c r="AH299" t="n">
        <v>0.4</v>
      </c>
      <c r="AI299">
        <f>INDEX(Bang_xuyen_giap!$C$2:$C$8,MIN(7,MAX(1,MAX(1,2-(Vu_khi!$L$299-0))+1)))*IF($AA$299,INDEX(Bang_xuyen_qua!$C$2:$C$5,MIN(4,MAX(1,(Vu_khi!$L$299)-(0)-1))),1)</f>
        <v/>
      </c>
      <c r="AJ299" t="n">
        <v>1</v>
      </c>
      <c r="AK299">
        <f>IF($Q$299,$M$299*$AC$299*$U$299,0)</f>
        <v/>
      </c>
      <c r="AL299" t="n">
        <v>0</v>
      </c>
      <c r="AM299">
        <f>IF($Q$299,$M$299*$AE$299*$U$299,0)</f>
        <v/>
      </c>
      <c r="AN299" t="n">
        <v>0</v>
      </c>
      <c r="AO299">
        <f>IF($Q$299,$M$299*$AG$299*$U$299,0)</f>
        <v/>
      </c>
      <c r="AP299" t="n">
        <v>0</v>
      </c>
      <c r="AQ299">
        <f>IF($Q$299,$M$299*$AE$299*$Y$299,0)</f>
        <v/>
      </c>
      <c r="AR299" t="n">
        <v>0</v>
      </c>
      <c r="AS299">
        <f>IF($S$299,$M$299*$AI$299*$W$299,0)</f>
        <v/>
      </c>
      <c r="AT299" t="n">
        <v>134.9325337331335</v>
      </c>
      <c r="AU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V299" t="b">
        <v>0</v>
      </c>
      <c r="AW299">
        <f>IF(AND($B$299&lt;0,$AU$299),4,$B$299)</f>
        <v/>
      </c>
      <c r="AX299" t="n">
        <v>1</v>
      </c>
      <c r="AY299">
        <f>IF($AW$299&lt;4,0,MIN(MAX(0.5,Canh_bao_vong!$D$4),MAX(IF(Vu_khi!$C$299="cal_406",Canh_bao_vong!$D$7,IF($AW$299&gt;=5,Canh_bao_vong!$D$9,Canh_bao_vong!$D$8)),Canh_bao_vong!$D$2+MAX(0,Vu_khi!$X$299)/MAX(0.1,Canh_bao_vong!$D$5))))</f>
        <v/>
      </c>
      <c r="AZ299" t="n">
        <v>0</v>
      </c>
      <c r="BA299" t="inlineStr"/>
      <c r="BB299" t="inlineStr">
        <is>
          <t>ok</t>
        </is>
      </c>
      <c r="BC299" t="b">
        <v>1</v>
      </c>
      <c r="BD299" t="n">
        <v>3000</v>
      </c>
      <c r="BE299" t="n">
        <v>3900</v>
      </c>
      <c r="BF299" t="n">
        <v>0.003</v>
      </c>
      <c r="BG299" t="n">
        <v>0.006</v>
      </c>
      <c r="BH299" t="n">
        <v>0.011</v>
      </c>
      <c r="BI299" t="n">
        <v>0.008999999999999999</v>
      </c>
      <c r="BJ299" t="inlineStr">
        <is>
          <t>BEAM_OR_MELEE</t>
        </is>
      </c>
      <c r="BK299" t="inlineStr">
        <is>
          <t>ok</t>
        </is>
      </c>
      <c r="BL299" t="inlineStr">
        <is>
          <t>inherited from laser_50kw</t>
        </is>
      </c>
      <c r="BM299" t="inlineStr"/>
      <c r="BN299" t="inlineStr">
        <is>
          <t>Assets/MachineBrigade/Resources/Data/balance.json: weapons[id=pt14_th_pd] (lớp B trên 01_chien_dau/Vu_khi)</t>
        </is>
      </c>
      <c r="BO299" t="inlineStr"/>
    </row>
    <row r="300">
      <c r="A300" t="inlineStr">
        <is>
          <t>pt14_th_v35</t>
        </is>
      </c>
      <c r="B300" t="n">
        <v>1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16</v>
      </c>
      <c r="G300">
        <f>IF(Vu_khi!$S$300&gt;0,(Vu_khi!$S$300-1)*Vu_khi!$R$300+Vu_khi!$T$300,Vu_khi!$R$300+(Vu_khi!$P$300-1)*Vu_khi!$Q$300)</f>
        <v/>
      </c>
      <c r="H300" t="n">
        <v>5.55</v>
      </c>
      <c r="I300">
        <f>Vu_khi!$W$300*MAX(1,$E$300)</f>
        <v/>
      </c>
      <c r="J300" t="n">
        <v>400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72.07207207207207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1</v>
      </c>
      <c r="U300">
        <f>INDEX(Bang_sat_thuong!$B$2:$B$7,MATCH(Vu_khi!$K$300,Bang_sat_thuong!$A$2:$A$7,0))</f>
        <v/>
      </c>
      <c r="V300" t="n">
        <v>0.45</v>
      </c>
      <c r="W300">
        <f>INDEX(Bang_sat_thuong!$C$2:$C$7,MATCH(Vu_khi!$K$300,Bang_sat_thuong!$A$2:$A$7,0))</f>
        <v/>
      </c>
      <c r="X300" t="n">
        <v>1.35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0.1</v>
      </c>
      <c r="AA300">
        <f>AND(Vu_khi!$K$300="Kinetic",NOT(Vu_khi!$AG$300))</f>
        <v/>
      </c>
      <c r="AB300" t="b">
        <v>0</v>
      </c>
      <c r="AC300">
        <f>IF(Vu_khi!$AG$300,INDEX(Bang_danh_noc!$C$2:$C$8,MIN(7,MAX(1,2-(Vu_khi!$L$300-0)+1))),INDEX(Bang_xuyen_giap!$C$2:$C$8,MIN(7,MAX(1,IF($O$300,MAX(1,2-(Vu_khi!$L$300-0)),2-(Vu_khi!$L$300-0))+1))))*IF($AA$300,INDEX(Bang_xuyen_qua!$C$2:$C$5,MIN(4,MAX(1,(Vu_khi!$L$300)-(0)-1))),1)</f>
        <v/>
      </c>
      <c r="AD300" t="n">
        <v>1.2</v>
      </c>
      <c r="AE300">
        <f>IF(Vu_khi!$AG$300,INDEX(Bang_danh_noc!$C$2:$C$8,MIN(7,MAX(1,2-(Vu_khi!$L$300-2)+1))),INDEX(Bang_xuyen_giap!$C$2:$C$8,MIN(7,MAX(1,IF($O$300,MAX(1,2-(Vu_khi!$L$300-2)),2-(Vu_khi!$L$300-2))+1))))*IF($AA$300,INDEX(Bang_xuyen_qua!$C$2:$C$5,MIN(4,MAX(1,(Vu_khi!$L$300)-(2)-1))),1)</f>
        <v/>
      </c>
      <c r="AF300" t="n">
        <v>0.85</v>
      </c>
      <c r="AG300">
        <f>IF(Vu_khi!$AG$300,INDEX(Bang_danh_noc!$C$2:$C$8,MIN(7,MAX(1,2-(Vu_khi!$L$300-4)+1))),INDEX(Bang_xuyen_giap!$C$2:$C$8,MIN(7,MAX(1,IF($O$300,MAX(1,2-(Vu_khi!$L$300-4)),2-(Vu_khi!$L$300-4))+1))))*IF($AA$300,INDEX(Bang_xuyen_qua!$C$2:$C$5,MIN(4,MAX(1,(Vu_khi!$L$300)-(4)-1))),1)</f>
        <v/>
      </c>
      <c r="AH300" t="n">
        <v>0.4</v>
      </c>
      <c r="AI300">
        <f>INDEX(Bang_xuyen_giap!$C$2:$C$8,MIN(7,MAX(1,MAX(1,2-(Vu_khi!$L$300-0))+1)))*IF($AA$300,INDEX(Bang_xuyen_qua!$C$2:$C$5,MIN(4,MAX(1,(Vu_khi!$L$300)-(0)-1))),1)</f>
        <v/>
      </c>
      <c r="AJ300" t="n">
        <v>1</v>
      </c>
      <c r="AK300">
        <f>IF($Q$300,$M$300*$AC$300*$U$300,0)</f>
        <v/>
      </c>
      <c r="AL300" t="n">
        <v>38.91891891891893</v>
      </c>
      <c r="AM300">
        <f>IF($Q$300,$M$300*$AE$300*$U$300,0)</f>
        <v/>
      </c>
      <c r="AN300" t="n">
        <v>27.56756756756757</v>
      </c>
      <c r="AO300">
        <f>IF($Q$300,$M$300*$AG$300*$U$300,0)</f>
        <v/>
      </c>
      <c r="AP300" t="n">
        <v>12.97297297297298</v>
      </c>
      <c r="AQ300">
        <f>IF($Q$300,$M$300*$AE$300*$Y$300,0)</f>
        <v/>
      </c>
      <c r="AR300" t="n">
        <v>6.126126126126127</v>
      </c>
      <c r="AS300">
        <f>IF($S$300,$M$300*$AI$300*$W$300,0)</f>
        <v/>
      </c>
      <c r="AT300" t="n">
        <v>97.29729729729731</v>
      </c>
      <c r="AU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V300" t="b">
        <v>0</v>
      </c>
      <c r="AW300">
        <f>IF(AND($B$300&lt;0,$AU$300),4,$B$300)</f>
        <v/>
      </c>
      <c r="AX300" t="n">
        <v>1</v>
      </c>
      <c r="AY300">
        <f>IF($AW$300&lt;4,0,MIN(MAX(0.5,Canh_bao_vong!$D$4),MAX(IF(Vu_khi!$C$300="cal_406",Canh_bao_vong!$D$7,IF($AW$300&gt;=5,Canh_bao_vong!$D$9,Canh_bao_vong!$D$8)),Canh_bao_vong!$D$2+MAX(0,Vu_khi!$X$300)/MAX(0.1,Canh_bao_vong!$D$5))))</f>
        <v/>
      </c>
      <c r="AZ300" t="n">
        <v>0</v>
      </c>
      <c r="BA300" t="n">
        <v>6.359375</v>
      </c>
      <c r="BB300" t="inlineStr">
        <is>
          <t>CHAM_QUA;LECH_DOT_1</t>
        </is>
      </c>
      <c r="BC300" t="b">
        <v>1</v>
      </c>
      <c r="BD300" t="n">
        <v>260</v>
      </c>
      <c r="BE300" t="n">
        <v>338</v>
      </c>
      <c r="BF300" t="n">
        <v>0.035</v>
      </c>
      <c r="BG300" t="n">
        <v>0.06900000000000001</v>
      </c>
      <c r="BH300" t="n">
        <v>0.138</v>
      </c>
      <c r="BI300" t="n">
        <v>0.107</v>
      </c>
      <c r="BJ300" t="inlineStr">
        <is>
          <t>DIRECT_BULLET</t>
        </is>
      </c>
      <c r="BK300" t="inlineStr">
        <is>
          <t>ok</t>
        </is>
      </c>
      <c r="BL300" t="inlineStr">
        <is>
          <t>family oerlikon_35_mm</t>
        </is>
      </c>
      <c r="BM300" t="inlineStr"/>
      <c r="BN300" t="inlineStr">
        <is>
          <t>Assets/MachineBrigade/Resources/Data/balance.json: weapons[id=pt14_th_v35] (lớp B trên 01_chien_dau/Vu_khi)</t>
        </is>
      </c>
      <c r="BO300" t="inlineStr"/>
    </row>
    <row r="301">
      <c r="A301" t="inlineStr">
        <is>
          <t>pt14_train_grad</t>
        </is>
      </c>
      <c r="B301" t="n">
        <v>3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13</v>
      </c>
      <c r="G301">
        <f>IF(Vu_khi!$S$301&gt;0,(Vu_khi!$S$301-1)*Vu_khi!$R$301+Vu_khi!$T$301,Vu_khi!$R$301+(Vu_khi!$P$301-1)*Vu_khi!$Q$301)</f>
        <v/>
      </c>
      <c r="H301" t="n">
        <v>8.44</v>
      </c>
      <c r="I301">
        <f>Vu_khi!$W$301*MAX(1,$E$301)</f>
        <v/>
      </c>
      <c r="J301" t="n">
        <v>2600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308.0568720379147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1.6</v>
      </c>
      <c r="AA301">
        <f>AND(Vu_khi!$K$301="Kinetic",NOT(Vu_khi!$AG$301))</f>
        <v/>
      </c>
      <c r="AB301" t="b">
        <v>0</v>
      </c>
      <c r="AC301">
        <f>IF(Vu_khi!$AG$301,INDEX(Bang_danh_noc!$C$2:$C$8,MIN(7,MAX(1,2-(Vu_khi!$L$301-0)+1))),INDEX(Bang_xuyen_giap!$C$2:$C$8,MIN(7,MAX(1,IF($O$301,MAX(1,2-(Vu_khi!$L$301-0)),2-(Vu_khi!$L$301-0))+1))))*IF($AA$301,INDEX(Bang_xuyen_qua!$C$2:$C$5,MIN(4,MAX(1,(Vu_khi!$L$301)-(0)-1))),1)</f>
        <v/>
      </c>
      <c r="AD301" t="n">
        <v>1.2</v>
      </c>
      <c r="AE301">
        <f>IF(Vu_khi!$AG$301,INDEX(Bang_danh_noc!$C$2:$C$8,MIN(7,MAX(1,2-(Vu_khi!$L$301-2)+1))),INDEX(Bang_xuyen_giap!$C$2:$C$8,MIN(7,MAX(1,IF($O$301,MAX(1,2-(Vu_khi!$L$301-2)),2-(Vu_khi!$L$301-2))+1))))*IF($AA$301,INDEX(Bang_xuyen_qua!$C$2:$C$5,MIN(4,MAX(1,(Vu_khi!$L$301)-(2)-1))),1)</f>
        <v/>
      </c>
      <c r="AF301" t="n">
        <v>0.85</v>
      </c>
      <c r="AG301">
        <f>IF(Vu_khi!$AG$301,INDEX(Bang_danh_noc!$C$2:$C$8,MIN(7,MAX(1,2-(Vu_khi!$L$301-4)+1))),INDEX(Bang_xuyen_giap!$C$2:$C$8,MIN(7,MAX(1,IF($O$301,MAX(1,2-(Vu_khi!$L$301-4)),2-(Vu_khi!$L$301-4))+1))))*IF($AA$301,INDEX(Bang_xuyen_qua!$C$2:$C$5,MIN(4,MAX(1,(Vu_khi!$L$301)-(4)-1))),1)</f>
        <v/>
      </c>
      <c r="AH301" t="n">
        <v>0.4</v>
      </c>
      <c r="AI301">
        <f>INDEX(Bang_xuyen_giap!$C$2:$C$8,MIN(7,MAX(1,MAX(1,2-(Vu_khi!$L$301-0))+1)))*IF($AA$301,INDEX(Bang_xuyen_qua!$C$2:$C$5,MIN(4,MAX(1,(Vu_khi!$L$301)-(0)-1))),1)</f>
        <v/>
      </c>
      <c r="AJ301" t="n">
        <v>1</v>
      </c>
      <c r="AK301">
        <f>IF($Q$301,$M$301*$AC$301*$U$301,0)</f>
        <v/>
      </c>
      <c r="AL301" t="n">
        <v>369.6682464454977</v>
      </c>
      <c r="AM301">
        <f>IF($Q$301,$M$301*$AE$301*$U$301,0)</f>
        <v/>
      </c>
      <c r="AN301" t="n">
        <v>261.8483412322275</v>
      </c>
      <c r="AO301">
        <f>IF($Q$301,$M$301*$AG$301*$U$301,0)</f>
        <v/>
      </c>
      <c r="AP301" t="n">
        <v>123.2227488151659</v>
      </c>
      <c r="AQ301">
        <f>IF($Q$301,$M$301*$AE$301*$Y$301,0)</f>
        <v/>
      </c>
      <c r="AR301" t="n">
        <v>418.9573459715641</v>
      </c>
      <c r="AS301">
        <f>IF($S$301,$M$301*$AI$301*$W$301,0)</f>
        <v/>
      </c>
      <c r="AT301" t="n">
        <v>0</v>
      </c>
      <c r="AU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V301" t="b">
        <v>0</v>
      </c>
      <c r="AW301">
        <f>IF(AND($B$301&lt;0,$AU$301),4,$B$301)</f>
        <v/>
      </c>
      <c r="AX301" t="n">
        <v>3</v>
      </c>
      <c r="AY301">
        <f>IF($AW$301&lt;4,0,MIN(MAX(0.5,Canh_bao_vong!$D$4),MAX(IF(Vu_khi!$C$301="cal_406",Canh_bao_vong!$D$7,IF($AW$301&gt;=5,Canh_bao_vong!$D$9,Canh_bao_vong!$D$8)),Canh_bao_vong!$D$2+MAX(0,Vu_khi!$X$301)/MAX(0.1,Canh_bao_vong!$D$5))))</f>
        <v/>
      </c>
      <c r="AZ301" t="n">
        <v>0</v>
      </c>
      <c r="BA301" t="n">
        <v>1</v>
      </c>
      <c r="BB301" t="inlineStr">
        <is>
          <t>ok</t>
        </is>
      </c>
      <c r="BC301" t="b">
        <v>1</v>
      </c>
      <c r="BD301" t="n">
        <v>80</v>
      </c>
      <c r="BE301" t="n">
        <v>104</v>
      </c>
      <c r="BF301" t="n">
        <v>0.141</v>
      </c>
      <c r="BG301" t="n">
        <v>0.281</v>
      </c>
      <c r="BH301" t="n">
        <v>0.5620000000000001</v>
      </c>
      <c r="BI301" t="n">
        <v>0.433</v>
      </c>
      <c r="BJ301" t="inlineStr">
        <is>
          <t>ROCKET_ARTILLERY</t>
        </is>
      </c>
      <c r="BK301" t="inlineStr">
        <is>
          <t>TOO_FAST_FOR_CLASS;TOO_FAST_AT_GEAR_CAP</t>
        </is>
      </c>
      <c r="BL301" t="inlineStr">
        <is>
          <t>own line (over boss_rockets)</t>
        </is>
      </c>
      <c r="BM301" t="n">
        <v>40</v>
      </c>
      <c r="BN301" t="inlineStr">
        <is>
          <t>Assets/MachineBrigade/Resources/Data/balance.json: weapons[id=pt14_train_grad] (lớp B trên 01_chien_dau/Vu_khi)</t>
        </is>
      </c>
      <c r="BO301" t="inlineStr"/>
    </row>
    <row r="302">
      <c r="A302" t="inlineStr">
        <is>
          <t>r60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1</v>
      </c>
      <c r="G302">
        <f>IF(Vu_khi!$S$302&gt;0,(Vu_khi!$S$302-1)*Vu_khi!$R$302+Vu_khi!$T$302,Vu_khi!$R$302+(Vu_khi!$P$302-1)*Vu_khi!$Q$302)</f>
        <v/>
      </c>
      <c r="H302" t="n">
        <v>7</v>
      </c>
      <c r="I302">
        <f>Vu_khi!$W$302*MAX(1,$E$302)</f>
        <v/>
      </c>
      <c r="J302" t="n">
        <v>184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26.28571428571428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0</v>
      </c>
      <c r="S302">
        <f>AND(NOT(Vu_khi!$AJ$302),OR(Vu_khi!$AC$302="Air",Vu_khi!$AC$302="All"))</f>
        <v/>
      </c>
      <c r="T302" t="b">
        <v>1</v>
      </c>
      <c r="U302">
        <f>INDEX(Bang_sat_thuong!$B$2:$B$7,MATCH(Vu_khi!$K$302,Bang_sat_thuong!$A$2:$A$7,0))</f>
        <v/>
      </c>
      <c r="V302" t="n">
        <v>0.45</v>
      </c>
      <c r="W302">
        <f>INDEX(Bang_sat_thuong!$C$2:$C$7,MATCH(Vu_khi!$K$302,Bang_sat_thuong!$A$2:$A$7,0))</f>
        <v/>
      </c>
      <c r="X302" t="n">
        <v>1.35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0.1</v>
      </c>
      <c r="AA302">
        <f>AND(Vu_khi!$K$302="Kinetic",NOT(Vu_khi!$AG$302))</f>
        <v/>
      </c>
      <c r="AB302" t="b">
        <v>0</v>
      </c>
      <c r="AC302">
        <f>IF(Vu_khi!$AG$302,INDEX(Bang_danh_noc!$C$2:$C$8,MIN(7,MAX(1,2-(Vu_khi!$L$302-0)+1))),INDEX(Bang_xuyen_giap!$C$2:$C$8,MIN(7,MAX(1,IF($O$302,MAX(1,2-(Vu_khi!$L$302-0)),2-(Vu_khi!$L$302-0))+1))))*IF($AA$302,INDEX(Bang_xuyen_qua!$C$2:$C$5,MIN(4,MAX(1,(Vu_khi!$L$302)-(0)-1))),1)</f>
        <v/>
      </c>
      <c r="AD302" t="n">
        <v>1.2</v>
      </c>
      <c r="AE302">
        <f>IF(Vu_khi!$AG$302,INDEX(Bang_danh_noc!$C$2:$C$8,MIN(7,MAX(1,2-(Vu_khi!$L$302-2)+1))),INDEX(Bang_xuyen_giap!$C$2:$C$8,MIN(7,MAX(1,IF($O$302,MAX(1,2-(Vu_khi!$L$302-2)),2-(Vu_khi!$L$302-2))+1))))*IF($AA$302,INDEX(Bang_xuyen_qua!$C$2:$C$5,MIN(4,MAX(1,(Vu_khi!$L$302)-(2)-1))),1)</f>
        <v/>
      </c>
      <c r="AF302" t="n">
        <v>0.85</v>
      </c>
      <c r="AG302">
        <f>IF(Vu_khi!$AG$302,INDEX(Bang_danh_noc!$C$2:$C$8,MIN(7,MAX(1,2-(Vu_khi!$L$302-4)+1))),INDEX(Bang_xuyen_giap!$C$2:$C$8,MIN(7,MAX(1,IF($O$302,MAX(1,2-(Vu_khi!$L$302-4)),2-(Vu_khi!$L$302-4))+1))))*IF($AA$302,INDEX(Bang_xuyen_qua!$C$2:$C$5,MIN(4,MAX(1,(Vu_khi!$L$302)-(4)-1))),1)</f>
        <v/>
      </c>
      <c r="AH302" t="n">
        <v>0.4</v>
      </c>
      <c r="AI302">
        <f>INDEX(Bang_xuyen_giap!$C$2:$C$8,MIN(7,MAX(1,MAX(1,2-(Vu_khi!$L$302-0))+1)))*IF($AA$302,INDEX(Bang_xuyen_qua!$C$2:$C$5,MIN(4,MAX(1,(Vu_khi!$L$302)-(0)-1))),1)</f>
        <v/>
      </c>
      <c r="AJ302" t="n">
        <v>1</v>
      </c>
      <c r="AK302">
        <f>IF($Q$302,$M$302*$AC$302*$U$302,0)</f>
        <v/>
      </c>
      <c r="AL302" t="n">
        <v>0</v>
      </c>
      <c r="AM302">
        <f>IF($Q$302,$M$302*$AE$302*$U$302,0)</f>
        <v/>
      </c>
      <c r="AN302" t="n">
        <v>0</v>
      </c>
      <c r="AO302">
        <f>IF($Q$302,$M$302*$AG$302*$U$302,0)</f>
        <v/>
      </c>
      <c r="AP302" t="n">
        <v>0</v>
      </c>
      <c r="AQ302">
        <f>IF($Q$302,$M$302*$AE$302*$Y$302,0)</f>
        <v/>
      </c>
      <c r="AR302" t="n">
        <v>0</v>
      </c>
      <c r="AS302">
        <f>IF($S$302,$M$302*$AI$302*$W$302,0)</f>
        <v/>
      </c>
      <c r="AT302" t="n">
        <v>35.48571428571429</v>
      </c>
      <c r="AU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V302" t="b">
        <v>0</v>
      </c>
      <c r="AW302">
        <f>IF(AND($B$302&lt;0,$AU$302),4,$B$302)</f>
        <v/>
      </c>
      <c r="AX302" t="n">
        <v>2</v>
      </c>
      <c r="AY302">
        <f>IF($AW$302&lt;4,0,MIN(MAX(0.5,Canh_bao_vong!$D$4),MAX(IF(Vu_khi!$C$302="cal_406",Canh_bao_vong!$D$7,IF($AW$302&gt;=5,Canh_bao_vong!$D$9,Canh_bao_vong!$D$8)),Canh_bao_vong!$D$2+MAX(0,Vu_khi!$X$302)/MAX(0.1,Canh_bao_vong!$D$5))))</f>
        <v/>
      </c>
      <c r="AZ302" t="n">
        <v>0</v>
      </c>
      <c r="BA302" t="inlineStr"/>
      <c r="BB302" t="inlineStr">
        <is>
          <t>ok</t>
        </is>
      </c>
      <c r="BC302" t="inlineStr"/>
      <c r="BD302" t="n">
        <v>110</v>
      </c>
      <c r="BE302" t="n">
        <v>143</v>
      </c>
      <c r="BF302" t="n">
        <v>0.064</v>
      </c>
      <c r="BG302" t="n">
        <v>0.127</v>
      </c>
      <c r="BH302" t="n">
        <v>0.255</v>
      </c>
      <c r="BI302" t="n">
        <v>0.196</v>
      </c>
      <c r="BJ302" t="inlineStr">
        <is>
          <t>AIR_DEFENCE_MISSILE</t>
        </is>
      </c>
      <c r="BK302" t="inlineStr">
        <is>
          <t>ok</t>
        </is>
      </c>
      <c r="BL302" t="inlineStr">
        <is>
          <t>own line</t>
        </is>
      </c>
      <c r="BM302" t="inlineStr"/>
      <c r="BN302" t="inlineStr">
        <is>
          <t>Assets/MachineBrigade/Resources/Data/balance.json: weapons[id=r60] (lớp B trên 01_chien_dau/Vu_khi)</t>
        </is>
      </c>
      <c r="BO302" t="inlineStr"/>
    </row>
    <row r="303">
      <c r="A303" t="inlineStr">
        <is>
          <t>railgun</t>
        </is>
      </c>
      <c r="B303" t="n">
        <v>3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1</v>
      </c>
      <c r="G303">
        <f>IF(Vu_khi!$S$303&gt;0,(Vu_khi!$S$303-1)*Vu_khi!$R$303+Vu_khi!$T$303,Vu_khi!$R$303+(Vu_khi!$P$303-1)*Vu_khi!$Q$303)</f>
        <v/>
      </c>
      <c r="H303" t="n">
        <v>7</v>
      </c>
      <c r="I303">
        <f>Vu_khi!$W$303*MAX(1,$E$303)</f>
        <v/>
      </c>
      <c r="J303" t="n">
        <v>510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72.85714285714286</v>
      </c>
      <c r="O303">
        <f>OR(Vu_khi!$AG$303,Vu_khi!$AB$303&gt;0,Vu_khi!$AH$303,Vu_khi!$M$303="Bomb",Vu_khi!$M$303="Drone")</f>
        <v/>
      </c>
      <c r="P303" t="b">
        <v>0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1.2</v>
      </c>
      <c r="W303">
        <f>INDEX(Bang_sat_thuong!$C$2:$C$7,MATCH(Vu_khi!$K$303,Bang_sat_thuong!$A$2:$A$7,0))</f>
        <v/>
      </c>
      <c r="X303" t="n">
        <v>0.3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0.7</v>
      </c>
      <c r="AA303">
        <f>AND(Vu_khi!$K$303="Kinetic",NOT(Vu_khi!$AG$303))</f>
        <v/>
      </c>
      <c r="AB303" t="b">
        <v>1</v>
      </c>
      <c r="AC303">
        <f>IF(Vu_khi!$AG$303,INDEX(Bang_danh_noc!$C$2:$C$8,MIN(7,MAX(1,2-(Vu_khi!$L$303-0)+1))),INDEX(Bang_xuyen_giap!$C$2:$C$8,MIN(7,MAX(1,IF($O$303,MAX(1,2-(Vu_khi!$L$303-0)),2-(Vu_khi!$L$303-0))+1))))*IF($AA$303,INDEX(Bang_xuyen_qua!$C$2:$C$5,MIN(4,MAX(1,(Vu_khi!$L$303)-(0)-1))),1)</f>
        <v/>
      </c>
      <c r="AD303" t="n">
        <v>0.8999999999999999</v>
      </c>
      <c r="AE303">
        <f>IF(Vu_khi!$AG$303,INDEX(Bang_danh_noc!$C$2:$C$8,MIN(7,MAX(1,2-(Vu_khi!$L$303-2)+1))),INDEX(Bang_xuyen_giap!$C$2:$C$8,MIN(7,MAX(1,IF($O$303,MAX(1,2-(Vu_khi!$L$303-2)),2-(Vu_khi!$L$303-2))+1))))*IF($AA$303,INDEX(Bang_xuyen_qua!$C$2:$C$5,MIN(4,MAX(1,(Vu_khi!$L$303)-(2)-1))),1)</f>
        <v/>
      </c>
      <c r="AF303" t="n">
        <v>1.14</v>
      </c>
      <c r="AG303">
        <f>IF(Vu_khi!$AG$303,INDEX(Bang_danh_noc!$C$2:$C$8,MIN(7,MAX(1,2-(Vu_khi!$L$303-4)+1))),INDEX(Bang_xuyen_giap!$C$2:$C$8,MIN(7,MAX(1,IF($O$303,MAX(1,2-(Vu_khi!$L$303-4)),2-(Vu_khi!$L$303-4))+1))))*IF($AA$303,INDEX(Bang_xuyen_qua!$C$2:$C$5,MIN(4,MAX(1,(Vu_khi!$L$303)-(4)-1))),1)</f>
        <v/>
      </c>
      <c r="AH303" t="n">
        <v>1</v>
      </c>
      <c r="AI303">
        <f>INDEX(Bang_xuyen_giap!$C$2:$C$8,MIN(7,MAX(1,MAX(1,2-(Vu_khi!$L$303-0))+1)))*IF($AA$303,INDEX(Bang_xuyen_qua!$C$2:$C$5,MIN(4,MAX(1,(Vu_khi!$L$303)-(0)-1))),1)</f>
        <v/>
      </c>
      <c r="AJ303" t="n">
        <v>0.75</v>
      </c>
      <c r="AK303">
        <f>IF($Q$303,$M$303*$AC$303*$U$303,0)</f>
        <v/>
      </c>
      <c r="AL303" t="n">
        <v>78.68571428571428</v>
      </c>
      <c r="AM303">
        <f>IF($Q$303,$M$303*$AE$303*$U$303,0)</f>
        <v/>
      </c>
      <c r="AN303" t="n">
        <v>99.66857142857143</v>
      </c>
      <c r="AO303">
        <f>IF($Q$303,$M$303*$AG$303*$U$303,0)</f>
        <v/>
      </c>
      <c r="AP303" t="n">
        <v>87.42857142857143</v>
      </c>
      <c r="AQ303">
        <f>IF($Q$303,$M$303*$AE$303*$Y$303,0)</f>
        <v/>
      </c>
      <c r="AR303" t="n">
        <v>58.14</v>
      </c>
      <c r="AS303">
        <f>IF($S$303,$M$303*$AI$303*$W$303,0)</f>
        <v/>
      </c>
      <c r="AT303" t="n">
        <v>0</v>
      </c>
      <c r="AU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V303" t="b">
        <v>0</v>
      </c>
      <c r="AW303">
        <f>IF(AND($B$303&lt;0,$AU$303),4,$B$303)</f>
        <v/>
      </c>
      <c r="AX303" t="n">
        <v>3</v>
      </c>
      <c r="AY303">
        <f>IF($AW$303&lt;4,0,MIN(MAX(0.5,Canh_bao_vong!$D$4),MAX(IF(Vu_khi!$C$303="cal_406",Canh_bao_vong!$D$7,IF($AW$303&gt;=5,Canh_bao_vong!$D$9,Canh_bao_vong!$D$8)),Canh_bao_vong!$D$2+MAX(0,Vu_khi!$X$303)/MAX(0.1,Canh_bao_vong!$D$5))))</f>
        <v/>
      </c>
      <c r="AZ303" t="n">
        <v>0</v>
      </c>
      <c r="BA303" t="inlineStr"/>
      <c r="BB303" t="inlineStr">
        <is>
          <t>ok</t>
        </is>
      </c>
      <c r="BC303" t="inlineStr"/>
      <c r="BD303" t="n">
        <v>700</v>
      </c>
      <c r="BE303" t="n">
        <v>910</v>
      </c>
      <c r="BF303" t="n">
        <v>0.032</v>
      </c>
      <c r="BG303" t="n">
        <v>0.064</v>
      </c>
      <c r="BH303" t="n">
        <v>0.129</v>
      </c>
      <c r="BI303" t="n">
        <v>0.099</v>
      </c>
      <c r="BJ303" t="inlineStr">
        <is>
          <t>DIRECT_BULLET</t>
        </is>
      </c>
      <c r="BK303" t="inlineStr">
        <is>
          <t>ok</t>
        </is>
      </c>
      <c r="BL303" t="inlineStr">
        <is>
          <t>own line</t>
        </is>
      </c>
      <c r="BM303" t="inlineStr"/>
      <c r="BN303" t="inlineStr">
        <is>
          <t>Assets/MachineBrigade/Resources/Data/balance.json: weapons[id=railgun] (lớp B trên 01_chien_dau/Vu_khi)</t>
        </is>
      </c>
      <c r="BO303" t="inlineStr"/>
    </row>
    <row r="304">
      <c r="A304" t="inlineStr">
        <is>
          <t>recoilless_106</t>
        </is>
      </c>
      <c r="B304" t="n">
        <v>2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</v>
      </c>
      <c r="G304">
        <f>IF(Vu_khi!$S$304&gt;0,(Vu_khi!$S$304-1)*Vu_khi!$R$304+Vu_khi!$T$304,Vu_khi!$R$304+(Vu_khi!$P$304-1)*Vu_khi!$Q$304)</f>
        <v/>
      </c>
      <c r="H304" t="n">
        <v>9.523999999999999</v>
      </c>
      <c r="I304">
        <f>Vu_khi!$W$304*MAX(1,$E$304)</f>
        <v/>
      </c>
      <c r="J304" t="n">
        <v>314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32.96934061318774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1.3</v>
      </c>
      <c r="W304">
        <f>INDEX(Bang_sat_thuong!$C$2:$C$7,MATCH(Vu_khi!$K$304,Bang_sat_thuong!$A$2:$A$7,0))</f>
        <v/>
      </c>
      <c r="X304" t="n">
        <v>0.2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0.45</v>
      </c>
      <c r="AA304">
        <f>AND(Vu_khi!$K$304="Kinetic",NOT(Vu_khi!$AG$304))</f>
        <v/>
      </c>
      <c r="AB304" t="b">
        <v>0</v>
      </c>
      <c r="AC304">
        <f>IF(Vu_khi!$AG$304,INDEX(Bang_danh_noc!$C$2:$C$8,MIN(7,MAX(1,2-(Vu_khi!$L$304-0)+1))),INDEX(Bang_xuyen_giap!$C$2:$C$8,MIN(7,MAX(1,IF($O$304,MAX(1,2-(Vu_khi!$L$304-0)),2-(Vu_khi!$L$304-0))+1))))*IF($AA$304,INDEX(Bang_xuyen_qua!$C$2:$C$5,MIN(4,MAX(1,(Vu_khi!$L$304)-(0)-1))),1)</f>
        <v/>
      </c>
      <c r="AD304" t="n">
        <v>1.2</v>
      </c>
      <c r="AE304">
        <f>IF(Vu_khi!$AG$304,INDEX(Bang_danh_noc!$C$2:$C$8,MIN(7,MAX(1,2-(Vu_khi!$L$304-2)+1))),INDEX(Bang_xuyen_giap!$C$2:$C$8,MIN(7,MAX(1,IF($O$304,MAX(1,2-(Vu_khi!$L$304-2)),2-(Vu_khi!$L$304-2))+1))))*IF($AA$304,INDEX(Bang_xuyen_qua!$C$2:$C$5,MIN(4,MAX(1,(Vu_khi!$L$304)-(2)-1))),1)</f>
        <v/>
      </c>
      <c r="AF304" t="n">
        <v>1</v>
      </c>
      <c r="AG304">
        <f>IF(Vu_khi!$AG$304,INDEX(Bang_danh_noc!$C$2:$C$8,MIN(7,MAX(1,2-(Vu_khi!$L$304-4)+1))),INDEX(Bang_xuyen_giap!$C$2:$C$8,MIN(7,MAX(1,IF($O$304,MAX(1,2-(Vu_khi!$L$304-4)),2-(Vu_khi!$L$304-4))+1))))*IF($AA$304,INDEX(Bang_xuyen_qua!$C$2:$C$5,MIN(4,MAX(1,(Vu_khi!$L$304)-(4)-1))),1)</f>
        <v/>
      </c>
      <c r="AH304" t="n">
        <v>0.65</v>
      </c>
      <c r="AI304">
        <f>INDEX(Bang_xuyen_giap!$C$2:$C$8,MIN(7,MAX(1,MAX(1,2-(Vu_khi!$L$304-0))+1)))*IF($AA$304,INDEX(Bang_xuyen_qua!$C$2:$C$5,MIN(4,MAX(1,(Vu_khi!$L$304)-(0)-1))),1)</f>
        <v/>
      </c>
      <c r="AJ304" t="n">
        <v>1</v>
      </c>
      <c r="AK304">
        <f>IF($Q$304,$M$304*$AC$304*$U$304,0)</f>
        <v/>
      </c>
      <c r="AL304" t="n">
        <v>51.43217135657287</v>
      </c>
      <c r="AM304">
        <f>IF($Q$304,$M$304*$AE$304*$U$304,0)</f>
        <v/>
      </c>
      <c r="AN304" t="n">
        <v>42.86014279714406</v>
      </c>
      <c r="AO304">
        <f>IF($Q$304,$M$304*$AG$304*$U$304,0)</f>
        <v/>
      </c>
      <c r="AP304" t="n">
        <v>27.85909281814364</v>
      </c>
      <c r="AQ304">
        <f>IF($Q$304,$M$304*$AE$304*$Y$304,0)</f>
        <v/>
      </c>
      <c r="AR304" t="n">
        <v>14.83620327593448</v>
      </c>
      <c r="AS304">
        <f>IF($S$304,$M$304*$AI$304*$W$304,0)</f>
        <v/>
      </c>
      <c r="AT304" t="n">
        <v>0</v>
      </c>
      <c r="AU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V304" t="b">
        <v>0</v>
      </c>
      <c r="AW304">
        <f>IF(AND($B$304&lt;0,$AU$304),4,$B$304)</f>
        <v/>
      </c>
      <c r="AX304" t="n">
        <v>2</v>
      </c>
      <c r="AY304">
        <f>IF($AW$304&lt;4,0,MIN(MAX(0.5,Canh_bao_vong!$D$4),MAX(IF(Vu_khi!$C$304="cal_406",Canh_bao_vong!$D$7,IF($AW$304&gt;=5,Canh_bao_vong!$D$9,Canh_bao_vong!$D$8)),Canh_bao_vong!$D$2+MAX(0,Vu_khi!$X$304)/MAX(0.1,Canh_bao_vong!$D$5))))</f>
        <v/>
      </c>
      <c r="AZ304" t="n">
        <v>0</v>
      </c>
      <c r="BA304" t="n">
        <v>0.555567</v>
      </c>
      <c r="BB304" t="inlineStr">
        <is>
          <t>NHANH_QUA</t>
        </is>
      </c>
      <c r="BC304" t="inlineStr"/>
      <c r="BD304" t="n">
        <v>150</v>
      </c>
      <c r="BE304" t="n">
        <v>195</v>
      </c>
      <c r="BF304" t="n">
        <v>0.053</v>
      </c>
      <c r="BG304" t="n">
        <v>0.107</v>
      </c>
      <c r="BH304" t="n">
        <v>0.213</v>
      </c>
      <c r="BI304" t="n">
        <v>0.164</v>
      </c>
      <c r="BJ304" t="inlineStr">
        <is>
          <t>DIRECT_FAST</t>
        </is>
      </c>
      <c r="BK304" t="inlineStr">
        <is>
          <t>ok</t>
        </is>
      </c>
      <c r="BL304" t="inlineStr">
        <is>
          <t>own line</t>
        </is>
      </c>
      <c r="BM304" t="inlineStr"/>
      <c r="BN304" t="inlineStr">
        <is>
          <t>Assets/MachineBrigade/Resources/Data/balance.json: weapons[id=recoilless_106] (lớp B trên 01_chien_dau/Vu_khi)</t>
        </is>
      </c>
      <c r="BO304" t="inlineStr"/>
    </row>
    <row r="305">
      <c r="A305" t="inlineStr">
        <is>
          <t>recon_missile</t>
        </is>
      </c>
      <c r="B305" t="n">
        <v>2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</v>
      </c>
      <c r="G305">
        <f>IF(Vu_khi!$S$305&gt;0,(Vu_khi!$S$305-1)*Vu_khi!$R$305+Vu_khi!$T$305,Vu_khi!$R$305+(Vu_khi!$P$305-1)*Vu_khi!$Q$305)</f>
        <v/>
      </c>
      <c r="H305" t="n">
        <v>11.59</v>
      </c>
      <c r="I305">
        <f>Vu_khi!$W$305*MAX(1,$E$305)</f>
        <v/>
      </c>
      <c r="J305" t="n">
        <v>190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16.39344262295082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0</v>
      </c>
      <c r="U305">
        <f>INDEX(Bang_sat_thuong!$B$2:$B$7,MATCH(Vu_khi!$K$305,Bang_sat_thuong!$A$2:$A$7,0))</f>
        <v/>
      </c>
      <c r="V305" t="n">
        <v>1.3</v>
      </c>
      <c r="W305">
        <f>INDEX(Bang_sat_thuong!$C$2:$C$7,MATCH(Vu_khi!$K$305,Bang_sat_thuong!$A$2:$A$7,0))</f>
        <v/>
      </c>
      <c r="X305" t="n">
        <v>0.2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0.45</v>
      </c>
      <c r="AA305">
        <f>AND(Vu_khi!$K$305="Kinetic",NOT(Vu_khi!$AG$305))</f>
        <v/>
      </c>
      <c r="AB305" t="b">
        <v>0</v>
      </c>
      <c r="AC305">
        <f>IF(Vu_khi!$AG$305,INDEX(Bang_danh_noc!$C$2:$C$8,MIN(7,MAX(1,2-(Vu_khi!$L$305-0)+1))),INDEX(Bang_xuyen_giap!$C$2:$C$8,MIN(7,MAX(1,IF($O$305,MAX(1,2-(Vu_khi!$L$305-0)),2-(Vu_khi!$L$305-0))+1))))*IF($AA$305,INDEX(Bang_xuyen_qua!$C$2:$C$5,MIN(4,MAX(1,(Vu_khi!$L$305)-(0)-1))),1)</f>
        <v/>
      </c>
      <c r="AD305" t="n">
        <v>1.2</v>
      </c>
      <c r="AE305">
        <f>IF(Vu_khi!$AG$305,INDEX(Bang_danh_noc!$C$2:$C$8,MIN(7,MAX(1,2-(Vu_khi!$L$305-2)+1))),INDEX(Bang_xuyen_giap!$C$2:$C$8,MIN(7,MAX(1,IF($O$305,MAX(1,2-(Vu_khi!$L$305-2)),2-(Vu_khi!$L$305-2))+1))))*IF($AA$305,INDEX(Bang_xuyen_qua!$C$2:$C$5,MIN(4,MAX(1,(Vu_khi!$L$305)-(2)-1))),1)</f>
        <v/>
      </c>
      <c r="AF305" t="n">
        <v>1</v>
      </c>
      <c r="AG305">
        <f>IF(Vu_khi!$AG$305,INDEX(Bang_danh_noc!$C$2:$C$8,MIN(7,MAX(1,2-(Vu_khi!$L$305-4)+1))),INDEX(Bang_xuyen_giap!$C$2:$C$8,MIN(7,MAX(1,IF($O$305,MAX(1,2-(Vu_khi!$L$305-4)),2-(Vu_khi!$L$305-4))+1))))*IF($AA$305,INDEX(Bang_xuyen_qua!$C$2:$C$5,MIN(4,MAX(1,(Vu_khi!$L$305)-(4)-1))),1)</f>
        <v/>
      </c>
      <c r="AH305" t="n">
        <v>0.65</v>
      </c>
      <c r="AI305">
        <f>INDEX(Bang_xuyen_giap!$C$2:$C$8,MIN(7,MAX(1,MAX(1,2-(Vu_khi!$L$305-0))+1)))*IF($AA$305,INDEX(Bang_xuyen_qua!$C$2:$C$5,MIN(4,MAX(1,(Vu_khi!$L$305)-(0)-1))),1)</f>
        <v/>
      </c>
      <c r="AJ305" t="n">
        <v>1</v>
      </c>
      <c r="AK305">
        <f>IF($Q$305,$M$305*$AC$305*$U$305,0)</f>
        <v/>
      </c>
      <c r="AL305" t="n">
        <v>25.57377049180328</v>
      </c>
      <c r="AM305">
        <f>IF($Q$305,$M$305*$AE$305*$U$305,0)</f>
        <v/>
      </c>
      <c r="AN305" t="n">
        <v>21.31147540983606</v>
      </c>
      <c r="AO305">
        <f>IF($Q$305,$M$305*$AG$305*$U$305,0)</f>
        <v/>
      </c>
      <c r="AP305" t="n">
        <v>13.85245901639344</v>
      </c>
      <c r="AQ305">
        <f>IF($Q$305,$M$305*$AE$305*$Y$305,0)</f>
        <v/>
      </c>
      <c r="AR305" t="n">
        <v>7.377049180327869</v>
      </c>
      <c r="AS305">
        <f>IF($S$305,$M$305*$AI$305*$W$305,0)</f>
        <v/>
      </c>
      <c r="AT305" t="n">
        <v>0</v>
      </c>
      <c r="AU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V305" t="b">
        <v>0</v>
      </c>
      <c r="AW305">
        <f>IF(AND($B$305&lt;0,$AU$305),4,$B$305)</f>
        <v/>
      </c>
      <c r="AX305" t="n">
        <v>2</v>
      </c>
      <c r="AY305">
        <f>IF($AW$305&lt;4,0,MIN(MAX(0.5,Canh_bao_vong!$D$4),MAX(IF(Vu_khi!$C$305="cal_406",Canh_bao_vong!$D$7,IF($AW$305&gt;=5,Canh_bao_vong!$D$9,Canh_bao_vong!$D$8)),Canh_bao_vong!$D$2+MAX(0,Vu_khi!$X$305)/MAX(0.1,Canh_bao_vong!$D$5))))</f>
        <v/>
      </c>
      <c r="AZ305" t="n">
        <v>0</v>
      </c>
      <c r="BA305" t="inlineStr"/>
      <c r="BB305" t="inlineStr">
        <is>
          <t>ok</t>
        </is>
      </c>
      <c r="BC305" t="inlineStr"/>
      <c r="BD305" t="n">
        <v>60</v>
      </c>
      <c r="BE305" t="n">
        <v>78</v>
      </c>
      <c r="BF305" t="n">
        <v>0.208</v>
      </c>
      <c r="BG305" t="n">
        <v>0.417</v>
      </c>
      <c r="BH305" t="n">
        <v>0.833</v>
      </c>
      <c r="BI305" t="n">
        <v>0.641</v>
      </c>
      <c r="BJ305" t="inlineStr">
        <is>
          <t>TACTICAL_MISSILE</t>
        </is>
      </c>
      <c r="BK305" t="inlineStr">
        <is>
          <t>ok</t>
        </is>
      </c>
      <c r="BL305" t="inlineStr">
        <is>
          <t>own line</t>
        </is>
      </c>
      <c r="BM305" t="inlineStr"/>
      <c r="BN305" t="inlineStr">
        <is>
          <t>Assets/MachineBrigade/Resources/Data/balance.json: weapons[id=recon_missile] (lớp B trên 01_chien_dau/Vu_khi)</t>
        </is>
      </c>
      <c r="BO305" t="inlineStr"/>
    </row>
    <row r="306">
      <c r="A306" t="inlineStr">
        <is>
          <t>rockets_300mm</t>
        </is>
      </c>
      <c r="B306" t="n">
        <v>4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11</v>
      </c>
      <c r="G306">
        <f>IF(Vu_khi!$S$306&gt;0,(Vu_khi!$S$306-1)*Vu_khi!$R$306+Vu_khi!$T$306,Vu_khi!$R$306+(Vu_khi!$P$306-1)*Vu_khi!$Q$306)</f>
        <v/>
      </c>
      <c r="H306" t="n">
        <v>18.26</v>
      </c>
      <c r="I306">
        <f>Vu_khi!$W$306*MAX(1,$E$306)</f>
        <v/>
      </c>
      <c r="J306" t="n">
        <v>1595</v>
      </c>
      <c r="K306">
        <f>IF(Vu_khi!$V$306&gt;0,Vu_khi!$V$306,MIN(28,MAX(10,Vu_khi!$U$306*Vu_khi!$R$306*0.4)))</f>
        <v/>
      </c>
      <c r="L306" t="n">
        <v>18.912</v>
      </c>
      <c r="M306">
        <f>IF(Vu_khi!$W$306&lt;=0,0,IF(Vu_khi!$U$306&gt;0,$I$306*Vu_khi!$U$306/(MAX(0.05,$G$306)*Vu_khi!$U$306+$K$306),$I$306/MAX(0.05,$G$306)))</f>
        <v/>
      </c>
      <c r="N306" t="n">
        <v>64.93242142973457</v>
      </c>
      <c r="O306">
        <f>OR(Vu_khi!$AG$306,Vu_khi!$AB$306&gt;0,Vu_khi!$AH$306,Vu_khi!$M$306="Bomb",Vu_khi!$M$306="Drone")</f>
        <v/>
      </c>
      <c r="P306" t="b">
        <v>1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1.6</v>
      </c>
      <c r="AA306">
        <f>AND(Vu_khi!$K$306="Kinetic",NOT(Vu_khi!$AG$306))</f>
        <v/>
      </c>
      <c r="AB306" t="b">
        <v>0</v>
      </c>
      <c r="AC306">
        <f>IF(Vu_khi!$AG$306,INDEX(Bang_danh_noc!$C$2:$C$8,MIN(7,MAX(1,2-(Vu_khi!$L$306-0)+1))),INDEX(Bang_xuyen_giap!$C$2:$C$8,MIN(7,MAX(1,IF($O$306,MAX(1,2-(Vu_khi!$L$306-0)),2-(Vu_khi!$L$306-0))+1))))*IF($AA$306,INDEX(Bang_xuyen_qua!$C$2:$C$5,MIN(4,MAX(1,(Vu_khi!$L$306)-(0)-1))),1)</f>
        <v/>
      </c>
      <c r="AD306" t="n">
        <v>1</v>
      </c>
      <c r="AE306">
        <f>IF(Vu_khi!$AG$306,INDEX(Bang_danh_noc!$C$2:$C$8,MIN(7,MAX(1,2-(Vu_khi!$L$306-2)+1))),INDEX(Bang_xuyen_giap!$C$2:$C$8,MIN(7,MAX(1,IF($O$306,MAX(1,2-(Vu_khi!$L$306-2)),2-(Vu_khi!$L$306-2))+1))))*IF($AA$306,INDEX(Bang_xuyen_qua!$C$2:$C$5,MIN(4,MAX(1,(Vu_khi!$L$306)-(2)-1))),1)</f>
        <v/>
      </c>
      <c r="AF306" t="n">
        <v>1</v>
      </c>
      <c r="AG306">
        <f>IF(Vu_khi!$AG$306,INDEX(Bang_danh_noc!$C$2:$C$8,MIN(7,MAX(1,2-(Vu_khi!$L$306-4)+1))),INDEX(Bang_xuyen_giap!$C$2:$C$8,MIN(7,MAX(1,IF($O$306,MAX(1,2-(Vu_khi!$L$306-4)),2-(Vu_khi!$L$306-4))+1))))*IF($AA$306,INDEX(Bang_xuyen_qua!$C$2:$C$5,MIN(4,MAX(1,(Vu_khi!$L$306)-(4)-1))),1)</f>
        <v/>
      </c>
      <c r="AH306" t="n">
        <v>0.65</v>
      </c>
      <c r="AI306">
        <f>INDEX(Bang_xuyen_giap!$C$2:$C$8,MIN(7,MAX(1,MAX(1,2-(Vu_khi!$L$306-0))+1)))*IF($AA$306,INDEX(Bang_xuyen_qua!$C$2:$C$5,MIN(4,MAX(1,(Vu_khi!$L$306)-(0)-1))),1)</f>
        <v/>
      </c>
      <c r="AJ306" t="n">
        <v>1</v>
      </c>
      <c r="AK306">
        <f>IF($Q$306,$M$306*$AC$306*$U$306,0)</f>
        <v/>
      </c>
      <c r="AL306" t="n">
        <v>64.93242142973457</v>
      </c>
      <c r="AM306">
        <f>IF($Q$306,$M$306*$AE$306*$U$306,0)</f>
        <v/>
      </c>
      <c r="AN306" t="n">
        <v>64.93242142973457</v>
      </c>
      <c r="AO306">
        <f>IF($Q$306,$M$306*$AG$306*$U$306,0)</f>
        <v/>
      </c>
      <c r="AP306" t="n">
        <v>42.20607392932747</v>
      </c>
      <c r="AQ306">
        <f>IF($Q$306,$M$306*$AE$306*$Y$306,0)</f>
        <v/>
      </c>
      <c r="AR306" t="n">
        <v>103.8918742875753</v>
      </c>
      <c r="AS306">
        <f>IF($S$306,$M$306*$AI$306*$W$306,0)</f>
        <v/>
      </c>
      <c r="AT306" t="n">
        <v>0</v>
      </c>
      <c r="AU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V306" t="b">
        <v>1</v>
      </c>
      <c r="AW306">
        <f>IF(AND($B$306&lt;0,$AU$306),4,$B$306)</f>
        <v/>
      </c>
      <c r="AX306" t="n">
        <v>4</v>
      </c>
      <c r="AY306">
        <f>IF($AW$306&lt;4,0,MIN(MAX(0.5,Canh_bao_vong!$D$4),MAX(IF(Vu_khi!$C$306="cal_406",Canh_bao_vong!$D$7,IF($AW$306&gt;=5,Canh_bao_vong!$D$9,Canh_bao_vong!$D$8)),Canh_bao_vong!$D$2+MAX(0,Vu_khi!$X$306)/MAX(0.1,Canh_bao_vong!$D$5))))</f>
        <v/>
      </c>
      <c r="AZ306" t="n">
        <v>2.5</v>
      </c>
      <c r="BA306" t="n">
        <v>0.079167</v>
      </c>
      <c r="BB306" t="inlineStr">
        <is>
          <t>NHANH_QUA</t>
        </is>
      </c>
      <c r="BC306" t="inlineStr"/>
      <c r="BD306" t="n">
        <v>80</v>
      </c>
      <c r="BE306" t="n">
        <v>104</v>
      </c>
      <c r="BF306" t="n">
        <v>0.375</v>
      </c>
      <c r="BG306" t="n">
        <v>0.875</v>
      </c>
      <c r="BH306" t="n">
        <v>1.75</v>
      </c>
      <c r="BI306" t="n">
        <v>1.346</v>
      </c>
      <c r="BJ306" t="inlineStr">
        <is>
          <t>ROCKET_ARTILLERY</t>
        </is>
      </c>
      <c r="BK306" t="inlineStr">
        <is>
          <t>TOO_SLOW_FOR_CLASS</t>
        </is>
      </c>
      <c r="BL306" t="inlineStr">
        <is>
          <t>own line</t>
        </is>
      </c>
      <c r="BM306" t="n">
        <v>20</v>
      </c>
      <c r="BN306" t="inlineStr">
        <is>
          <t>Assets/MachineBrigade/Resources/Data/balance.json: weapons[id=rockets_300mm] (lớp B trên 01_chien_dau/Vu_khi)</t>
        </is>
      </c>
      <c r="BO306" t="inlineStr"/>
    </row>
    <row r="307">
      <c r="A307" t="inlineStr">
        <is>
          <t>s8_pods</t>
        </is>
      </c>
      <c r="B307" t="n">
        <v>2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8</v>
      </c>
      <c r="G307">
        <f>IF(Vu_khi!$S$307&gt;0,(Vu_khi!$S$307-1)*Vu_khi!$R$307+Vu_khi!$T$307,Vu_khi!$R$307+(Vu_khi!$P$307-1)*Vu_khi!$Q$307)</f>
        <v/>
      </c>
      <c r="H307" t="n">
        <v>4.399999999999999</v>
      </c>
      <c r="I307">
        <f>Vu_khi!$W$307*MAX(1,$E$307)</f>
        <v/>
      </c>
      <c r="J307" t="n">
        <v>256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58.18181818181819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</v>
      </c>
      <c r="W307">
        <f>INDEX(Bang_sat_thuong!$C$2:$C$7,MATCH(Vu_khi!$K$307,Bang_sat_thuong!$A$2:$A$7,0))</f>
        <v/>
      </c>
      <c r="X307" t="n">
        <v>0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1.6</v>
      </c>
      <c r="AA307">
        <f>AND(Vu_khi!$K$307="Kinetic",NOT(Vu_khi!$AG$307))</f>
        <v/>
      </c>
      <c r="AB307" t="b">
        <v>0</v>
      </c>
      <c r="AC307">
        <f>IF(Vu_khi!$AG$307,INDEX(Bang_danh_noc!$C$2:$C$8,MIN(7,MAX(1,2-(Vu_khi!$L$307-0)+1))),INDEX(Bang_xuyen_giap!$C$2:$C$8,MIN(7,MAX(1,IF($O$307,MAX(1,2-(Vu_khi!$L$307-0)),2-(Vu_khi!$L$307-0))+1))))*IF($AA$307,INDEX(Bang_xuyen_qua!$C$2:$C$5,MIN(4,MAX(1,(Vu_khi!$L$307)-(0)-1))),1)</f>
        <v/>
      </c>
      <c r="AD307" t="n">
        <v>1.2</v>
      </c>
      <c r="AE307">
        <f>IF(Vu_khi!$AG$307,INDEX(Bang_danh_noc!$C$2:$C$8,MIN(7,MAX(1,2-(Vu_khi!$L$307-2)+1))),INDEX(Bang_xuyen_giap!$C$2:$C$8,MIN(7,MAX(1,IF($O$307,MAX(1,2-(Vu_khi!$L$307-2)),2-(Vu_khi!$L$307-2))+1))))*IF($AA$307,INDEX(Bang_xuyen_qua!$C$2:$C$5,MIN(4,MAX(1,(Vu_khi!$L$307)-(2)-1))),1)</f>
        <v/>
      </c>
      <c r="AF307" t="n">
        <v>0.85</v>
      </c>
      <c r="AG307">
        <f>IF(Vu_khi!$AG$307,INDEX(Bang_danh_noc!$C$2:$C$8,MIN(7,MAX(1,2-(Vu_khi!$L$307-4)+1))),INDEX(Bang_xuyen_giap!$C$2:$C$8,MIN(7,MAX(1,IF($O$307,MAX(1,2-(Vu_khi!$L$307-4)),2-(Vu_khi!$L$307-4))+1))))*IF($AA$307,INDEX(Bang_xuyen_qua!$C$2:$C$5,MIN(4,MAX(1,(Vu_khi!$L$307)-(4)-1))),1)</f>
        <v/>
      </c>
      <c r="AH307" t="n">
        <v>0.4</v>
      </c>
      <c r="AI307">
        <f>INDEX(Bang_xuyen_giap!$C$2:$C$8,MIN(7,MAX(1,MAX(1,2-(Vu_khi!$L$307-0))+1)))*IF($AA$307,INDEX(Bang_xuyen_qua!$C$2:$C$5,MIN(4,MAX(1,(Vu_khi!$L$307)-(0)-1))),1)</f>
        <v/>
      </c>
      <c r="AJ307" t="n">
        <v>1</v>
      </c>
      <c r="AK307">
        <f>IF($Q$307,$M$307*$AC$307*$U$307,0)</f>
        <v/>
      </c>
      <c r="AL307" t="n">
        <v>69.81818181818183</v>
      </c>
      <c r="AM307">
        <f>IF($Q$307,$M$307*$AE$307*$U$307,0)</f>
        <v/>
      </c>
      <c r="AN307" t="n">
        <v>49.45454545454546</v>
      </c>
      <c r="AO307">
        <f>IF($Q$307,$M$307*$AG$307*$U$307,0)</f>
        <v/>
      </c>
      <c r="AP307" t="n">
        <v>23.27272727272728</v>
      </c>
      <c r="AQ307">
        <f>IF($Q$307,$M$307*$AE$307*$Y$307,0)</f>
        <v/>
      </c>
      <c r="AR307" t="n">
        <v>79.12727272727274</v>
      </c>
      <c r="AS307">
        <f>IF($S$307,$M$307*$AI$307*$W$307,0)</f>
        <v/>
      </c>
      <c r="AT307" t="n">
        <v>0</v>
      </c>
      <c r="AU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V307" t="b">
        <v>0</v>
      </c>
      <c r="AW307">
        <f>IF(AND($B$307&lt;0,$AU$307),4,$B$307)</f>
        <v/>
      </c>
      <c r="AX307" t="n">
        <v>2</v>
      </c>
      <c r="AY307">
        <f>IF($AW$307&lt;4,0,MIN(MAX(0.5,Canh_bao_vong!$D$4),MAX(IF(Vu_khi!$C$307="cal_406",Canh_bao_vong!$D$7,IF($AW$307&gt;=5,Canh_bao_vong!$D$9,Canh_bao_vong!$D$8)),Canh_bao_vong!$D$2+MAX(0,Vu_khi!$X$307)/MAX(0.1,Canh_bao_vong!$D$5))))</f>
        <v/>
      </c>
      <c r="AZ307" t="n">
        <v>0</v>
      </c>
      <c r="BA307" t="n">
        <v>0.75</v>
      </c>
      <c r="BB307" t="inlineStr">
        <is>
          <t>ok</t>
        </is>
      </c>
      <c r="BC307" t="inlineStr"/>
      <c r="BD307" t="n">
        <v>95</v>
      </c>
      <c r="BE307" t="n">
        <v>123.5</v>
      </c>
      <c r="BF307" t="n">
        <v>0.089</v>
      </c>
      <c r="BG307" t="n">
        <v>0.179</v>
      </c>
      <c r="BH307" t="n">
        <v>0.358</v>
      </c>
      <c r="BI307" t="n">
        <v>0.275</v>
      </c>
      <c r="BJ307" t="inlineStr">
        <is>
          <t>AIRCRAFT_ROCKET</t>
        </is>
      </c>
      <c r="BK307" t="inlineStr">
        <is>
          <t>ok</t>
        </is>
      </c>
      <c r="BL307" t="inlineStr">
        <is>
          <t>family s_8_80_mm</t>
        </is>
      </c>
      <c r="BM307" t="n">
        <v>4.8</v>
      </c>
      <c r="BN307" t="inlineStr">
        <is>
          <t>Assets/MachineBrigade/Resources/Data/balance.json: weapons[id=s8_pods] (lớp B trên 01_chien_dau/Vu_khi)</t>
        </is>
      </c>
      <c r="BO307" t="inlineStr"/>
    </row>
    <row r="308">
      <c r="A308" t="inlineStr">
        <is>
          <t>sam</t>
        </is>
      </c>
      <c r="B308" t="n">
        <v>2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1</v>
      </c>
      <c r="G308">
        <f>IF(Vu_khi!$S$308&gt;0,(Vu_khi!$S$308-1)*Vu_khi!$R$308+Vu_khi!$T$308,Vu_khi!$R$308+(Vu_khi!$P$308-1)*Vu_khi!$Q$308)</f>
        <v/>
      </c>
      <c r="H308" t="n">
        <v>4.452</v>
      </c>
      <c r="I308">
        <f>Vu_khi!$W$308*MAX(1,$E$308)</f>
        <v/>
      </c>
      <c r="J308" t="n">
        <v>170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38.18508535489668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0</v>
      </c>
      <c r="S308">
        <f>AND(NOT(Vu_khi!$AJ$308),OR(Vu_khi!$AC$308="Air",Vu_khi!$AC$308="All"))</f>
        <v/>
      </c>
      <c r="T308" t="b">
        <v>1</v>
      </c>
      <c r="U308">
        <f>INDEX(Bang_sat_thuong!$B$2:$B$7,MATCH(Vu_khi!$K$308,Bang_sat_thuong!$A$2:$A$7,0))</f>
        <v/>
      </c>
      <c r="V308" t="n">
        <v>0.45</v>
      </c>
      <c r="W308">
        <f>INDEX(Bang_sat_thuong!$C$2:$C$7,MATCH(Vu_khi!$K$308,Bang_sat_thuong!$A$2:$A$7,0))</f>
        <v/>
      </c>
      <c r="X308" t="n">
        <v>1.35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0.1</v>
      </c>
      <c r="AA308">
        <f>AND(Vu_khi!$K$308="Kinetic",NOT(Vu_khi!$AG$308))</f>
        <v/>
      </c>
      <c r="AB308" t="b">
        <v>0</v>
      </c>
      <c r="AC308">
        <f>IF(Vu_khi!$AG$308,INDEX(Bang_danh_noc!$C$2:$C$8,MIN(7,MAX(1,2-(Vu_khi!$L$308-0)+1))),INDEX(Bang_xuyen_giap!$C$2:$C$8,MIN(7,MAX(1,IF($O$308,MAX(1,2-(Vu_khi!$L$308-0)),2-(Vu_khi!$L$308-0))+1))))*IF($AA$308,INDEX(Bang_xuyen_qua!$C$2:$C$5,MIN(4,MAX(1,(Vu_khi!$L$308)-(0)-1))),1)</f>
        <v/>
      </c>
      <c r="AD308" t="n">
        <v>1.2</v>
      </c>
      <c r="AE308">
        <f>IF(Vu_khi!$AG$308,INDEX(Bang_danh_noc!$C$2:$C$8,MIN(7,MAX(1,2-(Vu_khi!$L$308-2)+1))),INDEX(Bang_xuyen_giap!$C$2:$C$8,MIN(7,MAX(1,IF($O$308,MAX(1,2-(Vu_khi!$L$308-2)),2-(Vu_khi!$L$308-2))+1))))*IF($AA$308,INDEX(Bang_xuyen_qua!$C$2:$C$5,MIN(4,MAX(1,(Vu_khi!$L$308)-(2)-1))),1)</f>
        <v/>
      </c>
      <c r="AF308" t="n">
        <v>0.85</v>
      </c>
      <c r="AG308">
        <f>IF(Vu_khi!$AG$308,INDEX(Bang_danh_noc!$C$2:$C$8,MIN(7,MAX(1,2-(Vu_khi!$L$308-4)+1))),INDEX(Bang_xuyen_giap!$C$2:$C$8,MIN(7,MAX(1,IF($O$308,MAX(1,2-(Vu_khi!$L$308-4)),2-(Vu_khi!$L$308-4))+1))))*IF($AA$308,INDEX(Bang_xuyen_qua!$C$2:$C$5,MIN(4,MAX(1,(Vu_khi!$L$308)-(4)-1))),1)</f>
        <v/>
      </c>
      <c r="AH308" t="n">
        <v>0.4</v>
      </c>
      <c r="AI308">
        <f>INDEX(Bang_xuyen_giap!$C$2:$C$8,MIN(7,MAX(1,MAX(1,2-(Vu_khi!$L$308-0))+1)))*IF($AA$308,INDEX(Bang_xuyen_qua!$C$2:$C$5,MIN(4,MAX(1,(Vu_khi!$L$308)-(0)-1))),1)</f>
        <v/>
      </c>
      <c r="AJ308" t="n">
        <v>1</v>
      </c>
      <c r="AK308">
        <f>IF($Q$308,$M$308*$AC$308*$U$308,0)</f>
        <v/>
      </c>
      <c r="AL308" t="n">
        <v>0</v>
      </c>
      <c r="AM308">
        <f>IF($Q$308,$M$308*$AE$308*$U$308,0)</f>
        <v/>
      </c>
      <c r="AN308" t="n">
        <v>0</v>
      </c>
      <c r="AO308">
        <f>IF($Q$308,$M$308*$AG$308*$U$308,0)</f>
        <v/>
      </c>
      <c r="AP308" t="n">
        <v>0</v>
      </c>
      <c r="AQ308">
        <f>IF($Q$308,$M$308*$AE$308*$Y$308,0)</f>
        <v/>
      </c>
      <c r="AR308" t="n">
        <v>0</v>
      </c>
      <c r="AS308">
        <f>IF($S$308,$M$308*$AI$308*$W$308,0)</f>
        <v/>
      </c>
      <c r="AT308" t="n">
        <v>51.54986522911052</v>
      </c>
      <c r="AU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V308" t="b">
        <v>0</v>
      </c>
      <c r="AW308">
        <f>IF(AND($B$308&lt;0,$AU$308),4,$B$308)</f>
        <v/>
      </c>
      <c r="AX308" t="n">
        <v>2</v>
      </c>
      <c r="AY308">
        <f>IF($AW$308&lt;4,0,MIN(MAX(0.5,Canh_bao_vong!$D$4),MAX(IF(Vu_khi!$C$308="cal_406",Canh_bao_vong!$D$7,IF($AW$308&gt;=5,Canh_bao_vong!$D$9,Canh_bao_vong!$D$8)),Canh_bao_vong!$D$2+MAX(0,Vu_khi!$X$308)/MAX(0.1,Canh_bao_vong!$D$5))))</f>
        <v/>
      </c>
      <c r="AZ308" t="n">
        <v>0</v>
      </c>
      <c r="BA308" t="n">
        <v>1.484</v>
      </c>
      <c r="BB308" t="inlineStr">
        <is>
          <t>ok</t>
        </is>
      </c>
      <c r="BC308" t="inlineStr"/>
      <c r="BD308" t="n">
        <v>120</v>
      </c>
      <c r="BE308" t="n">
        <v>156</v>
      </c>
      <c r="BF308" t="n">
        <v>0.092</v>
      </c>
      <c r="BG308" t="n">
        <v>0.183</v>
      </c>
      <c r="BH308" t="n">
        <v>0.367</v>
      </c>
      <c r="BI308" t="n">
        <v>0.282</v>
      </c>
      <c r="BJ308" t="inlineStr">
        <is>
          <t>AIR_DEFENCE_MISSILE</t>
        </is>
      </c>
      <c r="BK308" t="inlineStr">
        <is>
          <t>ok</t>
        </is>
      </c>
      <c r="BL308" t="inlineStr">
        <is>
          <t>own line</t>
        </is>
      </c>
      <c r="BM308" t="inlineStr"/>
      <c r="BN308" t="inlineStr">
        <is>
          <t>Assets/MachineBrigade/Resources/Data/balance.json: weapons[id=sam] (lớp B trên 01_chien_dau/Vu_khi)</t>
        </is>
      </c>
      <c r="BO308" t="inlineStr"/>
    </row>
    <row r="309">
      <c r="A309" t="inlineStr">
        <is>
          <t>sam_48n6</t>
        </is>
      </c>
      <c r="B309" t="n">
        <v>2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1</v>
      </c>
      <c r="G309">
        <f>IF(Vu_khi!$S$309&gt;0,(Vu_khi!$S$309-1)*Vu_khi!$R$309+Vu_khi!$T$309,Vu_khi!$R$309+(Vu_khi!$P$309-1)*Vu_khi!$Q$309)</f>
        <v/>
      </c>
      <c r="H309" t="n">
        <v>7.2</v>
      </c>
      <c r="I309">
        <f>Vu_khi!$W$309*MAX(1,$E$309)</f>
        <v/>
      </c>
      <c r="J309" t="n">
        <v>630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87.5</v>
      </c>
      <c r="O309">
        <f>OR(Vu_khi!$AG$309,Vu_khi!$AB$309&gt;0,Vu_khi!$AH$309,Vu_khi!$M$309="Bomb",Vu_khi!$M$309="Drone")</f>
        <v/>
      </c>
      <c r="P309" t="b">
        <v>1</v>
      </c>
      <c r="Q309">
        <f>AND(NOT(Vu_khi!$AJ$309),OR(Vu_khi!$AC$309="Ground",Vu_khi!$AC$309="All"))</f>
        <v/>
      </c>
      <c r="R309" t="b">
        <v>0</v>
      </c>
      <c r="S309">
        <f>AND(NOT(Vu_khi!$AJ$309),OR(Vu_khi!$AC$309="Air",Vu_khi!$AC$309="All"))</f>
        <v/>
      </c>
      <c r="T309" t="b">
        <v>1</v>
      </c>
      <c r="U309">
        <f>INDEX(Bang_sat_thuong!$B$2:$B$7,MATCH(Vu_khi!$K$309,Bang_sat_thuong!$A$2:$A$7,0))</f>
        <v/>
      </c>
      <c r="V309" t="n">
        <v>0.45</v>
      </c>
      <c r="W309">
        <f>INDEX(Bang_sat_thuong!$C$2:$C$7,MATCH(Vu_khi!$K$309,Bang_sat_thuong!$A$2:$A$7,0))</f>
        <v/>
      </c>
      <c r="X309" t="n">
        <v>1.35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0.1</v>
      </c>
      <c r="AA309">
        <f>AND(Vu_khi!$K$309="Kinetic",NOT(Vu_khi!$AG$309))</f>
        <v/>
      </c>
      <c r="AB309" t="b">
        <v>0</v>
      </c>
      <c r="AC309">
        <f>IF(Vu_khi!$AG$309,INDEX(Bang_danh_noc!$C$2:$C$8,MIN(7,MAX(1,2-(Vu_khi!$L$309-0)+1))),INDEX(Bang_xuyen_giap!$C$2:$C$8,MIN(7,MAX(1,IF($O$309,MAX(1,2-(Vu_khi!$L$309-0)),2-(Vu_khi!$L$309-0))+1))))*IF($AA$309,INDEX(Bang_xuyen_qua!$C$2:$C$5,MIN(4,MAX(1,(Vu_khi!$L$309)-(0)-1))),1)</f>
        <v/>
      </c>
      <c r="AD309" t="n">
        <v>1</v>
      </c>
      <c r="AE309">
        <f>IF(Vu_khi!$AG$309,INDEX(Bang_danh_noc!$C$2:$C$8,MIN(7,MAX(1,2-(Vu_khi!$L$309-2)+1))),INDEX(Bang_xuyen_giap!$C$2:$C$8,MIN(7,MAX(1,IF($O$309,MAX(1,2-(Vu_khi!$L$309-2)),2-(Vu_khi!$L$309-2))+1))))*IF($AA$309,INDEX(Bang_xuyen_qua!$C$2:$C$5,MIN(4,MAX(1,(Vu_khi!$L$309)-(2)-1))),1)</f>
        <v/>
      </c>
      <c r="AF309" t="n">
        <v>1</v>
      </c>
      <c r="AG309">
        <f>IF(Vu_khi!$AG$309,INDEX(Bang_danh_noc!$C$2:$C$8,MIN(7,MAX(1,2-(Vu_khi!$L$309-4)+1))),INDEX(Bang_xuyen_giap!$C$2:$C$8,MIN(7,MAX(1,IF($O$309,MAX(1,2-(Vu_khi!$L$309-4)),2-(Vu_khi!$L$309-4))+1))))*IF($AA$309,INDEX(Bang_xuyen_qua!$C$2:$C$5,MIN(4,MAX(1,(Vu_khi!$L$309)-(4)-1))),1)</f>
        <v/>
      </c>
      <c r="AH309" t="n">
        <v>0.65</v>
      </c>
      <c r="AI309">
        <f>INDEX(Bang_xuyen_giap!$C$2:$C$8,MIN(7,MAX(1,MAX(1,2-(Vu_khi!$L$309-0))+1)))*IF($AA$309,INDEX(Bang_xuyen_qua!$C$2:$C$5,MIN(4,MAX(1,(Vu_khi!$L$309)-(0)-1))),1)</f>
        <v/>
      </c>
      <c r="AJ309" t="n">
        <v>1</v>
      </c>
      <c r="AK309">
        <f>IF($Q$309,$M$309*$AC$309*$U$309,0)</f>
        <v/>
      </c>
      <c r="AL309" t="n">
        <v>0</v>
      </c>
      <c r="AM309">
        <f>IF($Q$309,$M$309*$AE$309*$U$309,0)</f>
        <v/>
      </c>
      <c r="AN309" t="n">
        <v>0</v>
      </c>
      <c r="AO309">
        <f>IF($Q$309,$M$309*$AG$309*$U$309,0)</f>
        <v/>
      </c>
      <c r="AP309" t="n">
        <v>0</v>
      </c>
      <c r="AQ309">
        <f>IF($Q$309,$M$309*$AE$309*$Y$309,0)</f>
        <v/>
      </c>
      <c r="AR309" t="n">
        <v>0</v>
      </c>
      <c r="AS309">
        <f>IF($S$309,$M$309*$AI$309*$W$309,0)</f>
        <v/>
      </c>
      <c r="AT309" t="n">
        <v>118.125</v>
      </c>
      <c r="AU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V309" t="b">
        <v>0</v>
      </c>
      <c r="AW309">
        <f>IF(AND($B$309&lt;0,$AU$309),4,$B$309)</f>
        <v/>
      </c>
      <c r="AX309" t="n">
        <v>2</v>
      </c>
      <c r="AY309">
        <f>IF($AW$309&lt;4,0,MIN(MAX(0.5,Canh_bao_vong!$D$4),MAX(IF(Vu_khi!$C$309="cal_406",Canh_bao_vong!$D$7,IF($AW$309&gt;=5,Canh_bao_vong!$D$9,Canh_bao_vong!$D$8)),Canh_bao_vong!$D$2+MAX(0,Vu_khi!$X$309)/MAX(0.1,Canh_bao_vong!$D$5))))</f>
        <v/>
      </c>
      <c r="AZ309" t="n">
        <v>0</v>
      </c>
      <c r="BA309" t="n">
        <v>2.4</v>
      </c>
      <c r="BB309" t="inlineStr">
        <is>
          <t>ok</t>
        </is>
      </c>
      <c r="BC309" t="inlineStr"/>
      <c r="BD309" t="n">
        <v>170</v>
      </c>
      <c r="BE309" t="n">
        <v>221</v>
      </c>
      <c r="BF309" t="n">
        <v>0.118</v>
      </c>
      <c r="BG309" t="n">
        <v>0.279</v>
      </c>
      <c r="BH309" t="n">
        <v>0.5590000000000001</v>
      </c>
      <c r="BI309" t="n">
        <v>0.43</v>
      </c>
      <c r="BJ309" t="inlineStr">
        <is>
          <t>AIR_DEFENCE_MISSILE</t>
        </is>
      </c>
      <c r="BK309" t="inlineStr">
        <is>
          <t>ok</t>
        </is>
      </c>
      <c r="BL309" t="inlineStr">
        <is>
          <t>own line</t>
        </is>
      </c>
      <c r="BM309" t="inlineStr"/>
      <c r="BN309" t="inlineStr">
        <is>
          <t>Assets/MachineBrigade/Resources/Data/balance.json: weapons[id=sam_48n6] (lớp B trên 01_chien_dau/Vu_khi)</t>
        </is>
      </c>
      <c r="BO309" t="inlineStr"/>
    </row>
    <row r="310">
      <c r="A310" t="inlineStr">
        <is>
          <t>sam_battery</t>
        </is>
      </c>
      <c r="B310" t="n">
        <v>2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2</v>
      </c>
      <c r="G310">
        <f>IF(Vu_khi!$S$310&gt;0,(Vu_khi!$S$310-1)*Vu_khi!$R$310+Vu_khi!$T$310,Vu_khi!$R$310+(Vu_khi!$P$310-1)*Vu_khi!$Q$310)</f>
        <v/>
      </c>
      <c r="H310" t="n">
        <v>11</v>
      </c>
      <c r="I310">
        <f>Vu_khi!$W$310*MAX(1,$E$310)</f>
        <v/>
      </c>
      <c r="J310" t="n">
        <v>680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61.81818181818182</v>
      </c>
      <c r="O310">
        <f>OR(Vu_khi!$AG$310,Vu_khi!$AB$310&gt;0,Vu_khi!$AH$310,Vu_khi!$M$310="Bomb",Vu_khi!$M$310="Drone")</f>
        <v/>
      </c>
      <c r="P310" t="b">
        <v>1</v>
      </c>
      <c r="Q310">
        <f>AND(NOT(Vu_khi!$AJ$310),OR(Vu_khi!$AC$310="Ground",Vu_khi!$AC$310="All"))</f>
        <v/>
      </c>
      <c r="R310" t="b">
        <v>0</v>
      </c>
      <c r="S310">
        <f>AND(NOT(Vu_khi!$AJ$310),OR(Vu_khi!$AC$310="Air",Vu_khi!$AC$310="All"))</f>
        <v/>
      </c>
      <c r="T310" t="b">
        <v>1</v>
      </c>
      <c r="U310">
        <f>INDEX(Bang_sat_thuong!$B$2:$B$7,MATCH(Vu_khi!$K$310,Bang_sat_thuong!$A$2:$A$7,0))</f>
        <v/>
      </c>
      <c r="V310" t="n">
        <v>0.45</v>
      </c>
      <c r="W310">
        <f>INDEX(Bang_sat_thuong!$C$2:$C$7,MATCH(Vu_khi!$K$310,Bang_sat_thuong!$A$2:$A$7,0))</f>
        <v/>
      </c>
      <c r="X310" t="n">
        <v>1.35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0.1</v>
      </c>
      <c r="AA310">
        <f>AND(Vu_khi!$K$310="Kinetic",NOT(Vu_khi!$AG$310))</f>
        <v/>
      </c>
      <c r="AB310" t="b">
        <v>0</v>
      </c>
      <c r="AC310">
        <f>IF(Vu_khi!$AG$310,INDEX(Bang_danh_noc!$C$2:$C$8,MIN(7,MAX(1,2-(Vu_khi!$L$310-0)+1))),INDEX(Bang_xuyen_giap!$C$2:$C$8,MIN(7,MAX(1,IF($O$310,MAX(1,2-(Vu_khi!$L$310-0)),2-(Vu_khi!$L$310-0))+1))))*IF($AA$310,INDEX(Bang_xuyen_qua!$C$2:$C$5,MIN(4,MAX(1,(Vu_khi!$L$310)-(0)-1))),1)</f>
        <v/>
      </c>
      <c r="AD310" t="n">
        <v>1</v>
      </c>
      <c r="AE310">
        <f>IF(Vu_khi!$AG$310,INDEX(Bang_danh_noc!$C$2:$C$8,MIN(7,MAX(1,2-(Vu_khi!$L$310-2)+1))),INDEX(Bang_xuyen_giap!$C$2:$C$8,MIN(7,MAX(1,IF($O$310,MAX(1,2-(Vu_khi!$L$310-2)),2-(Vu_khi!$L$310-2))+1))))*IF($AA$310,INDEX(Bang_xuyen_qua!$C$2:$C$5,MIN(4,MAX(1,(Vu_khi!$L$310)-(2)-1))),1)</f>
        <v/>
      </c>
      <c r="AF310" t="n">
        <v>1</v>
      </c>
      <c r="AG310">
        <f>IF(Vu_khi!$AG$310,INDEX(Bang_danh_noc!$C$2:$C$8,MIN(7,MAX(1,2-(Vu_khi!$L$310-4)+1))),INDEX(Bang_xuyen_giap!$C$2:$C$8,MIN(7,MAX(1,IF($O$310,MAX(1,2-(Vu_khi!$L$310-4)),2-(Vu_khi!$L$310-4))+1))))*IF($AA$310,INDEX(Bang_xuyen_qua!$C$2:$C$5,MIN(4,MAX(1,(Vu_khi!$L$310)-(4)-1))),1)</f>
        <v/>
      </c>
      <c r="AH310" t="n">
        <v>0.65</v>
      </c>
      <c r="AI310">
        <f>INDEX(Bang_xuyen_giap!$C$2:$C$8,MIN(7,MAX(1,MAX(1,2-(Vu_khi!$L$310-0))+1)))*IF($AA$310,INDEX(Bang_xuyen_qua!$C$2:$C$5,MIN(4,MAX(1,(Vu_khi!$L$310)-(0)-1))),1)</f>
        <v/>
      </c>
      <c r="AJ310" t="n">
        <v>1</v>
      </c>
      <c r="AK310">
        <f>IF($Q$310,$M$310*$AC$310*$U$310,0)</f>
        <v/>
      </c>
      <c r="AL310" t="n">
        <v>0</v>
      </c>
      <c r="AM310">
        <f>IF($Q$310,$M$310*$AE$310*$U$310,0)</f>
        <v/>
      </c>
      <c r="AN310" t="n">
        <v>0</v>
      </c>
      <c r="AO310">
        <f>IF($Q$310,$M$310*$AG$310*$U$310,0)</f>
        <v/>
      </c>
      <c r="AP310" t="n">
        <v>0</v>
      </c>
      <c r="AQ310">
        <f>IF($Q$310,$M$310*$AE$310*$Y$310,0)</f>
        <v/>
      </c>
      <c r="AR310" t="n">
        <v>0</v>
      </c>
      <c r="AS310">
        <f>IF($S$310,$M$310*$AI$310*$W$310,0)</f>
        <v/>
      </c>
      <c r="AT310" t="n">
        <v>83.45454545454547</v>
      </c>
      <c r="AU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V310" t="b">
        <v>0</v>
      </c>
      <c r="AW310">
        <f>IF(AND($B$310&lt;0,$AU$310),4,$B$310)</f>
        <v/>
      </c>
      <c r="AX310" t="n">
        <v>2</v>
      </c>
      <c r="AY310">
        <f>IF($AW$310&lt;4,0,MIN(MAX(0.5,Canh_bao_vong!$D$4),MAX(IF(Vu_khi!$C$310="cal_406",Canh_bao_vong!$D$7,IF($AW$310&gt;=5,Canh_bao_vong!$D$9,Canh_bao_vong!$D$8)),Canh_bao_vong!$D$2+MAX(0,Vu_khi!$X$310)/MAX(0.1,Canh_bao_vong!$D$5))))</f>
        <v/>
      </c>
      <c r="AZ310" t="n">
        <v>0</v>
      </c>
      <c r="BA310" t="n">
        <v>1.833333</v>
      </c>
      <c r="BB310" t="inlineStr">
        <is>
          <t>ok</t>
        </is>
      </c>
      <c r="BC310" t="b">
        <v>1</v>
      </c>
      <c r="BD310" t="n">
        <v>165</v>
      </c>
      <c r="BE310" t="n">
        <v>214.5</v>
      </c>
      <c r="BF310" t="n">
        <v>0.121</v>
      </c>
      <c r="BG310" t="n">
        <v>0.273</v>
      </c>
      <c r="BH310" t="n">
        <v>0.545</v>
      </c>
      <c r="BI310" t="n">
        <v>0.42</v>
      </c>
      <c r="BJ310" t="inlineStr">
        <is>
          <t>AIR_DEFENCE_MISSILE</t>
        </is>
      </c>
      <c r="BK310" t="inlineStr">
        <is>
          <t>ok</t>
        </is>
      </c>
      <c r="BL310" t="inlineStr">
        <is>
          <t>own line</t>
        </is>
      </c>
      <c r="BM310" t="n">
        <v>495</v>
      </c>
      <c r="BN310" t="inlineStr">
        <is>
          <t>Assets/MachineBrigade/Resources/Data/balance.json: weapons[id=sam_battery] (lớp B trên 01_chien_dau/Vu_khi)</t>
        </is>
      </c>
      <c r="BO310" t="inlineStr"/>
    </row>
    <row r="311">
      <c r="A311" t="inlineStr">
        <is>
          <t>sam_battery_lrr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2</v>
      </c>
      <c r="G311">
        <f>IF(Vu_khi!$S$311&gt;0,(Vu_khi!$S$311-1)*Vu_khi!$R$311+Vu_khi!$T$311,Vu_khi!$R$311+(Vu_khi!$P$311-1)*Vu_khi!$Q$311)</f>
        <v/>
      </c>
      <c r="H311" t="n">
        <v>3.9</v>
      </c>
      <c r="I311">
        <f>Vu_khi!$W$311*MAX(1,$E$311)</f>
        <v/>
      </c>
      <c r="J311" t="n">
        <v>680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174.3589743589743</v>
      </c>
      <c r="O311">
        <f>OR(Vu_khi!$AG$311,Vu_khi!$AB$311&gt;0,Vu_khi!$AH$311,Vu_khi!$M$311="Bomb",Vu_khi!$M$311="Drone")</f>
        <v/>
      </c>
      <c r="P311" t="b">
        <v>1</v>
      </c>
      <c r="Q311">
        <f>AND(NOT(Vu_khi!$AJ$311),OR(Vu_khi!$AC$311="Ground",Vu_khi!$AC$311="All"))</f>
        <v/>
      </c>
      <c r="R311" t="b">
        <v>0</v>
      </c>
      <c r="S311">
        <f>AND(NOT(Vu_khi!$AJ$311),OR(Vu_khi!$AC$311="Air",Vu_khi!$AC$311="All"))</f>
        <v/>
      </c>
      <c r="T311" t="b">
        <v>1</v>
      </c>
      <c r="U311">
        <f>INDEX(Bang_sat_thuong!$B$2:$B$7,MATCH(Vu_khi!$K$311,Bang_sat_thuong!$A$2:$A$7,0))</f>
        <v/>
      </c>
      <c r="V311" t="n">
        <v>0.45</v>
      </c>
      <c r="W311">
        <f>INDEX(Bang_sat_thuong!$C$2:$C$7,MATCH(Vu_khi!$K$311,Bang_sat_thuong!$A$2:$A$7,0))</f>
        <v/>
      </c>
      <c r="X311" t="n">
        <v>1.35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0.1</v>
      </c>
      <c r="AA311">
        <f>AND(Vu_khi!$K$311="Kinetic",NOT(Vu_khi!$AG$311))</f>
        <v/>
      </c>
      <c r="AB311" t="b">
        <v>0</v>
      </c>
      <c r="AC311">
        <f>IF(Vu_khi!$AG$311,INDEX(Bang_danh_noc!$C$2:$C$8,MIN(7,MAX(1,2-(Vu_khi!$L$311-0)+1))),INDEX(Bang_xuyen_giap!$C$2:$C$8,MIN(7,MAX(1,IF($O$311,MAX(1,2-(Vu_khi!$L$311-0)),2-(Vu_khi!$L$311-0))+1))))*IF($AA$311,INDEX(Bang_xuyen_qua!$C$2:$C$5,MIN(4,MAX(1,(Vu_khi!$L$311)-(0)-1))),1)</f>
        <v/>
      </c>
      <c r="AD311" t="n">
        <v>1</v>
      </c>
      <c r="AE311">
        <f>IF(Vu_khi!$AG$311,INDEX(Bang_danh_noc!$C$2:$C$8,MIN(7,MAX(1,2-(Vu_khi!$L$311-2)+1))),INDEX(Bang_xuyen_giap!$C$2:$C$8,MIN(7,MAX(1,IF($O$311,MAX(1,2-(Vu_khi!$L$311-2)),2-(Vu_khi!$L$311-2))+1))))*IF($AA$311,INDEX(Bang_xuyen_qua!$C$2:$C$5,MIN(4,MAX(1,(Vu_khi!$L$311)-(2)-1))),1)</f>
        <v/>
      </c>
      <c r="AF311" t="n">
        <v>1</v>
      </c>
      <c r="AG311">
        <f>IF(Vu_khi!$AG$311,INDEX(Bang_danh_noc!$C$2:$C$8,MIN(7,MAX(1,2-(Vu_khi!$L$311-4)+1))),INDEX(Bang_xuyen_giap!$C$2:$C$8,MIN(7,MAX(1,IF($O$311,MAX(1,2-(Vu_khi!$L$311-4)),2-(Vu_khi!$L$311-4))+1))))*IF($AA$311,INDEX(Bang_xuyen_qua!$C$2:$C$5,MIN(4,MAX(1,(Vu_khi!$L$311)-(4)-1))),1)</f>
        <v/>
      </c>
      <c r="AH311" t="n">
        <v>0.65</v>
      </c>
      <c r="AI311">
        <f>INDEX(Bang_xuyen_giap!$C$2:$C$8,MIN(7,MAX(1,MAX(1,2-(Vu_khi!$L$311-0))+1)))*IF($AA$311,INDEX(Bang_xuyen_qua!$C$2:$C$5,MIN(4,MAX(1,(Vu_khi!$L$311)-(0)-1))),1)</f>
        <v/>
      </c>
      <c r="AJ311" t="n">
        <v>1</v>
      </c>
      <c r="AK311">
        <f>IF($Q$311,$M$311*$AC$311*$U$311,0)</f>
        <v/>
      </c>
      <c r="AL311" t="n">
        <v>0</v>
      </c>
      <c r="AM311">
        <f>IF($Q$311,$M$311*$AE$311*$U$311,0)</f>
        <v/>
      </c>
      <c r="AN311" t="n">
        <v>0</v>
      </c>
      <c r="AO311">
        <f>IF($Q$311,$M$311*$AG$311*$U$311,0)</f>
        <v/>
      </c>
      <c r="AP311" t="n">
        <v>0</v>
      </c>
      <c r="AQ311">
        <f>IF($Q$311,$M$311*$AE$311*$Y$311,0)</f>
        <v/>
      </c>
      <c r="AR311" t="n">
        <v>0</v>
      </c>
      <c r="AS311">
        <f>IF($S$311,$M$311*$AI$311*$W$311,0)</f>
        <v/>
      </c>
      <c r="AT311" t="n">
        <v>235.3846153846154</v>
      </c>
      <c r="AU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V311" t="b">
        <v>0</v>
      </c>
      <c r="AW311">
        <f>IF(AND($B$311&lt;0,$AU$311),4,$B$311)</f>
        <v/>
      </c>
      <c r="AX311" t="n">
        <v>2</v>
      </c>
      <c r="AY311">
        <f>IF($AW$311&lt;4,0,MIN(MAX(0.5,Canh_bao_vong!$D$4),MAX(IF(Vu_khi!$C$311="cal_406",Canh_bao_vong!$D$7,IF($AW$311&gt;=5,Canh_bao_vong!$D$9,Canh_bao_vong!$D$8)),Canh_bao_vong!$D$2+MAX(0,Vu_khi!$X$311)/MAX(0.1,Canh_bao_vong!$D$5))))</f>
        <v/>
      </c>
      <c r="AZ311" t="n">
        <v>0</v>
      </c>
      <c r="BA311" t="n">
        <v>0.65</v>
      </c>
      <c r="BB311" t="inlineStr">
        <is>
          <t>NHANH_QUA</t>
        </is>
      </c>
      <c r="BC311" t="inlineStr"/>
      <c r="BD311" t="n">
        <v>165</v>
      </c>
      <c r="BE311" t="n">
        <v>214.5</v>
      </c>
      <c r="BF311" t="n">
        <v>0.121</v>
      </c>
      <c r="BG311" t="n">
        <v>0.303</v>
      </c>
      <c r="BH311" t="n">
        <v>0.606</v>
      </c>
      <c r="BI311" t="n">
        <v>0.466</v>
      </c>
      <c r="BJ311" t="inlineStr">
        <is>
          <t>AIR_DEFENCE_MISSILE</t>
        </is>
      </c>
      <c r="BK311" t="inlineStr">
        <is>
          <t>ok</t>
        </is>
      </c>
      <c r="BL311" t="inlineStr">
        <is>
          <t>family mim_104_patriot_pac_2</t>
        </is>
      </c>
      <c r="BM311" t="n">
        <v>74.2</v>
      </c>
      <c r="BN311" t="inlineStr">
        <is>
          <t>Assets/MachineBrigade/Resources/Data/balance.json: weapons[id=sam_battery_lrr] (lớp B trên 01_chien_dau/Vu_khi)</t>
        </is>
      </c>
      <c r="BO311" t="inlineStr"/>
    </row>
    <row r="312">
      <c r="A312" t="inlineStr">
        <is>
          <t>sam_long</t>
        </is>
      </c>
      <c r="B312" t="n">
        <v>2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2</v>
      </c>
      <c r="G312">
        <f>IF(Vu_khi!$S$312&gt;0,(Vu_khi!$S$312-1)*Vu_khi!$R$312+Vu_khi!$T$312,Vu_khi!$R$312+(Vu_khi!$P$312-1)*Vu_khi!$Q$312)</f>
        <v/>
      </c>
      <c r="H312" t="n">
        <v>6.23</v>
      </c>
      <c r="I312">
        <f>Vu_khi!$W$312*MAX(1,$E$312)</f>
        <v/>
      </c>
      <c r="J312" t="n">
        <v>640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102.7287319422151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0</v>
      </c>
      <c r="S312">
        <f>AND(NOT(Vu_khi!$AJ$312),OR(Vu_khi!$AC$312="Air",Vu_khi!$AC$312="All"))</f>
        <v/>
      </c>
      <c r="T312" t="b">
        <v>1</v>
      </c>
      <c r="U312">
        <f>INDEX(Bang_sat_thuong!$B$2:$B$7,MATCH(Vu_khi!$K$312,Bang_sat_thuong!$A$2:$A$7,0))</f>
        <v/>
      </c>
      <c r="V312" t="n">
        <v>0.45</v>
      </c>
      <c r="W312">
        <f>INDEX(Bang_sat_thuong!$C$2:$C$7,MATCH(Vu_khi!$K$312,Bang_sat_thuong!$A$2:$A$7,0))</f>
        <v/>
      </c>
      <c r="X312" t="n">
        <v>1.35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0.1</v>
      </c>
      <c r="AA312">
        <f>AND(Vu_khi!$K$312="Kinetic",NOT(Vu_khi!$AG$312))</f>
        <v/>
      </c>
      <c r="AB312" t="b">
        <v>0</v>
      </c>
      <c r="AC312">
        <f>IF(Vu_khi!$AG$312,INDEX(Bang_danh_noc!$C$2:$C$8,MIN(7,MAX(1,2-(Vu_khi!$L$312-0)+1))),INDEX(Bang_xuyen_giap!$C$2:$C$8,MIN(7,MAX(1,IF($O$312,MAX(1,2-(Vu_khi!$L$312-0)),2-(Vu_khi!$L$312-0))+1))))*IF($AA$312,INDEX(Bang_xuyen_qua!$C$2:$C$5,MIN(4,MAX(1,(Vu_khi!$L$312)-(0)-1))),1)</f>
        <v/>
      </c>
      <c r="AD312" t="n">
        <v>1.2</v>
      </c>
      <c r="AE312">
        <f>IF(Vu_khi!$AG$312,INDEX(Bang_danh_noc!$C$2:$C$8,MIN(7,MAX(1,2-(Vu_khi!$L$312-2)+1))),INDEX(Bang_xuyen_giap!$C$2:$C$8,MIN(7,MAX(1,IF($O$312,MAX(1,2-(Vu_khi!$L$312-2)),2-(Vu_khi!$L$312-2))+1))))*IF($AA$312,INDEX(Bang_xuyen_qua!$C$2:$C$5,MIN(4,MAX(1,(Vu_khi!$L$312)-(2)-1))),1)</f>
        <v/>
      </c>
      <c r="AF312" t="n">
        <v>1</v>
      </c>
      <c r="AG312">
        <f>IF(Vu_khi!$AG$312,INDEX(Bang_danh_noc!$C$2:$C$8,MIN(7,MAX(1,2-(Vu_khi!$L$312-4)+1))),INDEX(Bang_xuyen_giap!$C$2:$C$8,MIN(7,MAX(1,IF($O$312,MAX(1,2-(Vu_khi!$L$312-4)),2-(Vu_khi!$L$312-4))+1))))*IF($AA$312,INDEX(Bang_xuyen_qua!$C$2:$C$5,MIN(4,MAX(1,(Vu_khi!$L$312)-(4)-1))),1)</f>
        <v/>
      </c>
      <c r="AH312" t="n">
        <v>0.65</v>
      </c>
      <c r="AI312">
        <f>INDEX(Bang_xuyen_giap!$C$2:$C$8,MIN(7,MAX(1,MAX(1,2-(Vu_khi!$L$312-0))+1)))*IF($AA$312,INDEX(Bang_xuyen_qua!$C$2:$C$5,MIN(4,MAX(1,(Vu_khi!$L$312)-(0)-1))),1)</f>
        <v/>
      </c>
      <c r="AJ312" t="n">
        <v>1</v>
      </c>
      <c r="AK312">
        <f>IF($Q$312,$M$312*$AC$312*$U$312,0)</f>
        <v/>
      </c>
      <c r="AL312" t="n">
        <v>0</v>
      </c>
      <c r="AM312">
        <f>IF($Q$312,$M$312*$AE$312*$U$312,0)</f>
        <v/>
      </c>
      <c r="AN312" t="n">
        <v>0</v>
      </c>
      <c r="AO312">
        <f>IF($Q$312,$M$312*$AG$312*$U$312,0)</f>
        <v/>
      </c>
      <c r="AP312" t="n">
        <v>0</v>
      </c>
      <c r="AQ312">
        <f>IF($Q$312,$M$312*$AE$312*$Y$312,0)</f>
        <v/>
      </c>
      <c r="AR312" t="n">
        <v>0</v>
      </c>
      <c r="AS312">
        <f>IF($S$312,$M$312*$AI$312*$W$312,0)</f>
        <v/>
      </c>
      <c r="AT312" t="n">
        <v>138.6837881219904</v>
      </c>
      <c r="AU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V312" t="b">
        <v>0</v>
      </c>
      <c r="AW312">
        <f>IF(AND($B$312&lt;0,$AU$312),4,$B$312)</f>
        <v/>
      </c>
      <c r="AX312" t="n">
        <v>2</v>
      </c>
      <c r="AY312">
        <f>IF($AW$312&lt;4,0,MIN(MAX(0.5,Canh_bao_vong!$D$4),MAX(IF(Vu_khi!$C$312="cal_406",Canh_bao_vong!$D$7,IF($AW$312&gt;=5,Canh_bao_vong!$D$9,Canh_bao_vong!$D$8)),Canh_bao_vong!$D$2+MAX(0,Vu_khi!$X$312)/MAX(0.1,Canh_bao_vong!$D$5))))</f>
        <v/>
      </c>
      <c r="AZ312" t="n">
        <v>0</v>
      </c>
      <c r="BA312" t="n">
        <v>0.7787500000000001</v>
      </c>
      <c r="BB312" t="inlineStr">
        <is>
          <t>NHANH_QUA</t>
        </is>
      </c>
      <c r="BC312" t="inlineStr"/>
      <c r="BD312" t="n">
        <v>145</v>
      </c>
      <c r="BE312" t="n">
        <v>188.5</v>
      </c>
      <c r="BF312" t="n">
        <v>0.095</v>
      </c>
      <c r="BG312" t="n">
        <v>0.19</v>
      </c>
      <c r="BH312" t="n">
        <v>0.379</v>
      </c>
      <c r="BI312" t="n">
        <v>0.292</v>
      </c>
      <c r="BJ312" t="inlineStr">
        <is>
          <t>AIR_DEFENCE_MISSILE</t>
        </is>
      </c>
      <c r="BK312" t="inlineStr">
        <is>
          <t>ok</t>
        </is>
      </c>
      <c r="BL312" t="inlineStr">
        <is>
          <t>family 9m317_buk</t>
        </is>
      </c>
      <c r="BM312" t="n">
        <v>72.5</v>
      </c>
      <c r="BN312" t="inlineStr">
        <is>
          <t>Assets/MachineBrigade/Resources/Data/balance.json: weapons[id=sam_long] (lớp B trên 01_chien_dau/Vu_khi)</t>
        </is>
      </c>
      <c r="BO312" t="inlineStr"/>
    </row>
    <row r="313">
      <c r="A313" t="inlineStr">
        <is>
          <t>sam_pac3</t>
        </is>
      </c>
      <c r="B313" t="n">
        <v>2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2</v>
      </c>
      <c r="G313">
        <f>IF(Vu_khi!$S$313&gt;0,(Vu_khi!$S$313-1)*Vu_khi!$R$313+Vu_khi!$T$313,Vu_khi!$R$313+(Vu_khi!$P$313-1)*Vu_khi!$Q$313)</f>
        <v/>
      </c>
      <c r="H313" t="n">
        <v>6.7</v>
      </c>
      <c r="I313">
        <f>Vu_khi!$W$313*MAX(1,$E$313)</f>
        <v/>
      </c>
      <c r="J313" t="n">
        <v>720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107.4626865671642</v>
      </c>
      <c r="O313">
        <f>OR(Vu_khi!$AG$313,Vu_khi!$AB$313&gt;0,Vu_khi!$AH$313,Vu_khi!$M$313="Bomb",Vu_khi!$M$313="Drone")</f>
        <v/>
      </c>
      <c r="P313" t="b">
        <v>1</v>
      </c>
      <c r="Q313">
        <f>AND(NOT(Vu_khi!$AJ$313),OR(Vu_khi!$AC$313="Ground",Vu_khi!$AC$313="All"))</f>
        <v/>
      </c>
      <c r="R313" t="b">
        <v>0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0.45</v>
      </c>
      <c r="W313">
        <f>INDEX(Bang_sat_thuong!$C$2:$C$7,MATCH(Vu_khi!$K$313,Bang_sat_thuong!$A$2:$A$7,0))</f>
        <v/>
      </c>
      <c r="X313" t="n">
        <v>1.35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0.1</v>
      </c>
      <c r="AA313">
        <f>AND(Vu_khi!$K$313="Kinetic",NOT(Vu_khi!$AG$313))</f>
        <v/>
      </c>
      <c r="AB313" t="b">
        <v>0</v>
      </c>
      <c r="AC313">
        <f>IF(Vu_khi!$AG$313,INDEX(Bang_danh_noc!$C$2:$C$8,MIN(7,MAX(1,2-(Vu_khi!$L$313-0)+1))),INDEX(Bang_xuyen_giap!$C$2:$C$8,MIN(7,MAX(1,IF($O$313,MAX(1,2-(Vu_khi!$L$313-0)),2-(Vu_khi!$L$313-0))+1))))*IF($AA$313,INDEX(Bang_xuyen_qua!$C$2:$C$5,MIN(4,MAX(1,(Vu_khi!$L$313)-(0)-1))),1)</f>
        <v/>
      </c>
      <c r="AD313" t="n">
        <v>1</v>
      </c>
      <c r="AE313">
        <f>IF(Vu_khi!$AG$313,INDEX(Bang_danh_noc!$C$2:$C$8,MIN(7,MAX(1,2-(Vu_khi!$L$313-2)+1))),INDEX(Bang_xuyen_giap!$C$2:$C$8,MIN(7,MAX(1,IF($O$313,MAX(1,2-(Vu_khi!$L$313-2)),2-(Vu_khi!$L$313-2))+1))))*IF($AA$313,INDEX(Bang_xuyen_qua!$C$2:$C$5,MIN(4,MAX(1,(Vu_khi!$L$313)-(2)-1))),1)</f>
        <v/>
      </c>
      <c r="AF313" t="n">
        <v>1</v>
      </c>
      <c r="AG313">
        <f>IF(Vu_khi!$AG$313,INDEX(Bang_danh_noc!$C$2:$C$8,MIN(7,MAX(1,2-(Vu_khi!$L$313-4)+1))),INDEX(Bang_xuyen_giap!$C$2:$C$8,MIN(7,MAX(1,IF($O$313,MAX(1,2-(Vu_khi!$L$313-4)),2-(Vu_khi!$L$313-4))+1))))*IF($AA$313,INDEX(Bang_xuyen_qua!$C$2:$C$5,MIN(4,MAX(1,(Vu_khi!$L$313)-(4)-1))),1)</f>
        <v/>
      </c>
      <c r="AH313" t="n">
        <v>0.65</v>
      </c>
      <c r="AI313">
        <f>INDEX(Bang_xuyen_giap!$C$2:$C$8,MIN(7,MAX(1,MAX(1,2-(Vu_khi!$L$313-0))+1)))*IF($AA$313,INDEX(Bang_xuyen_qua!$C$2:$C$5,MIN(4,MAX(1,(Vu_khi!$L$313)-(0)-1))),1)</f>
        <v/>
      </c>
      <c r="AJ313" t="n">
        <v>1</v>
      </c>
      <c r="AK313">
        <f>IF($Q$313,$M$313*$AC$313*$U$313,0)</f>
        <v/>
      </c>
      <c r="AL313" t="n">
        <v>0</v>
      </c>
      <c r="AM313">
        <f>IF($Q$313,$M$313*$AE$313*$U$313,0)</f>
        <v/>
      </c>
      <c r="AN313" t="n">
        <v>0</v>
      </c>
      <c r="AO313">
        <f>IF($Q$313,$M$313*$AG$313*$U$313,0)</f>
        <v/>
      </c>
      <c r="AP313" t="n">
        <v>0</v>
      </c>
      <c r="AQ313">
        <f>IF($Q$313,$M$313*$AE$313*$Y$313,0)</f>
        <v/>
      </c>
      <c r="AR313" t="n">
        <v>0</v>
      </c>
      <c r="AS313">
        <f>IF($S$313,$M$313*$AI$313*$W$313,0)</f>
        <v/>
      </c>
      <c r="AT313" t="n">
        <v>145.0746268656716</v>
      </c>
      <c r="AU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V313" t="b">
        <v>0</v>
      </c>
      <c r="AW313">
        <f>IF(AND($B$313&lt;0,$AU$313),4,$B$313)</f>
        <v/>
      </c>
      <c r="AX313" t="n">
        <v>2</v>
      </c>
      <c r="AY313">
        <f>IF($AW$313&lt;4,0,MIN(MAX(0.5,Canh_bao_vong!$D$4),MAX(IF(Vu_khi!$C$313="cal_406",Canh_bao_vong!$D$7,IF($AW$313&gt;=5,Canh_bao_vong!$D$9,Canh_bao_vong!$D$8)),Canh_bao_vong!$D$2+MAX(0,Vu_khi!$X$313)/MAX(0.1,Canh_bao_vong!$D$5))))</f>
        <v/>
      </c>
      <c r="AZ313" t="n">
        <v>0</v>
      </c>
      <c r="BA313" t="n">
        <v>1.116667</v>
      </c>
      <c r="BB313" t="inlineStr">
        <is>
          <t>NHANH_QUA</t>
        </is>
      </c>
      <c r="BC313" t="inlineStr"/>
      <c r="BD313" t="n">
        <v>165</v>
      </c>
      <c r="BE313" t="n">
        <v>214.5</v>
      </c>
      <c r="BF313" t="n">
        <v>0.121</v>
      </c>
      <c r="BG313" t="n">
        <v>0.218</v>
      </c>
      <c r="BH313" t="n">
        <v>0.436</v>
      </c>
      <c r="BI313" t="n">
        <v>0.336</v>
      </c>
      <c r="BJ313" t="inlineStr">
        <is>
          <t>AIR_DEFENCE_MISSILE</t>
        </is>
      </c>
      <c r="BK313" t="inlineStr">
        <is>
          <t>ok</t>
        </is>
      </c>
      <c r="BL313" t="inlineStr">
        <is>
          <t>own line (over sam_battery)</t>
        </is>
      </c>
      <c r="BM313" t="n">
        <v>74.2</v>
      </c>
      <c r="BN313" t="inlineStr">
        <is>
          <t>Assets/MachineBrigade/Resources/Data/balance.json: weapons[id=sam_pac3] (lớp B trên 01_chien_dau/Vu_khi)</t>
        </is>
      </c>
      <c r="BO313" t="inlineStr"/>
    </row>
    <row r="314">
      <c r="A314" t="inlineStr">
        <is>
          <t>sam_post</t>
        </is>
      </c>
      <c r="B314" t="n">
        <v>2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2</v>
      </c>
      <c r="G314">
        <f>IF(Vu_khi!$S$314&gt;0,(Vu_khi!$S$314-1)*Vu_khi!$R$314+Vu_khi!$T$314,Vu_khi!$R$314+(Vu_khi!$P$314-1)*Vu_khi!$Q$314)</f>
        <v/>
      </c>
      <c r="H314" t="n">
        <v>4.4</v>
      </c>
      <c r="I314">
        <f>Vu_khi!$W$314*MAX(1,$E$314)</f>
        <v/>
      </c>
      <c r="J314" t="n">
        <v>640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145.4545454545454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0</v>
      </c>
      <c r="S314">
        <f>AND(NOT(Vu_khi!$AJ$314),OR(Vu_khi!$AC$314="Air",Vu_khi!$AC$314="All"))</f>
        <v/>
      </c>
      <c r="T314" t="b">
        <v>1</v>
      </c>
      <c r="U314">
        <f>INDEX(Bang_sat_thuong!$B$2:$B$7,MATCH(Vu_khi!$K$314,Bang_sat_thuong!$A$2:$A$7,0))</f>
        <v/>
      </c>
      <c r="V314" t="n">
        <v>0.45</v>
      </c>
      <c r="W314">
        <f>INDEX(Bang_sat_thuong!$C$2:$C$7,MATCH(Vu_khi!$K$314,Bang_sat_thuong!$A$2:$A$7,0))</f>
        <v/>
      </c>
      <c r="X314" t="n">
        <v>1.35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0.1</v>
      </c>
      <c r="AA314">
        <f>AND(Vu_khi!$K$314="Kinetic",NOT(Vu_khi!$AG$314))</f>
        <v/>
      </c>
      <c r="AB314" t="b">
        <v>0</v>
      </c>
      <c r="AC314">
        <f>IF(Vu_khi!$AG$314,INDEX(Bang_danh_noc!$C$2:$C$8,MIN(7,MAX(1,2-(Vu_khi!$L$314-0)+1))),INDEX(Bang_xuyen_giap!$C$2:$C$8,MIN(7,MAX(1,IF($O$314,MAX(1,2-(Vu_khi!$L$314-0)),2-(Vu_khi!$L$314-0))+1))))*IF($AA$314,INDEX(Bang_xuyen_qua!$C$2:$C$5,MIN(4,MAX(1,(Vu_khi!$L$314)-(0)-1))),1)</f>
        <v/>
      </c>
      <c r="AD314" t="n">
        <v>1.2</v>
      </c>
      <c r="AE314">
        <f>IF(Vu_khi!$AG$314,INDEX(Bang_danh_noc!$C$2:$C$8,MIN(7,MAX(1,2-(Vu_khi!$L$314-2)+1))),INDEX(Bang_xuyen_giap!$C$2:$C$8,MIN(7,MAX(1,IF($O$314,MAX(1,2-(Vu_khi!$L$314-2)),2-(Vu_khi!$L$314-2))+1))))*IF($AA$314,INDEX(Bang_xuyen_qua!$C$2:$C$5,MIN(4,MAX(1,(Vu_khi!$L$314)-(2)-1))),1)</f>
        <v/>
      </c>
      <c r="AF314" t="n">
        <v>1</v>
      </c>
      <c r="AG314">
        <f>IF(Vu_khi!$AG$314,INDEX(Bang_danh_noc!$C$2:$C$8,MIN(7,MAX(1,2-(Vu_khi!$L$314-4)+1))),INDEX(Bang_xuyen_giap!$C$2:$C$8,MIN(7,MAX(1,IF($O$314,MAX(1,2-(Vu_khi!$L$314-4)),2-(Vu_khi!$L$314-4))+1))))*IF($AA$314,INDEX(Bang_xuyen_qua!$C$2:$C$5,MIN(4,MAX(1,(Vu_khi!$L$314)-(4)-1))),1)</f>
        <v/>
      </c>
      <c r="AH314" t="n">
        <v>0.65</v>
      </c>
      <c r="AI314">
        <f>INDEX(Bang_xuyen_giap!$C$2:$C$8,MIN(7,MAX(1,MAX(1,2-(Vu_khi!$L$314-0))+1)))*IF($AA$314,INDEX(Bang_xuyen_qua!$C$2:$C$5,MIN(4,MAX(1,(Vu_khi!$L$314)-(0)-1))),1)</f>
        <v/>
      </c>
      <c r="AJ314" t="n">
        <v>1</v>
      </c>
      <c r="AK314">
        <f>IF($Q$314,$M$314*$AC$314*$U$314,0)</f>
        <v/>
      </c>
      <c r="AL314" t="n">
        <v>0</v>
      </c>
      <c r="AM314">
        <f>IF($Q$314,$M$314*$AE$314*$U$314,0)</f>
        <v/>
      </c>
      <c r="AN314" t="n">
        <v>0</v>
      </c>
      <c r="AO314">
        <f>IF($Q$314,$M$314*$AG$314*$U$314,0)</f>
        <v/>
      </c>
      <c r="AP314" t="n">
        <v>0</v>
      </c>
      <c r="AQ314">
        <f>IF($Q$314,$M$314*$AE$314*$Y$314,0)</f>
        <v/>
      </c>
      <c r="AR314" t="n">
        <v>0</v>
      </c>
      <c r="AS314">
        <f>IF($S$314,$M$314*$AI$314*$W$314,0)</f>
        <v/>
      </c>
      <c r="AT314" t="n">
        <v>196.3636363636363</v>
      </c>
      <c r="AU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V314" t="b">
        <v>0</v>
      </c>
      <c r="AW314">
        <f>IF(AND($B$314&lt;0,$AU$314),4,$B$314)</f>
        <v/>
      </c>
      <c r="AX314" t="n">
        <v>2</v>
      </c>
      <c r="AY314">
        <f>IF($AW$314&lt;4,0,MIN(MAX(0.5,Canh_bao_vong!$D$4),MAX(IF(Vu_khi!$C$314="cal_406",Canh_bao_vong!$D$7,IF($AW$314&gt;=5,Canh_bao_vong!$D$9,Canh_bao_vong!$D$8)),Canh_bao_vong!$D$2+MAX(0,Vu_khi!$X$314)/MAX(0.1,Canh_bao_vong!$D$5))))</f>
        <v/>
      </c>
      <c r="AZ314" t="n">
        <v>0</v>
      </c>
      <c r="BA314" t="n">
        <v>0.55</v>
      </c>
      <c r="BB314" t="inlineStr">
        <is>
          <t>NHANH_QUA</t>
        </is>
      </c>
      <c r="BC314" t="b">
        <v>1</v>
      </c>
      <c r="BD314" t="n">
        <v>145</v>
      </c>
      <c r="BE314" t="n">
        <v>188.5</v>
      </c>
      <c r="BF314" t="n">
        <v>0.103</v>
      </c>
      <c r="BG314" t="n">
        <v>0.207</v>
      </c>
      <c r="BH314" t="n">
        <v>0.414</v>
      </c>
      <c r="BI314" t="n">
        <v>0.318</v>
      </c>
      <c r="BJ314" t="inlineStr">
        <is>
          <t>AIR_DEFENCE_MISSILE</t>
        </is>
      </c>
      <c r="BK314" t="inlineStr">
        <is>
          <t>ok</t>
        </is>
      </c>
      <c r="BL314" t="inlineStr">
        <is>
          <t>own line (over sam_long)</t>
        </is>
      </c>
      <c r="BM314" t="n">
        <v>72.5</v>
      </c>
      <c r="BN314" t="inlineStr">
        <is>
          <t>Assets/MachineBrigade/Resources/Data/balance.json: weapons[id=sam_post] (lớp B trên 01_chien_dau/Vu_khi)</t>
        </is>
      </c>
      <c r="BO314" t="inlineStr"/>
    </row>
    <row r="315">
      <c r="A315" t="inlineStr">
        <is>
          <t>scout_rockets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12</v>
      </c>
      <c r="G315">
        <f>IF(Vu_khi!$S$315&gt;0,(Vu_khi!$S$315-1)*Vu_khi!$R$315+Vu_khi!$T$315,Vu_khi!$R$315+(Vu_khi!$P$315-1)*Vu_khi!$Q$315)</f>
        <v/>
      </c>
      <c r="H315" t="n">
        <v>8.609999999999999</v>
      </c>
      <c r="I315">
        <f>Vu_khi!$W$315*MAX(1,$E$315)</f>
        <v/>
      </c>
      <c r="J315" t="n">
        <v>360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41.81184668989548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1.6</v>
      </c>
      <c r="AA315">
        <f>AND(Vu_khi!$K$315="Kinetic",NOT(Vu_khi!$AG$315))</f>
        <v/>
      </c>
      <c r="AB315" t="b">
        <v>0</v>
      </c>
      <c r="AC315">
        <f>IF(Vu_khi!$AG$315,INDEX(Bang_danh_noc!$C$2:$C$8,MIN(7,MAX(1,2-(Vu_khi!$L$315-0)+1))),INDEX(Bang_xuyen_giap!$C$2:$C$8,MIN(7,MAX(1,IF($O$315,MAX(1,2-(Vu_khi!$L$315-0)),2-(Vu_khi!$L$315-0))+1))))*IF($AA$315,INDEX(Bang_xuyen_qua!$C$2:$C$5,MIN(4,MAX(1,(Vu_khi!$L$315)-(0)-1))),1)</f>
        <v/>
      </c>
      <c r="AD315" t="n">
        <v>1.2</v>
      </c>
      <c r="AE315">
        <f>IF(Vu_khi!$AG$315,INDEX(Bang_danh_noc!$C$2:$C$8,MIN(7,MAX(1,2-(Vu_khi!$L$315-2)+1))),INDEX(Bang_xuyen_giap!$C$2:$C$8,MIN(7,MAX(1,IF($O$315,MAX(1,2-(Vu_khi!$L$315-2)),2-(Vu_khi!$L$315-2))+1))))*IF($AA$315,INDEX(Bang_xuyen_qua!$C$2:$C$5,MIN(4,MAX(1,(Vu_khi!$L$315)-(2)-1))),1)</f>
        <v/>
      </c>
      <c r="AF315" t="n">
        <v>0.85</v>
      </c>
      <c r="AG315">
        <f>IF(Vu_khi!$AG$315,INDEX(Bang_danh_noc!$C$2:$C$8,MIN(7,MAX(1,2-(Vu_khi!$L$315-4)+1))),INDEX(Bang_xuyen_giap!$C$2:$C$8,MIN(7,MAX(1,IF($O$315,MAX(1,2-(Vu_khi!$L$315-4)),2-(Vu_khi!$L$315-4))+1))))*IF($AA$315,INDEX(Bang_xuyen_qua!$C$2:$C$5,MIN(4,MAX(1,(Vu_khi!$L$315)-(4)-1))),1)</f>
        <v/>
      </c>
      <c r="AH315" t="n">
        <v>0.4</v>
      </c>
      <c r="AI315">
        <f>INDEX(Bang_xuyen_giap!$C$2:$C$8,MIN(7,MAX(1,MAX(1,2-(Vu_khi!$L$315-0))+1)))*IF($AA$315,INDEX(Bang_xuyen_qua!$C$2:$C$5,MIN(4,MAX(1,(Vu_khi!$L$315)-(0)-1))),1)</f>
        <v/>
      </c>
      <c r="AJ315" t="n">
        <v>1</v>
      </c>
      <c r="AK315">
        <f>IF($Q$315,$M$315*$AC$315*$U$315,0)</f>
        <v/>
      </c>
      <c r="AL315" t="n">
        <v>50.17421602787457</v>
      </c>
      <c r="AM315">
        <f>IF($Q$315,$M$315*$AE$315*$U$315,0)</f>
        <v/>
      </c>
      <c r="AN315" t="n">
        <v>35.54006968641115</v>
      </c>
      <c r="AO315">
        <f>IF($Q$315,$M$315*$AG$315*$U$315,0)</f>
        <v/>
      </c>
      <c r="AP315" t="n">
        <v>16.72473867595819</v>
      </c>
      <c r="AQ315">
        <f>IF($Q$315,$M$315*$AE$315*$Y$315,0)</f>
        <v/>
      </c>
      <c r="AR315" t="n">
        <v>56.86411149825785</v>
      </c>
      <c r="AS315">
        <f>IF($S$315,$M$315*$AI$315*$W$315,0)</f>
        <v/>
      </c>
      <c r="AT315" t="n">
        <v>0</v>
      </c>
      <c r="AU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V315" t="b">
        <v>0</v>
      </c>
      <c r="AW315">
        <f>IF(AND($B$315&lt;0,$AU$315),4,$B$315)</f>
        <v/>
      </c>
      <c r="AX315" t="n">
        <v>2</v>
      </c>
      <c r="AY315">
        <f>IF($AW$315&lt;4,0,MIN(MAX(0.5,Canh_bao_vong!$D$4),MAX(IF(Vu_khi!$C$315="cal_406",Canh_bao_vong!$D$7,IF($AW$315&gt;=5,Canh_bao_vong!$D$9,Canh_bao_vong!$D$8)),Canh_bao_vong!$D$2+MAX(0,Vu_khi!$X$315)/MAX(0.1,Canh_bao_vong!$D$5))))</f>
        <v/>
      </c>
      <c r="AZ315" t="n">
        <v>0</v>
      </c>
      <c r="BA315" t="n">
        <v>1.65</v>
      </c>
      <c r="BB315" t="inlineStr">
        <is>
          <t>ok</t>
        </is>
      </c>
      <c r="BC315" t="inlineStr"/>
      <c r="BD315" t="n">
        <v>95</v>
      </c>
      <c r="BE315" t="n">
        <v>123.5</v>
      </c>
      <c r="BF315" t="n">
        <v>0.074</v>
      </c>
      <c r="BG315" t="n">
        <v>0.147</v>
      </c>
      <c r="BH315" t="n">
        <v>0.295</v>
      </c>
      <c r="BI315" t="n">
        <v>0.227</v>
      </c>
      <c r="BJ315" t="inlineStr">
        <is>
          <t>AIRCRAFT_ROCKET</t>
        </is>
      </c>
      <c r="BK315" t="inlineStr">
        <is>
          <t>ok</t>
        </is>
      </c>
      <c r="BL315" t="inlineStr">
        <is>
          <t>family hydra_70_mm</t>
        </is>
      </c>
      <c r="BM315" t="n">
        <v>10.4</v>
      </c>
      <c r="BN315" t="inlineStr">
        <is>
          <t>Assets/MachineBrigade/Resources/Data/balance.json: weapons[id=scout_rockets] (lớp B trên 01_chien_dau/Vu_khi)</t>
        </is>
      </c>
      <c r="BO315" t="inlineStr"/>
    </row>
    <row r="316">
      <c r="A316" t="inlineStr">
        <is>
          <t>scylla_2m7</t>
        </is>
      </c>
      <c r="B316" t="n">
        <v>0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40</v>
      </c>
      <c r="G316">
        <f>IF(Vu_khi!$S$316&gt;0,(Vu_khi!$S$316-1)*Vu_khi!$R$316+Vu_khi!$T$316,Vu_khi!$R$316+(Vu_khi!$P$316-1)*Vu_khi!$Q$316)</f>
        <v/>
      </c>
      <c r="H316" t="n">
        <v>4.95</v>
      </c>
      <c r="I316">
        <f>Vu_khi!$W$316*MAX(1,$E$316)</f>
        <v/>
      </c>
      <c r="J316" t="n">
        <v>440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88.88888888888889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0</v>
      </c>
      <c r="S316">
        <f>AND(NOT(Vu_khi!$AJ$316),OR(Vu_khi!$AC$316="Air",Vu_khi!$AC$316="All"))</f>
        <v/>
      </c>
      <c r="T316" t="b">
        <v>1</v>
      </c>
      <c r="U316">
        <f>INDEX(Bang_sat_thuong!$B$2:$B$7,MATCH(Vu_khi!$K$316,Bang_sat_thuong!$A$2:$A$7,0))</f>
        <v/>
      </c>
      <c r="V316" t="n">
        <v>1.2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0.7</v>
      </c>
      <c r="AA316">
        <f>AND(Vu_khi!$K$316="Kinetic",NOT(Vu_khi!$AG$316))</f>
        <v/>
      </c>
      <c r="AB316" t="b">
        <v>1</v>
      </c>
      <c r="AC316">
        <f>IF(Vu_khi!$AG$316,INDEX(Bang_danh_noc!$C$2:$C$8,MIN(7,MAX(1,2-(Vu_khi!$L$316-0)+1))),INDEX(Bang_xuyen_giap!$C$2:$C$8,MIN(7,MAX(1,IF($O$316,MAX(1,2-(Vu_khi!$L$316-0)),2-(Vu_khi!$L$316-0))+1))))*IF($AA$316,INDEX(Bang_xuyen_qua!$C$2:$C$5,MIN(4,MAX(1,(Vu_khi!$L$316)-(0)-1))),1)</f>
        <v/>
      </c>
      <c r="AD316" t="n">
        <v>1</v>
      </c>
      <c r="AE316">
        <f>IF(Vu_khi!$AG$316,INDEX(Bang_danh_noc!$C$2:$C$8,MIN(7,MAX(1,2-(Vu_khi!$L$316-2)+1))),INDEX(Bang_xuyen_giap!$C$2:$C$8,MIN(7,MAX(1,IF($O$316,MAX(1,2-(Vu_khi!$L$316-2)),2-(Vu_khi!$L$316-2))+1))))*IF($AA$316,INDEX(Bang_xuyen_qua!$C$2:$C$5,MIN(4,MAX(1,(Vu_khi!$L$316)-(2)-1))),1)</f>
        <v/>
      </c>
      <c r="AF316" t="n">
        <v>0.65</v>
      </c>
      <c r="AG316">
        <f>IF(Vu_khi!$AG$316,INDEX(Bang_danh_noc!$C$2:$C$8,MIN(7,MAX(1,2-(Vu_khi!$L$316-4)+1))),INDEX(Bang_xuyen_giap!$C$2:$C$8,MIN(7,MAX(1,IF($O$316,MAX(1,2-(Vu_khi!$L$316-4)),2-(Vu_khi!$L$316-4))+1))))*IF($AA$316,INDEX(Bang_xuyen_qua!$C$2:$C$5,MIN(4,MAX(1,(Vu_khi!$L$316)-(4)-1))),1)</f>
        <v/>
      </c>
      <c r="AH316" t="n">
        <v>0.15</v>
      </c>
      <c r="AI316">
        <f>INDEX(Bang_xuyen_giap!$C$2:$C$8,MIN(7,MAX(1,MAX(1,2-(Vu_khi!$L$316-0))+1)))*IF($AA$316,INDEX(Bang_xuyen_qua!$C$2:$C$5,MIN(4,MAX(1,(Vu_khi!$L$316)-(0)-1))),1)</f>
        <v/>
      </c>
      <c r="AJ316" t="n">
        <v>1</v>
      </c>
      <c r="AK316">
        <f>IF($Q$316,$M$316*$AC$316*$U$316,0)</f>
        <v/>
      </c>
      <c r="AL316" t="n">
        <v>0</v>
      </c>
      <c r="AM316">
        <f>IF($Q$316,$M$316*$AE$316*$U$316,0)</f>
        <v/>
      </c>
      <c r="AN316" t="n">
        <v>0</v>
      </c>
      <c r="AO316">
        <f>IF($Q$316,$M$316*$AG$316*$U$316,0)</f>
        <v/>
      </c>
      <c r="AP316" t="n">
        <v>0</v>
      </c>
      <c r="AQ316">
        <f>IF($Q$316,$M$316*$AE$316*$Y$316,0)</f>
        <v/>
      </c>
      <c r="AR316" t="n">
        <v>0</v>
      </c>
      <c r="AS316">
        <f>IF($S$316,$M$316*$AI$316*$W$316,0)</f>
        <v/>
      </c>
      <c r="AT316" t="n">
        <v>26.66666666666666</v>
      </c>
      <c r="AU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V316" t="b">
        <v>0</v>
      </c>
      <c r="AW316">
        <f>IF(AND($B$316&lt;0,$AU$316),4,$B$316)</f>
        <v/>
      </c>
      <c r="AX316" t="n">
        <v>0</v>
      </c>
      <c r="AY316">
        <f>IF($AW$316&lt;4,0,MIN(MAX(0.5,Canh_bao_vong!$D$4),MAX(IF(Vu_khi!$C$316="cal_406",Canh_bao_vong!$D$7,IF($AW$316&gt;=5,Canh_bao_vong!$D$9,Canh_bao_vong!$D$8)),Canh_bao_vong!$D$2+MAX(0,Vu_khi!$X$316)/MAX(0.1,Canh_bao_vong!$D$5))))</f>
        <v/>
      </c>
      <c r="AZ316" t="n">
        <v>0</v>
      </c>
      <c r="BA316" t="inlineStr"/>
      <c r="BB316" t="inlineStr">
        <is>
          <t>LECH_DOT_1</t>
        </is>
      </c>
      <c r="BC316" t="b">
        <v>1</v>
      </c>
      <c r="BD316" t="n">
        <v>230</v>
      </c>
      <c r="BE316" t="n">
        <v>299</v>
      </c>
      <c r="BF316" t="n">
        <v>0.039</v>
      </c>
      <c r="BG316" t="n">
        <v>0.078</v>
      </c>
      <c r="BH316" t="n">
        <v>0.157</v>
      </c>
      <c r="BI316" t="n">
        <v>0.12</v>
      </c>
      <c r="BJ316" t="inlineStr">
        <is>
          <t>DIRECT_BULLET</t>
        </is>
      </c>
      <c r="BK316" t="inlineStr">
        <is>
          <t>ok</t>
        </is>
      </c>
      <c r="BL316" t="inlineStr">
        <is>
          <t>inherited from hmg_roof</t>
        </is>
      </c>
      <c r="BM316" t="inlineStr"/>
      <c r="BN316" t="inlineStr">
        <is>
          <t>Assets/MachineBrigade/Resources/Data/balance.json: weapons[id=scylla_2m7] (lớp B trên 01_chien_dau/Vu_khi)</t>
        </is>
      </c>
      <c r="BO316" t="inlineStr"/>
    </row>
    <row r="317">
      <c r="A317" t="inlineStr">
        <is>
          <t>scylla_ak230</t>
        </is>
      </c>
      <c r="B317" t="n">
        <v>1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24</v>
      </c>
      <c r="G317">
        <f>IF(Vu_khi!$S$317&gt;0,(Vu_khi!$S$317-1)*Vu_khi!$R$317+Vu_khi!$T$317,Vu_khi!$R$317+(Vu_khi!$P$317-1)*Vu_khi!$Q$317)</f>
        <v/>
      </c>
      <c r="H317" t="n">
        <v>3.98</v>
      </c>
      <c r="I317">
        <f>Vu_khi!$W$317*MAX(1,$E$317)</f>
        <v/>
      </c>
      <c r="J317" t="n">
        <v>480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120.6030150753769</v>
      </c>
      <c r="O317">
        <f>OR(Vu_khi!$AG$317,Vu_khi!$AB$317&gt;0,Vu_khi!$AH$317,Vu_khi!$M$317="Bomb",Vu_khi!$M$317="Drone")</f>
        <v/>
      </c>
      <c r="P317" t="b">
        <v>0</v>
      </c>
      <c r="Q317">
        <f>AND(NOT(Vu_khi!$AJ$317),OR(Vu_khi!$AC$317="Ground",Vu_khi!$AC$317="All"))</f>
        <v/>
      </c>
      <c r="R317" t="b">
        <v>0</v>
      </c>
      <c r="S317">
        <f>AND(NOT(Vu_khi!$AJ$317),OR(Vu_khi!$AC$317="Air",Vu_khi!$AC$317="All"))</f>
        <v/>
      </c>
      <c r="T317" t="b">
        <v>1</v>
      </c>
      <c r="U317">
        <f>INDEX(Bang_sat_thuong!$B$2:$B$7,MATCH(Vu_khi!$K$317,Bang_sat_thuong!$A$2:$A$7,0))</f>
        <v/>
      </c>
      <c r="V317" t="n">
        <v>0.45</v>
      </c>
      <c r="W317">
        <f>INDEX(Bang_sat_thuong!$C$2:$C$7,MATCH(Vu_khi!$K$317,Bang_sat_thuong!$A$2:$A$7,0))</f>
        <v/>
      </c>
      <c r="X317" t="n">
        <v>1.35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0.1</v>
      </c>
      <c r="AA317">
        <f>AND(Vu_khi!$K$317="Kinetic",NOT(Vu_khi!$AG$317))</f>
        <v/>
      </c>
      <c r="AB317" t="b">
        <v>0</v>
      </c>
      <c r="AC317">
        <f>IF(Vu_khi!$AG$317,INDEX(Bang_danh_noc!$C$2:$C$8,MIN(7,MAX(1,2-(Vu_khi!$L$317-0)+1))),INDEX(Bang_xuyen_giap!$C$2:$C$8,MIN(7,MAX(1,IF($O$317,MAX(1,2-(Vu_khi!$L$317-0)),2-(Vu_khi!$L$317-0))+1))))*IF($AA$317,INDEX(Bang_xuyen_qua!$C$2:$C$5,MIN(4,MAX(1,(Vu_khi!$L$317)-(0)-1))),1)</f>
        <v/>
      </c>
      <c r="AD317" t="n">
        <v>1</v>
      </c>
      <c r="AE317">
        <f>IF(Vu_khi!$AG$317,INDEX(Bang_danh_noc!$C$2:$C$8,MIN(7,MAX(1,2-(Vu_khi!$L$317-2)+1))),INDEX(Bang_xuyen_giap!$C$2:$C$8,MIN(7,MAX(1,IF($O$317,MAX(1,2-(Vu_khi!$L$317-2)),2-(Vu_khi!$L$317-2))+1))))*IF($AA$317,INDEX(Bang_xuyen_qua!$C$2:$C$5,MIN(4,MAX(1,(Vu_khi!$L$317)-(2)-1))),1)</f>
        <v/>
      </c>
      <c r="AF317" t="n">
        <v>0.65</v>
      </c>
      <c r="AG317">
        <f>IF(Vu_khi!$AG$317,INDEX(Bang_danh_noc!$C$2:$C$8,MIN(7,MAX(1,2-(Vu_khi!$L$317-4)+1))),INDEX(Bang_xuyen_giap!$C$2:$C$8,MIN(7,MAX(1,IF($O$317,MAX(1,2-(Vu_khi!$L$317-4)),2-(Vu_khi!$L$317-4))+1))))*IF($AA$317,INDEX(Bang_xuyen_qua!$C$2:$C$5,MIN(4,MAX(1,(Vu_khi!$L$317)-(4)-1))),1)</f>
        <v/>
      </c>
      <c r="AH317" t="n">
        <v>0.15</v>
      </c>
      <c r="AI317">
        <f>INDEX(Bang_xuyen_giap!$C$2:$C$8,MIN(7,MAX(1,MAX(1,2-(Vu_khi!$L$317-0))+1)))*IF($AA$317,INDEX(Bang_xuyen_qua!$C$2:$C$5,MIN(4,MAX(1,(Vu_khi!$L$317)-(0)-1))),1)</f>
        <v/>
      </c>
      <c r="AJ317" t="n">
        <v>1</v>
      </c>
      <c r="AK317">
        <f>IF($Q$317,$M$317*$AC$317*$U$317,0)</f>
        <v/>
      </c>
      <c r="AL317" t="n">
        <v>0</v>
      </c>
      <c r="AM317">
        <f>IF($Q$317,$M$317*$AE$317*$U$317,0)</f>
        <v/>
      </c>
      <c r="AN317" t="n">
        <v>0</v>
      </c>
      <c r="AO317">
        <f>IF($Q$317,$M$317*$AG$317*$U$317,0)</f>
        <v/>
      </c>
      <c r="AP317" t="n">
        <v>0</v>
      </c>
      <c r="AQ317">
        <f>IF($Q$317,$M$317*$AE$317*$Y$317,0)</f>
        <v/>
      </c>
      <c r="AR317" t="n">
        <v>0</v>
      </c>
      <c r="AS317">
        <f>IF($S$317,$M$317*$AI$317*$W$317,0)</f>
        <v/>
      </c>
      <c r="AT317" t="n">
        <v>162.8140703517588</v>
      </c>
      <c r="AU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V317" t="b">
        <v>0</v>
      </c>
      <c r="AW317">
        <f>IF(AND($B$317&lt;0,$AU$317),4,$B$317)</f>
        <v/>
      </c>
      <c r="AX317" t="n">
        <v>1</v>
      </c>
      <c r="AY317">
        <f>IF($AW$317&lt;4,0,MIN(MAX(0.5,Canh_bao_vong!$D$4),MAX(IF(Vu_khi!$C$317="cal_406",Canh_bao_vong!$D$7,IF($AW$317&gt;=5,Canh_bao_vong!$D$9,Canh_bao_vong!$D$8)),Canh_bao_vong!$D$2+MAX(0,Vu_khi!$X$317)/MAX(0.1,Canh_bao_vong!$D$5))))</f>
        <v/>
      </c>
      <c r="AZ317" t="n">
        <v>0</v>
      </c>
      <c r="BA317" t="inlineStr"/>
      <c r="BB317" t="inlineStr">
        <is>
          <t>LECH_DOT_1</t>
        </is>
      </c>
      <c r="BC317" t="b">
        <v>1</v>
      </c>
      <c r="BD317" t="n">
        <v>240</v>
      </c>
      <c r="BE317" t="n">
        <v>312</v>
      </c>
      <c r="BF317" t="n">
        <v>0.047</v>
      </c>
      <c r="BG317" t="n">
        <v>0.094</v>
      </c>
      <c r="BH317" t="n">
        <v>0.188</v>
      </c>
      <c r="BI317" t="n">
        <v>0.144</v>
      </c>
      <c r="BJ317" t="inlineStr">
        <is>
          <t>DIRECT_BULLET</t>
        </is>
      </c>
      <c r="BK317" t="inlineStr">
        <is>
          <t>ok</t>
        </is>
      </c>
      <c r="BL317" t="inlineStr">
        <is>
          <t>inherited from aa_25_triple</t>
        </is>
      </c>
      <c r="BM317" t="inlineStr"/>
      <c r="BN317" t="inlineStr">
        <is>
          <t>Assets/MachineBrigade/Resources/Data/balance.json: weapons[id=scylla_ak230] (lớp B trên 01_chien_dau/Vu_khi)</t>
        </is>
      </c>
      <c r="BO317" t="inlineStr"/>
    </row>
    <row r="318">
      <c r="A318" t="inlineStr">
        <is>
          <t>scylla_kh35</t>
        </is>
      </c>
      <c r="B318" t="n">
        <v>4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2</v>
      </c>
      <c r="G318">
        <f>IF(Vu_khi!$S$318&gt;0,(Vu_khi!$S$318-1)*Vu_khi!$R$318+Vu_khi!$T$318,Vu_khi!$R$318+(Vu_khi!$P$318-1)*Vu_khi!$Q$318)</f>
        <v/>
      </c>
      <c r="H318" t="n">
        <v>22.7</v>
      </c>
      <c r="I318">
        <f>Vu_khi!$W$318*MAX(1,$E$318)</f>
        <v/>
      </c>
      <c r="J318" t="n">
        <v>460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20.26431718061674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1.6</v>
      </c>
      <c r="AA318">
        <f>AND(Vu_khi!$K$318="Kinetic",NOT(Vu_khi!$AG$318))</f>
        <v/>
      </c>
      <c r="AB318" t="b">
        <v>0</v>
      </c>
      <c r="AC318">
        <f>IF(Vu_khi!$AG$318,INDEX(Bang_danh_noc!$C$2:$C$8,MIN(7,MAX(1,2-(Vu_khi!$L$318-0)+1))),INDEX(Bang_xuyen_giap!$C$2:$C$8,MIN(7,MAX(1,IF($O$318,MAX(1,2-(Vu_khi!$L$318-0)),2-(Vu_khi!$L$318-0))+1))))*IF($AA$318,INDEX(Bang_xuyen_qua!$C$2:$C$5,MIN(4,MAX(1,(Vu_khi!$L$318)-(0)-1))),1)</f>
        <v/>
      </c>
      <c r="AD318" t="n">
        <v>1.2</v>
      </c>
      <c r="AE318">
        <f>IF(Vu_khi!$AG$318,INDEX(Bang_danh_noc!$C$2:$C$8,MIN(7,MAX(1,2-(Vu_khi!$L$318-2)+1))),INDEX(Bang_xuyen_giap!$C$2:$C$8,MIN(7,MAX(1,IF($O$318,MAX(1,2-(Vu_khi!$L$318-2)),2-(Vu_khi!$L$318-2))+1))))*IF($AA$318,INDEX(Bang_xuyen_qua!$C$2:$C$5,MIN(4,MAX(1,(Vu_khi!$L$318)-(2)-1))),1)</f>
        <v/>
      </c>
      <c r="AF318" t="n">
        <v>1.2</v>
      </c>
      <c r="AG318">
        <f>IF(Vu_khi!$AG$318,INDEX(Bang_danh_noc!$C$2:$C$8,MIN(7,MAX(1,2-(Vu_khi!$L$318-4)+1))),INDEX(Bang_xuyen_giap!$C$2:$C$8,MIN(7,MAX(1,IF($O$318,MAX(1,2-(Vu_khi!$L$318-4)),2-(Vu_khi!$L$318-4))+1))))*IF($AA$318,INDEX(Bang_xuyen_qua!$C$2:$C$5,MIN(4,MAX(1,(Vu_khi!$L$318)-(4)-1))),1)</f>
        <v/>
      </c>
      <c r="AH318" t="n">
        <v>0.85</v>
      </c>
      <c r="AI318">
        <f>INDEX(Bang_xuyen_giap!$C$2:$C$8,MIN(7,MAX(1,MAX(1,2-(Vu_khi!$L$318-0))+1)))*IF($AA$318,INDEX(Bang_xuyen_qua!$C$2:$C$5,MIN(4,MAX(1,(Vu_khi!$L$318)-(0)-1))),1)</f>
        <v/>
      </c>
      <c r="AJ318" t="n">
        <v>1</v>
      </c>
      <c r="AK318">
        <f>IF($Q$318,$M$318*$AC$318*$U$318,0)</f>
        <v/>
      </c>
      <c r="AL318" t="n">
        <v>24.31718061674009</v>
      </c>
      <c r="AM318">
        <f>IF($Q$318,$M$318*$AE$318*$U$318,0)</f>
        <v/>
      </c>
      <c r="AN318" t="n">
        <v>24.31718061674009</v>
      </c>
      <c r="AO318">
        <f>IF($Q$318,$M$318*$AG$318*$U$318,0)</f>
        <v/>
      </c>
      <c r="AP318" t="n">
        <v>17.22466960352423</v>
      </c>
      <c r="AQ318">
        <f>IF($Q$318,$M$318*$AE$318*$Y$318,0)</f>
        <v/>
      </c>
      <c r="AR318" t="n">
        <v>38.90748898678414</v>
      </c>
      <c r="AS318">
        <f>IF($S$318,$M$318*$AI$318*$W$318,0)</f>
        <v/>
      </c>
      <c r="AT318" t="n">
        <v>0</v>
      </c>
      <c r="AU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V318" t="b">
        <v>0</v>
      </c>
      <c r="AW318">
        <f>IF(AND($B$318&lt;0,$AU$318),4,$B$318)</f>
        <v/>
      </c>
      <c r="AX318" t="n">
        <v>4</v>
      </c>
      <c r="AY318">
        <f>IF($AW$318&lt;4,0,MIN(MAX(0.5,Canh_bao_vong!$D$4),MAX(IF(Vu_khi!$C$318="cal_406",Canh_bao_vong!$D$7,IF($AW$318&gt;=5,Canh_bao_vong!$D$9,Canh_bao_vong!$D$8)),Canh_bao_vong!$D$2+MAX(0,Vu_khi!$X$318)/MAX(0.1,Canh_bao_vong!$D$5))))</f>
        <v/>
      </c>
      <c r="AZ318" t="n">
        <v>2.5</v>
      </c>
      <c r="BA318" t="inlineStr"/>
      <c r="BB318" t="inlineStr">
        <is>
          <t>ok</t>
        </is>
      </c>
      <c r="BC318" t="b">
        <v>1</v>
      </c>
      <c r="BD318" t="n">
        <v>90</v>
      </c>
      <c r="BE318" t="n">
        <v>117</v>
      </c>
      <c r="BF318" t="n">
        <v>0.306</v>
      </c>
      <c r="BG318" t="n">
        <v>0.611</v>
      </c>
      <c r="BH318" t="n">
        <v>1.222</v>
      </c>
      <c r="BI318" t="n">
        <v>0.9399999999999999</v>
      </c>
      <c r="BJ318" t="inlineStr">
        <is>
          <t>ANTI_SHIP_MISSILE</t>
        </is>
      </c>
      <c r="BK318" t="inlineStr">
        <is>
          <t>ok</t>
        </is>
      </c>
      <c r="BL318" t="inlineStr">
        <is>
          <t>own line (over anti_ship_missile)</t>
        </is>
      </c>
      <c r="BM318" t="n">
        <v>63</v>
      </c>
      <c r="BN318" t="inlineStr">
        <is>
          <t>Assets/MachineBrigade/Resources/Data/balance.json: weapons[id=scylla_kh35] (lớp B trên 01_chien_dau/Vu_khi)</t>
        </is>
      </c>
      <c r="BO318" t="inlineStr"/>
    </row>
    <row r="319">
      <c r="A319" t="inlineStr">
        <is>
          <t>shahed</t>
        </is>
      </c>
      <c r="B319" t="n">
        <v>3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</v>
      </c>
      <c r="G319">
        <f>IF(Vu_khi!$S$319&gt;0,(Vu_khi!$S$319-1)*Vu_khi!$R$319+Vu_khi!$T$319,Vu_khi!$R$319+(Vu_khi!$P$319-1)*Vu_khi!$Q$319)</f>
        <v/>
      </c>
      <c r="H319" t="n">
        <v>8.5</v>
      </c>
      <c r="I319">
        <f>Vu_khi!$W$319*MAX(1,$E$319)</f>
        <v/>
      </c>
      <c r="J319" t="n">
        <v>344</v>
      </c>
      <c r="K319">
        <f>IF(Vu_khi!$V$319&gt;0,Vu_khi!$V$319,MIN(28,MAX(10,Vu_khi!$U$319*Vu_khi!$R$319*0.4)))</f>
        <v/>
      </c>
      <c r="L319" t="n">
        <v>8.5</v>
      </c>
      <c r="M319">
        <f>IF(Vu_khi!$W$319&lt;=0,0,IF(Vu_khi!$U$319&gt;0,$I$319*Vu_khi!$U$319/(MAX(0.05,$G$319)*Vu_khi!$U$319+$K$319),$I$319/MAX(0.05,$G$319)))</f>
        <v/>
      </c>
      <c r="N319" t="n">
        <v>33.72549019607843</v>
      </c>
      <c r="O319">
        <f>OR(Vu_khi!$AG$319,Vu_khi!$AB$319&gt;0,Vu_khi!$AH$319,Vu_khi!$M$319="Bomb",Vu_khi!$M$319="Drone")</f>
        <v/>
      </c>
      <c r="P319" t="b">
        <v>1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1.6</v>
      </c>
      <c r="AA319">
        <f>AND(Vu_khi!$K$319="Kinetic",NOT(Vu_khi!$AG$319))</f>
        <v/>
      </c>
      <c r="AB319" t="b">
        <v>0</v>
      </c>
      <c r="AC319">
        <f>IF(Vu_khi!$AG$319,INDEX(Bang_danh_noc!$C$2:$C$8,MIN(7,MAX(1,2-(Vu_khi!$L$319-0)+1))),INDEX(Bang_xuyen_giap!$C$2:$C$8,MIN(7,MAX(1,IF($O$319,MAX(1,2-(Vu_khi!$L$319-0)),2-(Vu_khi!$L$319-0))+1))))*IF($AA$319,INDEX(Bang_xuyen_qua!$C$2:$C$5,MIN(4,MAX(1,(Vu_khi!$L$319)-(0)-1))),1)</f>
        <v/>
      </c>
      <c r="AD319" t="n">
        <v>1.15</v>
      </c>
      <c r="AE319">
        <f>IF(Vu_khi!$AG$319,INDEX(Bang_danh_noc!$C$2:$C$8,MIN(7,MAX(1,2-(Vu_khi!$L$319-2)+1))),INDEX(Bang_xuyen_giap!$C$2:$C$8,MIN(7,MAX(1,IF($O$319,MAX(1,2-(Vu_khi!$L$319-2)),2-(Vu_khi!$L$319-2))+1))))*IF($AA$319,INDEX(Bang_xuyen_qua!$C$2:$C$5,MIN(4,MAX(1,(Vu_khi!$L$319)-(2)-1))),1)</f>
        <v/>
      </c>
      <c r="AF319" t="n">
        <v>1.1</v>
      </c>
      <c r="AG319">
        <f>IF(Vu_khi!$AG$319,INDEX(Bang_danh_noc!$C$2:$C$8,MIN(7,MAX(1,2-(Vu_khi!$L$319-4)+1))),INDEX(Bang_xuyen_giap!$C$2:$C$8,MIN(7,MAX(1,IF($O$319,MAX(1,2-(Vu_khi!$L$319-4)),2-(Vu_khi!$L$319-4))+1))))*IF($AA$319,INDEX(Bang_xuyen_qua!$C$2:$C$5,MIN(4,MAX(1,(Vu_khi!$L$319)-(4)-1))),1)</f>
        <v/>
      </c>
      <c r="AH319" t="n">
        <v>0.75</v>
      </c>
      <c r="AI319">
        <f>INDEX(Bang_xuyen_giap!$C$2:$C$8,MIN(7,MAX(1,MAX(1,2-(Vu_khi!$L$319-0))+1)))*IF($AA$319,INDEX(Bang_xuyen_qua!$C$2:$C$5,MIN(4,MAX(1,(Vu_khi!$L$319)-(0)-1))),1)</f>
        <v/>
      </c>
      <c r="AJ319" t="n">
        <v>1</v>
      </c>
      <c r="AK319">
        <f>IF($Q$319,$M$319*$AC$319*$U$319,0)</f>
        <v/>
      </c>
      <c r="AL319" t="n">
        <v>38.78431372549019</v>
      </c>
      <c r="AM319">
        <f>IF($Q$319,$M$319*$AE$319*$U$319,0)</f>
        <v/>
      </c>
      <c r="AN319" t="n">
        <v>37.09803921568628</v>
      </c>
      <c r="AO319">
        <f>IF($Q$319,$M$319*$AG$319*$U$319,0)</f>
        <v/>
      </c>
      <c r="AP319" t="n">
        <v>25.29411764705883</v>
      </c>
      <c r="AQ319">
        <f>IF($Q$319,$M$319*$AE$319*$Y$319,0)</f>
        <v/>
      </c>
      <c r="AR319" t="n">
        <v>59.35686274509805</v>
      </c>
      <c r="AS319">
        <f>IF($S$319,$M$319*$AI$319*$W$319,0)</f>
        <v/>
      </c>
      <c r="AT319" t="n">
        <v>0</v>
      </c>
      <c r="AU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V319" t="b">
        <v>0</v>
      </c>
      <c r="AW319">
        <f>IF(AND($B$319&lt;0,$AU$319),4,$B$319)</f>
        <v/>
      </c>
      <c r="AX319" t="n">
        <v>3</v>
      </c>
      <c r="AY319">
        <f>IF($AW$319&lt;4,0,MIN(MAX(0.5,Canh_bao_vong!$D$4),MAX(IF(Vu_khi!$C$319="cal_406",Canh_bao_vong!$D$7,IF($AW$319&gt;=5,Canh_bao_vong!$D$9,Canh_bao_vong!$D$8)),Canh_bao_vong!$D$2+MAX(0,Vu_khi!$X$319)/MAX(0.1,Canh_bao_vong!$D$5))))</f>
        <v/>
      </c>
      <c r="AZ319" t="n">
        <v>0</v>
      </c>
      <c r="BA319" t="inlineStr"/>
      <c r="BB319" t="inlineStr">
        <is>
          <t>ok</t>
        </is>
      </c>
      <c r="BC319" t="inlineStr"/>
      <c r="BD319" t="n">
        <v>20</v>
      </c>
      <c r="BE319" t="n">
        <v>26</v>
      </c>
      <c r="BF319" t="n">
        <v>1</v>
      </c>
      <c r="BG319" t="n">
        <v>3.75</v>
      </c>
      <c r="BH319" t="n">
        <v>7.5</v>
      </c>
      <c r="BI319" t="n">
        <v>5.769</v>
      </c>
      <c r="BJ319" t="inlineStr">
        <is>
          <t>DRONE</t>
        </is>
      </c>
      <c r="BK319" t="inlineStr">
        <is>
          <t>ok</t>
        </is>
      </c>
      <c r="BL319" t="inlineStr">
        <is>
          <t>own line</t>
        </is>
      </c>
      <c r="BM319" t="inlineStr"/>
      <c r="BN319" t="inlineStr">
        <is>
          <t>Assets/MachineBrigade/Resources/Data/balance.json: weapons[id=shahed] (lớp B trên 01_chien_dau/Vu_khi)</t>
        </is>
      </c>
      <c r="BO319" t="inlineStr"/>
    </row>
    <row r="320">
      <c r="A320" t="inlineStr">
        <is>
          <t>siege_gun_105</t>
        </is>
      </c>
      <c r="B320" t="n">
        <v>2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6.571</v>
      </c>
      <c r="I320">
        <f>Vu_khi!$W$320*MAX(1,$E$320)</f>
        <v/>
      </c>
      <c r="J320" t="n">
        <v>303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46.11170293714807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1</v>
      </c>
      <c r="S320">
        <f>AND(NOT(Vu_khi!$AJ$320),OR(Vu_khi!$AC$320="Air",Vu_khi!$AC$320="All"))</f>
        <v/>
      </c>
      <c r="T320" t="b">
        <v>0</v>
      </c>
      <c r="U320">
        <f>INDEX(Bang_sat_thuong!$B$2:$B$7,MATCH(Vu_khi!$K$320,Bang_sat_thuong!$A$2:$A$7,0))</f>
        <v/>
      </c>
      <c r="V320" t="n">
        <v>1.2</v>
      </c>
      <c r="W320">
        <f>INDEX(Bang_sat_thuong!$C$2:$C$7,MATCH(Vu_khi!$K$320,Bang_sat_thuong!$A$2:$A$7,0))</f>
        <v/>
      </c>
      <c r="X320" t="n">
        <v>0.3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0.7</v>
      </c>
      <c r="AA320">
        <f>AND(Vu_khi!$K$320="Kinetic",NOT(Vu_khi!$AG$320))</f>
        <v/>
      </c>
      <c r="AB320" t="b">
        <v>1</v>
      </c>
      <c r="AC320">
        <f>IF(Vu_khi!$AG$320,INDEX(Bang_danh_noc!$C$2:$C$8,MIN(7,MAX(1,2-(Vu_khi!$L$320-0)+1))),INDEX(Bang_xuyen_giap!$C$2:$C$8,MIN(7,MAX(1,IF($O$320,MAX(1,2-(Vu_khi!$L$320-0)),2-(Vu_khi!$L$320-0))+1))))*IF($AA$320,INDEX(Bang_xuyen_qua!$C$2:$C$5,MIN(4,MAX(1,(Vu_khi!$L$320)-(0)-1))),1)</f>
        <v/>
      </c>
      <c r="AD320" t="n">
        <v>1.14</v>
      </c>
      <c r="AE320">
        <f>IF(Vu_khi!$AG$320,INDEX(Bang_danh_noc!$C$2:$C$8,MIN(7,MAX(1,2-(Vu_khi!$L$320-2)+1))),INDEX(Bang_xuyen_giap!$C$2:$C$8,MIN(7,MAX(1,IF($O$320,MAX(1,2-(Vu_khi!$L$320-2)),2-(Vu_khi!$L$320-2))+1))))*IF($AA$320,INDEX(Bang_xuyen_qua!$C$2:$C$5,MIN(4,MAX(1,(Vu_khi!$L$320)-(2)-1))),1)</f>
        <v/>
      </c>
      <c r="AF320" t="n">
        <v>1</v>
      </c>
      <c r="AG320">
        <f>IF(Vu_khi!$AG$320,INDEX(Bang_danh_noc!$C$2:$C$8,MIN(7,MAX(1,2-(Vu_khi!$L$320-4)+1))),INDEX(Bang_xuyen_giap!$C$2:$C$8,MIN(7,MAX(1,IF($O$320,MAX(1,2-(Vu_khi!$L$320-4)),2-(Vu_khi!$L$320-4))+1))))*IF($AA$320,INDEX(Bang_xuyen_qua!$C$2:$C$5,MIN(4,MAX(1,(Vu_khi!$L$320)-(4)-1))),1)</f>
        <v/>
      </c>
      <c r="AH320" t="n">
        <v>0.65</v>
      </c>
      <c r="AI320">
        <f>INDEX(Bang_xuyen_giap!$C$2:$C$8,MIN(7,MAX(1,MAX(1,2-(Vu_khi!$L$320-0))+1)))*IF($AA$320,INDEX(Bang_xuyen_qua!$C$2:$C$5,MIN(4,MAX(1,(Vu_khi!$L$320)-(0)-1))),1)</f>
        <v/>
      </c>
      <c r="AJ320" t="n">
        <v>0.95</v>
      </c>
      <c r="AK320">
        <f>IF($Q$320,$M$320*$AC$320*$U$320,0)</f>
        <v/>
      </c>
      <c r="AL320" t="n">
        <v>63.08080961801856</v>
      </c>
      <c r="AM320">
        <f>IF($Q$320,$M$320*$AE$320*$U$320,0)</f>
        <v/>
      </c>
      <c r="AN320" t="n">
        <v>55.33404352457769</v>
      </c>
      <c r="AO320">
        <f>IF($Q$320,$M$320*$AG$320*$U$320,0)</f>
        <v/>
      </c>
      <c r="AP320" t="n">
        <v>35.9671282909755</v>
      </c>
      <c r="AQ320">
        <f>IF($Q$320,$M$320*$AE$320*$Y$320,0)</f>
        <v/>
      </c>
      <c r="AR320" t="n">
        <v>32.27819205600365</v>
      </c>
      <c r="AS320">
        <f>IF($S$320,$M$320*$AI$320*$W$320,0)</f>
        <v/>
      </c>
      <c r="AT320" t="n">
        <v>0</v>
      </c>
      <c r="AU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V320" t="b">
        <v>0</v>
      </c>
      <c r="AW320">
        <f>IF(AND($B$320&lt;0,$AU$320),4,$B$320)</f>
        <v/>
      </c>
      <c r="AX320" t="n">
        <v>2</v>
      </c>
      <c r="AY320">
        <f>IF($AW$320&lt;4,0,MIN(MAX(0.5,Canh_bao_vong!$D$4),MAX(IF(Vu_khi!$C$320="cal_406",Canh_bao_vong!$D$7,IF($AW$320&gt;=5,Canh_bao_vong!$D$9,Canh_bao_vong!$D$8)),Canh_bao_vong!$D$2+MAX(0,Vu_khi!$X$320)/MAX(0.1,Canh_bao_vong!$D$5))))</f>
        <v/>
      </c>
      <c r="AZ320" t="n">
        <v>0</v>
      </c>
      <c r="BA320" t="n">
        <v>0.766617</v>
      </c>
      <c r="BB320" t="inlineStr">
        <is>
          <t>LECH_DOT_1</t>
        </is>
      </c>
      <c r="BC320" t="inlineStr"/>
      <c r="BD320" t="n">
        <v>190</v>
      </c>
      <c r="BE320" t="n">
        <v>247</v>
      </c>
      <c r="BF320" t="n">
        <v>0.045</v>
      </c>
      <c r="BG320" t="n">
        <v>0.089</v>
      </c>
      <c r="BH320" t="n">
        <v>0.179</v>
      </c>
      <c r="BI320" t="n">
        <v>0.138</v>
      </c>
      <c r="BJ320" t="inlineStr">
        <is>
          <t>DIRECT_FAST</t>
        </is>
      </c>
      <c r="BK320" t="inlineStr">
        <is>
          <t>ok</t>
        </is>
      </c>
      <c r="BL320" t="inlineStr">
        <is>
          <t>family l7_105_mm</t>
        </is>
      </c>
      <c r="BM320" t="inlineStr"/>
      <c r="BN320" t="inlineStr">
        <is>
          <t>Assets/MachineBrigade/Resources/Data/balance.json: weapons[id=siege_gun_105] (lớp B trên 01_chien_dau/Vu_khi)</t>
        </is>
      </c>
      <c r="BO320" t="inlineStr"/>
    </row>
    <row r="321">
      <c r="A321" t="inlineStr">
        <is>
          <t>siege_gun_105_he</t>
        </is>
      </c>
      <c r="B321" t="n">
        <v>2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1</v>
      </c>
      <c r="G321">
        <f>IF(Vu_khi!$S$321&gt;0,(Vu_khi!$S$321-1)*Vu_khi!$R$321+Vu_khi!$T$321,Vu_khi!$R$321+(Vu_khi!$P$321-1)*Vu_khi!$Q$321)</f>
        <v/>
      </c>
      <c r="H321" t="n">
        <v>6.571</v>
      </c>
      <c r="I321">
        <f>Vu_khi!$W$321*MAX(1,$E$321)</f>
        <v/>
      </c>
      <c r="J321" t="n">
        <v>303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46.11170293714807</v>
      </c>
      <c r="O321">
        <f>OR(Vu_khi!$AG$321,Vu_khi!$AB$321&gt;0,Vu_khi!$AH$321,Vu_khi!$M$321="Bomb",Vu_khi!$M$321="Drone")</f>
        <v/>
      </c>
      <c r="P321" t="b">
        <v>0</v>
      </c>
      <c r="Q321">
        <f>AND(NOT(Vu_khi!$AJ$321),OR(Vu_khi!$AC$321="Ground",Vu_khi!$AC$321="All"))</f>
        <v/>
      </c>
      <c r="R321" t="b">
        <v>1</v>
      </c>
      <c r="S321">
        <f>AND(NOT(Vu_khi!$AJ$321),OR(Vu_khi!$AC$321="Air",Vu_khi!$AC$321="All"))</f>
        <v/>
      </c>
      <c r="T321" t="b">
        <v>0</v>
      </c>
      <c r="U321">
        <f>INDEX(Bang_sat_thuong!$B$2:$B$7,MATCH(Vu_khi!$K$321,Bang_sat_thuong!$A$2:$A$7,0))</f>
        <v/>
      </c>
      <c r="V321" t="n">
        <v>1</v>
      </c>
      <c r="W321">
        <f>INDEX(Bang_sat_thuong!$C$2:$C$7,MATCH(Vu_khi!$K$321,Bang_sat_thuong!$A$2:$A$7,0))</f>
        <v/>
      </c>
      <c r="X321" t="n">
        <v>0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1.6</v>
      </c>
      <c r="AA321">
        <f>AND(Vu_khi!$K$321="Kinetic",NOT(Vu_khi!$AG$321))</f>
        <v/>
      </c>
      <c r="AB321" t="b">
        <v>0</v>
      </c>
      <c r="AC321">
        <f>IF(Vu_khi!$AG$321,INDEX(Bang_danh_noc!$C$2:$C$8,MIN(7,MAX(1,2-(Vu_khi!$L$321-0)+1))),INDEX(Bang_xuyen_giap!$C$2:$C$8,MIN(7,MAX(1,IF($O$321,MAX(1,2-(Vu_khi!$L$321-0)),2-(Vu_khi!$L$321-0))+1))))*IF($AA$321,INDEX(Bang_xuyen_qua!$C$2:$C$5,MIN(4,MAX(1,(Vu_khi!$L$321)-(0)-1))),1)</f>
        <v/>
      </c>
      <c r="AD321" t="n">
        <v>1.2</v>
      </c>
      <c r="AE321">
        <f>IF(Vu_khi!$AG$321,INDEX(Bang_danh_noc!$C$2:$C$8,MIN(7,MAX(1,2-(Vu_khi!$L$321-2)+1))),INDEX(Bang_xuyen_giap!$C$2:$C$8,MIN(7,MAX(1,IF($O$321,MAX(1,2-(Vu_khi!$L$321-2)),2-(Vu_khi!$L$321-2))+1))))*IF($AA$321,INDEX(Bang_xuyen_qua!$C$2:$C$5,MIN(4,MAX(1,(Vu_khi!$L$321)-(2)-1))),1)</f>
        <v/>
      </c>
      <c r="AF321" t="n">
        <v>0.85</v>
      </c>
      <c r="AG321">
        <f>IF(Vu_khi!$AG$321,INDEX(Bang_danh_noc!$C$2:$C$8,MIN(7,MAX(1,2-(Vu_khi!$L$321-4)+1))),INDEX(Bang_xuyen_giap!$C$2:$C$8,MIN(7,MAX(1,IF($O$321,MAX(1,2-(Vu_khi!$L$321-4)),2-(Vu_khi!$L$321-4))+1))))*IF($AA$321,INDEX(Bang_xuyen_qua!$C$2:$C$5,MIN(4,MAX(1,(Vu_khi!$L$321)-(4)-1))),1)</f>
        <v/>
      </c>
      <c r="AH321" t="n">
        <v>0.4</v>
      </c>
      <c r="AI321">
        <f>INDEX(Bang_xuyen_giap!$C$2:$C$8,MIN(7,MAX(1,MAX(1,2-(Vu_khi!$L$321-0))+1)))*IF($AA$321,INDEX(Bang_xuyen_qua!$C$2:$C$5,MIN(4,MAX(1,(Vu_khi!$L$321)-(0)-1))),1)</f>
        <v/>
      </c>
      <c r="AJ321" t="n">
        <v>1</v>
      </c>
      <c r="AK321">
        <f>IF($Q$321,$M$321*$AC$321*$U$321,0)</f>
        <v/>
      </c>
      <c r="AL321" t="n">
        <v>55.33404352457769</v>
      </c>
      <c r="AM321">
        <f>IF($Q$321,$M$321*$AE$321*$U$321,0)</f>
        <v/>
      </c>
      <c r="AN321" t="n">
        <v>39.19494749657586</v>
      </c>
      <c r="AO321">
        <f>IF($Q$321,$M$321*$AG$321*$U$321,0)</f>
        <v/>
      </c>
      <c r="AP321" t="n">
        <v>18.44468117485923</v>
      </c>
      <c r="AQ321">
        <f>IF($Q$321,$M$321*$AE$321*$Y$321,0)</f>
        <v/>
      </c>
      <c r="AR321" t="n">
        <v>62.71191599452138</v>
      </c>
      <c r="AS321">
        <f>IF($S$321,$M$321*$AI$321*$W$321,0)</f>
        <v/>
      </c>
      <c r="AT321" t="n">
        <v>0</v>
      </c>
      <c r="AU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V321" t="b">
        <v>0</v>
      </c>
      <c r="AW321">
        <f>IF(AND($B$321&lt;0,$AU$321),4,$B$321)</f>
        <v/>
      </c>
      <c r="AX321" t="n">
        <v>2</v>
      </c>
      <c r="AY321">
        <f>IF($AW$321&lt;4,0,MIN(MAX(0.5,Canh_bao_vong!$D$4),MAX(IF(Vu_khi!$C$321="cal_406",Canh_bao_vong!$D$7,IF($AW$321&gt;=5,Canh_bao_vong!$D$9,Canh_bao_vong!$D$8)),Canh_bao_vong!$D$2+MAX(0,Vu_khi!$X$321)/MAX(0.1,Canh_bao_vong!$D$5))))</f>
        <v/>
      </c>
      <c r="AZ321" t="n">
        <v>0</v>
      </c>
      <c r="BD321" t="n">
        <v>190</v>
      </c>
      <c r="BE321" t="n">
        <v>247</v>
      </c>
      <c r="BF321" t="n">
        <v>0.045</v>
      </c>
      <c r="BG321" t="n">
        <v>0.089</v>
      </c>
      <c r="BH321" t="n">
        <v>0.179</v>
      </c>
      <c r="BI321" t="n">
        <v>0.138</v>
      </c>
      <c r="BJ321" t="inlineStr">
        <is>
          <t>DIRECT_FAST</t>
        </is>
      </c>
      <c r="BK321" t="inlineStr">
        <is>
          <t>ok</t>
        </is>
      </c>
      <c r="BL321" t="inlineStr">
        <is>
          <t>family l7_105_mm_he</t>
        </is>
      </c>
      <c r="BM321" t="inlineStr"/>
      <c r="BN321" t="inlineStr">
        <is>
          <t>Assets/MachineBrigade/Resources/Data/balance.json: weapons[id=siege_gun_105_he] (lớp B trên 01_chien_dau/Vu_khi)</t>
        </is>
      </c>
      <c r="BO321" t="inlineStr"/>
    </row>
    <row r="322">
      <c r="A322" t="inlineStr">
        <is>
          <t>siege_mortar_240</t>
        </is>
      </c>
      <c r="B322" t="n">
        <v>4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1</v>
      </c>
      <c r="G322">
        <f>IF(Vu_khi!$S$322&gt;0,(Vu_khi!$S$322-1)*Vu_khi!$R$322+Vu_khi!$T$322,Vu_khi!$R$322+(Vu_khi!$P$322-1)*Vu_khi!$Q$322)</f>
        <v/>
      </c>
      <c r="H322" t="n">
        <v>10.884</v>
      </c>
      <c r="I322">
        <f>Vu_khi!$W$322*MAX(1,$E$322)</f>
        <v/>
      </c>
      <c r="J322" t="n">
        <v>643</v>
      </c>
      <c r="K322">
        <f>IF(Vu_khi!$V$322&gt;0,Vu_khi!$V$322,MIN(28,MAX(10,Vu_khi!$U$322*Vu_khi!$R$322*0.4)))</f>
        <v/>
      </c>
      <c r="L322" t="n">
        <v>28.57</v>
      </c>
      <c r="M322">
        <f>IF(Vu_khi!$W$322&lt;=0,0,IF(Vu_khi!$U$322&gt;0,$I$322*Vu_khi!$U$322/(MAX(0.05,$G$322)*Vu_khi!$U$322+$K$322),$I$322/MAX(0.05,$G$322)))</f>
        <v/>
      </c>
      <c r="N322" t="n">
        <v>46.79426533731169</v>
      </c>
      <c r="O322">
        <f>OR(Vu_khi!$AG$322,Vu_khi!$AB$322&gt;0,Vu_khi!$AH$322,Vu_khi!$M$322="Bomb",Vu_khi!$M$322="Drone")</f>
        <v/>
      </c>
      <c r="P322" t="b">
        <v>1</v>
      </c>
      <c r="Q322">
        <f>AND(NOT(Vu_khi!$AJ$322),OR(Vu_khi!$AC$322="Ground",Vu_khi!$AC$322="All"))</f>
        <v/>
      </c>
      <c r="R322" t="b">
        <v>1</v>
      </c>
      <c r="S322">
        <f>AND(NOT(Vu_khi!$AJ$322),OR(Vu_khi!$AC$322="Air",Vu_khi!$AC$322="All"))</f>
        <v/>
      </c>
      <c r="T322" t="b">
        <v>0</v>
      </c>
      <c r="U322">
        <f>INDEX(Bang_sat_thuong!$B$2:$B$7,MATCH(Vu_khi!$K$322,Bang_sat_thuong!$A$2:$A$7,0))</f>
        <v/>
      </c>
      <c r="V322" t="n">
        <v>1</v>
      </c>
      <c r="W322">
        <f>INDEX(Bang_sat_thuong!$C$2:$C$7,MATCH(Vu_khi!$K$322,Bang_sat_thuong!$A$2:$A$7,0))</f>
        <v/>
      </c>
      <c r="X322" t="n">
        <v>0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1.6</v>
      </c>
      <c r="AA322">
        <f>AND(Vu_khi!$K$322="Kinetic",NOT(Vu_khi!$AG$322))</f>
        <v/>
      </c>
      <c r="AB322" t="b">
        <v>0</v>
      </c>
      <c r="AC322">
        <f>IF(Vu_khi!$AG$322,INDEX(Bang_danh_noc!$C$2:$C$8,MIN(7,MAX(1,2-(Vu_khi!$L$322-0)+1))),INDEX(Bang_xuyen_giap!$C$2:$C$8,MIN(7,MAX(1,IF($O$322,MAX(1,2-(Vu_khi!$L$322-0)),2-(Vu_khi!$L$322-0))+1))))*IF($AA$322,INDEX(Bang_xuyen_qua!$C$2:$C$5,MIN(4,MAX(1,(Vu_khi!$L$322)-(0)-1))),1)</f>
        <v/>
      </c>
      <c r="AD322" t="n">
        <v>1</v>
      </c>
      <c r="AE322">
        <f>IF(Vu_khi!$AG$322,INDEX(Bang_danh_noc!$C$2:$C$8,MIN(7,MAX(1,2-(Vu_khi!$L$322-2)+1))),INDEX(Bang_xuyen_giap!$C$2:$C$8,MIN(7,MAX(1,IF($O$322,MAX(1,2-(Vu_khi!$L$322-2)),2-(Vu_khi!$L$322-2))+1))))*IF($AA$322,INDEX(Bang_xuyen_qua!$C$2:$C$5,MIN(4,MAX(1,(Vu_khi!$L$322)-(2)-1))),1)</f>
        <v/>
      </c>
      <c r="AF322" t="n">
        <v>1</v>
      </c>
      <c r="AG322">
        <f>IF(Vu_khi!$AG$322,INDEX(Bang_danh_noc!$C$2:$C$8,MIN(7,MAX(1,2-(Vu_khi!$L$322-4)+1))),INDEX(Bang_xuyen_giap!$C$2:$C$8,MIN(7,MAX(1,IF($O$322,MAX(1,2-(Vu_khi!$L$322-4)),2-(Vu_khi!$L$322-4))+1))))*IF($AA$322,INDEX(Bang_xuyen_qua!$C$2:$C$5,MIN(4,MAX(1,(Vu_khi!$L$322)-(4)-1))),1)</f>
        <v/>
      </c>
      <c r="AH322" t="n">
        <v>0.85</v>
      </c>
      <c r="AI322">
        <f>INDEX(Bang_xuyen_giap!$C$2:$C$8,MIN(7,MAX(1,MAX(1,2-(Vu_khi!$L$322-0))+1)))*IF($AA$322,INDEX(Bang_xuyen_qua!$C$2:$C$5,MIN(4,MAX(1,(Vu_khi!$L$322)-(0)-1))),1)</f>
        <v/>
      </c>
      <c r="AJ322" t="n">
        <v>1</v>
      </c>
      <c r="AK322">
        <f>IF($Q$322,$M$322*$AC$322*$U$322,0)</f>
        <v/>
      </c>
      <c r="AL322" t="n">
        <v>46.79426533731169</v>
      </c>
      <c r="AM322">
        <f>IF($Q$322,$M$322*$AE$322*$U$322,0)</f>
        <v/>
      </c>
      <c r="AN322" t="n">
        <v>46.79426533731169</v>
      </c>
      <c r="AO322">
        <f>IF($Q$322,$M$322*$AG$322*$U$322,0)</f>
        <v/>
      </c>
      <c r="AP322" t="n">
        <v>39.77512553671494</v>
      </c>
      <c r="AQ322">
        <f>IF($Q$322,$M$322*$AE$322*$Y$322,0)</f>
        <v/>
      </c>
      <c r="AR322" t="n">
        <v>74.87082453969872</v>
      </c>
      <c r="AS322">
        <f>IF($S$322,$M$322*$AI$322*$W$322,0)</f>
        <v/>
      </c>
      <c r="AT322" t="n">
        <v>0</v>
      </c>
      <c r="AU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V322" t="b">
        <v>1</v>
      </c>
      <c r="AW322">
        <f>IF(AND($B$322&lt;0,$AU$322),4,$B$322)</f>
        <v/>
      </c>
      <c r="AX322" t="n">
        <v>4</v>
      </c>
      <c r="AY322">
        <f>IF($AW$322&lt;4,0,MIN(MAX(0.5,Canh_bao_vong!$D$4),MAX(IF(Vu_khi!$C$322="cal_406",Canh_bao_vong!$D$7,IF($AW$322&gt;=5,Canh_bao_vong!$D$9,Canh_bao_vong!$D$8)),Canh_bao_vong!$D$2+MAX(0,Vu_khi!$X$322)/MAX(0.1,Canh_bao_vong!$D$5))))</f>
        <v/>
      </c>
      <c r="AZ322" t="n">
        <v>2.5</v>
      </c>
      <c r="BA322" t="n">
        <v>0.160312</v>
      </c>
      <c r="BB322" t="inlineStr">
        <is>
          <t>NHANH_QUA;LECH_DOT_1</t>
        </is>
      </c>
      <c r="BC322" t="inlineStr"/>
      <c r="BD322" t="n">
        <v>40</v>
      </c>
      <c r="BE322" t="n">
        <v>52</v>
      </c>
      <c r="BF322" t="n">
        <v>0.4</v>
      </c>
      <c r="BG322" t="n">
        <v>0.875</v>
      </c>
      <c r="BH322" t="n">
        <v>1.75</v>
      </c>
      <c r="BI322" t="n">
        <v>1.346</v>
      </c>
      <c r="BJ322" t="inlineStr">
        <is>
          <t>MORTAR</t>
        </is>
      </c>
      <c r="BK322" t="inlineStr">
        <is>
          <t>ok</t>
        </is>
      </c>
      <c r="BL322" t="inlineStr">
        <is>
          <t>family 2b8_240_mm</t>
        </is>
      </c>
      <c r="BM322" t="inlineStr"/>
      <c r="BN322" t="inlineStr">
        <is>
          <t>Assets/MachineBrigade/Resources/Data/balance.json: weapons[id=siege_mortar_240] (lớp B trên 01_chien_dau/Vu_khi)</t>
        </is>
      </c>
      <c r="BO322" t="inlineStr"/>
    </row>
    <row r="323">
      <c r="A323" t="inlineStr">
        <is>
          <t>spg9_73mm</t>
        </is>
      </c>
      <c r="B323" t="n">
        <v>2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1</v>
      </c>
      <c r="G323">
        <f>IF(Vu_khi!$S$323&gt;0,(Vu_khi!$S$323-1)*Vu_khi!$R$323+Vu_khi!$T$323,Vu_khi!$R$323+(Vu_khi!$P$323-1)*Vu_khi!$Q$323)</f>
        <v/>
      </c>
      <c r="H323" t="n">
        <v>9.529</v>
      </c>
      <c r="I323">
        <f>Vu_khi!$W$323*MAX(1,$E$323)</f>
        <v/>
      </c>
      <c r="J323" t="n">
        <v>257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26.97030118585371</v>
      </c>
      <c r="O323">
        <f>OR(Vu_khi!$AG$323,Vu_khi!$AB$323&gt;0,Vu_khi!$AH$323,Vu_khi!$M$323="Bomb",Vu_khi!$M$323="Drone")</f>
        <v/>
      </c>
      <c r="P323" t="b">
        <v>0</v>
      </c>
      <c r="Q323">
        <f>AND(NOT(Vu_khi!$AJ$323),OR(Vu_khi!$AC$323="Ground",Vu_khi!$AC$323="All"))</f>
        <v/>
      </c>
      <c r="R323" t="b">
        <v>1</v>
      </c>
      <c r="S323">
        <f>AND(NOT(Vu_khi!$AJ$323),OR(Vu_khi!$AC$323="Air",Vu_khi!$AC$323="All"))</f>
        <v/>
      </c>
      <c r="T323" t="b">
        <v>1</v>
      </c>
      <c r="U323">
        <f>INDEX(Bang_sat_thuong!$B$2:$B$7,MATCH(Vu_khi!$K$323,Bang_sat_thuong!$A$2:$A$7,0))</f>
        <v/>
      </c>
      <c r="V323" t="n">
        <v>1.3</v>
      </c>
      <c r="W323">
        <f>INDEX(Bang_sat_thuong!$C$2:$C$7,MATCH(Vu_khi!$K$323,Bang_sat_thuong!$A$2:$A$7,0))</f>
        <v/>
      </c>
      <c r="X323" t="n">
        <v>0.2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0.45</v>
      </c>
      <c r="AA323">
        <f>AND(Vu_khi!$K$323="Kinetic",NOT(Vu_khi!$AG$323))</f>
        <v/>
      </c>
      <c r="AB323" t="b">
        <v>0</v>
      </c>
      <c r="AC323">
        <f>IF(Vu_khi!$AG$323,INDEX(Bang_danh_noc!$C$2:$C$8,MIN(7,MAX(1,2-(Vu_khi!$L$323-0)+1))),INDEX(Bang_xuyen_giap!$C$2:$C$8,MIN(7,MAX(1,IF($O$323,MAX(1,2-(Vu_khi!$L$323-0)),2-(Vu_khi!$L$323-0))+1))))*IF($AA$323,INDEX(Bang_xuyen_qua!$C$2:$C$5,MIN(4,MAX(1,(Vu_khi!$L$323)-(0)-1))),1)</f>
        <v/>
      </c>
      <c r="AD323" t="n">
        <v>1.2</v>
      </c>
      <c r="AE323">
        <f>IF(Vu_khi!$AG$323,INDEX(Bang_danh_noc!$C$2:$C$8,MIN(7,MAX(1,2-(Vu_khi!$L$323-2)+1))),INDEX(Bang_xuyen_giap!$C$2:$C$8,MIN(7,MAX(1,IF($O$323,MAX(1,2-(Vu_khi!$L$323-2)),2-(Vu_khi!$L$323-2))+1))))*IF($AA$323,INDEX(Bang_xuyen_qua!$C$2:$C$5,MIN(4,MAX(1,(Vu_khi!$L$323)-(2)-1))),1)</f>
        <v/>
      </c>
      <c r="AF323" t="n">
        <v>1</v>
      </c>
      <c r="AG323">
        <f>IF(Vu_khi!$AG$323,INDEX(Bang_danh_noc!$C$2:$C$8,MIN(7,MAX(1,2-(Vu_khi!$L$323-4)+1))),INDEX(Bang_xuyen_giap!$C$2:$C$8,MIN(7,MAX(1,IF($O$323,MAX(1,2-(Vu_khi!$L$323-4)),2-(Vu_khi!$L$323-4))+1))))*IF($AA$323,INDEX(Bang_xuyen_qua!$C$2:$C$5,MIN(4,MAX(1,(Vu_khi!$L$323)-(4)-1))),1)</f>
        <v/>
      </c>
      <c r="AH323" t="n">
        <v>0.65</v>
      </c>
      <c r="AI323">
        <f>INDEX(Bang_xuyen_giap!$C$2:$C$8,MIN(7,MAX(1,MAX(1,2-(Vu_khi!$L$323-0))+1)))*IF($AA$323,INDEX(Bang_xuyen_qua!$C$2:$C$5,MIN(4,MAX(1,(Vu_khi!$L$323)-(0)-1))),1)</f>
        <v/>
      </c>
      <c r="AJ323" t="n">
        <v>1</v>
      </c>
      <c r="AK323">
        <f>IF($Q$323,$M$323*$AC$323*$U$323,0)</f>
        <v/>
      </c>
      <c r="AL323" t="n">
        <v>42.07366984993179</v>
      </c>
      <c r="AM323">
        <f>IF($Q$323,$M$323*$AE$323*$U$323,0)</f>
        <v/>
      </c>
      <c r="AN323" t="n">
        <v>35.06139154160982</v>
      </c>
      <c r="AO323">
        <f>IF($Q$323,$M$323*$AG$323*$U$323,0)</f>
        <v/>
      </c>
      <c r="AP323" t="n">
        <v>22.78990450204639</v>
      </c>
      <c r="AQ323">
        <f>IF($Q$323,$M$323*$AE$323*$Y$323,0)</f>
        <v/>
      </c>
      <c r="AR323" t="n">
        <v>12.13663553363417</v>
      </c>
      <c r="AS323">
        <f>IF($S$323,$M$323*$AI$323*$W$323,0)</f>
        <v/>
      </c>
      <c r="AT323" t="n">
        <v>5.394060237170742</v>
      </c>
      <c r="AU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V323" t="b">
        <v>0</v>
      </c>
      <c r="AW323">
        <f>IF(AND($B$323&lt;0,$AU$323),4,$B$323)</f>
        <v/>
      </c>
      <c r="AX323" t="n">
        <v>2</v>
      </c>
      <c r="AY323">
        <f>IF($AW$323&lt;4,0,MIN(MAX(0.5,Canh_bao_vong!$D$4),MAX(IF(Vu_khi!$C$323="cal_406",Canh_bao_vong!$D$7,IF($AW$323&gt;=5,Canh_bao_vong!$D$9,Canh_bao_vong!$D$8)),Canh_bao_vong!$D$2+MAX(0,Vu_khi!$X$323)/MAX(0.1,Canh_bao_vong!$D$5))))</f>
        <v/>
      </c>
      <c r="AZ323" t="n">
        <v>0</v>
      </c>
      <c r="BA323" t="n">
        <v>0.66703</v>
      </c>
      <c r="BB323" t="inlineStr">
        <is>
          <t>ok</t>
        </is>
      </c>
      <c r="BC323" t="inlineStr"/>
      <c r="BD323" t="n">
        <v>120</v>
      </c>
      <c r="BE323" t="n">
        <v>156</v>
      </c>
      <c r="BF323" t="n">
        <v>0.058</v>
      </c>
      <c r="BG323" t="n">
        <v>0.117</v>
      </c>
      <c r="BH323" t="n">
        <v>0.233</v>
      </c>
      <c r="BI323" t="n">
        <v>0.179</v>
      </c>
      <c r="BJ323" t="inlineStr">
        <is>
          <t>DIRECT_FAST</t>
        </is>
      </c>
      <c r="BK323" t="inlineStr">
        <is>
          <t>ok</t>
        </is>
      </c>
      <c r="BL323" t="inlineStr">
        <is>
          <t>own line</t>
        </is>
      </c>
      <c r="BM323" t="inlineStr"/>
      <c r="BN323" t="inlineStr">
        <is>
          <t>Assets/MachineBrigade/Resources/Data/balance.json: weapons[id=spg9_73mm] (lớp B trên 01_chien_dau/Vu_khi)</t>
        </is>
      </c>
      <c r="BO323" t="inlineStr"/>
    </row>
    <row r="324">
      <c r="A324" t="inlineStr">
        <is>
          <t>stealth_payload</t>
        </is>
      </c>
      <c r="B324" t="n">
        <v>4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2</v>
      </c>
      <c r="G324">
        <f>IF(Vu_khi!$S$324&gt;0,(Vu_khi!$S$324-1)*Vu_khi!$R$324+Vu_khi!$T$324,Vu_khi!$R$324+(Vu_khi!$P$324-1)*Vu_khi!$Q$324)</f>
        <v/>
      </c>
      <c r="H324" t="n">
        <v>14.3</v>
      </c>
      <c r="I324">
        <f>Vu_khi!$W$324*MAX(1,$E$324)</f>
        <v/>
      </c>
      <c r="J324" t="n">
        <v>1784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124.7552447552447</v>
      </c>
      <c r="O324">
        <f>OR(Vu_khi!$AG$324,Vu_khi!$AB$324&gt;0,Vu_khi!$AH$324,Vu_khi!$M$324="Bomb",Vu_khi!$M$324="Drone")</f>
        <v/>
      </c>
      <c r="P324" t="b">
        <v>1</v>
      </c>
      <c r="Q324">
        <f>AND(NOT(Vu_khi!$AJ$324),OR(Vu_khi!$AC$324="Ground",Vu_khi!$AC$324="All"))</f>
        <v/>
      </c>
      <c r="R324" t="b">
        <v>1</v>
      </c>
      <c r="S324">
        <f>AND(NOT(Vu_khi!$AJ$324),OR(Vu_khi!$AC$324="Air",Vu_khi!$AC$324="All"))</f>
        <v/>
      </c>
      <c r="T324" t="b">
        <v>0</v>
      </c>
      <c r="U324">
        <f>INDEX(Bang_sat_thuong!$B$2:$B$7,MATCH(Vu_khi!$K$324,Bang_sat_thuong!$A$2:$A$7,0))</f>
        <v/>
      </c>
      <c r="V324" t="n">
        <v>1</v>
      </c>
      <c r="W324">
        <f>INDEX(Bang_sat_thuong!$C$2:$C$7,MATCH(Vu_khi!$K$324,Bang_sat_thuong!$A$2:$A$7,0))</f>
        <v/>
      </c>
      <c r="X324" t="n">
        <v>0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1.6</v>
      </c>
      <c r="AA324">
        <f>AND(Vu_khi!$K$324="Kinetic",NOT(Vu_khi!$AG$324))</f>
        <v/>
      </c>
      <c r="AB324" t="b">
        <v>0</v>
      </c>
      <c r="AC324">
        <f>IF(Vu_khi!$AG$324,INDEX(Bang_danh_noc!$C$2:$C$8,MIN(7,MAX(1,2-(Vu_khi!$L$324-0)+1))),INDEX(Bang_xuyen_giap!$C$2:$C$8,MIN(7,MAX(1,IF($O$324,MAX(1,2-(Vu_khi!$L$324-0)),2-(Vu_khi!$L$324-0))+1))))*IF($AA$324,INDEX(Bang_xuyen_qua!$C$2:$C$5,MIN(4,MAX(1,(Vu_khi!$L$324)-(0)-1))),1)</f>
        <v/>
      </c>
      <c r="AD324" t="n">
        <v>1.15</v>
      </c>
      <c r="AE324">
        <f>IF(Vu_khi!$AG$324,INDEX(Bang_danh_noc!$C$2:$C$8,MIN(7,MAX(1,2-(Vu_khi!$L$324-2)+1))),INDEX(Bang_xuyen_giap!$C$2:$C$8,MIN(7,MAX(1,IF($O$324,MAX(1,2-(Vu_khi!$L$324-2)),2-(Vu_khi!$L$324-2))+1))))*IF($AA$324,INDEX(Bang_xuyen_qua!$C$2:$C$5,MIN(4,MAX(1,(Vu_khi!$L$324)-(2)-1))),1)</f>
        <v/>
      </c>
      <c r="AF324" t="n">
        <v>1.15</v>
      </c>
      <c r="AG324">
        <f>IF(Vu_khi!$AG$324,INDEX(Bang_danh_noc!$C$2:$C$8,MIN(7,MAX(1,2-(Vu_khi!$L$324-4)+1))),INDEX(Bang_xuyen_giap!$C$2:$C$8,MIN(7,MAX(1,IF($O$324,MAX(1,2-(Vu_khi!$L$324-4)),2-(Vu_khi!$L$324-4))+1))))*IF($AA$324,INDEX(Bang_xuyen_qua!$C$2:$C$5,MIN(4,MAX(1,(Vu_khi!$L$324)-(4)-1))),1)</f>
        <v/>
      </c>
      <c r="AH324" t="n">
        <v>0.95</v>
      </c>
      <c r="AI324">
        <f>INDEX(Bang_xuyen_giap!$C$2:$C$8,MIN(7,MAX(1,MAX(1,2-(Vu_khi!$L$324-0))+1)))*IF($AA$324,INDEX(Bang_xuyen_qua!$C$2:$C$5,MIN(4,MAX(1,(Vu_khi!$L$324)-(0)-1))),1)</f>
        <v/>
      </c>
      <c r="AJ324" t="n">
        <v>1</v>
      </c>
      <c r="AK324">
        <f>IF($Q$324,$M$324*$AC$324*$U$324,0)</f>
        <v/>
      </c>
      <c r="AL324" t="n">
        <v>143.4685314685314</v>
      </c>
      <c r="AM324">
        <f>IF($Q$324,$M$324*$AE$324*$U$324,0)</f>
        <v/>
      </c>
      <c r="AN324" t="n">
        <v>143.4685314685314</v>
      </c>
      <c r="AO324">
        <f>IF($Q$324,$M$324*$AG$324*$U$324,0)</f>
        <v/>
      </c>
      <c r="AP324" t="n">
        <v>118.5174825174825</v>
      </c>
      <c r="AQ324">
        <f>IF($Q$324,$M$324*$AE$324*$Y$324,0)</f>
        <v/>
      </c>
      <c r="AR324" t="n">
        <v>229.5496503496503</v>
      </c>
      <c r="AS324">
        <f>IF($S$324,$M$324*$AI$324*$W$324,0)</f>
        <v/>
      </c>
      <c r="AT324" t="n">
        <v>0</v>
      </c>
      <c r="AU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V324" t="b">
        <v>1</v>
      </c>
      <c r="AW324">
        <f>IF(AND($B$324&lt;0,$AU$324),4,$B$324)</f>
        <v/>
      </c>
      <c r="AX324" t="n">
        <v>4</v>
      </c>
      <c r="AY324">
        <f>IF($AW$324&lt;4,0,MIN(MAX(0.5,Canh_bao_vong!$D$4),MAX(IF(Vu_khi!$C$324="cal_406",Canh_bao_vong!$D$7,IF($AW$324&gt;=5,Canh_bao_vong!$D$9,Canh_bao_vong!$D$8)),Canh_bao_vong!$D$2+MAX(0,Vu_khi!$X$324)/MAX(0.1,Canh_bao_vong!$D$5))))</f>
        <v/>
      </c>
      <c r="AZ324" t="n">
        <v>3.388888888888889</v>
      </c>
      <c r="BA324" t="n">
        <v>3</v>
      </c>
      <c r="BB324" t="inlineStr">
        <is>
          <t>ok</t>
        </is>
      </c>
      <c r="BC324" t="inlineStr"/>
      <c r="BD324" t="n">
        <v>40</v>
      </c>
      <c r="BE324" t="n">
        <v>52</v>
      </c>
      <c r="BF324" t="n">
        <v>0.188</v>
      </c>
      <c r="BG324" t="n">
        <v>0.375</v>
      </c>
      <c r="BH324" t="n">
        <v>0.75</v>
      </c>
      <c r="BI324" t="n">
        <v>0.577</v>
      </c>
      <c r="BJ324" t="inlineStr">
        <is>
          <t>BOMB</t>
        </is>
      </c>
      <c r="BK324" t="inlineStr">
        <is>
          <t>ok</t>
        </is>
      </c>
      <c r="BL324" t="inlineStr">
        <is>
          <t>own line</t>
        </is>
      </c>
      <c r="BM324" t="inlineStr"/>
      <c r="BN324" t="inlineStr">
        <is>
          <t>Assets/MachineBrigade/Resources/Data/balance.json: weapons[id=stealth_payload] (lớp B trên 01_chien_dau/Vu_khi)</t>
        </is>
      </c>
      <c r="BO324" t="inlineStr"/>
    </row>
    <row r="325">
      <c r="A325" t="inlineStr">
        <is>
          <t>stinger_atas</t>
        </is>
      </c>
      <c r="B325" t="n">
        <v>2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1</v>
      </c>
      <c r="G325">
        <f>IF(Vu_khi!$S$325&gt;0,(Vu_khi!$S$325-1)*Vu_khi!$R$325+Vu_khi!$T$325,Vu_khi!$R$325+(Vu_khi!$P$325-1)*Vu_khi!$Q$325)</f>
        <v/>
      </c>
      <c r="H325" t="n">
        <v>9.07</v>
      </c>
      <c r="I325">
        <f>Vu_khi!$W$325*MAX(1,$E$325)</f>
        <v/>
      </c>
      <c r="J325" t="n">
        <v>178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19.62513781697905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0</v>
      </c>
      <c r="S325">
        <f>AND(NOT(Vu_khi!$AJ$325),OR(Vu_khi!$AC$325="Air",Vu_khi!$AC$325="All"))</f>
        <v/>
      </c>
      <c r="T325" t="b">
        <v>1</v>
      </c>
      <c r="U325">
        <f>INDEX(Bang_sat_thuong!$B$2:$B$7,MATCH(Vu_khi!$K$325,Bang_sat_thuong!$A$2:$A$7,0))</f>
        <v/>
      </c>
      <c r="V325" t="n">
        <v>0.45</v>
      </c>
      <c r="W325">
        <f>INDEX(Bang_sat_thuong!$C$2:$C$7,MATCH(Vu_khi!$K$325,Bang_sat_thuong!$A$2:$A$7,0))</f>
        <v/>
      </c>
      <c r="X325" t="n">
        <v>1.35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0.1</v>
      </c>
      <c r="AA325">
        <f>AND(Vu_khi!$K$325="Kinetic",NOT(Vu_khi!$AG$325))</f>
        <v/>
      </c>
      <c r="AB325" t="b">
        <v>0</v>
      </c>
      <c r="AC325">
        <f>IF(Vu_khi!$AG$325,INDEX(Bang_danh_noc!$C$2:$C$8,MIN(7,MAX(1,2-(Vu_khi!$L$325-0)+1))),INDEX(Bang_xuyen_giap!$C$2:$C$8,MIN(7,MAX(1,IF($O$325,MAX(1,2-(Vu_khi!$L$325-0)),2-(Vu_khi!$L$325-0))+1))))*IF($AA$325,INDEX(Bang_xuyen_qua!$C$2:$C$5,MIN(4,MAX(1,(Vu_khi!$L$325)-(0)-1))),1)</f>
        <v/>
      </c>
      <c r="AD325" t="n">
        <v>1.2</v>
      </c>
      <c r="AE325">
        <f>IF(Vu_khi!$AG$325,INDEX(Bang_danh_noc!$C$2:$C$8,MIN(7,MAX(1,2-(Vu_khi!$L$325-2)+1))),INDEX(Bang_xuyen_giap!$C$2:$C$8,MIN(7,MAX(1,IF($O$325,MAX(1,2-(Vu_khi!$L$325-2)),2-(Vu_khi!$L$325-2))+1))))*IF($AA$325,INDEX(Bang_xuyen_qua!$C$2:$C$5,MIN(4,MAX(1,(Vu_khi!$L$325)-(2)-1))),1)</f>
        <v/>
      </c>
      <c r="AF325" t="n">
        <v>0.85</v>
      </c>
      <c r="AG325">
        <f>IF(Vu_khi!$AG$325,INDEX(Bang_danh_noc!$C$2:$C$8,MIN(7,MAX(1,2-(Vu_khi!$L$325-4)+1))),INDEX(Bang_xuyen_giap!$C$2:$C$8,MIN(7,MAX(1,IF($O$325,MAX(1,2-(Vu_khi!$L$325-4)),2-(Vu_khi!$L$325-4))+1))))*IF($AA$325,INDEX(Bang_xuyen_qua!$C$2:$C$5,MIN(4,MAX(1,(Vu_khi!$L$325)-(4)-1))),1)</f>
        <v/>
      </c>
      <c r="AH325" t="n">
        <v>0.4</v>
      </c>
      <c r="AI325">
        <f>INDEX(Bang_xuyen_giap!$C$2:$C$8,MIN(7,MAX(1,MAX(1,2-(Vu_khi!$L$325-0))+1)))*IF($AA$325,INDEX(Bang_xuyen_qua!$C$2:$C$5,MIN(4,MAX(1,(Vu_khi!$L$325)-(0)-1))),1)</f>
        <v/>
      </c>
      <c r="AJ325" t="n">
        <v>1</v>
      </c>
      <c r="AK325">
        <f>IF($Q$325,$M$325*$AC$325*$U$325,0)</f>
        <v/>
      </c>
      <c r="AL325" t="n">
        <v>0</v>
      </c>
      <c r="AM325">
        <f>IF($Q$325,$M$325*$AE$325*$U$325,0)</f>
        <v/>
      </c>
      <c r="AN325" t="n">
        <v>0</v>
      </c>
      <c r="AO325">
        <f>IF($Q$325,$M$325*$AG$325*$U$325,0)</f>
        <v/>
      </c>
      <c r="AP325" t="n">
        <v>0</v>
      </c>
      <c r="AQ325">
        <f>IF($Q$325,$M$325*$AE$325*$Y$325,0)</f>
        <v/>
      </c>
      <c r="AR325" t="n">
        <v>0</v>
      </c>
      <c r="AS325">
        <f>IF($S$325,$M$325*$AI$325*$W$325,0)</f>
        <v/>
      </c>
      <c r="AT325" t="n">
        <v>26.49393605292172</v>
      </c>
      <c r="AU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V325" t="b">
        <v>0</v>
      </c>
      <c r="AW325">
        <f>IF(AND($B$325&lt;0,$AU$325),4,$B$325)</f>
        <v/>
      </c>
      <c r="AX325" t="n">
        <v>2</v>
      </c>
      <c r="AY325">
        <f>IF($AW$325&lt;4,0,MIN(MAX(0.5,Canh_bao_vong!$D$4),MAX(IF(Vu_khi!$C$325="cal_406",Canh_bao_vong!$D$7,IF($AW$325&gt;=5,Canh_bao_vong!$D$9,Canh_bao_vong!$D$8)),Canh_bao_vong!$D$2+MAX(0,Vu_khi!$X$325)/MAX(0.1,Canh_bao_vong!$D$5))))</f>
        <v/>
      </c>
      <c r="AZ325" t="n">
        <v>0</v>
      </c>
      <c r="BA325" t="inlineStr"/>
      <c r="BB325" t="inlineStr">
        <is>
          <t>ok</t>
        </is>
      </c>
      <c r="BC325" t="inlineStr"/>
      <c r="BD325" t="n">
        <v>105</v>
      </c>
      <c r="BE325" t="n">
        <v>136.5</v>
      </c>
      <c r="BF325" t="n">
        <v>0.07099999999999999</v>
      </c>
      <c r="BG325" t="n">
        <v>0.143</v>
      </c>
      <c r="BH325" t="n">
        <v>0.286</v>
      </c>
      <c r="BI325" t="n">
        <v>0.22</v>
      </c>
      <c r="BJ325" t="inlineStr">
        <is>
          <t>AIR_DEFENCE_MISSILE</t>
        </is>
      </c>
      <c r="BK325" t="inlineStr">
        <is>
          <t>ok</t>
        </is>
      </c>
      <c r="BL325" t="inlineStr">
        <is>
          <t>own line</t>
        </is>
      </c>
      <c r="BM325" t="inlineStr"/>
      <c r="BN325" t="inlineStr">
        <is>
          <t>Assets/MachineBrigade/Resources/Data/balance.json: weapons[id=stinger_atas] (lớp B trên 01_chien_dau/Vu_khi)</t>
        </is>
      </c>
      <c r="BO325" t="inlineStr"/>
    </row>
    <row r="326">
      <c r="A326" t="inlineStr">
        <is>
          <t>stinger_post</t>
        </is>
      </c>
      <c r="B326" t="n">
        <v>2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1</v>
      </c>
      <c r="G326">
        <f>IF(Vu_khi!$S$326&gt;0,(Vu_khi!$S$326-1)*Vu_khi!$R$326+Vu_khi!$T$326,Vu_khi!$R$326+(Vu_khi!$P$326-1)*Vu_khi!$Q$326)</f>
        <v/>
      </c>
      <c r="H326" t="n">
        <v>4.452</v>
      </c>
      <c r="I326">
        <f>Vu_khi!$W$326*MAX(1,$E$326)</f>
        <v/>
      </c>
      <c r="J326" t="n">
        <v>170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38.18508535489668</v>
      </c>
      <c r="O326">
        <f>OR(Vu_khi!$AG$326,Vu_khi!$AB$326&gt;0,Vu_khi!$AH$326,Vu_khi!$M$326="Bomb",Vu_khi!$M$326="Drone")</f>
        <v/>
      </c>
      <c r="P326" t="b">
        <v>0</v>
      </c>
      <c r="Q326">
        <f>AND(NOT(Vu_khi!$AJ$326),OR(Vu_khi!$AC$326="Ground",Vu_khi!$AC$326="All"))</f>
        <v/>
      </c>
      <c r="R326" t="b">
        <v>0</v>
      </c>
      <c r="S326">
        <f>AND(NOT(Vu_khi!$AJ$326),OR(Vu_khi!$AC$326="Air",Vu_khi!$AC$326="All"))</f>
        <v/>
      </c>
      <c r="T326" t="b">
        <v>1</v>
      </c>
      <c r="U326">
        <f>INDEX(Bang_sat_thuong!$B$2:$B$7,MATCH(Vu_khi!$K$326,Bang_sat_thuong!$A$2:$A$7,0))</f>
        <v/>
      </c>
      <c r="V326" t="n">
        <v>0.45</v>
      </c>
      <c r="W326">
        <f>INDEX(Bang_sat_thuong!$C$2:$C$7,MATCH(Vu_khi!$K$326,Bang_sat_thuong!$A$2:$A$7,0))</f>
        <v/>
      </c>
      <c r="X326" t="n">
        <v>1.35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0.1</v>
      </c>
      <c r="AA326">
        <f>AND(Vu_khi!$K$326="Kinetic",NOT(Vu_khi!$AG$326))</f>
        <v/>
      </c>
      <c r="AB326" t="b">
        <v>0</v>
      </c>
      <c r="AC326">
        <f>IF(Vu_khi!$AG$326,INDEX(Bang_danh_noc!$C$2:$C$8,MIN(7,MAX(1,2-(Vu_khi!$L$326-0)+1))),INDEX(Bang_xuyen_giap!$C$2:$C$8,MIN(7,MAX(1,IF($O$326,MAX(1,2-(Vu_khi!$L$326-0)),2-(Vu_khi!$L$326-0))+1))))*IF($AA$326,INDEX(Bang_xuyen_qua!$C$2:$C$5,MIN(4,MAX(1,(Vu_khi!$L$326)-(0)-1))),1)</f>
        <v/>
      </c>
      <c r="AD326" t="n">
        <v>1.2</v>
      </c>
      <c r="AE326">
        <f>IF(Vu_khi!$AG$326,INDEX(Bang_danh_noc!$C$2:$C$8,MIN(7,MAX(1,2-(Vu_khi!$L$326-2)+1))),INDEX(Bang_xuyen_giap!$C$2:$C$8,MIN(7,MAX(1,IF($O$326,MAX(1,2-(Vu_khi!$L$326-2)),2-(Vu_khi!$L$326-2))+1))))*IF($AA$326,INDEX(Bang_xuyen_qua!$C$2:$C$5,MIN(4,MAX(1,(Vu_khi!$L$326)-(2)-1))),1)</f>
        <v/>
      </c>
      <c r="AF326" t="n">
        <v>0.85</v>
      </c>
      <c r="AG326">
        <f>IF(Vu_khi!$AG$326,INDEX(Bang_danh_noc!$C$2:$C$8,MIN(7,MAX(1,2-(Vu_khi!$L$326-4)+1))),INDEX(Bang_xuyen_giap!$C$2:$C$8,MIN(7,MAX(1,IF($O$326,MAX(1,2-(Vu_khi!$L$326-4)),2-(Vu_khi!$L$326-4))+1))))*IF($AA$326,INDEX(Bang_xuyen_qua!$C$2:$C$5,MIN(4,MAX(1,(Vu_khi!$L$326)-(4)-1))),1)</f>
        <v/>
      </c>
      <c r="AH326" t="n">
        <v>0.4</v>
      </c>
      <c r="AI326">
        <f>INDEX(Bang_xuyen_giap!$C$2:$C$8,MIN(7,MAX(1,MAX(1,2-(Vu_khi!$L$326-0))+1)))*IF($AA$326,INDEX(Bang_xuyen_qua!$C$2:$C$5,MIN(4,MAX(1,(Vu_khi!$L$326)-(0)-1))),1)</f>
        <v/>
      </c>
      <c r="AJ326" t="n">
        <v>1</v>
      </c>
      <c r="AK326">
        <f>IF($Q$326,$M$326*$AC$326*$U$326,0)</f>
        <v/>
      </c>
      <c r="AL326" t="n">
        <v>0</v>
      </c>
      <c r="AM326">
        <f>IF($Q$326,$M$326*$AE$326*$U$326,0)</f>
        <v/>
      </c>
      <c r="AN326" t="n">
        <v>0</v>
      </c>
      <c r="AO326">
        <f>IF($Q$326,$M$326*$AG$326*$U$326,0)</f>
        <v/>
      </c>
      <c r="AP326" t="n">
        <v>0</v>
      </c>
      <c r="AQ326">
        <f>IF($Q$326,$M$326*$AE$326*$Y$326,0)</f>
        <v/>
      </c>
      <c r="AR326" t="n">
        <v>0</v>
      </c>
      <c r="AS326">
        <f>IF($S$326,$M$326*$AI$326*$W$326,0)</f>
        <v/>
      </c>
      <c r="AT326" t="n">
        <v>51.54986522911052</v>
      </c>
      <c r="AU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V326" t="b">
        <v>0</v>
      </c>
      <c r="AW326">
        <f>IF(AND($B$326&lt;0,$AU$326),4,$B$326)</f>
        <v/>
      </c>
      <c r="AX326" t="n">
        <v>2</v>
      </c>
      <c r="AY326">
        <f>IF($AW$326&lt;4,0,MIN(MAX(0.5,Canh_bao_vong!$D$4),MAX(IF(Vu_khi!$C$326="cal_406",Canh_bao_vong!$D$7,IF($AW$326&gt;=5,Canh_bao_vong!$D$9,Canh_bao_vong!$D$8)),Canh_bao_vong!$D$2+MAX(0,Vu_khi!$X$326)/MAX(0.1,Canh_bao_vong!$D$5))))</f>
        <v/>
      </c>
      <c r="AZ326" t="n">
        <v>0</v>
      </c>
      <c r="BA326" t="n">
        <v>1.484</v>
      </c>
      <c r="BB326" t="inlineStr">
        <is>
          <t>ok</t>
        </is>
      </c>
      <c r="BC326" t="inlineStr"/>
      <c r="BD326" t="n">
        <v>105</v>
      </c>
      <c r="BE326" t="n">
        <v>136.5</v>
      </c>
      <c r="BF326" t="n">
        <v>0.133</v>
      </c>
      <c r="BG326" t="n">
        <v>0.267</v>
      </c>
      <c r="BH326" t="n">
        <v>0.533</v>
      </c>
      <c r="BI326" t="n">
        <v>0.41</v>
      </c>
      <c r="BJ326" t="inlineStr">
        <is>
          <t>AIR_DEFENCE_MISSILE</t>
        </is>
      </c>
      <c r="BK326" t="inlineStr">
        <is>
          <t>ok</t>
        </is>
      </c>
      <c r="BL326" t="inlineStr">
        <is>
          <t>own line (over sam)</t>
        </is>
      </c>
      <c r="BM326" t="inlineStr"/>
      <c r="BN326" t="inlineStr">
        <is>
          <t>Assets/MachineBrigade/Resources/Data/balance.json: weapons[id=stinger_post] (lớp B trên 01_chien_dau/Vu_khi)</t>
        </is>
      </c>
      <c r="BO326" t="inlineStr"/>
    </row>
    <row r="327">
      <c r="A327" t="inlineStr">
        <is>
          <t>swarm_drones</t>
        </is>
      </c>
      <c r="B327" t="n">
        <v>2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</v>
      </c>
      <c r="G327">
        <f>IF(Vu_khi!$S$327&gt;0,(Vu_khi!$S$327-1)*Vu_khi!$R$327+Vu_khi!$T$327,Vu_khi!$R$327+(Vu_khi!$P$327-1)*Vu_khi!$Q$327)</f>
        <v/>
      </c>
      <c r="H327" t="n">
        <v>3.3</v>
      </c>
      <c r="I327">
        <f>Vu_khi!$W$327*MAX(1,$E$327)</f>
        <v/>
      </c>
      <c r="J327" t="n">
        <v>140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42.42424242424243</v>
      </c>
      <c r="O327">
        <f>OR(Vu_khi!$AG$327,Vu_khi!$AB$327&gt;0,Vu_khi!$AH$327,Vu_khi!$M$327="Bomb",Vu_khi!$M$327="Drone")</f>
        <v/>
      </c>
      <c r="P327" t="b">
        <v>1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1.3</v>
      </c>
      <c r="W327">
        <f>INDEX(Bang_sat_thuong!$C$2:$C$7,MATCH(Vu_khi!$K$327,Bang_sat_thuong!$A$2:$A$7,0))</f>
        <v/>
      </c>
      <c r="X327" t="n">
        <v>0.2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0.45</v>
      </c>
      <c r="AA327">
        <f>AND(Vu_khi!$K$327="Kinetic",NOT(Vu_khi!$AG$327))</f>
        <v/>
      </c>
      <c r="AB327" t="b">
        <v>0</v>
      </c>
      <c r="AC327">
        <f>IF(Vu_khi!$AG$327,INDEX(Bang_danh_noc!$C$2:$C$8,MIN(7,MAX(1,2-(Vu_khi!$L$327-0)+1))),INDEX(Bang_xuyen_giap!$C$2:$C$8,MIN(7,MAX(1,IF($O$327,MAX(1,2-(Vu_khi!$L$327-0)),2-(Vu_khi!$L$327-0))+1))))*IF($AA$327,INDEX(Bang_xuyen_qua!$C$2:$C$5,MIN(4,MAX(1,(Vu_khi!$L$327)-(0)-1))),1)</f>
        <v/>
      </c>
      <c r="AD327" t="n">
        <v>1.15</v>
      </c>
      <c r="AE327">
        <f>IF(Vu_khi!$AG$327,INDEX(Bang_danh_noc!$C$2:$C$8,MIN(7,MAX(1,2-(Vu_khi!$L$327-2)+1))),INDEX(Bang_xuyen_giap!$C$2:$C$8,MIN(7,MAX(1,IF($O$327,MAX(1,2-(Vu_khi!$L$327-2)),2-(Vu_khi!$L$327-2))+1))))*IF($AA$327,INDEX(Bang_xuyen_qua!$C$2:$C$5,MIN(4,MAX(1,(Vu_khi!$L$327)-(2)-1))),1)</f>
        <v/>
      </c>
      <c r="AF327" t="n">
        <v>1.1</v>
      </c>
      <c r="AG327">
        <f>IF(Vu_khi!$AG$327,INDEX(Bang_danh_noc!$C$2:$C$8,MIN(7,MAX(1,2-(Vu_khi!$L$327-4)+1))),INDEX(Bang_xuyen_giap!$C$2:$C$8,MIN(7,MAX(1,IF($O$327,MAX(1,2-(Vu_khi!$L$327-4)),2-(Vu_khi!$L$327-4))+1))))*IF($AA$327,INDEX(Bang_xuyen_qua!$C$2:$C$5,MIN(4,MAX(1,(Vu_khi!$L$327)-(4)-1))),1)</f>
        <v/>
      </c>
      <c r="AH327" t="n">
        <v>0.75</v>
      </c>
      <c r="AI327">
        <f>INDEX(Bang_xuyen_giap!$C$2:$C$8,MIN(7,MAX(1,MAX(1,2-(Vu_khi!$L$327-0))+1)))*IF($AA$327,INDEX(Bang_xuyen_qua!$C$2:$C$5,MIN(4,MAX(1,(Vu_khi!$L$327)-(0)-1))),1)</f>
        <v/>
      </c>
      <c r="AJ327" t="n">
        <v>1</v>
      </c>
      <c r="AK327">
        <f>IF($Q$327,$M$327*$AC$327*$U$327,0)</f>
        <v/>
      </c>
      <c r="AL327" t="n">
        <v>63.42424242424243</v>
      </c>
      <c r="AM327">
        <f>IF($Q$327,$M$327*$AE$327*$U$327,0)</f>
        <v/>
      </c>
      <c r="AN327" t="n">
        <v>60.66666666666668</v>
      </c>
      <c r="AO327">
        <f>IF($Q$327,$M$327*$AG$327*$U$327,0)</f>
        <v/>
      </c>
      <c r="AP327" t="n">
        <v>41.36363636363637</v>
      </c>
      <c r="AQ327">
        <f>IF($Q$327,$M$327*$AE$327*$Y$327,0)</f>
        <v/>
      </c>
      <c r="AR327" t="n">
        <v>21</v>
      </c>
      <c r="AS327">
        <f>IF($S$327,$M$327*$AI$327*$W$327,0)</f>
        <v/>
      </c>
      <c r="AT327" t="n">
        <v>0</v>
      </c>
      <c r="AU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V327" t="b">
        <v>0</v>
      </c>
      <c r="AW327">
        <f>IF(AND($B$327&lt;0,$AU$327),4,$B$327)</f>
        <v/>
      </c>
      <c r="AX327" t="n">
        <v>2</v>
      </c>
      <c r="AY327">
        <f>IF($AW$327&lt;4,0,MIN(MAX(0.5,Canh_bao_vong!$D$4),MAX(IF(Vu_khi!$C$327="cal_406",Canh_bao_vong!$D$7,IF($AW$327&gt;=5,Canh_bao_vong!$D$9,Canh_bao_vong!$D$8)),Canh_bao_vong!$D$2+MAX(0,Vu_khi!$X$327)/MAX(0.1,Canh_bao_vong!$D$5))))</f>
        <v/>
      </c>
      <c r="AZ327" t="n">
        <v>0</v>
      </c>
      <c r="BA327" t="inlineStr"/>
      <c r="BB327" t="inlineStr">
        <is>
          <t>ok</t>
        </is>
      </c>
      <c r="BC327" t="inlineStr"/>
      <c r="BD327" t="n">
        <v>26</v>
      </c>
      <c r="BE327" t="n">
        <v>33.8</v>
      </c>
      <c r="BF327" t="n">
        <v>0.577</v>
      </c>
      <c r="BG327" t="n">
        <v>1.154</v>
      </c>
      <c r="BH327" t="n">
        <v>2.308</v>
      </c>
      <c r="BI327" t="n">
        <v>1.775</v>
      </c>
      <c r="BJ327" t="inlineStr">
        <is>
          <t>DRONE</t>
        </is>
      </c>
      <c r="BK327" t="inlineStr">
        <is>
          <t>ok</t>
        </is>
      </c>
      <c r="BL327" t="inlineStr">
        <is>
          <t>family fpv_drone</t>
        </is>
      </c>
      <c r="BM327" t="inlineStr"/>
      <c r="BN327" t="inlineStr">
        <is>
          <t>Assets/MachineBrigade/Resources/Data/balance.json: weapons[id=swarm_drones] (lớp B trên 01_chien_dau/Vu_khi)</t>
        </is>
      </c>
      <c r="BO327" t="inlineStr"/>
    </row>
    <row r="328">
      <c r="A328" t="inlineStr">
        <is>
          <t>tamir</t>
        </is>
      </c>
      <c r="B328" t="n">
        <v>2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1</v>
      </c>
      <c r="G328">
        <f>IF(Vu_khi!$S$328&gt;0,(Vu_khi!$S$328-1)*Vu_khi!$R$328+Vu_khi!$T$328,Vu_khi!$R$328+(Vu_khi!$P$328-1)*Vu_khi!$Q$328)</f>
        <v/>
      </c>
      <c r="H328" t="n">
        <v>3.5</v>
      </c>
      <c r="I328">
        <f>Vu_khi!$W$328*MAX(1,$E$328)</f>
        <v/>
      </c>
      <c r="J328" t="n">
        <v>110</v>
      </c>
      <c r="K328">
        <f>IF(Vu_khi!$V$328&gt;0,Vu_khi!$V$328,MIN(28,MAX(10,Vu_khi!$U$328*Vu_khi!$R$328*0.4)))</f>
        <v/>
      </c>
      <c r="L328" t="n">
        <v>20</v>
      </c>
      <c r="M328">
        <f>IF(Vu_khi!$W$328&lt;=0,0,IF(Vu_khi!$U$328&gt;0,$I$328*Vu_khi!$U$328/(MAX(0.05,$G$328)*Vu_khi!$U$328+$K$328),$I$328/MAX(0.05,$G$328)))</f>
        <v/>
      </c>
      <c r="N328" t="n">
        <v>16.09756097560976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0</v>
      </c>
      <c r="S328">
        <f>AND(NOT(Vu_khi!$AJ$328),OR(Vu_khi!$AC$328="Air",Vu_khi!$AC$328="All"))</f>
        <v/>
      </c>
      <c r="T328" t="b">
        <v>1</v>
      </c>
      <c r="U328">
        <f>INDEX(Bang_sat_thuong!$B$2:$B$7,MATCH(Vu_khi!$K$328,Bang_sat_thuong!$A$2:$A$7,0))</f>
        <v/>
      </c>
      <c r="V328" t="n">
        <v>0.45</v>
      </c>
      <c r="W328">
        <f>INDEX(Bang_sat_thuong!$C$2:$C$7,MATCH(Vu_khi!$K$328,Bang_sat_thuong!$A$2:$A$7,0))</f>
        <v/>
      </c>
      <c r="X328" t="n">
        <v>1.35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0.1</v>
      </c>
      <c r="AA328">
        <f>AND(Vu_khi!$K$328="Kinetic",NOT(Vu_khi!$AG$328))</f>
        <v/>
      </c>
      <c r="AB328" t="b">
        <v>0</v>
      </c>
      <c r="AC328">
        <f>IF(Vu_khi!$AG$328,INDEX(Bang_danh_noc!$C$2:$C$8,MIN(7,MAX(1,2-(Vu_khi!$L$328-0)+1))),INDEX(Bang_xuyen_giap!$C$2:$C$8,MIN(7,MAX(1,IF($O$328,MAX(1,2-(Vu_khi!$L$328-0)),2-(Vu_khi!$L$328-0))+1))))*IF($AA$328,INDEX(Bang_xuyen_qua!$C$2:$C$5,MIN(4,MAX(1,(Vu_khi!$L$328)-(0)-1))),1)</f>
        <v/>
      </c>
      <c r="AD328" t="n">
        <v>1.2</v>
      </c>
      <c r="AE328">
        <f>IF(Vu_khi!$AG$328,INDEX(Bang_danh_noc!$C$2:$C$8,MIN(7,MAX(1,2-(Vu_khi!$L$328-2)+1))),INDEX(Bang_xuyen_giap!$C$2:$C$8,MIN(7,MAX(1,IF($O$328,MAX(1,2-(Vu_khi!$L$328-2)),2-(Vu_khi!$L$328-2))+1))))*IF($AA$328,INDEX(Bang_xuyen_qua!$C$2:$C$5,MIN(4,MAX(1,(Vu_khi!$L$328)-(2)-1))),1)</f>
        <v/>
      </c>
      <c r="AF328" t="n">
        <v>0.85</v>
      </c>
      <c r="AG328">
        <f>IF(Vu_khi!$AG$328,INDEX(Bang_danh_noc!$C$2:$C$8,MIN(7,MAX(1,2-(Vu_khi!$L$328-4)+1))),INDEX(Bang_xuyen_giap!$C$2:$C$8,MIN(7,MAX(1,IF($O$328,MAX(1,2-(Vu_khi!$L$328-4)),2-(Vu_khi!$L$328-4))+1))))*IF($AA$328,INDEX(Bang_xuyen_qua!$C$2:$C$5,MIN(4,MAX(1,(Vu_khi!$L$328)-(4)-1))),1)</f>
        <v/>
      </c>
      <c r="AH328" t="n">
        <v>0.4</v>
      </c>
      <c r="AI328">
        <f>INDEX(Bang_xuyen_giap!$C$2:$C$8,MIN(7,MAX(1,MAX(1,2-(Vu_khi!$L$328-0))+1)))*IF($AA$328,INDEX(Bang_xuyen_qua!$C$2:$C$5,MIN(4,MAX(1,(Vu_khi!$L$328)-(0)-1))),1)</f>
        <v/>
      </c>
      <c r="AJ328" t="n">
        <v>1</v>
      </c>
      <c r="AK328">
        <f>IF($Q$328,$M$328*$AC$328*$U$328,0)</f>
        <v/>
      </c>
      <c r="AL328" t="n">
        <v>0</v>
      </c>
      <c r="AM328">
        <f>IF($Q$328,$M$328*$AE$328*$U$328,0)</f>
        <v/>
      </c>
      <c r="AN328" t="n">
        <v>0</v>
      </c>
      <c r="AO328">
        <f>IF($Q$328,$M$328*$AG$328*$U$328,0)</f>
        <v/>
      </c>
      <c r="AP328" t="n">
        <v>0</v>
      </c>
      <c r="AQ328">
        <f>IF($Q$328,$M$328*$AE$328*$Y$328,0)</f>
        <v/>
      </c>
      <c r="AR328" t="n">
        <v>0</v>
      </c>
      <c r="AS328">
        <f>IF($S$328,$M$328*$AI$328*$W$328,0)</f>
        <v/>
      </c>
      <c r="AT328" t="n">
        <v>21.73170731707317</v>
      </c>
      <c r="AU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V328" t="b">
        <v>0</v>
      </c>
      <c r="AW328">
        <f>IF(AND($B$328&lt;0,$AU$328),4,$B$328)</f>
        <v/>
      </c>
      <c r="AX328" t="n">
        <v>2</v>
      </c>
      <c r="AY328">
        <f>IF($AW$328&lt;4,0,MIN(MAX(0.5,Canh_bao_vong!$D$4),MAX(IF(Vu_khi!$C$328="cal_406",Canh_bao_vong!$D$7,IF($AW$328&gt;=5,Canh_bao_vong!$D$9,Canh_bao_vong!$D$8)),Canh_bao_vong!$D$2+MAX(0,Vu_khi!$X$328)/MAX(0.1,Canh_bao_vong!$D$5))))</f>
        <v/>
      </c>
      <c r="AZ328" t="n">
        <v>0</v>
      </c>
      <c r="BA328" t="n">
        <v>6.833333</v>
      </c>
      <c r="BB328" t="inlineStr">
        <is>
          <t>CHAM_QUA</t>
        </is>
      </c>
      <c r="BC328" t="inlineStr"/>
      <c r="BD328" t="n">
        <v>125</v>
      </c>
      <c r="BE328" t="n">
        <v>162.5</v>
      </c>
      <c r="BF328" t="n">
        <v>0.12</v>
      </c>
      <c r="BG328" t="n">
        <v>0.24</v>
      </c>
      <c r="BH328" t="n">
        <v>0.48</v>
      </c>
      <c r="BI328" t="n">
        <v>0.369</v>
      </c>
      <c r="BJ328" t="inlineStr">
        <is>
          <t>AIR_DEFENCE_MISSILE</t>
        </is>
      </c>
      <c r="BK328" t="inlineStr">
        <is>
          <t>ok</t>
        </is>
      </c>
      <c r="BL328" t="inlineStr">
        <is>
          <t>own line</t>
        </is>
      </c>
      <c r="BM328" t="inlineStr"/>
      <c r="BN328" t="inlineStr">
        <is>
          <t>Assets/MachineBrigade/Resources/Data/balance.json: weapons[id=tamir] (lớp B trên 01_chien_dau/Vu_khi)</t>
        </is>
      </c>
      <c r="BO328" t="inlineStr"/>
    </row>
    <row r="329">
      <c r="A329" t="inlineStr">
        <is>
          <t>technical_rockets</t>
        </is>
      </c>
      <c r="B329" t="n">
        <v>2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5</v>
      </c>
      <c r="G329">
        <f>IF(Vu_khi!$S$329&gt;0,(Vu_khi!$S$329-1)*Vu_khi!$R$329+Vu_khi!$T$329,Vu_khi!$R$329+(Vu_khi!$P$329-1)*Vu_khi!$Q$329)</f>
        <v/>
      </c>
      <c r="H329" t="n">
        <v>7.6</v>
      </c>
      <c r="I329">
        <f>Vu_khi!$W$329*MAX(1,$E$329)</f>
        <v/>
      </c>
      <c r="J329" t="n">
        <v>247.5</v>
      </c>
      <c r="K329">
        <f>IF(Vu_khi!$V$329&gt;0,Vu_khi!$V$329,MIN(28,MAX(10,Vu_khi!$U$329*Vu_khi!$R$329*0.4)))</f>
        <v/>
      </c>
      <c r="L329" t="n">
        <v>18</v>
      </c>
      <c r="M329">
        <f>IF(Vu_khi!$W$329&lt;=0,0,IF(Vu_khi!$U$329&gt;0,$I$329*Vu_khi!$U$329/(MAX(0.05,$G$329)*Vu_khi!$U$329+$K$329),$I$329/MAX(0.05,$G$329)))</f>
        <v/>
      </c>
      <c r="N329" t="n">
        <v>23.34905660377359</v>
      </c>
      <c r="O329">
        <f>OR(Vu_khi!$AG$329,Vu_khi!$AB$329&gt;0,Vu_khi!$AH$329,Vu_khi!$M$329="Bomb",Vu_khi!$M$329="Drone")</f>
        <v/>
      </c>
      <c r="P329" t="b">
        <v>1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0</v>
      </c>
      <c r="U329">
        <f>INDEX(Bang_sat_thuong!$B$2:$B$7,MATCH(Vu_khi!$K$329,Bang_sat_thuong!$A$2:$A$7,0))</f>
        <v/>
      </c>
      <c r="V329" t="n">
        <v>1</v>
      </c>
      <c r="W329">
        <f>INDEX(Bang_sat_thuong!$C$2:$C$7,MATCH(Vu_khi!$K$329,Bang_sat_thuong!$A$2:$A$7,0))</f>
        <v/>
      </c>
      <c r="X329" t="n">
        <v>0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1.6</v>
      </c>
      <c r="AA329">
        <f>AND(Vu_khi!$K$329="Kinetic",NOT(Vu_khi!$AG$329))</f>
        <v/>
      </c>
      <c r="AB329" t="b">
        <v>0</v>
      </c>
      <c r="AC329">
        <f>IF(Vu_khi!$AG$329,INDEX(Bang_danh_noc!$C$2:$C$8,MIN(7,MAX(1,2-(Vu_khi!$L$329-0)+1))),INDEX(Bang_xuyen_giap!$C$2:$C$8,MIN(7,MAX(1,IF($O$329,MAX(1,2-(Vu_khi!$L$329-0)),2-(Vu_khi!$L$329-0))+1))))*IF($AA$329,INDEX(Bang_xuyen_qua!$C$2:$C$5,MIN(4,MAX(1,(Vu_khi!$L$329)-(0)-1))),1)</f>
        <v/>
      </c>
      <c r="AD329" t="n">
        <v>1</v>
      </c>
      <c r="AE329">
        <f>IF(Vu_khi!$AG$329,INDEX(Bang_danh_noc!$C$2:$C$8,MIN(7,MAX(1,2-(Vu_khi!$L$329-2)+1))),INDEX(Bang_xuyen_giap!$C$2:$C$8,MIN(7,MAX(1,IF($O$329,MAX(1,2-(Vu_khi!$L$329-2)),2-(Vu_khi!$L$329-2))+1))))*IF($AA$329,INDEX(Bang_xuyen_qua!$C$2:$C$5,MIN(4,MAX(1,(Vu_khi!$L$329)-(2)-1))),1)</f>
        <v/>
      </c>
      <c r="AF329" t="n">
        <v>0.85</v>
      </c>
      <c r="AG329">
        <f>IF(Vu_khi!$AG$329,INDEX(Bang_danh_noc!$C$2:$C$8,MIN(7,MAX(1,2-(Vu_khi!$L$329-4)+1))),INDEX(Bang_xuyen_giap!$C$2:$C$8,MIN(7,MAX(1,IF($O$329,MAX(1,2-(Vu_khi!$L$329-4)),2-(Vu_khi!$L$329-4))+1))))*IF($AA$329,INDEX(Bang_xuyen_qua!$C$2:$C$5,MIN(4,MAX(1,(Vu_khi!$L$329)-(4)-1))),1)</f>
        <v/>
      </c>
      <c r="AH329" t="n">
        <v>0.4</v>
      </c>
      <c r="AI329">
        <f>INDEX(Bang_xuyen_giap!$C$2:$C$8,MIN(7,MAX(1,MAX(1,2-(Vu_khi!$L$329-0))+1)))*IF($AA$329,INDEX(Bang_xuyen_qua!$C$2:$C$5,MIN(4,MAX(1,(Vu_khi!$L$329)-(0)-1))),1)</f>
        <v/>
      </c>
      <c r="AJ329" t="n">
        <v>1</v>
      </c>
      <c r="AK329">
        <f>IF($Q$329,$M$329*$AC$329*$U$329,0)</f>
        <v/>
      </c>
      <c r="AL329" t="n">
        <v>23.34905660377359</v>
      </c>
      <c r="AM329">
        <f>IF($Q$329,$M$329*$AE$329*$U$329,0)</f>
        <v/>
      </c>
      <c r="AN329" t="n">
        <v>19.84669811320755</v>
      </c>
      <c r="AO329">
        <f>IF($Q$329,$M$329*$AG$329*$U$329,0)</f>
        <v/>
      </c>
      <c r="AP329" t="n">
        <v>9.339622641509434</v>
      </c>
      <c r="AQ329">
        <f>IF($Q$329,$M$329*$AE$329*$Y$329,0)</f>
        <v/>
      </c>
      <c r="AR329" t="n">
        <v>31.75471698113208</v>
      </c>
      <c r="AS329">
        <f>IF($S$329,$M$329*$AI$329*$W$329,0)</f>
        <v/>
      </c>
      <c r="AT329" t="n">
        <v>0</v>
      </c>
      <c r="AU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V329" t="b">
        <v>0</v>
      </c>
      <c r="AW329">
        <f>IF(AND($B$329&lt;0,$AU$329),4,$B$329)</f>
        <v/>
      </c>
      <c r="AX329" t="n">
        <v>2</v>
      </c>
      <c r="AY329">
        <f>IF($AW$329&lt;4,0,MIN(MAX(0.5,Canh_bao_vong!$D$4),MAX(IF(Vu_khi!$C$329="cal_406",Canh_bao_vong!$D$7,IF($AW$329&gt;=5,Canh_bao_vong!$D$9,Canh_bao_vong!$D$8)),Canh_bao_vong!$D$2+MAX(0,Vu_khi!$X$329)/MAX(0.1,Canh_bao_vong!$D$5))))</f>
        <v/>
      </c>
      <c r="AZ329" t="n">
        <v>0</v>
      </c>
      <c r="BA329" t="n">
        <v>0.833333</v>
      </c>
      <c r="BB329" t="inlineStr">
        <is>
          <t>ok</t>
        </is>
      </c>
      <c r="BC329" t="inlineStr"/>
      <c r="BD329" t="n">
        <v>75</v>
      </c>
      <c r="BE329" t="n">
        <v>97.5</v>
      </c>
      <c r="BF329" t="n">
        <v>0.16</v>
      </c>
      <c r="BG329" t="n">
        <v>0.32</v>
      </c>
      <c r="BH329" t="n">
        <v>0.64</v>
      </c>
      <c r="BI329" t="n">
        <v>0.492</v>
      </c>
      <c r="BJ329" t="inlineStr">
        <is>
          <t>ROCKET_ARTILLERY</t>
        </is>
      </c>
      <c r="BK329" t="inlineStr">
        <is>
          <t>TOO_FAST_FOR_CLASS;TOO_FAST_AT_GEAR_CAP</t>
        </is>
      </c>
      <c r="BL329" t="inlineStr">
        <is>
          <t>own line</t>
        </is>
      </c>
      <c r="BM329" t="n">
        <v>37.5</v>
      </c>
      <c r="BN329" t="inlineStr">
        <is>
          <t>Assets/MachineBrigade/Resources/Data/balance.json: weapons[id=technical_rockets] (lớp B trên 01_chien_dau/Vu_khi)</t>
        </is>
      </c>
      <c r="BO329" t="inlineStr"/>
    </row>
    <row r="330">
      <c r="A330" t="inlineStr">
        <is>
          <t>thermobaric_rockets</t>
        </is>
      </c>
      <c r="B330" t="n">
        <v>4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9</v>
      </c>
      <c r="G330">
        <f>IF(Vu_khi!$S$330&gt;0,(Vu_khi!$S$330-1)*Vu_khi!$R$330+Vu_khi!$T$330,Vu_khi!$R$330+(Vu_khi!$P$330-1)*Vu_khi!$Q$330)</f>
        <v/>
      </c>
      <c r="H330" t="n">
        <v>12.95</v>
      </c>
      <c r="I330">
        <f>Vu_khi!$W$330*MAX(1,$E$330)</f>
        <v/>
      </c>
      <c r="J330" t="n">
        <v>873</v>
      </c>
      <c r="K330">
        <f>IF(Vu_khi!$V$330&gt;0,Vu_khi!$V$330,MIN(28,MAX(10,Vu_khi!$U$330*Vu_khi!$R$330*0.4)))</f>
        <v/>
      </c>
      <c r="L330" t="n">
        <v>21.67</v>
      </c>
      <c r="M330">
        <f>IF(Vu_khi!$W$330&lt;=0,0,IF(Vu_khi!$U$330&gt;0,$I$330*Vu_khi!$U$330/(MAX(0.05,$G$330)*Vu_khi!$U$330+$K$330),$I$330/MAX(0.05,$G$330)))</f>
        <v/>
      </c>
      <c r="N330" t="n">
        <v>47.52960391996734</v>
      </c>
      <c r="O330">
        <f>OR(Vu_khi!$AG$330,Vu_khi!$AB$330&gt;0,Vu_khi!$AH$330,Vu_khi!$M$330="Bomb",Vu_khi!$M$330="Drone")</f>
        <v/>
      </c>
      <c r="P330" t="b">
        <v>1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1</v>
      </c>
      <c r="W330">
        <f>INDEX(Bang_sat_thuong!$C$2:$C$7,MATCH(Vu_khi!$K$330,Bang_sat_thuong!$A$2:$A$7,0))</f>
        <v/>
      </c>
      <c r="X330" t="n">
        <v>0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2</v>
      </c>
      <c r="AA330">
        <f>AND(Vu_khi!$K$330="Kinetic",NOT(Vu_khi!$AG$330))</f>
        <v/>
      </c>
      <c r="AB330" t="b">
        <v>0</v>
      </c>
      <c r="AC330">
        <f>IF(Vu_khi!$AG$330,INDEX(Bang_danh_noc!$C$2:$C$8,MIN(7,MAX(1,2-(Vu_khi!$L$330-0)+1))),INDEX(Bang_xuyen_giap!$C$2:$C$8,MIN(7,MAX(1,IF($O$330,MAX(1,2-(Vu_khi!$L$330-0)),2-(Vu_khi!$L$330-0))+1))))*IF($AA$330,INDEX(Bang_xuyen_qua!$C$2:$C$5,MIN(4,MAX(1,(Vu_khi!$L$330)-(0)-1))),1)</f>
        <v/>
      </c>
      <c r="AD330" t="n">
        <v>1</v>
      </c>
      <c r="AE330">
        <f>IF(Vu_khi!$AG$330,INDEX(Bang_danh_noc!$C$2:$C$8,MIN(7,MAX(1,2-(Vu_khi!$L$330-2)+1))),INDEX(Bang_xuyen_giap!$C$2:$C$8,MIN(7,MAX(1,IF($O$330,MAX(1,2-(Vu_khi!$L$330-2)),2-(Vu_khi!$L$330-2))+1))))*IF($AA$330,INDEX(Bang_xuyen_qua!$C$2:$C$5,MIN(4,MAX(1,(Vu_khi!$L$330)-(2)-1))),1)</f>
        <v/>
      </c>
      <c r="AF330" t="n">
        <v>1</v>
      </c>
      <c r="AG330">
        <f>IF(Vu_khi!$AG$330,INDEX(Bang_danh_noc!$C$2:$C$8,MIN(7,MAX(1,2-(Vu_khi!$L$330-4)+1))),INDEX(Bang_xuyen_giap!$C$2:$C$8,MIN(7,MAX(1,IF($O$330,MAX(1,2-(Vu_khi!$L$330-4)),2-(Vu_khi!$L$330-4))+1))))*IF($AA$330,INDEX(Bang_xuyen_qua!$C$2:$C$5,MIN(4,MAX(1,(Vu_khi!$L$330)-(4)-1))),1)</f>
        <v/>
      </c>
      <c r="AH330" t="n">
        <v>0.65</v>
      </c>
      <c r="AI330">
        <f>INDEX(Bang_xuyen_giap!$C$2:$C$8,MIN(7,MAX(1,MAX(1,2-(Vu_khi!$L$330-0))+1)))*IF($AA$330,INDEX(Bang_xuyen_qua!$C$2:$C$5,MIN(4,MAX(1,(Vu_khi!$L$330)-(0)-1))),1)</f>
        <v/>
      </c>
      <c r="AJ330" t="n">
        <v>1</v>
      </c>
      <c r="AK330">
        <f>IF($Q$330,$M$330*$AC$330*$U$330,0)</f>
        <v/>
      </c>
      <c r="AL330" t="n">
        <v>47.52960391996734</v>
      </c>
      <c r="AM330">
        <f>IF($Q$330,$M$330*$AE$330*$U$330,0)</f>
        <v/>
      </c>
      <c r="AN330" t="n">
        <v>47.52960391996734</v>
      </c>
      <c r="AO330">
        <f>IF($Q$330,$M$330*$AG$330*$U$330,0)</f>
        <v/>
      </c>
      <c r="AP330" t="n">
        <v>30.89424254797877</v>
      </c>
      <c r="AQ330">
        <f>IF($Q$330,$M$330*$AE$330*$Y$330,0)</f>
        <v/>
      </c>
      <c r="AR330" t="n">
        <v>95.05920783993467</v>
      </c>
      <c r="AS330">
        <f>IF($S$330,$M$330*$AI$330*$W$330,0)</f>
        <v/>
      </c>
      <c r="AT330" t="n">
        <v>0</v>
      </c>
      <c r="AU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V330" t="b">
        <v>1</v>
      </c>
      <c r="AW330">
        <f>IF(AND($B$330&lt;0,$AU$330),4,$B$330)</f>
        <v/>
      </c>
      <c r="AX330" t="n">
        <v>4</v>
      </c>
      <c r="AY330">
        <f>IF($AW$330&lt;4,0,MIN(MAX(0.5,Canh_bao_vong!$D$4),MAX(IF(Vu_khi!$C$330="cal_406",Canh_bao_vong!$D$7,IF($AW$330&gt;=5,Canh_bao_vong!$D$9,Canh_bao_vong!$D$8)),Canh_bao_vong!$D$2+MAX(0,Vu_khi!$X$330)/MAX(0.1,Canh_bao_vong!$D$5))))</f>
        <v/>
      </c>
      <c r="AZ330" t="n">
        <v>2.5</v>
      </c>
      <c r="BA330" t="n">
        <v>1.2</v>
      </c>
      <c r="BB330" t="inlineStr">
        <is>
          <t>ok</t>
        </is>
      </c>
      <c r="BC330" t="inlineStr"/>
      <c r="BD330" t="n">
        <v>65</v>
      </c>
      <c r="BE330" t="n">
        <v>84.5</v>
      </c>
      <c r="BF330" t="n">
        <v>0.185</v>
      </c>
      <c r="BG330" t="n">
        <v>0.369</v>
      </c>
      <c r="BH330" t="n">
        <v>0.738</v>
      </c>
      <c r="BI330" t="n">
        <v>0.5679999999999999</v>
      </c>
      <c r="BJ330" t="inlineStr">
        <is>
          <t>ROCKET_ARTILLERY</t>
        </is>
      </c>
      <c r="BK330" t="inlineStr">
        <is>
          <t>ok</t>
        </is>
      </c>
      <c r="BL330" t="inlineStr">
        <is>
          <t>family tos_1a_220_mm_thermobaric</t>
        </is>
      </c>
      <c r="BM330" t="n">
        <v>19.5</v>
      </c>
      <c r="BN330" t="inlineStr">
        <is>
          <t>Assets/MachineBrigade/Resources/Data/balance.json: weapons[id=thermobaric_rockets] (lớp B trên 01_chien_dau/Vu_khi)</t>
        </is>
      </c>
      <c r="BO330" t="inlineStr"/>
    </row>
    <row r="331">
      <c r="A331" t="inlineStr">
        <is>
          <t>tower_ac25</t>
        </is>
      </c>
      <c r="B331" t="n">
        <v>1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10</v>
      </c>
      <c r="G331">
        <f>IF(Vu_khi!$S$331&gt;0,(Vu_khi!$S$331-1)*Vu_khi!$R$331+Vu_khi!$T$331,Vu_khi!$R$331+(Vu_khi!$P$331-1)*Vu_khi!$Q$331)</f>
        <v/>
      </c>
      <c r="H331" t="n">
        <v>2.55</v>
      </c>
      <c r="I331">
        <f>Vu_khi!$W$331*MAX(1,$E$331)</f>
        <v/>
      </c>
      <c r="J331" t="n">
        <v>170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66.66666666666667</v>
      </c>
      <c r="O331">
        <f>OR(Vu_khi!$AG$331,Vu_khi!$AB$331&gt;0,Vu_khi!$AH$331,Vu_khi!$M$331="Bomb",Vu_khi!$M$331="Drone")</f>
        <v/>
      </c>
      <c r="P331" t="b">
        <v>0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1.2</v>
      </c>
      <c r="W331">
        <f>INDEX(Bang_sat_thuong!$C$2:$C$7,MATCH(Vu_khi!$K$331,Bang_sat_thuong!$A$2:$A$7,0))</f>
        <v/>
      </c>
      <c r="X331" t="n">
        <v>0.3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0.7</v>
      </c>
      <c r="AA331">
        <f>AND(Vu_khi!$K$331="Kinetic",NOT(Vu_khi!$AG$331))</f>
        <v/>
      </c>
      <c r="AB331" t="b">
        <v>1</v>
      </c>
      <c r="AC331">
        <f>IF(Vu_khi!$AG$331,INDEX(Bang_danh_noc!$C$2:$C$8,MIN(7,MAX(1,2-(Vu_khi!$L$331-0)+1))),INDEX(Bang_xuyen_giap!$C$2:$C$8,MIN(7,MAX(1,IF($O$331,MAX(1,2-(Vu_khi!$L$331-0)),2-(Vu_khi!$L$331-0))+1))))*IF($AA$331,INDEX(Bang_xuyen_qua!$C$2:$C$5,MIN(4,MAX(1,(Vu_khi!$L$331)-(0)-1))),1)</f>
        <v/>
      </c>
      <c r="AD331" t="n">
        <v>1.2</v>
      </c>
      <c r="AE331">
        <f>IF(Vu_khi!$AG$331,INDEX(Bang_danh_noc!$C$2:$C$8,MIN(7,MAX(1,2-(Vu_khi!$L$331-2)+1))),INDEX(Bang_xuyen_giap!$C$2:$C$8,MIN(7,MAX(1,IF($O$331,MAX(1,2-(Vu_khi!$L$331-2)),2-(Vu_khi!$L$331-2))+1))))*IF($AA$331,INDEX(Bang_xuyen_qua!$C$2:$C$5,MIN(4,MAX(1,(Vu_khi!$L$331)-(2)-1))),1)</f>
        <v/>
      </c>
      <c r="AF331" t="n">
        <v>0.85</v>
      </c>
      <c r="AG331">
        <f>IF(Vu_khi!$AG$331,INDEX(Bang_danh_noc!$C$2:$C$8,MIN(7,MAX(1,2-(Vu_khi!$L$331-4)+1))),INDEX(Bang_xuyen_giap!$C$2:$C$8,MIN(7,MAX(1,IF($O$331,MAX(1,2-(Vu_khi!$L$331-4)),2-(Vu_khi!$L$331-4))+1))))*IF($AA$331,INDEX(Bang_xuyen_qua!$C$2:$C$5,MIN(4,MAX(1,(Vu_khi!$L$331)-(4)-1))),1)</f>
        <v/>
      </c>
      <c r="AH331" t="n">
        <v>0.4</v>
      </c>
      <c r="AI331">
        <f>INDEX(Bang_xuyen_giap!$C$2:$C$8,MIN(7,MAX(1,MAX(1,2-(Vu_khi!$L$331-0))+1)))*IF($AA$331,INDEX(Bang_xuyen_qua!$C$2:$C$5,MIN(4,MAX(1,(Vu_khi!$L$331)-(0)-1))),1)</f>
        <v/>
      </c>
      <c r="AJ331" t="n">
        <v>1</v>
      </c>
      <c r="AK331">
        <f>IF($Q$331,$M$331*$AC$331*$U$331,0)</f>
        <v/>
      </c>
      <c r="AL331" t="n">
        <v>96</v>
      </c>
      <c r="AM331">
        <f>IF($Q$331,$M$331*$AE$331*$U$331,0)</f>
        <v/>
      </c>
      <c r="AN331" t="n">
        <v>68</v>
      </c>
      <c r="AO331">
        <f>IF($Q$331,$M$331*$AG$331*$U$331,0)</f>
        <v/>
      </c>
      <c r="AP331" t="n">
        <v>32</v>
      </c>
      <c r="AQ331">
        <f>IF($Q$331,$M$331*$AE$331*$Y$331,0)</f>
        <v/>
      </c>
      <c r="AR331" t="n">
        <v>39.66666666666666</v>
      </c>
      <c r="AS331">
        <f>IF($S$331,$M$331*$AI$331*$W$331,0)</f>
        <v/>
      </c>
      <c r="AT331" t="n">
        <v>0</v>
      </c>
      <c r="AU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V331" t="b">
        <v>0</v>
      </c>
      <c r="AW331">
        <f>IF(AND($B$331&lt;0,$AU$331),4,$B$331)</f>
        <v/>
      </c>
      <c r="AX331" t="n">
        <v>1</v>
      </c>
      <c r="AY331">
        <f>IF($AW$331&lt;4,0,MIN(MAX(0.5,Canh_bao_vong!$D$4),MAX(IF(Vu_khi!$C$331="cal_406",Canh_bao_vong!$D$7,IF($AW$331&gt;=5,Canh_bao_vong!$D$9,Canh_bao_vong!$D$8)),Canh_bao_vong!$D$2+MAX(0,Vu_khi!$X$331)/MAX(0.1,Canh_bao_vong!$D$5))))</f>
        <v/>
      </c>
      <c r="AZ331" t="n">
        <v>0</v>
      </c>
      <c r="BA331" t="n">
        <v>2.125</v>
      </c>
      <c r="BB331" t="inlineStr">
        <is>
          <t>ok</t>
        </is>
      </c>
      <c r="BC331" t="inlineStr"/>
      <c r="BD331" t="n">
        <v>210</v>
      </c>
      <c r="BE331" t="n">
        <v>273</v>
      </c>
      <c r="BF331" t="n">
        <v>0.036</v>
      </c>
      <c r="BG331" t="n">
        <v>0.07099999999999999</v>
      </c>
      <c r="BH331" t="n">
        <v>0.143</v>
      </c>
      <c r="BI331" t="n">
        <v>0.11</v>
      </c>
      <c r="BJ331" t="inlineStr">
        <is>
          <t>DIRECT_BULLET</t>
        </is>
      </c>
      <c r="BK331" t="inlineStr">
        <is>
          <t>ok</t>
        </is>
      </c>
      <c r="BL331" t="inlineStr">
        <is>
          <t>family m242_bushmaster_25_mm</t>
        </is>
      </c>
      <c r="BM331" t="inlineStr"/>
      <c r="BN331" t="inlineStr">
        <is>
          <t>Assets/MachineBrigade/Resources/Data/balance.json: weapons[id=tower_ac25] (lớp B trên 01_chien_dau/Vu_khi)</t>
        </is>
      </c>
      <c r="BO331" t="inlineStr"/>
    </row>
    <row r="332">
      <c r="A332" t="inlineStr">
        <is>
          <t>tower_ac25_flak</t>
        </is>
      </c>
      <c r="B332" t="n">
        <v>1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10</v>
      </c>
      <c r="G332">
        <f>IF(Vu_khi!$S$332&gt;0,(Vu_khi!$S$332-1)*Vu_khi!$R$332+Vu_khi!$T$332,Vu_khi!$R$332+(Vu_khi!$P$332-1)*Vu_khi!$Q$332)</f>
        <v/>
      </c>
      <c r="H332" t="n">
        <v>2.55</v>
      </c>
      <c r="I332">
        <f>Vu_khi!$W$332*MAX(1,$E$332)</f>
        <v/>
      </c>
      <c r="J332" t="n">
        <v>170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66.66666666666667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0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0.45</v>
      </c>
      <c r="W332">
        <f>INDEX(Bang_sat_thuong!$C$2:$C$7,MATCH(Vu_khi!$K$332,Bang_sat_thuong!$A$2:$A$7,0))</f>
        <v/>
      </c>
      <c r="X332" t="n">
        <v>1.35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0.1</v>
      </c>
      <c r="AA332">
        <f>AND(Vu_khi!$K$332="Kinetic",NOT(Vu_khi!$AG$332))</f>
        <v/>
      </c>
      <c r="AB332" t="b">
        <v>0</v>
      </c>
      <c r="AC332">
        <f>IF(Vu_khi!$AG$332,INDEX(Bang_danh_noc!$C$2:$C$8,MIN(7,MAX(1,2-(Vu_khi!$L$332-0)+1))),INDEX(Bang_xuyen_giap!$C$2:$C$8,MIN(7,MAX(1,IF($O$332,MAX(1,2-(Vu_khi!$L$332-0)),2-(Vu_khi!$L$332-0))+1))))*IF($AA$332,INDEX(Bang_xuyen_qua!$C$2:$C$5,MIN(4,MAX(1,(Vu_khi!$L$332)-(0)-1))),1)</f>
        <v/>
      </c>
      <c r="AD332" t="n">
        <v>1</v>
      </c>
      <c r="AE332">
        <f>IF(Vu_khi!$AG$332,INDEX(Bang_danh_noc!$C$2:$C$8,MIN(7,MAX(1,2-(Vu_khi!$L$332-2)+1))),INDEX(Bang_xuyen_giap!$C$2:$C$8,MIN(7,MAX(1,IF($O$332,MAX(1,2-(Vu_khi!$L$332-2)),2-(Vu_khi!$L$332-2))+1))))*IF($AA$332,INDEX(Bang_xuyen_qua!$C$2:$C$5,MIN(4,MAX(1,(Vu_khi!$L$332)-(2)-1))),1)</f>
        <v/>
      </c>
      <c r="AF332" t="n">
        <v>0.65</v>
      </c>
      <c r="AG332">
        <f>IF(Vu_khi!$AG$332,INDEX(Bang_danh_noc!$C$2:$C$8,MIN(7,MAX(1,2-(Vu_khi!$L$332-4)+1))),INDEX(Bang_xuyen_giap!$C$2:$C$8,MIN(7,MAX(1,IF($O$332,MAX(1,2-(Vu_khi!$L$332-4)),2-(Vu_khi!$L$332-4))+1))))*IF($AA$332,INDEX(Bang_xuyen_qua!$C$2:$C$5,MIN(4,MAX(1,(Vu_khi!$L$332)-(4)-1))),1)</f>
        <v/>
      </c>
      <c r="AH332" t="n">
        <v>0.15</v>
      </c>
      <c r="AI332">
        <f>INDEX(Bang_xuyen_giap!$C$2:$C$8,MIN(7,MAX(1,MAX(1,2-(Vu_khi!$L$332-0))+1)))*IF($AA$332,INDEX(Bang_xuyen_qua!$C$2:$C$5,MIN(4,MAX(1,(Vu_khi!$L$332)-(0)-1))),1)</f>
        <v/>
      </c>
      <c r="AJ332" t="n">
        <v>1</v>
      </c>
      <c r="AK332">
        <f>IF($Q$332,$M$332*$AC$332*$U$332,0)</f>
        <v/>
      </c>
      <c r="AL332" t="n">
        <v>0</v>
      </c>
      <c r="AM332">
        <f>IF($Q$332,$M$332*$AE$332*$U$332,0)</f>
        <v/>
      </c>
      <c r="AN332" t="n">
        <v>0</v>
      </c>
      <c r="AO332">
        <f>IF($Q$332,$M$332*$AG$332*$U$332,0)</f>
        <v/>
      </c>
      <c r="AP332" t="n">
        <v>0</v>
      </c>
      <c r="AQ332">
        <f>IF($Q$332,$M$332*$AE$332*$Y$332,0)</f>
        <v/>
      </c>
      <c r="AR332" t="n">
        <v>0</v>
      </c>
      <c r="AS332">
        <f>IF($S$332,$M$332*$AI$332*$W$332,0)</f>
        <v/>
      </c>
      <c r="AT332" t="n">
        <v>90.00000000000001</v>
      </c>
      <c r="AU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V332" t="b">
        <v>0</v>
      </c>
      <c r="AW332">
        <f>IF(AND($B$332&lt;0,$AU$332),4,$B$332)</f>
        <v/>
      </c>
      <c r="AX332" t="n">
        <v>1</v>
      </c>
      <c r="AY332">
        <f>IF($AW$332&lt;4,0,MIN(MAX(0.5,Canh_bao_vong!$D$4),MAX(IF(Vu_khi!$C$332="cal_406",Canh_bao_vong!$D$7,IF($AW$332&gt;=5,Canh_bao_vong!$D$9,Canh_bao_vong!$D$8)),Canh_bao_vong!$D$2+MAX(0,Vu_khi!$X$332)/MAX(0.1,Canh_bao_vong!$D$5))))</f>
        <v/>
      </c>
      <c r="AZ332" t="n">
        <v>0</v>
      </c>
      <c r="BD332" t="n">
        <v>210</v>
      </c>
      <c r="BE332" t="n">
        <v>273</v>
      </c>
      <c r="BF332" t="n">
        <v>0.036</v>
      </c>
      <c r="BG332" t="n">
        <v>0.07099999999999999</v>
      </c>
      <c r="BH332" t="n">
        <v>0.143</v>
      </c>
      <c r="BI332" t="n">
        <v>0.11</v>
      </c>
      <c r="BJ332" t="inlineStr">
        <is>
          <t>DIRECT_BULLET</t>
        </is>
      </c>
      <c r="BK332" t="inlineStr">
        <is>
          <t>ok</t>
        </is>
      </c>
      <c r="BL332" t="inlineStr">
        <is>
          <t>family m242_bushmaster_25_mm_air_burst</t>
        </is>
      </c>
      <c r="BM332" t="inlineStr"/>
      <c r="BN332" t="inlineStr">
        <is>
          <t>Assets/MachineBrigade/Resources/Data/balance.json: weapons[id=tower_ac25_flak] (lớp B trên 01_chien_dau/Vu_khi)</t>
        </is>
      </c>
      <c r="BO332" t="inlineStr"/>
    </row>
    <row r="333">
      <c r="A333" t="inlineStr">
        <is>
          <t>tower_agl</t>
        </is>
      </c>
      <c r="B333" t="n">
        <v>1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6</v>
      </c>
      <c r="G333">
        <f>IF(Vu_khi!$S$333&gt;0,(Vu_khi!$S$333-1)*Vu_khi!$R$333+Vu_khi!$T$333,Vu_khi!$R$333+(Vu_khi!$P$333-1)*Vu_khi!$Q$333)</f>
        <v/>
      </c>
      <c r="H333" t="n">
        <v>5.3</v>
      </c>
      <c r="I333">
        <f>Vu_khi!$W$333*MAX(1,$E$333)</f>
        <v/>
      </c>
      <c r="J333" t="n">
        <v>156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29.43396226415095</v>
      </c>
      <c r="O333">
        <f>OR(Vu_khi!$AG$333,Vu_khi!$AB$333&gt;0,Vu_khi!$AH$333,Vu_khi!$M$333="Bomb",Vu_khi!$M$333="Drone")</f>
        <v/>
      </c>
      <c r="P333" t="b">
        <v>0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1.6</v>
      </c>
      <c r="AA333">
        <f>AND(Vu_khi!$K$333="Kinetic",NOT(Vu_khi!$AG$333))</f>
        <v/>
      </c>
      <c r="AB333" t="b">
        <v>0</v>
      </c>
      <c r="AC333">
        <f>IF(Vu_khi!$AG$333,INDEX(Bang_danh_noc!$C$2:$C$8,MIN(7,MAX(1,2-(Vu_khi!$L$333-0)+1))),INDEX(Bang_xuyen_giap!$C$2:$C$8,MIN(7,MAX(1,IF($O$333,MAX(1,2-(Vu_khi!$L$333-0)),2-(Vu_khi!$L$333-0))+1))))*IF($AA$333,INDEX(Bang_xuyen_qua!$C$2:$C$5,MIN(4,MAX(1,(Vu_khi!$L$333)-(0)-1))),1)</f>
        <v/>
      </c>
      <c r="AD333" t="n">
        <v>1.2</v>
      </c>
      <c r="AE333">
        <f>IF(Vu_khi!$AG$333,INDEX(Bang_danh_noc!$C$2:$C$8,MIN(7,MAX(1,2-(Vu_khi!$L$333-2)+1))),INDEX(Bang_xuyen_giap!$C$2:$C$8,MIN(7,MAX(1,IF($O$333,MAX(1,2-(Vu_khi!$L$333-2)),2-(Vu_khi!$L$333-2))+1))))*IF($AA$333,INDEX(Bang_xuyen_qua!$C$2:$C$5,MIN(4,MAX(1,(Vu_khi!$L$333)-(2)-1))),1)</f>
        <v/>
      </c>
      <c r="AF333" t="n">
        <v>0.85</v>
      </c>
      <c r="AG333">
        <f>IF(Vu_khi!$AG$333,INDEX(Bang_danh_noc!$C$2:$C$8,MIN(7,MAX(1,2-(Vu_khi!$L$333-4)+1))),INDEX(Bang_xuyen_giap!$C$2:$C$8,MIN(7,MAX(1,IF($O$333,MAX(1,2-(Vu_khi!$L$333-4)),2-(Vu_khi!$L$333-4))+1))))*IF($AA$333,INDEX(Bang_xuyen_qua!$C$2:$C$5,MIN(4,MAX(1,(Vu_khi!$L$333)-(4)-1))),1)</f>
        <v/>
      </c>
      <c r="AH333" t="n">
        <v>0.4</v>
      </c>
      <c r="AI333">
        <f>INDEX(Bang_xuyen_giap!$C$2:$C$8,MIN(7,MAX(1,MAX(1,2-(Vu_khi!$L$333-0))+1)))*IF($AA$333,INDEX(Bang_xuyen_qua!$C$2:$C$5,MIN(4,MAX(1,(Vu_khi!$L$333)-(0)-1))),1)</f>
        <v/>
      </c>
      <c r="AJ333" t="n">
        <v>1</v>
      </c>
      <c r="AK333">
        <f>IF($Q$333,$M$333*$AC$333*$U$333,0)</f>
        <v/>
      </c>
      <c r="AL333" t="n">
        <v>35.32075471698113</v>
      </c>
      <c r="AM333">
        <f>IF($Q$333,$M$333*$AE$333*$U$333,0)</f>
        <v/>
      </c>
      <c r="AN333" t="n">
        <v>25.0188679245283</v>
      </c>
      <c r="AO333">
        <f>IF($Q$333,$M$333*$AG$333*$U$333,0)</f>
        <v/>
      </c>
      <c r="AP333" t="n">
        <v>11.77358490566038</v>
      </c>
      <c r="AQ333">
        <f>IF($Q$333,$M$333*$AE$333*$Y$333,0)</f>
        <v/>
      </c>
      <c r="AR333" t="n">
        <v>40.03018867924529</v>
      </c>
      <c r="AS333">
        <f>IF($S$333,$M$333*$AI$333*$W$333,0)</f>
        <v/>
      </c>
      <c r="AT333" t="n">
        <v>0</v>
      </c>
      <c r="AU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V333" t="b">
        <v>0</v>
      </c>
      <c r="AW333">
        <f>IF(AND($B$333&lt;0,$AU$333),4,$B$333)</f>
        <v/>
      </c>
      <c r="AX333" t="n">
        <v>1</v>
      </c>
      <c r="AY333">
        <f>IF($AW$333&lt;4,0,MIN(MAX(0.5,Canh_bao_vong!$D$4),MAX(IF(Vu_khi!$C$333="cal_406",Canh_bao_vong!$D$7,IF($AW$333&gt;=5,Canh_bao_vong!$D$9,Canh_bao_vong!$D$8)),Canh_bao_vong!$D$2+MAX(0,Vu_khi!$X$333)/MAX(0.1,Canh_bao_vong!$D$5))))</f>
        <v/>
      </c>
      <c r="AZ333" t="n">
        <v>0</v>
      </c>
      <c r="BA333" t="n">
        <v>5.520833</v>
      </c>
      <c r="BB333" t="inlineStr">
        <is>
          <t>LECH_DOT_1</t>
        </is>
      </c>
      <c r="BC333" t="inlineStr"/>
      <c r="BD333" t="n">
        <v>70</v>
      </c>
      <c r="BE333" t="n">
        <v>91</v>
      </c>
      <c r="BF333" t="n">
        <v>0.107</v>
      </c>
      <c r="BG333" t="n">
        <v>0.214</v>
      </c>
      <c r="BH333" t="n">
        <v>0.429</v>
      </c>
      <c r="BI333" t="n">
        <v>0.33</v>
      </c>
      <c r="BJ333" t="inlineStr">
        <is>
          <t>DIRECT_BULLET</t>
        </is>
      </c>
      <c r="BK333" t="inlineStr">
        <is>
          <t>ok</t>
        </is>
      </c>
      <c r="BL333" t="inlineStr">
        <is>
          <t>family mk_19_40_mm</t>
        </is>
      </c>
      <c r="BM333" t="inlineStr"/>
      <c r="BN333" t="inlineStr">
        <is>
          <t>Assets/MachineBrigade/Resources/Data/balance.json: weapons[id=tower_agl] (lớp B trên 01_chien_dau/Vu_khi)</t>
        </is>
      </c>
      <c r="BO333" t="inlineStr"/>
    </row>
    <row r="334">
      <c r="A334" t="inlineStr">
        <is>
          <t>tower_flak_30</t>
        </is>
      </c>
      <c r="B334" t="n">
        <v>1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120</v>
      </c>
      <c r="G334">
        <f>IF(Vu_khi!$S$334&gt;0,(Vu_khi!$S$334-1)*Vu_khi!$R$334+Vu_khi!$T$334,Vu_khi!$R$334+(Vu_khi!$P$334-1)*Vu_khi!$Q$334)</f>
        <v/>
      </c>
      <c r="H334" t="n">
        <v>6.432</v>
      </c>
      <c r="I334">
        <f>Vu_khi!$W$334*MAX(1,$E$334)</f>
        <v/>
      </c>
      <c r="J334" t="n">
        <v>840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130.5970149253731</v>
      </c>
      <c r="O334">
        <f>OR(Vu_khi!$AG$334,Vu_khi!$AB$334&gt;0,Vu_khi!$AH$334,Vu_khi!$M$334="Bomb",Vu_khi!$M$334="Drone")</f>
        <v/>
      </c>
      <c r="P334" t="b">
        <v>0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1</v>
      </c>
      <c r="U334">
        <f>INDEX(Bang_sat_thuong!$B$2:$B$7,MATCH(Vu_khi!$K$334,Bang_sat_thuong!$A$2:$A$7,0))</f>
        <v/>
      </c>
      <c r="V334" t="n">
        <v>0.45</v>
      </c>
      <c r="W334">
        <f>INDEX(Bang_sat_thuong!$C$2:$C$7,MATCH(Vu_khi!$K$334,Bang_sat_thuong!$A$2:$A$7,0))</f>
        <v/>
      </c>
      <c r="X334" t="n">
        <v>1.35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0.1</v>
      </c>
      <c r="AA334">
        <f>AND(Vu_khi!$K$334="Kinetic",NOT(Vu_khi!$AG$334))</f>
        <v/>
      </c>
      <c r="AB334" t="b">
        <v>0</v>
      </c>
      <c r="AC334">
        <f>IF(Vu_khi!$AG$334,INDEX(Bang_danh_noc!$C$2:$C$8,MIN(7,MAX(1,2-(Vu_khi!$L$334-0)+1))),INDEX(Bang_xuyen_giap!$C$2:$C$8,MIN(7,MAX(1,IF($O$334,MAX(1,2-(Vu_khi!$L$334-0)),2-(Vu_khi!$L$334-0))+1))))*IF($AA$334,INDEX(Bang_xuyen_qua!$C$2:$C$5,MIN(4,MAX(1,(Vu_khi!$L$334)-(0)-1))),1)</f>
        <v/>
      </c>
      <c r="AD334" t="n">
        <v>1.2</v>
      </c>
      <c r="AE334">
        <f>IF(Vu_khi!$AG$334,INDEX(Bang_danh_noc!$C$2:$C$8,MIN(7,MAX(1,2-(Vu_khi!$L$334-2)+1))),INDEX(Bang_xuyen_giap!$C$2:$C$8,MIN(7,MAX(1,IF($O$334,MAX(1,2-(Vu_khi!$L$334-2)),2-(Vu_khi!$L$334-2))+1))))*IF($AA$334,INDEX(Bang_xuyen_qua!$C$2:$C$5,MIN(4,MAX(1,(Vu_khi!$L$334)-(2)-1))),1)</f>
        <v/>
      </c>
      <c r="AF334" t="n">
        <v>0.85</v>
      </c>
      <c r="AG334">
        <f>IF(Vu_khi!$AG$334,INDEX(Bang_danh_noc!$C$2:$C$8,MIN(7,MAX(1,2-(Vu_khi!$L$334-4)+1))),INDEX(Bang_xuyen_giap!$C$2:$C$8,MIN(7,MAX(1,IF($O$334,MAX(1,2-(Vu_khi!$L$334-4)),2-(Vu_khi!$L$334-4))+1))))*IF($AA$334,INDEX(Bang_xuyen_qua!$C$2:$C$5,MIN(4,MAX(1,(Vu_khi!$L$334)-(4)-1))),1)</f>
        <v/>
      </c>
      <c r="AH334" t="n">
        <v>0.4</v>
      </c>
      <c r="AI334">
        <f>INDEX(Bang_xuyen_giap!$C$2:$C$8,MIN(7,MAX(1,MAX(1,2-(Vu_khi!$L$334-0))+1)))*IF($AA$334,INDEX(Bang_xuyen_qua!$C$2:$C$5,MIN(4,MAX(1,(Vu_khi!$L$334)-(0)-1))),1)</f>
        <v/>
      </c>
      <c r="AJ334" t="n">
        <v>1</v>
      </c>
      <c r="AK334">
        <f>IF($Q$334,$M$334*$AC$334*$U$334,0)</f>
        <v/>
      </c>
      <c r="AL334" t="n">
        <v>70.52238805970148</v>
      </c>
      <c r="AM334">
        <f>IF($Q$334,$M$334*$AE$334*$U$334,0)</f>
        <v/>
      </c>
      <c r="AN334" t="n">
        <v>49.95335820895522</v>
      </c>
      <c r="AO334">
        <f>IF($Q$334,$M$334*$AG$334*$U$334,0)</f>
        <v/>
      </c>
      <c r="AP334" t="n">
        <v>23.50746268656716</v>
      </c>
      <c r="AQ334">
        <f>IF($Q$334,$M$334*$AE$334*$Y$334,0)</f>
        <v/>
      </c>
      <c r="AR334" t="n">
        <v>11.10074626865672</v>
      </c>
      <c r="AS334">
        <f>IF($S$334,$M$334*$AI$334*$W$334,0)</f>
        <v/>
      </c>
      <c r="AT334" t="n">
        <v>176.3059701492537</v>
      </c>
      <c r="AU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$13,FALSE)))))</f>
        <v/>
      </c>
      <c r="AV334" t="b">
        <v>0</v>
      </c>
      <c r="AW334">
        <f>IF(AND($B$334&lt;0,$AU$334),4,$B$334)</f>
        <v/>
      </c>
      <c r="AX334" t="n">
        <v>1</v>
      </c>
      <c r="AY334">
        <f>IF($AW$334&lt;4,0,MIN(MAX(0.5,Canh_bao_vong!$D$4),MAX(IF(Vu_khi!$C$334="cal_406",Canh_bao_vong!$D$7,IF($AW$334&gt;=5,Canh_bao_vong!$D$9,Canh_bao_vong!$D$8)),Canh_bao_vong!$D$2+MAX(0,Vu_khi!$X$334)/MAX(0.1,Canh_bao_vong!$D$5))))</f>
        <v/>
      </c>
      <c r="AZ334" t="n">
        <v>0</v>
      </c>
      <c r="BA334" t="n">
        <v>4.466667</v>
      </c>
      <c r="BB334" t="inlineStr">
        <is>
          <t>ok</t>
        </is>
      </c>
      <c r="BC334" t="inlineStr"/>
      <c r="BD334" t="n">
        <v>280</v>
      </c>
      <c r="BE334" t="n">
        <v>364</v>
      </c>
      <c r="BF334" t="n">
        <v>0.037</v>
      </c>
      <c r="BG334" t="n">
        <v>0.075</v>
      </c>
      <c r="BH334" t="n">
        <v>0.15</v>
      </c>
      <c r="BI334" t="n">
        <v>0.115</v>
      </c>
      <c r="BJ334" t="inlineStr">
        <is>
          <t>DIRECT_BULLET</t>
        </is>
      </c>
      <c r="BK334" t="inlineStr">
        <is>
          <t>ok</t>
        </is>
      </c>
      <c r="BL334" t="inlineStr">
        <is>
          <t>family 2a38_30_mm</t>
        </is>
      </c>
      <c r="BM334" t="inlineStr"/>
      <c r="BN334" t="inlineStr">
        <is>
          <t>Assets/MachineBrigade/Resources/Data/balance.json: weapons[id=tower_flak_30] (lớp B trên 01_chien_dau/Vu_khi)</t>
        </is>
      </c>
      <c r="BO334" t="inlineStr"/>
    </row>
    <row r="335">
      <c r="A335" t="inlineStr">
        <is>
          <t>tower_flak_30_ap</t>
        </is>
      </c>
      <c r="B335" t="n">
        <v>1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120</v>
      </c>
      <c r="G335">
        <f>IF(Vu_khi!$S$335&gt;0,(Vu_khi!$S$335-1)*Vu_khi!$R$335+Vu_khi!$T$335,Vu_khi!$R$335+(Vu_khi!$P$335-1)*Vu_khi!$Q$335)</f>
        <v/>
      </c>
      <c r="H335" t="n">
        <v>6.432</v>
      </c>
      <c r="I335">
        <f>Vu_khi!$W$335*MAX(1,$E$335)</f>
        <v/>
      </c>
      <c r="J335" t="n">
        <v>840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130.5970149253731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1</v>
      </c>
      <c r="S335">
        <f>AND(NOT(Vu_khi!$AJ$335),OR(Vu_khi!$AC$335="Air",Vu_khi!$AC$335="All"))</f>
        <v/>
      </c>
      <c r="T335" t="b">
        <v>0</v>
      </c>
      <c r="U335">
        <f>INDEX(Bang_sat_thuong!$B$2:$B$7,MATCH(Vu_khi!$K$335,Bang_sat_thuong!$A$2:$A$7,0))</f>
        <v/>
      </c>
      <c r="V335" t="n">
        <v>1.2</v>
      </c>
      <c r="W335">
        <f>INDEX(Bang_sat_thuong!$C$2:$C$7,MATCH(Vu_khi!$K$335,Bang_sat_thuong!$A$2:$A$7,0))</f>
        <v/>
      </c>
      <c r="X335" t="n">
        <v>0.3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0.7</v>
      </c>
      <c r="AA335">
        <f>AND(Vu_khi!$K$335="Kinetic",NOT(Vu_khi!$AG$335))</f>
        <v/>
      </c>
      <c r="AB335" t="b">
        <v>1</v>
      </c>
      <c r="AC335">
        <f>IF(Vu_khi!$AG$335,INDEX(Bang_danh_noc!$C$2:$C$8,MIN(7,MAX(1,2-(Vu_khi!$L$335-0)+1))),INDEX(Bang_xuyen_giap!$C$2:$C$8,MIN(7,MAX(1,IF($O$335,MAX(1,2-(Vu_khi!$L$335-0)),2-(Vu_khi!$L$335-0))+1))))*IF($AA$335,INDEX(Bang_xuyen_qua!$C$2:$C$5,MIN(4,MAX(1,(Vu_khi!$L$335)-(0)-1))),1)</f>
        <v/>
      </c>
      <c r="AD335" t="n">
        <v>1.2</v>
      </c>
      <c r="AE335">
        <f>IF(Vu_khi!$AG$335,INDEX(Bang_danh_noc!$C$2:$C$8,MIN(7,MAX(1,2-(Vu_khi!$L$335-2)+1))),INDEX(Bang_xuyen_giap!$C$2:$C$8,MIN(7,MAX(1,IF($O$335,MAX(1,2-(Vu_khi!$L$335-2)),2-(Vu_khi!$L$335-2))+1))))*IF($AA$335,INDEX(Bang_xuyen_qua!$C$2:$C$5,MIN(4,MAX(1,(Vu_khi!$L$335)-(2)-1))),1)</f>
        <v/>
      </c>
      <c r="AF335" t="n">
        <v>0.85</v>
      </c>
      <c r="AG335">
        <f>IF(Vu_khi!$AG$335,INDEX(Bang_danh_noc!$C$2:$C$8,MIN(7,MAX(1,2-(Vu_khi!$L$335-4)+1))),INDEX(Bang_xuyen_giap!$C$2:$C$8,MIN(7,MAX(1,IF($O$335,MAX(1,2-(Vu_khi!$L$335-4)),2-(Vu_khi!$L$335-4))+1))))*IF($AA$335,INDEX(Bang_xuyen_qua!$C$2:$C$5,MIN(4,MAX(1,(Vu_khi!$L$335)-(4)-1))),1)</f>
        <v/>
      </c>
      <c r="AH335" t="n">
        <v>0.4</v>
      </c>
      <c r="AI335">
        <f>INDEX(Bang_xuyen_giap!$C$2:$C$8,MIN(7,MAX(1,MAX(1,2-(Vu_khi!$L$335-0))+1)))*IF($AA$335,INDEX(Bang_xuyen_qua!$C$2:$C$5,MIN(4,MAX(1,(Vu_khi!$L$335)-(0)-1))),1)</f>
        <v/>
      </c>
      <c r="AJ335" t="n">
        <v>1</v>
      </c>
      <c r="AK335">
        <f>IF($Q$335,$M$335*$AC$335*$U$335,0)</f>
        <v/>
      </c>
      <c r="AL335" t="n">
        <v>188.0597014925373</v>
      </c>
      <c r="AM335">
        <f>IF($Q$335,$M$335*$AE$335*$U$335,0)</f>
        <v/>
      </c>
      <c r="AN335" t="n">
        <v>133.2089552238806</v>
      </c>
      <c r="AO335">
        <f>IF($Q$335,$M$335*$AG$335*$U$335,0)</f>
        <v/>
      </c>
      <c r="AP335" t="n">
        <v>62.6865671641791</v>
      </c>
      <c r="AQ335">
        <f>IF($Q$335,$M$335*$AE$335*$Y$335,0)</f>
        <v/>
      </c>
      <c r="AR335" t="n">
        <v>77.705223880597</v>
      </c>
      <c r="AS335">
        <f>IF($S$335,$M$335*$AI$335*$W$335,0)</f>
        <v/>
      </c>
      <c r="AT335" t="n">
        <v>0</v>
      </c>
      <c r="AU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$13,FALSE)))))</f>
        <v/>
      </c>
      <c r="AV335" t="b">
        <v>0</v>
      </c>
      <c r="AW335">
        <f>IF(AND($B$335&lt;0,$AU$335),4,$B$335)</f>
        <v/>
      </c>
      <c r="AX335" t="n">
        <v>1</v>
      </c>
      <c r="AY335">
        <f>IF($AW$335&lt;4,0,MIN(MAX(0.5,Canh_bao_vong!$D$4),MAX(IF(Vu_khi!$C$335="cal_406",Canh_bao_vong!$D$7,IF($AW$335&gt;=5,Canh_bao_vong!$D$9,Canh_bao_vong!$D$8)),Canh_bao_vong!$D$2+MAX(0,Vu_khi!$X$335)/MAX(0.1,Canh_bao_vong!$D$5))))</f>
        <v/>
      </c>
      <c r="AZ335" t="n">
        <v>0</v>
      </c>
      <c r="BD335" t="n">
        <v>280</v>
      </c>
      <c r="BE335" t="n">
        <v>364</v>
      </c>
      <c r="BF335" t="n">
        <v>0.037</v>
      </c>
      <c r="BG335" t="n">
        <v>0.075</v>
      </c>
      <c r="BH335" t="n">
        <v>0.15</v>
      </c>
      <c r="BI335" t="n">
        <v>0.115</v>
      </c>
      <c r="BJ335" t="inlineStr">
        <is>
          <t>DIRECT_BULLET</t>
        </is>
      </c>
      <c r="BK335" t="inlineStr">
        <is>
          <t>ok</t>
        </is>
      </c>
      <c r="BL335" t="inlineStr">
        <is>
          <t>family 2a38_30_mm_ap</t>
        </is>
      </c>
      <c r="BM335" t="inlineStr"/>
      <c r="BN335" t="inlineStr">
        <is>
          <t>Assets/MachineBrigade/Resources/Data/balance.json: weapons[id=tower_flak_30_ap] (lớp B trên 01_chien_dau/Vu_khi)</t>
        </is>
      </c>
      <c r="BO335" t="inlineStr"/>
    </row>
    <row r="336">
      <c r="A336" t="inlineStr">
        <is>
          <t>tower_hmg</t>
        </is>
      </c>
      <c r="B336" t="n">
        <v>0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100</v>
      </c>
      <c r="G336">
        <f>IF(Vu_khi!$S$336&gt;0,(Vu_khi!$S$336-1)*Vu_khi!$R$336+Vu_khi!$T$336,Vu_khi!$R$336+(Vu_khi!$P$336-1)*Vu_khi!$Q$336)</f>
        <v/>
      </c>
      <c r="H336" t="n">
        <v>12.5</v>
      </c>
      <c r="I336">
        <f>Vu_khi!$W$336*MAX(1,$E$336)</f>
        <v/>
      </c>
      <c r="J336" t="n">
        <v>950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76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1</v>
      </c>
      <c r="S336">
        <f>AND(NOT(Vu_khi!$AJ$336),OR(Vu_khi!$AC$336="Air",Vu_khi!$AC$336="All"))</f>
        <v/>
      </c>
      <c r="T336" t="b">
        <v>1</v>
      </c>
      <c r="U336">
        <f>INDEX(Bang_sat_thuong!$B$2:$B$7,MATCH(Vu_khi!$K$336,Bang_sat_thuong!$A$2:$A$7,0))</f>
        <v/>
      </c>
      <c r="V336" t="n">
        <v>1.2</v>
      </c>
      <c r="W336">
        <f>INDEX(Bang_sat_thuong!$C$2:$C$7,MATCH(Vu_khi!$K$336,Bang_sat_thuong!$A$2:$A$7,0))</f>
        <v/>
      </c>
      <c r="X336" t="n">
        <v>0.3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0.7</v>
      </c>
      <c r="AA336">
        <f>AND(Vu_khi!$K$336="Kinetic",NOT(Vu_khi!$AG$336))</f>
        <v/>
      </c>
      <c r="AB336" t="b">
        <v>1</v>
      </c>
      <c r="AC336">
        <f>IF(Vu_khi!$AG$336,INDEX(Bang_danh_noc!$C$2:$C$8,MIN(7,MAX(1,2-(Vu_khi!$L$336-0)+1))),INDEX(Bang_xuyen_giap!$C$2:$C$8,MIN(7,MAX(1,IF($O$336,MAX(1,2-(Vu_khi!$L$336-0)),2-(Vu_khi!$L$336-0))+1))))*IF($AA$336,INDEX(Bang_xuyen_qua!$C$2:$C$5,MIN(4,MAX(1,(Vu_khi!$L$336)-(0)-1))),1)</f>
        <v/>
      </c>
      <c r="AD336" t="n">
        <v>1</v>
      </c>
      <c r="AE336">
        <f>IF(Vu_khi!$AG$336,INDEX(Bang_danh_noc!$C$2:$C$8,MIN(7,MAX(1,2-(Vu_khi!$L$336-2)+1))),INDEX(Bang_xuyen_giap!$C$2:$C$8,MIN(7,MAX(1,IF($O$336,MAX(1,2-(Vu_khi!$L$336-2)),2-(Vu_khi!$L$336-2))+1))))*IF($AA$336,INDEX(Bang_xuyen_qua!$C$2:$C$5,MIN(4,MAX(1,(Vu_khi!$L$336)-(2)-1))),1)</f>
        <v/>
      </c>
      <c r="AF336" t="n">
        <v>0.65</v>
      </c>
      <c r="AG336">
        <f>IF(Vu_khi!$AG$336,INDEX(Bang_danh_noc!$C$2:$C$8,MIN(7,MAX(1,2-(Vu_khi!$L$336-4)+1))),INDEX(Bang_xuyen_giap!$C$2:$C$8,MIN(7,MAX(1,IF($O$336,MAX(1,2-(Vu_khi!$L$336-4)),2-(Vu_khi!$L$336-4))+1))))*IF($AA$336,INDEX(Bang_xuyen_qua!$C$2:$C$5,MIN(4,MAX(1,(Vu_khi!$L$336)-(4)-1))),1)</f>
        <v/>
      </c>
      <c r="AH336" t="n">
        <v>0.15</v>
      </c>
      <c r="AI336">
        <f>INDEX(Bang_xuyen_giap!$C$2:$C$8,MIN(7,MAX(1,MAX(1,2-(Vu_khi!$L$336-0))+1)))*IF($AA$336,INDEX(Bang_xuyen_qua!$C$2:$C$5,MIN(4,MAX(1,(Vu_khi!$L$336)-(0)-1))),1)</f>
        <v/>
      </c>
      <c r="AJ336" t="n">
        <v>1</v>
      </c>
      <c r="AK336">
        <f>IF($Q$336,$M$336*$AC$336*$U$336,0)</f>
        <v/>
      </c>
      <c r="AL336" t="n">
        <v>91.2</v>
      </c>
      <c r="AM336">
        <f>IF($Q$336,$M$336*$AE$336*$U$336,0)</f>
        <v/>
      </c>
      <c r="AN336" t="n">
        <v>59.28</v>
      </c>
      <c r="AO336">
        <f>IF($Q$336,$M$336*$AG$336*$U$336,0)</f>
        <v/>
      </c>
      <c r="AP336" t="n">
        <v>13.68</v>
      </c>
      <c r="AQ336">
        <f>IF($Q$336,$M$336*$AE$336*$Y$336,0)</f>
        <v/>
      </c>
      <c r="AR336" t="n">
        <v>34.58</v>
      </c>
      <c r="AS336">
        <f>IF($S$336,$M$336*$AI$336*$W$336,0)</f>
        <v/>
      </c>
      <c r="AT336" t="n">
        <v>22.8</v>
      </c>
      <c r="AU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$13,FALSE)))))</f>
        <v/>
      </c>
      <c r="AV336" t="b">
        <v>0</v>
      </c>
      <c r="AW336">
        <f>IF(AND($B$336&lt;0,$AU$336),4,$B$336)</f>
        <v/>
      </c>
      <c r="AX336" t="n">
        <v>0</v>
      </c>
      <c r="AY336">
        <f>IF($AW$336&lt;4,0,MIN(MAX(0.5,Canh_bao_vong!$D$4),MAX(IF(Vu_khi!$C$336="cal_406",Canh_bao_vong!$D$7,IF($AW$336&gt;=5,Canh_bao_vong!$D$9,Canh_bao_vong!$D$8)),Canh_bao_vong!$D$2+MAX(0,Vu_khi!$X$336)/MAX(0.1,Canh_bao_vong!$D$5))))</f>
        <v/>
      </c>
      <c r="AZ336" t="n">
        <v>0</v>
      </c>
      <c r="BA336" t="n">
        <v>1.25</v>
      </c>
      <c r="BB336" t="inlineStr">
        <is>
          <t>ok</t>
        </is>
      </c>
      <c r="BC336" t="inlineStr"/>
      <c r="BD336" t="n">
        <v>230</v>
      </c>
      <c r="BE336" t="n">
        <v>299</v>
      </c>
      <c r="BF336" t="n">
        <v>0.033</v>
      </c>
      <c r="BG336" t="n">
        <v>0.065</v>
      </c>
      <c r="BH336" t="n">
        <v>0.13</v>
      </c>
      <c r="BI336" t="n">
        <v>0.1</v>
      </c>
      <c r="BJ336" t="inlineStr">
        <is>
          <t>DIRECT_BULLET</t>
        </is>
      </c>
      <c r="BK336" t="inlineStr">
        <is>
          <t>ok</t>
        </is>
      </c>
      <c r="BL336" t="inlineStr">
        <is>
          <t>family m2_browning_12_7_mm</t>
        </is>
      </c>
      <c r="BM336" t="inlineStr"/>
      <c r="BN336" t="inlineStr">
        <is>
          <t>Assets/MachineBrigade/Resources/Data/balance.json: weapons[id=tower_hmg] (lớp B trên 01_chien_dau/Vu_khi)</t>
        </is>
      </c>
      <c r="BO336" t="inlineStr"/>
    </row>
    <row r="337">
      <c r="A337" t="inlineStr">
        <is>
          <t>tower_hmg_api</t>
        </is>
      </c>
      <c r="B337" t="n">
        <v>0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100</v>
      </c>
      <c r="G337">
        <f>IF(Vu_khi!$S$337&gt;0,(Vu_khi!$S$337-1)*Vu_khi!$R$337+Vu_khi!$T$337,Vu_khi!$R$337+(Vu_khi!$P$337-1)*Vu_khi!$Q$337)</f>
        <v/>
      </c>
      <c r="H337" t="n">
        <v>12.5</v>
      </c>
      <c r="I337">
        <f>Vu_khi!$W$337*MAX(1,$E$337)</f>
        <v/>
      </c>
      <c r="J337" t="n">
        <v>950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76</v>
      </c>
      <c r="O337">
        <f>OR(Vu_khi!$AG$337,Vu_khi!$AB$337&gt;0,Vu_khi!$AH$337,Vu_khi!$M$337="Bomb",Vu_khi!$M$337="Drone")</f>
        <v/>
      </c>
      <c r="P337" t="b">
        <v>0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1</v>
      </c>
      <c r="U337">
        <f>INDEX(Bang_sat_thuong!$B$2:$B$7,MATCH(Vu_khi!$K$337,Bang_sat_thuong!$A$2:$A$7,0))</f>
        <v/>
      </c>
      <c r="V337" t="n">
        <v>1.2</v>
      </c>
      <c r="W337">
        <f>INDEX(Bang_sat_thuong!$C$2:$C$7,MATCH(Vu_khi!$K$337,Bang_sat_thuong!$A$2:$A$7,0))</f>
        <v/>
      </c>
      <c r="X337" t="n">
        <v>0.3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0.7</v>
      </c>
      <c r="AA337">
        <f>AND(Vu_khi!$K$337="Kinetic",NOT(Vu_khi!$AG$337))</f>
        <v/>
      </c>
      <c r="AB337" t="b">
        <v>1</v>
      </c>
      <c r="AC337">
        <f>IF(Vu_khi!$AG$337,INDEX(Bang_danh_noc!$C$2:$C$8,MIN(7,MAX(1,2-(Vu_khi!$L$337-0)+1))),INDEX(Bang_xuyen_giap!$C$2:$C$8,MIN(7,MAX(1,IF($O$337,MAX(1,2-(Vu_khi!$L$337-0)),2-(Vu_khi!$L$337-0))+1))))*IF($AA$337,INDEX(Bang_xuyen_qua!$C$2:$C$5,MIN(4,MAX(1,(Vu_khi!$L$337)-(0)-1))),1)</f>
        <v/>
      </c>
      <c r="AD337" t="n">
        <v>1.2</v>
      </c>
      <c r="AE337">
        <f>IF(Vu_khi!$AG$337,INDEX(Bang_danh_noc!$C$2:$C$8,MIN(7,MAX(1,2-(Vu_khi!$L$337-2)+1))),INDEX(Bang_xuyen_giap!$C$2:$C$8,MIN(7,MAX(1,IF($O$337,MAX(1,2-(Vu_khi!$L$337-2)),2-(Vu_khi!$L$337-2))+1))))*IF($AA$337,INDEX(Bang_xuyen_qua!$C$2:$C$5,MIN(4,MAX(1,(Vu_khi!$L$337)-(2)-1))),1)</f>
        <v/>
      </c>
      <c r="AF337" t="n">
        <v>0.85</v>
      </c>
      <c r="AG337">
        <f>IF(Vu_khi!$AG$337,INDEX(Bang_danh_noc!$C$2:$C$8,MIN(7,MAX(1,2-(Vu_khi!$L$337-4)+1))),INDEX(Bang_xuyen_giap!$C$2:$C$8,MIN(7,MAX(1,IF($O$337,MAX(1,2-(Vu_khi!$L$337-4)),2-(Vu_khi!$L$337-4))+1))))*IF($AA$337,INDEX(Bang_xuyen_qua!$C$2:$C$5,MIN(4,MAX(1,(Vu_khi!$L$337)-(4)-1))),1)</f>
        <v/>
      </c>
      <c r="AH337" t="n">
        <v>0.4</v>
      </c>
      <c r="AI337">
        <f>INDEX(Bang_xuyen_giap!$C$2:$C$8,MIN(7,MAX(1,MAX(1,2-(Vu_khi!$L$337-0))+1)))*IF($AA$337,INDEX(Bang_xuyen_qua!$C$2:$C$5,MIN(4,MAX(1,(Vu_khi!$L$337)-(0)-1))),1)</f>
        <v/>
      </c>
      <c r="AJ337" t="n">
        <v>1</v>
      </c>
      <c r="AK337">
        <f>IF($Q$337,$M$337*$AC$337*$U$337,0)</f>
        <v/>
      </c>
      <c r="AL337" t="n">
        <v>109.44</v>
      </c>
      <c r="AM337">
        <f>IF($Q$337,$M$337*$AE$337*$U$337,0)</f>
        <v/>
      </c>
      <c r="AN337" t="n">
        <v>77.52</v>
      </c>
      <c r="AO337">
        <f>IF($Q$337,$M$337*$AG$337*$U$337,0)</f>
        <v/>
      </c>
      <c r="AP337" t="n">
        <v>36.48</v>
      </c>
      <c r="AQ337">
        <f>IF($Q$337,$M$337*$AE$337*$Y$337,0)</f>
        <v/>
      </c>
      <c r="AR337" t="n">
        <v>45.22</v>
      </c>
      <c r="AS337">
        <f>IF($S$337,$M$337*$AI$337*$W$337,0)</f>
        <v/>
      </c>
      <c r="AT337" t="n">
        <v>22.8</v>
      </c>
      <c r="AU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$13,FALSE)))))</f>
        <v/>
      </c>
      <c r="AV337" t="b">
        <v>0</v>
      </c>
      <c r="AW337">
        <f>IF(AND($B$337&lt;0,$AU$337),4,$B$337)</f>
        <v/>
      </c>
      <c r="AX337" t="n">
        <v>0</v>
      </c>
      <c r="AY337">
        <f>IF($AW$337&lt;4,0,MIN(MAX(0.5,Canh_bao_vong!$D$4),MAX(IF(Vu_khi!$C$337="cal_406",Canh_bao_vong!$D$7,IF($AW$337&gt;=5,Canh_bao_vong!$D$9,Canh_bao_vong!$D$8)),Canh_bao_vong!$D$2+MAX(0,Vu_khi!$X$337)/MAX(0.1,Canh_bao_vong!$D$5))))</f>
        <v/>
      </c>
      <c r="AZ337" t="n">
        <v>0</v>
      </c>
      <c r="BD337" t="n">
        <v>230</v>
      </c>
      <c r="BE337" t="n">
        <v>299</v>
      </c>
      <c r="BF337" t="n">
        <v>0.033</v>
      </c>
      <c r="BG337" t="n">
        <v>0.065</v>
      </c>
      <c r="BH337" t="n">
        <v>0.13</v>
      </c>
      <c r="BI337" t="n">
        <v>0.1</v>
      </c>
      <c r="BJ337" t="inlineStr">
        <is>
          <t>DIRECT_BULLET</t>
        </is>
      </c>
      <c r="BK337" t="inlineStr">
        <is>
          <t>ok</t>
        </is>
      </c>
      <c r="BL337" t="inlineStr">
        <is>
          <t>family m2_browning_12_7_mm_api</t>
        </is>
      </c>
      <c r="BM337" t="inlineStr"/>
      <c r="BN337" t="inlineStr">
        <is>
          <t>Assets/MachineBrigade/Resources/Data/balance.json: weapons[id=tower_hmg_api] (lớp B trên 01_chien_dau/Vu_khi)</t>
        </is>
      </c>
      <c r="BO337" t="inlineStr"/>
    </row>
    <row r="338">
      <c r="A338" t="inlineStr">
        <is>
          <t>tower_kornet</t>
        </is>
      </c>
      <c r="B338" t="n">
        <v>2</v>
      </c>
      <c r="C338">
        <f>IF(Vu_khi!$O$338="SIMULTANEOUS",MAX(1,Vu_khi!$N$338),1)</f>
        <v/>
      </c>
      <c r="D338" t="n">
        <v>1</v>
      </c>
      <c r="E338">
        <f>IF(Vu_khi!$S$338&gt;0,Vu_khi!$S$338,Vu_khi!$P$338*$C$338)</f>
        <v/>
      </c>
      <c r="F338" t="n">
        <v>2</v>
      </c>
      <c r="G338">
        <f>IF(Vu_khi!$S$338&gt;0,(Vu_khi!$S$338-1)*Vu_khi!$R$338+Vu_khi!$T$338,Vu_khi!$R$338+(Vu_khi!$P$338-1)*Vu_khi!$Q$338)</f>
        <v/>
      </c>
      <c r="H338" t="n">
        <v>5.55</v>
      </c>
      <c r="I338">
        <f>Vu_khi!$W$338*MAX(1,$E$338)</f>
        <v/>
      </c>
      <c r="J338" t="n">
        <v>460</v>
      </c>
      <c r="K338">
        <f>IF(Vu_khi!$V$338&gt;0,Vu_khi!$V$338,MIN(28,MAX(10,Vu_khi!$U$338*Vu_khi!$R$338*0.4)))</f>
        <v/>
      </c>
      <c r="L338" t="n">
        <v>10</v>
      </c>
      <c r="M338">
        <f>IF(Vu_khi!$W$338&lt;=0,0,IF(Vu_khi!$U$338&gt;0,$I$338*Vu_khi!$U$338/(MAX(0.05,$G$338)*Vu_khi!$U$338+$K$338),$I$338/MAX(0.05,$G$338)))</f>
        <v/>
      </c>
      <c r="N338" t="n">
        <v>82.88288288288288</v>
      </c>
      <c r="O338">
        <f>OR(Vu_khi!$AG$338,Vu_khi!$AB$338&gt;0,Vu_khi!$AH$338,Vu_khi!$M$338="Bomb",Vu_khi!$M$338="Drone")</f>
        <v/>
      </c>
      <c r="P338" t="b">
        <v>0</v>
      </c>
      <c r="Q338">
        <f>AND(NOT(Vu_khi!$AJ$338),OR(Vu_khi!$AC$338="Ground",Vu_khi!$AC$338="All"))</f>
        <v/>
      </c>
      <c r="R338" t="b">
        <v>1</v>
      </c>
      <c r="S338">
        <f>AND(NOT(Vu_khi!$AJ$338),OR(Vu_khi!$AC$338="Air",Vu_khi!$AC$338="All"))</f>
        <v/>
      </c>
      <c r="T338" t="b">
        <v>0</v>
      </c>
      <c r="U338">
        <f>INDEX(Bang_sat_thuong!$B$2:$B$7,MATCH(Vu_khi!$K$338,Bang_sat_thuong!$A$2:$A$7,0))</f>
        <v/>
      </c>
      <c r="V338" t="n">
        <v>1.3</v>
      </c>
      <c r="W338">
        <f>INDEX(Bang_sat_thuong!$C$2:$C$7,MATCH(Vu_khi!$K$338,Bang_sat_thuong!$A$2:$A$7,0))</f>
        <v/>
      </c>
      <c r="X338" t="n">
        <v>0.2</v>
      </c>
      <c r="Y338">
        <f>IF(AND(Vu_khi!$AI$338,Vu_khi!$K$338="HighExplosive"),MAX(He_so_toan_cuc!$D$2,INDEX(Bang_sat_thuong!$D$2:$D$7,MATCH(Vu_khi!$K$338,Bang_sat_thuong!$A$2:$A$7,0))),INDEX(Bang_sat_thuong!$D$2:$D$7,MATCH(Vu_khi!$K$338,Bang_sat_thuong!$A$2:$A$7,0)))</f>
        <v/>
      </c>
      <c r="Z338" t="n">
        <v>0.45</v>
      </c>
      <c r="AA338">
        <f>AND(Vu_khi!$K$338="Kinetic",NOT(Vu_khi!$AG$338))</f>
        <v/>
      </c>
      <c r="AB338" t="b">
        <v>0</v>
      </c>
      <c r="AC338">
        <f>IF(Vu_khi!$AG$338,INDEX(Bang_danh_noc!$C$2:$C$8,MIN(7,MAX(1,2-(Vu_khi!$L$338-0)+1))),INDEX(Bang_xuyen_giap!$C$2:$C$8,MIN(7,MAX(1,IF($O$338,MAX(1,2-(Vu_khi!$L$338-0)),2-(Vu_khi!$L$338-0))+1))))*IF($AA$338,INDEX(Bang_xuyen_qua!$C$2:$C$5,MIN(4,MAX(1,(Vu_khi!$L$338)-(0)-1))),1)</f>
        <v/>
      </c>
      <c r="AD338" t="n">
        <v>1.2</v>
      </c>
      <c r="AE338">
        <f>IF(Vu_khi!$AG$338,INDEX(Bang_danh_noc!$C$2:$C$8,MIN(7,MAX(1,2-(Vu_khi!$L$338-2)+1))),INDEX(Bang_xuyen_giap!$C$2:$C$8,MIN(7,MAX(1,IF($O$338,MAX(1,2-(Vu_khi!$L$338-2)),2-(Vu_khi!$L$338-2))+1))))*IF($AA$338,INDEX(Bang_xuyen_qua!$C$2:$C$5,MIN(4,MAX(1,(Vu_khi!$L$338)-(2)-1))),1)</f>
        <v/>
      </c>
      <c r="AF338" t="n">
        <v>1.2</v>
      </c>
      <c r="AG338">
        <f>IF(Vu_khi!$AG$338,INDEX(Bang_danh_noc!$C$2:$C$8,MIN(7,MAX(1,2-(Vu_khi!$L$338-4)+1))),INDEX(Bang_xuyen_giap!$C$2:$C$8,MIN(7,MAX(1,IF($O$338,MAX(1,2-(Vu_khi!$L$338-4)),2-(Vu_khi!$L$338-4))+1))))*IF($AA$338,INDEX(Bang_xuyen_qua!$C$2:$C$5,MIN(4,MAX(1,(Vu_khi!$L$338)-(4)-1))),1)</f>
        <v/>
      </c>
      <c r="AH338" t="n">
        <v>0.85</v>
      </c>
      <c r="AI338">
        <f>INDEX(Bang_xuyen_giap!$C$2:$C$8,MIN(7,MAX(1,MAX(1,2-(Vu_khi!$L$338-0))+1)))*IF($AA$338,INDEX(Bang_xuyen_qua!$C$2:$C$5,MIN(4,MAX(1,(Vu_khi!$L$338)-(0)-1))),1)</f>
        <v/>
      </c>
      <c r="AJ338" t="n">
        <v>1</v>
      </c>
      <c r="AK338">
        <f>IF($Q$338,$M$338*$AC$338*$U$338,0)</f>
        <v/>
      </c>
      <c r="AL338" t="n">
        <v>129.2972972972973</v>
      </c>
      <c r="AM338">
        <f>IF($Q$338,$M$338*$AE$338*$U$338,0)</f>
        <v/>
      </c>
      <c r="AN338" t="n">
        <v>129.2972972972973</v>
      </c>
      <c r="AO338">
        <f>IF($Q$338,$M$338*$AG$338*$U$338,0)</f>
        <v/>
      </c>
      <c r="AP338" t="n">
        <v>91.58558558558558</v>
      </c>
      <c r="AQ338">
        <f>IF($Q$338,$M$338*$AE$338*$Y$338,0)</f>
        <v/>
      </c>
      <c r="AR338" t="n">
        <v>44.75675675675676</v>
      </c>
      <c r="AS338">
        <f>IF($S$338,$M$338*$AI$338*$W$338,0)</f>
        <v/>
      </c>
      <c r="AT338" t="n">
        <v>0</v>
      </c>
      <c r="AU338">
        <f>IF(OR(Vu_khi!$M$338="Missile",Vu_khi!$M$338="Drone",AND(Vu_khi!$M$338="Rocket",OR(Vu_khi!$AM$338,Vu_khi!$D$338="guided")),Vu_khi!$AL$338,Vu_khi!$AK$338,Vu_khi!$X$338&lt;=0),FALSE,IF($B$338&gt;=0,$B$338&gt;=4,IF(Vu_khi!$M$338="Shell",Vu_khi!$AN$338&gt;=Canh_bao_vong!$D$10,IF(Vu_khi!$M$338="Bomb",Vu_khi!$AN$338&gt;=Canh_bao_vong!$D$3,IF(Vu_khi!$M$338="Rocket",Vu_khi!$AN$338&gt;=Canh_bao_vong!$D$13,FALSE)))))</f>
        <v/>
      </c>
      <c r="AV338" t="b">
        <v>0</v>
      </c>
      <c r="AW338">
        <f>IF(AND($B$338&lt;0,$AU$338),4,$B$338)</f>
        <v/>
      </c>
      <c r="AX338" t="n">
        <v>2</v>
      </c>
      <c r="AY338">
        <f>IF($AW$338&lt;4,0,MIN(MAX(0.5,Canh_bao_vong!$D$4),MAX(IF(Vu_khi!$C$338="cal_406",Canh_bao_vong!$D$7,IF($AW$338&gt;=5,Canh_bao_vong!$D$9,Canh_bao_vong!$D$8)),Canh_bao_vong!$D$2+MAX(0,Vu_khi!$X$338)/MAX(0.1,Canh_bao_vong!$D$5))))</f>
        <v/>
      </c>
      <c r="AZ338" t="n">
        <v>0</v>
      </c>
      <c r="BA338" t="n">
        <v>0.2775</v>
      </c>
      <c r="BB338" t="inlineStr">
        <is>
          <t>NHANH_QUA</t>
        </is>
      </c>
      <c r="BC338" t="inlineStr"/>
      <c r="BD338" t="n">
        <v>80</v>
      </c>
      <c r="BE338" t="n">
        <v>104</v>
      </c>
      <c r="BF338" t="n">
        <v>0.156</v>
      </c>
      <c r="BG338" t="n">
        <v>0.312</v>
      </c>
      <c r="BH338" t="n">
        <v>0.625</v>
      </c>
      <c r="BI338" t="n">
        <v>0.481</v>
      </c>
      <c r="BJ338" t="inlineStr">
        <is>
          <t>TACTICAL_MISSILE</t>
        </is>
      </c>
      <c r="BK338" t="inlineStr">
        <is>
          <t>ok</t>
        </is>
      </c>
      <c r="BL338" t="inlineStr">
        <is>
          <t>family 9m133_kornet</t>
        </is>
      </c>
      <c r="BM338" t="n">
        <v>48</v>
      </c>
      <c r="BN338" t="inlineStr">
        <is>
          <t>Assets/MachineBrigade/Resources/Data/balance.json: weapons[id=tower_kornet] (lớp B trên 01_chien_dau/Vu_khi)</t>
        </is>
      </c>
      <c r="BO338" t="inlineStr"/>
    </row>
    <row r="339">
      <c r="A339" t="inlineStr">
        <is>
          <t>train_gun</t>
        </is>
      </c>
      <c r="B339" t="n">
        <v>3</v>
      </c>
      <c r="C339">
        <f>IF(Vu_khi!$O$339="SIMULTANEOUS",MAX(1,Vu_khi!$N$339),1)</f>
        <v/>
      </c>
      <c r="D339" t="n">
        <v>1</v>
      </c>
      <c r="E339">
        <f>IF(Vu_khi!$S$339&gt;0,Vu_khi!$S$339,Vu_khi!$P$339*$C$339)</f>
        <v/>
      </c>
      <c r="F339" t="n">
        <v>1</v>
      </c>
      <c r="G339">
        <f>IF(Vu_khi!$S$339&gt;0,(Vu_khi!$S$339-1)*Vu_khi!$R$339+Vu_khi!$T$339,Vu_khi!$R$339+(Vu_khi!$P$339-1)*Vu_khi!$Q$339)</f>
        <v/>
      </c>
      <c r="H339" t="n">
        <v>8</v>
      </c>
      <c r="I339">
        <f>Vu_khi!$W$339*MAX(1,$E$339)</f>
        <v/>
      </c>
      <c r="J339" t="n">
        <v>600</v>
      </c>
      <c r="K339">
        <f>IF(Vu_khi!$V$339&gt;0,Vu_khi!$V$339,MIN(28,MAX(10,Vu_khi!$U$339*Vu_khi!$R$339*0.4)))</f>
        <v/>
      </c>
      <c r="L339" t="n">
        <v>10</v>
      </c>
      <c r="M339">
        <f>IF(Vu_khi!$W$339&lt;=0,0,IF(Vu_khi!$U$339&gt;0,$I$339*Vu_khi!$U$339/(MAX(0.05,$G$339)*Vu_khi!$U$339+$K$339),$I$339/MAX(0.05,$G$339)))</f>
        <v/>
      </c>
      <c r="N339" t="n">
        <v>75</v>
      </c>
      <c r="O339">
        <f>OR(Vu_khi!$AG$339,Vu_khi!$AB$339&gt;0,Vu_khi!$AH$339,Vu_khi!$M$339="Bomb",Vu_khi!$M$339="Drone")</f>
        <v/>
      </c>
      <c r="P339" t="b">
        <v>0</v>
      </c>
      <c r="Q339">
        <f>AND(NOT(Vu_khi!$AJ$339),OR(Vu_khi!$AC$339="Ground",Vu_khi!$AC$339="All"))</f>
        <v/>
      </c>
      <c r="R339" t="b">
        <v>1</v>
      </c>
      <c r="S339">
        <f>AND(NOT(Vu_khi!$AJ$339),OR(Vu_khi!$AC$339="Air",Vu_khi!$AC$339="All"))</f>
        <v/>
      </c>
      <c r="T339" t="b">
        <v>0</v>
      </c>
      <c r="U339">
        <f>INDEX(Bang_sat_thuong!$B$2:$B$7,MATCH(Vu_khi!$K$339,Bang_sat_thuong!$A$2:$A$7,0))</f>
        <v/>
      </c>
      <c r="V339" t="n">
        <v>1.2</v>
      </c>
      <c r="W339">
        <f>INDEX(Bang_sat_thuong!$C$2:$C$7,MATCH(Vu_khi!$K$339,Bang_sat_thuong!$A$2:$A$7,0))</f>
        <v/>
      </c>
      <c r="X339" t="n">
        <v>0.3</v>
      </c>
      <c r="Y339">
        <f>IF(AND(Vu_khi!$AI$339,Vu_khi!$K$339="HighExplosive"),MAX(He_so_toan_cuc!$D$2,INDEX(Bang_sat_thuong!$D$2:$D$7,MATCH(Vu_khi!$K$339,Bang_sat_thuong!$A$2:$A$7,0))),INDEX(Bang_sat_thuong!$D$2:$D$7,MATCH(Vu_khi!$K$339,Bang_sat_thuong!$A$2:$A$7,0)))</f>
        <v/>
      </c>
      <c r="Z339" t="n">
        <v>0.7</v>
      </c>
      <c r="AA339">
        <f>AND(Vu_khi!$K$339="Kinetic",NOT(Vu_khi!$AG$339))</f>
        <v/>
      </c>
      <c r="AB339" t="b">
        <v>1</v>
      </c>
      <c r="AC339">
        <f>IF(Vu_khi!$AG$339,INDEX(Bang_danh_noc!$C$2:$C$8,MIN(7,MAX(1,2-(Vu_khi!$L$339-0)+1))),INDEX(Bang_xuyen_giap!$C$2:$C$8,MIN(7,MAX(1,IF($O$339,MAX(1,2-(Vu_khi!$L$339-0)),2-(Vu_khi!$L$339-0))+1))))*IF($AA$339,INDEX(Bang_xuyen_qua!$C$2:$C$5,MIN(4,MAX(1,(Vu_khi!$L$339)-(0)-1))),1)</f>
        <v/>
      </c>
      <c r="AD339" t="n">
        <v>0.8999999999999999</v>
      </c>
      <c r="AE339">
        <f>IF(Vu_khi!$AG$339,INDEX(Bang_danh_noc!$C$2:$C$8,MIN(7,MAX(1,2-(Vu_khi!$L$339-2)+1))),INDEX(Bang_xuyen_giap!$C$2:$C$8,MIN(7,MAX(1,IF($O$339,MAX(1,2-(Vu_khi!$L$339-2)),2-(Vu_khi!$L$339-2))+1))))*IF($AA$339,INDEX(Bang_xuyen_qua!$C$2:$C$5,MIN(4,MAX(1,(Vu_khi!$L$339)-(2)-1))),1)</f>
        <v/>
      </c>
      <c r="AF339" t="n">
        <v>1.14</v>
      </c>
      <c r="AG339">
        <f>IF(Vu_khi!$AG$339,INDEX(Bang_danh_noc!$C$2:$C$8,MIN(7,MAX(1,2-(Vu_khi!$L$339-4)+1))),INDEX(Bang_xuyen_giap!$C$2:$C$8,MIN(7,MAX(1,IF($O$339,MAX(1,2-(Vu_khi!$L$339-4)),2-(Vu_khi!$L$339-4))+1))))*IF($AA$339,INDEX(Bang_xuyen_qua!$C$2:$C$5,MIN(4,MAX(1,(Vu_khi!$L$339)-(4)-1))),1)</f>
        <v/>
      </c>
      <c r="AH339" t="n">
        <v>1</v>
      </c>
      <c r="AI339">
        <f>INDEX(Bang_xuyen_giap!$C$2:$C$8,MIN(7,MAX(1,MAX(1,2-(Vu_khi!$L$339-0))+1)))*IF($AA$339,INDEX(Bang_xuyen_qua!$C$2:$C$5,MIN(4,MAX(1,(Vu_khi!$L$339)-(0)-1))),1)</f>
        <v/>
      </c>
      <c r="AJ339" t="n">
        <v>0.75</v>
      </c>
      <c r="AK339">
        <f>IF($Q$339,$M$339*$AC$339*$U$339,0)</f>
        <v/>
      </c>
      <c r="AL339" t="n">
        <v>80.99999999999999</v>
      </c>
      <c r="AM339">
        <f>IF($Q$339,$M$339*$AE$339*$U$339,0)</f>
        <v/>
      </c>
      <c r="AN339" t="n">
        <v>102.6</v>
      </c>
      <c r="AO339">
        <f>IF($Q$339,$M$339*$AG$339*$U$339,0)</f>
        <v/>
      </c>
      <c r="AP339" t="n">
        <v>90</v>
      </c>
      <c r="AQ339">
        <f>IF($Q$339,$M$339*$AE$339*$Y$339,0)</f>
        <v/>
      </c>
      <c r="AR339" t="n">
        <v>59.84999999999999</v>
      </c>
      <c r="AS339">
        <f>IF($S$339,$M$339*$AI$339*$W$339,0)</f>
        <v/>
      </c>
      <c r="AT339" t="n">
        <v>0</v>
      </c>
      <c r="AU339">
        <f>IF(OR(Vu_khi!$M$339="Missile",Vu_khi!$M$339="Drone",AND(Vu_khi!$M$339="Rocket",OR(Vu_khi!$AM$339,Vu_khi!$D$339="guided")),Vu_khi!$AL$339,Vu_khi!$AK$339,Vu_khi!$X$339&lt;=0),FALSE,IF($B$339&gt;=0,$B$339&gt;=4,IF(Vu_khi!$M$339="Shell",Vu_khi!$AN$339&gt;=Canh_bao_vong!$D$10,IF(Vu_khi!$M$339="Bomb",Vu_khi!$AN$339&gt;=Canh_bao_vong!$D$3,IF(Vu_khi!$M$339="Rocket",Vu_khi!$AN$339&gt;=Canh_bao_vong!$D$13,FALSE)))))</f>
        <v/>
      </c>
      <c r="AV339" t="b">
        <v>0</v>
      </c>
      <c r="AW339">
        <f>IF(AND($B$339&lt;0,$AU$339),4,$B$339)</f>
        <v/>
      </c>
      <c r="AX339" t="n">
        <v>3</v>
      </c>
      <c r="AY339">
        <f>IF($AW$339&lt;4,0,MIN(MAX(0.5,Canh_bao_vong!$D$4),MAX(IF(Vu_khi!$C$339="cal_406",Canh_bao_vong!$D$7,IF($AW$339&gt;=5,Canh_bao_vong!$D$9,Canh_bao_vong!$D$8)),Canh_bao_vong!$D$2+MAX(0,Vu_khi!$X$339)/MAX(0.1,Canh_bao_vong!$D$5))))</f>
        <v/>
      </c>
      <c r="AZ339" t="n">
        <v>0</v>
      </c>
      <c r="BA339" t="n">
        <v>0.7</v>
      </c>
      <c r="BB339" t="inlineStr">
        <is>
          <t>ok</t>
        </is>
      </c>
      <c r="BC339" t="b">
        <v>1</v>
      </c>
      <c r="BD339" t="n">
        <v>170</v>
      </c>
      <c r="BE339" t="n">
        <v>221</v>
      </c>
      <c r="BF339" t="n">
        <v>0.062</v>
      </c>
      <c r="BG339" t="n">
        <v>0.124</v>
      </c>
      <c r="BH339" t="n">
        <v>0.247</v>
      </c>
      <c r="BI339" t="n">
        <v>0.19</v>
      </c>
      <c r="BJ339" t="inlineStr">
        <is>
          <t>DIRECT_FAST</t>
        </is>
      </c>
      <c r="BK339" t="inlineStr">
        <is>
          <t>ok</t>
        </is>
      </c>
      <c r="BL339" t="inlineStr">
        <is>
          <t>own line</t>
        </is>
      </c>
      <c r="BM339" t="inlineStr"/>
      <c r="BN339" t="inlineStr">
        <is>
          <t>Assets/MachineBrigade/Resources/Data/balance.json: weapons[id=train_gun] (lớp B trên 01_chien_dau/Vu_khi)</t>
        </is>
      </c>
      <c r="BO339" t="inlineStr"/>
    </row>
    <row r="340">
      <c r="A340" t="inlineStr">
        <is>
          <t>train_gun_he</t>
        </is>
      </c>
      <c r="B340" t="n">
        <v>3</v>
      </c>
      <c r="C340">
        <f>IF(Vu_khi!$O$340="SIMULTANEOUS",MAX(1,Vu_khi!$N$340),1)</f>
        <v/>
      </c>
      <c r="D340" t="n">
        <v>1</v>
      </c>
      <c r="E340">
        <f>IF(Vu_khi!$S$340&gt;0,Vu_khi!$S$340,Vu_khi!$P$340*$C$340)</f>
        <v/>
      </c>
      <c r="F340" t="n">
        <v>1</v>
      </c>
      <c r="G340">
        <f>IF(Vu_khi!$S$340&gt;0,(Vu_khi!$S$340-1)*Vu_khi!$R$340+Vu_khi!$T$340,Vu_khi!$R$340+(Vu_khi!$P$340-1)*Vu_khi!$Q$340)</f>
        <v/>
      </c>
      <c r="H340" t="n">
        <v>8</v>
      </c>
      <c r="I340">
        <f>Vu_khi!$W$340*MAX(1,$E$340)</f>
        <v/>
      </c>
      <c r="J340" t="n">
        <v>600</v>
      </c>
      <c r="K340">
        <f>IF(Vu_khi!$V$340&gt;0,Vu_khi!$V$340,MIN(28,MAX(10,Vu_khi!$U$340*Vu_khi!$R$340*0.4)))</f>
        <v/>
      </c>
      <c r="L340" t="n">
        <v>10</v>
      </c>
      <c r="M340">
        <f>IF(Vu_khi!$W$340&lt;=0,0,IF(Vu_khi!$U$340&gt;0,$I$340*Vu_khi!$U$340/(MAX(0.05,$G$340)*Vu_khi!$U$340+$K$340),$I$340/MAX(0.05,$G$340)))</f>
        <v/>
      </c>
      <c r="N340" t="n">
        <v>75</v>
      </c>
      <c r="O340">
        <f>OR(Vu_khi!$AG$340,Vu_khi!$AB$340&gt;0,Vu_khi!$AH$340,Vu_khi!$M$340="Bomb",Vu_khi!$M$340="Drone")</f>
        <v/>
      </c>
      <c r="P340" t="b">
        <v>0</v>
      </c>
      <c r="Q340">
        <f>AND(NOT(Vu_khi!$AJ$340),OR(Vu_khi!$AC$340="Ground",Vu_khi!$AC$340="All"))</f>
        <v/>
      </c>
      <c r="R340" t="b">
        <v>1</v>
      </c>
      <c r="S340">
        <f>AND(NOT(Vu_khi!$AJ$340),OR(Vu_khi!$AC$340="Air",Vu_khi!$AC$340="All"))</f>
        <v/>
      </c>
      <c r="T340" t="b">
        <v>0</v>
      </c>
      <c r="U340">
        <f>INDEX(Bang_sat_thuong!$B$2:$B$7,MATCH(Vu_khi!$K$340,Bang_sat_thuong!$A$2:$A$7,0))</f>
        <v/>
      </c>
      <c r="V340" t="n">
        <v>1</v>
      </c>
      <c r="W340">
        <f>INDEX(Bang_sat_thuong!$C$2:$C$7,MATCH(Vu_khi!$K$340,Bang_sat_thuong!$A$2:$A$7,0))</f>
        <v/>
      </c>
      <c r="X340" t="n">
        <v>0</v>
      </c>
      <c r="Y340">
        <f>IF(AND(Vu_khi!$AI$340,Vu_khi!$K$340="HighExplosive"),MAX(He_so_toan_cuc!$D$2,INDEX(Bang_sat_thuong!$D$2:$D$7,MATCH(Vu_khi!$K$340,Bang_sat_thuong!$A$2:$A$7,0))),INDEX(Bang_sat_thuong!$D$2:$D$7,MATCH(Vu_khi!$K$340,Bang_sat_thuong!$A$2:$A$7,0)))</f>
        <v/>
      </c>
      <c r="Z340" t="n">
        <v>1.6</v>
      </c>
      <c r="AA340">
        <f>AND(Vu_khi!$K$340="Kinetic",NOT(Vu_khi!$AG$340))</f>
        <v/>
      </c>
      <c r="AB340" t="b">
        <v>0</v>
      </c>
      <c r="AC340">
        <f>IF(Vu_khi!$AG$340,INDEX(Bang_danh_noc!$C$2:$C$8,MIN(7,MAX(1,2-(Vu_khi!$L$340-0)+1))),INDEX(Bang_xuyen_giap!$C$2:$C$8,MIN(7,MAX(1,IF($O$340,MAX(1,2-(Vu_khi!$L$340-0)),2-(Vu_khi!$L$340-0))+1))))*IF($AA$340,INDEX(Bang_xuyen_qua!$C$2:$C$5,MIN(4,MAX(1,(Vu_khi!$L$340)-(0)-1))),1)</f>
        <v/>
      </c>
      <c r="AD340" t="n">
        <v>1.2</v>
      </c>
      <c r="AE340">
        <f>IF(Vu_khi!$AG$340,INDEX(Bang_danh_noc!$C$2:$C$8,MIN(7,MAX(1,2-(Vu_khi!$L$340-2)+1))),INDEX(Bang_xuyen_giap!$C$2:$C$8,MIN(7,MAX(1,IF($O$340,MAX(1,2-(Vu_khi!$L$340-2)),2-(Vu_khi!$L$340-2))+1))))*IF($AA$340,INDEX(Bang_xuyen_qua!$C$2:$C$5,MIN(4,MAX(1,(Vu_khi!$L$340)-(2)-1))),1)</f>
        <v/>
      </c>
      <c r="AF340" t="n">
        <v>0.85</v>
      </c>
      <c r="AG340">
        <f>IF(Vu_khi!$AG$340,INDEX(Bang_danh_noc!$C$2:$C$8,MIN(7,MAX(1,2-(Vu_khi!$L$340-4)+1))),INDEX(Bang_xuyen_giap!$C$2:$C$8,MIN(7,MAX(1,IF($O$340,MAX(1,2-(Vu_khi!$L$340-4)),2-(Vu_khi!$L$340-4))+1))))*IF($AA$340,INDEX(Bang_xuyen_qua!$C$2:$C$5,MIN(4,MAX(1,(Vu_khi!$L$340)-(4)-1))),1)</f>
        <v/>
      </c>
      <c r="AH340" t="n">
        <v>0.4</v>
      </c>
      <c r="AI340">
        <f>INDEX(Bang_xuyen_giap!$C$2:$C$8,MIN(7,MAX(1,MAX(1,2-(Vu_khi!$L$340-0))+1)))*IF($AA$340,INDEX(Bang_xuyen_qua!$C$2:$C$5,MIN(4,MAX(1,(Vu_khi!$L$340)-(0)-1))),1)</f>
        <v/>
      </c>
      <c r="AJ340" t="n">
        <v>1</v>
      </c>
      <c r="AK340">
        <f>IF($Q$340,$M$340*$AC$340*$U$340,0)</f>
        <v/>
      </c>
      <c r="AL340" t="n">
        <v>90</v>
      </c>
      <c r="AM340">
        <f>IF($Q$340,$M$340*$AE$340*$U$340,0)</f>
        <v/>
      </c>
      <c r="AN340" t="n">
        <v>63.75</v>
      </c>
      <c r="AO340">
        <f>IF($Q$340,$M$340*$AG$340*$U$340,0)</f>
        <v/>
      </c>
      <c r="AP340" t="n">
        <v>30</v>
      </c>
      <c r="AQ340">
        <f>IF($Q$340,$M$340*$AE$340*$Y$340,0)</f>
        <v/>
      </c>
      <c r="AR340" t="n">
        <v>102</v>
      </c>
      <c r="AS340">
        <f>IF($S$340,$M$340*$AI$340*$W$340,0)</f>
        <v/>
      </c>
      <c r="AT340" t="n">
        <v>0</v>
      </c>
      <c r="AU340">
        <f>IF(OR(Vu_khi!$M$340="Missile",Vu_khi!$M$340="Drone",AND(Vu_khi!$M$340="Rocket",OR(Vu_khi!$AM$340,Vu_khi!$D$340="guided")),Vu_khi!$AL$340,Vu_khi!$AK$340,Vu_khi!$X$340&lt;=0),FALSE,IF($B$340&gt;=0,$B$340&gt;=4,IF(Vu_khi!$M$340="Shell",Vu_khi!$AN$340&gt;=Canh_bao_vong!$D$10,IF(Vu_khi!$M$340="Bomb",Vu_khi!$AN$340&gt;=Canh_bao_vong!$D$3,IF(Vu_khi!$M$340="Rocket",Vu_khi!$AN$340&gt;=Canh_bao_vong!$D$13,FALSE)))))</f>
        <v/>
      </c>
      <c r="AV340" t="b">
        <v>0</v>
      </c>
      <c r="AW340">
        <f>IF(AND($B$340&lt;0,$AU$340),4,$B$340)</f>
        <v/>
      </c>
      <c r="AX340" t="n">
        <v>3</v>
      </c>
      <c r="AY340">
        <f>IF($AW$340&lt;4,0,MIN(MAX(0.5,Canh_bao_vong!$D$4),MAX(IF(Vu_khi!$C$340="cal_406",Canh_bao_vong!$D$7,IF($AW$340&gt;=5,Canh_bao_vong!$D$9,Canh_bao_vong!$D$8)),Canh_bao_vong!$D$2+MAX(0,Vu_khi!$X$340)/MAX(0.1,Canh_bao_vong!$D$5))))</f>
        <v/>
      </c>
      <c r="AZ340" t="n">
        <v>0</v>
      </c>
      <c r="BD340" t="n">
        <v>170</v>
      </c>
      <c r="BE340" t="n">
        <v>221</v>
      </c>
      <c r="BF340" t="n">
        <v>0.062</v>
      </c>
      <c r="BG340" t="n">
        <v>0.124</v>
      </c>
      <c r="BH340" t="n">
        <v>0.247</v>
      </c>
      <c r="BI340" t="n">
        <v>0.19</v>
      </c>
      <c r="BJ340" t="inlineStr">
        <is>
          <t>DIRECT_FAST</t>
        </is>
      </c>
      <c r="BK340" t="inlineStr">
        <is>
          <t>ok</t>
        </is>
      </c>
      <c r="BL340" t="inlineStr">
        <is>
          <t>inherited from train_gun</t>
        </is>
      </c>
      <c r="BM340" t="inlineStr"/>
      <c r="BN340" t="inlineStr">
        <is>
          <t>Assets/MachineBrigade/Resources/Data/balance.json: weapons[id=train_gun_he] (lớp B trên 01_chien_dau/Vu_khi)</t>
        </is>
      </c>
      <c r="BO340" t="inlineStr"/>
    </row>
    <row r="341">
      <c r="A341" t="inlineStr">
        <is>
          <t>train_mortar</t>
        </is>
      </c>
      <c r="B341" t="n">
        <v>3</v>
      </c>
      <c r="C341">
        <f>IF(Vu_khi!$O$341="SIMULTANEOUS",MAX(1,Vu_khi!$N$341),1)</f>
        <v/>
      </c>
      <c r="D341" t="n">
        <v>1</v>
      </c>
      <c r="E341">
        <f>IF(Vu_khi!$S$341&gt;0,Vu_khi!$S$341,Vu_khi!$P$341*$C$341)</f>
        <v/>
      </c>
      <c r="F341" t="n">
        <v>2</v>
      </c>
      <c r="G341">
        <f>IF(Vu_khi!$S$341&gt;0,(Vu_khi!$S$341-1)*Vu_khi!$R$341+Vu_khi!$T$341,Vu_khi!$R$341+(Vu_khi!$P$341-1)*Vu_khi!$Q$341)</f>
        <v/>
      </c>
      <c r="H341" t="n">
        <v>8.300000000000001</v>
      </c>
      <c r="I341">
        <f>Vu_khi!$W$341*MAX(1,$E$341)</f>
        <v/>
      </c>
      <c r="J341" t="n">
        <v>300</v>
      </c>
      <c r="K341">
        <f>IF(Vu_khi!$V$341&gt;0,Vu_khi!$V$341,MIN(28,MAX(10,Vu_khi!$U$341*Vu_khi!$R$341*0.4)))</f>
        <v/>
      </c>
      <c r="L341" t="n">
        <v>10</v>
      </c>
      <c r="M341">
        <f>IF(Vu_khi!$W$341&lt;=0,0,IF(Vu_khi!$U$341&gt;0,$I$341*Vu_khi!$U$341/(MAX(0.05,$G$341)*Vu_khi!$U$341+$K$341),$I$341/MAX(0.05,$G$341)))</f>
        <v/>
      </c>
      <c r="N341" t="n">
        <v>36.14457831325301</v>
      </c>
      <c r="O341">
        <f>OR(Vu_khi!$AG$341,Vu_khi!$AB$341&gt;0,Vu_khi!$AH$341,Vu_khi!$M$341="Bomb",Vu_khi!$M$341="Drone")</f>
        <v/>
      </c>
      <c r="P341" t="b">
        <v>1</v>
      </c>
      <c r="Q341">
        <f>AND(NOT(Vu_khi!$AJ$341),OR(Vu_khi!$AC$341="Ground",Vu_khi!$AC$341="All"))</f>
        <v/>
      </c>
      <c r="R341" t="b">
        <v>1</v>
      </c>
      <c r="S341">
        <f>AND(NOT(Vu_khi!$AJ$341),OR(Vu_khi!$AC$341="Air",Vu_khi!$AC$341="All"))</f>
        <v/>
      </c>
      <c r="T341" t="b">
        <v>0</v>
      </c>
      <c r="U341">
        <f>INDEX(Bang_sat_thuong!$B$2:$B$7,MATCH(Vu_khi!$K$341,Bang_sat_thuong!$A$2:$A$7,0))</f>
        <v/>
      </c>
      <c r="V341" t="n">
        <v>1</v>
      </c>
      <c r="W341">
        <f>INDEX(Bang_sat_thuong!$C$2:$C$7,MATCH(Vu_khi!$K$341,Bang_sat_thuong!$A$2:$A$7,0))</f>
        <v/>
      </c>
      <c r="X341" t="n">
        <v>0</v>
      </c>
      <c r="Y341">
        <f>IF(AND(Vu_khi!$AI$341,Vu_khi!$K$341="HighExplosive"),MAX(He_so_toan_cuc!$D$2,INDEX(Bang_sat_thuong!$D$2:$D$7,MATCH(Vu_khi!$K$341,Bang_sat_thuong!$A$2:$A$7,0))),INDEX(Bang_sat_thuong!$D$2:$D$7,MATCH(Vu_khi!$K$341,Bang_sat_thuong!$A$2:$A$7,0)))</f>
        <v/>
      </c>
      <c r="Z341" t="n">
        <v>1.6</v>
      </c>
      <c r="AA341">
        <f>AND(Vu_khi!$K$341="Kinetic",NOT(Vu_khi!$AG$341))</f>
        <v/>
      </c>
      <c r="AB341" t="b">
        <v>0</v>
      </c>
      <c r="AC341">
        <f>IF(Vu_khi!$AG$341,INDEX(Bang_danh_noc!$C$2:$C$8,MIN(7,MAX(1,2-(Vu_khi!$L$341-0)+1))),INDEX(Bang_xuyen_giap!$C$2:$C$8,MIN(7,MAX(1,IF($O$341,MAX(1,2-(Vu_khi!$L$341-0)),2-(Vu_khi!$L$341-0))+1))))*IF($AA$341,INDEX(Bang_xuyen_qua!$C$2:$C$5,MIN(4,MAX(1,(Vu_khi!$L$341)-(0)-1))),1)</f>
        <v/>
      </c>
      <c r="AD341" t="n">
        <v>1</v>
      </c>
      <c r="AE341">
        <f>IF(Vu_khi!$AG$341,INDEX(Bang_danh_noc!$C$2:$C$8,MIN(7,MAX(1,2-(Vu_khi!$L$341-2)+1))),INDEX(Bang_xuyen_giap!$C$2:$C$8,MIN(7,MAX(1,IF($O$341,MAX(1,2-(Vu_khi!$L$341-2)),2-(Vu_khi!$L$341-2))+1))))*IF($AA$341,INDEX(Bang_xuyen_qua!$C$2:$C$5,MIN(4,MAX(1,(Vu_khi!$L$341)-(2)-1))),1)</f>
        <v/>
      </c>
      <c r="AF341" t="n">
        <v>0.85</v>
      </c>
      <c r="AG341">
        <f>IF(Vu_khi!$AG$341,INDEX(Bang_danh_noc!$C$2:$C$8,MIN(7,MAX(1,2-(Vu_khi!$L$341-4)+1))),INDEX(Bang_xuyen_giap!$C$2:$C$8,MIN(7,MAX(1,IF($O$341,MAX(1,2-(Vu_khi!$L$341-4)),2-(Vu_khi!$L$341-4))+1))))*IF($AA$341,INDEX(Bang_xuyen_qua!$C$2:$C$5,MIN(4,MAX(1,(Vu_khi!$L$341)-(4)-1))),1)</f>
        <v/>
      </c>
      <c r="AH341" t="n">
        <v>0.4</v>
      </c>
      <c r="AI341">
        <f>INDEX(Bang_xuyen_giap!$C$2:$C$8,MIN(7,MAX(1,MAX(1,2-(Vu_khi!$L$341-0))+1)))*IF($AA$341,INDEX(Bang_xuyen_qua!$C$2:$C$5,MIN(4,MAX(1,(Vu_khi!$L$341)-(0)-1))),1)</f>
        <v/>
      </c>
      <c r="AJ341" t="n">
        <v>1</v>
      </c>
      <c r="AK341">
        <f>IF($Q$341,$M$341*$AC$341*$U$341,0)</f>
        <v/>
      </c>
      <c r="AL341" t="n">
        <v>36.14457831325301</v>
      </c>
      <c r="AM341">
        <f>IF($Q$341,$M$341*$AE$341*$U$341,0)</f>
        <v/>
      </c>
      <c r="AN341" t="n">
        <v>30.72289156626506</v>
      </c>
      <c r="AO341">
        <f>IF($Q$341,$M$341*$AG$341*$U$341,0)</f>
        <v/>
      </c>
      <c r="AP341" t="n">
        <v>14.4578313253012</v>
      </c>
      <c r="AQ341">
        <f>IF($Q$341,$M$341*$AE$341*$Y$341,0)</f>
        <v/>
      </c>
      <c r="AR341" t="n">
        <v>49.15662650602409</v>
      </c>
      <c r="AS341">
        <f>IF($S$341,$M$341*$AI$341*$W$341,0)</f>
        <v/>
      </c>
      <c r="AT341" t="n">
        <v>0</v>
      </c>
      <c r="AU341">
        <f>IF(OR(Vu_khi!$M$341="Missile",Vu_khi!$M$341="Drone",AND(Vu_khi!$M$341="Rocket",OR(Vu_khi!$AM$341,Vu_khi!$D$341="guided")),Vu_khi!$AL$341,Vu_khi!$AK$341,Vu_khi!$X$341&lt;=0),FALSE,IF($B$341&gt;=0,$B$341&gt;=4,IF(Vu_khi!$M$341="Shell",Vu_khi!$AN$341&gt;=Canh_bao_vong!$D$10,IF(Vu_khi!$M$341="Bomb",Vu_khi!$AN$341&gt;=Canh_bao_vong!$D$3,IF(Vu_khi!$M$341="Rocket",Vu_khi!$AN$341&gt;=Canh_bao_vong!$D$13,FALSE)))))</f>
        <v/>
      </c>
      <c r="AV341" t="b">
        <v>0</v>
      </c>
      <c r="AW341">
        <f>IF(AND($B$341&lt;0,$AU$341),4,$B$341)</f>
        <v/>
      </c>
      <c r="AX341" t="n">
        <v>3</v>
      </c>
      <c r="AY341">
        <f>IF($AW$341&lt;4,0,MIN(MAX(0.5,Canh_bao_vong!$D$4),MAX(IF(Vu_khi!$C$341="cal_406",Canh_bao_vong!$D$7,IF($AW$341&gt;=5,Canh_bao_vong!$D$9,Canh_bao_vong!$D$8)),Canh_bao_vong!$D$2+MAX(0,Vu_khi!$X$341)/MAX(0.1,Canh_bao_vong!$D$5))))</f>
        <v/>
      </c>
      <c r="AZ341" t="n">
        <v>0</v>
      </c>
      <c r="BA341" t="n">
        <v>1.4525</v>
      </c>
      <c r="BB341" t="inlineStr">
        <is>
          <t>ok</t>
        </is>
      </c>
      <c r="BC341" t="inlineStr"/>
      <c r="BD341" t="n">
        <v>45</v>
      </c>
      <c r="BE341" t="n">
        <v>58.5</v>
      </c>
      <c r="BF341" t="n">
        <v>0.222</v>
      </c>
      <c r="BG341" t="n">
        <v>0.667</v>
      </c>
      <c r="BH341" t="n">
        <v>1.333</v>
      </c>
      <c r="BI341" t="n">
        <v>1.026</v>
      </c>
      <c r="BJ341" t="inlineStr">
        <is>
          <t>MORTAR</t>
        </is>
      </c>
      <c r="BK341" t="inlineStr">
        <is>
          <t>ok</t>
        </is>
      </c>
      <c r="BL341" t="inlineStr">
        <is>
          <t>family 2b11_120_mm</t>
        </is>
      </c>
      <c r="BM341" t="inlineStr"/>
      <c r="BN341" t="inlineStr">
        <is>
          <t>Assets/MachineBrigade/Resources/Data/balance.json: weapons[id=train_mortar] (lớp B trên 01_chien_dau/Vu_khi)</t>
        </is>
      </c>
      <c r="BO341" t="inlineStr"/>
    </row>
    <row r="342">
      <c r="A342" t="inlineStr">
        <is>
          <t>turret_gmlrs</t>
        </is>
      </c>
      <c r="B342" t="n">
        <v>4</v>
      </c>
      <c r="C342">
        <f>IF(Vu_khi!$O$342="SIMULTANEOUS",MAX(1,Vu_khi!$N$342),1)</f>
        <v/>
      </c>
      <c r="D342" t="n">
        <v>1</v>
      </c>
      <c r="E342">
        <f>IF(Vu_khi!$S$342&gt;0,Vu_khi!$S$342,Vu_khi!$P$342*$C$342)</f>
        <v/>
      </c>
      <c r="F342" t="n">
        <v>2</v>
      </c>
      <c r="G342">
        <f>IF(Vu_khi!$S$342&gt;0,(Vu_khi!$S$342-1)*Vu_khi!$R$342+Vu_khi!$T$342,Vu_khi!$R$342+(Vu_khi!$P$342-1)*Vu_khi!$Q$342)</f>
        <v/>
      </c>
      <c r="H342" t="n">
        <v>8</v>
      </c>
      <c r="I342">
        <f>Vu_khi!$W$342*MAX(1,$E$342)</f>
        <v/>
      </c>
      <c r="J342" t="n">
        <v>320</v>
      </c>
      <c r="K342">
        <f>IF(Vu_khi!$V$342&gt;0,Vu_khi!$V$342,MIN(28,MAX(10,Vu_khi!$U$342*Vu_khi!$R$342*0.4)))</f>
        <v/>
      </c>
      <c r="L342" t="n">
        <v>10</v>
      </c>
      <c r="M342">
        <f>IF(Vu_khi!$W$342&lt;=0,0,IF(Vu_khi!$U$342&gt;0,$I$342*Vu_khi!$U$342/(MAX(0.05,$G$342)*Vu_khi!$U$342+$K$342),$I$342/MAX(0.05,$G$342)))</f>
        <v/>
      </c>
      <c r="N342" t="n">
        <v>40</v>
      </c>
      <c r="O342">
        <f>OR(Vu_khi!$AG$342,Vu_khi!$AB$342&gt;0,Vu_khi!$AH$342,Vu_khi!$M$342="Bomb",Vu_khi!$M$342="Drone")</f>
        <v/>
      </c>
      <c r="P342" t="b">
        <v>1</v>
      </c>
      <c r="Q342">
        <f>AND(NOT(Vu_khi!$AJ$342),OR(Vu_khi!$AC$342="Ground",Vu_khi!$AC$342="All"))</f>
        <v/>
      </c>
      <c r="R342" t="b">
        <v>1</v>
      </c>
      <c r="S342">
        <f>AND(NOT(Vu_khi!$AJ$342),OR(Vu_khi!$AC$342="Air",Vu_khi!$AC$342="All"))</f>
        <v/>
      </c>
      <c r="T342" t="b">
        <v>0</v>
      </c>
      <c r="U342">
        <f>INDEX(Bang_sat_thuong!$B$2:$B$7,MATCH(Vu_khi!$K$342,Bang_sat_thuong!$A$2:$A$7,0))</f>
        <v/>
      </c>
      <c r="V342" t="n">
        <v>1</v>
      </c>
      <c r="W342">
        <f>INDEX(Bang_sat_thuong!$C$2:$C$7,MATCH(Vu_khi!$K$342,Bang_sat_thuong!$A$2:$A$7,0))</f>
        <v/>
      </c>
      <c r="X342" t="n">
        <v>0</v>
      </c>
      <c r="Y342">
        <f>IF(AND(Vu_khi!$AI$342,Vu_khi!$K$342="HighExplosive"),MAX(He_so_toan_cuc!$D$2,INDEX(Bang_sat_thuong!$D$2:$D$7,MATCH(Vu_khi!$K$342,Bang_sat_thuong!$A$2:$A$7,0))),INDEX(Bang_sat_thuong!$D$2:$D$7,MATCH(Vu_khi!$K$342,Bang_sat_thuong!$A$2:$A$7,0)))</f>
        <v/>
      </c>
      <c r="Z342" t="n">
        <v>1.6</v>
      </c>
      <c r="AA342">
        <f>AND(Vu_khi!$K$342="Kinetic",NOT(Vu_khi!$AG$342))</f>
        <v/>
      </c>
      <c r="AB342" t="b">
        <v>0</v>
      </c>
      <c r="AC342">
        <f>IF(Vu_khi!$AG$342,INDEX(Bang_danh_noc!$C$2:$C$8,MIN(7,MAX(1,2-(Vu_khi!$L$342-0)+1))),INDEX(Bang_xuyen_giap!$C$2:$C$8,MIN(7,MAX(1,IF($O$342,MAX(1,2-(Vu_khi!$L$342-0)),2-(Vu_khi!$L$342-0))+1))))*IF($AA$342,INDEX(Bang_xuyen_qua!$C$2:$C$5,MIN(4,MAX(1,(Vu_khi!$L$342)-(0)-1))),1)</f>
        <v/>
      </c>
      <c r="AD342" t="n">
        <v>1</v>
      </c>
      <c r="AE342">
        <f>IF(Vu_khi!$AG$342,INDEX(Bang_danh_noc!$C$2:$C$8,MIN(7,MAX(1,2-(Vu_khi!$L$342-2)+1))),INDEX(Bang_xuyen_giap!$C$2:$C$8,MIN(7,MAX(1,IF($O$342,MAX(1,2-(Vu_khi!$L$342-2)),2-(Vu_khi!$L$342-2))+1))))*IF($AA$342,INDEX(Bang_xuyen_qua!$C$2:$C$5,MIN(4,MAX(1,(Vu_khi!$L$342)-(2)-1))),1)</f>
        <v/>
      </c>
      <c r="AF342" t="n">
        <v>1</v>
      </c>
      <c r="AG342">
        <f>IF(Vu_khi!$AG$342,INDEX(Bang_danh_noc!$C$2:$C$8,MIN(7,MAX(1,2-(Vu_khi!$L$342-4)+1))),INDEX(Bang_xuyen_giap!$C$2:$C$8,MIN(7,MAX(1,IF($O$342,MAX(1,2-(Vu_khi!$L$342-4)),2-(Vu_khi!$L$342-4))+1))))*IF($AA$342,INDEX(Bang_xuyen_qua!$C$2:$C$5,MIN(4,MAX(1,(Vu_khi!$L$342)-(4)-1))),1)</f>
        <v/>
      </c>
      <c r="AH342" t="n">
        <v>0.65</v>
      </c>
      <c r="AI342">
        <f>INDEX(Bang_xuyen_giap!$C$2:$C$8,MIN(7,MAX(1,MAX(1,2-(Vu_khi!$L$342-0))+1)))*IF($AA$342,INDEX(Bang_xuyen_qua!$C$2:$C$5,MIN(4,MAX(1,(Vu_khi!$L$342)-(0)-1))),1)</f>
        <v/>
      </c>
      <c r="AJ342" t="n">
        <v>1</v>
      </c>
      <c r="AK342">
        <f>IF($Q$342,$M$342*$AC$342*$U$342,0)</f>
        <v/>
      </c>
      <c r="AL342" t="n">
        <v>40</v>
      </c>
      <c r="AM342">
        <f>IF($Q$342,$M$342*$AE$342*$U$342,0)</f>
        <v/>
      </c>
      <c r="AN342" t="n">
        <v>40</v>
      </c>
      <c r="AO342">
        <f>IF($Q$342,$M$342*$AG$342*$U$342,0)</f>
        <v/>
      </c>
      <c r="AP342" t="n">
        <v>26</v>
      </c>
      <c r="AQ342">
        <f>IF($Q$342,$M$342*$AE$342*$Y$342,0)</f>
        <v/>
      </c>
      <c r="AR342" t="n">
        <v>64</v>
      </c>
      <c r="AS342">
        <f>IF($S$342,$M$342*$AI$342*$W$342,0)</f>
        <v/>
      </c>
      <c r="AT342" t="n">
        <v>0</v>
      </c>
      <c r="AU342">
        <f>IF(OR(Vu_khi!$M$342="Missile",Vu_khi!$M$342="Drone",AND(Vu_khi!$M$342="Rocket",OR(Vu_khi!$AM$342,Vu_khi!$D$342="guided")),Vu_khi!$AL$342,Vu_khi!$AK$342,Vu_khi!$X$342&lt;=0),FALSE,IF($B$342&gt;=0,$B$342&gt;=4,IF(Vu_khi!$M$342="Shell",Vu_khi!$AN$342&gt;=Canh_bao_vong!$D$10,IF(Vu_khi!$M$342="Bomb",Vu_khi!$AN$342&gt;=Canh_bao_vong!$D$3,IF(Vu_khi!$M$342="Rocket",Vu_khi!$AN$342&gt;=Canh_bao_vong!$D$13,FALSE)))))</f>
        <v/>
      </c>
      <c r="AV342" t="b">
        <v>1</v>
      </c>
      <c r="AW342">
        <f>IF(AND($B$342&lt;0,$AU$342),4,$B$342)</f>
        <v/>
      </c>
      <c r="AX342" t="n">
        <v>4</v>
      </c>
      <c r="AY342">
        <f>IF($AW$342&lt;4,0,MIN(MAX(0.5,Canh_bao_vong!$D$4),MAX(IF(Vu_khi!$C$342="cal_406",Canh_bao_vong!$D$7,IF($AW$342&gt;=5,Canh_bao_vong!$D$9,Canh_bao_vong!$D$8)),Canh_bao_vong!$D$2+MAX(0,Vu_khi!$X$342)/MAX(0.1,Canh_bao_vong!$D$5))))</f>
        <v/>
      </c>
      <c r="AZ342" t="n">
        <v>2.5</v>
      </c>
      <c r="BA342" t="n">
        <v>0.1</v>
      </c>
      <c r="BB342" t="inlineStr">
        <is>
          <t>NHANH_QUA</t>
        </is>
      </c>
      <c r="BC342" t="inlineStr"/>
      <c r="BD342" t="n">
        <v>85</v>
      </c>
      <c r="BE342" t="n">
        <v>110.5</v>
      </c>
      <c r="BF342" t="n">
        <v>0.235</v>
      </c>
      <c r="BG342" t="n">
        <v>0.529</v>
      </c>
      <c r="BH342" t="n">
        <v>1.059</v>
      </c>
      <c r="BI342" t="n">
        <v>0.8139999999999999</v>
      </c>
      <c r="BJ342" t="inlineStr">
        <is>
          <t>ROCKET_ARTILLERY</t>
        </is>
      </c>
      <c r="BK342" t="inlineStr">
        <is>
          <t>ok</t>
        </is>
      </c>
      <c r="BL342" t="inlineStr">
        <is>
          <t>family m31_gmlrs_227_mm</t>
        </is>
      </c>
      <c r="BM342" t="n">
        <v>42.5</v>
      </c>
      <c r="BN342" t="inlineStr">
        <is>
          <t>Assets/MachineBrigade/Resources/Data/balance.json: weapons[id=turret_gmlrs] (lớp B trên 01_chien_dau/Vu_khi)</t>
        </is>
      </c>
      <c r="BO342" t="inlineStr"/>
    </row>
    <row r="343">
      <c r="A343" t="inlineStr">
        <is>
          <t>turret_gun_120</t>
        </is>
      </c>
      <c r="B343" t="n">
        <v>3</v>
      </c>
      <c r="C343">
        <f>IF(Vu_khi!$O$343="SIMULTANEOUS",MAX(1,Vu_khi!$N$343),1)</f>
        <v/>
      </c>
      <c r="D343" t="n">
        <v>1</v>
      </c>
      <c r="E343">
        <f>IF(Vu_khi!$S$343&gt;0,Vu_khi!$S$343,Vu_khi!$P$343*$C$343)</f>
        <v/>
      </c>
      <c r="F343" t="n">
        <v>1</v>
      </c>
      <c r="G343">
        <f>IF(Vu_khi!$S$343&gt;0,(Vu_khi!$S$343-1)*Vu_khi!$R$343+Vu_khi!$T$343,Vu_khi!$R$343+(Vu_khi!$P$343-1)*Vu_khi!$Q$343)</f>
        <v/>
      </c>
      <c r="H343" t="n">
        <v>4.114</v>
      </c>
      <c r="I343">
        <f>Vu_khi!$W$343*MAX(1,$E$343)</f>
        <v/>
      </c>
      <c r="J343" t="n">
        <v>343</v>
      </c>
      <c r="K343">
        <f>IF(Vu_khi!$V$343&gt;0,Vu_khi!$V$343,MIN(28,MAX(10,Vu_khi!$U$343*Vu_khi!$R$343*0.4)))</f>
        <v/>
      </c>
      <c r="L343" t="n">
        <v>10</v>
      </c>
      <c r="M343">
        <f>IF(Vu_khi!$W$343&lt;=0,0,IF(Vu_khi!$U$343&gt;0,$I$343*Vu_khi!$U$343/(MAX(0.05,$G$343)*Vu_khi!$U$343+$K$343),$I$343/MAX(0.05,$G$343)))</f>
        <v/>
      </c>
      <c r="N343" t="n">
        <v>83.37384540593096</v>
      </c>
      <c r="O343">
        <f>OR(Vu_khi!$AG$343,Vu_khi!$AB$343&gt;0,Vu_khi!$AH$343,Vu_khi!$M$343="Bomb",Vu_khi!$M$343="Drone")</f>
        <v/>
      </c>
      <c r="P343" t="b">
        <v>0</v>
      </c>
      <c r="Q343">
        <f>AND(NOT(Vu_khi!$AJ$343),OR(Vu_khi!$AC$343="Ground",Vu_khi!$AC$343="All"))</f>
        <v/>
      </c>
      <c r="R343" t="b">
        <v>1</v>
      </c>
      <c r="S343">
        <f>AND(NOT(Vu_khi!$AJ$343),OR(Vu_khi!$AC$343="Air",Vu_khi!$AC$343="All"))</f>
        <v/>
      </c>
      <c r="T343" t="b">
        <v>0</v>
      </c>
      <c r="U343">
        <f>INDEX(Bang_sat_thuong!$B$2:$B$7,MATCH(Vu_khi!$K$343,Bang_sat_thuong!$A$2:$A$7,0))</f>
        <v/>
      </c>
      <c r="V343" t="n">
        <v>1.2</v>
      </c>
      <c r="W343">
        <f>INDEX(Bang_sat_thuong!$C$2:$C$7,MATCH(Vu_khi!$K$343,Bang_sat_thuong!$A$2:$A$7,0))</f>
        <v/>
      </c>
      <c r="X343" t="n">
        <v>0.3</v>
      </c>
      <c r="Y343">
        <f>IF(AND(Vu_khi!$AI$343,Vu_khi!$K$343="HighExplosive"),MAX(He_so_toan_cuc!$D$2,INDEX(Bang_sat_thuong!$D$2:$D$7,MATCH(Vu_khi!$K$343,Bang_sat_thuong!$A$2:$A$7,0))),INDEX(Bang_sat_thuong!$D$2:$D$7,MATCH(Vu_khi!$K$343,Bang_sat_thuong!$A$2:$A$7,0)))</f>
        <v/>
      </c>
      <c r="Z343" t="n">
        <v>0.7</v>
      </c>
      <c r="AA343">
        <f>AND(Vu_khi!$K$343="Kinetic",NOT(Vu_khi!$AG$343))</f>
        <v/>
      </c>
      <c r="AB343" t="b">
        <v>1</v>
      </c>
      <c r="AC343">
        <f>IF(Vu_khi!$AG$343,INDEX(Bang_danh_noc!$C$2:$C$8,MIN(7,MAX(1,2-(Vu_khi!$L$343-0)+1))),INDEX(Bang_xuyen_giap!$C$2:$C$8,MIN(7,MAX(1,IF($O$343,MAX(1,2-(Vu_khi!$L$343-0)),2-(Vu_khi!$L$343-0))+1))))*IF($AA$343,INDEX(Bang_xuyen_qua!$C$2:$C$5,MIN(4,MAX(1,(Vu_khi!$L$343)-(0)-1))),1)</f>
        <v/>
      </c>
      <c r="AD343" t="n">
        <v>1.02</v>
      </c>
      <c r="AE343">
        <f>IF(Vu_khi!$AG$343,INDEX(Bang_danh_noc!$C$2:$C$8,MIN(7,MAX(1,2-(Vu_khi!$L$343-2)+1))),INDEX(Bang_xuyen_giap!$C$2:$C$8,MIN(7,MAX(1,IF($O$343,MAX(1,2-(Vu_khi!$L$343-2)),2-(Vu_khi!$L$343-2))+1))))*IF($AA$343,INDEX(Bang_xuyen_qua!$C$2:$C$5,MIN(4,MAX(1,(Vu_khi!$L$343)-(2)-1))),1)</f>
        <v/>
      </c>
      <c r="AF343" t="n">
        <v>1.2</v>
      </c>
      <c r="AG343">
        <f>IF(Vu_khi!$AG$343,INDEX(Bang_danh_noc!$C$2:$C$8,MIN(7,MAX(1,2-(Vu_khi!$L$343-4)+1))),INDEX(Bang_xuyen_giap!$C$2:$C$8,MIN(7,MAX(1,IF($O$343,MAX(1,2-(Vu_khi!$L$343-4)),2-(Vu_khi!$L$343-4))+1))))*IF($AA$343,INDEX(Bang_xuyen_qua!$C$2:$C$5,MIN(4,MAX(1,(Vu_khi!$L$343)-(4)-1))),1)</f>
        <v/>
      </c>
      <c r="AH343" t="n">
        <v>0.85</v>
      </c>
      <c r="AI343">
        <f>INDEX(Bang_xuyen_giap!$C$2:$C$8,MIN(7,MAX(1,MAX(1,2-(Vu_khi!$L$343-0))+1)))*IF($AA$343,INDEX(Bang_xuyen_qua!$C$2:$C$5,MIN(4,MAX(1,(Vu_khi!$L$343)-(0)-1))),1)</f>
        <v/>
      </c>
      <c r="AJ343" t="n">
        <v>0.85</v>
      </c>
      <c r="AK343">
        <f>IF($Q$343,$M$343*$AC$343*$U$343,0)</f>
        <v/>
      </c>
      <c r="AL343" t="n">
        <v>102.0495867768595</v>
      </c>
      <c r="AM343">
        <f>IF($Q$343,$M$343*$AE$343*$U$343,0)</f>
        <v/>
      </c>
      <c r="AN343" t="n">
        <v>120.0583373845406</v>
      </c>
      <c r="AO343">
        <f>IF($Q$343,$M$343*$AG$343*$U$343,0)</f>
        <v/>
      </c>
      <c r="AP343" t="n">
        <v>85.04132231404958</v>
      </c>
      <c r="AQ343">
        <f>IF($Q$343,$M$343*$AE$343*$Y$343,0)</f>
        <v/>
      </c>
      <c r="AR343" t="n">
        <v>70.03403014098201</v>
      </c>
      <c r="AS343">
        <f>IF($S$343,$M$343*$AI$343*$W$343,0)</f>
        <v/>
      </c>
      <c r="AT343" t="n">
        <v>0</v>
      </c>
      <c r="AU343">
        <f>IF(OR(Vu_khi!$M$343="Missile",Vu_khi!$M$343="Drone",AND(Vu_khi!$M$343="Rocket",OR(Vu_khi!$AM$343,Vu_khi!$D$343="guided")),Vu_khi!$AL$343,Vu_khi!$AK$343,Vu_khi!$X$343&lt;=0),FALSE,IF($B$343&gt;=0,$B$343&gt;=4,IF(Vu_khi!$M$343="Shell",Vu_khi!$AN$343&gt;=Canh_bao_vong!$D$10,IF(Vu_khi!$M$343="Bomb",Vu_khi!$AN$343&gt;=Canh_bao_vong!$D$3,IF(Vu_khi!$M$343="Rocket",Vu_khi!$AN$343&gt;=Canh_bao_vong!$D$13,FALSE)))))</f>
        <v/>
      </c>
      <c r="AV343" t="b">
        <v>0</v>
      </c>
      <c r="AW343">
        <f>IF(AND($B$343&lt;0,$AU$343),4,$B$343)</f>
        <v/>
      </c>
      <c r="AX343" t="n">
        <v>3</v>
      </c>
      <c r="AY343">
        <f>IF($AW$343&lt;4,0,MIN(MAX(0.5,Canh_bao_vong!$D$4),MAX(IF(Vu_khi!$C$343="cal_406",Canh_bao_vong!$D$7,IF($AW$343&gt;=5,Canh_bao_vong!$D$9,Canh_bao_vong!$D$8)),Canh_bao_vong!$D$2+MAX(0,Vu_khi!$X$343)/MAX(0.1,Canh_bao_vong!$D$5))))</f>
        <v/>
      </c>
      <c r="AZ343" t="n">
        <v>0</v>
      </c>
      <c r="BA343" t="n">
        <v>0.383973</v>
      </c>
      <c r="BB343" t="inlineStr">
        <is>
          <t>NHANH_QUA;LECH_DOT_1</t>
        </is>
      </c>
      <c r="BC343" t="inlineStr"/>
      <c r="BD343" t="n">
        <v>170</v>
      </c>
      <c r="BE343" t="n">
        <v>221</v>
      </c>
      <c r="BF343" t="n">
        <v>0.047</v>
      </c>
      <c r="BG343" t="n">
        <v>0.094</v>
      </c>
      <c r="BH343" t="n">
        <v>0.188</v>
      </c>
      <c r="BI343" t="n">
        <v>0.145</v>
      </c>
      <c r="BJ343" t="inlineStr">
        <is>
          <t>DIRECT_FAST</t>
        </is>
      </c>
      <c r="BK343" t="inlineStr">
        <is>
          <t>ok</t>
        </is>
      </c>
      <c r="BL343" t="inlineStr">
        <is>
          <t>family rh_120_l_44_120_mm</t>
        </is>
      </c>
      <c r="BM343" t="inlineStr"/>
      <c r="BN343" t="inlineStr">
        <is>
          <t>Assets/MachineBrigade/Resources/Data/balance.json: weapons[id=turret_gun_120] (lớp B trên 01_chien_dau/Vu_khi)</t>
        </is>
      </c>
      <c r="BO343" t="inlineStr"/>
    </row>
    <row r="344">
      <c r="A344" t="inlineStr">
        <is>
          <t>turret_gun_120_auto</t>
        </is>
      </c>
      <c r="B344" t="n">
        <v>3</v>
      </c>
      <c r="C344">
        <f>IF(Vu_khi!$O$344="SIMULTANEOUS",MAX(1,Vu_khi!$N$344),1)</f>
        <v/>
      </c>
      <c r="D344" t="n">
        <v>1</v>
      </c>
      <c r="E344">
        <f>IF(Vu_khi!$S$344&gt;0,Vu_khi!$S$344,Vu_khi!$P$344*$C$344)</f>
        <v/>
      </c>
      <c r="F344" t="n">
        <v>1</v>
      </c>
      <c r="G344">
        <f>IF(Vu_khi!$S$344&gt;0,(Vu_khi!$S$344-1)*Vu_khi!$R$344+Vu_khi!$T$344,Vu_khi!$R$344+(Vu_khi!$P$344-1)*Vu_khi!$Q$344)</f>
        <v/>
      </c>
      <c r="H344" t="n">
        <v>3.614</v>
      </c>
      <c r="I344">
        <f>Vu_khi!$W$344*MAX(1,$E$344)</f>
        <v/>
      </c>
      <c r="J344" t="n">
        <v>343</v>
      </c>
      <c r="K344">
        <f>IF(Vu_khi!$V$344&gt;0,Vu_khi!$V$344,MIN(28,MAX(10,Vu_khi!$U$344*Vu_khi!$R$344*0.4)))</f>
        <v/>
      </c>
      <c r="L344" t="n">
        <v>10</v>
      </c>
      <c r="M344">
        <f>IF(Vu_khi!$W$344&lt;=0,0,IF(Vu_khi!$U$344&gt;0,$I$344*Vu_khi!$U$344/(MAX(0.05,$G$344)*Vu_khi!$U$344+$K$344),$I$344/MAX(0.05,$G$344)))</f>
        <v/>
      </c>
      <c r="N344" t="n">
        <v>94.90868843386829</v>
      </c>
      <c r="O344">
        <f>OR(Vu_khi!$AG$344,Vu_khi!$AB$344&gt;0,Vu_khi!$AH$344,Vu_khi!$M$344="Bomb",Vu_khi!$M$344="Drone")</f>
        <v/>
      </c>
      <c r="P344" t="b">
        <v>0</v>
      </c>
      <c r="Q344">
        <f>AND(NOT(Vu_khi!$AJ$344),OR(Vu_khi!$AC$344="Ground",Vu_khi!$AC$344="All"))</f>
        <v/>
      </c>
      <c r="R344" t="b">
        <v>1</v>
      </c>
      <c r="S344">
        <f>AND(NOT(Vu_khi!$AJ$344),OR(Vu_khi!$AC$344="Air",Vu_khi!$AC$344="All"))</f>
        <v/>
      </c>
      <c r="T344" t="b">
        <v>0</v>
      </c>
      <c r="U344">
        <f>INDEX(Bang_sat_thuong!$B$2:$B$7,MATCH(Vu_khi!$K$344,Bang_sat_thuong!$A$2:$A$7,0))</f>
        <v/>
      </c>
      <c r="V344" t="n">
        <v>1.2</v>
      </c>
      <c r="W344">
        <f>INDEX(Bang_sat_thuong!$C$2:$C$7,MATCH(Vu_khi!$K$344,Bang_sat_thuong!$A$2:$A$7,0))</f>
        <v/>
      </c>
      <c r="X344" t="n">
        <v>0.3</v>
      </c>
      <c r="Y344">
        <f>IF(AND(Vu_khi!$AI$344,Vu_khi!$K$344="HighExplosive"),MAX(He_so_toan_cuc!$D$2,INDEX(Bang_sat_thuong!$D$2:$D$7,MATCH(Vu_khi!$K$344,Bang_sat_thuong!$A$2:$A$7,0))),INDEX(Bang_sat_thuong!$D$2:$D$7,MATCH(Vu_khi!$K$344,Bang_sat_thuong!$A$2:$A$7,0)))</f>
        <v/>
      </c>
      <c r="Z344" t="n">
        <v>0.7</v>
      </c>
      <c r="AA344">
        <f>AND(Vu_khi!$K$344="Kinetic",NOT(Vu_khi!$AG$344))</f>
        <v/>
      </c>
      <c r="AB344" t="b">
        <v>1</v>
      </c>
      <c r="AC344">
        <f>IF(Vu_khi!$AG$344,INDEX(Bang_danh_noc!$C$2:$C$8,MIN(7,MAX(1,2-(Vu_khi!$L$344-0)+1))),INDEX(Bang_xuyen_giap!$C$2:$C$8,MIN(7,MAX(1,IF($O$344,MAX(1,2-(Vu_khi!$L$344-0)),2-(Vu_khi!$L$344-0))+1))))*IF($AA$344,INDEX(Bang_xuyen_qua!$C$2:$C$5,MIN(4,MAX(1,(Vu_khi!$L$344)-(0)-1))),1)</f>
        <v/>
      </c>
      <c r="AD344" t="n">
        <v>1.02</v>
      </c>
      <c r="AE344">
        <f>IF(Vu_khi!$AG$344,INDEX(Bang_danh_noc!$C$2:$C$8,MIN(7,MAX(1,2-(Vu_khi!$L$344-2)+1))),INDEX(Bang_xuyen_giap!$C$2:$C$8,MIN(7,MAX(1,IF($O$344,MAX(1,2-(Vu_khi!$L$344-2)),2-(Vu_khi!$L$344-2))+1))))*IF($AA$344,INDEX(Bang_xuyen_qua!$C$2:$C$5,MIN(4,MAX(1,(Vu_khi!$L$344)-(2)-1))),1)</f>
        <v/>
      </c>
      <c r="AF344" t="n">
        <v>1.2</v>
      </c>
      <c r="AG344">
        <f>IF(Vu_khi!$AG$344,INDEX(Bang_danh_noc!$C$2:$C$8,MIN(7,MAX(1,2-(Vu_khi!$L$344-4)+1))),INDEX(Bang_xuyen_giap!$C$2:$C$8,MIN(7,MAX(1,IF($O$344,MAX(1,2-(Vu_khi!$L$344-4)),2-(Vu_khi!$L$344-4))+1))))*IF($AA$344,INDEX(Bang_xuyen_qua!$C$2:$C$5,MIN(4,MAX(1,(Vu_khi!$L$344)-(4)-1))),1)</f>
        <v/>
      </c>
      <c r="AH344" t="n">
        <v>0.85</v>
      </c>
      <c r="AI344">
        <f>INDEX(Bang_xuyen_giap!$C$2:$C$8,MIN(7,MAX(1,MAX(1,2-(Vu_khi!$L$344-0))+1)))*IF($AA$344,INDEX(Bang_xuyen_qua!$C$2:$C$5,MIN(4,MAX(1,(Vu_khi!$L$344)-(0)-1))),1)</f>
        <v/>
      </c>
      <c r="AJ344" t="n">
        <v>0.85</v>
      </c>
      <c r="AK344">
        <f>IF($Q$344,$M$344*$AC$344*$U$344,0)</f>
        <v/>
      </c>
      <c r="AL344" t="n">
        <v>116.1682346430548</v>
      </c>
      <c r="AM344">
        <f>IF($Q$344,$M$344*$AE$344*$U$344,0)</f>
        <v/>
      </c>
      <c r="AN344" t="n">
        <v>136.6685113447703</v>
      </c>
      <c r="AO344">
        <f>IF($Q$344,$M$344*$AG$344*$U$344,0)</f>
        <v/>
      </c>
      <c r="AP344" t="n">
        <v>96.80686220254566</v>
      </c>
      <c r="AQ344">
        <f>IF($Q$344,$M$344*$AE$344*$Y$344,0)</f>
        <v/>
      </c>
      <c r="AR344" t="n">
        <v>79.72329828444936</v>
      </c>
      <c r="AS344">
        <f>IF($S$344,$M$344*$AI$344*$W$344,0)</f>
        <v/>
      </c>
      <c r="AT344" t="n">
        <v>0</v>
      </c>
      <c r="AU344">
        <f>IF(OR(Vu_khi!$M$344="Missile",Vu_khi!$M$344="Drone",AND(Vu_khi!$M$344="Rocket",OR(Vu_khi!$AM$344,Vu_khi!$D$344="guided")),Vu_khi!$AL$344,Vu_khi!$AK$344,Vu_khi!$X$344&lt;=0),FALSE,IF($B$344&gt;=0,$B$344&gt;=4,IF(Vu_khi!$M$344="Shell",Vu_khi!$AN$344&gt;=Canh_bao_vong!$D$10,IF(Vu_khi!$M$344="Bomb",Vu_khi!$AN$344&gt;=Canh_bao_vong!$D$3,IF(Vu_khi!$M$344="Rocket",Vu_khi!$AN$344&gt;=Canh_bao_vong!$D$13,FALSE)))))</f>
        <v/>
      </c>
      <c r="AV344" t="b">
        <v>0</v>
      </c>
      <c r="AW344">
        <f>IF(AND($B$344&lt;0,$AU$344),4,$B$344)</f>
        <v/>
      </c>
      <c r="AX344" t="n">
        <v>3</v>
      </c>
      <c r="AY344">
        <f>IF($AW$344&lt;4,0,MIN(MAX(0.5,Canh_bao_vong!$D$4),MAX(IF(Vu_khi!$C$344="cal_406",Canh_bao_vong!$D$7,IF($AW$344&gt;=5,Canh_bao_vong!$D$9,Canh_bao_vong!$D$8)),Canh_bao_vong!$D$2+MAX(0,Vu_khi!$X$344)/MAX(0.1,Canh_bao_vong!$D$5))))</f>
        <v/>
      </c>
      <c r="AZ344" t="n">
        <v>0</v>
      </c>
      <c r="BA344" t="n">
        <v>0.337307</v>
      </c>
      <c r="BB344" t="inlineStr">
        <is>
          <t>NHANH_QUA;LECH_DOT_1</t>
        </is>
      </c>
      <c r="BC344" t="inlineStr"/>
      <c r="BD344" t="n">
        <v>170</v>
      </c>
      <c r="BE344" t="n">
        <v>221</v>
      </c>
      <c r="BF344" t="n">
        <v>0.047</v>
      </c>
      <c r="BG344" t="n">
        <v>0.094</v>
      </c>
      <c r="BH344" t="n">
        <v>0.188</v>
      </c>
      <c r="BI344" t="n">
        <v>0.145</v>
      </c>
      <c r="BJ344" t="inlineStr">
        <is>
          <t>DIRECT_FAST</t>
        </is>
      </c>
      <c r="BK344" t="inlineStr">
        <is>
          <t>ok</t>
        </is>
      </c>
      <c r="BL344" t="inlineStr">
        <is>
          <t>family rh_120_l_44_120_mm</t>
        </is>
      </c>
      <c r="BM344" t="inlineStr"/>
      <c r="BN344" t="inlineStr">
        <is>
          <t>Assets/MachineBrigade/Resources/Data/balance.json: weapons[id=turret_gun_120_auto] (lớp B trên 01_chien_dau/Vu_khi)</t>
        </is>
      </c>
      <c r="BO344" t="inlineStr"/>
    </row>
    <row r="345">
      <c r="A345" t="inlineStr">
        <is>
          <t>turret_gun_120_he</t>
        </is>
      </c>
      <c r="B345" t="n">
        <v>3</v>
      </c>
      <c r="C345">
        <f>IF(Vu_khi!$O$345="SIMULTANEOUS",MAX(1,Vu_khi!$N$345),1)</f>
        <v/>
      </c>
      <c r="D345" t="n">
        <v>1</v>
      </c>
      <c r="E345">
        <f>IF(Vu_khi!$S$345&gt;0,Vu_khi!$S$345,Vu_khi!$P$345*$C$345)</f>
        <v/>
      </c>
      <c r="F345" t="n">
        <v>1</v>
      </c>
      <c r="G345">
        <f>IF(Vu_khi!$S$345&gt;0,(Vu_khi!$S$345-1)*Vu_khi!$R$345+Vu_khi!$T$345,Vu_khi!$R$345+(Vu_khi!$P$345-1)*Vu_khi!$Q$345)</f>
        <v/>
      </c>
      <c r="H345" t="n">
        <v>4.114</v>
      </c>
      <c r="I345">
        <f>Vu_khi!$W$345*MAX(1,$E$345)</f>
        <v/>
      </c>
      <c r="J345" t="n">
        <v>343</v>
      </c>
      <c r="K345">
        <f>IF(Vu_khi!$V$345&gt;0,Vu_khi!$V$345,MIN(28,MAX(10,Vu_khi!$U$345*Vu_khi!$R$345*0.4)))</f>
        <v/>
      </c>
      <c r="L345" t="n">
        <v>10</v>
      </c>
      <c r="M345">
        <f>IF(Vu_khi!$W$345&lt;=0,0,IF(Vu_khi!$U$345&gt;0,$I$345*Vu_khi!$U$345/(MAX(0.05,$G$345)*Vu_khi!$U$345+$K$345),$I$345/MAX(0.05,$G$345)))</f>
        <v/>
      </c>
      <c r="N345" t="n">
        <v>83.37384540593096</v>
      </c>
      <c r="O345">
        <f>OR(Vu_khi!$AG$345,Vu_khi!$AB$345&gt;0,Vu_khi!$AH$345,Vu_khi!$M$345="Bomb",Vu_khi!$M$345="Drone")</f>
        <v/>
      </c>
      <c r="P345" t="b">
        <v>0</v>
      </c>
      <c r="Q345">
        <f>AND(NOT(Vu_khi!$AJ$345),OR(Vu_khi!$AC$345="Ground",Vu_khi!$AC$345="All"))</f>
        <v/>
      </c>
      <c r="R345" t="b">
        <v>1</v>
      </c>
      <c r="S345">
        <f>AND(NOT(Vu_khi!$AJ$345),OR(Vu_khi!$AC$345="Air",Vu_khi!$AC$345="All"))</f>
        <v/>
      </c>
      <c r="T345" t="b">
        <v>0</v>
      </c>
      <c r="U345">
        <f>INDEX(Bang_sat_thuong!$B$2:$B$7,MATCH(Vu_khi!$K$345,Bang_sat_thuong!$A$2:$A$7,0))</f>
        <v/>
      </c>
      <c r="V345" t="n">
        <v>1</v>
      </c>
      <c r="W345">
        <f>INDEX(Bang_sat_thuong!$C$2:$C$7,MATCH(Vu_khi!$K$345,Bang_sat_thuong!$A$2:$A$7,0))</f>
        <v/>
      </c>
      <c r="X345" t="n">
        <v>0</v>
      </c>
      <c r="Y345">
        <f>IF(AND(Vu_khi!$AI$345,Vu_khi!$K$345="HighExplosive"),MAX(He_so_toan_cuc!$D$2,INDEX(Bang_sat_thuong!$D$2:$D$7,MATCH(Vu_khi!$K$345,Bang_sat_thuong!$A$2:$A$7,0))),INDEX(Bang_sat_thuong!$D$2:$D$7,MATCH(Vu_khi!$K$345,Bang_sat_thuong!$A$2:$A$7,0)))</f>
        <v/>
      </c>
      <c r="Z345" t="n">
        <v>1.6</v>
      </c>
      <c r="AA345">
        <f>AND(Vu_khi!$K$345="Kinetic",NOT(Vu_khi!$AG$345))</f>
        <v/>
      </c>
      <c r="AB345" t="b">
        <v>0</v>
      </c>
      <c r="AC345">
        <f>IF(Vu_khi!$AG$345,INDEX(Bang_danh_noc!$C$2:$C$8,MIN(7,MAX(1,2-(Vu_khi!$L$345-0)+1))),INDEX(Bang_xuyen_giap!$C$2:$C$8,MIN(7,MAX(1,IF($O$345,MAX(1,2-(Vu_khi!$L$345-0)),2-(Vu_khi!$L$345-0))+1))))*IF($AA$345,INDEX(Bang_xuyen_qua!$C$2:$C$5,MIN(4,MAX(1,(Vu_khi!$L$345)-(0)-1))),1)</f>
        <v/>
      </c>
      <c r="AD345" t="n">
        <v>1.2</v>
      </c>
      <c r="AE345">
        <f>IF(Vu_khi!$AG$345,INDEX(Bang_danh_noc!$C$2:$C$8,MIN(7,MAX(1,2-(Vu_khi!$L$345-2)+1))),INDEX(Bang_xuyen_giap!$C$2:$C$8,MIN(7,MAX(1,IF($O$345,MAX(1,2-(Vu_khi!$L$345-2)),2-(Vu_khi!$L$345-2))+1))))*IF($AA$345,INDEX(Bang_xuyen_qua!$C$2:$C$5,MIN(4,MAX(1,(Vu_khi!$L$345)-(2)-1))),1)</f>
        <v/>
      </c>
      <c r="AF345" t="n">
        <v>0.85</v>
      </c>
      <c r="AG345">
        <f>IF(Vu_khi!$AG$345,INDEX(Bang_danh_noc!$C$2:$C$8,MIN(7,MAX(1,2-(Vu_khi!$L$345-4)+1))),INDEX(Bang_xuyen_giap!$C$2:$C$8,MIN(7,MAX(1,IF($O$345,MAX(1,2-(Vu_khi!$L$345-4)),2-(Vu_khi!$L$345-4))+1))))*IF($AA$345,INDEX(Bang_xuyen_qua!$C$2:$C$5,MIN(4,MAX(1,(Vu_khi!$L$345)-(4)-1))),1)</f>
        <v/>
      </c>
      <c r="AH345" t="n">
        <v>0.4</v>
      </c>
      <c r="AI345">
        <f>INDEX(Bang_xuyen_giap!$C$2:$C$8,MIN(7,MAX(1,MAX(1,2-(Vu_khi!$L$345-0))+1)))*IF($AA$345,INDEX(Bang_xuyen_qua!$C$2:$C$5,MIN(4,MAX(1,(Vu_khi!$L$345)-(0)-1))),1)</f>
        <v/>
      </c>
      <c r="AJ345" t="n">
        <v>1</v>
      </c>
      <c r="AK345">
        <f>IF($Q$345,$M$345*$AC$345*$U$345,0)</f>
        <v/>
      </c>
      <c r="AL345" t="n">
        <v>100.0486144871171</v>
      </c>
      <c r="AM345">
        <f>IF($Q$345,$M$345*$AE$345*$U$345,0)</f>
        <v/>
      </c>
      <c r="AN345" t="n">
        <v>70.86776859504131</v>
      </c>
      <c r="AO345">
        <f>IF($Q$345,$M$345*$AG$345*$U$345,0)</f>
        <v/>
      </c>
      <c r="AP345" t="n">
        <v>33.34953816237239</v>
      </c>
      <c r="AQ345">
        <f>IF($Q$345,$M$345*$AE$345*$Y$345,0)</f>
        <v/>
      </c>
      <c r="AR345" t="n">
        <v>113.3884297520661</v>
      </c>
      <c r="AS345">
        <f>IF($S$345,$M$345*$AI$345*$W$345,0)</f>
        <v/>
      </c>
      <c r="AT345" t="n">
        <v>0</v>
      </c>
      <c r="AU345">
        <f>IF(OR(Vu_khi!$M$345="Missile",Vu_khi!$M$345="Drone",AND(Vu_khi!$M$345="Rocket",OR(Vu_khi!$AM$345,Vu_khi!$D$345="guided")),Vu_khi!$AL$345,Vu_khi!$AK$345,Vu_khi!$X$345&lt;=0),FALSE,IF($B$345&gt;=0,$B$345&gt;=4,IF(Vu_khi!$M$345="Shell",Vu_khi!$AN$345&gt;=Canh_bao_vong!$D$10,IF(Vu_khi!$M$345="Bomb",Vu_khi!$AN$345&gt;=Canh_bao_vong!$D$3,IF(Vu_khi!$M$345="Rocket",Vu_khi!$AN$345&gt;=Canh_bao_vong!$D$13,FALSE)))))</f>
        <v/>
      </c>
      <c r="AV345" t="b">
        <v>0</v>
      </c>
      <c r="AW345">
        <f>IF(AND($B$345&lt;0,$AU$345),4,$B$345)</f>
        <v/>
      </c>
      <c r="AX345" t="n">
        <v>3</v>
      </c>
      <c r="AY345">
        <f>IF($AW$345&lt;4,0,MIN(MAX(0.5,Canh_bao_vong!$D$4),MAX(IF(Vu_khi!$C$345="cal_406",Canh_bao_vong!$D$7,IF($AW$345&gt;=5,Canh_bao_vong!$D$9,Canh_bao_vong!$D$8)),Canh_bao_vong!$D$2+MAX(0,Vu_khi!$X$345)/MAX(0.1,Canh_bao_vong!$D$5))))</f>
        <v/>
      </c>
      <c r="AZ345" t="n">
        <v>0</v>
      </c>
      <c r="BD345" t="n">
        <v>170</v>
      </c>
      <c r="BE345" t="n">
        <v>221</v>
      </c>
      <c r="BF345" t="n">
        <v>0.047</v>
      </c>
      <c r="BG345" t="n">
        <v>0.094</v>
      </c>
      <c r="BH345" t="n">
        <v>0.188</v>
      </c>
      <c r="BI345" t="n">
        <v>0.145</v>
      </c>
      <c r="BJ345" t="inlineStr">
        <is>
          <t>DIRECT_FAST</t>
        </is>
      </c>
      <c r="BK345" t="inlineStr">
        <is>
          <t>ok</t>
        </is>
      </c>
      <c r="BL345" t="inlineStr">
        <is>
          <t>family rh_120_l_44_120_mm_he</t>
        </is>
      </c>
      <c r="BM345" t="inlineStr"/>
      <c r="BN345" t="inlineStr">
        <is>
          <t>Assets/MachineBrigade/Resources/Data/balance.json: weapons[id=turret_gun_120_he] (lớp B trên 01_chien_dau/Vu_khi)</t>
        </is>
      </c>
      <c r="BO345" t="inlineStr"/>
    </row>
    <row r="346">
      <c r="A346" t="inlineStr">
        <is>
          <t>turret_gun_120_long</t>
        </is>
      </c>
      <c r="B346" t="n">
        <v>3</v>
      </c>
      <c r="C346">
        <f>IF(Vu_khi!$O$346="SIMULTANEOUS",MAX(1,Vu_khi!$N$346),1)</f>
        <v/>
      </c>
      <c r="D346" t="n">
        <v>1</v>
      </c>
      <c r="E346">
        <f>IF(Vu_khi!$S$346&gt;0,Vu_khi!$S$346,Vu_khi!$P$346*$C$346)</f>
        <v/>
      </c>
      <c r="F346" t="n">
        <v>1</v>
      </c>
      <c r="G346">
        <f>IF(Vu_khi!$S$346&gt;0,(Vu_khi!$S$346-1)*Vu_khi!$R$346+Vu_khi!$T$346,Vu_khi!$R$346+(Vu_khi!$P$346-1)*Vu_khi!$Q$346)</f>
        <v/>
      </c>
      <c r="H346" t="n">
        <v>5.571</v>
      </c>
      <c r="I346">
        <f>Vu_khi!$W$346*MAX(1,$E$346)</f>
        <v/>
      </c>
      <c r="J346" t="n">
        <v>343</v>
      </c>
      <c r="K346">
        <f>IF(Vu_khi!$V$346&gt;0,Vu_khi!$V$346,MIN(28,MAX(10,Vu_khi!$U$346*Vu_khi!$R$346*0.4)))</f>
        <v/>
      </c>
      <c r="L346" t="n">
        <v>10</v>
      </c>
      <c r="M346">
        <f>IF(Vu_khi!$W$346&lt;=0,0,IF(Vu_khi!$U$346&gt;0,$I$346*Vu_khi!$U$346/(MAX(0.05,$G$346)*Vu_khi!$U$346+$K$346),$I$346/MAX(0.05,$G$346)))</f>
        <v/>
      </c>
      <c r="N346" t="n">
        <v>61.56883862861246</v>
      </c>
      <c r="O346">
        <f>OR(Vu_khi!$AG$346,Vu_khi!$AB$346&gt;0,Vu_khi!$AH$346,Vu_khi!$M$346="Bomb",Vu_khi!$M$346="Drone")</f>
        <v/>
      </c>
      <c r="P346" t="b">
        <v>0</v>
      </c>
      <c r="Q346">
        <f>AND(NOT(Vu_khi!$AJ$346),OR(Vu_khi!$AC$346="Ground",Vu_khi!$AC$346="All"))</f>
        <v/>
      </c>
      <c r="R346" t="b">
        <v>1</v>
      </c>
      <c r="S346">
        <f>AND(NOT(Vu_khi!$AJ$346),OR(Vu_khi!$AC$346="Air",Vu_khi!$AC$346="All"))</f>
        <v/>
      </c>
      <c r="T346" t="b">
        <v>0</v>
      </c>
      <c r="U346">
        <f>INDEX(Bang_sat_thuong!$B$2:$B$7,MATCH(Vu_khi!$K$346,Bang_sat_thuong!$A$2:$A$7,0))</f>
        <v/>
      </c>
      <c r="V346" t="n">
        <v>1.2</v>
      </c>
      <c r="W346">
        <f>INDEX(Bang_sat_thuong!$C$2:$C$7,MATCH(Vu_khi!$K$346,Bang_sat_thuong!$A$2:$A$7,0))</f>
        <v/>
      </c>
      <c r="X346" t="n">
        <v>0.3</v>
      </c>
      <c r="Y346">
        <f>IF(AND(Vu_khi!$AI$346,Vu_khi!$K$346="HighExplosive"),MAX(He_so_toan_cuc!$D$2,INDEX(Bang_sat_thuong!$D$2:$D$7,MATCH(Vu_khi!$K$346,Bang_sat_thuong!$A$2:$A$7,0))),INDEX(Bang_sat_thuong!$D$2:$D$7,MATCH(Vu_khi!$K$346,Bang_sat_thuong!$A$2:$A$7,0)))</f>
        <v/>
      </c>
      <c r="Z346" t="n">
        <v>0.7</v>
      </c>
      <c r="AA346">
        <f>AND(Vu_khi!$K$346="Kinetic",NOT(Vu_khi!$AG$346))</f>
        <v/>
      </c>
      <c r="AB346" t="b">
        <v>1</v>
      </c>
      <c r="AC346">
        <f>IF(Vu_khi!$AG$346,INDEX(Bang_danh_noc!$C$2:$C$8,MIN(7,MAX(1,2-(Vu_khi!$L$346-0)+1))),INDEX(Bang_xuyen_giap!$C$2:$C$8,MIN(7,MAX(1,IF($O$346,MAX(1,2-(Vu_khi!$L$346-0)),2-(Vu_khi!$L$346-0))+1))))*IF($AA$346,INDEX(Bang_xuyen_qua!$C$2:$C$5,MIN(4,MAX(1,(Vu_khi!$L$346)-(0)-1))),1)</f>
        <v/>
      </c>
      <c r="AD346" t="n">
        <v>0.8999999999999999</v>
      </c>
      <c r="AE346">
        <f>IF(Vu_khi!$AG$346,INDEX(Bang_danh_noc!$C$2:$C$8,MIN(7,MAX(1,2-(Vu_khi!$L$346-2)+1))),INDEX(Bang_xuyen_giap!$C$2:$C$8,MIN(7,MAX(1,IF($O$346,MAX(1,2-(Vu_khi!$L$346-2)),2-(Vu_khi!$L$346-2))+1))))*IF($AA$346,INDEX(Bang_xuyen_qua!$C$2:$C$5,MIN(4,MAX(1,(Vu_khi!$L$346)-(2)-1))),1)</f>
        <v/>
      </c>
      <c r="AF346" t="n">
        <v>1.14</v>
      </c>
      <c r="AG346">
        <f>IF(Vu_khi!$AG$346,INDEX(Bang_danh_noc!$C$2:$C$8,MIN(7,MAX(1,2-(Vu_khi!$L$346-4)+1))),INDEX(Bang_xuyen_giap!$C$2:$C$8,MIN(7,MAX(1,IF($O$346,MAX(1,2-(Vu_khi!$L$346-4)),2-(Vu_khi!$L$346-4))+1))))*IF($AA$346,INDEX(Bang_xuyen_qua!$C$2:$C$5,MIN(4,MAX(1,(Vu_khi!$L$346)-(4)-1))),1)</f>
        <v/>
      </c>
      <c r="AH346" t="n">
        <v>1</v>
      </c>
      <c r="AI346">
        <f>INDEX(Bang_xuyen_giap!$C$2:$C$8,MIN(7,MAX(1,MAX(1,2-(Vu_khi!$L$346-0))+1)))*IF($AA$346,INDEX(Bang_xuyen_qua!$C$2:$C$5,MIN(4,MAX(1,(Vu_khi!$L$346)-(0)-1))),1)</f>
        <v/>
      </c>
      <c r="AJ346" t="n">
        <v>0.75</v>
      </c>
      <c r="AK346">
        <f>IF($Q$346,$M$346*$AC$346*$U$346,0)</f>
        <v/>
      </c>
      <c r="AL346" t="n">
        <v>66.49434571890144</v>
      </c>
      <c r="AM346">
        <f>IF($Q$346,$M$346*$AE$346*$U$346,0)</f>
        <v/>
      </c>
      <c r="AN346" t="n">
        <v>84.22617124394183</v>
      </c>
      <c r="AO346">
        <f>IF($Q$346,$M$346*$AG$346*$U$346,0)</f>
        <v/>
      </c>
      <c r="AP346" t="n">
        <v>73.88260635433495</v>
      </c>
      <c r="AQ346">
        <f>IF($Q$346,$M$346*$AE$346*$Y$346,0)</f>
        <v/>
      </c>
      <c r="AR346" t="n">
        <v>49.13193322563274</v>
      </c>
      <c r="AS346">
        <f>IF($S$346,$M$346*$AI$346*$W$346,0)</f>
        <v/>
      </c>
      <c r="AT346" t="n">
        <v>0</v>
      </c>
      <c r="AU346">
        <f>IF(OR(Vu_khi!$M$346="Missile",Vu_khi!$M$346="Drone",AND(Vu_khi!$M$346="Rocket",OR(Vu_khi!$AM$346,Vu_khi!$D$346="guided")),Vu_khi!$AL$346,Vu_khi!$AK$346,Vu_khi!$X$346&lt;=0),FALSE,IF($B$346&gt;=0,$B$346&gt;=4,IF(Vu_khi!$M$346="Shell",Vu_khi!$AN$346&gt;=Canh_bao_vong!$D$10,IF(Vu_khi!$M$346="Bomb",Vu_khi!$AN$346&gt;=Canh_bao_vong!$D$3,IF(Vu_khi!$M$346="Rocket",Vu_khi!$AN$346&gt;=Canh_bao_vong!$D$13,FALSE)))))</f>
        <v/>
      </c>
      <c r="AV346" t="b">
        <v>0</v>
      </c>
      <c r="AW346">
        <f>IF(AND($B$346&lt;0,$AU$346),4,$B$346)</f>
        <v/>
      </c>
      <c r="AX346" t="n">
        <v>3</v>
      </c>
      <c r="AY346">
        <f>IF($AW$346&lt;4,0,MIN(MAX(0.5,Canh_bao_vong!$D$4),MAX(IF(Vu_khi!$C$346="cal_406",Canh_bao_vong!$D$7,IF($AW$346&gt;=5,Canh_bao_vong!$D$9,Canh_bao_vong!$D$8)),Canh_bao_vong!$D$2+MAX(0,Vu_khi!$X$346)/MAX(0.1,Canh_bao_vong!$D$5))))</f>
        <v/>
      </c>
      <c r="AZ346" t="n">
        <v>0</v>
      </c>
      <c r="BA346" t="n">
        <v>0.51996</v>
      </c>
      <c r="BB346" t="inlineStr">
        <is>
          <t>NHANH_QUA;LECH_DOT_1</t>
        </is>
      </c>
      <c r="BC346" t="inlineStr"/>
      <c r="BD346" t="n">
        <v>170</v>
      </c>
      <c r="BE346" t="n">
        <v>221</v>
      </c>
      <c r="BF346" t="n">
        <v>0.07099999999999999</v>
      </c>
      <c r="BG346" t="n">
        <v>0.141</v>
      </c>
      <c r="BH346" t="n">
        <v>0.282</v>
      </c>
      <c r="BI346" t="n">
        <v>0.217</v>
      </c>
      <c r="BJ346" t="inlineStr">
        <is>
          <t>DIRECT_FAST</t>
        </is>
      </c>
      <c r="BK346" t="inlineStr">
        <is>
          <t>ok</t>
        </is>
      </c>
      <c r="BL346" t="inlineStr">
        <is>
          <t>inherited from turret_gun_120</t>
        </is>
      </c>
      <c r="BM346" t="inlineStr"/>
      <c r="BN346" t="inlineStr">
        <is>
          <t>Assets/MachineBrigade/Resources/Data/balance.json: weapons[id=turret_gun_120_long] (lớp B trên 01_chien_dau/Vu_khi)</t>
        </is>
      </c>
      <c r="BO346" t="inlineStr"/>
    </row>
    <row r="347">
      <c r="A347" t="inlineStr">
        <is>
          <t>turret_gun_120_long_he</t>
        </is>
      </c>
      <c r="B347" t="n">
        <v>3</v>
      </c>
      <c r="C347">
        <f>IF(Vu_khi!$O$347="SIMULTANEOUS",MAX(1,Vu_khi!$N$347),1)</f>
        <v/>
      </c>
      <c r="D347" t="n">
        <v>1</v>
      </c>
      <c r="E347">
        <f>IF(Vu_khi!$S$347&gt;0,Vu_khi!$S$347,Vu_khi!$P$347*$C$347)</f>
        <v/>
      </c>
      <c r="F347" t="n">
        <v>1</v>
      </c>
      <c r="G347">
        <f>IF(Vu_khi!$S$347&gt;0,(Vu_khi!$S$347-1)*Vu_khi!$R$347+Vu_khi!$T$347,Vu_khi!$R$347+(Vu_khi!$P$347-1)*Vu_khi!$Q$347)</f>
        <v/>
      </c>
      <c r="H347" t="n">
        <v>5.571</v>
      </c>
      <c r="I347">
        <f>Vu_khi!$W$347*MAX(1,$E$347)</f>
        <v/>
      </c>
      <c r="J347" t="n">
        <v>343</v>
      </c>
      <c r="K347">
        <f>IF(Vu_khi!$V$347&gt;0,Vu_khi!$V$347,MIN(28,MAX(10,Vu_khi!$U$347*Vu_khi!$R$347*0.4)))</f>
        <v/>
      </c>
      <c r="L347" t="n">
        <v>10</v>
      </c>
      <c r="M347">
        <f>IF(Vu_khi!$W$347&lt;=0,0,IF(Vu_khi!$U$347&gt;0,$I$347*Vu_khi!$U$347/(MAX(0.05,$G$347)*Vu_khi!$U$347+$K$347),$I$347/MAX(0.05,$G$347)))</f>
        <v/>
      </c>
      <c r="N347" t="n">
        <v>61.56883862861246</v>
      </c>
      <c r="O347">
        <f>OR(Vu_khi!$AG$347,Vu_khi!$AB$347&gt;0,Vu_khi!$AH$347,Vu_khi!$M$347="Bomb",Vu_khi!$M$347="Drone")</f>
        <v/>
      </c>
      <c r="P347" t="b">
        <v>0</v>
      </c>
      <c r="Q347">
        <f>AND(NOT(Vu_khi!$AJ$347),OR(Vu_khi!$AC$347="Ground",Vu_khi!$AC$347="All"))</f>
        <v/>
      </c>
      <c r="R347" t="b">
        <v>1</v>
      </c>
      <c r="S347">
        <f>AND(NOT(Vu_khi!$AJ$347),OR(Vu_khi!$AC$347="Air",Vu_khi!$AC$347="All"))</f>
        <v/>
      </c>
      <c r="T347" t="b">
        <v>0</v>
      </c>
      <c r="U347">
        <f>INDEX(Bang_sat_thuong!$B$2:$B$7,MATCH(Vu_khi!$K$347,Bang_sat_thuong!$A$2:$A$7,0))</f>
        <v/>
      </c>
      <c r="V347" t="n">
        <v>1</v>
      </c>
      <c r="W347">
        <f>INDEX(Bang_sat_thuong!$C$2:$C$7,MATCH(Vu_khi!$K$347,Bang_sat_thuong!$A$2:$A$7,0))</f>
        <v/>
      </c>
      <c r="X347" t="n">
        <v>0</v>
      </c>
      <c r="Y347">
        <f>IF(AND(Vu_khi!$AI$347,Vu_khi!$K$347="HighExplosive"),MAX(He_so_toan_cuc!$D$2,INDEX(Bang_sat_thuong!$D$2:$D$7,MATCH(Vu_khi!$K$347,Bang_sat_thuong!$A$2:$A$7,0))),INDEX(Bang_sat_thuong!$D$2:$D$7,MATCH(Vu_khi!$K$347,Bang_sat_thuong!$A$2:$A$7,0)))</f>
        <v/>
      </c>
      <c r="Z347" t="n">
        <v>1.6</v>
      </c>
      <c r="AA347">
        <f>AND(Vu_khi!$K$347="Kinetic",NOT(Vu_khi!$AG$347))</f>
        <v/>
      </c>
      <c r="AB347" t="b">
        <v>0</v>
      </c>
      <c r="AC347">
        <f>IF(Vu_khi!$AG$347,INDEX(Bang_danh_noc!$C$2:$C$8,MIN(7,MAX(1,2-(Vu_khi!$L$347-0)+1))),INDEX(Bang_xuyen_giap!$C$2:$C$8,MIN(7,MAX(1,IF($O$347,MAX(1,2-(Vu_khi!$L$347-0)),2-(Vu_khi!$L$347-0))+1))))*IF($AA$347,INDEX(Bang_xuyen_qua!$C$2:$C$5,MIN(4,MAX(1,(Vu_khi!$L$347)-(0)-1))),1)</f>
        <v/>
      </c>
      <c r="AD347" t="n">
        <v>1.2</v>
      </c>
      <c r="AE347">
        <f>IF(Vu_khi!$AG$347,INDEX(Bang_danh_noc!$C$2:$C$8,MIN(7,MAX(1,2-(Vu_khi!$L$347-2)+1))),INDEX(Bang_xuyen_giap!$C$2:$C$8,MIN(7,MAX(1,IF($O$347,MAX(1,2-(Vu_khi!$L$347-2)),2-(Vu_khi!$L$347-2))+1))))*IF($AA$347,INDEX(Bang_xuyen_qua!$C$2:$C$5,MIN(4,MAX(1,(Vu_khi!$L$347)-(2)-1))),1)</f>
        <v/>
      </c>
      <c r="AF347" t="n">
        <v>0.85</v>
      </c>
      <c r="AG347">
        <f>IF(Vu_khi!$AG$347,INDEX(Bang_danh_noc!$C$2:$C$8,MIN(7,MAX(1,2-(Vu_khi!$L$347-4)+1))),INDEX(Bang_xuyen_giap!$C$2:$C$8,MIN(7,MAX(1,IF($O$347,MAX(1,2-(Vu_khi!$L$347-4)),2-(Vu_khi!$L$347-4))+1))))*IF($AA$347,INDEX(Bang_xuyen_qua!$C$2:$C$5,MIN(4,MAX(1,(Vu_khi!$L$347)-(4)-1))),1)</f>
        <v/>
      </c>
      <c r="AH347" t="n">
        <v>0.4</v>
      </c>
      <c r="AI347">
        <f>INDEX(Bang_xuyen_giap!$C$2:$C$8,MIN(7,MAX(1,MAX(1,2-(Vu_khi!$L$347-0))+1)))*IF($AA$347,INDEX(Bang_xuyen_qua!$C$2:$C$5,MIN(4,MAX(1,(Vu_khi!$L$347)-(0)-1))),1)</f>
        <v/>
      </c>
      <c r="AJ347" t="n">
        <v>1</v>
      </c>
      <c r="AK347">
        <f>IF($Q$347,$M$347*$AC$347*$U$347,0)</f>
        <v/>
      </c>
      <c r="AL347" t="n">
        <v>73.88260635433495</v>
      </c>
      <c r="AM347">
        <f>IF($Q$347,$M$347*$AE$347*$U$347,0)</f>
        <v/>
      </c>
      <c r="AN347" t="n">
        <v>52.33351283432059</v>
      </c>
      <c r="AO347">
        <f>IF($Q$347,$M$347*$AG$347*$U$347,0)</f>
        <v/>
      </c>
      <c r="AP347" t="n">
        <v>24.62753545144498</v>
      </c>
      <c r="AQ347">
        <f>IF($Q$347,$M$347*$AE$347*$Y$347,0)</f>
        <v/>
      </c>
      <c r="AR347" t="n">
        <v>83.73362053491296</v>
      </c>
      <c r="AS347">
        <f>IF($S$347,$M$347*$AI$347*$W$347,0)</f>
        <v/>
      </c>
      <c r="AT347" t="n">
        <v>0</v>
      </c>
      <c r="AU347">
        <f>IF(OR(Vu_khi!$M$347="Missile",Vu_khi!$M$347="Drone",AND(Vu_khi!$M$347="Rocket",OR(Vu_khi!$AM$347,Vu_khi!$D$347="guided")),Vu_khi!$AL$347,Vu_khi!$AK$347,Vu_khi!$X$347&lt;=0),FALSE,IF($B$347&gt;=0,$B$347&gt;=4,IF(Vu_khi!$M$347="Shell",Vu_khi!$AN$347&gt;=Canh_bao_vong!$D$10,IF(Vu_khi!$M$347="Bomb",Vu_khi!$AN$347&gt;=Canh_bao_vong!$D$3,IF(Vu_khi!$M$347="Rocket",Vu_khi!$AN$347&gt;=Canh_bao_vong!$D$13,FALSE)))))</f>
        <v/>
      </c>
      <c r="AV347" t="b">
        <v>0</v>
      </c>
      <c r="AW347">
        <f>IF(AND($B$347&lt;0,$AU$347),4,$B$347)</f>
        <v/>
      </c>
      <c r="AX347" t="n">
        <v>3</v>
      </c>
      <c r="AY347">
        <f>IF($AW$347&lt;4,0,MIN(MAX(0.5,Canh_bao_vong!$D$4),MAX(IF(Vu_khi!$C$347="cal_406",Canh_bao_vong!$D$7,IF($AW$347&gt;=5,Canh_bao_vong!$D$9,Canh_bao_vong!$D$8)),Canh_bao_vong!$D$2+MAX(0,Vu_khi!$X$347)/MAX(0.1,Canh_bao_vong!$D$5))))</f>
        <v/>
      </c>
      <c r="AZ347" t="n">
        <v>0</v>
      </c>
      <c r="BD347" t="n">
        <v>170</v>
      </c>
      <c r="BE347" t="n">
        <v>221</v>
      </c>
      <c r="BF347" t="n">
        <v>0.07099999999999999</v>
      </c>
      <c r="BG347" t="n">
        <v>0.141</v>
      </c>
      <c r="BH347" t="n">
        <v>0.282</v>
      </c>
      <c r="BI347" t="n">
        <v>0.217</v>
      </c>
      <c r="BJ347" t="inlineStr">
        <is>
          <t>DIRECT_FAST</t>
        </is>
      </c>
      <c r="BK347" t="inlineStr">
        <is>
          <t>ok</t>
        </is>
      </c>
      <c r="BL347" t="inlineStr">
        <is>
          <t>inherited from turret_gun_120_long</t>
        </is>
      </c>
      <c r="BM347" t="inlineStr"/>
      <c r="BN347" t="inlineStr">
        <is>
          <t>Assets/MachineBrigade/Resources/Data/balance.json: weapons[id=turret_gun_120_long_he] (lớp B trên 01_chien_dau/Vu_khi)</t>
        </is>
      </c>
      <c r="BO347" t="inlineStr"/>
    </row>
    <row r="348">
      <c r="A348" t="inlineStr">
        <is>
          <t>turret_rockets</t>
        </is>
      </c>
      <c r="B348" t="n">
        <v>3</v>
      </c>
      <c r="C348">
        <f>IF(Vu_khi!$O$348="SIMULTANEOUS",MAX(1,Vu_khi!$N$348),1)</f>
        <v/>
      </c>
      <c r="D348" t="n">
        <v>1</v>
      </c>
      <c r="E348">
        <f>IF(Vu_khi!$S$348&gt;0,Vu_khi!$S$348,Vu_khi!$P$348*$C$348)</f>
        <v/>
      </c>
      <c r="F348" t="n">
        <v>6</v>
      </c>
      <c r="G348">
        <f>IF(Vu_khi!$S$348&gt;0,(Vu_khi!$S$348-1)*Vu_khi!$R$348+Vu_khi!$T$348,Vu_khi!$R$348+(Vu_khi!$P$348-1)*Vu_khi!$Q$348)</f>
        <v/>
      </c>
      <c r="H348" t="n">
        <v>4.07</v>
      </c>
      <c r="I348">
        <f>Vu_khi!$W$348*MAX(1,$E$348)</f>
        <v/>
      </c>
      <c r="J348" t="n">
        <v>396</v>
      </c>
      <c r="K348">
        <f>IF(Vu_khi!$V$348&gt;0,Vu_khi!$V$348,MIN(28,MAX(10,Vu_khi!$U$348*Vu_khi!$R$348*0.4)))</f>
        <v/>
      </c>
      <c r="L348" t="n">
        <v>10</v>
      </c>
      <c r="M348">
        <f>IF(Vu_khi!$W$348&lt;=0,0,IF(Vu_khi!$U$348&gt;0,$I$348*Vu_khi!$U$348/(MAX(0.05,$G$348)*Vu_khi!$U$348+$K$348),$I$348/MAX(0.05,$G$348)))</f>
        <v/>
      </c>
      <c r="N348" t="n">
        <v>97.29729729729729</v>
      </c>
      <c r="O348">
        <f>OR(Vu_khi!$AG$348,Vu_khi!$AB$348&gt;0,Vu_khi!$AH$348,Vu_khi!$M$348="Bomb",Vu_khi!$M$348="Drone")</f>
        <v/>
      </c>
      <c r="P348" t="b">
        <v>1</v>
      </c>
      <c r="Q348">
        <f>AND(NOT(Vu_khi!$AJ$348),OR(Vu_khi!$AC$348="Ground",Vu_khi!$AC$348="All"))</f>
        <v/>
      </c>
      <c r="R348" t="b">
        <v>1</v>
      </c>
      <c r="S348">
        <f>AND(NOT(Vu_khi!$AJ$348),OR(Vu_khi!$AC$348="Air",Vu_khi!$AC$348="All"))</f>
        <v/>
      </c>
      <c r="T348" t="b">
        <v>0</v>
      </c>
      <c r="U348">
        <f>INDEX(Bang_sat_thuong!$B$2:$B$7,MATCH(Vu_khi!$K$348,Bang_sat_thuong!$A$2:$A$7,0))</f>
        <v/>
      </c>
      <c r="V348" t="n">
        <v>1</v>
      </c>
      <c r="W348">
        <f>INDEX(Bang_sat_thuong!$C$2:$C$7,MATCH(Vu_khi!$K$348,Bang_sat_thuong!$A$2:$A$7,0))</f>
        <v/>
      </c>
      <c r="X348" t="n">
        <v>0</v>
      </c>
      <c r="Y348">
        <f>IF(AND(Vu_khi!$AI$348,Vu_khi!$K$348="HighExplosive"),MAX(He_so_toan_cuc!$D$2,INDEX(Bang_sat_thuong!$D$2:$D$7,MATCH(Vu_khi!$K$348,Bang_sat_thuong!$A$2:$A$7,0))),INDEX(Bang_sat_thuong!$D$2:$D$7,MATCH(Vu_khi!$K$348,Bang_sat_thuong!$A$2:$A$7,0)))</f>
        <v/>
      </c>
      <c r="Z348" t="n">
        <v>1.6</v>
      </c>
      <c r="AA348">
        <f>AND(Vu_khi!$K$348="Kinetic",NOT(Vu_khi!$AG$348))</f>
        <v/>
      </c>
      <c r="AB348" t="b">
        <v>0</v>
      </c>
      <c r="AC348">
        <f>IF(Vu_khi!$AG$348,INDEX(Bang_danh_noc!$C$2:$C$8,MIN(7,MAX(1,2-(Vu_khi!$L$348-0)+1))),INDEX(Bang_xuyen_giap!$C$2:$C$8,MIN(7,MAX(1,IF($O$348,MAX(1,2-(Vu_khi!$L$348-0)),2-(Vu_khi!$L$348-0))+1))))*IF($AA$348,INDEX(Bang_xuyen_qua!$C$2:$C$5,MIN(4,MAX(1,(Vu_khi!$L$348)-(0)-1))),1)</f>
        <v/>
      </c>
      <c r="AD348" t="n">
        <v>1</v>
      </c>
      <c r="AE348">
        <f>IF(Vu_khi!$AG$348,INDEX(Bang_danh_noc!$C$2:$C$8,MIN(7,MAX(1,2-(Vu_khi!$L$348-2)+1))),INDEX(Bang_xuyen_giap!$C$2:$C$8,MIN(7,MAX(1,IF($O$348,MAX(1,2-(Vu_khi!$L$348-2)),2-(Vu_khi!$L$348-2))+1))))*IF($AA$348,INDEX(Bang_xuyen_qua!$C$2:$C$5,MIN(4,MAX(1,(Vu_khi!$L$348)-(2)-1))),1)</f>
        <v/>
      </c>
      <c r="AF348" t="n">
        <v>0.85</v>
      </c>
      <c r="AG348">
        <f>IF(Vu_khi!$AG$348,INDEX(Bang_danh_noc!$C$2:$C$8,MIN(7,MAX(1,2-(Vu_khi!$L$348-4)+1))),INDEX(Bang_xuyen_giap!$C$2:$C$8,MIN(7,MAX(1,IF($O$348,MAX(1,2-(Vu_khi!$L$348-4)),2-(Vu_khi!$L$348-4))+1))))*IF($AA$348,INDEX(Bang_xuyen_qua!$C$2:$C$5,MIN(4,MAX(1,(Vu_khi!$L$348)-(4)-1))),1)</f>
        <v/>
      </c>
      <c r="AH348" t="n">
        <v>0.4</v>
      </c>
      <c r="AI348">
        <f>INDEX(Bang_xuyen_giap!$C$2:$C$8,MIN(7,MAX(1,MAX(1,2-(Vu_khi!$L$348-0))+1)))*IF($AA$348,INDEX(Bang_xuyen_qua!$C$2:$C$5,MIN(4,MAX(1,(Vu_khi!$L$348)-(0)-1))),1)</f>
        <v/>
      </c>
      <c r="AJ348" t="n">
        <v>1</v>
      </c>
      <c r="AK348">
        <f>IF($Q$348,$M$348*$AC$348*$U$348,0)</f>
        <v/>
      </c>
      <c r="AL348" t="n">
        <v>97.29729729729729</v>
      </c>
      <c r="AM348">
        <f>IF($Q$348,$M$348*$AE$348*$U$348,0)</f>
        <v/>
      </c>
      <c r="AN348" t="n">
        <v>82.70270270270269</v>
      </c>
      <c r="AO348">
        <f>IF($Q$348,$M$348*$AG$348*$U$348,0)</f>
        <v/>
      </c>
      <c r="AP348" t="n">
        <v>38.91891891891892</v>
      </c>
      <c r="AQ348">
        <f>IF($Q$348,$M$348*$AE$348*$Y$348,0)</f>
        <v/>
      </c>
      <c r="AR348" t="n">
        <v>132.3243243243243</v>
      </c>
      <c r="AS348">
        <f>IF($S$348,$M$348*$AI$348*$W$348,0)</f>
        <v/>
      </c>
      <c r="AT348" t="n">
        <v>0</v>
      </c>
      <c r="AU348">
        <f>IF(OR(Vu_khi!$M$348="Missile",Vu_khi!$M$348="Drone",AND(Vu_khi!$M$348="Rocket",OR(Vu_khi!$AM$348,Vu_khi!$D$348="guided")),Vu_khi!$AL$348,Vu_khi!$AK$348,Vu_khi!$X$348&lt;=0),FALSE,IF($B$348&gt;=0,$B$348&gt;=4,IF(Vu_khi!$M$348="Shell",Vu_khi!$AN$348&gt;=Canh_bao_vong!$D$10,IF(Vu_khi!$M$348="Bomb",Vu_khi!$AN$348&gt;=Canh_bao_vong!$D$3,IF(Vu_khi!$M$348="Rocket",Vu_khi!$AN$348&gt;=Canh_bao_vong!$D$13,FALSE)))))</f>
        <v/>
      </c>
      <c r="AV348" t="b">
        <v>0</v>
      </c>
      <c r="AW348">
        <f>IF(AND($B$348&lt;0,$AU$348),4,$B$348)</f>
        <v/>
      </c>
      <c r="AX348" t="n">
        <v>3</v>
      </c>
      <c r="AY348">
        <f>IF($AW$348&lt;4,0,MIN(MAX(0.5,Canh_bao_vong!$D$4),MAX(IF(Vu_khi!$C$348="cal_406",Canh_bao_vong!$D$7,IF($AW$348&gt;=5,Canh_bao_vong!$D$9,Canh_bao_vong!$D$8)),Canh_bao_vong!$D$2+MAX(0,Vu_khi!$X$348)/MAX(0.1,Canh_bao_vong!$D$5))))</f>
        <v/>
      </c>
      <c r="AZ348" t="n">
        <v>0</v>
      </c>
      <c r="BA348" t="n">
        <v>1</v>
      </c>
      <c r="BB348" t="inlineStr">
        <is>
          <t>ok</t>
        </is>
      </c>
      <c r="BC348" t="inlineStr"/>
      <c r="BD348" t="n">
        <v>80</v>
      </c>
      <c r="BE348" t="n">
        <v>104</v>
      </c>
      <c r="BF348" t="n">
        <v>0.1</v>
      </c>
      <c r="BG348" t="n">
        <v>0.344</v>
      </c>
      <c r="BH348" t="n">
        <v>0.6879999999999999</v>
      </c>
      <c r="BI348" t="n">
        <v>0.529</v>
      </c>
      <c r="BJ348" t="inlineStr">
        <is>
          <t>ROCKET_ARTILLERY</t>
        </is>
      </c>
      <c r="BK348" t="inlineStr">
        <is>
          <t>TOO_FAST_FOR_CLASS</t>
        </is>
      </c>
      <c r="BL348" t="inlineStr">
        <is>
          <t>family bm_21_grad_122_mm</t>
        </is>
      </c>
      <c r="BM348" t="n">
        <v>40</v>
      </c>
      <c r="BN348" t="inlineStr">
        <is>
          <t>Assets/MachineBrigade/Resources/Data/balance.json: weapons[id=turret_rockets] (lớp B trên 01_chien_dau/Vu_khi)</t>
        </is>
      </c>
      <c r="BO348" t="inlineStr"/>
    </row>
    <row r="349">
      <c r="A349" t="inlineStr">
        <is>
          <t>turret_rockets_cluster</t>
        </is>
      </c>
      <c r="B349" t="n">
        <v>3</v>
      </c>
      <c r="C349">
        <f>IF(Vu_khi!$O$349="SIMULTANEOUS",MAX(1,Vu_khi!$N$349),1)</f>
        <v/>
      </c>
      <c r="D349" t="n">
        <v>1</v>
      </c>
      <c r="E349">
        <f>IF(Vu_khi!$S$349&gt;0,Vu_khi!$S$349,Vu_khi!$P$349*$C$349)</f>
        <v/>
      </c>
      <c r="F349" t="n">
        <v>6</v>
      </c>
      <c r="G349">
        <f>IF(Vu_khi!$S$349&gt;0,(Vu_khi!$S$349-1)*Vu_khi!$R$349+Vu_khi!$T$349,Vu_khi!$R$349+(Vu_khi!$P$349-1)*Vu_khi!$Q$349)</f>
        <v/>
      </c>
      <c r="H349" t="n">
        <v>3.92</v>
      </c>
      <c r="I349">
        <f>Vu_khi!$W$349*MAX(1,$E$349)</f>
        <v/>
      </c>
      <c r="J349" t="n">
        <v>342</v>
      </c>
      <c r="K349">
        <f>IF(Vu_khi!$V$349&gt;0,Vu_khi!$V$349,MIN(28,MAX(10,Vu_khi!$U$349*Vu_khi!$R$349*0.4)))</f>
        <v/>
      </c>
      <c r="L349" t="n">
        <v>10</v>
      </c>
      <c r="M349">
        <f>IF(Vu_khi!$W$349&lt;=0,0,IF(Vu_khi!$U$349&gt;0,$I$349*Vu_khi!$U$349/(MAX(0.05,$G$349)*Vu_khi!$U$349+$K$349),$I$349/MAX(0.05,$G$349)))</f>
        <v/>
      </c>
      <c r="N349" t="n">
        <v>87.24489795918367</v>
      </c>
      <c r="O349">
        <f>OR(Vu_khi!$AG$349,Vu_khi!$AB$349&gt;0,Vu_khi!$AH$349,Vu_khi!$M$349="Bomb",Vu_khi!$M$349="Drone")</f>
        <v/>
      </c>
      <c r="P349" t="b">
        <v>1</v>
      </c>
      <c r="Q349">
        <f>AND(NOT(Vu_khi!$AJ$349),OR(Vu_khi!$AC$349="Ground",Vu_khi!$AC$349="All"))</f>
        <v/>
      </c>
      <c r="R349" t="b">
        <v>1</v>
      </c>
      <c r="S349">
        <f>AND(NOT(Vu_khi!$AJ$349),OR(Vu_khi!$AC$349="Air",Vu_khi!$AC$349="All"))</f>
        <v/>
      </c>
      <c r="T349" t="b">
        <v>0</v>
      </c>
      <c r="U349">
        <f>INDEX(Bang_sat_thuong!$B$2:$B$7,MATCH(Vu_khi!$K$349,Bang_sat_thuong!$A$2:$A$7,0))</f>
        <v/>
      </c>
      <c r="V349" t="n">
        <v>1</v>
      </c>
      <c r="W349">
        <f>INDEX(Bang_sat_thuong!$C$2:$C$7,MATCH(Vu_khi!$K$349,Bang_sat_thuong!$A$2:$A$7,0))</f>
        <v/>
      </c>
      <c r="X349" t="n">
        <v>0</v>
      </c>
      <c r="Y349">
        <f>IF(AND(Vu_khi!$AI$349,Vu_khi!$K$349="HighExplosive"),MAX(He_so_toan_cuc!$D$2,INDEX(Bang_sat_thuong!$D$2:$D$7,MATCH(Vu_khi!$K$349,Bang_sat_thuong!$A$2:$A$7,0))),INDEX(Bang_sat_thuong!$D$2:$D$7,MATCH(Vu_khi!$K$349,Bang_sat_thuong!$A$2:$A$7,0)))</f>
        <v/>
      </c>
      <c r="Z349" t="n">
        <v>1.6</v>
      </c>
      <c r="AA349">
        <f>AND(Vu_khi!$K$349="Kinetic",NOT(Vu_khi!$AG$349))</f>
        <v/>
      </c>
      <c r="AB349" t="b">
        <v>0</v>
      </c>
      <c r="AC349">
        <f>IF(Vu_khi!$AG$349,INDEX(Bang_danh_noc!$C$2:$C$8,MIN(7,MAX(1,2-(Vu_khi!$L$349-0)+1))),INDEX(Bang_xuyen_giap!$C$2:$C$8,MIN(7,MAX(1,IF($O$349,MAX(1,2-(Vu_khi!$L$349-0)),2-(Vu_khi!$L$349-0))+1))))*IF($AA$349,INDEX(Bang_xuyen_qua!$C$2:$C$5,MIN(4,MAX(1,(Vu_khi!$L$349)-(0)-1))),1)</f>
        <v/>
      </c>
      <c r="AD349" t="n">
        <v>1</v>
      </c>
      <c r="AE349">
        <f>IF(Vu_khi!$AG$349,INDEX(Bang_danh_noc!$C$2:$C$8,MIN(7,MAX(1,2-(Vu_khi!$L$349-2)+1))),INDEX(Bang_xuyen_giap!$C$2:$C$8,MIN(7,MAX(1,IF($O$349,MAX(1,2-(Vu_khi!$L$349-2)),2-(Vu_khi!$L$349-2))+1))))*IF($AA$349,INDEX(Bang_xuyen_qua!$C$2:$C$5,MIN(4,MAX(1,(Vu_khi!$L$349)-(2)-1))),1)</f>
        <v/>
      </c>
      <c r="AF349" t="n">
        <v>0.85</v>
      </c>
      <c r="AG349">
        <f>IF(Vu_khi!$AG$349,INDEX(Bang_danh_noc!$C$2:$C$8,MIN(7,MAX(1,2-(Vu_khi!$L$349-4)+1))),INDEX(Bang_xuyen_giap!$C$2:$C$8,MIN(7,MAX(1,IF($O$349,MAX(1,2-(Vu_khi!$L$349-4)),2-(Vu_khi!$L$349-4))+1))))*IF($AA$349,INDEX(Bang_xuyen_qua!$C$2:$C$5,MIN(4,MAX(1,(Vu_khi!$L$349)-(4)-1))),1)</f>
        <v/>
      </c>
      <c r="AH349" t="n">
        <v>0.4</v>
      </c>
      <c r="AI349">
        <f>INDEX(Bang_xuyen_giap!$C$2:$C$8,MIN(7,MAX(1,MAX(1,2-(Vu_khi!$L$349-0))+1)))*IF($AA$349,INDEX(Bang_xuyen_qua!$C$2:$C$5,MIN(4,MAX(1,(Vu_khi!$L$349)-(0)-1))),1)</f>
        <v/>
      </c>
      <c r="AJ349" t="n">
        <v>1</v>
      </c>
      <c r="AK349">
        <f>IF($Q$349,$M$349*$AC$349*$U$349,0)</f>
        <v/>
      </c>
      <c r="AL349" t="n">
        <v>87.24489795918367</v>
      </c>
      <c r="AM349">
        <f>IF($Q$349,$M$349*$AE$349*$U$349,0)</f>
        <v/>
      </c>
      <c r="AN349" t="n">
        <v>74.15816326530611</v>
      </c>
      <c r="AO349">
        <f>IF($Q$349,$M$349*$AG$349*$U$349,0)</f>
        <v/>
      </c>
      <c r="AP349" t="n">
        <v>34.89795918367347</v>
      </c>
      <c r="AQ349">
        <f>IF($Q$349,$M$349*$AE$349*$Y$349,0)</f>
        <v/>
      </c>
      <c r="AR349" t="n">
        <v>118.6530612244898</v>
      </c>
      <c r="AS349">
        <f>IF($S$349,$M$349*$AI$349*$W$349,0)</f>
        <v/>
      </c>
      <c r="AT349" t="n">
        <v>0</v>
      </c>
      <c r="AU349">
        <f>IF(OR(Vu_khi!$M$349="Missile",Vu_khi!$M$349="Drone",AND(Vu_khi!$M$349="Rocket",OR(Vu_khi!$AM$349,Vu_khi!$D$349="guided")),Vu_khi!$AL$349,Vu_khi!$AK$349,Vu_khi!$X$349&lt;=0),FALSE,IF($B$349&gt;=0,$B$349&gt;=4,IF(Vu_khi!$M$349="Shell",Vu_khi!$AN$349&gt;=Canh_bao_vong!$D$10,IF(Vu_khi!$M$349="Bomb",Vu_khi!$AN$349&gt;=Canh_bao_vong!$D$3,IF(Vu_khi!$M$349="Rocket",Vu_khi!$AN$349&gt;=Canh_bao_vong!$D$13,FALSE)))))</f>
        <v/>
      </c>
      <c r="AV349" t="b">
        <v>0</v>
      </c>
      <c r="AW349">
        <f>IF(AND($B$349&lt;0,$AU$349),4,$B$349)</f>
        <v/>
      </c>
      <c r="AX349" t="n">
        <v>3</v>
      </c>
      <c r="AY349">
        <f>IF($AW$349&lt;4,0,MIN(MAX(0.5,Canh_bao_vong!$D$4),MAX(IF(Vu_khi!$C$349="cal_406",Canh_bao_vong!$D$7,IF($AW$349&gt;=5,Canh_bao_vong!$D$9,Canh_bao_vong!$D$8)),Canh_bao_vong!$D$2+MAX(0,Vu_khi!$X$349)/MAX(0.1,Canh_bao_vong!$D$5))))</f>
        <v/>
      </c>
      <c r="AZ349" t="n">
        <v>0</v>
      </c>
      <c r="BA349" t="n">
        <v>1</v>
      </c>
      <c r="BB349" t="inlineStr">
        <is>
          <t>ok</t>
        </is>
      </c>
      <c r="BC349" t="inlineStr"/>
      <c r="BD349" t="n">
        <v>80</v>
      </c>
      <c r="BE349" t="n">
        <v>104</v>
      </c>
      <c r="BF349" t="n">
        <v>0.1</v>
      </c>
      <c r="BG349" t="n">
        <v>0.344</v>
      </c>
      <c r="BH349" t="n">
        <v>0.6879999999999999</v>
      </c>
      <c r="BI349" t="n">
        <v>0.529</v>
      </c>
      <c r="BJ349" t="inlineStr">
        <is>
          <t>ROCKET_ARTILLERY</t>
        </is>
      </c>
      <c r="BK349" t="inlineStr">
        <is>
          <t>TOO_FAST_FOR_CLASS</t>
        </is>
      </c>
      <c r="BL349" t="inlineStr">
        <is>
          <t>family bm_21_grad_122_mm_2</t>
        </is>
      </c>
      <c r="BM349" t="n">
        <v>40</v>
      </c>
      <c r="BN349" t="inlineStr">
        <is>
          <t>Assets/MachineBrigade/Resources/Data/balance.json: weapons[id=turret_rockets_cluster] (lớp B trên 01_chien_dau/Vu_khi)</t>
        </is>
      </c>
      <c r="BO349" t="inlineStr"/>
    </row>
    <row r="350">
      <c r="A350" t="inlineStr">
        <is>
          <t>turret_thermobaric</t>
        </is>
      </c>
      <c r="B350" t="n">
        <v>3</v>
      </c>
      <c r="C350">
        <f>IF(Vu_khi!$O$350="SIMULTANEOUS",MAX(1,Vu_khi!$N$350),1)</f>
        <v/>
      </c>
      <c r="D350" t="n">
        <v>1</v>
      </c>
      <c r="E350">
        <f>IF(Vu_khi!$S$350&gt;0,Vu_khi!$S$350,Vu_khi!$P$350*$C$350)</f>
        <v/>
      </c>
      <c r="F350" t="n">
        <v>7</v>
      </c>
      <c r="G350">
        <f>IF(Vu_khi!$S$350&gt;0,(Vu_khi!$S$350-1)*Vu_khi!$R$350+Vu_khi!$T$350,Vu_khi!$R$350+(Vu_khi!$P$350-1)*Vu_khi!$Q$350)</f>
        <v/>
      </c>
      <c r="H350" t="n">
        <v>7.819999999999999</v>
      </c>
      <c r="I350">
        <f>Vu_khi!$W$350*MAX(1,$E$350)</f>
        <v/>
      </c>
      <c r="J350" t="n">
        <v>462</v>
      </c>
      <c r="K350">
        <f>IF(Vu_khi!$V$350&gt;0,Vu_khi!$V$350,MIN(28,MAX(10,Vu_khi!$U$350*Vu_khi!$R$350*0.4)))</f>
        <v/>
      </c>
      <c r="L350" t="n">
        <v>10</v>
      </c>
      <c r="M350">
        <f>IF(Vu_khi!$W$350&lt;=0,0,IF(Vu_khi!$U$350&gt;0,$I$350*Vu_khi!$U$350/(MAX(0.05,$G$350)*Vu_khi!$U$350+$K$350),$I$350/MAX(0.05,$G$350)))</f>
        <v/>
      </c>
      <c r="N350" t="n">
        <v>59.07928388746804</v>
      </c>
      <c r="O350">
        <f>OR(Vu_khi!$AG$350,Vu_khi!$AB$350&gt;0,Vu_khi!$AH$350,Vu_khi!$M$350="Bomb",Vu_khi!$M$350="Drone")</f>
        <v/>
      </c>
      <c r="P350" t="b">
        <v>1</v>
      </c>
      <c r="Q350">
        <f>AND(NOT(Vu_khi!$AJ$350),OR(Vu_khi!$AC$350="Ground",Vu_khi!$AC$350="All"))</f>
        <v/>
      </c>
      <c r="R350" t="b">
        <v>1</v>
      </c>
      <c r="S350">
        <f>AND(NOT(Vu_khi!$AJ$350),OR(Vu_khi!$AC$350="Air",Vu_khi!$AC$350="All"))</f>
        <v/>
      </c>
      <c r="T350" t="b">
        <v>0</v>
      </c>
      <c r="U350">
        <f>INDEX(Bang_sat_thuong!$B$2:$B$7,MATCH(Vu_khi!$K$350,Bang_sat_thuong!$A$2:$A$7,0))</f>
        <v/>
      </c>
      <c r="V350" t="n">
        <v>1</v>
      </c>
      <c r="W350">
        <f>INDEX(Bang_sat_thuong!$C$2:$C$7,MATCH(Vu_khi!$K$350,Bang_sat_thuong!$A$2:$A$7,0))</f>
        <v/>
      </c>
      <c r="X350" t="n">
        <v>0</v>
      </c>
      <c r="Y350">
        <f>IF(AND(Vu_khi!$AI$350,Vu_khi!$K$350="HighExplosive"),MAX(He_so_toan_cuc!$D$2,INDEX(Bang_sat_thuong!$D$2:$D$7,MATCH(Vu_khi!$K$350,Bang_sat_thuong!$A$2:$A$7,0))),INDEX(Bang_sat_thuong!$D$2:$D$7,MATCH(Vu_khi!$K$350,Bang_sat_thuong!$A$2:$A$7,0)))</f>
        <v/>
      </c>
      <c r="Z350" t="n">
        <v>2</v>
      </c>
      <c r="AA350">
        <f>AND(Vu_khi!$K$350="Kinetic",NOT(Vu_khi!$AG$350))</f>
        <v/>
      </c>
      <c r="AB350" t="b">
        <v>0</v>
      </c>
      <c r="AC350">
        <f>IF(Vu_khi!$AG$350,INDEX(Bang_danh_noc!$C$2:$C$8,MIN(7,MAX(1,2-(Vu_khi!$L$350-0)+1))),INDEX(Bang_xuyen_giap!$C$2:$C$8,MIN(7,MAX(1,IF($O$350,MAX(1,2-(Vu_khi!$L$350-0)),2-(Vu_khi!$L$350-0))+1))))*IF($AA$350,INDEX(Bang_xuyen_qua!$C$2:$C$5,MIN(4,MAX(1,(Vu_khi!$L$350)-(0)-1))),1)</f>
        <v/>
      </c>
      <c r="AD350" t="n">
        <v>1</v>
      </c>
      <c r="AE350">
        <f>IF(Vu_khi!$AG$350,INDEX(Bang_danh_noc!$C$2:$C$8,MIN(7,MAX(1,2-(Vu_khi!$L$350-2)+1))),INDEX(Bang_xuyen_giap!$C$2:$C$8,MIN(7,MAX(1,IF($O$350,MAX(1,2-(Vu_khi!$L$350-2)),2-(Vu_khi!$L$350-2))+1))))*IF($AA$350,INDEX(Bang_xuyen_qua!$C$2:$C$5,MIN(4,MAX(1,(Vu_khi!$L$350)-(2)-1))),1)</f>
        <v/>
      </c>
      <c r="AF350" t="n">
        <v>0.85</v>
      </c>
      <c r="AG350">
        <f>IF(Vu_khi!$AG$350,INDEX(Bang_danh_noc!$C$2:$C$8,MIN(7,MAX(1,2-(Vu_khi!$L$350-4)+1))),INDEX(Bang_xuyen_giap!$C$2:$C$8,MIN(7,MAX(1,IF($O$350,MAX(1,2-(Vu_khi!$L$350-4)),2-(Vu_khi!$L$350-4))+1))))*IF($AA$350,INDEX(Bang_xuyen_qua!$C$2:$C$5,MIN(4,MAX(1,(Vu_khi!$L$350)-(4)-1))),1)</f>
        <v/>
      </c>
      <c r="AH350" t="n">
        <v>0.4</v>
      </c>
      <c r="AI350">
        <f>INDEX(Bang_xuyen_giap!$C$2:$C$8,MIN(7,MAX(1,MAX(1,2-(Vu_khi!$L$350-0))+1)))*IF($AA$350,INDEX(Bang_xuyen_qua!$C$2:$C$5,MIN(4,MAX(1,(Vu_khi!$L$350)-(0)-1))),1)</f>
        <v/>
      </c>
      <c r="AJ350" t="n">
        <v>1</v>
      </c>
      <c r="AK350">
        <f>IF($Q$350,$M$350*$AC$350*$U$350,0)</f>
        <v/>
      </c>
      <c r="AL350" t="n">
        <v>59.07928388746804</v>
      </c>
      <c r="AM350">
        <f>IF($Q$350,$M$350*$AE$350*$U$350,0)</f>
        <v/>
      </c>
      <c r="AN350" t="n">
        <v>50.21739130434783</v>
      </c>
      <c r="AO350">
        <f>IF($Q$350,$M$350*$AG$350*$U$350,0)</f>
        <v/>
      </c>
      <c r="AP350" t="n">
        <v>23.63171355498721</v>
      </c>
      <c r="AQ350">
        <f>IF($Q$350,$M$350*$AE$350*$Y$350,0)</f>
        <v/>
      </c>
      <c r="AR350" t="n">
        <v>100.4347826086957</v>
      </c>
      <c r="AS350">
        <f>IF($S$350,$M$350*$AI$350*$W$350,0)</f>
        <v/>
      </c>
      <c r="AT350" t="n">
        <v>0</v>
      </c>
      <c r="AU350">
        <f>IF(OR(Vu_khi!$M$350="Missile",Vu_khi!$M$350="Drone",AND(Vu_khi!$M$350="Rocket",OR(Vu_khi!$AM$350,Vu_khi!$D$350="guided")),Vu_khi!$AL$350,Vu_khi!$AK$350,Vu_khi!$X$350&lt;=0),FALSE,IF($B$350&gt;=0,$B$350&gt;=4,IF(Vu_khi!$M$350="Shell",Vu_khi!$AN$350&gt;=Canh_bao_vong!$D$10,IF(Vu_khi!$M$350="Bomb",Vu_khi!$AN$350&gt;=Canh_bao_vong!$D$3,IF(Vu_khi!$M$350="Rocket",Vu_khi!$AN$350&gt;=Canh_bao_vong!$D$13,FALSE)))))</f>
        <v/>
      </c>
      <c r="AV350" t="b">
        <v>0</v>
      </c>
      <c r="AW350">
        <f>IF(AND($B$350&lt;0,$AU$350),4,$B$350)</f>
        <v/>
      </c>
      <c r="AX350" t="n">
        <v>3</v>
      </c>
      <c r="AY350">
        <f>IF($AW$350&lt;4,0,MIN(MAX(0.5,Canh_bao_vong!$D$4),MAX(IF(Vu_khi!$C$350="cal_406",Canh_bao_vong!$D$7,IF($AW$350&gt;=5,Canh_bao_vong!$D$9,Canh_bao_vong!$D$8)),Canh_bao_vong!$D$2+MAX(0,Vu_khi!$X$350)/MAX(0.1,Canh_bao_vong!$D$5))))</f>
        <v/>
      </c>
      <c r="AZ350" t="n">
        <v>0</v>
      </c>
      <c r="BA350" t="n">
        <v>0.24</v>
      </c>
      <c r="BB350" t="inlineStr">
        <is>
          <t>NHANH_QUA;LECH_DOT_1</t>
        </is>
      </c>
      <c r="BC350" t="inlineStr"/>
      <c r="BD350" t="n">
        <v>65</v>
      </c>
      <c r="BE350" t="n">
        <v>84.5</v>
      </c>
      <c r="BF350" t="n">
        <v>0.123</v>
      </c>
      <c r="BG350" t="n">
        <v>0.338</v>
      </c>
      <c r="BH350" t="n">
        <v>0.677</v>
      </c>
      <c r="BI350" t="n">
        <v>0.521</v>
      </c>
      <c r="BJ350" t="inlineStr">
        <is>
          <t>ROCKET_ARTILLERY</t>
        </is>
      </c>
      <c r="BK350" t="inlineStr">
        <is>
          <t>TOO_FAST_FOR_CLASS;TOO_FAST_AT_GEAR_CAP</t>
        </is>
      </c>
      <c r="BL350" t="inlineStr">
        <is>
          <t>own line (over turret_rockets)</t>
        </is>
      </c>
      <c r="BM350" t="n">
        <v>7.8</v>
      </c>
      <c r="BN350" t="inlineStr">
        <is>
          <t>Assets/MachineBrigade/Resources/Data/balance.json: weapons[id=turret_thermobaric] (lớp B trên 01_chien_dau/Vu_khi)</t>
        </is>
      </c>
      <c r="BO350" t="inlineStr"/>
    </row>
    <row r="351">
      <c r="A351" t="inlineStr">
        <is>
          <t>twin_30_bmpt</t>
        </is>
      </c>
      <c r="B351" t="n">
        <v>1</v>
      </c>
      <c r="C351">
        <f>IF(Vu_khi!$O$351="SIMULTANEOUS",MAX(1,Vu_khi!$N$351),1)</f>
        <v/>
      </c>
      <c r="D351" t="n">
        <v>1</v>
      </c>
      <c r="E351">
        <f>IF(Vu_khi!$S$351&gt;0,Vu_khi!$S$351,Vu_khi!$P$351*$C$351)</f>
        <v/>
      </c>
      <c r="F351" t="n">
        <v>12</v>
      </c>
      <c r="G351">
        <f>IF(Vu_khi!$S$351&gt;0,(Vu_khi!$S$351-1)*Vu_khi!$R$351+Vu_khi!$T$351,Vu_khi!$R$351+(Vu_khi!$P$351-1)*Vu_khi!$Q$351)</f>
        <v/>
      </c>
      <c r="H351" t="n">
        <v>2.4996</v>
      </c>
      <c r="I351">
        <f>Vu_khi!$W$351*MAX(1,$E$351)</f>
        <v/>
      </c>
      <c r="J351" t="n">
        <v>264</v>
      </c>
      <c r="K351">
        <f>IF(Vu_khi!$V$351&gt;0,Vu_khi!$V$351,MIN(28,MAX(10,Vu_khi!$U$351*Vu_khi!$R$351*0.4)))</f>
        <v/>
      </c>
      <c r="L351" t="n">
        <v>10</v>
      </c>
      <c r="M351">
        <f>IF(Vu_khi!$W$351&lt;=0,0,IF(Vu_khi!$U$351&gt;0,$I$351*Vu_khi!$U$351/(MAX(0.05,$G$351)*Vu_khi!$U$351+$K$351),$I$351/MAX(0.05,$G$351)))</f>
        <v/>
      </c>
      <c r="N351" t="n">
        <v>105.6168987037926</v>
      </c>
      <c r="O351">
        <f>OR(Vu_khi!$AG$351,Vu_khi!$AB$351&gt;0,Vu_khi!$AH$351,Vu_khi!$M$351="Bomb",Vu_khi!$M$351="Drone")</f>
        <v/>
      </c>
      <c r="P351" t="b">
        <v>0</v>
      </c>
      <c r="Q351">
        <f>AND(NOT(Vu_khi!$AJ$351),OR(Vu_khi!$AC$351="Ground",Vu_khi!$AC$351="All"))</f>
        <v/>
      </c>
      <c r="R351" t="b">
        <v>1</v>
      </c>
      <c r="S351">
        <f>AND(NOT(Vu_khi!$AJ$351),OR(Vu_khi!$AC$351="Air",Vu_khi!$AC$351="All"))</f>
        <v/>
      </c>
      <c r="T351" t="b">
        <v>0</v>
      </c>
      <c r="U351">
        <f>INDEX(Bang_sat_thuong!$B$2:$B$7,MATCH(Vu_khi!$K$351,Bang_sat_thuong!$A$2:$A$7,0))</f>
        <v/>
      </c>
      <c r="V351" t="n">
        <v>1.2</v>
      </c>
      <c r="W351">
        <f>INDEX(Bang_sat_thuong!$C$2:$C$7,MATCH(Vu_khi!$K$351,Bang_sat_thuong!$A$2:$A$7,0))</f>
        <v/>
      </c>
      <c r="X351" t="n">
        <v>0.3</v>
      </c>
      <c r="Y351">
        <f>IF(AND(Vu_khi!$AI$351,Vu_khi!$K$351="HighExplosive"),MAX(He_so_toan_cuc!$D$2,INDEX(Bang_sat_thuong!$D$2:$D$7,MATCH(Vu_khi!$K$351,Bang_sat_thuong!$A$2:$A$7,0))),INDEX(Bang_sat_thuong!$D$2:$D$7,MATCH(Vu_khi!$K$351,Bang_sat_thuong!$A$2:$A$7,0)))</f>
        <v/>
      </c>
      <c r="Z351" t="n">
        <v>0.7</v>
      </c>
      <c r="AA351">
        <f>AND(Vu_khi!$K$351="Kinetic",NOT(Vu_khi!$AG$351))</f>
        <v/>
      </c>
      <c r="AB351" t="b">
        <v>1</v>
      </c>
      <c r="AC351">
        <f>IF(Vu_khi!$AG$351,INDEX(Bang_danh_noc!$C$2:$C$8,MIN(7,MAX(1,2-(Vu_khi!$L$351-0)+1))),INDEX(Bang_xuyen_giap!$C$2:$C$8,MIN(7,MAX(1,IF($O$351,MAX(1,2-(Vu_khi!$L$351-0)),2-(Vu_khi!$L$351-0))+1))))*IF($AA$351,INDEX(Bang_xuyen_qua!$C$2:$C$5,MIN(4,MAX(1,(Vu_khi!$L$351)-(0)-1))),1)</f>
        <v/>
      </c>
      <c r="AD351" t="n">
        <v>1.2</v>
      </c>
      <c r="AE351">
        <f>IF(Vu_khi!$AG$351,INDEX(Bang_danh_noc!$C$2:$C$8,MIN(7,MAX(1,2-(Vu_khi!$L$351-2)+1))),INDEX(Bang_xuyen_giap!$C$2:$C$8,MIN(7,MAX(1,IF($O$351,MAX(1,2-(Vu_khi!$L$351-2)),2-(Vu_khi!$L$351-2))+1))))*IF($AA$351,INDEX(Bang_xuyen_qua!$C$2:$C$5,MIN(4,MAX(1,(Vu_khi!$L$351)-(2)-1))),1)</f>
        <v/>
      </c>
      <c r="AF351" t="n">
        <v>0.85</v>
      </c>
      <c r="AG351">
        <f>IF(Vu_khi!$AG$351,INDEX(Bang_danh_noc!$C$2:$C$8,MIN(7,MAX(1,2-(Vu_khi!$L$351-4)+1))),INDEX(Bang_xuyen_giap!$C$2:$C$8,MIN(7,MAX(1,IF($O$351,MAX(1,2-(Vu_khi!$L$351-4)),2-(Vu_khi!$L$351-4))+1))))*IF($AA$351,INDEX(Bang_xuyen_qua!$C$2:$C$5,MIN(4,MAX(1,(Vu_khi!$L$351)-(4)-1))),1)</f>
        <v/>
      </c>
      <c r="AH351" t="n">
        <v>0.4</v>
      </c>
      <c r="AI351">
        <f>INDEX(Bang_xuyen_giap!$C$2:$C$8,MIN(7,MAX(1,MAX(1,2-(Vu_khi!$L$351-0))+1)))*IF($AA$351,INDEX(Bang_xuyen_qua!$C$2:$C$5,MIN(4,MAX(1,(Vu_khi!$L$351)-(0)-1))),1)</f>
        <v/>
      </c>
      <c r="AJ351" t="n">
        <v>1</v>
      </c>
      <c r="AK351">
        <f>IF($Q$351,$M$351*$AC$351*$U$351,0)</f>
        <v/>
      </c>
      <c r="AL351" t="n">
        <v>152.0883341334613</v>
      </c>
      <c r="AM351">
        <f>IF($Q$351,$M$351*$AE$351*$U$351,0)</f>
        <v/>
      </c>
      <c r="AN351" t="n">
        <v>107.7292366778685</v>
      </c>
      <c r="AO351">
        <f>IF($Q$351,$M$351*$AG$351*$U$351,0)</f>
        <v/>
      </c>
      <c r="AP351" t="n">
        <v>50.69611137782044</v>
      </c>
      <c r="AQ351">
        <f>IF($Q$351,$M$351*$AE$351*$Y$351,0)</f>
        <v/>
      </c>
      <c r="AR351" t="n">
        <v>62.84205472875659</v>
      </c>
      <c r="AS351">
        <f>IF($S$351,$M$351*$AI$351*$W$351,0)</f>
        <v/>
      </c>
      <c r="AT351" t="n">
        <v>0</v>
      </c>
      <c r="AU351">
        <f>IF(OR(Vu_khi!$M$351="Missile",Vu_khi!$M$351="Drone",AND(Vu_khi!$M$351="Rocket",OR(Vu_khi!$AM$351,Vu_khi!$D$351="guided")),Vu_khi!$AL$351,Vu_khi!$AK$351,Vu_khi!$X$351&lt;=0),FALSE,IF($B$351&gt;=0,$B$351&gt;=4,IF(Vu_khi!$M$351="Shell",Vu_khi!$AN$351&gt;=Canh_bao_vong!$D$10,IF(Vu_khi!$M$351="Bomb",Vu_khi!$AN$351&gt;=Canh_bao_vong!$D$3,IF(Vu_khi!$M$351="Rocket",Vu_khi!$AN$351&gt;=Canh_bao_vong!$D$13,FALSE)))))</f>
        <v/>
      </c>
      <c r="AV351" t="b">
        <v>0</v>
      </c>
      <c r="AW351">
        <f>IF(AND($B$351&lt;0,$AU$351),4,$B$351)</f>
        <v/>
      </c>
      <c r="AX351" t="n">
        <v>1</v>
      </c>
      <c r="AY351">
        <f>IF($AW$351&lt;4,0,MIN(MAX(0.5,Canh_bao_vong!$D$4),MAX(IF(Vu_khi!$C$351="cal_406",Canh_bao_vong!$D$7,IF($AW$351&gt;=5,Canh_bao_vong!$D$9,Canh_bao_vong!$D$8)),Canh_bao_vong!$D$2+MAX(0,Vu_khi!$X$351)/MAX(0.1,Canh_bao_vong!$D$5))))</f>
        <v/>
      </c>
      <c r="AZ351" t="n">
        <v>0</v>
      </c>
      <c r="BA351" t="n">
        <v>5.554667</v>
      </c>
      <c r="BB351" t="inlineStr">
        <is>
          <t>CHAM_QUA</t>
        </is>
      </c>
      <c r="BC351" t="inlineStr"/>
      <c r="BD351" t="n">
        <v>200</v>
      </c>
      <c r="BE351" t="n">
        <v>260</v>
      </c>
      <c r="BF351" t="n">
        <v>0.037</v>
      </c>
      <c r="BG351" t="n">
        <v>0.075</v>
      </c>
      <c r="BH351" t="n">
        <v>0.15</v>
      </c>
      <c r="BI351" t="n">
        <v>0.115</v>
      </c>
      <c r="BJ351" t="inlineStr">
        <is>
          <t>DIRECT_BULLET</t>
        </is>
      </c>
      <c r="BK351" t="inlineStr">
        <is>
          <t>ok</t>
        </is>
      </c>
      <c r="BL351" t="inlineStr">
        <is>
          <t>family 2a42_30_mm</t>
        </is>
      </c>
      <c r="BM351" t="inlineStr"/>
      <c r="BN351" t="inlineStr">
        <is>
          <t>Assets/MachineBrigade/Resources/Data/balance.json: weapons[id=twin_30_bmpt] (lớp B trên 01_chien_dau/Vu_khi)</t>
        </is>
      </c>
      <c r="BO351" t="inlineStr"/>
    </row>
    <row r="352">
      <c r="A352" t="inlineStr">
        <is>
          <t>twin_30_bmpt_flak</t>
        </is>
      </c>
      <c r="B352" t="n">
        <v>1</v>
      </c>
      <c r="C352">
        <f>IF(Vu_khi!$O$352="SIMULTANEOUS",MAX(1,Vu_khi!$N$352),1)</f>
        <v/>
      </c>
      <c r="D352" t="n">
        <v>1</v>
      </c>
      <c r="E352">
        <f>IF(Vu_khi!$S$352&gt;0,Vu_khi!$S$352,Vu_khi!$P$352*$C$352)</f>
        <v/>
      </c>
      <c r="F352" t="n">
        <v>12</v>
      </c>
      <c r="G352">
        <f>IF(Vu_khi!$S$352&gt;0,(Vu_khi!$S$352-1)*Vu_khi!$R$352+Vu_khi!$T$352,Vu_khi!$R$352+(Vu_khi!$P$352-1)*Vu_khi!$Q$352)</f>
        <v/>
      </c>
      <c r="H352" t="n">
        <v>2.4996</v>
      </c>
      <c r="I352">
        <f>Vu_khi!$W$352*MAX(1,$E$352)</f>
        <v/>
      </c>
      <c r="J352" t="n">
        <v>264</v>
      </c>
      <c r="K352">
        <f>IF(Vu_khi!$V$352&gt;0,Vu_khi!$V$352,MIN(28,MAX(10,Vu_khi!$U$352*Vu_khi!$R$352*0.4)))</f>
        <v/>
      </c>
      <c r="L352" t="n">
        <v>10</v>
      </c>
      <c r="M352">
        <f>IF(Vu_khi!$W$352&lt;=0,0,IF(Vu_khi!$U$352&gt;0,$I$352*Vu_khi!$U$352/(MAX(0.05,$G$352)*Vu_khi!$U$352+$K$352),$I$352/MAX(0.05,$G$352)))</f>
        <v/>
      </c>
      <c r="N352" t="n">
        <v>105.6168987037926</v>
      </c>
      <c r="O352">
        <f>OR(Vu_khi!$AG$352,Vu_khi!$AB$352&gt;0,Vu_khi!$AH$352,Vu_khi!$M$352="Bomb",Vu_khi!$M$352="Drone")</f>
        <v/>
      </c>
      <c r="P352" t="b">
        <v>0</v>
      </c>
      <c r="Q352">
        <f>AND(NOT(Vu_khi!$AJ$352),OR(Vu_khi!$AC$352="Ground",Vu_khi!$AC$352="All"))</f>
        <v/>
      </c>
      <c r="R352" t="b">
        <v>0</v>
      </c>
      <c r="S352">
        <f>AND(NOT(Vu_khi!$AJ$352),OR(Vu_khi!$AC$352="Air",Vu_khi!$AC$352="All"))</f>
        <v/>
      </c>
      <c r="T352" t="b">
        <v>1</v>
      </c>
      <c r="U352">
        <f>INDEX(Bang_sat_thuong!$B$2:$B$7,MATCH(Vu_khi!$K$352,Bang_sat_thuong!$A$2:$A$7,0))</f>
        <v/>
      </c>
      <c r="V352" t="n">
        <v>0.45</v>
      </c>
      <c r="W352">
        <f>INDEX(Bang_sat_thuong!$C$2:$C$7,MATCH(Vu_khi!$K$352,Bang_sat_thuong!$A$2:$A$7,0))</f>
        <v/>
      </c>
      <c r="X352" t="n">
        <v>1.35</v>
      </c>
      <c r="Y352">
        <f>IF(AND(Vu_khi!$AI$352,Vu_khi!$K$352="HighExplosive"),MAX(He_so_toan_cuc!$D$2,INDEX(Bang_sat_thuong!$D$2:$D$7,MATCH(Vu_khi!$K$352,Bang_sat_thuong!$A$2:$A$7,0))),INDEX(Bang_sat_thuong!$D$2:$D$7,MATCH(Vu_khi!$K$352,Bang_sat_thuong!$A$2:$A$7,0)))</f>
        <v/>
      </c>
      <c r="Z352" t="n">
        <v>0.1</v>
      </c>
      <c r="AA352">
        <f>AND(Vu_khi!$K$352="Kinetic",NOT(Vu_khi!$AG$352))</f>
        <v/>
      </c>
      <c r="AB352" t="b">
        <v>0</v>
      </c>
      <c r="AC352">
        <f>IF(Vu_khi!$AG$352,INDEX(Bang_danh_noc!$C$2:$C$8,MIN(7,MAX(1,2-(Vu_khi!$L$352-0)+1))),INDEX(Bang_xuyen_giap!$C$2:$C$8,MIN(7,MAX(1,IF($O$352,MAX(1,2-(Vu_khi!$L$352-0)),2-(Vu_khi!$L$352-0))+1))))*IF($AA$352,INDEX(Bang_xuyen_qua!$C$2:$C$5,MIN(4,MAX(1,(Vu_khi!$L$352)-(0)-1))),1)</f>
        <v/>
      </c>
      <c r="AD352" t="n">
        <v>1.2</v>
      </c>
      <c r="AE352">
        <f>IF(Vu_khi!$AG$352,INDEX(Bang_danh_noc!$C$2:$C$8,MIN(7,MAX(1,2-(Vu_khi!$L$352-2)+1))),INDEX(Bang_xuyen_giap!$C$2:$C$8,MIN(7,MAX(1,IF($O$352,MAX(1,2-(Vu_khi!$L$352-2)),2-(Vu_khi!$L$352-2))+1))))*IF($AA$352,INDEX(Bang_xuyen_qua!$C$2:$C$5,MIN(4,MAX(1,(Vu_khi!$L$352)-(2)-1))),1)</f>
        <v/>
      </c>
      <c r="AF352" t="n">
        <v>0.85</v>
      </c>
      <c r="AG352">
        <f>IF(Vu_khi!$AG$352,INDEX(Bang_danh_noc!$C$2:$C$8,MIN(7,MAX(1,2-(Vu_khi!$L$352-4)+1))),INDEX(Bang_xuyen_giap!$C$2:$C$8,MIN(7,MAX(1,IF($O$352,MAX(1,2-(Vu_khi!$L$352-4)),2-(Vu_khi!$L$352-4))+1))))*IF($AA$352,INDEX(Bang_xuyen_qua!$C$2:$C$5,MIN(4,MAX(1,(Vu_khi!$L$352)-(4)-1))),1)</f>
        <v/>
      </c>
      <c r="AH352" t="n">
        <v>0.4</v>
      </c>
      <c r="AI352">
        <f>INDEX(Bang_xuyen_giap!$C$2:$C$8,MIN(7,MAX(1,MAX(1,2-(Vu_khi!$L$352-0))+1)))*IF($AA$352,INDEX(Bang_xuyen_qua!$C$2:$C$5,MIN(4,MAX(1,(Vu_khi!$L$352)-(0)-1))),1)</f>
        <v/>
      </c>
      <c r="AJ352" t="n">
        <v>1</v>
      </c>
      <c r="AK352">
        <f>IF($Q$352,$M$352*$AC$352*$U$352,0)</f>
        <v/>
      </c>
      <c r="AL352" t="n">
        <v>0</v>
      </c>
      <c r="AM352">
        <f>IF($Q$352,$M$352*$AE$352*$U$352,0)</f>
        <v/>
      </c>
      <c r="AN352" t="n">
        <v>0</v>
      </c>
      <c r="AO352">
        <f>IF($Q$352,$M$352*$AG$352*$U$352,0)</f>
        <v/>
      </c>
      <c r="AP352" t="n">
        <v>0</v>
      </c>
      <c r="AQ352">
        <f>IF($Q$352,$M$352*$AE$352*$Y$352,0)</f>
        <v/>
      </c>
      <c r="AR352" t="n">
        <v>0</v>
      </c>
      <c r="AS352">
        <f>IF($S$352,$M$352*$AI$352*$W$352,0)</f>
        <v/>
      </c>
      <c r="AT352" t="n">
        <v>142.58281325012</v>
      </c>
      <c r="AU352">
        <f>IF(OR(Vu_khi!$M$352="Missile",Vu_khi!$M$352="Drone",AND(Vu_khi!$M$352="Rocket",OR(Vu_khi!$AM$352,Vu_khi!$D$352="guided")),Vu_khi!$AL$352,Vu_khi!$AK$352,Vu_khi!$X$352&lt;=0),FALSE,IF($B$352&gt;=0,$B$352&gt;=4,IF(Vu_khi!$M$352="Shell",Vu_khi!$AN$352&gt;=Canh_bao_vong!$D$10,IF(Vu_khi!$M$352="Bomb",Vu_khi!$AN$352&gt;=Canh_bao_vong!$D$3,IF(Vu_khi!$M$352="Rocket",Vu_khi!$AN$352&gt;=Canh_bao_vong!$D$13,FALSE)))))</f>
        <v/>
      </c>
      <c r="AV352" t="b">
        <v>0</v>
      </c>
      <c r="AW352">
        <f>IF(AND($B$352&lt;0,$AU$352),4,$B$352)</f>
        <v/>
      </c>
      <c r="AX352" t="n">
        <v>1</v>
      </c>
      <c r="AY352">
        <f>IF($AW$352&lt;4,0,MIN(MAX(0.5,Canh_bao_vong!$D$4),MAX(IF(Vu_khi!$C$352="cal_406",Canh_bao_vong!$D$7,IF($AW$352&gt;=5,Canh_bao_vong!$D$9,Canh_bao_vong!$D$8)),Canh_bao_vong!$D$2+MAX(0,Vu_khi!$X$352)/MAX(0.1,Canh_bao_vong!$D$5))))</f>
        <v/>
      </c>
      <c r="AZ352" t="n">
        <v>0</v>
      </c>
      <c r="BD352" t="n">
        <v>200</v>
      </c>
      <c r="BE352" t="n">
        <v>260</v>
      </c>
      <c r="BF352" t="n">
        <v>0.037</v>
      </c>
      <c r="BG352" t="n">
        <v>0.075</v>
      </c>
      <c r="BH352" t="n">
        <v>0.15</v>
      </c>
      <c r="BI352" t="n">
        <v>0.115</v>
      </c>
      <c r="BJ352" t="inlineStr">
        <is>
          <t>DIRECT_BULLET</t>
        </is>
      </c>
      <c r="BK352" t="inlineStr">
        <is>
          <t>ok</t>
        </is>
      </c>
      <c r="BL352" t="inlineStr">
        <is>
          <t>family 2a42_30_mm_air_burst</t>
        </is>
      </c>
      <c r="BM352" t="inlineStr"/>
      <c r="BN352" t="inlineStr">
        <is>
          <t>Assets/MachineBrigade/Resources/Data/balance.json: weapons[id=twin_30_bmpt_flak] (lớp B trên 01_chien_dau/Vu_khi)</t>
        </is>
      </c>
      <c r="BO352" t="inlineStr"/>
    </row>
    <row r="353">
      <c r="A353" t="inlineStr">
        <is>
          <t>twin_30_flak</t>
        </is>
      </c>
      <c r="B353" t="n">
        <v>1</v>
      </c>
      <c r="C353">
        <f>IF(Vu_khi!$O$353="SIMULTANEOUS",MAX(1,Vu_khi!$N$353),1)</f>
        <v/>
      </c>
      <c r="D353" t="n">
        <v>1</v>
      </c>
      <c r="E353">
        <f>IF(Vu_khi!$S$353&gt;0,Vu_khi!$S$353,Vu_khi!$P$353*$C$353)</f>
        <v/>
      </c>
      <c r="F353" t="n">
        <v>160</v>
      </c>
      <c r="G353">
        <f>IF(Vu_khi!$S$353&gt;0,(Vu_khi!$S$353-1)*Vu_khi!$R$353+Vu_khi!$T$353,Vu_khi!$R$353+(Vu_khi!$P$353-1)*Vu_khi!$Q$353)</f>
        <v/>
      </c>
      <c r="H353" t="n">
        <v>7</v>
      </c>
      <c r="I353">
        <f>Vu_khi!$W$353*MAX(1,$E$353)</f>
        <v/>
      </c>
      <c r="J353" t="n">
        <v>1200</v>
      </c>
      <c r="K353">
        <f>IF(Vu_khi!$V$353&gt;0,Vu_khi!$V$353,MIN(28,MAX(10,Vu_khi!$U$353*Vu_khi!$R$353*0.4)))</f>
        <v/>
      </c>
      <c r="L353" t="n">
        <v>10</v>
      </c>
      <c r="M353">
        <f>IF(Vu_khi!$W$353&lt;=0,0,IF(Vu_khi!$U$353&gt;0,$I$353*Vu_khi!$U$353/(MAX(0.05,$G$353)*Vu_khi!$U$353+$K$353),$I$353/MAX(0.05,$G$353)))</f>
        <v/>
      </c>
      <c r="N353" t="n">
        <v>171.4285714285714</v>
      </c>
      <c r="O353">
        <f>OR(Vu_khi!$AG$353,Vu_khi!$AB$353&gt;0,Vu_khi!$AH$353,Vu_khi!$M$353="Bomb",Vu_khi!$M$353="Drone")</f>
        <v/>
      </c>
      <c r="P353" t="b">
        <v>0</v>
      </c>
      <c r="Q353">
        <f>AND(NOT(Vu_khi!$AJ$353),OR(Vu_khi!$AC$353="Ground",Vu_khi!$AC$353="All"))</f>
        <v/>
      </c>
      <c r="R353" t="b">
        <v>1</v>
      </c>
      <c r="S353">
        <f>AND(NOT(Vu_khi!$AJ$353),OR(Vu_khi!$AC$353="Air",Vu_khi!$AC$353="All"))</f>
        <v/>
      </c>
      <c r="T353" t="b">
        <v>1</v>
      </c>
      <c r="U353">
        <f>INDEX(Bang_sat_thuong!$B$2:$B$7,MATCH(Vu_khi!$K$353,Bang_sat_thuong!$A$2:$A$7,0))</f>
        <v/>
      </c>
      <c r="V353" t="n">
        <v>0.45</v>
      </c>
      <c r="W353">
        <f>INDEX(Bang_sat_thuong!$C$2:$C$7,MATCH(Vu_khi!$K$353,Bang_sat_thuong!$A$2:$A$7,0))</f>
        <v/>
      </c>
      <c r="X353" t="n">
        <v>1.35</v>
      </c>
      <c r="Y353">
        <f>IF(AND(Vu_khi!$AI$353,Vu_khi!$K$353="HighExplosive"),MAX(He_so_toan_cuc!$D$2,INDEX(Bang_sat_thuong!$D$2:$D$7,MATCH(Vu_khi!$K$353,Bang_sat_thuong!$A$2:$A$7,0))),INDEX(Bang_sat_thuong!$D$2:$D$7,MATCH(Vu_khi!$K$353,Bang_sat_thuong!$A$2:$A$7,0)))</f>
        <v/>
      </c>
      <c r="Z353" t="n">
        <v>0.1</v>
      </c>
      <c r="AA353">
        <f>AND(Vu_khi!$K$353="Kinetic",NOT(Vu_khi!$AG$353))</f>
        <v/>
      </c>
      <c r="AB353" t="b">
        <v>0</v>
      </c>
      <c r="AC353">
        <f>IF(Vu_khi!$AG$353,INDEX(Bang_danh_noc!$C$2:$C$8,MIN(7,MAX(1,2-(Vu_khi!$L$353-0)+1))),INDEX(Bang_xuyen_giap!$C$2:$C$8,MIN(7,MAX(1,IF($O$353,MAX(1,2-(Vu_khi!$L$353-0)),2-(Vu_khi!$L$353-0))+1))))*IF($AA$353,INDEX(Bang_xuyen_qua!$C$2:$C$5,MIN(4,MAX(1,(Vu_khi!$L$353)-(0)-1))),1)</f>
        <v/>
      </c>
      <c r="AD353" t="n">
        <v>1.2</v>
      </c>
      <c r="AE353">
        <f>IF(Vu_khi!$AG$353,INDEX(Bang_danh_noc!$C$2:$C$8,MIN(7,MAX(1,2-(Vu_khi!$L$353-2)+1))),INDEX(Bang_xuyen_giap!$C$2:$C$8,MIN(7,MAX(1,IF($O$353,MAX(1,2-(Vu_khi!$L$353-2)),2-(Vu_khi!$L$353-2))+1))))*IF($AA$353,INDEX(Bang_xuyen_qua!$C$2:$C$5,MIN(4,MAX(1,(Vu_khi!$L$353)-(2)-1))),1)</f>
        <v/>
      </c>
      <c r="AF353" t="n">
        <v>0.85</v>
      </c>
      <c r="AG353">
        <f>IF(Vu_khi!$AG$353,INDEX(Bang_danh_noc!$C$2:$C$8,MIN(7,MAX(1,2-(Vu_khi!$L$353-4)+1))),INDEX(Bang_xuyen_giap!$C$2:$C$8,MIN(7,MAX(1,IF($O$353,MAX(1,2-(Vu_khi!$L$353-4)),2-(Vu_khi!$L$353-4))+1))))*IF($AA$353,INDEX(Bang_xuyen_qua!$C$2:$C$5,MIN(4,MAX(1,(Vu_khi!$L$353)-(4)-1))),1)</f>
        <v/>
      </c>
      <c r="AH353" t="n">
        <v>0.4</v>
      </c>
      <c r="AI353">
        <f>INDEX(Bang_xuyen_giap!$C$2:$C$8,MIN(7,MAX(1,MAX(1,2-(Vu_khi!$L$353-0))+1)))*IF($AA$353,INDEX(Bang_xuyen_qua!$C$2:$C$5,MIN(4,MAX(1,(Vu_khi!$L$353)-(0)-1))),1)</f>
        <v/>
      </c>
      <c r="AJ353" t="n">
        <v>1</v>
      </c>
      <c r="AK353">
        <f>IF($Q$353,$M$353*$AC$353*$U$353,0)</f>
        <v/>
      </c>
      <c r="AL353" t="n">
        <v>92.57142857142857</v>
      </c>
      <c r="AM353">
        <f>IF($Q$353,$M$353*$AE$353*$U$353,0)</f>
        <v/>
      </c>
      <c r="AN353" t="n">
        <v>65.57142857142857</v>
      </c>
      <c r="AO353">
        <f>IF($Q$353,$M$353*$AG$353*$U$353,0)</f>
        <v/>
      </c>
      <c r="AP353" t="n">
        <v>30.85714285714286</v>
      </c>
      <c r="AQ353">
        <f>IF($Q$353,$M$353*$AE$353*$Y$353,0)</f>
        <v/>
      </c>
      <c r="AR353" t="n">
        <v>14.57142857142857</v>
      </c>
      <c r="AS353">
        <f>IF($S$353,$M$353*$AI$353*$W$353,0)</f>
        <v/>
      </c>
      <c r="AT353" t="n">
        <v>231.4285714285714</v>
      </c>
      <c r="AU353">
        <f>IF(OR(Vu_khi!$M$353="Missile",Vu_khi!$M$353="Drone",AND(Vu_khi!$M$353="Rocket",OR(Vu_khi!$AM$353,Vu_khi!$D$353="guided")),Vu_khi!$AL$353,Vu_khi!$AK$353,Vu_khi!$X$353&lt;=0),FALSE,IF($B$353&gt;=0,$B$353&gt;=4,IF(Vu_khi!$M$353="Shell",Vu_khi!$AN$353&gt;=Canh_bao_vong!$D$10,IF(Vu_khi!$M$353="Bomb",Vu_khi!$AN$353&gt;=Canh_bao_vong!$D$3,IF(Vu_khi!$M$353="Rocket",Vu_khi!$AN$353&gt;=Canh_bao_vong!$D$13,FALSE)))))</f>
        <v/>
      </c>
      <c r="AV353" t="b">
        <v>0</v>
      </c>
      <c r="AW353">
        <f>IF(AND($B$353&lt;0,$AU$353),4,$B$353)</f>
        <v/>
      </c>
      <c r="AX353" t="n">
        <v>1</v>
      </c>
      <c r="AY353">
        <f>IF($AW$353&lt;4,0,MIN(MAX(0.5,Canh_bao_vong!$D$4),MAX(IF(Vu_khi!$C$353="cal_406",Canh_bao_vong!$D$7,IF($AW$353&gt;=5,Canh_bao_vong!$D$9,Canh_bao_vong!$D$8)),Canh_bao_vong!$D$2+MAX(0,Vu_khi!$X$353)/MAX(0.1,Canh_bao_vong!$D$5))))</f>
        <v/>
      </c>
      <c r="AZ353" t="n">
        <v>0</v>
      </c>
      <c r="BA353" t="n">
        <v>3.645833</v>
      </c>
      <c r="BB353" t="inlineStr">
        <is>
          <t>ok</t>
        </is>
      </c>
      <c r="BC353" t="inlineStr"/>
      <c r="BD353" t="n">
        <v>280</v>
      </c>
      <c r="BE353" t="n">
        <v>364</v>
      </c>
      <c r="BF353" t="n">
        <v>0.037</v>
      </c>
      <c r="BG353" t="n">
        <v>0.075</v>
      </c>
      <c r="BH353" t="n">
        <v>0.15</v>
      </c>
      <c r="BI353" t="n">
        <v>0.115</v>
      </c>
      <c r="BJ353" t="inlineStr">
        <is>
          <t>DIRECT_BULLET</t>
        </is>
      </c>
      <c r="BK353" t="inlineStr">
        <is>
          <t>ok</t>
        </is>
      </c>
      <c r="BL353" t="inlineStr">
        <is>
          <t>family 2a38_30_mm</t>
        </is>
      </c>
      <c r="BM353" t="inlineStr"/>
      <c r="BN353" t="inlineStr">
        <is>
          <t>Assets/MachineBrigade/Resources/Data/balance.json: weapons[id=twin_30_flak] (lớp B trên 01_chien_dau/Vu_khi)</t>
        </is>
      </c>
      <c r="BO353" t="inlineStr"/>
    </row>
    <row r="354">
      <c r="A354" t="inlineStr">
        <is>
          <t>twin_30_flak_ap</t>
        </is>
      </c>
      <c r="B354" t="n">
        <v>1</v>
      </c>
      <c r="C354">
        <f>IF(Vu_khi!$O$354="SIMULTANEOUS",MAX(1,Vu_khi!$N$354),1)</f>
        <v/>
      </c>
      <c r="D354" t="n">
        <v>1</v>
      </c>
      <c r="E354">
        <f>IF(Vu_khi!$S$354&gt;0,Vu_khi!$S$354,Vu_khi!$P$354*$C$354)</f>
        <v/>
      </c>
      <c r="F354" t="n">
        <v>160</v>
      </c>
      <c r="G354">
        <f>IF(Vu_khi!$S$354&gt;0,(Vu_khi!$S$354-1)*Vu_khi!$R$354+Vu_khi!$T$354,Vu_khi!$R$354+(Vu_khi!$P$354-1)*Vu_khi!$Q$354)</f>
        <v/>
      </c>
      <c r="H354" t="n">
        <v>7</v>
      </c>
      <c r="I354">
        <f>Vu_khi!$W$354*MAX(1,$E$354)</f>
        <v/>
      </c>
      <c r="J354" t="n">
        <v>1200</v>
      </c>
      <c r="K354">
        <f>IF(Vu_khi!$V$354&gt;0,Vu_khi!$V$354,MIN(28,MAX(10,Vu_khi!$U$354*Vu_khi!$R$354*0.4)))</f>
        <v/>
      </c>
      <c r="L354" t="n">
        <v>10</v>
      </c>
      <c r="M354">
        <f>IF(Vu_khi!$W$354&lt;=0,0,IF(Vu_khi!$U$354&gt;0,$I$354*Vu_khi!$U$354/(MAX(0.05,$G$354)*Vu_khi!$U$354+$K$354),$I$354/MAX(0.05,$G$354)))</f>
        <v/>
      </c>
      <c r="N354" t="n">
        <v>171.4285714285714</v>
      </c>
      <c r="O354">
        <f>OR(Vu_khi!$AG$354,Vu_khi!$AB$354&gt;0,Vu_khi!$AH$354,Vu_khi!$M$354="Bomb",Vu_khi!$M$354="Drone")</f>
        <v/>
      </c>
      <c r="P354" t="b">
        <v>0</v>
      </c>
      <c r="Q354">
        <f>AND(NOT(Vu_khi!$AJ$354),OR(Vu_khi!$AC$354="Ground",Vu_khi!$AC$354="All"))</f>
        <v/>
      </c>
      <c r="R354" t="b">
        <v>1</v>
      </c>
      <c r="S354">
        <f>AND(NOT(Vu_khi!$AJ$354),OR(Vu_khi!$AC$354="Air",Vu_khi!$AC$354="All"))</f>
        <v/>
      </c>
      <c r="T354" t="b">
        <v>0</v>
      </c>
      <c r="U354">
        <f>INDEX(Bang_sat_thuong!$B$2:$B$7,MATCH(Vu_khi!$K$354,Bang_sat_thuong!$A$2:$A$7,0))</f>
        <v/>
      </c>
      <c r="V354" t="n">
        <v>1.2</v>
      </c>
      <c r="W354">
        <f>INDEX(Bang_sat_thuong!$C$2:$C$7,MATCH(Vu_khi!$K$354,Bang_sat_thuong!$A$2:$A$7,0))</f>
        <v/>
      </c>
      <c r="X354" t="n">
        <v>0.3</v>
      </c>
      <c r="Y354">
        <f>IF(AND(Vu_khi!$AI$354,Vu_khi!$K$354="HighExplosive"),MAX(He_so_toan_cuc!$D$2,INDEX(Bang_sat_thuong!$D$2:$D$7,MATCH(Vu_khi!$K$354,Bang_sat_thuong!$A$2:$A$7,0))),INDEX(Bang_sat_thuong!$D$2:$D$7,MATCH(Vu_khi!$K$354,Bang_sat_thuong!$A$2:$A$7,0)))</f>
        <v/>
      </c>
      <c r="Z354" t="n">
        <v>0.7</v>
      </c>
      <c r="AA354">
        <f>AND(Vu_khi!$K$354="Kinetic",NOT(Vu_khi!$AG$354))</f>
        <v/>
      </c>
      <c r="AB354" t="b">
        <v>1</v>
      </c>
      <c r="AC354">
        <f>IF(Vu_khi!$AG$354,INDEX(Bang_danh_noc!$C$2:$C$8,MIN(7,MAX(1,2-(Vu_khi!$L$354-0)+1))),INDEX(Bang_xuyen_giap!$C$2:$C$8,MIN(7,MAX(1,IF($O$354,MAX(1,2-(Vu_khi!$L$354-0)),2-(Vu_khi!$L$354-0))+1))))*IF($AA$354,INDEX(Bang_xuyen_qua!$C$2:$C$5,MIN(4,MAX(1,(Vu_khi!$L$354)-(0)-1))),1)</f>
        <v/>
      </c>
      <c r="AD354" t="n">
        <v>1.2</v>
      </c>
      <c r="AE354">
        <f>IF(Vu_khi!$AG$354,INDEX(Bang_danh_noc!$C$2:$C$8,MIN(7,MAX(1,2-(Vu_khi!$L$354-2)+1))),INDEX(Bang_xuyen_giap!$C$2:$C$8,MIN(7,MAX(1,IF($O$354,MAX(1,2-(Vu_khi!$L$354-2)),2-(Vu_khi!$L$354-2))+1))))*IF($AA$354,INDEX(Bang_xuyen_qua!$C$2:$C$5,MIN(4,MAX(1,(Vu_khi!$L$354)-(2)-1))),1)</f>
        <v/>
      </c>
      <c r="AF354" t="n">
        <v>0.85</v>
      </c>
      <c r="AG354">
        <f>IF(Vu_khi!$AG$354,INDEX(Bang_danh_noc!$C$2:$C$8,MIN(7,MAX(1,2-(Vu_khi!$L$354-4)+1))),INDEX(Bang_xuyen_giap!$C$2:$C$8,MIN(7,MAX(1,IF($O$354,MAX(1,2-(Vu_khi!$L$354-4)),2-(Vu_khi!$L$354-4))+1))))*IF($AA$354,INDEX(Bang_xuyen_qua!$C$2:$C$5,MIN(4,MAX(1,(Vu_khi!$L$354)-(4)-1))),1)</f>
        <v/>
      </c>
      <c r="AH354" t="n">
        <v>0.4</v>
      </c>
      <c r="AI354">
        <f>INDEX(Bang_xuyen_giap!$C$2:$C$8,MIN(7,MAX(1,MAX(1,2-(Vu_khi!$L$354-0))+1)))*IF($AA$354,INDEX(Bang_xuyen_qua!$C$2:$C$5,MIN(4,MAX(1,(Vu_khi!$L$354)-(0)-1))),1)</f>
        <v/>
      </c>
      <c r="AJ354" t="n">
        <v>1</v>
      </c>
      <c r="AK354">
        <f>IF($Q$354,$M$354*$AC$354*$U$354,0)</f>
        <v/>
      </c>
      <c r="AL354" t="n">
        <v>246.8571428571428</v>
      </c>
      <c r="AM354">
        <f>IF($Q$354,$M$354*$AE$354*$U$354,0)</f>
        <v/>
      </c>
      <c r="AN354" t="n">
        <v>174.8571428571429</v>
      </c>
      <c r="AO354">
        <f>IF($Q$354,$M$354*$AG$354*$U$354,0)</f>
        <v/>
      </c>
      <c r="AP354" t="n">
        <v>82.28571428571428</v>
      </c>
      <c r="AQ354">
        <f>IF($Q$354,$M$354*$AE$354*$Y$354,0)</f>
        <v/>
      </c>
      <c r="AR354" t="n">
        <v>102</v>
      </c>
      <c r="AS354">
        <f>IF($S$354,$M$354*$AI$354*$W$354,0)</f>
        <v/>
      </c>
      <c r="AT354" t="n">
        <v>0</v>
      </c>
      <c r="AU354">
        <f>IF(OR(Vu_khi!$M$354="Missile",Vu_khi!$M$354="Drone",AND(Vu_khi!$M$354="Rocket",OR(Vu_khi!$AM$354,Vu_khi!$D$354="guided")),Vu_khi!$AL$354,Vu_khi!$AK$354,Vu_khi!$X$354&lt;=0),FALSE,IF($B$354&gt;=0,$B$354&gt;=4,IF(Vu_khi!$M$354="Shell",Vu_khi!$AN$354&gt;=Canh_bao_vong!$D$10,IF(Vu_khi!$M$354="Bomb",Vu_khi!$AN$354&gt;=Canh_bao_vong!$D$3,IF(Vu_khi!$M$354="Rocket",Vu_khi!$AN$354&gt;=Canh_bao_vong!$D$13,FALSE)))))</f>
        <v/>
      </c>
      <c r="AV354" t="b">
        <v>0</v>
      </c>
      <c r="AW354">
        <f>IF(AND($B$354&lt;0,$AU$354),4,$B$354)</f>
        <v/>
      </c>
      <c r="AX354" t="n">
        <v>1</v>
      </c>
      <c r="AY354">
        <f>IF($AW$354&lt;4,0,MIN(MAX(0.5,Canh_bao_vong!$D$4),MAX(IF(Vu_khi!$C$354="cal_406",Canh_bao_vong!$D$7,IF($AW$354&gt;=5,Canh_bao_vong!$D$9,Canh_bao_vong!$D$8)),Canh_bao_vong!$D$2+MAX(0,Vu_khi!$X$354)/MAX(0.1,Canh_bao_vong!$D$5))))</f>
        <v/>
      </c>
      <c r="AZ354" t="n">
        <v>0</v>
      </c>
      <c r="BD354" t="n">
        <v>280</v>
      </c>
      <c r="BE354" t="n">
        <v>364</v>
      </c>
      <c r="BF354" t="n">
        <v>0.037</v>
      </c>
      <c r="BG354" t="n">
        <v>0.075</v>
      </c>
      <c r="BH354" t="n">
        <v>0.15</v>
      </c>
      <c r="BI354" t="n">
        <v>0.115</v>
      </c>
      <c r="BJ354" t="inlineStr">
        <is>
          <t>DIRECT_BULLET</t>
        </is>
      </c>
      <c r="BK354" t="inlineStr">
        <is>
          <t>ok</t>
        </is>
      </c>
      <c r="BL354" t="inlineStr">
        <is>
          <t>family 2a38_30_mm_ap</t>
        </is>
      </c>
      <c r="BM354" t="inlineStr"/>
      <c r="BN354" t="inlineStr">
        <is>
          <t>Assets/MachineBrigade/Resources/Data/balance.json: weapons[id=twin_30_flak_ap] (lớp B trên 01_chien_dau/Vu_khi)</t>
        </is>
      </c>
      <c r="BO354" t="inlineStr"/>
    </row>
    <row r="355">
      <c r="A355" t="inlineStr">
        <is>
          <t>twin_35_ahead</t>
        </is>
      </c>
      <c r="B355" t="n">
        <v>1</v>
      </c>
      <c r="C355">
        <f>IF(Vu_khi!$O$355="SIMULTANEOUS",MAX(1,Vu_khi!$N$355),1)</f>
        <v/>
      </c>
      <c r="D355" t="n">
        <v>1</v>
      </c>
      <c r="E355">
        <f>IF(Vu_khi!$S$355&gt;0,Vu_khi!$S$355,Vu_khi!$P$355*$C$355)</f>
        <v/>
      </c>
      <c r="F355" t="n">
        <v>24</v>
      </c>
      <c r="G355">
        <f>IF(Vu_khi!$S$355&gt;0,(Vu_khi!$S$355-1)*Vu_khi!$R$355+Vu_khi!$T$355,Vu_khi!$R$355+(Vu_khi!$P$355-1)*Vu_khi!$Q$355)</f>
        <v/>
      </c>
      <c r="H355" t="n">
        <v>6.1288</v>
      </c>
      <c r="I355">
        <f>Vu_khi!$W$355*MAX(1,$E$355)</f>
        <v/>
      </c>
      <c r="J355" t="n">
        <v>624</v>
      </c>
      <c r="K355">
        <f>IF(Vu_khi!$V$355&gt;0,Vu_khi!$V$355,MIN(28,MAX(10,Vu_khi!$U$355*Vu_khi!$R$355*0.4)))</f>
        <v/>
      </c>
      <c r="L355" t="n">
        <v>10</v>
      </c>
      <c r="M355">
        <f>IF(Vu_khi!$W$355&lt;=0,0,IF(Vu_khi!$U$355&gt;0,$I$355*Vu_khi!$U$355/(MAX(0.05,$G$355)*Vu_khi!$U$355+$K$355),$I$355/MAX(0.05,$G$355)))</f>
        <v/>
      </c>
      <c r="N355" t="n">
        <v>101.8143845450985</v>
      </c>
      <c r="O355">
        <f>OR(Vu_khi!$AG$355,Vu_khi!$AB$355&gt;0,Vu_khi!$AH$355,Vu_khi!$M$355="Bomb",Vu_khi!$M$355="Drone")</f>
        <v/>
      </c>
      <c r="P355" t="b">
        <v>0</v>
      </c>
      <c r="Q355">
        <f>AND(NOT(Vu_khi!$AJ$355),OR(Vu_khi!$AC$355="Ground",Vu_khi!$AC$355="All"))</f>
        <v/>
      </c>
      <c r="R355" t="b">
        <v>1</v>
      </c>
      <c r="S355">
        <f>AND(NOT(Vu_khi!$AJ$355),OR(Vu_khi!$AC$355="Air",Vu_khi!$AC$355="All"))</f>
        <v/>
      </c>
      <c r="T355" t="b">
        <v>1</v>
      </c>
      <c r="U355">
        <f>INDEX(Bang_sat_thuong!$B$2:$B$7,MATCH(Vu_khi!$K$355,Bang_sat_thuong!$A$2:$A$7,0))</f>
        <v/>
      </c>
      <c r="V355" t="n">
        <v>0.45</v>
      </c>
      <c r="W355">
        <f>INDEX(Bang_sat_thuong!$C$2:$C$7,MATCH(Vu_khi!$K$355,Bang_sat_thuong!$A$2:$A$7,0))</f>
        <v/>
      </c>
      <c r="X355" t="n">
        <v>1.35</v>
      </c>
      <c r="Y355">
        <f>IF(AND(Vu_khi!$AI$355,Vu_khi!$K$355="HighExplosive"),MAX(He_so_toan_cuc!$D$2,INDEX(Bang_sat_thuong!$D$2:$D$7,MATCH(Vu_khi!$K$355,Bang_sat_thuong!$A$2:$A$7,0))),INDEX(Bang_sat_thuong!$D$2:$D$7,MATCH(Vu_khi!$K$355,Bang_sat_thuong!$A$2:$A$7,0)))</f>
        <v/>
      </c>
      <c r="Z355" t="n">
        <v>0.1</v>
      </c>
      <c r="AA355">
        <f>AND(Vu_khi!$K$355="Kinetic",NOT(Vu_khi!$AG$355))</f>
        <v/>
      </c>
      <c r="AB355" t="b">
        <v>0</v>
      </c>
      <c r="AC355">
        <f>IF(Vu_khi!$AG$355,INDEX(Bang_danh_noc!$C$2:$C$8,MIN(7,MAX(1,2-(Vu_khi!$L$355-0)+1))),INDEX(Bang_xuyen_giap!$C$2:$C$8,MIN(7,MAX(1,IF($O$355,MAX(1,2-(Vu_khi!$L$355-0)),2-(Vu_khi!$L$355-0))+1))))*IF($AA$355,INDEX(Bang_xuyen_qua!$C$2:$C$5,MIN(4,MAX(1,(Vu_khi!$L$355)-(0)-1))),1)</f>
        <v/>
      </c>
      <c r="AD355" t="n">
        <v>1.2</v>
      </c>
      <c r="AE355">
        <f>IF(Vu_khi!$AG$355,INDEX(Bang_danh_noc!$C$2:$C$8,MIN(7,MAX(1,2-(Vu_khi!$L$355-2)+1))),INDEX(Bang_xuyen_giap!$C$2:$C$8,MIN(7,MAX(1,IF($O$355,MAX(1,2-(Vu_khi!$L$355-2)),2-(Vu_khi!$L$355-2))+1))))*IF($AA$355,INDEX(Bang_xuyen_qua!$C$2:$C$5,MIN(4,MAX(1,(Vu_khi!$L$355)-(2)-1))),1)</f>
        <v/>
      </c>
      <c r="AF355" t="n">
        <v>0.85</v>
      </c>
      <c r="AG355">
        <f>IF(Vu_khi!$AG$355,INDEX(Bang_danh_noc!$C$2:$C$8,MIN(7,MAX(1,2-(Vu_khi!$L$355-4)+1))),INDEX(Bang_xuyen_giap!$C$2:$C$8,MIN(7,MAX(1,IF($O$355,MAX(1,2-(Vu_khi!$L$355-4)),2-(Vu_khi!$L$355-4))+1))))*IF($AA$355,INDEX(Bang_xuyen_qua!$C$2:$C$5,MIN(4,MAX(1,(Vu_khi!$L$355)-(4)-1))),1)</f>
        <v/>
      </c>
      <c r="AH355" t="n">
        <v>0.4</v>
      </c>
      <c r="AI355">
        <f>INDEX(Bang_xuyen_giap!$C$2:$C$8,MIN(7,MAX(1,MAX(1,2-(Vu_khi!$L$355-0))+1)))*IF($AA$355,INDEX(Bang_xuyen_qua!$C$2:$C$5,MIN(4,MAX(1,(Vu_khi!$L$355)-(0)-1))),1)</f>
        <v/>
      </c>
      <c r="AJ355" t="n">
        <v>1</v>
      </c>
      <c r="AK355">
        <f>IF($Q$355,$M$355*$AC$355*$U$355,0)</f>
        <v/>
      </c>
      <c r="AL355" t="n">
        <v>54.97976765435322</v>
      </c>
      <c r="AM355">
        <f>IF($Q$355,$M$355*$AE$355*$U$355,0)</f>
        <v/>
      </c>
      <c r="AN355" t="n">
        <v>38.9440020885002</v>
      </c>
      <c r="AO355">
        <f>IF($Q$355,$M$355*$AG$355*$U$355,0)</f>
        <v/>
      </c>
      <c r="AP355" t="n">
        <v>18.32658921811774</v>
      </c>
      <c r="AQ355">
        <f>IF($Q$355,$M$355*$AE$355*$Y$355,0)</f>
        <v/>
      </c>
      <c r="AR355" t="n">
        <v>8.654222686333377</v>
      </c>
      <c r="AS355">
        <f>IF($S$355,$M$355*$AI$355*$W$355,0)</f>
        <v/>
      </c>
      <c r="AT355" t="n">
        <v>137.4494191358831</v>
      </c>
      <c r="AU355">
        <f>IF(OR(Vu_khi!$M$355="Missile",Vu_khi!$M$355="Drone",AND(Vu_khi!$M$355="Rocket",OR(Vu_khi!$AM$355,Vu_khi!$D$355="guided")),Vu_khi!$AL$355,Vu_khi!$AK$355,Vu_khi!$X$355&lt;=0),FALSE,IF($B$355&gt;=0,$B$355&gt;=4,IF(Vu_khi!$M$355="Shell",Vu_khi!$AN$355&gt;=Canh_bao_vong!$D$10,IF(Vu_khi!$M$355="Bomb",Vu_khi!$AN$355&gt;=Canh_bao_vong!$D$3,IF(Vu_khi!$M$355="Rocket",Vu_khi!$AN$355&gt;=Canh_bao_vong!$D$13,FALSE)))))</f>
        <v/>
      </c>
      <c r="AV355" t="b">
        <v>0</v>
      </c>
      <c r="AW355">
        <f>IF(AND($B$355&lt;0,$AU$355),4,$B$355)</f>
        <v/>
      </c>
      <c r="AX355" t="n">
        <v>1</v>
      </c>
      <c r="AY355">
        <f>IF($AW$355&lt;4,0,MIN(MAX(0.5,Canh_bao_vong!$D$4),MAX(IF(Vu_khi!$C$355="cal_406",Canh_bao_vong!$D$7,IF($AW$355&gt;=5,Canh_bao_vong!$D$9,Canh_bao_vong!$D$8)),Canh_bao_vong!$D$2+MAX(0,Vu_khi!$X$355)/MAX(0.1,Canh_bao_vong!$D$5))))</f>
        <v/>
      </c>
      <c r="AZ355" t="n">
        <v>0</v>
      </c>
      <c r="BA355" t="n">
        <v>4.256111</v>
      </c>
      <c r="BB355" t="inlineStr">
        <is>
          <t>LECH_DOT_1</t>
        </is>
      </c>
      <c r="BC355" t="inlineStr"/>
      <c r="BD355" t="n">
        <v>300</v>
      </c>
      <c r="BE355" t="n">
        <v>390</v>
      </c>
      <c r="BF355" t="n">
        <v>0.038</v>
      </c>
      <c r="BG355" t="n">
        <v>0.077</v>
      </c>
      <c r="BH355" t="n">
        <v>0.153</v>
      </c>
      <c r="BI355" t="n">
        <v>0.118</v>
      </c>
      <c r="BJ355" t="inlineStr">
        <is>
          <t>DIRECT_BULLET</t>
        </is>
      </c>
      <c r="BK355" t="inlineStr">
        <is>
          <t>ok</t>
        </is>
      </c>
      <c r="BL355" t="inlineStr">
        <is>
          <t>own line</t>
        </is>
      </c>
      <c r="BM355" t="inlineStr"/>
      <c r="BN355" t="inlineStr">
        <is>
          <t>Assets/MachineBrigade/Resources/Data/balance.json: weapons[id=twin_35_ahead] (lớp B trên 01_chien_dau/Vu_khi)</t>
        </is>
      </c>
      <c r="BO355" t="inlineStr"/>
    </row>
    <row r="356">
      <c r="A356" t="inlineStr">
        <is>
          <t>twin_35_ahead_ap</t>
        </is>
      </c>
      <c r="B356" t="n">
        <v>1</v>
      </c>
      <c r="C356">
        <f>IF(Vu_khi!$O$356="SIMULTANEOUS",MAX(1,Vu_khi!$N$356),1)</f>
        <v/>
      </c>
      <c r="D356" t="n">
        <v>1</v>
      </c>
      <c r="E356">
        <f>IF(Vu_khi!$S$356&gt;0,Vu_khi!$S$356,Vu_khi!$P$356*$C$356)</f>
        <v/>
      </c>
      <c r="F356" t="n">
        <v>24</v>
      </c>
      <c r="G356">
        <f>IF(Vu_khi!$S$356&gt;0,(Vu_khi!$S$356-1)*Vu_khi!$R$356+Vu_khi!$T$356,Vu_khi!$R$356+(Vu_khi!$P$356-1)*Vu_khi!$Q$356)</f>
        <v/>
      </c>
      <c r="H356" t="n">
        <v>6.1288</v>
      </c>
      <c r="I356">
        <f>Vu_khi!$W$356*MAX(1,$E$356)</f>
        <v/>
      </c>
      <c r="J356" t="n">
        <v>624</v>
      </c>
      <c r="K356">
        <f>IF(Vu_khi!$V$356&gt;0,Vu_khi!$V$356,MIN(28,MAX(10,Vu_khi!$U$356*Vu_khi!$R$356*0.4)))</f>
        <v/>
      </c>
      <c r="L356" t="n">
        <v>10</v>
      </c>
      <c r="M356">
        <f>IF(Vu_khi!$W$356&lt;=0,0,IF(Vu_khi!$U$356&gt;0,$I$356*Vu_khi!$U$356/(MAX(0.05,$G$356)*Vu_khi!$U$356+$K$356),$I$356/MAX(0.05,$G$356)))</f>
        <v/>
      </c>
      <c r="N356" t="n">
        <v>101.8143845450985</v>
      </c>
      <c r="O356">
        <f>OR(Vu_khi!$AG$356,Vu_khi!$AB$356&gt;0,Vu_khi!$AH$356,Vu_khi!$M$356="Bomb",Vu_khi!$M$356="Drone")</f>
        <v/>
      </c>
      <c r="P356" t="b">
        <v>0</v>
      </c>
      <c r="Q356">
        <f>AND(NOT(Vu_khi!$AJ$356),OR(Vu_khi!$AC$356="Ground",Vu_khi!$AC$356="All"))</f>
        <v/>
      </c>
      <c r="R356" t="b">
        <v>1</v>
      </c>
      <c r="S356">
        <f>AND(NOT(Vu_khi!$AJ$356),OR(Vu_khi!$AC$356="Air",Vu_khi!$AC$356="All"))</f>
        <v/>
      </c>
      <c r="T356" t="b">
        <v>0</v>
      </c>
      <c r="U356">
        <f>INDEX(Bang_sat_thuong!$B$2:$B$7,MATCH(Vu_khi!$K$356,Bang_sat_thuong!$A$2:$A$7,0))</f>
        <v/>
      </c>
      <c r="V356" t="n">
        <v>1.2</v>
      </c>
      <c r="W356">
        <f>INDEX(Bang_sat_thuong!$C$2:$C$7,MATCH(Vu_khi!$K$356,Bang_sat_thuong!$A$2:$A$7,0))</f>
        <v/>
      </c>
      <c r="X356" t="n">
        <v>0.3</v>
      </c>
      <c r="Y356">
        <f>IF(AND(Vu_khi!$AI$356,Vu_khi!$K$356="HighExplosive"),MAX(He_so_toan_cuc!$D$2,INDEX(Bang_sat_thuong!$D$2:$D$7,MATCH(Vu_khi!$K$356,Bang_sat_thuong!$A$2:$A$7,0))),INDEX(Bang_sat_thuong!$D$2:$D$7,MATCH(Vu_khi!$K$356,Bang_sat_thuong!$A$2:$A$7,0)))</f>
        <v/>
      </c>
      <c r="Z356" t="n">
        <v>0.7</v>
      </c>
      <c r="AA356">
        <f>AND(Vu_khi!$K$356="Kinetic",NOT(Vu_khi!$AG$356))</f>
        <v/>
      </c>
      <c r="AB356" t="b">
        <v>1</v>
      </c>
      <c r="AC356">
        <f>IF(Vu_khi!$AG$356,INDEX(Bang_danh_noc!$C$2:$C$8,MIN(7,MAX(1,2-(Vu_khi!$L$356-0)+1))),INDEX(Bang_xuyen_giap!$C$2:$C$8,MIN(7,MAX(1,IF($O$356,MAX(1,2-(Vu_khi!$L$356-0)),2-(Vu_khi!$L$356-0))+1))))*IF($AA$356,INDEX(Bang_xuyen_qua!$C$2:$C$5,MIN(4,MAX(1,(Vu_khi!$L$356)-(0)-1))),1)</f>
        <v/>
      </c>
      <c r="AD356" t="n">
        <v>1.2</v>
      </c>
      <c r="AE356">
        <f>IF(Vu_khi!$AG$356,INDEX(Bang_danh_noc!$C$2:$C$8,MIN(7,MAX(1,2-(Vu_khi!$L$356-2)+1))),INDEX(Bang_xuyen_giap!$C$2:$C$8,MIN(7,MAX(1,IF($O$356,MAX(1,2-(Vu_khi!$L$356-2)),2-(Vu_khi!$L$356-2))+1))))*IF($AA$356,INDEX(Bang_xuyen_qua!$C$2:$C$5,MIN(4,MAX(1,(Vu_khi!$L$356)-(2)-1))),1)</f>
        <v/>
      </c>
      <c r="AF356" t="n">
        <v>0.85</v>
      </c>
      <c r="AG356">
        <f>IF(Vu_khi!$AG$356,INDEX(Bang_danh_noc!$C$2:$C$8,MIN(7,MAX(1,2-(Vu_khi!$L$356-4)+1))),INDEX(Bang_xuyen_giap!$C$2:$C$8,MIN(7,MAX(1,IF($O$356,MAX(1,2-(Vu_khi!$L$356-4)),2-(Vu_khi!$L$356-4))+1))))*IF($AA$356,INDEX(Bang_xuyen_qua!$C$2:$C$5,MIN(4,MAX(1,(Vu_khi!$L$356)-(4)-1))),1)</f>
        <v/>
      </c>
      <c r="AH356" t="n">
        <v>0.4</v>
      </c>
      <c r="AI356">
        <f>INDEX(Bang_xuyen_giap!$C$2:$C$8,MIN(7,MAX(1,MAX(1,2-(Vu_khi!$L$356-0))+1)))*IF($AA$356,INDEX(Bang_xuyen_qua!$C$2:$C$5,MIN(4,MAX(1,(Vu_khi!$L$356)-(0)-1))),1)</f>
        <v/>
      </c>
      <c r="AJ356" t="n">
        <v>1</v>
      </c>
      <c r="AK356">
        <f>IF($Q$356,$M$356*$AC$356*$U$356,0)</f>
        <v/>
      </c>
      <c r="AL356" t="n">
        <v>146.6127137449419</v>
      </c>
      <c r="AM356">
        <f>IF($Q$356,$M$356*$AE$356*$U$356,0)</f>
        <v/>
      </c>
      <c r="AN356" t="n">
        <v>103.8506722360005</v>
      </c>
      <c r="AO356">
        <f>IF($Q$356,$M$356*$AG$356*$U$356,0)</f>
        <v/>
      </c>
      <c r="AP356" t="n">
        <v>48.8709045816473</v>
      </c>
      <c r="AQ356">
        <f>IF($Q$356,$M$356*$AE$356*$Y$356,0)</f>
        <v/>
      </c>
      <c r="AR356" t="n">
        <v>60.57955880433364</v>
      </c>
      <c r="AS356">
        <f>IF($S$356,$M$356*$AI$356*$W$356,0)</f>
        <v/>
      </c>
      <c r="AT356" t="n">
        <v>0</v>
      </c>
      <c r="AU356">
        <f>IF(OR(Vu_khi!$M$356="Missile",Vu_khi!$M$356="Drone",AND(Vu_khi!$M$356="Rocket",OR(Vu_khi!$AM$356,Vu_khi!$D$356="guided")),Vu_khi!$AL$356,Vu_khi!$AK$356,Vu_khi!$X$356&lt;=0),FALSE,IF($B$356&gt;=0,$B$356&gt;=4,IF(Vu_khi!$M$356="Shell",Vu_khi!$AN$356&gt;=Canh_bao_vong!$D$10,IF(Vu_khi!$M$356="Bomb",Vu_khi!$AN$356&gt;=Canh_bao_vong!$D$3,IF(Vu_khi!$M$356="Rocket",Vu_khi!$AN$356&gt;=Canh_bao_vong!$D$13,FALSE)))))</f>
        <v/>
      </c>
      <c r="AV356" t="b">
        <v>0</v>
      </c>
      <c r="AW356">
        <f>IF(AND($B$356&lt;0,$AU$356),4,$B$356)</f>
        <v/>
      </c>
      <c r="AX356" t="n">
        <v>1</v>
      </c>
      <c r="AY356">
        <f>IF($AW$356&lt;4,0,MIN(MAX(0.5,Canh_bao_vong!$D$4),MAX(IF(Vu_khi!$C$356="cal_406",Canh_bao_vong!$D$7,IF($AW$356&gt;=5,Canh_bao_vong!$D$9,Canh_bao_vong!$D$8)),Canh_bao_vong!$D$2+MAX(0,Vu_khi!$X$356)/MAX(0.1,Canh_bao_vong!$D$5))))</f>
        <v/>
      </c>
      <c r="AZ356" t="n">
        <v>0</v>
      </c>
      <c r="BD356" t="n">
        <v>300</v>
      </c>
      <c r="BE356" t="n">
        <v>390</v>
      </c>
      <c r="BF356" t="n">
        <v>0.038</v>
      </c>
      <c r="BG356" t="n">
        <v>0.077</v>
      </c>
      <c r="BH356" t="n">
        <v>0.153</v>
      </c>
      <c r="BI356" t="n">
        <v>0.118</v>
      </c>
      <c r="BJ356" t="inlineStr">
        <is>
          <t>DIRECT_BULLET</t>
        </is>
      </c>
      <c r="BK356" t="inlineStr">
        <is>
          <t>ok</t>
        </is>
      </c>
      <c r="BL356" t="inlineStr">
        <is>
          <t>inherited from twin_35_ahead</t>
        </is>
      </c>
      <c r="BM356" t="inlineStr"/>
      <c r="BN356" t="inlineStr">
        <is>
          <t>Assets/MachineBrigade/Resources/Data/balance.json: weapons[id=twin_35_ahead_ap] (lớp B trên 01_chien_dau/Vu_khi)</t>
        </is>
      </c>
      <c r="BO356" t="inlineStr"/>
    </row>
    <row r="357">
      <c r="A357" t="inlineStr">
        <is>
          <t>vikhr</t>
        </is>
      </c>
      <c r="B357" t="n">
        <v>2</v>
      </c>
      <c r="C357">
        <f>IF(Vu_khi!$O$357="SIMULTANEOUS",MAX(1,Vu_khi!$N$357),1)</f>
        <v/>
      </c>
      <c r="D357" t="n">
        <v>1</v>
      </c>
      <c r="E357">
        <f>IF(Vu_khi!$S$357&gt;0,Vu_khi!$S$357,Vu_khi!$P$357*$C$357)</f>
        <v/>
      </c>
      <c r="F357" t="n">
        <v>2</v>
      </c>
      <c r="G357">
        <f>IF(Vu_khi!$S$357&gt;0,(Vu_khi!$S$357-1)*Vu_khi!$R$357+Vu_khi!$T$357,Vu_khi!$R$357+(Vu_khi!$P$357-1)*Vu_khi!$Q$357)</f>
        <v/>
      </c>
      <c r="H357" t="n">
        <v>7.55</v>
      </c>
      <c r="I357">
        <f>Vu_khi!$W$357*MAX(1,$E$357)</f>
        <v/>
      </c>
      <c r="J357" t="n">
        <v>500</v>
      </c>
      <c r="K357">
        <f>IF(Vu_khi!$V$357&gt;0,Vu_khi!$V$357,MIN(28,MAX(10,Vu_khi!$U$357*Vu_khi!$R$357*0.4)))</f>
        <v/>
      </c>
      <c r="L357" t="n">
        <v>10</v>
      </c>
      <c r="M357">
        <f>IF(Vu_khi!$W$357&lt;=0,0,IF(Vu_khi!$U$357&gt;0,$I$357*Vu_khi!$U$357/(MAX(0.05,$G$357)*Vu_khi!$U$357+$K$357),$I$357/MAX(0.05,$G$357)))</f>
        <v/>
      </c>
      <c r="N357" t="n">
        <v>66.22516556291392</v>
      </c>
      <c r="O357">
        <f>OR(Vu_khi!$AG$357,Vu_khi!$AB$357&gt;0,Vu_khi!$AH$357,Vu_khi!$M$357="Bomb",Vu_khi!$M$357="Drone")</f>
        <v/>
      </c>
      <c r="P357" t="b">
        <v>0</v>
      </c>
      <c r="Q357">
        <f>AND(NOT(Vu_khi!$AJ$357),OR(Vu_khi!$AC$357="Ground",Vu_khi!$AC$357="All"))</f>
        <v/>
      </c>
      <c r="R357" t="b">
        <v>1</v>
      </c>
      <c r="S357">
        <f>AND(NOT(Vu_khi!$AJ$357),OR(Vu_khi!$AC$357="Air",Vu_khi!$AC$357="All"))</f>
        <v/>
      </c>
      <c r="T357" t="b">
        <v>0</v>
      </c>
      <c r="U357">
        <f>INDEX(Bang_sat_thuong!$B$2:$B$7,MATCH(Vu_khi!$K$357,Bang_sat_thuong!$A$2:$A$7,0))</f>
        <v/>
      </c>
      <c r="V357" t="n">
        <v>1.3</v>
      </c>
      <c r="W357">
        <f>INDEX(Bang_sat_thuong!$C$2:$C$7,MATCH(Vu_khi!$K$357,Bang_sat_thuong!$A$2:$A$7,0))</f>
        <v/>
      </c>
      <c r="X357" t="n">
        <v>0.2</v>
      </c>
      <c r="Y357">
        <f>IF(AND(Vu_khi!$AI$357,Vu_khi!$K$357="HighExplosive"),MAX(He_so_toan_cuc!$D$2,INDEX(Bang_sat_thuong!$D$2:$D$7,MATCH(Vu_khi!$K$357,Bang_sat_thuong!$A$2:$A$7,0))),INDEX(Bang_sat_thuong!$D$2:$D$7,MATCH(Vu_khi!$K$357,Bang_sat_thuong!$A$2:$A$7,0)))</f>
        <v/>
      </c>
      <c r="Z357" t="n">
        <v>0.45</v>
      </c>
      <c r="AA357">
        <f>AND(Vu_khi!$K$357="Kinetic",NOT(Vu_khi!$AG$357))</f>
        <v/>
      </c>
      <c r="AB357" t="b">
        <v>0</v>
      </c>
      <c r="AC357">
        <f>IF(Vu_khi!$AG$357,INDEX(Bang_danh_noc!$C$2:$C$8,MIN(7,MAX(1,2-(Vu_khi!$L$357-0)+1))),INDEX(Bang_xuyen_giap!$C$2:$C$8,MIN(7,MAX(1,IF($O$357,MAX(1,2-(Vu_khi!$L$357-0)),2-(Vu_khi!$L$357-0))+1))))*IF($AA$357,INDEX(Bang_xuyen_qua!$C$2:$C$5,MIN(4,MAX(1,(Vu_khi!$L$357)-(0)-1))),1)</f>
        <v/>
      </c>
      <c r="AD357" t="n">
        <v>1.2</v>
      </c>
      <c r="AE357">
        <f>IF(Vu_khi!$AG$357,INDEX(Bang_danh_noc!$C$2:$C$8,MIN(7,MAX(1,2-(Vu_khi!$L$357-2)+1))),INDEX(Bang_xuyen_giap!$C$2:$C$8,MIN(7,MAX(1,IF($O$357,MAX(1,2-(Vu_khi!$L$357-2)),2-(Vu_khi!$L$357-2))+1))))*IF($AA$357,INDEX(Bang_xuyen_qua!$C$2:$C$5,MIN(4,MAX(1,(Vu_khi!$L$357)-(2)-1))),1)</f>
        <v/>
      </c>
      <c r="AF357" t="n">
        <v>1.2</v>
      </c>
      <c r="AG357">
        <f>IF(Vu_khi!$AG$357,INDEX(Bang_danh_noc!$C$2:$C$8,MIN(7,MAX(1,2-(Vu_khi!$L$357-4)+1))),INDEX(Bang_xuyen_giap!$C$2:$C$8,MIN(7,MAX(1,IF($O$357,MAX(1,2-(Vu_khi!$L$357-4)),2-(Vu_khi!$L$357-4))+1))))*IF($AA$357,INDEX(Bang_xuyen_qua!$C$2:$C$5,MIN(4,MAX(1,(Vu_khi!$L$357)-(4)-1))),1)</f>
        <v/>
      </c>
      <c r="AH357" t="n">
        <v>0.85</v>
      </c>
      <c r="AI357">
        <f>INDEX(Bang_xuyen_giap!$C$2:$C$8,MIN(7,MAX(1,MAX(1,2-(Vu_khi!$L$357-0))+1)))*IF($AA$357,INDEX(Bang_xuyen_qua!$C$2:$C$5,MIN(4,MAX(1,(Vu_khi!$L$357)-(0)-1))),1)</f>
        <v/>
      </c>
      <c r="AJ357" t="n">
        <v>1</v>
      </c>
      <c r="AK357">
        <f>IF($Q$357,$M$357*$AC$357*$U$357,0)</f>
        <v/>
      </c>
      <c r="AL357" t="n">
        <v>103.3112582781457</v>
      </c>
      <c r="AM357">
        <f>IF($Q$357,$M$357*$AE$357*$U$357,0)</f>
        <v/>
      </c>
      <c r="AN357" t="n">
        <v>103.3112582781457</v>
      </c>
      <c r="AO357">
        <f>IF($Q$357,$M$357*$AG$357*$U$357,0)</f>
        <v/>
      </c>
      <c r="AP357" t="n">
        <v>73.17880794701988</v>
      </c>
      <c r="AQ357">
        <f>IF($Q$357,$M$357*$AE$357*$Y$357,0)</f>
        <v/>
      </c>
      <c r="AR357" t="n">
        <v>35.76158940397352</v>
      </c>
      <c r="AS357">
        <f>IF($S$357,$M$357*$AI$357*$W$357,0)</f>
        <v/>
      </c>
      <c r="AT357" t="n">
        <v>0</v>
      </c>
      <c r="AU357">
        <f>IF(OR(Vu_khi!$M$357="Missile",Vu_khi!$M$357="Drone",AND(Vu_khi!$M$357="Rocket",OR(Vu_khi!$AM$357,Vu_khi!$D$357="guided")),Vu_khi!$AL$357,Vu_khi!$AK$357,Vu_khi!$X$357&lt;=0),FALSE,IF($B$357&gt;=0,$B$357&gt;=4,IF(Vu_khi!$M$357="Shell",Vu_khi!$AN$357&gt;=Canh_bao_vong!$D$10,IF(Vu_khi!$M$357="Bomb",Vu_khi!$AN$357&gt;=Canh_bao_vong!$D$3,IF(Vu_khi!$M$357="Rocket",Vu_khi!$AN$357&gt;=Canh_bao_vong!$D$13,FALSE)))))</f>
        <v/>
      </c>
      <c r="AV357" t="b">
        <v>0</v>
      </c>
      <c r="AW357">
        <f>IF(AND($B$357&lt;0,$AU$357),4,$B$357)</f>
        <v/>
      </c>
      <c r="AX357" t="n">
        <v>2</v>
      </c>
      <c r="AY357">
        <f>IF($AW$357&lt;4,0,MIN(MAX(0.5,Canh_bao_vong!$D$4),MAX(IF(Vu_khi!$C$357="cal_406",Canh_bao_vong!$D$7,IF($AW$357&gt;=5,Canh_bao_vong!$D$9,Canh_bao_vong!$D$8)),Canh_bao_vong!$D$2+MAX(0,Vu_khi!$X$357)/MAX(0.1,Canh_bao_vong!$D$5))))</f>
        <v/>
      </c>
      <c r="AZ357" t="n">
        <v>0</v>
      </c>
      <c r="BA357" t="inlineStr"/>
      <c r="BB357" t="inlineStr">
        <is>
          <t>ok</t>
        </is>
      </c>
      <c r="BC357" t="inlineStr"/>
      <c r="BD357" t="n">
        <v>85</v>
      </c>
      <c r="BE357" t="n">
        <v>110.5</v>
      </c>
      <c r="BF357" t="n">
        <v>0.162</v>
      </c>
      <c r="BG357" t="n">
        <v>0.324</v>
      </c>
      <c r="BH357" t="n">
        <v>0.647</v>
      </c>
      <c r="BI357" t="n">
        <v>0.498</v>
      </c>
      <c r="BJ357" t="inlineStr">
        <is>
          <t>TACTICAL_MISSILE</t>
        </is>
      </c>
      <c r="BK357" t="inlineStr">
        <is>
          <t>ok</t>
        </is>
      </c>
      <c r="BL357" t="inlineStr">
        <is>
          <t>own line</t>
        </is>
      </c>
      <c r="BM357" t="n">
        <v>38.2</v>
      </c>
      <c r="BN357" t="inlineStr">
        <is>
          <t>Assets/MachineBrigade/Resources/Data/balance.json: weapons[id=vikhr] (lớp B trên 01_chien_dau/Vu_khi)</t>
        </is>
      </c>
      <c r="BO357" t="inlineStr"/>
    </row>
    <row r="358">
      <c r="A358" t="inlineStr">
        <is>
          <t>wvr_aam</t>
        </is>
      </c>
      <c r="B358" t="n">
        <v>2</v>
      </c>
      <c r="C358">
        <f>IF(Vu_khi!$O$358="SIMULTANEOUS",MAX(1,Vu_khi!$N$358),1)</f>
        <v/>
      </c>
      <c r="D358" t="n">
        <v>1</v>
      </c>
      <c r="E358">
        <f>IF(Vu_khi!$S$358&gt;0,Vu_khi!$S$358,Vu_khi!$P$358*$C$358)</f>
        <v/>
      </c>
      <c r="F358" t="n">
        <v>1</v>
      </c>
      <c r="G358">
        <f>IF(Vu_khi!$S$358&gt;0,(Vu_khi!$S$358-1)*Vu_khi!$R$358+Vu_khi!$T$358,Vu_khi!$R$358+(Vu_khi!$P$358-1)*Vu_khi!$Q$358)</f>
        <v/>
      </c>
      <c r="H358" t="n">
        <v>2.12</v>
      </c>
      <c r="I358">
        <f>Vu_khi!$W$358*MAX(1,$E$358)</f>
        <v/>
      </c>
      <c r="J358" t="n">
        <v>231</v>
      </c>
      <c r="K358">
        <f>IF(Vu_khi!$V$358&gt;0,Vu_khi!$V$358,MIN(28,MAX(10,Vu_khi!$U$358*Vu_khi!$R$358*0.4)))</f>
        <v/>
      </c>
      <c r="L358" t="n">
        <v>10</v>
      </c>
      <c r="M358">
        <f>IF(Vu_khi!$W$358&lt;=0,0,IF(Vu_khi!$U$358&gt;0,$I$358*Vu_khi!$U$358/(MAX(0.05,$G$358)*Vu_khi!$U$358+$K$358),$I$358/MAX(0.05,$G$358)))</f>
        <v/>
      </c>
      <c r="N358" t="n">
        <v>108.9622641509434</v>
      </c>
      <c r="O358">
        <f>OR(Vu_khi!$AG$358,Vu_khi!$AB$358&gt;0,Vu_khi!$AH$358,Vu_khi!$M$358="Bomb",Vu_khi!$M$358="Drone")</f>
        <v/>
      </c>
      <c r="P358" t="b">
        <v>0</v>
      </c>
      <c r="Q358">
        <f>AND(NOT(Vu_khi!$AJ$358),OR(Vu_khi!$AC$358="Ground",Vu_khi!$AC$358="All"))</f>
        <v/>
      </c>
      <c r="R358" t="b">
        <v>0</v>
      </c>
      <c r="S358">
        <f>AND(NOT(Vu_khi!$AJ$358),OR(Vu_khi!$AC$358="Air",Vu_khi!$AC$358="All"))</f>
        <v/>
      </c>
      <c r="T358" t="b">
        <v>1</v>
      </c>
      <c r="U358">
        <f>INDEX(Bang_sat_thuong!$B$2:$B$7,MATCH(Vu_khi!$K$358,Bang_sat_thuong!$A$2:$A$7,0))</f>
        <v/>
      </c>
      <c r="V358" t="n">
        <v>0.45</v>
      </c>
      <c r="W358">
        <f>INDEX(Bang_sat_thuong!$C$2:$C$7,MATCH(Vu_khi!$K$358,Bang_sat_thuong!$A$2:$A$7,0))</f>
        <v/>
      </c>
      <c r="X358" t="n">
        <v>1.35</v>
      </c>
      <c r="Y358">
        <f>IF(AND(Vu_khi!$AI$358,Vu_khi!$K$358="HighExplosive"),MAX(He_so_toan_cuc!$D$2,INDEX(Bang_sat_thuong!$D$2:$D$7,MATCH(Vu_khi!$K$358,Bang_sat_thuong!$A$2:$A$7,0))),INDEX(Bang_sat_thuong!$D$2:$D$7,MATCH(Vu_khi!$K$358,Bang_sat_thuong!$A$2:$A$7,0)))</f>
        <v/>
      </c>
      <c r="Z358" t="n">
        <v>0.1</v>
      </c>
      <c r="AA358">
        <f>AND(Vu_khi!$K$358="Kinetic",NOT(Vu_khi!$AG$358))</f>
        <v/>
      </c>
      <c r="AB358" t="b">
        <v>0</v>
      </c>
      <c r="AC358">
        <f>IF(Vu_khi!$AG$358,INDEX(Bang_danh_noc!$C$2:$C$8,MIN(7,MAX(1,2-(Vu_khi!$L$358-0)+1))),INDEX(Bang_xuyen_giap!$C$2:$C$8,MIN(7,MAX(1,IF($O$358,MAX(1,2-(Vu_khi!$L$358-0)),2-(Vu_khi!$L$358-0))+1))))*IF($AA$358,INDEX(Bang_xuyen_qua!$C$2:$C$5,MIN(4,MAX(1,(Vu_khi!$L$358)-(0)-1))),1)</f>
        <v/>
      </c>
      <c r="AD358" t="n">
        <v>1.2</v>
      </c>
      <c r="AE358">
        <f>IF(Vu_khi!$AG$358,INDEX(Bang_danh_noc!$C$2:$C$8,MIN(7,MAX(1,2-(Vu_khi!$L$358-2)+1))),INDEX(Bang_xuyen_giap!$C$2:$C$8,MIN(7,MAX(1,IF($O$358,MAX(1,2-(Vu_khi!$L$358-2)),2-(Vu_khi!$L$358-2))+1))))*IF($AA$358,INDEX(Bang_xuyen_qua!$C$2:$C$5,MIN(4,MAX(1,(Vu_khi!$L$358)-(2)-1))),1)</f>
        <v/>
      </c>
      <c r="AF358" t="n">
        <v>0.85</v>
      </c>
      <c r="AG358">
        <f>IF(Vu_khi!$AG$358,INDEX(Bang_danh_noc!$C$2:$C$8,MIN(7,MAX(1,2-(Vu_khi!$L$358-4)+1))),INDEX(Bang_xuyen_giap!$C$2:$C$8,MIN(7,MAX(1,IF($O$358,MAX(1,2-(Vu_khi!$L$358-4)),2-(Vu_khi!$L$358-4))+1))))*IF($AA$358,INDEX(Bang_xuyen_qua!$C$2:$C$5,MIN(4,MAX(1,(Vu_khi!$L$358)-(4)-1))),1)</f>
        <v/>
      </c>
      <c r="AH358" t="n">
        <v>0.4</v>
      </c>
      <c r="AI358">
        <f>INDEX(Bang_xuyen_giap!$C$2:$C$8,MIN(7,MAX(1,MAX(1,2-(Vu_khi!$L$358-0))+1)))*IF($AA$358,INDEX(Bang_xuyen_qua!$C$2:$C$5,MIN(4,MAX(1,(Vu_khi!$L$358)-(0)-1))),1)</f>
        <v/>
      </c>
      <c r="AJ358" t="n">
        <v>1</v>
      </c>
      <c r="AK358">
        <f>IF($Q$358,$M$358*$AC$358*$U$358,0)</f>
        <v/>
      </c>
      <c r="AL358" t="n">
        <v>0</v>
      </c>
      <c r="AM358">
        <f>IF($Q$358,$M$358*$AE$358*$U$358,0)</f>
        <v/>
      </c>
      <c r="AN358" t="n">
        <v>0</v>
      </c>
      <c r="AO358">
        <f>IF($Q$358,$M$358*$AG$358*$U$358,0)</f>
        <v/>
      </c>
      <c r="AP358" t="n">
        <v>0</v>
      </c>
      <c r="AQ358">
        <f>IF($Q$358,$M$358*$AE$358*$Y$358,0)</f>
        <v/>
      </c>
      <c r="AR358" t="n">
        <v>0</v>
      </c>
      <c r="AS358">
        <f>IF($S$358,$M$358*$AI$358*$W$358,0)</f>
        <v/>
      </c>
      <c r="AT358" t="n">
        <v>147.0990566037736</v>
      </c>
      <c r="AU358">
        <f>IF(OR(Vu_khi!$M$358="Missile",Vu_khi!$M$358="Drone",AND(Vu_khi!$M$358="Rocket",OR(Vu_khi!$AM$358,Vu_khi!$D$358="guided")),Vu_khi!$AL$358,Vu_khi!$AK$358,Vu_khi!$X$358&lt;=0),FALSE,IF($B$358&gt;=0,$B$358&gt;=4,IF(Vu_khi!$M$358="Shell",Vu_khi!$AN$358&gt;=Canh_bao_vong!$D$10,IF(Vu_khi!$M$358="Bomb",Vu_khi!$AN$358&gt;=Canh_bao_vong!$D$3,IF(Vu_khi!$M$358="Rocket",Vu_khi!$AN$358&gt;=Canh_bao_vong!$D$13,FALSE)))))</f>
        <v/>
      </c>
      <c r="AV358" t="b">
        <v>0</v>
      </c>
      <c r="AW358">
        <f>IF(AND($B$358&lt;0,$AU$358),4,$B$358)</f>
        <v/>
      </c>
      <c r="AX358" t="n">
        <v>2</v>
      </c>
      <c r="AY358">
        <f>IF($AW$358&lt;4,0,MIN(MAX(0.5,Canh_bao_vong!$D$4),MAX(IF(Vu_khi!$C$358="cal_406",Canh_bao_vong!$D$7,IF($AW$358&gt;=5,Canh_bao_vong!$D$9,Canh_bao_vong!$D$8)),Canh_bao_vong!$D$2+MAX(0,Vu_khi!$X$358)/MAX(0.1,Canh_bao_vong!$D$5))))</f>
        <v/>
      </c>
      <c r="AZ358" t="n">
        <v>0</v>
      </c>
      <c r="BA358" t="inlineStr"/>
      <c r="BB358" t="inlineStr">
        <is>
          <t>ok</t>
        </is>
      </c>
      <c r="BC358" t="inlineStr"/>
      <c r="BD358" t="n">
        <v>115</v>
      </c>
      <c r="BE358" t="n">
        <v>149.5</v>
      </c>
      <c r="BF358" t="n">
        <v>0.065</v>
      </c>
      <c r="BG358" t="n">
        <v>0.13</v>
      </c>
      <c r="BH358" t="n">
        <v>0.261</v>
      </c>
      <c r="BI358" t="n">
        <v>0.201</v>
      </c>
      <c r="BJ358" t="inlineStr">
        <is>
          <t>AIR_DEFENCE_MISSILE</t>
        </is>
      </c>
      <c r="BK358" t="inlineStr">
        <is>
          <t>ok</t>
        </is>
      </c>
      <c r="BL358" t="inlineStr">
        <is>
          <t>family aim_9_sidewinder</t>
        </is>
      </c>
      <c r="BM358" t="inlineStr"/>
      <c r="BN358" t="inlineStr">
        <is>
          <t>Assets/MachineBrigade/Resources/Data/balance.json: weapons[id=wvr_aam] (lớp B trên 01_chien_dau/Vu_khi)</t>
        </is>
      </c>
      <c r="BO358" t="inlineStr"/>
    </row>
    <row r="359">
      <c r="A359" t="inlineStr">
        <is>
          <t>zu23</t>
        </is>
      </c>
      <c r="B359" t="n">
        <v>1</v>
      </c>
      <c r="C359">
        <f>IF(Vu_khi!$O$359="SIMULTANEOUS",MAX(1,Vu_khi!$N$359),1)</f>
        <v/>
      </c>
      <c r="D359" t="n">
        <v>1</v>
      </c>
      <c r="E359">
        <f>IF(Vu_khi!$S$359&gt;0,Vu_khi!$S$359,Vu_khi!$P$359*$C$359)</f>
        <v/>
      </c>
      <c r="F359" t="n">
        <v>100</v>
      </c>
      <c r="G359">
        <f>IF(Vu_khi!$S$359&gt;0,(Vu_khi!$S$359-1)*Vu_khi!$R$359+Vu_khi!$T$359,Vu_khi!$R$359+(Vu_khi!$P$359-1)*Vu_khi!$Q$359)</f>
        <v/>
      </c>
      <c r="H359" t="n">
        <v>5</v>
      </c>
      <c r="I359">
        <f>Vu_khi!$W$359*MAX(1,$E$359)</f>
        <v/>
      </c>
      <c r="J359" t="n">
        <v>350</v>
      </c>
      <c r="K359">
        <f>IF(Vu_khi!$V$359&gt;0,Vu_khi!$V$359,MIN(28,MAX(10,Vu_khi!$U$359*Vu_khi!$R$359*0.4)))</f>
        <v/>
      </c>
      <c r="L359" t="n">
        <v>10</v>
      </c>
      <c r="M359">
        <f>IF(Vu_khi!$W$359&lt;=0,0,IF(Vu_khi!$U$359&gt;0,$I$359*Vu_khi!$U$359/(MAX(0.05,$G$359)*Vu_khi!$U$359+$K$359),$I$359/MAX(0.05,$G$359)))</f>
        <v/>
      </c>
      <c r="N359" t="n">
        <v>70</v>
      </c>
      <c r="O359">
        <f>OR(Vu_khi!$AG$359,Vu_khi!$AB$359&gt;0,Vu_khi!$AH$359,Vu_khi!$M$359="Bomb",Vu_khi!$M$359="Drone")</f>
        <v/>
      </c>
      <c r="P359" t="b">
        <v>0</v>
      </c>
      <c r="Q359">
        <f>AND(NOT(Vu_khi!$AJ$359),OR(Vu_khi!$AC$359="Ground",Vu_khi!$AC$359="All"))</f>
        <v/>
      </c>
      <c r="R359" t="b">
        <v>1</v>
      </c>
      <c r="S359">
        <f>AND(NOT(Vu_khi!$AJ$359),OR(Vu_khi!$AC$359="Air",Vu_khi!$AC$359="All"))</f>
        <v/>
      </c>
      <c r="T359" t="b">
        <v>1</v>
      </c>
      <c r="U359">
        <f>INDEX(Bang_sat_thuong!$B$2:$B$7,MATCH(Vu_khi!$K$359,Bang_sat_thuong!$A$2:$A$7,0))</f>
        <v/>
      </c>
      <c r="V359" t="n">
        <v>0.45</v>
      </c>
      <c r="W359">
        <f>INDEX(Bang_sat_thuong!$C$2:$C$7,MATCH(Vu_khi!$K$359,Bang_sat_thuong!$A$2:$A$7,0))</f>
        <v/>
      </c>
      <c r="X359" t="n">
        <v>1.35</v>
      </c>
      <c r="Y359">
        <f>IF(AND(Vu_khi!$AI$359,Vu_khi!$K$359="HighExplosive"),MAX(He_so_toan_cuc!$D$2,INDEX(Bang_sat_thuong!$D$2:$D$7,MATCH(Vu_khi!$K$359,Bang_sat_thuong!$A$2:$A$7,0))),INDEX(Bang_sat_thuong!$D$2:$D$7,MATCH(Vu_khi!$K$359,Bang_sat_thuong!$A$2:$A$7,0)))</f>
        <v/>
      </c>
      <c r="Z359" t="n">
        <v>0.1</v>
      </c>
      <c r="AA359">
        <f>AND(Vu_khi!$K$359="Kinetic",NOT(Vu_khi!$AG$359))</f>
        <v/>
      </c>
      <c r="AB359" t="b">
        <v>0</v>
      </c>
      <c r="AC359">
        <f>IF(Vu_khi!$AG$359,INDEX(Bang_danh_noc!$C$2:$C$8,MIN(7,MAX(1,2-(Vu_khi!$L$359-0)+1))),INDEX(Bang_xuyen_giap!$C$2:$C$8,MIN(7,MAX(1,IF($O$359,MAX(1,2-(Vu_khi!$L$359-0)),2-(Vu_khi!$L$359-0))+1))))*IF($AA$359,INDEX(Bang_xuyen_qua!$C$2:$C$5,MIN(4,MAX(1,(Vu_khi!$L$359)-(0)-1))),1)</f>
        <v/>
      </c>
      <c r="AD359" t="n">
        <v>1</v>
      </c>
      <c r="AE359">
        <f>IF(Vu_khi!$AG$359,INDEX(Bang_danh_noc!$C$2:$C$8,MIN(7,MAX(1,2-(Vu_khi!$L$359-2)+1))),INDEX(Bang_xuyen_giap!$C$2:$C$8,MIN(7,MAX(1,IF($O$359,MAX(1,2-(Vu_khi!$L$359-2)),2-(Vu_khi!$L$359-2))+1))))*IF($AA$359,INDEX(Bang_xuyen_qua!$C$2:$C$5,MIN(4,MAX(1,(Vu_khi!$L$359)-(2)-1))),1)</f>
        <v/>
      </c>
      <c r="AF359" t="n">
        <v>0.65</v>
      </c>
      <c r="AG359">
        <f>IF(Vu_khi!$AG$359,INDEX(Bang_danh_noc!$C$2:$C$8,MIN(7,MAX(1,2-(Vu_khi!$L$359-4)+1))),INDEX(Bang_xuyen_giap!$C$2:$C$8,MIN(7,MAX(1,IF($O$359,MAX(1,2-(Vu_khi!$L$359-4)),2-(Vu_khi!$L$359-4))+1))))*IF($AA$359,INDEX(Bang_xuyen_qua!$C$2:$C$5,MIN(4,MAX(1,(Vu_khi!$L$359)-(4)-1))),1)</f>
        <v/>
      </c>
      <c r="AH359" t="n">
        <v>0.15</v>
      </c>
      <c r="AI359">
        <f>INDEX(Bang_xuyen_giap!$C$2:$C$8,MIN(7,MAX(1,MAX(1,2-(Vu_khi!$L$359-0))+1)))*IF($AA$359,INDEX(Bang_xuyen_qua!$C$2:$C$5,MIN(4,MAX(1,(Vu_khi!$L$359)-(0)-1))),1)</f>
        <v/>
      </c>
      <c r="AJ359" t="n">
        <v>1</v>
      </c>
      <c r="AK359">
        <f>IF($Q$359,$M$359*$AC$359*$U$359,0)</f>
        <v/>
      </c>
      <c r="AL359" t="n">
        <v>31.5</v>
      </c>
      <c r="AM359">
        <f>IF($Q$359,$M$359*$AE$359*$U$359,0)</f>
        <v/>
      </c>
      <c r="AN359" t="n">
        <v>20.475</v>
      </c>
      <c r="AO359">
        <f>IF($Q$359,$M$359*$AG$359*$U$359,0)</f>
        <v/>
      </c>
      <c r="AP359" t="n">
        <v>4.725000000000001</v>
      </c>
      <c r="AQ359">
        <f>IF($Q$359,$M$359*$AE$359*$Y$359,0)</f>
        <v/>
      </c>
      <c r="AR359" t="n">
        <v>4.55</v>
      </c>
      <c r="AS359">
        <f>IF($S$359,$M$359*$AI$359*$W$359,0)</f>
        <v/>
      </c>
      <c r="AT359" t="n">
        <v>94.5</v>
      </c>
      <c r="AU359">
        <f>IF(OR(Vu_khi!$M$359="Missile",Vu_khi!$M$359="Drone",AND(Vu_khi!$M$359="Rocket",OR(Vu_khi!$AM$359,Vu_khi!$D$359="guided")),Vu_khi!$AL$359,Vu_khi!$AK$359,Vu_khi!$X$359&lt;=0),FALSE,IF($B$359&gt;=0,$B$359&gt;=4,IF(Vu_khi!$M$359="Shell",Vu_khi!$AN$359&gt;=Canh_bao_vong!$D$10,IF(Vu_khi!$M$359="Bomb",Vu_khi!$AN$359&gt;=Canh_bao_vong!$D$3,IF(Vu_khi!$M$359="Rocket",Vu_khi!$AN$359&gt;=Canh_bao_vong!$D$13,FALSE)))))</f>
        <v/>
      </c>
      <c r="AV359" t="b">
        <v>0</v>
      </c>
      <c r="AW359">
        <f>IF(AND($B$359&lt;0,$AU$359),4,$B$359)</f>
        <v/>
      </c>
      <c r="AX359" t="n">
        <v>1</v>
      </c>
      <c r="AY359">
        <f>IF($AW$359&lt;4,0,MIN(MAX(0.5,Canh_bao_vong!$D$4),MAX(IF(Vu_khi!$C$359="cal_406",Canh_bao_vong!$D$7,IF($AW$359&gt;=5,Canh_bao_vong!$D$9,Canh_bao_vong!$D$8)),Canh_bao_vong!$D$2+MAX(0,Vu_khi!$X$359)/MAX(0.1,Canh_bao_vong!$D$5))))</f>
        <v/>
      </c>
      <c r="AZ359" t="n">
        <v>0</v>
      </c>
      <c r="BA359" t="n">
        <v>1.666667</v>
      </c>
      <c r="BB359" t="inlineStr">
        <is>
          <t>ok</t>
        </is>
      </c>
      <c r="BC359" t="inlineStr"/>
      <c r="BD359" t="n">
        <v>240</v>
      </c>
      <c r="BE359" t="n">
        <v>312</v>
      </c>
      <c r="BF359" t="n">
        <v>0.04</v>
      </c>
      <c r="BG359" t="n">
        <v>0.079</v>
      </c>
      <c r="BH359" t="n">
        <v>0.158</v>
      </c>
      <c r="BI359" t="n">
        <v>0.122</v>
      </c>
      <c r="BJ359" t="inlineStr">
        <is>
          <t>DIRECT_BULLET</t>
        </is>
      </c>
      <c r="BK359" t="inlineStr">
        <is>
          <t>ok</t>
        </is>
      </c>
      <c r="BL359" t="inlineStr">
        <is>
          <t>own line</t>
        </is>
      </c>
      <c r="BM359" t="inlineStr"/>
      <c r="BN359" t="inlineStr">
        <is>
          <t>Assets/MachineBrigade/Resources/Data/balance.json: weapons[id=zu23] (lớp B trên 01_chien_dau/Vu_khi)</t>
        </is>
      </c>
      <c r="BO359" t="inlineStr"/>
    </row>
    <row r="360">
      <c r="A360" t="inlineStr">
        <is>
          <t>zu23_ap</t>
        </is>
      </c>
      <c r="B360" t="n">
        <v>1</v>
      </c>
      <c r="C360">
        <f>IF(Vu_khi!$O$360="SIMULTANEOUS",MAX(1,Vu_khi!$N$360),1)</f>
        <v/>
      </c>
      <c r="D360" t="n">
        <v>1</v>
      </c>
      <c r="E360">
        <f>IF(Vu_khi!$S$360&gt;0,Vu_khi!$S$360,Vu_khi!$P$360*$C$360)</f>
        <v/>
      </c>
      <c r="F360" t="n">
        <v>100</v>
      </c>
      <c r="G360">
        <f>IF(Vu_khi!$S$360&gt;0,(Vu_khi!$S$360-1)*Vu_khi!$R$360+Vu_khi!$T$360,Vu_khi!$R$360+(Vu_khi!$P$360-1)*Vu_khi!$Q$360)</f>
        <v/>
      </c>
      <c r="H360" t="n">
        <v>5</v>
      </c>
      <c r="I360">
        <f>Vu_khi!$W$360*MAX(1,$E$360)</f>
        <v/>
      </c>
      <c r="J360" t="n">
        <v>350</v>
      </c>
      <c r="K360">
        <f>IF(Vu_khi!$V$360&gt;0,Vu_khi!$V$360,MIN(28,MAX(10,Vu_khi!$U$360*Vu_khi!$R$360*0.4)))</f>
        <v/>
      </c>
      <c r="L360" t="n">
        <v>10</v>
      </c>
      <c r="M360">
        <f>IF(Vu_khi!$W$360&lt;=0,0,IF(Vu_khi!$U$360&gt;0,$I$360*Vu_khi!$U$360/(MAX(0.05,$G$360)*Vu_khi!$U$360+$K$360),$I$360/MAX(0.05,$G$360)))</f>
        <v/>
      </c>
      <c r="N360" t="n">
        <v>70</v>
      </c>
      <c r="O360">
        <f>OR(Vu_khi!$AG$360,Vu_khi!$AB$360&gt;0,Vu_khi!$AH$360,Vu_khi!$M$360="Bomb",Vu_khi!$M$360="Drone")</f>
        <v/>
      </c>
      <c r="P360" t="b">
        <v>0</v>
      </c>
      <c r="Q360">
        <f>AND(NOT(Vu_khi!$AJ$360),OR(Vu_khi!$AC$360="Ground",Vu_khi!$AC$360="All"))</f>
        <v/>
      </c>
      <c r="R360" t="b">
        <v>1</v>
      </c>
      <c r="S360">
        <f>AND(NOT(Vu_khi!$AJ$360),OR(Vu_khi!$AC$360="Air",Vu_khi!$AC$360="All"))</f>
        <v/>
      </c>
      <c r="T360" t="b">
        <v>0</v>
      </c>
      <c r="U360">
        <f>INDEX(Bang_sat_thuong!$B$2:$B$7,MATCH(Vu_khi!$K$360,Bang_sat_thuong!$A$2:$A$7,0))</f>
        <v/>
      </c>
      <c r="V360" t="n">
        <v>1.2</v>
      </c>
      <c r="W360">
        <f>INDEX(Bang_sat_thuong!$C$2:$C$7,MATCH(Vu_khi!$K$360,Bang_sat_thuong!$A$2:$A$7,0))</f>
        <v/>
      </c>
      <c r="X360" t="n">
        <v>0.3</v>
      </c>
      <c r="Y360">
        <f>IF(AND(Vu_khi!$AI$360,Vu_khi!$K$360="HighExplosive"),MAX(He_so_toan_cuc!$D$2,INDEX(Bang_sat_thuong!$D$2:$D$7,MATCH(Vu_khi!$K$360,Bang_sat_thuong!$A$2:$A$7,0))),INDEX(Bang_sat_thuong!$D$2:$D$7,MATCH(Vu_khi!$K$360,Bang_sat_thuong!$A$2:$A$7,0)))</f>
        <v/>
      </c>
      <c r="Z360" t="n">
        <v>0.7</v>
      </c>
      <c r="AA360">
        <f>AND(Vu_khi!$K$360="Kinetic",NOT(Vu_khi!$AG$360))</f>
        <v/>
      </c>
      <c r="AB360" t="b">
        <v>1</v>
      </c>
      <c r="AC360">
        <f>IF(Vu_khi!$AG$360,INDEX(Bang_danh_noc!$C$2:$C$8,MIN(7,MAX(1,2-(Vu_khi!$L$360-0)+1))),INDEX(Bang_xuyen_giap!$C$2:$C$8,MIN(7,MAX(1,IF($O$360,MAX(1,2-(Vu_khi!$L$360-0)),2-(Vu_khi!$L$360-0))+1))))*IF($AA$360,INDEX(Bang_xuyen_qua!$C$2:$C$5,MIN(4,MAX(1,(Vu_khi!$L$360)-(0)-1))),1)</f>
        <v/>
      </c>
      <c r="AD360" t="n">
        <v>1.2</v>
      </c>
      <c r="AE360">
        <f>IF(Vu_khi!$AG$360,INDEX(Bang_danh_noc!$C$2:$C$8,MIN(7,MAX(1,2-(Vu_khi!$L$360-2)+1))),INDEX(Bang_xuyen_giap!$C$2:$C$8,MIN(7,MAX(1,IF($O$360,MAX(1,2-(Vu_khi!$L$360-2)),2-(Vu_khi!$L$360-2))+1))))*IF($AA$360,INDEX(Bang_xuyen_qua!$C$2:$C$5,MIN(4,MAX(1,(Vu_khi!$L$360)-(2)-1))),1)</f>
        <v/>
      </c>
      <c r="AF360" t="n">
        <v>0.85</v>
      </c>
      <c r="AG360">
        <f>IF(Vu_khi!$AG$360,INDEX(Bang_danh_noc!$C$2:$C$8,MIN(7,MAX(1,2-(Vu_khi!$L$360-4)+1))),INDEX(Bang_xuyen_giap!$C$2:$C$8,MIN(7,MAX(1,IF($O$360,MAX(1,2-(Vu_khi!$L$360-4)),2-(Vu_khi!$L$360-4))+1))))*IF($AA$360,INDEX(Bang_xuyen_qua!$C$2:$C$5,MIN(4,MAX(1,(Vu_khi!$L$360)-(4)-1))),1)</f>
        <v/>
      </c>
      <c r="AH360" t="n">
        <v>0.4</v>
      </c>
      <c r="AI360">
        <f>INDEX(Bang_xuyen_giap!$C$2:$C$8,MIN(7,MAX(1,MAX(1,2-(Vu_khi!$L$360-0))+1)))*IF($AA$360,INDEX(Bang_xuyen_qua!$C$2:$C$5,MIN(4,MAX(1,(Vu_khi!$L$360)-(0)-1))),1)</f>
        <v/>
      </c>
      <c r="AJ360" t="n">
        <v>1</v>
      </c>
      <c r="AK360">
        <f>IF($Q$360,$M$360*$AC$360*$U$360,0)</f>
        <v/>
      </c>
      <c r="AL360" t="n">
        <v>100.8</v>
      </c>
      <c r="AM360">
        <f>IF($Q$360,$M$360*$AE$360*$U$360,0)</f>
        <v/>
      </c>
      <c r="AN360" t="n">
        <v>71.40000000000001</v>
      </c>
      <c r="AO360">
        <f>IF($Q$360,$M$360*$AG$360*$U$360,0)</f>
        <v/>
      </c>
      <c r="AP360" t="n">
        <v>33.6</v>
      </c>
      <c r="AQ360">
        <f>IF($Q$360,$M$360*$AE$360*$Y$360,0)</f>
        <v/>
      </c>
      <c r="AR360" t="n">
        <v>41.65</v>
      </c>
      <c r="AS360">
        <f>IF($S$360,$M$360*$AI$360*$W$360,0)</f>
        <v/>
      </c>
      <c r="AT360" t="n">
        <v>0</v>
      </c>
      <c r="AU360">
        <f>IF(OR(Vu_khi!$M$360="Missile",Vu_khi!$M$360="Drone",AND(Vu_khi!$M$360="Rocket",OR(Vu_khi!$AM$360,Vu_khi!$D$360="guided")),Vu_khi!$AL$360,Vu_khi!$AK$360,Vu_khi!$X$360&lt;=0),FALSE,IF($B$360&gt;=0,$B$360&gt;=4,IF(Vu_khi!$M$360="Shell",Vu_khi!$AN$360&gt;=Canh_bao_vong!$D$10,IF(Vu_khi!$M$360="Bomb",Vu_khi!$AN$360&gt;=Canh_bao_vong!$D$3,IF(Vu_khi!$M$360="Rocket",Vu_khi!$AN$360&gt;=Canh_bao_vong!$D$13,FALSE)))))</f>
        <v/>
      </c>
      <c r="AV360" t="b">
        <v>0</v>
      </c>
      <c r="AW360">
        <f>IF(AND($B$360&lt;0,$AU$360),4,$B$360)</f>
        <v/>
      </c>
      <c r="AX360" t="n">
        <v>1</v>
      </c>
      <c r="AY360">
        <f>IF($AW$360&lt;4,0,MIN(MAX(0.5,Canh_bao_vong!$D$4),MAX(IF(Vu_khi!$C$360="cal_406",Canh_bao_vong!$D$7,IF($AW$360&gt;=5,Canh_bao_vong!$D$9,Canh_bao_vong!$D$8)),Canh_bao_vong!$D$2+MAX(0,Vu_khi!$X$360)/MAX(0.1,Canh_bao_vong!$D$5))))</f>
        <v/>
      </c>
      <c r="AZ360" t="n">
        <v>0</v>
      </c>
      <c r="BD360" t="n">
        <v>240</v>
      </c>
      <c r="BE360" t="n">
        <v>312</v>
      </c>
      <c r="BF360" t="n">
        <v>0.04</v>
      </c>
      <c r="BG360" t="n">
        <v>0.079</v>
      </c>
      <c r="BH360" t="n">
        <v>0.158</v>
      </c>
      <c r="BI360" t="n">
        <v>0.122</v>
      </c>
      <c r="BJ360" t="inlineStr">
        <is>
          <t>DIRECT_BULLET</t>
        </is>
      </c>
      <c r="BK360" t="inlineStr">
        <is>
          <t>ok</t>
        </is>
      </c>
      <c r="BL360" t="inlineStr">
        <is>
          <t>inherited from zu23</t>
        </is>
      </c>
      <c r="BM360" t="inlineStr"/>
      <c r="BN360" t="inlineStr">
        <is>
          <t>Assets/MachineBrigade/Resources/Data/balance.json: weapons[id=zu23_ap] (lớp B trên 01_chien_dau/Vu_khi)</t>
        </is>
      </c>
      <c r="BO360" t="inlineStr"/>
    </row>
  </sheetData>
  <autoFilter ref="A1:BO36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50" customWidth="1" min="3" max="3"/>
    <col width="17" customWidth="1" min="4" max="4"/>
    <col width="50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apkws_rocket</t>
        </is>
      </c>
      <c r="B11" t="inlineStr">
        <is>
          <t>apkws_rocket</t>
        </is>
      </c>
      <c r="C11" t="inlineStr">
        <is>
          <t>APKWS (laser-guided Hydra 70)</t>
        </is>
      </c>
      <c r="D11" t="inlineStr">
        <is>
          <t>doi_that</t>
        </is>
      </c>
      <c r="E11" t="inlineStr">
        <is>
          <t>APKWS (laser-guided Hydra 70)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ban_dau_doan</t>
        </is>
      </c>
      <c r="P11" t="inlineStr">
        <is>
          <t>R_balance;R_full_weapon_audit;R_decisions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900</v>
      </c>
      <c r="Y11" t="inlineStr">
        <is>
          <t>NEED_SOURCE</t>
        </is>
      </c>
      <c r="Z11" t="inlineStr">
        <is>
          <t>NEED_SOURCE</t>
        </is>
      </c>
      <c r="AA11" t="inlineStr">
        <is>
          <t>NEED_SOURCE</t>
        </is>
      </c>
      <c r="AB11" t="inlineStr"/>
      <c r="AC11" t="inlineStr">
        <is>
          <t>rocket</t>
        </is>
      </c>
      <c r="AD11" t="inlineStr">
        <is>
          <t>rocket pods: ripples of 0.05-0.12 s (DECISIONS 19R)</t>
        </is>
      </c>
      <c r="AE11" t="inlineStr"/>
      <c r="AF11" t="inlineStr">
        <is>
          <t>Tools/balance/full_weapon_audit.py: REAL / WARHEAD; balance.json weapons[id=apkws_rocket].real</t>
        </is>
      </c>
      <c r="AG11" t="inlineStr"/>
    </row>
    <row r="12">
      <c r="A12" t="inlineStr">
        <is>
          <t>atgm</t>
        </is>
      </c>
      <c r="B12" t="inlineStr">
        <is>
          <t>atgm</t>
        </is>
      </c>
      <c r="C12" t="inlineStr">
        <is>
          <t>BGM-71 TOW-2</t>
        </is>
      </c>
      <c r="D12" t="inlineStr">
        <is>
          <t>doi_that</t>
        </is>
      </c>
      <c r="E12" t="inlineStr">
        <is>
          <t>BGM-71 TOW-2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da_kiem_chung</t>
        </is>
      </c>
      <c r="P12" t="inlineStr">
        <is>
          <t>R_balance;R_full_weapon_audit;W_wikipedia_bgm_71_tow;W_wikipedia_bai_cua_tung_ten_lua_bang_warhead;R_machine_brigade_can_bang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3</v>
      </c>
      <c r="Y12" t="n">
        <v>2</v>
      </c>
      <c r="Z12" t="inlineStr">
        <is>
          <t>NEED_SOURCE</t>
        </is>
      </c>
      <c r="AA12" t="inlineStr">
        <is>
          <t>NEED_SOURCE</t>
        </is>
      </c>
      <c r="AB12" t="n">
        <v>5.9</v>
      </c>
      <c r="AC12" t="inlineStr">
        <is>
          <t>atgm</t>
        </is>
      </c>
      <c r="AD12" t="inlineStr">
        <is>
          <t>Wikipedia 'BGM-71 TOW': ~3 rpm</t>
        </is>
      </c>
      <c r="AE12" t="inlineStr">
        <is>
          <t>TOW-2: tầm 3,75 km, ~280 m/s, bay ~13 s tới tầm tối đa</t>
        </is>
      </c>
      <c r="AF12" t="inlineStr">
        <is>
          <t>Tools/balance/full_weapon_audit.py: REAL / WARHEAD; balance.json weapons[id=atgm].real</t>
        </is>
      </c>
      <c r="AG12" t="inlineStr"/>
    </row>
    <row r="13">
      <c r="A13" t="inlineStr">
        <is>
          <t>atgm_heavy</t>
        </is>
      </c>
      <c r="B13" t="inlineStr">
        <is>
          <t>atgm_heavy</t>
        </is>
      </c>
      <c r="C13" t="inlineStr">
        <is>
          <t>9M133 Kornet</t>
        </is>
      </c>
      <c r="D13" t="inlineStr">
        <is>
          <t>doi_that</t>
        </is>
      </c>
      <c r="E13" t="inlineStr">
        <is>
          <t>9M133 Kornet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da_kiem_chung</t>
        </is>
      </c>
      <c r="P13" t="inlineStr">
        <is>
          <t>R_balance;R_full_weapon_audit;W_wikipedia_9m133_kornet;W_wikipedia_bai_cua_tung_ten_lua_bang_warhead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3</v>
      </c>
      <c r="Y13" t="n">
        <v>3</v>
      </c>
      <c r="Z13" t="inlineStr">
        <is>
          <t>NEED_SOURCE</t>
        </is>
      </c>
      <c r="AA13" t="inlineStr">
        <is>
          <t>NEED_SOURCE</t>
        </is>
      </c>
      <c r="AB13" t="n">
        <v>7</v>
      </c>
      <c r="AC13" t="inlineStr">
        <is>
          <t>atgm</t>
        </is>
      </c>
      <c r="AD13" t="inlineStr">
        <is>
          <t>Wikipedia '9M133 Kornet': 2-3 rpm</t>
        </is>
      </c>
      <c r="AE13" t="inlineStr"/>
      <c r="AF13" t="inlineStr">
        <is>
          <t>Tools/balance/full_weapon_audit.py: REAL / WARHEAD; balance.json weapons[id=atgm_heavy].real</t>
        </is>
      </c>
      <c r="AG13" t="inlineStr"/>
    </row>
    <row r="14">
      <c r="A14" t="inlineStr">
        <is>
          <t>atgm_post</t>
        </is>
      </c>
      <c r="B14" t="inlineStr">
        <is>
          <t>atgm_post</t>
        </is>
      </c>
      <c r="C14" t="inlineStr">
        <is>
          <t>9M113 Konkurs</t>
        </is>
      </c>
      <c r="D14" t="inlineStr">
        <is>
          <t>doi_that</t>
        </is>
      </c>
      <c r="E14" t="inlineStr">
        <is>
          <t>9M113 Konkurs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da_kiem_chung</t>
        </is>
      </c>
      <c r="P14" t="inlineStr">
        <is>
          <t>R_balance;R_full_weapon_audit;W_wikipedia_9m113_konkurs;W_wikipedia_bai_cua_tung_ten_lua_bang_warhead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3</v>
      </c>
      <c r="Y14" t="n">
        <v>2</v>
      </c>
      <c r="Z14" t="inlineStr">
        <is>
          <t>NEED_SOURCE</t>
        </is>
      </c>
      <c r="AA14" t="inlineStr">
        <is>
          <t>NEED_SOURCE</t>
        </is>
      </c>
      <c r="AB14" t="n">
        <v>2.7</v>
      </c>
      <c r="AC14" t="inlineStr">
        <is>
          <t>atgm</t>
        </is>
      </c>
      <c r="AD14" t="inlineStr">
        <is>
          <t>Wikipedia '9M113 Konkurs': 2-3 rpm</t>
        </is>
      </c>
      <c r="AE14" t="inlineStr"/>
      <c r="AF14" t="inlineStr">
        <is>
          <t>Tools/balance/full_weapon_audit.py: REAL / WARHEAD; balance.json weapons[id=atgm_post].real</t>
        </is>
      </c>
      <c r="AG14" t="inlineStr"/>
    </row>
    <row r="15">
      <c r="A15" t="inlineStr">
        <is>
          <t>autocannon_25</t>
        </is>
      </c>
      <c r="B15" t="inlineStr">
        <is>
          <t>autocannon_25</t>
        </is>
      </c>
      <c r="C15" t="inlineStr">
        <is>
          <t>M242 Bushmaster 25 mm</t>
        </is>
      </c>
      <c r="D15" t="inlineStr">
        <is>
          <t>doi_that</t>
        </is>
      </c>
      <c r="E15" t="inlineStr">
        <is>
          <t>M242 Bushmaster 25 mm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da_kiem_chung</t>
        </is>
      </c>
      <c r="P15" t="inlineStr">
        <is>
          <t>R_balance;R_full_weapon_audit;W_wikipedia_m242_bushmaster;R_machine_brigade_can_bang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n">
        <v>25</v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500</v>
      </c>
      <c r="Y15" t="n">
        <v>200</v>
      </c>
      <c r="Z15" t="inlineStr">
        <is>
          <t>NEED_SOURCE</t>
        </is>
      </c>
      <c r="AA15" t="inlineStr">
        <is>
          <t>NEED_SOURCE</t>
        </is>
      </c>
      <c r="AB15" t="inlineStr"/>
      <c r="AC15" t="inlineStr">
        <is>
          <t>ac</t>
        </is>
      </c>
      <c r="AD15" t="inlineStr">
        <is>
          <t>Wikipedia 'M242 Bushmaster': 200 or 500 rpm</t>
        </is>
      </c>
      <c r="AE15" t="inlineStr">
        <is>
          <t>M242: 200 phát/phút (chậm) hoặc 500 (nhanh); tầm ~2,5–3 km</t>
        </is>
      </c>
      <c r="AF15" t="inlineStr">
        <is>
          <t>Tools/balance/full_weapon_audit.py: REAL / WARHEAD; balance.json weapons[id=autocannon_25].real</t>
        </is>
      </c>
      <c r="AG15" t="inlineStr"/>
    </row>
    <row r="16">
      <c r="A16" t="inlineStr">
        <is>
          <t>autocannon_25_flak</t>
        </is>
      </c>
      <c r="B16" t="inlineStr">
        <is>
          <t>autocannon_25_flak</t>
        </is>
      </c>
      <c r="C16" t="inlineStr">
        <is>
          <t>M242 Bushmaster 25 mm air-burst</t>
        </is>
      </c>
      <c r="D16" t="inlineStr">
        <is>
          <t>doi_that</t>
        </is>
      </c>
      <c r="E16" t="inlineStr">
        <is>
          <t>M242 Bushmaster 25 mm air-burst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R_balance;R_full_weapon_audit;W_wikipedia_m242_bushmaster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n">
        <v>25</v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500</v>
      </c>
      <c r="Y16" t="n">
        <v>200</v>
      </c>
      <c r="Z16" t="inlineStr">
        <is>
          <t>NEED_SOURCE</t>
        </is>
      </c>
      <c r="AA16" t="inlineStr">
        <is>
          <t>NEED_SOURCE</t>
        </is>
      </c>
      <c r="AB16" t="inlineStr"/>
      <c r="AC16" t="inlineStr">
        <is>
          <t>ac</t>
        </is>
      </c>
      <c r="AD16" t="inlineStr">
        <is>
          <t>Wikipedia 'M242 Bushmaster': 200 or 500 rpm</t>
        </is>
      </c>
      <c r="AE16" t="inlineStr"/>
      <c r="AF16" t="inlineStr">
        <is>
          <t>Tools/balance/full_weapon_audit.py: REAL / WARHEAD; balance.json weapons[id=autocannon_25_flak].real</t>
        </is>
      </c>
      <c r="AG16" t="inlineStr"/>
    </row>
    <row r="17">
      <c r="A17" t="inlineStr">
        <is>
          <t>autocannon_30</t>
        </is>
      </c>
      <c r="B17" t="inlineStr">
        <is>
          <t>autocannon_30</t>
        </is>
      </c>
      <c r="C17" t="inlineStr">
        <is>
          <t>2A42 30 mm</t>
        </is>
      </c>
      <c r="D17" t="inlineStr">
        <is>
          <t>doi_that</t>
        </is>
      </c>
      <c r="E17" t="inlineStr">
        <is>
          <t>2A42 30 mm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R_balance;R_full_weapon_audit;W_wikipedia_2a42;R_machine_brigade_can_bang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n">
        <v>30</v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800</v>
      </c>
      <c r="Y17" t="n">
        <v>300</v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ac</t>
        </is>
      </c>
      <c r="AD17" t="inlineStr">
        <is>
          <t>Wikipedia '2A42': 550-800 high, 200-300 low rpm</t>
        </is>
      </c>
      <c r="AE17" t="inlineStr">
        <is>
          <t>2A42: 200–300 (chậm) / 550–800 phát/phút (nhanh); tầm ~4 km</t>
        </is>
      </c>
      <c r="AF17" t="inlineStr">
        <is>
          <t>Tools/balance/full_weapon_audit.py: REAL / WARHEAD; balance.json weapons[id=autocannon_30].real</t>
        </is>
      </c>
      <c r="AG17" t="inlineStr"/>
    </row>
    <row r="18">
      <c r="A18" t="inlineStr">
        <is>
          <t>autocannon_30_flak</t>
        </is>
      </c>
      <c r="B18" t="inlineStr">
        <is>
          <t>autocannon_30_flak</t>
        </is>
      </c>
      <c r="C18" t="inlineStr">
        <is>
          <t>2A42 30 mm air-burst</t>
        </is>
      </c>
      <c r="D18" t="inlineStr">
        <is>
          <t>doi_that</t>
        </is>
      </c>
      <c r="E18" t="inlineStr">
        <is>
          <t>2A42 30 mm air-burst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R_balance;R_full_weapon_audit;W_wikipedia_2a42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n">
        <v>30</v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800</v>
      </c>
      <c r="Y18" t="n">
        <v>300</v>
      </c>
      <c r="Z18" t="inlineStr">
        <is>
          <t>NEED_SOURCE</t>
        </is>
      </c>
      <c r="AA18" t="inlineStr">
        <is>
          <t>NEED_SOURCE</t>
        </is>
      </c>
      <c r="AB18" t="inlineStr"/>
      <c r="AC18" t="inlineStr">
        <is>
          <t>ac</t>
        </is>
      </c>
      <c r="AD18" t="inlineStr">
        <is>
          <t>Wikipedia '2A42': 550-800 high, 200-300 low rpm</t>
        </is>
      </c>
      <c r="AE18" t="inlineStr"/>
      <c r="AF18" t="inlineStr">
        <is>
          <t>Tools/balance/full_weapon_audit.py: REAL / WARHEAD; balance.json weapons[id=autocannon_30_flak].real</t>
        </is>
      </c>
      <c r="AG18" t="inlineStr"/>
    </row>
    <row r="19">
      <c r="A19" t="inlineStr">
        <is>
          <t>autocannon_40</t>
        </is>
      </c>
      <c r="B19" t="inlineStr">
        <is>
          <t>autocannon_40</t>
        </is>
      </c>
      <c r="C19" t="inlineStr">
        <is>
          <t>Bofors 40 mm</t>
        </is>
      </c>
      <c r="D19" t="inlineStr">
        <is>
          <t>doi_that</t>
        </is>
      </c>
      <c r="E19" t="inlineStr">
        <is>
          <t>Bofors 40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R_balance;R_full_weapon_audit;W_wikipedia_bofors_40_mm_l_70;R_machine_brigade_can_bang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40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330</v>
      </c>
      <c r="Y19" t="n">
        <v>120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aa</t>
        </is>
      </c>
      <c r="AD19" t="inlineStr">
        <is>
          <t>Wikipedia 'Bofors 40 mm L/70': 240-330 rpm</t>
        </is>
      </c>
      <c r="AE19" t="inlineStr">
        <is>
          <t>Bofors L/70: 240–330 phát/phút</t>
        </is>
      </c>
      <c r="AF19" t="inlineStr">
        <is>
          <t>Tools/balance/full_weapon_audit.py: REAL / WARHEAD; balance.json weapons[id=autocannon_40].real</t>
        </is>
      </c>
      <c r="AG19" t="inlineStr"/>
    </row>
    <row r="20">
      <c r="A20" t="inlineStr">
        <is>
          <t>autocannon_40_flak</t>
        </is>
      </c>
      <c r="B20" t="inlineStr">
        <is>
          <t>autocannon_40_flak</t>
        </is>
      </c>
      <c r="C20" t="inlineStr">
        <is>
          <t>Bofors 40 mm air-burst</t>
        </is>
      </c>
      <c r="D20" t="inlineStr">
        <is>
          <t>doi_that</t>
        </is>
      </c>
      <c r="E20" t="inlineStr">
        <is>
          <t>Bofors 40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R_balance;R_full_weapon_audit;W_wikipedia_bofors_40_mm_l_70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40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330</v>
      </c>
      <c r="Y20" t="n">
        <v>120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aa</t>
        </is>
      </c>
      <c r="AD20" t="inlineStr">
        <is>
          <t>Wikipedia 'Bofors 40 mm L/70': 240-330 rpm</t>
        </is>
      </c>
      <c r="AE20" t="inlineStr"/>
      <c r="AF20" t="inlineStr">
        <is>
          <t>Tools/balance/full_weapon_audit.py: REAL / WARHEAD; balance.json weapons[id=autocannon_40_flak].real</t>
        </is>
      </c>
      <c r="AG20" t="inlineStr"/>
    </row>
    <row r="21">
      <c r="A21" t="inlineStr">
        <is>
          <t>ballistic_missile</t>
        </is>
      </c>
      <c r="B21" t="inlineStr">
        <is>
          <t>ballistic_missile</t>
        </is>
      </c>
      <c r="C21" t="inlineStr">
        <is>
          <t>9M723 Iskander (700 kg)</t>
        </is>
      </c>
      <c r="D21" t="inlineStr">
        <is>
          <t>doi_that</t>
        </is>
      </c>
      <c r="E21" t="inlineStr">
        <is>
          <t>9M723 Iskander (700 kg)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R_balance;R_full_weapon_audit;W_wikipedia_9k720_iskander;R_machine_brigade_can_bang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2</v>
      </c>
      <c r="Y21" t="n">
        <v>2</v>
      </c>
      <c r="Z21" t="inlineStr">
        <is>
          <t>NEED_SOURCE</t>
        </is>
      </c>
      <c r="AA21" t="inlineStr">
        <is>
          <t>NEED_SOURCE</t>
        </is>
      </c>
      <c r="AB21" t="inlineStr">
        <is>
          <t>NEED_SOURCE</t>
        </is>
      </c>
      <c r="AC21" t="inlineStr">
        <is>
          <t>missile</t>
        </is>
      </c>
      <c r="AD21" t="inlineStr">
        <is>
          <t>Wikipedia '9K720 Iskander': two missiles within a minute</t>
        </is>
      </c>
      <c r="AE21" t="inlineStr">
        <is>
          <t>Iskander 9M723: đầu nổ ~480 kg</t>
        </is>
      </c>
      <c r="AF21" t="inlineStr">
        <is>
          <t>Tools/balance/full_weapon_audit.py: REAL / WARHEAD; balance.json weapons[id=ballistic_missile].real</t>
        </is>
      </c>
      <c r="AG21" t="inlineStr"/>
    </row>
    <row r="22">
      <c r="A22" t="inlineStr">
        <is>
          <t>bastion_gun</t>
        </is>
      </c>
      <c r="B22" t="inlineStr">
        <is>
          <t>bastion_gun</t>
        </is>
      </c>
      <c r="C22" t="inlineStr">
        <is>
          <t>2A83 152 mm (twin)</t>
        </is>
      </c>
      <c r="D22" t="inlineStr">
        <is>
          <t>doi_that</t>
        </is>
      </c>
      <c r="E22" t="inlineStr">
        <is>
          <t>2A83 152 mm (twin)</t>
        </is>
      </c>
      <c r="F22" t="inlineStr"/>
      <c r="G22" t="inlineStr"/>
      <c r="H22" t="inlineStr"/>
      <c r="I22" t="inlineStr"/>
      <c r="J22" t="inlineStr"/>
      <c r="K22" t="inlineStr"/>
      <c r="L22" t="inlineStr">
        <is>
          <t>nhịp chậm hơn 30 % và mạnh hơn tương ứng (luật súng của game)</t>
        </is>
      </c>
      <c r="M22" t="inlineStr">
        <is>
          <t>gameplay</t>
        </is>
      </c>
      <c r="N22" t="inlineStr"/>
      <c r="O22" t="inlineStr">
        <is>
          <t>uoc_dinh</t>
        </is>
      </c>
      <c r="P22" t="inlineStr">
        <is>
          <t>R_balance;R_full_weapon_audit;R_machine_brigade_can_bang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152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10</v>
      </c>
      <c r="Y22" t="n">
        <v>8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gun</t>
        </is>
      </c>
      <c r="AD22" t="inlineStr">
        <is>
          <t>Object 195 / T-14 152 mm, est. ~10 rpm (the sheet)</t>
        </is>
      </c>
      <c r="AE22" t="inlineStr"/>
      <c r="AF22" t="inlineStr">
        <is>
          <t>Tools/balance/full_weapon_audit.py: REAL / WARHEAD; balance.json weapons[id=bastion_gun].real</t>
        </is>
      </c>
      <c r="AG22" t="inlineStr"/>
    </row>
    <row r="23">
      <c r="A23" t="inlineStr">
        <is>
          <t>bastion_gun_he</t>
        </is>
      </c>
      <c r="B23" t="inlineStr">
        <is>
          <t>bastion_gun_he</t>
        </is>
      </c>
      <c r="C23" t="inlineStr">
        <is>
          <t>2A83 152 mm HE-FRAG (twin)</t>
        </is>
      </c>
      <c r="D23" t="inlineStr">
        <is>
          <t>doi_that</t>
        </is>
      </c>
      <c r="E23" t="inlineStr">
        <is>
          <t>2A83 152 mm HE-FRAG (twin)</t>
        </is>
      </c>
      <c r="F23" t="inlineStr"/>
      <c r="G23" t="inlineStr"/>
      <c r="H23" t="inlineStr"/>
      <c r="I23" t="inlineStr"/>
      <c r="J23" t="inlineStr"/>
      <c r="K23" t="inlineStr"/>
      <c r="L23" t="inlineStr">
        <is>
          <t>nhịp chậm hơn 30 % và mạnh hơn tương ứng (luật súng của game)</t>
        </is>
      </c>
      <c r="M23" t="inlineStr">
        <is>
          <t>gameplay</t>
        </is>
      </c>
      <c r="N23" t="inlineStr"/>
      <c r="O23" t="inlineStr">
        <is>
          <t>uoc_dinh</t>
        </is>
      </c>
      <c r="P23" t="inlineStr">
        <is>
          <t>R_balance;R_full_weapon_audit;R_machine_brigade_can_bang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152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10</v>
      </c>
      <c r="Y23" t="n">
        <v>8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gun</t>
        </is>
      </c>
      <c r="AD23" t="inlineStr">
        <is>
          <t>Object 195 / T-14 152 mm, est. ~10 rpm (the sheet)</t>
        </is>
      </c>
      <c r="AE23" t="inlineStr"/>
      <c r="AF23" t="inlineStr">
        <is>
          <t>Tools/balance/full_weapon_audit.py: REAL / WARHEAD; balance.json weapons[id=bastion_gun_he].real</t>
        </is>
      </c>
      <c r="AG23" t="inlineStr"/>
    </row>
    <row r="24">
      <c r="A24" t="inlineStr">
        <is>
          <t>boat_rockets</t>
        </is>
      </c>
      <c r="B24" t="inlineStr">
        <is>
          <t>boat_rockets</t>
        </is>
      </c>
      <c r="C24" t="inlineStr">
        <is>
          <t>S-8 80 mm</t>
        </is>
      </c>
      <c r="D24" t="inlineStr">
        <is>
          <t>doi_that</t>
        </is>
      </c>
      <c r="E24" t="inlineStr">
        <is>
          <t>S-8 80 mm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ban_dau_doan</t>
        </is>
      </c>
      <c r="P24" t="inlineStr">
        <is>
          <t>R_balance;R_full_weapon_audit;R_decisions;R_machine_brigade_can_bang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80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900</v>
      </c>
      <c r="Y24" t="inlineStr">
        <is>
          <t>NEED_SOURCE</t>
        </is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rocket</t>
        </is>
      </c>
      <c r="AD24" t="inlineStr">
        <is>
          <t>rocket pods: ripples of 0.05-0.12 s (DECISIONS 19R)</t>
        </is>
      </c>
      <c r="AE24" t="inlineStr">
        <is>
          <t>S-8</t>
        </is>
      </c>
      <c r="AF24" t="inlineStr">
        <is>
          <t>Tools/balance/full_weapon_audit.py: REAL / WARHEAD; balance.json weapons[id=boat_rockets].real</t>
        </is>
      </c>
      <c r="AG24" t="inlineStr"/>
    </row>
    <row r="25">
      <c r="A25" t="inlineStr">
        <is>
          <t>bofors_l70</t>
        </is>
      </c>
      <c r="B25" t="inlineStr">
        <is>
          <t>bofors_l70</t>
        </is>
      </c>
      <c r="C25" t="inlineStr">
        <is>
          <t>Bofors 40 mm L/70</t>
        </is>
      </c>
      <c r="D25" t="inlineStr">
        <is>
          <t>doi_that</t>
        </is>
      </c>
      <c r="E25" t="inlineStr">
        <is>
          <t>Bofors 40 mm L/70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da_kiem_chung</t>
        </is>
      </c>
      <c r="P25" t="inlineStr">
        <is>
          <t>R_balance;R_full_weapon_audit;W_wikipedia_bofors_40_mm_l_70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40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330</v>
      </c>
      <c r="Y25" t="n">
        <v>120</v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aa</t>
        </is>
      </c>
      <c r="AD25" t="inlineStr">
        <is>
          <t>Wikipedia 'Bofors 40 mm L/70': 240-330 rpm</t>
        </is>
      </c>
      <c r="AE25" t="inlineStr"/>
      <c r="AF25" t="inlineStr">
        <is>
          <t>Tools/balance/full_weapon_audit.py: REAL / WARHEAD; balance.json weapons[id=bofors_l70].real</t>
        </is>
      </c>
      <c r="AG25" t="inlineStr"/>
    </row>
    <row r="26">
      <c r="A26" t="inlineStr">
        <is>
          <t>bomber_payload</t>
        </is>
      </c>
      <c r="B26" t="inlineStr">
        <is>
          <t>bomber_payload</t>
        </is>
      </c>
      <c r="C26" t="inlineStr">
        <is>
          <t>FAB-500 (500 kg)</t>
        </is>
      </c>
      <c r="D26" t="inlineStr">
        <is>
          <t>doi_that</t>
        </is>
      </c>
      <c r="E26" t="inlineStr">
        <is>
          <t>FAB-500 (500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uoc_dinh</t>
        </is>
      </c>
      <c r="P26" t="inlineStr">
        <is>
          <t>R_balance;R_full_weapon_audit;R_machine_brigade_can_bang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600</v>
      </c>
      <c r="Y26" t="inlineStr">
        <is>
          <t>NEED_SOURCE</t>
        </is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bomb</t>
        </is>
      </c>
      <c r="AD26" t="inlineStr">
        <is>
          <t>a stick's release, 0.1 s and up (est.)</t>
        </is>
      </c>
      <c r="AE26" t="inlineStr">
        <is>
          <t>FAB-500: ~200 kg thuốc nổ</t>
        </is>
      </c>
      <c r="AF26" t="inlineStr">
        <is>
          <t>Tools/balance/full_weapon_audit.py: REAL / WARHEAD; balance.json weapons[id=bomber_payload].real</t>
        </is>
      </c>
      <c r="AG26" t="inlineStr"/>
    </row>
    <row r="27">
      <c r="A27" t="inlineStr">
        <is>
          <t>bomber_tail_guns</t>
        </is>
      </c>
      <c r="B27" t="inlineStr">
        <is>
          <t>bomber_tail_guns</t>
        </is>
      </c>
      <c r="C27" t="inlineStr">
        <is>
          <t>M3 12.7 mm (quad tail)</t>
        </is>
      </c>
      <c r="D27" t="inlineStr">
        <is>
          <t>doi_that</t>
        </is>
      </c>
      <c r="E27" t="inlineStr">
        <is>
          <t>M3 12.7 mm (quad tail)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da_kiem_chung</t>
        </is>
      </c>
      <c r="P27" t="inlineStr">
        <is>
          <t>R_balance;R_full_weapon_audit;W_wikipedia_m3_browning;R_machine_brigade_can_bang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12.7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1200</v>
      </c>
      <c r="Y27" t="n">
        <v>200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mg</t>
        </is>
      </c>
      <c r="AD27" t="inlineStr">
        <is>
          <t>Wikipedia 'M3 Browning' (AN/M3): 1,100-1,250 rpm</t>
        </is>
      </c>
      <c r="AE27" t="inlineStr">
        <is>
          <t>M3 12,7 mm: 1.200</t>
        </is>
      </c>
      <c r="AF27" t="inlineStr">
        <is>
          <t>Tools/balance/full_weapon_audit.py: REAL / WARHEAD; balance.json weapons[id=bomber_tail_guns].real</t>
        </is>
      </c>
      <c r="AG27" t="inlineStr"/>
    </row>
    <row r="28">
      <c r="A28" t="inlineStr">
        <is>
          <t>bomber_tail_guns_api</t>
        </is>
      </c>
      <c r="B28" t="inlineStr">
        <is>
          <t>bomber_tail_guns_api</t>
        </is>
      </c>
      <c r="C28" t="inlineStr">
        <is>
          <t>M3 12.7 mm API (quad tail)</t>
        </is>
      </c>
      <c r="D28" t="inlineStr">
        <is>
          <t>doi_that</t>
        </is>
      </c>
      <c r="E28" t="inlineStr">
        <is>
          <t>M3 12.7 mm API (quad tail)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R_balance;R_full_weapon_audit;W_wikipedia_m3_browning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12.7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1200</v>
      </c>
      <c r="Y28" t="n">
        <v>200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mg</t>
        </is>
      </c>
      <c r="AD28" t="inlineStr">
        <is>
          <t>Wikipedia 'M3 Browning' (AN/M3): 1,100-1,250 rpm</t>
        </is>
      </c>
      <c r="AE28" t="inlineStr"/>
      <c r="AF28" t="inlineStr">
        <is>
          <t>Tools/balance/full_weapon_audit.py: REAL / WARHEAD; balance.json weapons[id=bomber_tail_guns_api].real</t>
        </is>
      </c>
      <c r="AG28" t="inlineStr"/>
    </row>
    <row r="29">
      <c r="A29" t="inlineStr">
        <is>
          <t>borer_cannon</t>
        </is>
      </c>
      <c r="B29" t="inlineStr">
        <is>
          <t>borer_cannon</t>
        </is>
      </c>
      <c r="C29" t="inlineStr">
        <is>
          <t>2A70 100/76 mm</t>
        </is>
      </c>
      <c r="D29" t="inlineStr">
        <is>
          <t>doi_that</t>
        </is>
      </c>
      <c r="E29" t="inlineStr">
        <is>
          <t>2A70 100/76 mm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nhịp chậm hơn 30 % và mạnh hơn tương ứng (luật súng của game)</t>
        </is>
      </c>
      <c r="M29" t="inlineStr">
        <is>
          <t>gameplay</t>
        </is>
      </c>
      <c r="N29" t="inlineStr"/>
      <c r="O29" t="inlineStr">
        <is>
          <t>da_kiem_chung</t>
        </is>
      </c>
      <c r="P29" t="inlineStr">
        <is>
          <t>R_balance;R_full_weapon_audit;W_wikipedia_2a70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76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10</v>
      </c>
      <c r="Y29" t="n">
        <v>8</v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gun</t>
        </is>
      </c>
      <c r="AD29" t="inlineStr">
        <is>
          <t>Wikipedia '2A70': 10 rpm (100 mm), BMP-3</t>
        </is>
      </c>
      <c r="AE29" t="inlineStr"/>
      <c r="AF29" t="inlineStr">
        <is>
          <t>Tools/balance/full_weapon_audit.py: REAL / WARHEAD; balance.json weapons[id=borer_cannon].real</t>
        </is>
      </c>
      <c r="AG29" t="inlineStr"/>
    </row>
    <row r="30">
      <c r="A30" t="inlineStr">
        <is>
          <t>borer_cannon_he</t>
        </is>
      </c>
      <c r="B30" t="inlineStr">
        <is>
          <t>borer_cannon_he</t>
        </is>
      </c>
      <c r="C30" t="inlineStr">
        <is>
          <t>2A70 100/76 mm HE</t>
        </is>
      </c>
      <c r="D30" t="inlineStr">
        <is>
          <t>doi_that</t>
        </is>
      </c>
      <c r="E30" t="inlineStr">
        <is>
          <t>2A70 100/76 mm HE</t>
        </is>
      </c>
      <c r="F30" t="inlineStr"/>
      <c r="G30" t="inlineStr"/>
      <c r="H30" t="inlineStr"/>
      <c r="I30" t="inlineStr"/>
      <c r="J30" t="inlineStr"/>
      <c r="K30" t="inlineStr"/>
      <c r="L30" t="inlineStr">
        <is>
          <t>nhịp chậm hơn 30 % và mạnh hơn tương ứng (luật súng của game)</t>
        </is>
      </c>
      <c r="M30" t="inlineStr">
        <is>
          <t>gameplay</t>
        </is>
      </c>
      <c r="N30" t="inlineStr"/>
      <c r="O30" t="inlineStr">
        <is>
          <t>da_kiem_chung</t>
        </is>
      </c>
      <c r="P30" t="inlineStr">
        <is>
          <t>R_balance;R_full_weapon_audit;W_wikipedia_2a70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76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10</v>
      </c>
      <c r="Y30" t="n">
        <v>8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gun</t>
        </is>
      </c>
      <c r="AD30" t="inlineStr">
        <is>
          <t>Wikipedia '2A70': 10 rpm (100 mm), BMP-3</t>
        </is>
      </c>
      <c r="AE30" t="inlineStr"/>
      <c r="AF30" t="inlineStr">
        <is>
          <t>Tools/balance/full_weapon_audit.py: REAL / WARHEAD; balance.json weapons[id=borer_cannon_he].real</t>
        </is>
      </c>
      <c r="AG30" t="inlineStr"/>
    </row>
    <row r="31">
      <c r="A31" t="inlineStr">
        <is>
          <t>borer_drill</t>
        </is>
      </c>
      <c r="B31" t="inlineStr">
        <is>
          <t>borer_drill</t>
        </is>
      </c>
      <c r="C31" t="inlineStr">
        <is>
          <t>drill head</t>
        </is>
      </c>
      <c r="D31" t="inlineStr">
        <is>
          <t>doi_that</t>
        </is>
      </c>
      <c r="E31" t="inlineStr">
        <is>
          <t>drill head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ban_dau_doan</t>
        </is>
      </c>
      <c r="P31" t="inlineStr">
        <is>
          <t>R_balance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inlineStr">
        <is>
          <t>NEED_SOURCE</t>
        </is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/>
      <c r="AD31" t="inlineStr"/>
      <c r="AE31" t="inlineStr"/>
      <c r="AF31" t="inlineStr">
        <is>
          <t>Tools/balance/full_weapon_audit.py: REAL / WARHEAD; balance.json weapons[id=borer_drill].real</t>
        </is>
      </c>
      <c r="AG31" t="inlineStr"/>
    </row>
    <row r="32">
      <c r="A32" t="inlineStr">
        <is>
          <t>boss_flak</t>
        </is>
      </c>
      <c r="B32" t="inlineStr">
        <is>
          <t>boss_flak</t>
        </is>
      </c>
      <c r="C32" t="inlineStr">
        <is>
          <t>Oerlikon 35 mm (twin)</t>
        </is>
      </c>
      <c r="D32" t="inlineStr">
        <is>
          <t>doi_that</t>
        </is>
      </c>
      <c r="E32" t="inlineStr">
        <is>
          <t>Oerlikon 35 mm (twin)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R_balance;R_full_weapon_audit;W_wikipedia_oerlikon_gdf;R_machine_brigade_can_bang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35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550</v>
      </c>
      <c r="Y32" t="n">
        <v>300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aa</t>
        </is>
      </c>
      <c r="AD32" t="inlineStr">
        <is>
          <t>Wikipedia 'Oerlikon GDF': 550 rpm a gun (the twin: 1,100)</t>
        </is>
      </c>
      <c r="AE32" t="inlineStr">
        <is>
          <t>Oerlikon 35 mm đôi: 1.100 phát/phút</t>
        </is>
      </c>
      <c r="AF32" t="inlineStr">
        <is>
          <t>Tools/balance/full_weapon_audit.py: REAL / WARHEAD; balance.json weapons[id=boss_flak].real</t>
        </is>
      </c>
      <c r="AG32" t="inlineStr"/>
    </row>
    <row r="33">
      <c r="A33" t="inlineStr">
        <is>
          <t>boss_flak_ap</t>
        </is>
      </c>
      <c r="B33" t="inlineStr">
        <is>
          <t>boss_flak_ap</t>
        </is>
      </c>
      <c r="C33" t="inlineStr">
        <is>
          <t>Oerlikon 35 mm AP (twin)</t>
        </is>
      </c>
      <c r="D33" t="inlineStr">
        <is>
          <t>doi_that</t>
        </is>
      </c>
      <c r="E33" t="inlineStr">
        <is>
          <t>Oerlikon 35 mm AP (twin)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R_balance;R_full_weapon_audit;W_wikipedia_oerlikon_gdf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35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550</v>
      </c>
      <c r="Y33" t="n">
        <v>300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aa</t>
        </is>
      </c>
      <c r="AD33" t="inlineStr">
        <is>
          <t>Wikipedia 'Oerlikon GDF': 550 rpm a gun (the twin: 1,100)</t>
        </is>
      </c>
      <c r="AE33" t="inlineStr"/>
      <c r="AF33" t="inlineStr">
        <is>
          <t>Tools/balance/full_weapon_audit.py: REAL / WARHEAD; balance.json weapons[id=boss_flak_ap].real</t>
        </is>
      </c>
      <c r="AG33" t="inlineStr"/>
    </row>
    <row r="34">
      <c r="A34" t="inlineStr">
        <is>
          <t>boss_flamer</t>
        </is>
      </c>
      <c r="B34" t="inlineStr">
        <is>
          <t>boss_flamer</t>
        </is>
      </c>
      <c r="C34" t="inlineStr">
        <is>
          <t>flamethrower (heavy)</t>
        </is>
      </c>
      <c r="D34" t="inlineStr">
        <is>
          <t>doi_that</t>
        </is>
      </c>
      <c r="E34" t="inlineStr">
        <is>
          <t>flamethrower (heavy)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ban_dau_doan</t>
        </is>
      </c>
      <c r="P34" t="inlineStr">
        <is>
          <t>R_balance;R_machine_brigade_can_bang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inlineStr">
        <is>
          <t>NEED_SOURCE</t>
        </is>
      </c>
      <c r="Y34" t="inlineStr">
        <is>
          <t>NEED_SOURCE</t>
        </is>
      </c>
      <c r="Z34" t="inlineStr">
        <is>
          <t>NEED_SOURCE</t>
        </is>
      </c>
      <c r="AA34" t="inlineStr">
        <is>
          <t>NEED_SOURCE</t>
        </is>
      </c>
      <c r="AB34" t="inlineStr"/>
      <c r="AC34" t="inlineStr"/>
      <c r="AD34" t="inlineStr"/>
      <c r="AE34" t="inlineStr">
        <is>
          <t>phun lửa</t>
        </is>
      </c>
      <c r="AF34" t="inlineStr">
        <is>
          <t>Tools/balance/full_weapon_audit.py: REAL / WARHEAD; balance.json weapons[id=boss_flamer].real</t>
        </is>
      </c>
      <c r="AG34" t="inlineStr"/>
    </row>
    <row r="35">
      <c r="A35" t="inlineStr">
        <is>
          <t>boss_heli_gun</t>
        </is>
      </c>
      <c r="B35" t="inlineStr">
        <is>
          <t>boss_heli_gun</t>
        </is>
      </c>
      <c r="C35" t="inlineStr">
        <is>
          <t>M230 30 mm</t>
        </is>
      </c>
      <c r="D35" t="inlineStr">
        <is>
          <t>doi_that</t>
        </is>
      </c>
      <c r="E35" t="inlineStr">
        <is>
          <t>M230 30 mm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da_kiem_chung</t>
        </is>
      </c>
      <c r="P35" t="inlineStr">
        <is>
          <t>R_balance;R_full_weapon_audit;W_wikipedia_m230_chain_gun;R_machine_brigade_can_bang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30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625</v>
      </c>
      <c r="Y35" t="n">
        <v>300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ac</t>
        </is>
      </c>
      <c r="AD35" t="inlineStr">
        <is>
          <t>Wikipedia 'M230 chain gun': 625 rpm</t>
        </is>
      </c>
      <c r="AE35" t="inlineStr">
        <is>
          <t>M230: 625</t>
        </is>
      </c>
      <c r="AF35" t="inlineStr">
        <is>
          <t>Tools/balance/full_weapon_audit.py: REAL / WARHEAD; balance.json weapons[id=boss_heli_gun].real</t>
        </is>
      </c>
      <c r="AG35" t="inlineStr"/>
    </row>
    <row r="36">
      <c r="A36" t="inlineStr">
        <is>
          <t>boss_heli_gun_flak</t>
        </is>
      </c>
      <c r="B36" t="inlineStr">
        <is>
          <t>boss_heli_gun_flak</t>
        </is>
      </c>
      <c r="C36" t="inlineStr">
        <is>
          <t>M230 30 mm air-burst</t>
        </is>
      </c>
      <c r="D36" t="inlineStr">
        <is>
          <t>doi_that</t>
        </is>
      </c>
      <c r="E36" t="inlineStr">
        <is>
          <t>M230 30 mm air-burst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da_kiem_chung</t>
        </is>
      </c>
      <c r="P36" t="inlineStr">
        <is>
          <t>R_balance;R_full_weapon_audit;W_wikipedia_m230_chain_gun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30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n">
        <v>625</v>
      </c>
      <c r="Y36" t="n">
        <v>300</v>
      </c>
      <c r="Z36" t="inlineStr">
        <is>
          <t>NEED_SOURCE</t>
        </is>
      </c>
      <c r="AA36" t="inlineStr">
        <is>
          <t>NEED_SOURCE</t>
        </is>
      </c>
      <c r="AB36" t="inlineStr"/>
      <c r="AC36" t="inlineStr">
        <is>
          <t>ac</t>
        </is>
      </c>
      <c r="AD36" t="inlineStr">
        <is>
          <t>Wikipedia 'M230 chain gun': 625 rpm</t>
        </is>
      </c>
      <c r="AE36" t="inlineStr"/>
      <c r="AF36" t="inlineStr">
        <is>
          <t>Tools/balance/full_weapon_audit.py: REAL / WARHEAD; balance.json weapons[id=boss_heli_gun_flak].real</t>
        </is>
      </c>
      <c r="AG36" t="inlineStr"/>
    </row>
    <row r="37">
      <c r="A37" t="inlineStr">
        <is>
          <t>boss_hmg</t>
        </is>
      </c>
      <c r="B37" t="inlineStr">
        <is>
          <t>boss_hmg</t>
        </is>
      </c>
      <c r="C37" t="inlineStr">
        <is>
          <t>NSV 12.7 mm</t>
        </is>
      </c>
      <c r="D37" t="inlineStr">
        <is>
          <t>doi_that</t>
        </is>
      </c>
      <c r="E37" t="inlineStr">
        <is>
          <t>NSV 12.7 mm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R_balance;R_full_weapon_audit;W_wikipedia_nsv_machine_gun;R_machine_brigade_can_bang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12.7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800</v>
      </c>
      <c r="Y37" t="n">
        <v>100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mg</t>
        </is>
      </c>
      <c r="AD37" t="inlineStr">
        <is>
          <t>Wikipedia 'NSV machine gun': 700-800 cyclic, 100 practical</t>
        </is>
      </c>
      <c r="AE37" t="inlineStr">
        <is>
          <t>NSV: 700–800</t>
        </is>
      </c>
      <c r="AF37" t="inlineStr">
        <is>
          <t>Tools/balance/full_weapon_audit.py: REAL / WARHEAD; balance.json weapons[id=boss_hmg].real</t>
        </is>
      </c>
      <c r="AG37" t="inlineStr"/>
    </row>
    <row r="38">
      <c r="A38" t="inlineStr">
        <is>
          <t>boss_hmg_api</t>
        </is>
      </c>
      <c r="B38" t="inlineStr">
        <is>
          <t>boss_hmg_api</t>
        </is>
      </c>
      <c r="C38" t="inlineStr">
        <is>
          <t>NSV 12.7 mm API</t>
        </is>
      </c>
      <c r="D38" t="inlineStr">
        <is>
          <t>doi_that</t>
        </is>
      </c>
      <c r="E38" t="inlineStr">
        <is>
          <t>NSV 12.7 mm API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R_balance;R_full_weapon_audit;W_wikipedia_nsv_machine_gun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12.7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800</v>
      </c>
      <c r="Y38" t="n">
        <v>100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mg</t>
        </is>
      </c>
      <c r="AD38" t="inlineStr">
        <is>
          <t>Wikipedia 'NSV machine gun': 700-800 cyclic, 100 practical</t>
        </is>
      </c>
      <c r="AE38" t="inlineStr"/>
      <c r="AF38" t="inlineStr">
        <is>
          <t>Tools/balance/full_weapon_audit.py: REAL / WARHEAD; balance.json weapons[id=boss_hmg_api].real</t>
        </is>
      </c>
      <c r="AG38" t="inlineStr"/>
    </row>
    <row r="39">
      <c r="A39" t="inlineStr">
        <is>
          <t>boss_howitzer</t>
        </is>
      </c>
      <c r="B39" t="inlineStr">
        <is>
          <t>boss_howitzer</t>
        </is>
      </c>
      <c r="C39" t="inlineStr">
        <is>
          <t>2A44 203 mm</t>
        </is>
      </c>
      <c r="D39" t="inlineStr">
        <is>
          <t>doi_that</t>
        </is>
      </c>
      <c r="E39" t="inlineStr">
        <is>
          <t>2A44 203 mm</t>
        </is>
      </c>
      <c r="F39" t="inlineStr"/>
      <c r="G39" t="inlineStr"/>
      <c r="H39" t="inlineStr"/>
      <c r="I39" t="inlineStr"/>
      <c r="J39" t="inlineStr"/>
      <c r="K39" t="inlineStr"/>
      <c r="L39" t="inlineStr">
        <is>
          <t>nhịp chậm hơn 30 % và mạnh hơn tương ứng (luật súng của game)</t>
        </is>
      </c>
      <c r="M39" t="inlineStr">
        <is>
          <t>gameplay</t>
        </is>
      </c>
      <c r="N39" t="inlineStr"/>
      <c r="O39" t="inlineStr">
        <is>
          <t>da_kiem_chung</t>
        </is>
      </c>
      <c r="P39" t="inlineStr">
        <is>
          <t>R_balance;R_full_weapon_audit;W_wikipedia_2s7_pion;R_machine_brigade_can_bang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203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n">
        <v>2.5</v>
      </c>
      <c r="Y39" t="n">
        <v>1</v>
      </c>
      <c r="Z39" t="inlineStr">
        <is>
          <t>NEED_SOURCE</t>
        </is>
      </c>
      <c r="AA39" t="inlineStr">
        <is>
          <t>NEED_SOURCE</t>
        </is>
      </c>
      <c r="AB39" t="inlineStr"/>
      <c r="AC39" t="inlineStr">
        <is>
          <t>gun</t>
        </is>
      </c>
      <c r="AD39" t="inlineStr">
        <is>
          <t>Wikipedia '2S7 Pion': 1.5 rpm (2S7M Malka 2.5)</t>
        </is>
      </c>
      <c r="AE39" t="inlineStr">
        <is>
          <t>2A44 203 mm (2S7): 1,5–2,5 phát/phút</t>
        </is>
      </c>
      <c r="AF39" t="inlineStr">
        <is>
          <t>Tools/balance/full_weapon_audit.py: REAL / WARHEAD; balance.json weapons[id=boss_howitzer].real</t>
        </is>
      </c>
      <c r="AG39" t="inlineStr"/>
    </row>
    <row r="40">
      <c r="A40" t="inlineStr">
        <is>
          <t>boss_howitzer_guided</t>
        </is>
      </c>
      <c r="B40" t="inlineStr">
        <is>
          <t>boss_howitzer_guided</t>
        </is>
      </c>
      <c r="C40" t="inlineStr">
        <is>
          <t>2A44 203 mm guided</t>
        </is>
      </c>
      <c r="D40" t="inlineStr">
        <is>
          <t>doi_that</t>
        </is>
      </c>
      <c r="E40" t="inlineStr">
        <is>
          <t>2A44 203 mm guided</t>
        </is>
      </c>
      <c r="F40" t="inlineStr"/>
      <c r="G40" t="inlineStr"/>
      <c r="H40" t="inlineStr"/>
      <c r="I40" t="inlineStr"/>
      <c r="J40" t="inlineStr"/>
      <c r="K40" t="inlineStr"/>
      <c r="L40" t="inlineStr">
        <is>
          <t>nhịp chậm hơn 30 % và mạnh hơn tương ứng (luật súng của game)</t>
        </is>
      </c>
      <c r="M40" t="inlineStr">
        <is>
          <t>gameplay</t>
        </is>
      </c>
      <c r="N40" t="inlineStr"/>
      <c r="O40" t="inlineStr">
        <is>
          <t>da_kiem_chung</t>
        </is>
      </c>
      <c r="P40" t="inlineStr">
        <is>
          <t>R_balance;R_full_weapon_audit;W_wikipedia_2s7_pion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203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2.5</v>
      </c>
      <c r="Y40" t="n">
        <v>1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gun</t>
        </is>
      </c>
      <c r="AD40" t="inlineStr">
        <is>
          <t>Wikipedia '2S7 Pion': 1.5 rpm (2S7M Malka 2.5)</t>
        </is>
      </c>
      <c r="AE40" t="inlineStr"/>
      <c r="AF40" t="inlineStr">
        <is>
          <t>Tools/balance/full_weapon_audit.py: REAL / WARHEAD; balance.json weapons[id=boss_howitzer_guided].real</t>
        </is>
      </c>
      <c r="AG40" t="inlineStr"/>
    </row>
    <row r="41">
      <c r="A41" t="inlineStr">
        <is>
          <t>boss_minigun</t>
        </is>
      </c>
      <c r="B41" t="inlineStr">
        <is>
          <t>boss_minigun</t>
        </is>
      </c>
      <c r="C41" t="inlineStr">
        <is>
          <t>GShG 7.62 mm</t>
        </is>
      </c>
      <c r="D41" t="inlineStr">
        <is>
          <t>doi_that</t>
        </is>
      </c>
      <c r="E41" t="inlineStr">
        <is>
          <t>GShG 7.62 mm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R_balance;R_full_weapon_audit;W_wikipedia_gshg_7_62;R_machine_brigade_can_bang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7.62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6000</v>
      </c>
      <c r="Y41" t="inlineStr">
        <is>
          <t>NEED_SOURCE</t>
        </is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mg</t>
        </is>
      </c>
      <c r="AD41" t="inlineStr">
        <is>
          <t>Wikipedia 'GShG-7.62': 3,500 / 6,000 rpm</t>
        </is>
      </c>
      <c r="AE41" t="inlineStr">
        <is>
          <t>GShG: ~6.000</t>
        </is>
      </c>
      <c r="AF41" t="inlineStr">
        <is>
          <t>Tools/balance/full_weapon_audit.py: REAL / WARHEAD; balance.json weapons[id=boss_minigun].real</t>
        </is>
      </c>
      <c r="AG41" t="inlineStr"/>
    </row>
    <row r="42">
      <c r="A42" t="inlineStr">
        <is>
          <t>boss_missiles</t>
        </is>
      </c>
      <c r="B42" t="inlineStr">
        <is>
          <t>boss_missiles</t>
        </is>
      </c>
      <c r="C42" t="inlineStr">
        <is>
          <t>9M133 Kornet</t>
        </is>
      </c>
      <c r="D42" t="inlineStr">
        <is>
          <t>doi_that</t>
        </is>
      </c>
      <c r="E42" t="inlineStr">
        <is>
          <t>9M133 Kornet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R_balance;R_full_weapon_audit;W_wikipedia_9m133_kornet;W_wikipedia_bai_cua_tung_ten_lua_bang_warhead;R_machine_brigade_can_bang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3</v>
      </c>
      <c r="Y42" t="n">
        <v>3</v>
      </c>
      <c r="Z42" t="inlineStr">
        <is>
          <t>NEED_SOURCE</t>
        </is>
      </c>
      <c r="AA42" t="inlineStr">
        <is>
          <t>NEED_SOURCE</t>
        </is>
      </c>
      <c r="AB42" t="n">
        <v>7</v>
      </c>
      <c r="AC42" t="inlineStr">
        <is>
          <t>atgm</t>
        </is>
      </c>
      <c r="AD42" t="inlineStr">
        <is>
          <t>Wikipedia '9M133 Kornet': 2-3 rpm</t>
        </is>
      </c>
      <c r="AE42" t="inlineStr">
        <is>
          <t>Kornet</t>
        </is>
      </c>
      <c r="AF42" t="inlineStr">
        <is>
          <t>Tools/balance/full_weapon_audit.py: REAL / WARHEAD; balance.json weapons[id=boss_missiles].real</t>
        </is>
      </c>
      <c r="AG42" t="inlineStr"/>
    </row>
    <row r="43">
      <c r="A43" t="inlineStr">
        <is>
          <t>boss_mortar</t>
        </is>
      </c>
      <c r="B43" t="inlineStr">
        <is>
          <t>boss_mortar</t>
        </is>
      </c>
      <c r="C43" t="inlineStr">
        <is>
          <t>2B8 240 mm</t>
        </is>
      </c>
      <c r="D43" t="inlineStr">
        <is>
          <t>doi_that</t>
        </is>
      </c>
      <c r="E43" t="inlineStr">
        <is>
          <t>2B8 240 mm</t>
        </is>
      </c>
      <c r="F43" t="inlineStr"/>
      <c r="G43" t="inlineStr"/>
      <c r="H43" t="inlineStr"/>
      <c r="I43" t="inlineStr"/>
      <c r="J43" t="inlineStr"/>
      <c r="K43" t="inlineStr"/>
      <c r="L43" t="inlineStr">
        <is>
          <t>nhịp chậm hơn 30 % và mạnh hơn tương ứng (luật súng của game)</t>
        </is>
      </c>
      <c r="M43" t="inlineStr">
        <is>
          <t>gameplay</t>
        </is>
      </c>
      <c r="N43" t="inlineStr"/>
      <c r="O43" t="inlineStr">
        <is>
          <t>da_kiem_chung</t>
        </is>
      </c>
      <c r="P43" t="inlineStr">
        <is>
          <t>R_balance;R_full_weapon_audit;W_wikipedia_2s4_tyulpan;R_machine_brigade_can_bang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240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1</v>
      </c>
      <c r="Y43" t="n">
        <v>1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gun</t>
        </is>
      </c>
      <c r="AD43" t="inlineStr">
        <is>
          <t>Wikipedia '2S4 Tyulpan': ~1 rpm</t>
        </is>
      </c>
      <c r="AE43" t="inlineStr">
        <is>
          <t>2B8 240 mm: ~1 phát/phút</t>
        </is>
      </c>
      <c r="AF43" t="inlineStr">
        <is>
          <t>Tools/balance/full_weapon_audit.py: REAL / WARHEAD; balance.json weapons[id=boss_mortar].real</t>
        </is>
      </c>
      <c r="AG43" t="inlineStr"/>
    </row>
    <row r="44">
      <c r="A44" t="inlineStr">
        <is>
          <t>boss_railgun</t>
        </is>
      </c>
      <c r="B44" t="inlineStr">
        <is>
          <t>boss_railgun</t>
        </is>
      </c>
      <c r="C44" t="inlineStr">
        <is>
          <t>railgun (64 MJ)</t>
        </is>
      </c>
      <c r="D44" t="inlineStr">
        <is>
          <t>doi_that</t>
        </is>
      </c>
      <c r="E44" t="inlineStr">
        <is>
          <t>railgun (64 MJ)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ban_dau_doan</t>
        </is>
      </c>
      <c r="P44" t="inlineStr">
        <is>
          <t>R_balance;R_machine_brigade_can_bang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inlineStr">
        <is>
          <t>NEED_SOURCE</t>
        </is>
      </c>
      <c r="Y44" t="inlineStr">
        <is>
          <t>NEED_SOURCE</t>
        </is>
      </c>
      <c r="Z44" t="inlineStr">
        <is>
          <t>NEED_SOURCE</t>
        </is>
      </c>
      <c r="AA44" t="inlineStr">
        <is>
          <t>NEED_SOURCE</t>
        </is>
      </c>
      <c r="AB44" t="inlineStr"/>
      <c r="AC44" t="inlineStr"/>
      <c r="AD44" t="inlineStr"/>
      <c r="AE44" t="inlineStr">
        <is>
          <t>railgun 64 MJ (giả tưởng)</t>
        </is>
      </c>
      <c r="AF44" t="inlineStr">
        <is>
          <t>Tools/balance/full_weapon_audit.py: REAL / WARHEAD; balance.json weapons[id=boss_railgun].real</t>
        </is>
      </c>
      <c r="AG44" t="inlineStr"/>
    </row>
    <row r="45">
      <c r="A45" t="inlineStr">
        <is>
          <t>boss_rockets</t>
        </is>
      </c>
      <c r="B45" t="inlineStr">
        <is>
          <t>boss_rockets</t>
        </is>
      </c>
      <c r="C45" t="inlineStr">
        <is>
          <t>BM-21 Grad 122 mm</t>
        </is>
      </c>
      <c r="D45" t="inlineStr">
        <is>
          <t>doi_that</t>
        </is>
      </c>
      <c r="E45" t="inlineStr">
        <is>
          <t>BM-21 Grad 122 mm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da_kiem_chung</t>
        </is>
      </c>
      <c r="P45" t="inlineStr">
        <is>
          <t>R_balance;R_full_weapon_audit;W_wikipedia_bm_21_grad;R_machine_brigade_can_bang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122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120</v>
      </c>
      <c r="Y45" t="inlineStr">
        <is>
          <t>NEED_SOURCE</t>
        </is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rocket</t>
        </is>
      </c>
      <c r="AD45" t="inlineStr">
        <is>
          <t>Wikipedia 'BM-21 Grad': 40 rockets in 20 s</t>
        </is>
      </c>
      <c r="AE45" t="inlineStr">
        <is>
          <t>BM-21</t>
        </is>
      </c>
      <c r="AF45" t="inlineStr">
        <is>
          <t>Tools/balance/full_weapon_audit.py: REAL / WARHEAD; balance.json weapons[id=boss_rockets].real</t>
        </is>
      </c>
      <c r="AG45" t="inlineStr"/>
    </row>
    <row r="46">
      <c r="A46" t="inlineStr">
        <is>
          <t>boss_thermo</t>
        </is>
      </c>
      <c r="B46" t="inlineStr">
        <is>
          <t>boss_thermo</t>
        </is>
      </c>
      <c r="C46" t="inlineStr">
        <is>
          <t>2A46M 125 mm, 3VOF128 thermobaric</t>
        </is>
      </c>
      <c r="D46" t="inlineStr">
        <is>
          <t>doi_that</t>
        </is>
      </c>
      <c r="E46" t="inlineStr">
        <is>
          <t>2A46M 125 mm, 3VOF128 thermobaric</t>
        </is>
      </c>
      <c r="F46" t="inlineStr"/>
      <c r="G46" t="inlineStr"/>
      <c r="H46" t="inlineStr"/>
      <c r="I46" t="inlineStr"/>
      <c r="J46" t="inlineStr"/>
      <c r="K46" t="inlineStr"/>
      <c r="L46" t="inlineStr">
        <is>
          <t>nhịp chậm hơn 30 % và mạnh hơn tương ứng (luật súng của game)</t>
        </is>
      </c>
      <c r="M46" t="inlineStr">
        <is>
          <t>gameplay</t>
        </is>
      </c>
      <c r="N46" t="inlineStr"/>
      <c r="O46" t="inlineStr">
        <is>
          <t>da_kiem_chung</t>
        </is>
      </c>
      <c r="P46" t="inlineStr">
        <is>
          <t>R_balance;R_full_weapon_audit;W_wikipedia_2a46;R_machine_brigade_can_bang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125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8</v>
      </c>
      <c r="Y46" t="n">
        <v>7</v>
      </c>
      <c r="Z46" t="inlineStr">
        <is>
          <t>tu_dong</t>
        </is>
      </c>
      <c r="AA46" t="inlineStr">
        <is>
          <t>NEED_SOURCE</t>
        </is>
      </c>
      <c r="AB46" t="inlineStr"/>
      <c r="AC46" t="inlineStr">
        <is>
          <t>gun</t>
        </is>
      </c>
      <c r="AD46" t="inlineStr">
        <is>
          <t>Wikipedia '2A46': 7-8 rpm with the autoloader</t>
        </is>
      </c>
      <c r="AE46" t="inlineStr">
        <is>
          <t>TOS-1A</t>
        </is>
      </c>
      <c r="AF46" t="inlineStr">
        <is>
          <t>Tools/balance/full_weapon_audit.py: REAL / WARHEAD; balance.json weapons[id=boss_thermo].real</t>
        </is>
      </c>
      <c r="AG46" t="inlineStr"/>
    </row>
    <row r="47">
      <c r="A47" t="inlineStr">
        <is>
          <t>buk_launcher</t>
        </is>
      </c>
      <c r="B47" t="inlineStr">
        <is>
          <t>buk_launcher</t>
        </is>
      </c>
      <c r="C47" t="inlineStr">
        <is>
          <t>9M317 Buk</t>
        </is>
      </c>
      <c r="D47" t="inlineStr">
        <is>
          <t>doi_that</t>
        </is>
      </c>
      <c r="E47" t="inlineStr">
        <is>
          <t>9M317 Buk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R_balance;R_full_weapon_audit;W_wikipedia_buk_missile_system;R_machine_brigade_can_bang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15</v>
      </c>
      <c r="Y47" t="n">
        <v>15</v>
      </c>
      <c r="Z47" t="inlineStr">
        <is>
          <t>NEED_SOURCE</t>
        </is>
      </c>
      <c r="AA47" t="inlineStr">
        <is>
          <t>NEED_SOURCE</t>
        </is>
      </c>
      <c r="AB47" t="inlineStr">
        <is>
          <t>NEED_SOURCE</t>
        </is>
      </c>
      <c r="AC47" t="inlineStr">
        <is>
          <t>missile</t>
        </is>
      </c>
      <c r="AD47" t="inlineStr">
        <is>
          <t>Wikipedia 'Buk missile system': 4 s between launches</t>
        </is>
      </c>
      <c r="AE47" t="inlineStr">
        <is>
          <t>9M317 Buk: 50 km, Mach 4</t>
        </is>
      </c>
      <c r="AF47" t="inlineStr">
        <is>
          <t>Tools/balance/full_weapon_audit.py: REAL / WARHEAD; balance.json weapons[id=buk_launcher].real</t>
        </is>
      </c>
      <c r="AG47" t="inlineStr"/>
    </row>
    <row r="48">
      <c r="A48" t="inlineStr">
        <is>
          <t>bunker_flame</t>
        </is>
      </c>
      <c r="B48" t="inlineStr">
        <is>
          <t>bunker_flame</t>
        </is>
      </c>
      <c r="C48" t="inlineStr">
        <is>
          <t>flamethrower (bunker)</t>
        </is>
      </c>
      <c r="D48" t="inlineStr">
        <is>
          <t>doi_that</t>
        </is>
      </c>
      <c r="E48" t="inlineStr">
        <is>
          <t>flamethrower (bunker)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ban_dau_doan</t>
        </is>
      </c>
      <c r="P48" t="inlineStr">
        <is>
          <t>R_balance;R_machine_brigade_can_bang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inlineStr">
        <is>
          <t>NEED_SOURCE</t>
        </is>
      </c>
      <c r="Y48" t="inlineStr">
        <is>
          <t>NEED_SOURCE</t>
        </is>
      </c>
      <c r="Z48" t="inlineStr">
        <is>
          <t>NEED_SOURCE</t>
        </is>
      </c>
      <c r="AA48" t="inlineStr">
        <is>
          <t>NEED_SOURCE</t>
        </is>
      </c>
      <c r="AB48" t="inlineStr"/>
      <c r="AC48" t="inlineStr"/>
      <c r="AD48" t="inlineStr"/>
      <c r="AE48" t="inlineStr">
        <is>
          <t>phun lửa</t>
        </is>
      </c>
      <c r="AF48" t="inlineStr">
        <is>
          <t>Tools/balance/full_weapon_audit.py: REAL / WARHEAD; balance.json weapons[id=bunker_flame].real</t>
        </is>
      </c>
      <c r="AG48" t="inlineStr"/>
    </row>
    <row r="49">
      <c r="A49" t="inlineStr">
        <is>
          <t>bunker_hmg</t>
        </is>
      </c>
      <c r="B49" t="inlineStr">
        <is>
          <t>bunker_hmg</t>
        </is>
      </c>
      <c r="C49" t="inlineStr">
        <is>
          <t>NSV 12.7 mm</t>
        </is>
      </c>
      <c r="D49" t="inlineStr">
        <is>
          <t>doi_that</t>
        </is>
      </c>
      <c r="E49" t="inlineStr">
        <is>
          <t>NSV 12.7 mm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da_kiem_chung</t>
        </is>
      </c>
      <c r="P49" t="inlineStr">
        <is>
          <t>R_balance;R_full_weapon_audit;W_wikipedia_nsv_machine_gun;R_machine_brigade_can_bang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n">
        <v>12.7</v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n">
        <v>800</v>
      </c>
      <c r="Y49" t="n">
        <v>100</v>
      </c>
      <c r="Z49" t="inlineStr">
        <is>
          <t>NEED_SOURCE</t>
        </is>
      </c>
      <c r="AA49" t="inlineStr">
        <is>
          <t>NEED_SOURCE</t>
        </is>
      </c>
      <c r="AB49" t="inlineStr"/>
      <c r="AC49" t="inlineStr">
        <is>
          <t>mg</t>
        </is>
      </c>
      <c r="AD49" t="inlineStr">
        <is>
          <t>Wikipedia 'NSV machine gun': 700-800 cyclic, 100 practical</t>
        </is>
      </c>
      <c r="AE49" t="inlineStr">
        <is>
          <t>NSV: 700–800</t>
        </is>
      </c>
      <c r="AF49" t="inlineStr">
        <is>
          <t>Tools/balance/full_weapon_audit.py: REAL / WARHEAD; balance.json weapons[id=bunker_hmg].real</t>
        </is>
      </c>
      <c r="AG49" t="inlineStr"/>
    </row>
    <row r="50">
      <c r="A50" t="inlineStr">
        <is>
          <t>bunker_hmg_api</t>
        </is>
      </c>
      <c r="B50" t="inlineStr">
        <is>
          <t>bunker_hmg_api</t>
        </is>
      </c>
      <c r="C50" t="inlineStr">
        <is>
          <t>NSV 12.7 mm API</t>
        </is>
      </c>
      <c r="D50" t="inlineStr">
        <is>
          <t>doi_that</t>
        </is>
      </c>
      <c r="E50" t="inlineStr">
        <is>
          <t>NSV 12.7 mm API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R_balance;R_full_weapon_audit;W_wikipedia_nsv_machine_gun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12.7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800</v>
      </c>
      <c r="Y50" t="n">
        <v>100</v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mg</t>
        </is>
      </c>
      <c r="AD50" t="inlineStr">
        <is>
          <t>Wikipedia 'NSV machine gun': 700-800 cyclic, 100 practical</t>
        </is>
      </c>
      <c r="AE50" t="inlineStr"/>
      <c r="AF50" t="inlineStr">
        <is>
          <t>Tools/balance/full_weapon_audit.py: REAL / WARHEAD; balance.json weapons[id=bunker_hmg_api].real</t>
        </is>
      </c>
      <c r="AG50" t="inlineStr"/>
    </row>
    <row r="51">
      <c r="A51" t="inlineStr">
        <is>
          <t>bunker_hmg_twin</t>
        </is>
      </c>
      <c r="B51" t="inlineStr">
        <is>
          <t>bunker_hmg_twin</t>
        </is>
      </c>
      <c r="C51" t="inlineStr">
        <is>
          <t>NSV 12.7 mm (twin)</t>
        </is>
      </c>
      <c r="D51" t="inlineStr">
        <is>
          <t>doi_that</t>
        </is>
      </c>
      <c r="E51" t="inlineStr">
        <is>
          <t>NSV 12.7 mm (twin)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R_balance;R_full_weapon_audit;W_wikipedia_nsv_machine_gun;R_machine_brigade_can_bang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12.7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800</v>
      </c>
      <c r="Y51" t="n">
        <v>100</v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mg</t>
        </is>
      </c>
      <c r="AD51" t="inlineStr">
        <is>
          <t>Wikipedia 'NSV machine gun': 700-800 cyclic, 100 practical</t>
        </is>
      </c>
      <c r="AE51" t="inlineStr">
        <is>
          <t>NSV đôi</t>
        </is>
      </c>
      <c r="AF51" t="inlineStr">
        <is>
          <t>Tools/balance/full_weapon_audit.py: REAL / WARHEAD; balance.json weapons[id=bunker_hmg_twin].real</t>
        </is>
      </c>
      <c r="AG51" t="inlineStr"/>
    </row>
    <row r="52">
      <c r="A52" t="inlineStr">
        <is>
          <t>bunker_hmg_twin_api</t>
        </is>
      </c>
      <c r="B52" t="inlineStr">
        <is>
          <t>bunker_hmg_twin_api</t>
        </is>
      </c>
      <c r="C52" t="inlineStr">
        <is>
          <t>NSV 12.7 mm API (twin)</t>
        </is>
      </c>
      <c r="D52" t="inlineStr">
        <is>
          <t>doi_that</t>
        </is>
      </c>
      <c r="E52" t="inlineStr">
        <is>
          <t>NSV 12.7 mm API (twin)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R_balance;R_full_weapon_audit;W_wikipedia_nsv_machine_gun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800</v>
      </c>
      <c r="Y52" t="n">
        <v>100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'NSV machine gun': 700-800 cyclic, 100 practical</t>
        </is>
      </c>
      <c r="AE52" t="inlineStr"/>
      <c r="AF52" t="inlineStr">
        <is>
          <t>Tools/balance/full_weapon_audit.py: REAL / WARHEAD; balance.json weapons[id=bunker_hmg_twin_api].real</t>
        </is>
      </c>
      <c r="AG52" t="inlineStr"/>
    </row>
    <row r="53">
      <c r="A53" t="inlineStr">
        <is>
          <t>bunker_pkm</t>
        </is>
      </c>
      <c r="B53" t="inlineStr">
        <is>
          <t>bunker_pkm</t>
        </is>
      </c>
      <c r="C53" t="inlineStr">
        <is>
          <t>PKM 7.62 mm (bunker embrasure)</t>
        </is>
      </c>
      <c r="D53" t="inlineStr">
        <is>
          <t>doi_that</t>
        </is>
      </c>
      <c r="E53" t="inlineStr">
        <is>
          <t>PKM 7.62 mm (bunker embrasure)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ban_dau_doan</t>
        </is>
      </c>
      <c r="P53" t="inlineStr">
        <is>
          <t>R_balance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7.62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inlineStr">
        <is>
          <t>NEED_SOURCE</t>
        </is>
      </c>
      <c r="Y53" t="inlineStr">
        <is>
          <t>NEED_SOURCE</t>
        </is>
      </c>
      <c r="Z53" t="inlineStr">
        <is>
          <t>NEED_SOURCE</t>
        </is>
      </c>
      <c r="AA53" t="inlineStr">
        <is>
          <t>NEED_SOURCE</t>
        </is>
      </c>
      <c r="AB53" t="inlineStr"/>
      <c r="AC53" t="inlineStr"/>
      <c r="AD53" t="inlineStr"/>
      <c r="AE53" t="inlineStr"/>
      <c r="AF53" t="inlineStr">
        <is>
          <t>Tools/balance/full_weapon_audit.py: REAL / WARHEAD; balance.json weapons[id=bunker_pkm].real</t>
        </is>
      </c>
      <c r="AG53" t="inlineStr"/>
    </row>
    <row r="54">
      <c r="A54" t="inlineStr">
        <is>
          <t>c_ram_gatling</t>
        </is>
      </c>
      <c r="B54" t="inlineStr">
        <is>
          <t>c_ram_gatling</t>
        </is>
      </c>
      <c r="C54" t="inlineStr">
        <is>
          <t>Phalanx M61 20 mm</t>
        </is>
      </c>
      <c r="D54" t="inlineStr">
        <is>
          <t>doi_that</t>
        </is>
      </c>
      <c r="E54" t="inlineStr">
        <is>
          <t>Phalanx M61 20 mm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da_kiem_chung</t>
        </is>
      </c>
      <c r="P54" t="inlineStr">
        <is>
          <t>R_balance;R_full_weapon_audit;W_wikipedia_phalanx_ciws;R_machine_brigade_can_bang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20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4500</v>
      </c>
      <c r="Y54" t="inlineStr">
        <is>
          <t>NEED_SOURCE</t>
        </is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aa</t>
        </is>
      </c>
      <c r="AD54" t="inlineStr">
        <is>
          <t>Wikipedia 'Phalanx CIWS': 4,500 rpm (C-RAM)</t>
        </is>
      </c>
      <c r="AE54" t="inlineStr">
        <is>
          <t>Phalanx 20 mm: 4.500 phát/phút; tầm hiệu quả ~1,5 km</t>
        </is>
      </c>
      <c r="AF54" t="inlineStr">
        <is>
          <t>Tools/balance/full_weapon_audit.py: REAL / WARHEAD; balance.json weapons[id=c_ram_gatling].real</t>
        </is>
      </c>
      <c r="AG54" t="inlineStr"/>
    </row>
    <row r="55">
      <c r="A55" t="inlineStr">
        <is>
          <t>casemate_155</t>
        </is>
      </c>
      <c r="B55" t="inlineStr">
        <is>
          <t>casemate_155</t>
        </is>
      </c>
      <c r="C55" t="inlineStr">
        <is>
          <t>M284 155 mm (casemate)</t>
        </is>
      </c>
      <c r="D55" t="inlineStr">
        <is>
          <t>doi_that</t>
        </is>
      </c>
      <c r="E55" t="inlineStr">
        <is>
          <t>M284 155 mm (casemate)</t>
        </is>
      </c>
      <c r="F55" t="inlineStr"/>
      <c r="G55" t="inlineStr"/>
      <c r="H55" t="inlineStr"/>
      <c r="I55" t="inlineStr"/>
      <c r="J55" t="inlineStr"/>
      <c r="K55" t="inlineStr"/>
      <c r="L55" t="inlineStr">
        <is>
          <t>nhịp chậm hơn 30 % và mạnh hơn tương ứng (luật súng của game)</t>
        </is>
      </c>
      <c r="M55" t="inlineStr">
        <is>
          <t>gameplay</t>
        </is>
      </c>
      <c r="N55" t="inlineStr"/>
      <c r="O55" t="inlineStr">
        <is>
          <t>da_kiem_chung</t>
        </is>
      </c>
      <c r="P55" t="inlineStr">
        <is>
          <t>R_balance;R_full_weapon_audit;D_us_army_m109a7_fact_file;R_machine_brigade_can_bang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155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4</v>
      </c>
      <c r="Y55" t="n">
        <v>1</v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gun</t>
        </is>
      </c>
      <c r="AD55" t="inlineStr">
        <is>
          <t>US Army M109A7 fact file: 4 rpm for 3 min, 1 rpm sustained</t>
        </is>
      </c>
      <c r="AE55" t="inlineStr">
        <is>
          <t>M284 155 mm</t>
        </is>
      </c>
      <c r="AF55" t="inlineStr">
        <is>
          <t>Tools/balance/full_weapon_audit.py: REAL / WARHEAD; balance.json weapons[id=casemate_155].real</t>
        </is>
      </c>
      <c r="AG55" t="inlineStr"/>
    </row>
    <row r="56">
      <c r="A56" t="inlineStr">
        <is>
          <t>casemate_155_guided</t>
        </is>
      </c>
      <c r="B56" t="inlineStr">
        <is>
          <t>casemate_155_guided</t>
        </is>
      </c>
      <c r="C56" t="inlineStr">
        <is>
          <t>M284 155 mm guided (casemate)</t>
        </is>
      </c>
      <c r="D56" t="inlineStr">
        <is>
          <t>doi_that</t>
        </is>
      </c>
      <c r="E56" t="inlineStr">
        <is>
          <t>M284 155 mm guided (casemate)</t>
        </is>
      </c>
      <c r="F56" t="inlineStr"/>
      <c r="G56" t="inlineStr"/>
      <c r="H56" t="inlineStr"/>
      <c r="I56" t="inlineStr"/>
      <c r="J56" t="inlineStr"/>
      <c r="K56" t="inlineStr"/>
      <c r="L56" t="inlineStr">
        <is>
          <t>nhịp chậm hơn 30 % và mạnh hơn tương ứng (luật súng của game)</t>
        </is>
      </c>
      <c r="M56" t="inlineStr">
        <is>
          <t>gameplay</t>
        </is>
      </c>
      <c r="N56" t="inlineStr"/>
      <c r="O56" t="inlineStr">
        <is>
          <t>da_kiem_chung</t>
        </is>
      </c>
      <c r="P56" t="inlineStr">
        <is>
          <t>R_balance;R_full_weapon_audit;D_us_army_m109a7_fact_file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155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4</v>
      </c>
      <c r="Y56" t="n">
        <v>1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gun</t>
        </is>
      </c>
      <c r="AD56" t="inlineStr">
        <is>
          <t>US Army M109A7 fact file: 4 rpm for 3 min, 1 rpm sustained</t>
        </is>
      </c>
      <c r="AE56" t="inlineStr"/>
      <c r="AF56" t="inlineStr">
        <is>
          <t>Tools/balance/full_weapon_audit.py: REAL / WARHEAD; balance.json weapons[id=casemate_155_guided].real</t>
        </is>
      </c>
      <c r="AG56" t="inlineStr"/>
    </row>
    <row r="57">
      <c r="A57" t="inlineStr">
        <is>
          <t>ciws_aa</t>
        </is>
      </c>
      <c r="B57" t="inlineStr">
        <is>
          <t>ciws_aa</t>
        </is>
      </c>
      <c r="C57" t="inlineStr">
        <is>
          <t>AK-630 30 mm</t>
        </is>
      </c>
      <c r="D57" t="inlineStr">
        <is>
          <t>doi_that</t>
        </is>
      </c>
      <c r="E57" t="inlineStr">
        <is>
          <t>AK-630 30 mm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R_balance;R_full_weapon_audit;W_wikipedia_ak_630;R_machine_brigade_can_bang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30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5000</v>
      </c>
      <c r="Y57" t="n">
        <v>1000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aa</t>
        </is>
      </c>
      <c r="AD57" t="inlineStr">
        <is>
          <t>Wikipedia 'AK-630': 4,000-5,000 rpm, 2,000-round belt</t>
        </is>
      </c>
      <c r="AE57" t="inlineStr">
        <is>
          <t>AK-630: 4.000–5.000 phát/phút, băng 2.000 viên</t>
        </is>
      </c>
      <c r="AF57" t="inlineStr">
        <is>
          <t>Tools/balance/full_weapon_audit.py: REAL / WARHEAD; balance.json weapons[id=ciws_aa].real</t>
        </is>
      </c>
      <c r="AG57" t="inlineStr"/>
    </row>
    <row r="58">
      <c r="A58" t="inlineStr">
        <is>
          <t>ciws_aa_flak</t>
        </is>
      </c>
      <c r="B58" t="inlineStr">
        <is>
          <t>ciws_aa_flak</t>
        </is>
      </c>
      <c r="C58" t="inlineStr">
        <is>
          <t>AK-630 30 mm air-burst</t>
        </is>
      </c>
      <c r="D58" t="inlineStr">
        <is>
          <t>doi_that</t>
        </is>
      </c>
      <c r="E58" t="inlineStr">
        <is>
          <t>AK-630 30 mm air-burst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da_kiem_chung</t>
        </is>
      </c>
      <c r="P58" t="inlineStr">
        <is>
          <t>R_balance;R_full_weapon_audit;W_wikipedia_ak_630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30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5000</v>
      </c>
      <c r="Y58" t="n">
        <v>1000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aa</t>
        </is>
      </c>
      <c r="AD58" t="inlineStr">
        <is>
          <t>Wikipedia 'AK-630': 4,000-5,000 rpm, 2,000-round belt</t>
        </is>
      </c>
      <c r="AE58" t="inlineStr"/>
      <c r="AF58" t="inlineStr">
        <is>
          <t>Tools/balance/full_weapon_audit.py: REAL / WARHEAD; balance.json weapons[id=ciws_aa_flak].real</t>
        </is>
      </c>
      <c r="AG58" t="inlineStr"/>
    </row>
    <row r="59">
      <c r="A59" t="inlineStr">
        <is>
          <t>coilgun</t>
        </is>
      </c>
      <c r="B59" t="inlineStr">
        <is>
          <t>coilgun</t>
        </is>
      </c>
      <c r="C59" t="inlineStr">
        <is>
          <t>coilgun (10 MJ)</t>
        </is>
      </c>
      <c r="D59" t="inlineStr">
        <is>
          <t>doi_that</t>
        </is>
      </c>
      <c r="E59" t="inlineStr">
        <is>
          <t>coilgun (10 MJ)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ban_dau_doan</t>
        </is>
      </c>
      <c r="P59" t="inlineStr">
        <is>
          <t>R_balance;R_machine_brigade_can_bang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inlineStr">
        <is>
          <t>NEED_SOURCE</t>
        </is>
      </c>
      <c r="Y59" t="inlineStr">
        <is>
          <t>NEED_SOURCE</t>
        </is>
      </c>
      <c r="Z59" t="inlineStr">
        <is>
          <t>NEED_SOURCE</t>
        </is>
      </c>
      <c r="AA59" t="inlineStr">
        <is>
          <t>NEED_SOURCE</t>
        </is>
      </c>
      <c r="AB59" t="inlineStr"/>
      <c r="AC59" t="inlineStr"/>
      <c r="AD59" t="inlineStr"/>
      <c r="AE59" t="inlineStr">
        <is>
          <t>coilgun (giả tưởng)</t>
        </is>
      </c>
      <c r="AF59" t="inlineStr">
        <is>
          <t>Tools/balance/full_weapon_audit.py: REAL / WARHEAD; balance.json weapons[id=coilgun].real</t>
        </is>
      </c>
      <c r="AG59" t="inlineStr"/>
    </row>
    <row r="60">
      <c r="A60" t="inlineStr">
        <is>
          <t>cruise_missile_ground</t>
        </is>
      </c>
      <c r="B60" t="inlineStr">
        <is>
          <t>cruise_missile_ground</t>
        </is>
      </c>
      <c r="C60" t="inlineStr">
        <is>
          <t>Typhon MRC (ground-launched Tomahawk)</t>
        </is>
      </c>
      <c r="D60" t="inlineStr">
        <is>
          <t>doi_that</t>
        </is>
      </c>
      <c r="E60" t="inlineStr">
        <is>
          <t>Typhon MRC (ground-launched Tomahawk)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uoc_dinh</t>
        </is>
      </c>
      <c r="P60" t="inlineStr">
        <is>
          <t>R_balance;R_full_weapon_audit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20</v>
      </c>
      <c r="Y60" t="n">
        <v>6</v>
      </c>
      <c r="Z60" t="inlineStr">
        <is>
          <t>NEED_SOURCE</t>
        </is>
      </c>
      <c r="AA60" t="inlineStr">
        <is>
          <t>NEED_SOURCE</t>
        </is>
      </c>
      <c r="AB60" t="inlineStr">
        <is>
          <t>NEED_SOURCE</t>
        </is>
      </c>
      <c r="AC60" t="inlineStr">
        <is>
          <t>missile</t>
        </is>
      </c>
      <c r="AD60" t="inlineStr">
        <is>
          <t>cruise missiles: ~3 s between launches (est.)</t>
        </is>
      </c>
      <c r="AE60" t="inlineStr"/>
      <c r="AF60" t="inlineStr">
        <is>
          <t>Tools/balance/full_weapon_audit.py: REAL / WARHEAD; balance.json weapons[id=cruise_missile_ground].real</t>
        </is>
      </c>
      <c r="AG60" t="inlineStr"/>
    </row>
    <row r="61">
      <c r="A61" t="inlineStr">
        <is>
          <t>cruiser_203</t>
        </is>
      </c>
      <c r="B61" t="inlineStr">
        <is>
          <t>cruiser_203</t>
        </is>
      </c>
      <c r="C61" t="inlineStr">
        <is>
          <t>Mk 71 203 mm (twin)</t>
        </is>
      </c>
      <c r="D61" t="inlineStr">
        <is>
          <t>doi_that</t>
        </is>
      </c>
      <c r="E61" t="inlineStr">
        <is>
          <t>Mk 71 203 mm (twin)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R_balance;R_full_weapon_audit;W_wikipedia_8_55_caliber_mark_71;R_machine_brigade_can_bang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203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12</v>
      </c>
      <c r="Y61" t="n">
        <v>12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'8"/55 caliber Mark 71': 12 rpm</t>
        </is>
      </c>
      <c r="AE61" t="inlineStr">
        <is>
          <t>Mk 71 203 mm: 12 phát/phút</t>
        </is>
      </c>
      <c r="AF61" t="inlineStr">
        <is>
          <t>Tools/balance/full_weapon_audit.py: REAL / WARHEAD; balance.json weapons[id=cruiser_203].real</t>
        </is>
      </c>
      <c r="AG61" t="inlineStr"/>
    </row>
    <row r="62">
      <c r="A62" t="inlineStr">
        <is>
          <t>cruiser_203_guided</t>
        </is>
      </c>
      <c r="B62" t="inlineStr">
        <is>
          <t>cruiser_203_guided</t>
        </is>
      </c>
      <c r="C62" t="inlineStr">
        <is>
          <t>Mk 71 203 mm guided (twin)</t>
        </is>
      </c>
      <c r="D62" t="inlineStr">
        <is>
          <t>doi_that</t>
        </is>
      </c>
      <c r="E62" t="inlineStr">
        <is>
          <t>Mk 71 203 mm guided (twin)</t>
        </is>
      </c>
      <c r="F62" t="inlineStr"/>
      <c r="G62" t="inlineStr"/>
      <c r="H62" t="inlineStr"/>
      <c r="I62" t="inlineStr"/>
      <c r="J62" t="inlineStr"/>
      <c r="K62" t="inlineStr"/>
      <c r="L62" t="inlineStr">
        <is>
          <t>nhịp chậm hơn 30 % và mạnh hơn tương ứng (luật súng của game)</t>
        </is>
      </c>
      <c r="M62" t="inlineStr">
        <is>
          <t>gameplay</t>
        </is>
      </c>
      <c r="N62" t="inlineStr"/>
      <c r="O62" t="inlineStr">
        <is>
          <t>da_kiem_chung</t>
        </is>
      </c>
      <c r="P62" t="inlineStr">
        <is>
          <t>R_balance;R_full_weapon_audit;W_wikipedia_8_55_caliber_mark_71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n">
        <v>203</v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12</v>
      </c>
      <c r="Y62" t="n">
        <v>12</v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gun</t>
        </is>
      </c>
      <c r="AD62" t="inlineStr">
        <is>
          <t>Wikipedia '8"/55 caliber Mark 71': 12 rpm</t>
        </is>
      </c>
      <c r="AE62" t="inlineStr"/>
      <c r="AF62" t="inlineStr">
        <is>
          <t>Tools/balance/full_weapon_audit.py: REAL / WARHEAD; balance.json weapons[id=cruiser_203_guided].real</t>
        </is>
      </c>
      <c r="AG62" t="inlineStr"/>
    </row>
    <row r="63">
      <c r="A63" t="inlineStr">
        <is>
          <t>detonator</t>
        </is>
      </c>
      <c r="B63" t="inlineStr">
        <is>
          <t>detonator</t>
        </is>
      </c>
      <c r="C63" t="inlineStr">
        <is>
          <t>car bomb (900 kg)</t>
        </is>
      </c>
      <c r="D63" t="inlineStr">
        <is>
          <t>doi_that</t>
        </is>
      </c>
      <c r="E63" t="inlineStr">
        <is>
          <t>car bomb (900 kg)</t>
        </is>
      </c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uoc_dinh</t>
        </is>
      </c>
      <c r="P63" t="inlineStr">
        <is>
          <t>R_balance;R_full_weapon_audit;R_machine_brigade_can_bang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600</v>
      </c>
      <c r="Y63" t="inlineStr">
        <is>
          <t>NEED_SOURCE</t>
        </is>
      </c>
      <c r="Z63" t="inlineStr">
        <is>
          <t>NEED_SOURCE</t>
        </is>
      </c>
      <c r="AA63" t="inlineStr">
        <is>
          <t>NEED_SOURCE</t>
        </is>
      </c>
      <c r="AB63" t="inlineStr"/>
      <c r="AC63" t="inlineStr">
        <is>
          <t>bomb</t>
        </is>
      </c>
      <c r="AD63" t="inlineStr">
        <is>
          <t>a stick's release, 0.1 s and up (est.)</t>
        </is>
      </c>
      <c r="AE63" t="inlineStr">
        <is>
          <t>VBIED: hàng trăm kg tới hơn 1 tấn thuốc nổ</t>
        </is>
      </c>
      <c r="AF63" t="inlineStr">
        <is>
          <t>Tools/balance/full_weapon_audit.py: REAL / WARHEAD; balance.json weapons[id=detonator].real</t>
        </is>
      </c>
      <c r="AG63" t="inlineStr"/>
    </row>
    <row r="64">
      <c r="A64" t="inlineStr">
        <is>
          <t>dozer_blade</t>
        </is>
      </c>
      <c r="B64" t="inlineStr">
        <is>
          <t>dozer_blade</t>
        </is>
      </c>
      <c r="C64" t="inlineStr">
        <is>
          <t>dozer blade</t>
        </is>
      </c>
      <c r="D64" t="inlineStr">
        <is>
          <t>doi_that</t>
        </is>
      </c>
      <c r="E64" t="inlineStr">
        <is>
          <t>dozer blade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ban_dau_doan</t>
        </is>
      </c>
      <c r="P64" t="inlineStr">
        <is>
          <t>R_balance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inlineStr">
        <is>
          <t>NEED_SOURCE</t>
        </is>
      </c>
      <c r="Y64" t="inlineStr">
        <is>
          <t>NEED_SOURCE</t>
        </is>
      </c>
      <c r="Z64" t="inlineStr">
        <is>
          <t>NEED_SOURCE</t>
        </is>
      </c>
      <c r="AA64" t="inlineStr">
        <is>
          <t>NEED_SOURCE</t>
        </is>
      </c>
      <c r="AB64" t="inlineStr"/>
      <c r="AC64" t="inlineStr"/>
      <c r="AD64" t="inlineStr"/>
      <c r="AE64" t="inlineStr"/>
      <c r="AF64" t="inlineStr">
        <is>
          <t>Tools/balance/full_weapon_audit.py: REAL / WARHEAD; balance.json weapons[id=dozer_blade].real</t>
        </is>
      </c>
      <c r="AG64" t="inlineStr"/>
    </row>
    <row r="65">
      <c r="A65" t="inlineStr">
        <is>
          <t>drone_gun</t>
        </is>
      </c>
      <c r="B65" t="inlineStr">
        <is>
          <t>drone_gun</t>
        </is>
      </c>
      <c r="C65" t="inlineStr">
        <is>
          <t>M3P 12.7 mm</t>
        </is>
      </c>
      <c r="D65" t="inlineStr">
        <is>
          <t>doi_that</t>
        </is>
      </c>
      <c r="E65" t="inlineStr">
        <is>
          <t>M3P 12.7 mm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da_kiem_chung</t>
        </is>
      </c>
      <c r="P65" t="inlineStr">
        <is>
          <t>R_balance;R_full_weapon_audit;W_wikipedia_m3_browning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n">
        <v>12.7</v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1200</v>
      </c>
      <c r="Y65" t="n">
        <v>200</v>
      </c>
      <c r="Z65" t="inlineStr">
        <is>
          <t>NEED_SOURCE</t>
        </is>
      </c>
      <c r="AA65" t="inlineStr">
        <is>
          <t>NEED_SOURCE</t>
        </is>
      </c>
      <c r="AB65" t="inlineStr"/>
      <c r="AC65" t="inlineStr">
        <is>
          <t>mg</t>
        </is>
      </c>
      <c r="AD65" t="inlineStr">
        <is>
          <t>Wikipedia 'M3 Browning' (AN/M3): 1,100-1,250 rpm</t>
        </is>
      </c>
      <c r="AE65" t="inlineStr"/>
      <c r="AF65" t="inlineStr">
        <is>
          <t>Tools/balance/full_weapon_audit.py: REAL / WARHEAD; balance.json weapons[id=drone_gun].real</t>
        </is>
      </c>
      <c r="AG65" t="inlineStr"/>
    </row>
    <row r="66">
      <c r="A66" t="inlineStr">
        <is>
          <t>drone_missile</t>
        </is>
      </c>
      <c r="B66" t="inlineStr">
        <is>
          <t>drone_missile</t>
        </is>
      </c>
      <c r="C66" t="inlineStr">
        <is>
          <t>AGM-114 Hellfire</t>
        </is>
      </c>
      <c r="D66" t="inlineStr">
        <is>
          <t>doi_that</t>
        </is>
      </c>
      <c r="E66" t="inlineStr">
        <is>
          <t>AGM-114 Hellfire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uoc_dinh</t>
        </is>
      </c>
      <c r="P66" t="inlineStr">
        <is>
          <t>R_balance;R_full_weapon_audit;W_wikipedia_bai_cua_tung_ten_lua_bang_warhead;R_machine_brigade_can_bang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60</v>
      </c>
      <c r="Y66" t="n">
        <v>10</v>
      </c>
      <c r="Z66" t="inlineStr">
        <is>
          <t>NEED_SOURCE</t>
        </is>
      </c>
      <c r="AA66" t="inlineStr">
        <is>
          <t>NEED_SOURCE</t>
        </is>
      </c>
      <c r="AB66" t="n">
        <v>9</v>
      </c>
      <c r="AC66" t="inlineStr">
        <is>
          <t>atgm</t>
        </is>
      </c>
      <c r="AD66" t="inlineStr">
        <is>
          <t>air-launched: ripples ~1 s apart, est. 6 s an aimed shot</t>
        </is>
      </c>
      <c r="AE66" t="inlineStr">
        <is>
          <t>Hellfire</t>
        </is>
      </c>
      <c r="AF66" t="inlineStr">
        <is>
          <t>Tools/balance/full_weapon_audit.py: REAL / WARHEAD; balance.json weapons[id=drone_missile].real</t>
        </is>
      </c>
      <c r="AG66" t="inlineStr"/>
    </row>
    <row r="67">
      <c r="A67" t="inlineStr">
        <is>
          <t>fighter_cannon</t>
        </is>
      </c>
      <c r="B67" t="inlineStr">
        <is>
          <t>fighter_cannon</t>
        </is>
      </c>
      <c r="C67" t="inlineStr">
        <is>
          <t>GAU-22/A 25 mm</t>
        </is>
      </c>
      <c r="D67" t="inlineStr">
        <is>
          <t>doi_that</t>
        </is>
      </c>
      <c r="E67" t="inlineStr">
        <is>
          <t>GAU-22/A 25 mm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da_kiem_chung</t>
        </is>
      </c>
      <c r="P67" t="inlineStr">
        <is>
          <t>R_balance;R_full_weapon_audit;W_wikipedia_gau_22_a;R_machine_brigade_can_bang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n">
        <v>25</v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n">
        <v>3300</v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>
        <is>
          <t>ac</t>
        </is>
      </c>
      <c r="AD67" t="inlineStr">
        <is>
          <t>Wikipedia 'GAU-22/A': 3,300 rpm</t>
        </is>
      </c>
      <c r="AE67" t="inlineStr">
        <is>
          <t>GAU-22/A: 3.300</t>
        </is>
      </c>
      <c r="AF67" t="inlineStr">
        <is>
          <t>Tools/balance/full_weapon_audit.py: REAL / WARHEAD; balance.json weapons[id=fighter_cannon].real</t>
        </is>
      </c>
      <c r="AG67" t="inlineStr"/>
    </row>
    <row r="68">
      <c r="A68" t="inlineStr">
        <is>
          <t>fighter_cannon_ap</t>
        </is>
      </c>
      <c r="B68" t="inlineStr">
        <is>
          <t>fighter_cannon_ap</t>
        </is>
      </c>
      <c r="C68" t="inlineStr">
        <is>
          <t>GAU-22/A 25 mm AP</t>
        </is>
      </c>
      <c r="D68" t="inlineStr">
        <is>
          <t>doi_that</t>
        </is>
      </c>
      <c r="E68" t="inlineStr">
        <is>
          <t>GAU-22/A 25 mm AP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da_kiem_chung</t>
        </is>
      </c>
      <c r="P68" t="inlineStr">
        <is>
          <t>R_balance;R_full_weapon_audit;W_wikipedia_gau_22_a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25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3300</v>
      </c>
      <c r="Y68" t="inlineStr">
        <is>
          <t>NEED_SOURCE</t>
        </is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ac</t>
        </is>
      </c>
      <c r="AD68" t="inlineStr">
        <is>
          <t>Wikipedia 'GAU-22/A': 3,300 rpm</t>
        </is>
      </c>
      <c r="AE68" t="inlineStr"/>
      <c r="AF68" t="inlineStr">
        <is>
          <t>Tools/balance/full_weapon_audit.py: REAL / WARHEAD; balance.json weapons[id=fighter_cannon_ap].real</t>
        </is>
      </c>
      <c r="AG68" t="inlineStr"/>
    </row>
    <row r="69">
      <c r="A69" t="inlineStr">
        <is>
          <t>flak_35</t>
        </is>
      </c>
      <c r="B69" t="inlineStr">
        <is>
          <t>flak_35</t>
        </is>
      </c>
      <c r="C69" t="inlineStr">
        <is>
          <t>Oerlikon KDA 35 mm (Gepard)</t>
        </is>
      </c>
      <c r="D69" t="inlineStr">
        <is>
          <t>doi_that</t>
        </is>
      </c>
      <c r="E69" t="inlineStr">
        <is>
          <t>Oerlikon KDA 35 mm (Gepard)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da_kiem_chung</t>
        </is>
      </c>
      <c r="P69" t="inlineStr">
        <is>
          <t>R_balance;R_full_weapon_audit;W_wikipedia_oerlikon_gdf;R_machine_brigade_can_bang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n">
        <v>35</v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550</v>
      </c>
      <c r="Y69" t="n">
        <v>300</v>
      </c>
      <c r="Z69" t="inlineStr">
        <is>
          <t>NEED_SOURCE</t>
        </is>
      </c>
      <c r="AA69" t="inlineStr">
        <is>
          <t>NEED_SOURCE</t>
        </is>
      </c>
      <c r="AB69" t="inlineStr"/>
      <c r="AC69" t="inlineStr">
        <is>
          <t>aa</t>
        </is>
      </c>
      <c r="AD69" t="inlineStr">
        <is>
          <t>Wikipedia 'Oerlikon GDF' / 'Gepard': 2 x 550 rpm</t>
        </is>
      </c>
      <c r="AE69" t="inlineStr">
        <is>
          <t>KDA 35 mm: 550 phát/phút mỗi nòng</t>
        </is>
      </c>
      <c r="AF69" t="inlineStr">
        <is>
          <t>Tools/balance/full_weapon_audit.py: REAL / WARHEAD; balance.json weapons[id=flak_35].real</t>
        </is>
      </c>
      <c r="AG69" t="inlineStr"/>
    </row>
    <row r="70">
      <c r="A70" t="inlineStr">
        <is>
          <t>flak_35_ap</t>
        </is>
      </c>
      <c r="B70" t="inlineStr">
        <is>
          <t>flak_35_ap</t>
        </is>
      </c>
      <c r="C70" t="inlineStr">
        <is>
          <t>Oerlikon 35 mm AP (Gepard)</t>
        </is>
      </c>
      <c r="D70" t="inlineStr">
        <is>
          <t>doi_that</t>
        </is>
      </c>
      <c r="E70" t="inlineStr">
        <is>
          <t>Oerlikon 35 mm AP (Gepard)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R_balance;R_full_weapon_audit;W_wikipedia_oerlikon_gdf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35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550</v>
      </c>
      <c r="Y70" t="n">
        <v>300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aa</t>
        </is>
      </c>
      <c r="AD70" t="inlineStr">
        <is>
          <t>Wikipedia 'Oerlikon GDF': 550 rpm a gun (the twin: 1,100)</t>
        </is>
      </c>
      <c r="AE70" t="inlineStr"/>
      <c r="AF70" t="inlineStr">
        <is>
          <t>Tools/balance/full_weapon_audit.py: REAL / WARHEAD; balance.json weapons[id=flak_35_ap].real</t>
        </is>
      </c>
      <c r="AG70" t="inlineStr"/>
    </row>
    <row r="71">
      <c r="A71" t="inlineStr">
        <is>
          <t>flak_quad</t>
        </is>
      </c>
      <c r="B71" t="inlineStr">
        <is>
          <t>flak_quad</t>
        </is>
      </c>
      <c r="C71" t="inlineStr">
        <is>
          <t>ZSU-23-4 23 mm (quad)</t>
        </is>
      </c>
      <c r="D71" t="inlineStr">
        <is>
          <t>doi_that</t>
        </is>
      </c>
      <c r="E71" t="inlineStr">
        <is>
          <t>ZSU-23-4 23 mm (quad)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da_kiem_chung</t>
        </is>
      </c>
      <c r="P71" t="inlineStr">
        <is>
          <t>R_balance;R_full_weapon_audit;W_wikipedia_zsu_23_4_shilka;R_machine_brigade_can_bang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1000</v>
      </c>
      <c r="Y71" t="n">
        <v>400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aa</t>
        </is>
      </c>
      <c r="AD71" t="inlineStr">
        <is>
          <t>Wikipedia 'ZSU-23-4 Shilka': 4 x 850-1,000 rpm</t>
        </is>
      </c>
      <c r="AE71" t="inlineStr">
        <is>
          <t>ZSU-23-4: 3.400–4.000 phát/phút</t>
        </is>
      </c>
      <c r="AF71" t="inlineStr">
        <is>
          <t>Tools/balance/full_weapon_audit.py: REAL / WARHEAD; balance.json weapons[id=flak_quad].real</t>
        </is>
      </c>
      <c r="AG71" t="inlineStr"/>
    </row>
    <row r="72">
      <c r="A72" t="inlineStr">
        <is>
          <t>flak_quad_ap</t>
        </is>
      </c>
      <c r="B72" t="inlineStr">
        <is>
          <t>flak_quad_ap</t>
        </is>
      </c>
      <c r="C72" t="inlineStr">
        <is>
          <t>ZSU-23-4 23 mm AP (quad)</t>
        </is>
      </c>
      <c r="D72" t="inlineStr">
        <is>
          <t>doi_that</t>
        </is>
      </c>
      <c r="E72" t="inlineStr">
        <is>
          <t>ZSU-23-4 23 mm AP (quad)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da_kiem_chung</t>
        </is>
      </c>
      <c r="P72" t="inlineStr">
        <is>
          <t>R_balance;R_full_weapon_audit;W_wikipedia_zsu_23_4_shilka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n">
        <v>23</v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1000</v>
      </c>
      <c r="Y72" t="n">
        <v>400</v>
      </c>
      <c r="Z72" t="inlineStr">
        <is>
          <t>NEED_SOURCE</t>
        </is>
      </c>
      <c r="AA72" t="inlineStr">
        <is>
          <t>NEED_SOURCE</t>
        </is>
      </c>
      <c r="AB72" t="inlineStr"/>
      <c r="AC72" t="inlineStr">
        <is>
          <t>aa</t>
        </is>
      </c>
      <c r="AD72" t="inlineStr">
        <is>
          <t>Wikipedia 'ZSU-23-4 Shilka': 4 x 850-1,000 rpm</t>
        </is>
      </c>
      <c r="AE72" t="inlineStr"/>
      <c r="AF72" t="inlineStr">
        <is>
          <t>Tools/balance/full_weapon_audit.py: REAL / WARHEAD; balance.json weapons[id=flak_quad_ap].real</t>
        </is>
      </c>
      <c r="AG72" t="inlineStr"/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flamethrower</t>
        </is>
      </c>
      <c r="D73" t="inlineStr">
        <is>
          <t>doi_that</t>
        </is>
      </c>
      <c r="E73" t="inlineStr">
        <is>
          <t>flamethrower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ban_dau_doan</t>
        </is>
      </c>
      <c r="P73" t="inlineStr">
        <is>
          <t>R_balance;R_machine_brigade_can_bang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inlineStr">
        <is>
          <t>NEED_SOURCE</t>
        </is>
      </c>
      <c r="Y73" t="inlineStr">
        <is>
          <t>NEED_SOURCE</t>
        </is>
      </c>
      <c r="Z73" t="inlineStr">
        <is>
          <t>NEED_SOURCE</t>
        </is>
      </c>
      <c r="AA73" t="inlineStr">
        <is>
          <t>NEED_SOURCE</t>
        </is>
      </c>
      <c r="AB73" t="inlineStr"/>
      <c r="AC73" t="inlineStr"/>
      <c r="AD73" t="inlineStr"/>
      <c r="AE73" t="inlineStr">
        <is>
          <t>Súng phun lửa xe tăng: tầm 100–150 m</t>
        </is>
      </c>
      <c r="AF73" t="inlineStr">
        <is>
          <t>Tools/balance/full_weapon_audit.py: REAL / WARHEAD; balance.json weapons[id=flamethrower].real</t>
        </is>
      </c>
      <c r="AG73" t="inlineStr"/>
    </row>
    <row r="74">
      <c r="A74" t="inlineStr">
        <is>
          <t>focus_laser</t>
        </is>
      </c>
      <c r="B74" t="inlineStr">
        <is>
          <t>focus_laser</t>
        </is>
      </c>
      <c r="C74" t="inlineStr">
        <is>
          <t>focused laser (300 kW)</t>
        </is>
      </c>
      <c r="D74" t="inlineStr">
        <is>
          <t>doi_that</t>
        </is>
      </c>
      <c r="E74" t="inlineStr">
        <is>
          <t>focused laser (300 kW)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>
        <is>
          <t>Laser 300 kW (HELIOS, DE M-SHORAD cấp cao)</t>
        </is>
      </c>
      <c r="AF74" t="inlineStr">
        <is>
          <t>Tools/balance/full_weapon_audit.py: REAL / WARHEAD; balance.json weapons[id=focus_laser].real</t>
        </is>
      </c>
      <c r="AG74" t="inlineStr"/>
    </row>
    <row r="75">
      <c r="A75" t="inlineStr">
        <is>
          <t>fpv_hangar</t>
        </is>
      </c>
      <c r="B75" t="inlineStr">
        <is>
          <t>fpv_hangar</t>
        </is>
      </c>
      <c r="C75" t="inlineStr">
        <is>
          <t>FPV drone (1.5 kg)</t>
        </is>
      </c>
      <c r="D75" t="inlineStr">
        <is>
          <t>doi_that</t>
        </is>
      </c>
      <c r="E75" t="inlineStr">
        <is>
          <t>FPV drone (1.5 kg)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ban_dau_doan</t>
        </is>
      </c>
      <c r="P75" t="inlineStr">
        <is>
          <t>R_balance;R_machine_brigade_can_bang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inlineStr">
        <is>
          <t>NEED_SOURCE</t>
        </is>
      </c>
      <c r="Y75" t="inlineStr">
        <is>
          <t>NEED_SOURCE</t>
        </is>
      </c>
      <c r="Z75" t="inlineStr">
        <is>
          <t>NEED_SOURCE</t>
        </is>
      </c>
      <c r="AA75" t="inlineStr">
        <is>
          <t>NEED_SOURCE</t>
        </is>
      </c>
      <c r="AB75" t="inlineStr"/>
      <c r="AC75" t="inlineStr"/>
      <c r="AD75" t="inlineStr"/>
      <c r="AE75" t="inlineStr">
        <is>
          <t>FPV</t>
        </is>
      </c>
      <c r="AF75" t="inlineStr">
        <is>
          <t>Tools/balance/full_weapon_audit.py: REAL / WARHEAD; balance.json weapons[id=fpv_hangar].real</t>
        </is>
      </c>
      <c r="AG75" t="inlineStr"/>
    </row>
    <row r="76">
      <c r="A76" t="inlineStr">
        <is>
          <t>fpv_hangar_swarm</t>
        </is>
      </c>
      <c r="B76" t="inlineStr">
        <is>
          <t>fpv_hangar_swarm</t>
        </is>
      </c>
      <c r="C76" t="inlineStr">
        <is>
          <t>FPV drone (1.5 kg)</t>
        </is>
      </c>
      <c r="D76" t="inlineStr">
        <is>
          <t>doi_that</t>
        </is>
      </c>
      <c r="E76" t="inlineStr">
        <is>
          <t>FPV drone (1.5 kg)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ban_dau_doan</t>
        </is>
      </c>
      <c r="P76" t="inlineStr">
        <is>
          <t>R_balance;R_machine_brigade_can_bang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inlineStr">
        <is>
          <t>NEED_SOURCE</t>
        </is>
      </c>
      <c r="Y76" t="inlineStr">
        <is>
          <t>NEED_SOURCE</t>
        </is>
      </c>
      <c r="Z76" t="inlineStr">
        <is>
          <t>NEED_SOURCE</t>
        </is>
      </c>
      <c r="AA76" t="inlineStr">
        <is>
          <t>NEED_SOURCE</t>
        </is>
      </c>
      <c r="AB76" t="inlineStr"/>
      <c r="AC76" t="inlineStr"/>
      <c r="AD76" t="inlineStr"/>
      <c r="AE76" t="inlineStr">
        <is>
          <t>FPV</t>
        </is>
      </c>
      <c r="AF76" t="inlineStr">
        <is>
          <t>Tools/balance/full_weapon_audit.py: REAL / WARHEAD; balance.json weapons[id=fpv_hangar_swarm].real</t>
        </is>
      </c>
      <c r="AG76" t="inlineStr"/>
    </row>
    <row r="77">
      <c r="A77" t="inlineStr">
        <is>
          <t>fpv_swarm</t>
        </is>
      </c>
      <c r="B77" t="inlineStr">
        <is>
          <t>fpv_swarm</t>
        </is>
      </c>
      <c r="C77" t="inlineStr">
        <is>
          <t>FPV drone (1.5 kg)</t>
        </is>
      </c>
      <c r="D77" t="inlineStr">
        <is>
          <t>doi_that</t>
        </is>
      </c>
      <c r="E77" t="inlineStr">
        <is>
          <t>FPV drone (1.5 kg)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ban_dau_doan</t>
        </is>
      </c>
      <c r="P77" t="inlineStr">
        <is>
          <t>R_balance;R_machine_brigade_can_bang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inlineStr">
        <is>
          <t>NEED_SOURCE</t>
        </is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/>
      <c r="AD77" t="inlineStr"/>
      <c r="AE77" t="inlineStr">
        <is>
          <t>FPV: 1–2 kg đầu nổ; tầm 5–10 km</t>
        </is>
      </c>
      <c r="AF77" t="inlineStr">
        <is>
          <t>Tools/balance/full_weapon_audit.py: REAL / WARHEAD; balance.json weapons[id=fpv_swarm].real</t>
        </is>
      </c>
      <c r="AG77" t="inlineStr"/>
    </row>
    <row r="78">
      <c r="A78" t="inlineStr">
        <is>
          <t>gau_gatling</t>
        </is>
      </c>
      <c r="B78" t="inlineStr">
        <is>
          <t>gau_gatling</t>
        </is>
      </c>
      <c r="C78" t="inlineStr">
        <is>
          <t>GAU-8 Avenger 30 mm</t>
        </is>
      </c>
      <c r="D78" t="inlineStr">
        <is>
          <t>doi_that</t>
        </is>
      </c>
      <c r="E78" t="inlineStr">
        <is>
          <t>GAU-8 Avenger 30 mm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R_balance;R_full_weapon_audit;W_wikipedia_gau_8_avenger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30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3900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ac</t>
        </is>
      </c>
      <c r="AD78" t="inlineStr">
        <is>
          <t>Wikipedia 'GAU-8 Avenger': 3,900 rpm</t>
        </is>
      </c>
      <c r="AE78" t="inlineStr"/>
      <c r="AF78" t="inlineStr">
        <is>
          <t>Tools/balance/full_weapon_audit.py: REAL / WARHEAD; balance.json weapons[id=gau_gatling].real</t>
        </is>
      </c>
      <c r="AG78" t="inlineStr"/>
    </row>
    <row r="79">
      <c r="A79" t="inlineStr">
        <is>
          <t>grad_cluster</t>
        </is>
      </c>
      <c r="B79" t="inlineStr">
        <is>
          <t>grad_cluster</t>
        </is>
      </c>
      <c r="C79" t="inlineStr">
        <is>
          <t>BM-21 Grad 122 mm (cluster)</t>
        </is>
      </c>
      <c r="D79" t="inlineStr">
        <is>
          <t>doi_that</t>
        </is>
      </c>
      <c r="E79" t="inlineStr">
        <is>
          <t>BM-21 Grad 122 mm (cluster)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R_balance;R_full_weapon_audit;W_wikipedia_bm_21_grad;R_machine_brigade_can_bang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122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120</v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rocket</t>
        </is>
      </c>
      <c r="AD79" t="inlineStr">
        <is>
          <t>Wikipedia 'BM-21 Grad': 40 rockets in 20 s</t>
        </is>
      </c>
      <c r="AE79" t="inlineStr">
        <is>
          <t>BM-21</t>
        </is>
      </c>
      <c r="AF79" t="inlineStr">
        <is>
          <t>Tools/balance/full_weapon_audit.py: REAL / WARHEAD; balance.json weapons[id=grad_cluster].real</t>
        </is>
      </c>
      <c r="AG79" t="inlineStr"/>
    </row>
    <row r="80">
      <c r="A80" t="inlineStr">
        <is>
          <t>grad_rockets</t>
        </is>
      </c>
      <c r="B80" t="inlineStr">
        <is>
          <t>grad_rockets</t>
        </is>
      </c>
      <c r="C80" t="inlineStr">
        <is>
          <t>BM-21 Grad 122 mm</t>
        </is>
      </c>
      <c r="D80" t="inlineStr">
        <is>
          <t>doi_that</t>
        </is>
      </c>
      <c r="E80" t="inlineStr">
        <is>
          <t>BM-21 Grad 122 mm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R_balance;R_full_weapon_audit;W_wikipedia_bm_21_grad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122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120</v>
      </c>
      <c r="Y80" t="inlineStr">
        <is>
          <t>NEED_SOURCE</t>
        </is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rocket</t>
        </is>
      </c>
      <c r="AD80" t="inlineStr">
        <is>
          <t>Wikipedia 'BM-21 Grad': 40 rockets in 20 s</t>
        </is>
      </c>
      <c r="AE80" t="inlineStr"/>
      <c r="AF80" t="inlineStr">
        <is>
          <t>Tools/balance/full_weapon_audit.py: REAL / WARHEAD; balance.json weapons[id=grad_rockets].real</t>
        </is>
      </c>
      <c r="AG80" t="inlineStr"/>
    </row>
    <row r="81">
      <c r="A81" t="inlineStr">
        <is>
          <t>gsh_23v</t>
        </is>
      </c>
      <c r="B81" t="inlineStr">
        <is>
          <t>gsh_23v</t>
        </is>
      </c>
      <c r="C81" t="inlineStr">
        <is>
          <t>GSh-23V 23 mm</t>
        </is>
      </c>
      <c r="D81" t="inlineStr">
        <is>
          <t>doi_that</t>
        </is>
      </c>
      <c r="E81" t="inlineStr">
        <is>
          <t>GSh-23V 23 mm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da_kiem_chung</t>
        </is>
      </c>
      <c r="P81" t="inlineStr">
        <is>
          <t>R_balance;R_full_weapon_audit;W_wikipedia_gryazev_shipunov_gsh_23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n">
        <v>23</v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3400</v>
      </c>
      <c r="Y81" t="inlineStr">
        <is>
          <t>NEED_SOURCE</t>
        </is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ac</t>
        </is>
      </c>
      <c r="AD81" t="inlineStr">
        <is>
          <t>Wikipedia 'Gryazev-Shipunov GSh-23': 3,000-3,400 rpm (GSh-23V)</t>
        </is>
      </c>
      <c r="AE81" t="inlineStr"/>
      <c r="AF81" t="inlineStr">
        <is>
          <t>Tools/balance/full_weapon_audit.py: REAL / WARHEAD; balance.json weapons[id=gsh_23v].real</t>
        </is>
      </c>
      <c r="AG81" t="inlineStr"/>
    </row>
    <row r="82">
      <c r="A82" t="inlineStr">
        <is>
          <t>guided_bomb</t>
        </is>
      </c>
      <c r="B82" t="inlineStr">
        <is>
          <t>guided_bomb</t>
        </is>
      </c>
      <c r="C82" t="inlineStr">
        <is>
          <t>GBU-39 SDB (110 kg)</t>
        </is>
      </c>
      <c r="D82" t="inlineStr">
        <is>
          <t>doi_that</t>
        </is>
      </c>
      <c r="E82" t="inlineStr">
        <is>
          <t>GBU-39 SDB (110 kg)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uoc_dinh</t>
        </is>
      </c>
      <c r="P82" t="inlineStr">
        <is>
          <t>R_balance;R_full_weapon_audit;R_machine_brigade_can_bang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600</v>
      </c>
      <c r="Y82" t="inlineStr">
        <is>
          <t>NEED_SOURCE</t>
        </is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bomb</t>
        </is>
      </c>
      <c r="AD82" t="inlineStr">
        <is>
          <t>a stick's release, 0.1 s and up (est.)</t>
        </is>
      </c>
      <c r="AE82" t="inlineStr">
        <is>
          <t>GBU-39 SDB: chỉ ~17 kg thuốc nổ (bom nhỏ, sát thương gọn)</t>
        </is>
      </c>
      <c r="AF82" t="inlineStr">
        <is>
          <t>Tools/balance/full_weapon_audit.py: REAL / WARHEAD; balance.json weapons[id=guided_bomb].real</t>
        </is>
      </c>
      <c r="AG82" t="inlineStr"/>
    </row>
    <row r="83">
      <c r="A83" t="inlineStr">
        <is>
          <t>gun_57_air</t>
        </is>
      </c>
      <c r="B83" t="inlineStr">
        <is>
          <t>gun_57_air</t>
        </is>
      </c>
      <c r="C83" t="inlineStr">
        <is>
          <t>AU-220 57 mm (air burst)</t>
        </is>
      </c>
      <c r="D83" t="inlineStr">
        <is>
          <t>doi_that</t>
        </is>
      </c>
      <c r="E83" t="inlineStr">
        <is>
          <t>AU-220 57 mm (air burst)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R_balance;R_full_weapon_audit;W_wikipedia_au_220m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57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120</v>
      </c>
      <c r="Y83" t="n">
        <v>80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ac</t>
        </is>
      </c>
      <c r="AD83" t="inlineStr">
        <is>
          <t>Wikipedia 'AU-220M': 80-120 rpm</t>
        </is>
      </c>
      <c r="AE83" t="inlineStr"/>
      <c r="AF83" t="inlineStr">
        <is>
          <t>Tools/balance/full_weapon_audit.py: REAL / WARHEAD; balance.json weapons[id=gun_57_air].real</t>
        </is>
      </c>
      <c r="AG83" t="inlineStr"/>
    </row>
    <row r="84">
      <c r="A84" t="inlineStr">
        <is>
          <t>gun_57_auto</t>
        </is>
      </c>
      <c r="B84" t="inlineStr">
        <is>
          <t>gun_57_auto</t>
        </is>
      </c>
      <c r="C84" t="inlineStr">
        <is>
          <t>AU-220 57 mm (tower, twin)</t>
        </is>
      </c>
      <c r="D84" t="inlineStr">
        <is>
          <t>doi_that</t>
        </is>
      </c>
      <c r="E84" t="inlineStr">
        <is>
          <t>AU-220 57 mm (tower, twin)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da_kiem_chung</t>
        </is>
      </c>
      <c r="P84" t="inlineStr">
        <is>
          <t>R_balance;R_full_weapon_audit;W_wikipedia_au_220m;R_machine_brigade_can_bang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n">
        <v>57</v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n">
        <v>120</v>
      </c>
      <c r="Y84" t="n">
        <v>80</v>
      </c>
      <c r="Z84" t="inlineStr">
        <is>
          <t>NEED_SOURCE</t>
        </is>
      </c>
      <c r="AA84" t="inlineStr">
        <is>
          <t>NEED_SOURCE</t>
        </is>
      </c>
      <c r="AB84" t="inlineStr"/>
      <c r="AC84" t="inlineStr">
        <is>
          <t>ac</t>
        </is>
      </c>
      <c r="AD84" t="inlineStr">
        <is>
          <t>Wikipedia 'AU-220M': 80-120 rpm</t>
        </is>
      </c>
      <c r="AE84" t="inlineStr">
        <is>
          <t>AU-220M 57 mm: 120 phát/phút</t>
        </is>
      </c>
      <c r="AF84" t="inlineStr">
        <is>
          <t>Tools/balance/full_weapon_audit.py: REAL / WARHEAD; balance.json weapons[id=gun_57_auto].real</t>
        </is>
      </c>
      <c r="AG84" t="inlineStr"/>
    </row>
    <row r="85">
      <c r="A85" t="inlineStr">
        <is>
          <t>gun_57mm</t>
        </is>
      </c>
      <c r="B85" t="inlineStr">
        <is>
          <t>gun_57mm</t>
        </is>
      </c>
      <c r="C85" t="inlineStr">
        <is>
          <t>S-60 57 mm (2A91)</t>
        </is>
      </c>
      <c r="D85" t="inlineStr">
        <is>
          <t>doi_that</t>
        </is>
      </c>
      <c r="E85" t="inlineStr">
        <is>
          <t>S-60 57 mm (2A91)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da_kiem_chung</t>
        </is>
      </c>
      <c r="P85" t="inlineStr">
        <is>
          <t>R_balance;R_full_weapon_audit;W_wikipedia_au_220m;R_machine_brigade_can_bang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n">
        <v>57</v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120</v>
      </c>
      <c r="Y85" t="n">
        <v>80</v>
      </c>
      <c r="Z85" t="inlineStr">
        <is>
          <t>NEED_SOURCE</t>
        </is>
      </c>
      <c r="AA85" t="inlineStr">
        <is>
          <t>NEED_SOURCE</t>
        </is>
      </c>
      <c r="AB85" t="inlineStr"/>
      <c r="AC85" t="inlineStr">
        <is>
          <t>ac</t>
        </is>
      </c>
      <c r="AD85" t="inlineStr">
        <is>
          <t>Wikipedia 'AU-220M': 80-120 rpm</t>
        </is>
      </c>
      <c r="AE85" t="inlineStr">
        <is>
          <t>S-60/2A91 57 mm: tự động 120 phát/phút</t>
        </is>
      </c>
      <c r="AF85" t="inlineStr">
        <is>
          <t>Tools/balance/full_weapon_audit.py: REAL / WARHEAD; balance.json weapons[id=gun_57mm].real</t>
        </is>
      </c>
      <c r="AG85" t="inlineStr"/>
    </row>
    <row r="86">
      <c r="A86" t="inlineStr">
        <is>
          <t>gun_57mm_he</t>
        </is>
      </c>
      <c r="B86" t="inlineStr">
        <is>
          <t>gun_57mm_he</t>
        </is>
      </c>
      <c r="C86" t="inlineStr">
        <is>
          <t>S-60 57 mm HE (2A91)</t>
        </is>
      </c>
      <c r="D86" t="inlineStr">
        <is>
          <t>doi_that</t>
        </is>
      </c>
      <c r="E86" t="inlineStr">
        <is>
          <t>S-60 57 mm HE (2A91)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da_kiem_chung</t>
        </is>
      </c>
      <c r="P86" t="inlineStr">
        <is>
          <t>R_balance;R_full_weapon_audit;W_wikipedia_au_220m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n">
        <v>57</v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120</v>
      </c>
      <c r="Y86" t="n">
        <v>80</v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ac</t>
        </is>
      </c>
      <c r="AD86" t="inlineStr">
        <is>
          <t>Wikipedia 'AU-220M': 80-120 rpm</t>
        </is>
      </c>
      <c r="AE86" t="inlineStr"/>
      <c r="AF86" t="inlineStr">
        <is>
          <t>Tools/balance/full_weapon_audit.py: REAL / WARHEAD; balance.json weapons[id=gun_57mm_he].real</t>
        </is>
      </c>
      <c r="AG86" t="inlineStr"/>
    </row>
    <row r="87">
      <c r="A87" t="inlineStr">
        <is>
          <t>gun_100_river</t>
        </is>
      </c>
      <c r="B87" t="inlineStr">
        <is>
          <t>gun_100_river</t>
        </is>
      </c>
      <c r="C87" t="inlineStr">
        <is>
          <t>A-190 100 mm (Buyan-class river gunboat)</t>
        </is>
      </c>
      <c r="D87" t="inlineStr">
        <is>
          <t>doi_that</t>
        </is>
      </c>
      <c r="E87" t="inlineStr">
        <is>
          <t>A-190 100 mm (Buyan-class river gunboat)</t>
        </is>
      </c>
      <c r="F87" t="inlineStr"/>
      <c r="G87" t="inlineStr"/>
      <c r="H87" t="inlineStr"/>
      <c r="I87" t="inlineStr"/>
      <c r="J87" t="inlineStr"/>
      <c r="K87" t="inlineStr"/>
      <c r="L87" t="inlineStr">
        <is>
          <t>nhịp chậm hơn 30 % và mạnh hơn tương ứng (luật súng của game)</t>
        </is>
      </c>
      <c r="M87" t="inlineStr">
        <is>
          <t>gameplay</t>
        </is>
      </c>
      <c r="N87" t="inlineStr"/>
      <c r="O87" t="inlineStr">
        <is>
          <t>da_kiem_chung</t>
        </is>
      </c>
      <c r="P87" t="inlineStr">
        <is>
          <t>R_balance;R_full_weapon_audit;W_wikipedia_a_190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100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80</v>
      </c>
      <c r="Y87" t="n">
        <v>40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gun</t>
        </is>
      </c>
      <c r="AD87" t="inlineStr">
        <is>
          <t>Wikipedia 'A-190': 80 rpm</t>
        </is>
      </c>
      <c r="AE87" t="inlineStr"/>
      <c r="AF87" t="inlineStr">
        <is>
          <t>Tools/balance/full_weapon_audit.py: REAL / WARHEAD; balance.json weapons[id=gun_100_river].real</t>
        </is>
      </c>
      <c r="AG87" t="inlineStr"/>
    </row>
    <row r="88">
      <c r="A88" t="inlineStr">
        <is>
          <t>gun_105_apfsds</t>
        </is>
      </c>
      <c r="B88" t="inlineStr">
        <is>
          <t>gun_105_apfsds</t>
        </is>
      </c>
      <c r="C88" t="inlineStr">
        <is>
          <t>2A75 125 mm APFSDS</t>
        </is>
      </c>
      <c r="D88" t="inlineStr">
        <is>
          <t>doi_that</t>
        </is>
      </c>
      <c r="E88" t="inlineStr">
        <is>
          <t>2A75 125 mm APFSDS</t>
        </is>
      </c>
      <c r="F88" t="inlineStr"/>
      <c r="G88" t="inlineStr"/>
      <c r="H88" t="inlineStr"/>
      <c r="I88" t="inlineStr"/>
      <c r="J88" t="inlineStr"/>
      <c r="K88" t="inlineStr"/>
      <c r="L88" t="inlineStr">
        <is>
          <t>nhịp chậm hơn 30 % và mạnh hơn tương ứng (luật súng của game)</t>
        </is>
      </c>
      <c r="M88" t="inlineStr">
        <is>
          <t>gameplay</t>
        </is>
      </c>
      <c r="N88" t="inlineStr"/>
      <c r="O88" t="inlineStr">
        <is>
          <t>da_kiem_chung</t>
        </is>
      </c>
      <c r="P88" t="inlineStr">
        <is>
          <t>R_balance;R_full_weapon_audit;W_wikipedia_2s25_sprut_sd;R_machine_brigade_can_bang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n">
        <v>125</v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7</v>
      </c>
      <c r="Y88" t="n">
        <v>7</v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gun</t>
        </is>
      </c>
      <c r="AD88" t="inlineStr">
        <is>
          <t>Wikipedia '2S25 Sprut-SD': ~7 rpm</t>
        </is>
      </c>
      <c r="AE88" t="inlineStr">
        <is>
          <t>2A75: ~7 phát/phút</t>
        </is>
      </c>
      <c r="AF88" t="inlineStr">
        <is>
          <t>Tools/balance/full_weapon_audit.py: REAL / WARHEAD; balance.json weapons[id=gun_105_apfsds].real</t>
        </is>
      </c>
      <c r="AG88" t="inlineStr"/>
    </row>
    <row r="89">
      <c r="A89" t="inlineStr">
        <is>
          <t>gun_105_apfsds_he</t>
        </is>
      </c>
      <c r="B89" t="inlineStr">
        <is>
          <t>gun_105_apfsds_he</t>
        </is>
      </c>
      <c r="C89" t="inlineStr">
        <is>
          <t>2A75 125 mm HE</t>
        </is>
      </c>
      <c r="D89" t="inlineStr">
        <is>
          <t>doi_that</t>
        </is>
      </c>
      <c r="E89" t="inlineStr">
        <is>
          <t>2A75 125 mm HE</t>
        </is>
      </c>
      <c r="F89" t="inlineStr"/>
      <c r="G89" t="inlineStr"/>
      <c r="H89" t="inlineStr"/>
      <c r="I89" t="inlineStr"/>
      <c r="J89" t="inlineStr"/>
      <c r="K89" t="inlineStr"/>
      <c r="L89" t="inlineStr">
        <is>
          <t>nhịp chậm hơn 30 % và mạnh hơn tương ứng (luật súng của game)</t>
        </is>
      </c>
      <c r="M89" t="inlineStr">
        <is>
          <t>gameplay</t>
        </is>
      </c>
      <c r="N89" t="inlineStr"/>
      <c r="O89" t="inlineStr">
        <is>
          <t>da_kiem_chung</t>
        </is>
      </c>
      <c r="P89" t="inlineStr">
        <is>
          <t>R_balance;R_full_weapon_audit;W_wikipedia_2s25_sprut_sd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n">
        <v>125</v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n">
        <v>7</v>
      </c>
      <c r="Y89" t="n">
        <v>7</v>
      </c>
      <c r="Z89" t="inlineStr">
        <is>
          <t>NEED_SOURCE</t>
        </is>
      </c>
      <c r="AA89" t="inlineStr">
        <is>
          <t>NEED_SOURCE</t>
        </is>
      </c>
      <c r="AB89" t="inlineStr"/>
      <c r="AC89" t="inlineStr">
        <is>
          <t>gun</t>
        </is>
      </c>
      <c r="AD89" t="inlineStr">
        <is>
          <t>Wikipedia '2S25 Sprut-SD': ~7 rpm</t>
        </is>
      </c>
      <c r="AE89" t="inlineStr"/>
      <c r="AF89" t="inlineStr">
        <is>
          <t>Tools/balance/full_weapon_audit.py: REAL / WARHEAD; balance.json weapons[id=gun_105_apfsds_he].real</t>
        </is>
      </c>
      <c r="AG89" t="inlineStr"/>
    </row>
    <row r="90">
      <c r="A90" t="inlineStr">
        <is>
          <t>gun_105_bunker</t>
        </is>
      </c>
      <c r="B90" t="inlineStr">
        <is>
          <t>gun_105_bunker</t>
        </is>
      </c>
      <c r="C90" t="inlineStr">
        <is>
          <t>L7 105 mm</t>
        </is>
      </c>
      <c r="D90" t="inlineStr">
        <is>
          <t>doi_that</t>
        </is>
      </c>
      <c r="E90" t="inlineStr">
        <is>
          <t>L7 105 mm</t>
        </is>
      </c>
      <c r="F90" t="inlineStr"/>
      <c r="G90" t="inlineStr"/>
      <c r="H90" t="inlineStr"/>
      <c r="I90" t="inlineStr"/>
      <c r="J90" t="inlineStr"/>
      <c r="K90" t="inlineStr"/>
      <c r="L90" t="inlineStr">
        <is>
          <t>nhịp chậm hơn 30 % và mạnh hơn tương ứng (luật súng của game)</t>
        </is>
      </c>
      <c r="M90" t="inlineStr">
        <is>
          <t>gameplay</t>
        </is>
      </c>
      <c r="N90" t="inlineStr"/>
      <c r="O90" t="inlineStr">
        <is>
          <t>da_kiem_chung</t>
        </is>
      </c>
      <c r="P90" t="inlineStr">
        <is>
          <t>R_balance;R_full_weapon_audit;W_wikipedia_royal_ordnance_l7;R_machine_brigade_can_bang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105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10</v>
      </c>
      <c r="Y90" t="n">
        <v>6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gun</t>
        </is>
      </c>
      <c r="AD90" t="inlineStr">
        <is>
          <t>Wikipedia 'Royal Ordnance L7': 6-10 rpm</t>
        </is>
      </c>
      <c r="AE90" t="inlineStr">
        <is>
          <t>L7 105 mm: 6–10 phát/phút</t>
        </is>
      </c>
      <c r="AF90" t="inlineStr">
        <is>
          <t>Tools/balance/full_weapon_audit.py: REAL / WARHEAD; balance.json weapons[id=gun_105_bunker].real</t>
        </is>
      </c>
      <c r="AG90" t="inlineStr"/>
    </row>
    <row r="91">
      <c r="A91" t="inlineStr">
        <is>
          <t>gun_105_bunker_he</t>
        </is>
      </c>
      <c r="B91" t="inlineStr">
        <is>
          <t>gun_105_bunker_he</t>
        </is>
      </c>
      <c r="C91" t="inlineStr">
        <is>
          <t>L7 105 mm HE</t>
        </is>
      </c>
      <c r="D91" t="inlineStr">
        <is>
          <t>doi_that</t>
        </is>
      </c>
      <c r="E91" t="inlineStr">
        <is>
          <t>L7 105 mm HE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nhịp chậm hơn 30 % và mạnh hơn tương ứng (luật súng của game)</t>
        </is>
      </c>
      <c r="M91" t="inlineStr">
        <is>
          <t>gameplay</t>
        </is>
      </c>
      <c r="N91" t="inlineStr"/>
      <c r="O91" t="inlineStr">
        <is>
          <t>da_kiem_chung</t>
        </is>
      </c>
      <c r="P91" t="inlineStr">
        <is>
          <t>R_balance;R_full_weapon_audit;W_wikipedia_royal_ordnance_l7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105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10</v>
      </c>
      <c r="Y91" t="n">
        <v>6</v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gun</t>
        </is>
      </c>
      <c r="AD91" t="inlineStr">
        <is>
          <t>Wikipedia 'Royal Ordnance L7': 6-10 rpm</t>
        </is>
      </c>
      <c r="AE91" t="inlineStr"/>
      <c r="AF91" t="inlineStr">
        <is>
          <t>Tools/balance/full_weapon_audit.py: REAL / WARHEAD; balance.json weapons[id=gun_105_bunker_he].real</t>
        </is>
      </c>
      <c r="AG91" t="inlineStr"/>
    </row>
    <row r="92">
      <c r="A92" t="inlineStr">
        <is>
          <t>gun_105_long</t>
        </is>
      </c>
      <c r="B92" t="inlineStr">
        <is>
          <t>gun_105_long</t>
        </is>
      </c>
      <c r="C92" t="inlineStr">
        <is>
          <t>2A75 125 mm (2S25 Sprut)</t>
        </is>
      </c>
      <c r="D92" t="inlineStr">
        <is>
          <t>doi_that</t>
        </is>
      </c>
      <c r="E92" t="inlineStr">
        <is>
          <t>2A75 125 mm (2S25 Sprut)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nhịp chậm hơn 30 % và mạnh hơn tương ứng (luật súng của game)</t>
        </is>
      </c>
      <c r="M92" t="inlineStr">
        <is>
          <t>gameplay</t>
        </is>
      </c>
      <c r="N92" t="inlineStr"/>
      <c r="O92" t="inlineStr">
        <is>
          <t>da_kiem_chung</t>
        </is>
      </c>
      <c r="P92" t="inlineStr">
        <is>
          <t>R_balance;R_full_weapon_audit;W_wikipedia_2s25_sprut_sd;R_machine_brigade_can_bang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125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7</v>
      </c>
      <c r="Y92" t="n">
        <v>7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gun</t>
        </is>
      </c>
      <c r="AD92" t="inlineStr">
        <is>
          <t>Wikipedia '2S25 Sprut-SD': ~7 rpm</t>
        </is>
      </c>
      <c r="AE92" t="inlineStr">
        <is>
          <t>2A75 (2S25 Sprut) nạp tự động: ~7 phát/phút</t>
        </is>
      </c>
      <c r="AF92" t="inlineStr">
        <is>
          <t>Tools/balance/full_weapon_audit.py: REAL / WARHEAD; balance.json weapons[id=gun_105_long].real</t>
        </is>
      </c>
      <c r="AG92" t="inlineStr"/>
    </row>
    <row r="93">
      <c r="A93" t="inlineStr">
        <is>
          <t>gun_105_long_he</t>
        </is>
      </c>
      <c r="B93" t="inlineStr">
        <is>
          <t>gun_105_long_he</t>
        </is>
      </c>
      <c r="C93" t="inlineStr">
        <is>
          <t>2A75 125 mm HE (2S25 Sprut)</t>
        </is>
      </c>
      <c r="D93" t="inlineStr">
        <is>
          <t>doi_that</t>
        </is>
      </c>
      <c r="E93" t="inlineStr">
        <is>
          <t>2A75 125 mm HE (2S25 Sprut)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nhịp chậm hơn 30 % và mạnh hơn tương ứng (luật súng của game)</t>
        </is>
      </c>
      <c r="M93" t="inlineStr">
        <is>
          <t>gameplay</t>
        </is>
      </c>
      <c r="N93" t="inlineStr"/>
      <c r="O93" t="inlineStr">
        <is>
          <t>da_kiem_chung</t>
        </is>
      </c>
      <c r="P93" t="inlineStr">
        <is>
          <t>R_balance;R_full_weapon_audit;W_wikipedia_2s25_sprut_sd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125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7</v>
      </c>
      <c r="Y93" t="n">
        <v>7</v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gun</t>
        </is>
      </c>
      <c r="AD93" t="inlineStr">
        <is>
          <t>Wikipedia '2S25 Sprut-SD': ~7 rpm</t>
        </is>
      </c>
      <c r="AE93" t="inlineStr"/>
      <c r="AF93" t="inlineStr">
        <is>
          <t>Tools/balance/full_weapon_audit.py: REAL / WARHEAD; balance.json weapons[id=gun_105_long_he].real</t>
        </is>
      </c>
      <c r="AG93" t="inlineStr"/>
    </row>
    <row r="94">
      <c r="A94" t="inlineStr">
        <is>
          <t>gun_105_twin</t>
        </is>
      </c>
      <c r="B94" t="inlineStr">
        <is>
          <t>gun_105_twin</t>
        </is>
      </c>
      <c r="C94" t="inlineStr">
        <is>
          <t>L7 105 mm (twin)</t>
        </is>
      </c>
      <c r="D94" t="inlineStr">
        <is>
          <t>doi_that</t>
        </is>
      </c>
      <c r="E94" t="inlineStr">
        <is>
          <t>L7 105 mm (twin)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nhịp chậm hơn 30 % và mạnh hơn tương ứng (luật súng của game)</t>
        </is>
      </c>
      <c r="M94" t="inlineStr">
        <is>
          <t>gameplay</t>
        </is>
      </c>
      <c r="N94" t="inlineStr"/>
      <c r="O94" t="inlineStr">
        <is>
          <t>da_kiem_chung</t>
        </is>
      </c>
      <c r="P94" t="inlineStr">
        <is>
          <t>R_balance;R_full_weapon_audit;W_wikipedia_royal_ordnance_l7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105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10</v>
      </c>
      <c r="Y94" t="n">
        <v>6</v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gun</t>
        </is>
      </c>
      <c r="AD94" t="inlineStr">
        <is>
          <t>Wikipedia 'Royal Ordnance L7': 6-10 rpm</t>
        </is>
      </c>
      <c r="AE94" t="inlineStr"/>
      <c r="AF94" t="inlineStr">
        <is>
          <t>Tools/balance/full_weapon_audit.py: REAL / WARHEAD; balance.json weapons[id=gun_105_twin].real</t>
        </is>
      </c>
      <c r="AG94" t="inlineStr"/>
    </row>
    <row r="95">
      <c r="A95" t="inlineStr">
        <is>
          <t>gun_105_wheeled</t>
        </is>
      </c>
      <c r="B95" t="inlineStr">
        <is>
          <t>gun_105_wheeled</t>
        </is>
      </c>
      <c r="C95" t="inlineStr">
        <is>
          <t>Centauro II 120 mm</t>
        </is>
      </c>
      <c r="D95" t="inlineStr">
        <is>
          <t>doi_that</t>
        </is>
      </c>
      <c r="E95" t="inlineStr">
        <is>
          <t>Centauro II 120 mm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nhịp chậm hơn 30 % và mạnh hơn tương ứng (luật súng của game)</t>
        </is>
      </c>
      <c r="M95" t="inlineStr">
        <is>
          <t>gameplay</t>
        </is>
      </c>
      <c r="N95" t="inlineStr"/>
      <c r="O95" t="inlineStr">
        <is>
          <t>ban_dau_doan</t>
        </is>
      </c>
      <c r="P95" t="inlineStr">
        <is>
          <t>R_balance;R_full_weapon_audit;R_machine_brigade_can_bang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120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8</v>
      </c>
      <c r="Y95" t="n">
        <v>6</v>
      </c>
      <c r="Z95" t="inlineStr">
        <is>
          <t>tay</t>
        </is>
      </c>
      <c r="AA95" t="inlineStr">
        <is>
          <t>NEED_SOURCE</t>
        </is>
      </c>
      <c r="AB95" t="inlineStr"/>
      <c r="AC95" t="inlineStr">
        <is>
          <t>gun</t>
        </is>
      </c>
      <c r="AD95" t="inlineStr">
        <is>
          <t>Centauro II 120 mm, manual: 6-8 rpm (the sheet)</t>
        </is>
      </c>
      <c r="AE95" t="inlineStr">
        <is>
          <t>Centauro II 120 mm nạp tay: ~6–8 phát/phút</t>
        </is>
      </c>
      <c r="AF95" t="inlineStr">
        <is>
          <t>Tools/balance/full_weapon_audit.py: REAL / WARHEAD; balance.json weapons[id=gun_105_wheeled].real</t>
        </is>
      </c>
      <c r="AG95" t="inlineStr"/>
    </row>
    <row r="96">
      <c r="A96" t="inlineStr">
        <is>
          <t>gun_105_wheeled_he</t>
        </is>
      </c>
      <c r="B96" t="inlineStr">
        <is>
          <t>gun_105_wheeled_he</t>
        </is>
      </c>
      <c r="C96" t="inlineStr">
        <is>
          <t>Centauro II 120 mm HE</t>
        </is>
      </c>
      <c r="D96" t="inlineStr">
        <is>
          <t>doi_that</t>
        </is>
      </c>
      <c r="E96" t="inlineStr">
        <is>
          <t>Centauro II 120 mm HE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nhịp chậm hơn 30 % và mạnh hơn tương ứng (luật súng của game)</t>
        </is>
      </c>
      <c r="M96" t="inlineStr">
        <is>
          <t>gameplay</t>
        </is>
      </c>
      <c r="N96" t="inlineStr"/>
      <c r="O96" t="inlineStr">
        <is>
          <t>ban_dau_doan</t>
        </is>
      </c>
      <c r="P96" t="inlineStr">
        <is>
          <t>R_balance;R_full_weapon_audit;R_machine_brigade_can_bang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120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8</v>
      </c>
      <c r="Y96" t="n">
        <v>6</v>
      </c>
      <c r="Z96" t="inlineStr">
        <is>
          <t>tay</t>
        </is>
      </c>
      <c r="AA96" t="inlineStr">
        <is>
          <t>NEED_SOURCE</t>
        </is>
      </c>
      <c r="AB96" t="inlineStr"/>
      <c r="AC96" t="inlineStr">
        <is>
          <t>gun</t>
        </is>
      </c>
      <c r="AD96" t="inlineStr">
        <is>
          <t>Centauro II 120 mm, manual: 6-8 rpm (the sheet)</t>
        </is>
      </c>
      <c r="AE96" t="inlineStr"/>
      <c r="AF96" t="inlineStr">
        <is>
          <t>Tools/balance/full_weapon_audit.py: REAL / WARHEAD; balance.json weapons[id=gun_105_wheeled_he].real</t>
        </is>
      </c>
      <c r="AG96" t="inlineStr"/>
    </row>
    <row r="97">
      <c r="A97" t="inlineStr">
        <is>
          <t>gun_120_twin</t>
        </is>
      </c>
      <c r="B97" t="inlineStr">
        <is>
          <t>gun_120_twin</t>
        </is>
      </c>
      <c r="C97" t="inlineStr">
        <is>
          <t>Rh-120 L/44 120 mm (twin)</t>
        </is>
      </c>
      <c r="D97" t="inlineStr">
        <is>
          <t>doi_that</t>
        </is>
      </c>
      <c r="E97" t="inlineStr">
        <is>
          <t>Rh-120 L/44 120 mm (twin)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nhịp chậm hơn 30 % và mạnh hơn tương ứng (luật súng của game)</t>
        </is>
      </c>
      <c r="M97" t="inlineStr">
        <is>
          <t>gameplay</t>
        </is>
      </c>
      <c r="N97" t="inlineStr"/>
      <c r="O97" t="inlineStr">
        <is>
          <t>da_kiem_chung</t>
        </is>
      </c>
      <c r="P97" t="inlineStr">
        <is>
          <t>R_balance;R_full_weapon_audit;W_wikipedia_rheinmetall_120_mm_gun;R_machine_brigade_can_bang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120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8</v>
      </c>
      <c r="Y97" t="n">
        <v>6</v>
      </c>
      <c r="Z97" t="inlineStr">
        <is>
          <t>tay</t>
        </is>
      </c>
      <c r="AA97" t="inlineStr">
        <is>
          <t>NEED_SOURCE</t>
        </is>
      </c>
      <c r="AB97" t="inlineStr"/>
      <c r="AC97" t="inlineStr">
        <is>
          <t>gun</t>
        </is>
      </c>
      <c r="AD97" t="inlineStr">
        <is>
          <t>the sheet's 'Ngoài đời': Rh-120 6-8 rpm with a loader (Wikipedia 'Rheinmetall 120 mm gun')</t>
        </is>
      </c>
      <c r="AE97" t="inlineStr">
        <is>
          <t>Rh-120</t>
        </is>
      </c>
      <c r="AF97" t="inlineStr">
        <is>
          <t>Tools/balance/full_weapon_audit.py: REAL / WARHEAD; balance.json weapons[id=gun_120_twin].real</t>
        </is>
      </c>
      <c r="AG97" t="inlineStr"/>
    </row>
    <row r="98">
      <c r="A98" t="inlineStr">
        <is>
          <t>gun_120_twin_he</t>
        </is>
      </c>
      <c r="B98" t="inlineStr">
        <is>
          <t>gun_120_twin_he</t>
        </is>
      </c>
      <c r="C98" t="inlineStr">
        <is>
          <t>Rh-120 L/44 120 mm HE (twin)</t>
        </is>
      </c>
      <c r="D98" t="inlineStr">
        <is>
          <t>doi_that</t>
        </is>
      </c>
      <c r="E98" t="inlineStr">
        <is>
          <t>Rh-120 L/44 120 mm HE (twin)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nhịp chậm hơn 30 % và mạnh hơn tương ứng (luật súng của game)</t>
        </is>
      </c>
      <c r="M98" t="inlineStr">
        <is>
          <t>gameplay</t>
        </is>
      </c>
      <c r="N98" t="inlineStr"/>
      <c r="O98" t="inlineStr">
        <is>
          <t>da_kiem_chung</t>
        </is>
      </c>
      <c r="P98" t="inlineStr">
        <is>
          <t>R_balance;R_full_weapon_audit;W_wikipedia_rheinmetall_120_mm_gun;R_machine_brigade_can_bang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120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8</v>
      </c>
      <c r="Y98" t="n">
        <v>6</v>
      </c>
      <c r="Z98" t="inlineStr">
        <is>
          <t>tay</t>
        </is>
      </c>
      <c r="AA98" t="inlineStr">
        <is>
          <t>NEED_SOURCE</t>
        </is>
      </c>
      <c r="AB98" t="inlineStr"/>
      <c r="AC98" t="inlineStr">
        <is>
          <t>gun</t>
        </is>
      </c>
      <c r="AD98" t="inlineStr">
        <is>
          <t>the sheet's 'Ngoài đời': Rh-120 6-8 rpm with a loader (Wikipedia 'Rheinmetall 120 mm gun')</t>
        </is>
      </c>
      <c r="AE98" t="inlineStr"/>
      <c r="AF98" t="inlineStr">
        <is>
          <t>Tools/balance/full_weapon_audit.py: REAL / WARHEAD; balance.json weapons[id=gun_120_twin_he].real</t>
        </is>
      </c>
      <c r="AG98" t="inlineStr"/>
    </row>
    <row r="99">
      <c r="A99" t="inlineStr">
        <is>
          <t>gun_120mm</t>
        </is>
      </c>
      <c r="B99" t="inlineStr">
        <is>
          <t>gun_120mm</t>
        </is>
      </c>
      <c r="C99" t="inlineStr">
        <is>
          <t>Rh-120 L/44 120 mm</t>
        </is>
      </c>
      <c r="D99" t="inlineStr">
        <is>
          <t>doi_that</t>
        </is>
      </c>
      <c r="E99" t="inlineStr">
        <is>
          <t>Rh-120 L/44 120 mm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nhịp chậm hơn 30 % và mạnh hơn tương ứng (luật súng của game)</t>
        </is>
      </c>
      <c r="M99" t="inlineStr">
        <is>
          <t>gameplay</t>
        </is>
      </c>
      <c r="N99" t="inlineStr"/>
      <c r="O99" t="inlineStr">
        <is>
          <t>da_kiem_chung</t>
        </is>
      </c>
      <c r="P99" t="inlineStr">
        <is>
          <t>R_balance;R_full_weapon_audit;W_wikipedia_rheinmetall_120_mm_gun;R_machine_brigade_can_bang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n">
        <v>120</v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8</v>
      </c>
      <c r="Y99" t="n">
        <v>6</v>
      </c>
      <c r="Z99" t="inlineStr">
        <is>
          <t>tay</t>
        </is>
      </c>
      <c r="AA99" t="inlineStr">
        <is>
          <t>NEED_SOURCE</t>
        </is>
      </c>
      <c r="AB99" t="inlineStr"/>
      <c r="AC99" t="inlineStr">
        <is>
          <t>gun</t>
        </is>
      </c>
      <c r="AD99" t="inlineStr">
        <is>
          <t>the sheet's 'Ngoài đời': Rh-120 6-8 rpm with a loader (Wikipedia 'Rheinmetall 120 mm gun')</t>
        </is>
      </c>
      <c r="AE99" t="inlineStr">
        <is>
          <t>Rh-120: 6–8 phát/phút</t>
        </is>
      </c>
      <c r="AF99" t="inlineStr">
        <is>
          <t>Tools/balance/full_weapon_audit.py: REAL / WARHEAD; balance.json weapons[id=gun_120mm].real</t>
        </is>
      </c>
      <c r="AG99" t="inlineStr"/>
    </row>
    <row r="100">
      <c r="A100" t="inlineStr">
        <is>
          <t>gun_120mm_he</t>
        </is>
      </c>
      <c r="B100" t="inlineStr">
        <is>
          <t>gun_120mm_he</t>
        </is>
      </c>
      <c r="C100" t="inlineStr">
        <is>
          <t>Rh-120 L/44 120 mm HE</t>
        </is>
      </c>
      <c r="D100" t="inlineStr">
        <is>
          <t>doi_that</t>
        </is>
      </c>
      <c r="E100" t="inlineStr">
        <is>
          <t>Rh-120 L/44 120 mm HE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nhịp chậm hơn 30 % và mạnh hơn tương ứng (luật súng của game)</t>
        </is>
      </c>
      <c r="M100" t="inlineStr">
        <is>
          <t>gameplay</t>
        </is>
      </c>
      <c r="N100" t="inlineStr"/>
      <c r="O100" t="inlineStr">
        <is>
          <t>da_kiem_chung</t>
        </is>
      </c>
      <c r="P100" t="inlineStr">
        <is>
          <t>R_balance;R_full_weapon_audit;W_wikipedia_rheinmetall_120_mm_gun;R_machine_brigade_can_bang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120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8</v>
      </c>
      <c r="Y100" t="n">
        <v>6</v>
      </c>
      <c r="Z100" t="inlineStr">
        <is>
          <t>tay</t>
        </is>
      </c>
      <c r="AA100" t="inlineStr">
        <is>
          <t>NEED_SOURCE</t>
        </is>
      </c>
      <c r="AB100" t="inlineStr"/>
      <c r="AC100" t="inlineStr">
        <is>
          <t>gun</t>
        </is>
      </c>
      <c r="AD100" t="inlineStr">
        <is>
          <t>the sheet's 'Ngoài đời': Rh-120 6-8 rpm with a loader (Wikipedia 'Rheinmetall 120 mm gun')</t>
        </is>
      </c>
      <c r="AE100" t="inlineStr"/>
      <c r="AF100" t="inlineStr">
        <is>
          <t>Tools/balance/full_weapon_audit.py: REAL / WARHEAD; balance.json weapons[id=gun_120mm_he].real</t>
        </is>
      </c>
      <c r="AG100" t="inlineStr"/>
    </row>
    <row r="101">
      <c r="A101" t="inlineStr">
        <is>
          <t>gun_125_armata_ke</t>
        </is>
      </c>
      <c r="B101" t="inlineStr">
        <is>
          <t>gun_125_armata_ke</t>
        </is>
      </c>
      <c r="C101" t="inlineStr">
        <is>
          <t>125 mm smoothbore (T-14 Armata)</t>
        </is>
      </c>
      <c r="D101" t="inlineStr">
        <is>
          <t>doi_that</t>
        </is>
      </c>
      <c r="E101" t="inlineStr">
        <is>
          <t>125 mm smoothbore (T-14 Armata)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nhịp chậm hơn 30 % và mạnh hơn tương ứng (luật súng của game)</t>
        </is>
      </c>
      <c r="M101" t="inlineStr">
        <is>
          <t>gameplay</t>
        </is>
      </c>
      <c r="N101" t="inlineStr"/>
      <c r="O101" t="inlineStr">
        <is>
          <t>da_kiem_chung</t>
        </is>
      </c>
      <c r="P101" t="inlineStr">
        <is>
          <t>R_balance;R_full_weapon_audit;W_wikipedia_2a46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125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8</v>
      </c>
      <c r="Y101" t="n">
        <v>7</v>
      </c>
      <c r="Z101" t="inlineStr">
        <is>
          <t>tu_dong</t>
        </is>
      </c>
      <c r="AA101" t="inlineStr">
        <is>
          <t>NEED_SOURCE</t>
        </is>
      </c>
      <c r="AB101" t="inlineStr"/>
      <c r="AC101" t="inlineStr">
        <is>
          <t>gun</t>
        </is>
      </c>
      <c r="AD101" t="inlineStr">
        <is>
          <t>Wikipedia '2A46': 7-8 rpm with the autoloader</t>
        </is>
      </c>
      <c r="AE101" t="inlineStr"/>
      <c r="AF101" t="inlineStr">
        <is>
          <t>Tools/balance/full_weapon_audit.py: REAL / WARHEAD; balance.json weapons[id=gun_125_armata_ke].real</t>
        </is>
      </c>
      <c r="AG101" t="inlineStr"/>
    </row>
    <row r="102">
      <c r="A102" t="inlineStr">
        <is>
          <t>gun_125_elite</t>
        </is>
      </c>
      <c r="B102" t="inlineStr">
        <is>
          <t>gun_125_elite</t>
        </is>
      </c>
      <c r="C102" t="inlineStr">
        <is>
          <t>2A46M-5 125 mm</t>
        </is>
      </c>
      <c r="D102" t="inlineStr">
        <is>
          <t>doi_that</t>
        </is>
      </c>
      <c r="E102" t="inlineStr">
        <is>
          <t>2A46M-5 125 mm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nhịp chậm hơn 30 % và mạnh hơn tương ứng (luật súng của game)</t>
        </is>
      </c>
      <c r="M102" t="inlineStr">
        <is>
          <t>gameplay</t>
        </is>
      </c>
      <c r="N102" t="inlineStr"/>
      <c r="O102" t="inlineStr">
        <is>
          <t>da_kiem_chung</t>
        </is>
      </c>
      <c r="P102" t="inlineStr">
        <is>
          <t>R_balance;R_full_weapon_audit;W_wikipedia_2a46;R_machine_brigade_can_bang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125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8</v>
      </c>
      <c r="Y102" t="n">
        <v>7</v>
      </c>
      <c r="Z102" t="inlineStr">
        <is>
          <t>tu_dong</t>
        </is>
      </c>
      <c r="AA102" t="inlineStr">
        <is>
          <t>NEED_SOURCE</t>
        </is>
      </c>
      <c r="AB102" t="inlineStr"/>
      <c r="AC102" t="inlineStr">
        <is>
          <t>gun</t>
        </is>
      </c>
      <c r="AD102" t="inlineStr">
        <is>
          <t>Wikipedia '2A46': 7-8 rpm with the autoloader</t>
        </is>
      </c>
      <c r="AE102" t="inlineStr">
        <is>
          <t>2A46M-5: 7–8 phát/phút (nạp tự động)</t>
        </is>
      </c>
      <c r="AF102" t="inlineStr">
        <is>
          <t>Tools/balance/full_weapon_audit.py: REAL / WARHEAD; balance.json weapons[id=gun_125_elite].real</t>
        </is>
      </c>
      <c r="AG102" t="inlineStr"/>
    </row>
    <row r="103">
      <c r="A103" t="inlineStr">
        <is>
          <t>gun_125_elite_he</t>
        </is>
      </c>
      <c r="B103" t="inlineStr">
        <is>
          <t>gun_125_elite_he</t>
        </is>
      </c>
      <c r="C103" t="inlineStr">
        <is>
          <t>2A46M-5 125 mm HE</t>
        </is>
      </c>
      <c r="D103" t="inlineStr">
        <is>
          <t>doi_that</t>
        </is>
      </c>
      <c r="E103" t="inlineStr">
        <is>
          <t>2A46M-5 125 mm HE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nhịp chậm hơn 30 % và mạnh hơn tương ứng (luật súng của game)</t>
        </is>
      </c>
      <c r="M103" t="inlineStr">
        <is>
          <t>gameplay</t>
        </is>
      </c>
      <c r="N103" t="inlineStr"/>
      <c r="O103" t="inlineStr">
        <is>
          <t>da_kiem_chung</t>
        </is>
      </c>
      <c r="P103" t="inlineStr">
        <is>
          <t>R_balance;R_full_weapon_audit;W_wikipedia_2a46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125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8</v>
      </c>
      <c r="Y103" t="n">
        <v>7</v>
      </c>
      <c r="Z103" t="inlineStr">
        <is>
          <t>tu_dong</t>
        </is>
      </c>
      <c r="AA103" t="inlineStr">
        <is>
          <t>NEED_SOURCE</t>
        </is>
      </c>
      <c r="AB103" t="inlineStr"/>
      <c r="AC103" t="inlineStr">
        <is>
          <t>gun</t>
        </is>
      </c>
      <c r="AD103" t="inlineStr">
        <is>
          <t>Wikipedia '2A46': 7-8 rpm with the autoloader</t>
        </is>
      </c>
      <c r="AE103" t="inlineStr"/>
      <c r="AF103" t="inlineStr">
        <is>
          <t>Tools/balance/full_weapon_audit.py: REAL / WARHEAD; balance.json weapons[id=gun_125_elite_he].real</t>
        </is>
      </c>
      <c r="AG103" t="inlineStr"/>
    </row>
    <row r="104">
      <c r="A104" t="inlineStr">
        <is>
          <t>gun_140_twin</t>
        </is>
      </c>
      <c r="B104" t="inlineStr">
        <is>
          <t>gun_140_twin</t>
        </is>
      </c>
      <c r="C104" t="inlineStr">
        <is>
          <t>NPzK 140 mm (twin)</t>
        </is>
      </c>
      <c r="D104" t="inlineStr">
        <is>
          <t>doi_that</t>
        </is>
      </c>
      <c r="E104" t="inlineStr">
        <is>
          <t>NPzK 140 mm (twin)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nhịp chậm hơn 30 % và mạnh hơn tương ứng (luật súng của game)</t>
        </is>
      </c>
      <c r="M104" t="inlineStr">
        <is>
          <t>gameplay</t>
        </is>
      </c>
      <c r="N104" t="inlineStr"/>
      <c r="O104" t="inlineStr">
        <is>
          <t>uoc_dinh</t>
        </is>
      </c>
      <c r="P104" t="inlineStr">
        <is>
          <t>R_balance;R_full_weapon_audit;R_machine_brigade_can_bang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140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10</v>
      </c>
      <c r="Y104" t="n">
        <v>8</v>
      </c>
      <c r="Z104" t="inlineStr">
        <is>
          <t>tu_dong</t>
        </is>
      </c>
      <c r="AA104" t="inlineStr">
        <is>
          <t>NEED_SOURCE</t>
        </is>
      </c>
      <c r="AB104" t="inlineStr"/>
      <c r="AC104" t="inlineStr">
        <is>
          <t>gun</t>
        </is>
      </c>
      <c r="AD104" t="inlineStr">
        <is>
          <t>NPzK 140 mm (experimental), est. 10 rpm with an autoloader (Leclerc-class)</t>
        </is>
      </c>
      <c r="AE104" t="inlineStr">
        <is>
          <t>NPzK 140 mm (thử nghiệm)</t>
        </is>
      </c>
      <c r="AF104" t="inlineStr">
        <is>
          <t>Tools/balance/full_weapon_audit.py: REAL / WARHEAD; balance.json weapons[id=gun_140_twin].real</t>
        </is>
      </c>
      <c r="AG104" t="inlineStr"/>
    </row>
    <row r="105">
      <c r="A105" t="inlineStr">
        <is>
          <t>gun_140_twin_he</t>
        </is>
      </c>
      <c r="B105" t="inlineStr">
        <is>
          <t>gun_140_twin_he</t>
        </is>
      </c>
      <c r="C105" t="inlineStr">
        <is>
          <t>NPzK 140 mm HE (twin)</t>
        </is>
      </c>
      <c r="D105" t="inlineStr">
        <is>
          <t>doi_that</t>
        </is>
      </c>
      <c r="E105" t="inlineStr">
        <is>
          <t>NPzK 140 mm HE (twin)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uoc_dinh</t>
        </is>
      </c>
      <c r="P105" t="inlineStr">
        <is>
          <t>R_balance;R_full_weapon_audit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140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tu_dong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NPzK 140 mm (experimental), est. 10 rpm with an autoloader (Leclerc-class)</t>
        </is>
      </c>
      <c r="AE105" t="inlineStr"/>
      <c r="AF105" t="inlineStr">
        <is>
          <t>Tools/balance/full_weapon_audit.py: REAL / WARHEAD; balance.json weapons[id=gun_140_twin_he].real</t>
        </is>
      </c>
      <c r="AG105" t="inlineStr"/>
    </row>
    <row r="106">
      <c r="A106" t="inlineStr">
        <is>
          <t>gun_152</t>
        </is>
      </c>
      <c r="B106" t="inlineStr">
        <is>
          <t>gun_152</t>
        </is>
      </c>
      <c r="C106" t="inlineStr">
        <is>
          <t>2A83 152 mm</t>
        </is>
      </c>
      <c r="D106" t="inlineStr">
        <is>
          <t>doi_that</t>
        </is>
      </c>
      <c r="E106" t="inlineStr">
        <is>
          <t>2A83 152 mm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uoc_dinh</t>
        </is>
      </c>
      <c r="P106" t="inlineStr">
        <is>
          <t>R_balance;R_full_weapon_audit;R_machine_brigade_can_bang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152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10</v>
      </c>
      <c r="Y106" t="n">
        <v>8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Object 195 / T-14 152 mm, est. ~10 rpm (the sheet)</t>
        </is>
      </c>
      <c r="AE106" t="inlineStr">
        <is>
          <t>2A83 152 mm (Object 195): ~10 phát/phút (ước lượng)</t>
        </is>
      </c>
      <c r="AF106" t="inlineStr">
        <is>
          <t>Tools/balance/full_weapon_audit.py: REAL / WARHEAD; balance.json weapons[id=gun_152].real</t>
        </is>
      </c>
      <c r="AG106" t="inlineStr"/>
    </row>
    <row r="107">
      <c r="A107" t="inlineStr">
        <is>
          <t>gun_152_he</t>
        </is>
      </c>
      <c r="B107" t="inlineStr">
        <is>
          <t>gun_152_he</t>
        </is>
      </c>
      <c r="C107" t="inlineStr">
        <is>
          <t>2A83 152 mm HE-FRAG</t>
        </is>
      </c>
      <c r="D107" t="inlineStr">
        <is>
          <t>doi_that</t>
        </is>
      </c>
      <c r="E107" t="inlineStr">
        <is>
          <t>2A83 152 mm HE-FRAG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uoc_dinh</t>
        </is>
      </c>
      <c r="P107" t="inlineStr">
        <is>
          <t>R_balance;R_full_weapon_audit;R_machine_brigade_can_bang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152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8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Object 195 / T-14 152 mm, est. ~10 rpm (the sheet)</t>
        </is>
      </c>
      <c r="AE107" t="inlineStr">
        <is>
          <t>2A83</t>
        </is>
      </c>
      <c r="AF107" t="inlineStr">
        <is>
          <t>Tools/balance/full_weapon_audit.py: REAL / WARHEAD; balance.json weapons[id=gun_152_he].real</t>
        </is>
      </c>
      <c r="AG107" t="inlineStr"/>
    </row>
    <row r="108">
      <c r="A108" t="inlineStr">
        <is>
          <t>gun_152_heat</t>
        </is>
      </c>
      <c r="B108" t="inlineStr">
        <is>
          <t>gun_152_heat</t>
        </is>
      </c>
      <c r="C108" t="inlineStr">
        <is>
          <t>2A83 152 mm HEAT</t>
        </is>
      </c>
      <c r="D108" t="inlineStr">
        <is>
          <t>doi_that</t>
        </is>
      </c>
      <c r="E108" t="inlineStr">
        <is>
          <t>2A83 152 mm HEAT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uoc_dinh</t>
        </is>
      </c>
      <c r="P108" t="inlineStr">
        <is>
          <t>R_balance;R_full_weapon_audit;R_machine_brigade_can_bang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152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10</v>
      </c>
      <c r="Y108" t="n">
        <v>8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Object 195 / T-14 152 mm, est. ~10 rpm (the sheet)</t>
        </is>
      </c>
      <c r="AE108" t="inlineStr">
        <is>
          <t>2A83</t>
        </is>
      </c>
      <c r="AF108" t="inlineStr">
        <is>
          <t>Tools/balance/full_weapon_audit.py: REAL / WARHEAD; balance.json weapons[id=gun_152_heat].real</t>
        </is>
      </c>
      <c r="AG108" t="inlineStr"/>
    </row>
    <row r="109">
      <c r="A109" t="inlineStr">
        <is>
          <t>gun_152_heat_he</t>
        </is>
      </c>
      <c r="B109" t="inlineStr">
        <is>
          <t>gun_152_heat_he</t>
        </is>
      </c>
      <c r="C109" t="inlineStr">
        <is>
          <t>2A83 152 mm HE-FRAG</t>
        </is>
      </c>
      <c r="D109" t="inlineStr">
        <is>
          <t>doi_that</t>
        </is>
      </c>
      <c r="E109" t="inlineStr">
        <is>
          <t>2A83 152 mm HE-FRAG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uoc_dinh</t>
        </is>
      </c>
      <c r="P109" t="inlineStr">
        <is>
          <t>R_balance;R_full_weapon_audit;R_machine_brigade_can_bang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152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10</v>
      </c>
      <c r="Y109" t="n">
        <v>8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Object 195 / T-14 152 mm, est. ~10 rpm (the sheet)</t>
        </is>
      </c>
      <c r="AE109" t="inlineStr"/>
      <c r="AF109" t="inlineStr">
        <is>
          <t>Tools/balance/full_weapon_audit.py: REAL / WARHEAD; balance.json weapons[id=gun_152_heat_he].real</t>
        </is>
      </c>
      <c r="AG109" t="inlineStr"/>
    </row>
    <row r="110">
      <c r="A110" t="inlineStr">
        <is>
          <t>gun_155_coastal</t>
        </is>
      </c>
      <c r="B110" t="inlineStr">
        <is>
          <t>gun_155_coastal</t>
        </is>
      </c>
      <c r="C110" t="inlineStr">
        <is>
          <t>M284 155 mm (coastal battery)</t>
        </is>
      </c>
      <c r="D110" t="inlineStr">
        <is>
          <t>doi_that</t>
        </is>
      </c>
      <c r="E110" t="inlineStr">
        <is>
          <t>M284 155 mm (coastal battery)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R_balance;R_full_weapon_audit;D_us_army_m109a7_fact_file;R_machine_brigade_can_bang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155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4</v>
      </c>
      <c r="Y110" t="n">
        <v>1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US Army M109A7 fact file: 4 rpm for 3 min, 1 rpm sustained</t>
        </is>
      </c>
      <c r="AE110" t="inlineStr">
        <is>
          <t>M284 155 mm</t>
        </is>
      </c>
      <c r="AF110" t="inlineStr">
        <is>
          <t>Tools/balance/full_weapon_audit.py: REAL / WARHEAD; balance.json weapons[id=gun_155_coastal].real</t>
        </is>
      </c>
      <c r="AG110" t="inlineStr"/>
    </row>
    <row r="111">
      <c r="A111" t="inlineStr">
        <is>
          <t>gun_155_coastal_guided</t>
        </is>
      </c>
      <c r="B111" t="inlineStr">
        <is>
          <t>gun_155_coastal_guided</t>
        </is>
      </c>
      <c r="C111" t="inlineStr">
        <is>
          <t>M284 155 mm guided (coastal battery)</t>
        </is>
      </c>
      <c r="D111" t="inlineStr">
        <is>
          <t>doi_that</t>
        </is>
      </c>
      <c r="E111" t="inlineStr">
        <is>
          <t>M284 155 mm guided (coastal battery)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R_balance;R_full_weapon_audit;D_us_army_m109a7_fact_file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155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4</v>
      </c>
      <c r="Y111" t="n">
        <v>1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US Army M109A7 fact file: 4 rpm for 3 min, 1 rpm sustained</t>
        </is>
      </c>
      <c r="AE111" t="inlineStr"/>
      <c r="AF111" t="inlineStr">
        <is>
          <t>Tools/balance/full_weapon_audit.py: REAL / WARHEAD; balance.json weapons[id=gun_155_coastal_guided].real</t>
        </is>
      </c>
      <c r="AG111" t="inlineStr"/>
    </row>
    <row r="112">
      <c r="A112" t="inlineStr">
        <is>
          <t>gun_155_sph</t>
        </is>
      </c>
      <c r="B112" t="inlineStr">
        <is>
          <t>gun_155_sph</t>
        </is>
      </c>
      <c r="C112" t="inlineStr">
        <is>
          <t>M284 155 mm</t>
        </is>
      </c>
      <c r="D112" t="inlineStr">
        <is>
          <t>doi_that</t>
        </is>
      </c>
      <c r="E112" t="inlineStr">
        <is>
          <t>M284 155 mm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R_balance;R_full_weapon_audit;D_us_army_m109a7_fact_file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155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4</v>
      </c>
      <c r="Y112" t="n">
        <v>1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US Army M109A7 fact file: 4 rpm for 3 min, 1 rpm sustained</t>
        </is>
      </c>
      <c r="AE112" t="inlineStr"/>
      <c r="AF112" t="inlineStr">
        <is>
          <t>Tools/balance/full_weapon_audit.py: REAL / WARHEAD; balance.json weapons[id=gun_155_sph].real</t>
        </is>
      </c>
      <c r="AG112" t="inlineStr"/>
    </row>
    <row r="113">
      <c r="A113" t="inlineStr">
        <is>
          <t>gun_155_twin</t>
        </is>
      </c>
      <c r="B113" t="inlineStr">
        <is>
          <t>gun_155_twin</t>
        </is>
      </c>
      <c r="C113" t="inlineStr">
        <is>
          <t>M284 155 mm (twin)</t>
        </is>
      </c>
      <c r="D113" t="inlineStr">
        <is>
          <t>doi_that</t>
        </is>
      </c>
      <c r="E113" t="inlineStr">
        <is>
          <t>M284 155 mm (twin)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R_balance;R_full_weapon_audit;D_us_army_m109a7_fact_file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155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4</v>
      </c>
      <c r="Y113" t="n">
        <v>1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US Army M109A7 fact file: 4 rpm for 3 min, 1 rpm sustained</t>
        </is>
      </c>
      <c r="AE113" t="inlineStr"/>
      <c r="AF113" t="inlineStr">
        <is>
          <t>Tools/balance/full_weapon_audit.py: REAL / WARHEAD; balance.json weapons[id=gun_155_twin].real</t>
        </is>
      </c>
      <c r="AG113" t="inlineStr"/>
    </row>
    <row r="114">
      <c r="A114" t="inlineStr">
        <is>
          <t>gun_155_twin_ap</t>
        </is>
      </c>
      <c r="B114" t="inlineStr">
        <is>
          <t>gun_155_twin_ap</t>
        </is>
      </c>
      <c r="C114" t="inlineStr">
        <is>
          <t>M284 155 mm (twin) AP</t>
        </is>
      </c>
      <c r="D114" t="inlineStr">
        <is>
          <t>doi_that</t>
        </is>
      </c>
      <c r="E114" t="inlineStr">
        <is>
          <t>M284 155 mm (twin) AP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R_balance;R_full_weapon_audit;D_us_army_m109a7_fact_file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155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4</v>
      </c>
      <c r="Y114" t="n">
        <v>1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US Army M109A7 fact file: 4 rpm for 3 min, 1 rpm sustained</t>
        </is>
      </c>
      <c r="AE114" t="inlineStr"/>
      <c r="AF114" t="inlineStr">
        <is>
          <t>Tools/balance/full_weapon_audit.py: REAL / WARHEAD; balance.json weapons[id=gun_155_twin_ap].real</t>
        </is>
      </c>
      <c r="AG114" t="inlineStr"/>
    </row>
    <row r="115">
      <c r="A115" t="inlineStr">
        <is>
          <t>gun_155_twin_coastlr</t>
        </is>
      </c>
      <c r="B115" t="inlineStr">
        <is>
          <t>gun_155_twin_coastlr</t>
        </is>
      </c>
      <c r="C115" t="inlineStr">
        <is>
          <t>M284 155 mm (twin, long-range coastal)</t>
        </is>
      </c>
      <c r="D115" t="inlineStr">
        <is>
          <t>doi_that</t>
        </is>
      </c>
      <c r="E115" t="inlineStr">
        <is>
          <t>M284 155 mm (twin, long-range coastal)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R_balance;R_full_weapon_audit;D_us_army_m109a7_fact_file;R_machine_brigade_can_bang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155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4</v>
      </c>
      <c r="Y115" t="n">
        <v>1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US Army M109A7 fact file: 4 rpm for 3 min, 1 rpm sustained</t>
        </is>
      </c>
      <c r="AE115" t="inlineStr">
        <is>
          <t>M284 155 mm</t>
        </is>
      </c>
      <c r="AF115" t="inlineStr">
        <is>
          <t>Tools/balance/full_weapon_audit.py: REAL / WARHEAD; balance.json weapons[id=gun_155_twin_coastlr].real</t>
        </is>
      </c>
      <c r="AG115" t="inlineStr"/>
    </row>
    <row r="116">
      <c r="A116" t="inlineStr">
        <is>
          <t>gun_155_twin_coastlr_guided</t>
        </is>
      </c>
      <c r="B116" t="inlineStr">
        <is>
          <t>gun_155_twin_coastlr_guided</t>
        </is>
      </c>
      <c r="C116" t="inlineStr">
        <is>
          <t>M284 155 mm guided (twin, long-range coastal)</t>
        </is>
      </c>
      <c r="D116" t="inlineStr">
        <is>
          <t>doi_that</t>
        </is>
      </c>
      <c r="E116" t="inlineStr">
        <is>
          <t>M284 155 mm guided (twin, long-range coastal)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R_balance;R_full_weapon_audit;D_us_army_m109a7_fact_file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155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4</v>
      </c>
      <c r="Y116" t="n">
        <v>1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US Army M109A7 fact file: 4 rpm for 3 min, 1 rpm sustained</t>
        </is>
      </c>
      <c r="AE116" t="inlineStr"/>
      <c r="AF116" t="inlineStr">
        <is>
          <t>Tools/balance/full_weapon_audit.py: REAL / WARHEAD; balance.json weapons[id=gun_155_twin_coastlr_guided].real</t>
        </is>
      </c>
      <c r="AG116" t="inlineStr"/>
    </row>
    <row r="117">
      <c r="A117" t="inlineStr">
        <is>
          <t>gun_155_twin_fort</t>
        </is>
      </c>
      <c r="B117" t="inlineStr">
        <is>
          <t>gun_155_twin_fort</t>
        </is>
      </c>
      <c r="C117" t="inlineStr">
        <is>
          <t>M284 155 mm (twin)</t>
        </is>
      </c>
      <c r="D117" t="inlineStr">
        <is>
          <t>doi_that</t>
        </is>
      </c>
      <c r="E117" t="inlineStr">
        <is>
          <t>M284 155 mm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R_balance;R_full_weapon_audit;D_us_army_m109a7_fact_file;R_machine_brigade_can_bang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155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4</v>
      </c>
      <c r="Y117" t="n">
        <v>1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US Army M109A7 fact file: 4 rpm for 3 min, 1 rpm sustained</t>
        </is>
      </c>
      <c r="AE117" t="inlineStr">
        <is>
          <t>M284 155 mm</t>
        </is>
      </c>
      <c r="AF117" t="inlineStr">
        <is>
          <t>Tools/balance/full_weapon_audit.py: REAL / WARHEAD; balance.json weapons[id=gun_155_twin_fort].real</t>
        </is>
      </c>
      <c r="AG117" t="inlineStr"/>
    </row>
    <row r="118">
      <c r="A118" t="inlineStr">
        <is>
          <t>gun_155_twin_fort_guided</t>
        </is>
      </c>
      <c r="B118" t="inlineStr">
        <is>
          <t>gun_155_twin_fort_guided</t>
        </is>
      </c>
      <c r="C118" t="inlineStr">
        <is>
          <t>M284 155 mm guided (twin)</t>
        </is>
      </c>
      <c r="D118" t="inlineStr">
        <is>
          <t>doi_that</t>
        </is>
      </c>
      <c r="E118" t="inlineStr">
        <is>
          <t>M284 155 mm guided (twin)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R_balance;R_full_weapon_audit;D_us_army_m109a7_fact_file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155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4</v>
      </c>
      <c r="Y118" t="n">
        <v>1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US Army M109A7 fact file: 4 rpm for 3 min, 1 rpm sustained</t>
        </is>
      </c>
      <c r="AE118" t="inlineStr"/>
      <c r="AF118" t="inlineStr">
        <is>
          <t>Tools/balance/full_weapon_audit.py: REAL / WARHEAD; balance.json weapons[id=gun_155_twin_fort_guided].real</t>
        </is>
      </c>
      <c r="AG118" t="inlineStr"/>
    </row>
    <row r="119">
      <c r="A119" t="inlineStr">
        <is>
          <t>gun_155_twin_long</t>
        </is>
      </c>
      <c r="B119" t="inlineStr">
        <is>
          <t>gun_155_twin_long</t>
        </is>
      </c>
      <c r="C119" t="inlineStr">
        <is>
          <t>M284 155 mm (twin, long)</t>
        </is>
      </c>
      <c r="D119" t="inlineStr">
        <is>
          <t>doi_that</t>
        </is>
      </c>
      <c r="E119" t="inlineStr">
        <is>
          <t>M284 155 mm (twin, long)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R_balance;R_full_weapon_audit;D_us_army_m109a7_fact_file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155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4</v>
      </c>
      <c r="Y119" t="n">
        <v>1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US Army M109A7 fact file: 4 rpm for 3 min, 1 rpm sustained</t>
        </is>
      </c>
      <c r="AE119" t="inlineStr"/>
      <c r="AF119" t="inlineStr">
        <is>
          <t>Tools/balance/full_weapon_audit.py: REAL / WARHEAD; balance.json weapons[id=gun_155_twin_long].real</t>
        </is>
      </c>
      <c r="AG119" t="inlineStr"/>
    </row>
    <row r="120">
      <c r="A120" t="inlineStr">
        <is>
          <t>gun_203_siege</t>
        </is>
      </c>
      <c r="B120" t="inlineStr">
        <is>
          <t>gun_203_siege</t>
        </is>
      </c>
      <c r="C120" t="inlineStr">
        <is>
          <t>M110 203 mm</t>
        </is>
      </c>
      <c r="D120" t="inlineStr">
        <is>
          <t>doi_that</t>
        </is>
      </c>
      <c r="E120" t="inlineStr">
        <is>
          <t>M110 203 mm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R_balance;R_full_weapon_audit;W_wikipedia_m110_howitzer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203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2</v>
      </c>
      <c r="Y120" t="n">
        <v>1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Wikipedia 'M110 howitzer': 1.5-2 rpm</t>
        </is>
      </c>
      <c r="AE120" t="inlineStr"/>
      <c r="AF120" t="inlineStr">
        <is>
          <t>Tools/balance/full_weapon_audit.py: REAL / WARHEAD; balance.json weapons[id=gun_203_siege].real</t>
        </is>
      </c>
      <c r="AG120" t="inlineStr"/>
    </row>
    <row r="121">
      <c r="A121" t="inlineStr">
        <is>
          <t>gun_behemoth</t>
        </is>
      </c>
      <c r="B121" t="inlineStr">
        <is>
          <t>gun_behemoth</t>
        </is>
      </c>
      <c r="C121" t="inlineStr">
        <is>
          <t>2A65 152 mm (twin)</t>
        </is>
      </c>
      <c r="D121" t="inlineStr">
        <is>
          <t>doi_that</t>
        </is>
      </c>
      <c r="E121" t="inlineStr">
        <is>
          <t>2A65 152 mm (twin)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R_balance;R_full_weapon_audit;W_wikipedia_2a65_msta_b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152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6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'2A65 Msta-B': 7-8 rpm</t>
        </is>
      </c>
      <c r="AE121" t="inlineStr"/>
      <c r="AF121" t="inlineStr">
        <is>
          <t>Tools/balance/full_weapon_audit.py: REAL / WARHEAD; balance.json weapons[id=gun_behemoth].real</t>
        </is>
      </c>
      <c r="AG121" t="inlineStr"/>
    </row>
    <row r="122">
      <c r="A122" t="inlineStr">
        <is>
          <t>gun_behemoth_guided</t>
        </is>
      </c>
      <c r="B122" t="inlineStr">
        <is>
          <t>gun_behemoth_guided</t>
        </is>
      </c>
      <c r="C122" t="inlineStr">
        <is>
          <t>2A65 152 mm guided (twin)</t>
        </is>
      </c>
      <c r="D122" t="inlineStr">
        <is>
          <t>doi_that</t>
        </is>
      </c>
      <c r="E122" t="inlineStr">
        <is>
          <t>2A65 152 mm guided (twin)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da_kiem_chung</t>
        </is>
      </c>
      <c r="P122" t="inlineStr">
        <is>
          <t>R_balance;R_full_weapon_audit;W_wikipedia_2a65_msta_b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152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8</v>
      </c>
      <c r="Y122" t="n">
        <v>6</v>
      </c>
      <c r="Z122" t="inlineStr">
        <is>
          <t>NEED_SOURCE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Wikipedia '2A65 Msta-B': 7-8 rpm</t>
        </is>
      </c>
      <c r="AE122" t="inlineStr"/>
      <c r="AF122" t="inlineStr">
        <is>
          <t>Tools/balance/full_weapon_audit.py: REAL / WARHEAD; balance.json weapons[id=gun_behemoth_guided].real</t>
        </is>
      </c>
      <c r="AG122" t="inlineStr"/>
    </row>
    <row r="123">
      <c r="A123" t="inlineStr">
        <is>
          <t>gun_launched_atgm</t>
        </is>
      </c>
      <c r="B123" t="inlineStr">
        <is>
          <t>gun_launched_atgm</t>
        </is>
      </c>
      <c r="C123" t="inlineStr">
        <is>
          <t>gun-launched ATGM (9M117 class)</t>
        </is>
      </c>
      <c r="D123" t="inlineStr">
        <is>
          <t>doi_that</t>
        </is>
      </c>
      <c r="E123" t="inlineStr">
        <is>
          <t>gun-launched ATGM (9M117 class)</t>
        </is>
      </c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  <c r="O123" t="inlineStr">
        <is>
          <t>uoc_dinh</t>
        </is>
      </c>
      <c r="P123" t="inlineStr">
        <is>
          <t>R_balance;R_full_weapon_audit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inlineStr">
        <is>
          <t>NEED_SOURCE</t>
        </is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4</v>
      </c>
      <c r="Y123" t="n">
        <v>3</v>
      </c>
      <c r="Z123" t="inlineStr">
        <is>
          <t>NEED_SOURCE</t>
        </is>
      </c>
      <c r="AA123" t="inlineStr">
        <is>
          <t>NEED_SOURCE</t>
        </is>
      </c>
      <c r="AB123" t="inlineStr">
        <is>
          <t>NEED_SOURCE</t>
        </is>
      </c>
      <c r="AC123" t="inlineStr">
        <is>
          <t>atgm</t>
        </is>
      </c>
      <c r="AD123" t="inlineStr">
        <is>
          <t>the gun's own rate with a loaded missile, est. 4 rpm</t>
        </is>
      </c>
      <c r="AE123" t="inlineStr"/>
      <c r="AF123" t="inlineStr">
        <is>
          <t>Tools/balance/full_weapon_audit.py: REAL / WARHEAD; balance.json weapons[id=gun_launched_atgm].real</t>
        </is>
      </c>
      <c r="AG123" t="inlineStr"/>
    </row>
    <row r="124">
      <c r="A124" t="inlineStr">
        <is>
          <t>gun_pit_105</t>
        </is>
      </c>
      <c r="B124" t="inlineStr">
        <is>
          <t>gun_pit_105</t>
        </is>
      </c>
      <c r="C124" t="inlineStr">
        <is>
          <t>Rh-120 L/44 120 mm (dug in)</t>
        </is>
      </c>
      <c r="D124" t="inlineStr">
        <is>
          <t>doi_that</t>
        </is>
      </c>
      <c r="E124" t="inlineStr">
        <is>
          <t>Rh-120 L/44 120 mm (dug in)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da_kiem_chung</t>
        </is>
      </c>
      <c r="P124" t="inlineStr">
        <is>
          <t>R_balance;R_full_weapon_audit;W_wikipedia_rheinmetall_120_mm_gun;R_machine_brigade_can_bang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120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8</v>
      </c>
      <c r="Y124" t="n">
        <v>6</v>
      </c>
      <c r="Z124" t="inlineStr">
        <is>
          <t>tay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the sheet's 'Ngoài đời': Rh-120 6-8 rpm with a loader (Wikipedia 'Rheinmetall 120 mm gun')</t>
        </is>
      </c>
      <c r="AE124" t="inlineStr"/>
      <c r="AF124" t="inlineStr">
        <is>
          <t>Tools/balance/full_weapon_audit.py: REAL / WARHEAD; balance.json weapons[id=gun_pit_105].real</t>
        </is>
      </c>
      <c r="AG124" t="inlineStr"/>
    </row>
    <row r="125">
      <c r="A125" t="inlineStr">
        <is>
          <t>gunship_25mm</t>
        </is>
      </c>
      <c r="B125" t="inlineStr">
        <is>
          <t>gunship_25mm</t>
        </is>
      </c>
      <c r="C125" t="inlineStr">
        <is>
          <t>GAU-12 Equalizer 25 mm</t>
        </is>
      </c>
      <c r="D125" t="inlineStr">
        <is>
          <t>doi_that</t>
        </is>
      </c>
      <c r="E125" t="inlineStr">
        <is>
          <t>GAU-12 Equalizer 25 mm</t>
        </is>
      </c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>
        <is>
          <t>da_kiem_chung</t>
        </is>
      </c>
      <c r="P125" t="inlineStr">
        <is>
          <t>R_balance;R_full_weapon_audit;W_wikipedia_gau_12_equalizer;R_machine_brigade_can_bang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25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4200</v>
      </c>
      <c r="Y125" t="inlineStr">
        <is>
          <t>NEED_SOURCE</t>
        </is>
      </c>
      <c r="Z125" t="inlineStr">
        <is>
          <t>NEED_SOURCE</t>
        </is>
      </c>
      <c r="AA125" t="inlineStr">
        <is>
          <t>NEED_SOURCE</t>
        </is>
      </c>
      <c r="AB125" t="inlineStr"/>
      <c r="AC125" t="inlineStr">
        <is>
          <t>ac</t>
        </is>
      </c>
      <c r="AD125" t="inlineStr">
        <is>
          <t>Wikipedia 'GAU-12 Equalizer': 3,600-4,200 rpm (1,800 on the AC-130U)</t>
        </is>
      </c>
      <c r="AE125" t="inlineStr">
        <is>
          <t>GAU-12: 3.600–4.200</t>
        </is>
      </c>
      <c r="AF125" t="inlineStr">
        <is>
          <t>Tools/balance/full_weapon_audit.py: REAL / WARHEAD; balance.json weapons[id=gunship_25mm].real</t>
        </is>
      </c>
      <c r="AG125" t="inlineStr"/>
    </row>
    <row r="126">
      <c r="A126" t="inlineStr">
        <is>
          <t>gunship_25mm_flak</t>
        </is>
      </c>
      <c r="B126" t="inlineStr">
        <is>
          <t>gunship_25mm_flak</t>
        </is>
      </c>
      <c r="C126" t="inlineStr">
        <is>
          <t>GAU-12 Equalizer 25 mm air-burst</t>
        </is>
      </c>
      <c r="D126" t="inlineStr">
        <is>
          <t>doi_that</t>
        </is>
      </c>
      <c r="E126" t="inlineStr">
        <is>
          <t>GAU-12 Equalizer 25 mm air-burst</t>
        </is>
      </c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>
        <is>
          <t>da_kiem_chung</t>
        </is>
      </c>
      <c r="P126" t="inlineStr">
        <is>
          <t>R_balance;R_full_weapon_audit;W_wikipedia_gau_12_equalizer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25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4200</v>
      </c>
      <c r="Y126" t="inlineStr">
        <is>
          <t>NEED_SOURCE</t>
        </is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ac</t>
        </is>
      </c>
      <c r="AD126" t="inlineStr">
        <is>
          <t>Wikipedia 'GAU-12 Equalizer': 3,600-4,200 rpm (1,800 on the AC-130U)</t>
        </is>
      </c>
      <c r="AE126" t="inlineStr"/>
      <c r="AF126" t="inlineStr">
        <is>
          <t>Tools/balance/full_weapon_audit.py: REAL / WARHEAD; balance.json weapons[id=gunship_25mm_flak].real</t>
        </is>
      </c>
      <c r="AG126" t="inlineStr"/>
    </row>
    <row r="127">
      <c r="A127" t="inlineStr">
        <is>
          <t>gunship_40mm</t>
        </is>
      </c>
      <c r="B127" t="inlineStr">
        <is>
          <t>gunship_40mm</t>
        </is>
      </c>
      <c r="C127" t="inlineStr">
        <is>
          <t>Bofors L/60 40 mm</t>
        </is>
      </c>
      <c r="D127" t="inlineStr">
        <is>
          <t>doi_that</t>
        </is>
      </c>
      <c r="E127" t="inlineStr">
        <is>
          <t>Bofors L/60 40 mm</t>
        </is>
      </c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>
        <is>
          <t>da_kiem_chung</t>
        </is>
      </c>
      <c r="P127" t="inlineStr">
        <is>
          <t>R_balance;R_full_weapon_audit;W_wikipedia_bofors_40_mm_l_60;R_machine_brigade_can_bang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40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120</v>
      </c>
      <c r="Y127" t="n">
        <v>80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aa</t>
        </is>
      </c>
      <c r="AD127" t="inlineStr">
        <is>
          <t>Wikipedia 'Bofors 40 mm L/60': 120 rpm</t>
        </is>
      </c>
      <c r="AE127" t="inlineStr">
        <is>
          <t>Bofors L/60: 120 phát/phút</t>
        </is>
      </c>
      <c r="AF127" t="inlineStr">
        <is>
          <t>Tools/balance/full_weapon_audit.py: REAL / WARHEAD; balance.json weapons[id=gunship_40mm].real</t>
        </is>
      </c>
      <c r="AG127" t="inlineStr"/>
    </row>
    <row r="128">
      <c r="A128" t="inlineStr">
        <is>
          <t>gunship_40mm_ap</t>
        </is>
      </c>
      <c r="B128" t="inlineStr">
        <is>
          <t>gunship_40mm_ap</t>
        </is>
      </c>
      <c r="C128" t="inlineStr">
        <is>
          <t>Bofors L/60 40 mm AP</t>
        </is>
      </c>
      <c r="D128" t="inlineStr">
        <is>
          <t>doi_that</t>
        </is>
      </c>
      <c r="E128" t="inlineStr">
        <is>
          <t>Bofors L/60 40 mm AP</t>
        </is>
      </c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da_kiem_chung</t>
        </is>
      </c>
      <c r="P128" t="inlineStr">
        <is>
          <t>R_balance;R_full_weapon_audit;W_wikipedia_bofors_40_mm_l_60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40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120</v>
      </c>
      <c r="Y128" t="n">
        <v>80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aa</t>
        </is>
      </c>
      <c r="AD128" t="inlineStr">
        <is>
          <t>Wikipedia 'Bofors 40 mm L/60': 120 rpm</t>
        </is>
      </c>
      <c r="AE128" t="inlineStr"/>
      <c r="AF128" t="inlineStr">
        <is>
          <t>Tools/balance/full_weapon_audit.py: REAL / WARHEAD; balance.json weapons[id=gunship_40mm_ap].real</t>
        </is>
      </c>
      <c r="AG128" t="inlineStr"/>
    </row>
    <row r="129">
      <c r="A129" t="inlineStr">
        <is>
          <t>gunship_40mm_flak</t>
        </is>
      </c>
      <c r="B129" t="inlineStr">
        <is>
          <t>gunship_40mm_flak</t>
        </is>
      </c>
      <c r="C129" t="inlineStr">
        <is>
          <t>Bofors L/60 40 mm air-burst</t>
        </is>
      </c>
      <c r="D129" t="inlineStr">
        <is>
          <t>doi_that</t>
        </is>
      </c>
      <c r="E129" t="inlineStr">
        <is>
          <t>Bofors L/60 40 mm air-burst</t>
        </is>
      </c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>
        <is>
          <t>da_kiem_chung</t>
        </is>
      </c>
      <c r="P129" t="inlineStr">
        <is>
          <t>R_balance;R_full_weapon_audit;W_wikipedia_bofors_40_mm_l_60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40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120</v>
      </c>
      <c r="Y129" t="n">
        <v>80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aa</t>
        </is>
      </c>
      <c r="AD129" t="inlineStr">
        <is>
          <t>Wikipedia 'Bofors 40 mm L/60': 120 rpm</t>
        </is>
      </c>
      <c r="AE129" t="inlineStr"/>
      <c r="AF129" t="inlineStr">
        <is>
          <t>Tools/balance/full_weapon_audit.py: REAL / WARHEAD; balance.json weapons[id=gunship_40mm_flak].real</t>
        </is>
      </c>
      <c r="AG129" t="inlineStr"/>
    </row>
    <row r="130">
      <c r="A130" t="inlineStr">
        <is>
          <t>gunship_105</t>
        </is>
      </c>
      <c r="B130" t="inlineStr">
        <is>
          <t>gunship_105</t>
        </is>
      </c>
      <c r="C130" t="inlineStr">
        <is>
          <t>M102 105 mm</t>
        </is>
      </c>
      <c r="D130" t="inlineStr">
        <is>
          <t>doi_that</t>
        </is>
      </c>
      <c r="E130" t="inlineStr">
        <is>
          <t>M102 105 mm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R_balance;R_full_weapon_audit;W_wikipedia_m102_howitzer;R_machine_brigade_can_bang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105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10</v>
      </c>
      <c r="Y130" t="n">
        <v>3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the sheet's 'Ngoài đời': M102 10 rpm (Wikipedia 'M102 howitzer')</t>
        </is>
      </c>
      <c r="AE130" t="inlineStr">
        <is>
          <t>M102 105 mm: 10 phát/phút</t>
        </is>
      </c>
      <c r="AF130" t="inlineStr">
        <is>
          <t>Tools/balance/full_weapon_audit.py: REAL / WARHEAD; balance.json weapons[id=gunship_105].real</t>
        </is>
      </c>
      <c r="AG130" t="inlineStr"/>
    </row>
    <row r="131">
      <c r="A131" t="inlineStr">
        <is>
          <t>gunship_105_guided</t>
        </is>
      </c>
      <c r="B131" t="inlineStr">
        <is>
          <t>gunship_105_guided</t>
        </is>
      </c>
      <c r="C131" t="inlineStr">
        <is>
          <t>M102 105 mm guided</t>
        </is>
      </c>
      <c r="D131" t="inlineStr">
        <is>
          <t>doi_that</t>
        </is>
      </c>
      <c r="E131" t="inlineStr">
        <is>
          <t>M102 105 mm guided</t>
        </is>
      </c>
      <c r="F131" t="inlineStr"/>
      <c r="G131" t="inlineStr"/>
      <c r="H131" t="inlineStr"/>
      <c r="I131" t="inlineStr"/>
      <c r="J131" t="inlineStr"/>
      <c r="K131" t="inlineStr"/>
      <c r="L131" t="inlineStr">
        <is>
          <t>nhịp chậm hơn 30 % và mạnh hơn tương ứng (luật súng của game)</t>
        </is>
      </c>
      <c r="M131" t="inlineStr">
        <is>
          <t>gameplay</t>
        </is>
      </c>
      <c r="N131" t="inlineStr"/>
      <c r="O131" t="inlineStr">
        <is>
          <t>da_kiem_chung</t>
        </is>
      </c>
      <c r="P131" t="inlineStr">
        <is>
          <t>R_balance;R_full_weapon_audit;W_wikipedia_m102_howitzer;R_machine_brigade_can_bang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105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10</v>
      </c>
      <c r="Y131" t="n">
        <v>3</v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gun</t>
        </is>
      </c>
      <c r="AD131" t="inlineStr">
        <is>
          <t>the sheet's 'Ngoài đời': M102 10 rpm (Wikipedia 'M102 howitzer')</t>
        </is>
      </c>
      <c r="AE131" t="inlineStr"/>
      <c r="AF131" t="inlineStr">
        <is>
          <t>Tools/balance/full_weapon_audit.py: REAL / WARHEAD; balance.json weapons[id=gunship_105_guided].real</t>
        </is>
      </c>
      <c r="AG131" t="inlineStr"/>
    </row>
    <row r="132">
      <c r="A132" t="inlineStr">
        <is>
          <t>gunship_rockets</t>
        </is>
      </c>
      <c r="B132" t="inlineStr">
        <is>
          <t>gunship_rockets</t>
        </is>
      </c>
      <c r="C132" t="inlineStr">
        <is>
          <t>S-8 80 mm</t>
        </is>
      </c>
      <c r="D132" t="inlineStr">
        <is>
          <t>doi_that</t>
        </is>
      </c>
      <c r="E132" t="inlineStr">
        <is>
          <t>S-8 80 mm</t>
        </is>
      </c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ban_dau_doan</t>
        </is>
      </c>
      <c r="P132" t="inlineStr">
        <is>
          <t>R_balance;R_full_weapon_audit;R_decisions;R_machine_brigade_can_bang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80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900</v>
      </c>
      <c r="Y132" t="inlineStr">
        <is>
          <t>NEED_SOURCE</t>
        </is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>
        <is>
          <t>rocket</t>
        </is>
      </c>
      <c r="AD132" t="inlineStr">
        <is>
          <t>rocket pods: ripples of 0.05-0.12 s (DECISIONS 19R)</t>
        </is>
      </c>
      <c r="AE132" t="inlineStr">
        <is>
          <t>S-8 80 mm</t>
        </is>
      </c>
      <c r="AF132" t="inlineStr">
        <is>
          <t>Tools/balance/full_weapon_audit.py: REAL / WARHEAD; balance.json weapons[id=gunship_rockets].real</t>
        </is>
      </c>
      <c r="AG132" t="inlineStr"/>
    </row>
    <row r="133">
      <c r="A133" t="inlineStr">
        <is>
          <t>hel_beam</t>
        </is>
      </c>
      <c r="B133" t="inlineStr">
        <is>
          <t>hel_beam</t>
        </is>
      </c>
      <c r="C133" t="inlineStr">
        <is>
          <t>Iron Beam laser (100 kW)</t>
        </is>
      </c>
      <c r="D133" t="inlineStr">
        <is>
          <t>doi_that</t>
        </is>
      </c>
      <c r="E133" t="inlineStr">
        <is>
          <t>Iron Beam laser (100 kW)</t>
        </is>
      </c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ban_dau_doan</t>
        </is>
      </c>
      <c r="P133" t="inlineStr">
        <is>
          <t>R_balance;R_machine_brigade_can_bang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NEED_SOURCE</t>
        </is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inlineStr">
        <is>
          <t>NEED_SOURCE</t>
        </is>
      </c>
      <c r="Y133" t="inlineStr">
        <is>
          <t>NEED_SOURCE</t>
        </is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/>
      <c r="AD133" t="inlineStr"/>
      <c r="AE133" t="inlineStr">
        <is>
          <t>Iron Beam: laser 100 kW, chủ yếu đánh chặn drone, rốc-két, cối</t>
        </is>
      </c>
      <c r="AF133" t="inlineStr">
        <is>
          <t>Tools/balance/full_weapon_audit.py: REAL / WARHEAD; balance.json weapons[id=hel_beam].real</t>
        </is>
      </c>
      <c r="AG133" t="inlineStr"/>
    </row>
    <row r="134">
      <c r="A134" t="inlineStr">
        <is>
          <t>heli_gun</t>
        </is>
      </c>
      <c r="B134" t="inlineStr">
        <is>
          <t>heli_gun</t>
        </is>
      </c>
      <c r="C134" t="inlineStr">
        <is>
          <t>M230 30 mm</t>
        </is>
      </c>
      <c r="D134" t="inlineStr">
        <is>
          <t>doi_that</t>
        </is>
      </c>
      <c r="E134" t="inlineStr">
        <is>
          <t>M230 30 mm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>
        <is>
          <t>da_kiem_chung</t>
        </is>
      </c>
      <c r="P134" t="inlineStr">
        <is>
          <t>R_balance;R_full_weapon_audit;W_wikipedia_m230_chain_gun;R_machine_brigade_can_bang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30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625</v>
      </c>
      <c r="Y134" t="n">
        <v>300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ac</t>
        </is>
      </c>
      <c r="AD134" t="inlineStr">
        <is>
          <t>Wikipedia 'M230 chain gun': 625 rpm</t>
        </is>
      </c>
      <c r="AE134" t="inlineStr">
        <is>
          <t>M230: 625</t>
        </is>
      </c>
      <c r="AF134" t="inlineStr">
        <is>
          <t>Tools/balance/full_weapon_audit.py: REAL / WARHEAD; balance.json weapons[id=heli_gun].real</t>
        </is>
      </c>
      <c r="AG134" t="inlineStr"/>
    </row>
    <row r="135">
      <c r="A135" t="inlineStr">
        <is>
          <t>heli_gun_flak</t>
        </is>
      </c>
      <c r="B135" t="inlineStr">
        <is>
          <t>heli_gun_flak</t>
        </is>
      </c>
      <c r="C135" t="inlineStr">
        <is>
          <t>M230 30 mm air-burst</t>
        </is>
      </c>
      <c r="D135" t="inlineStr">
        <is>
          <t>doi_that</t>
        </is>
      </c>
      <c r="E135" t="inlineStr">
        <is>
          <t>M230 30 mm air-burst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>
        <is>
          <t>da_kiem_chung</t>
        </is>
      </c>
      <c r="P135" t="inlineStr">
        <is>
          <t>R_balance;R_full_weapon_audit;W_wikipedia_m230_chain_gun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30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625</v>
      </c>
      <c r="Y135" t="n">
        <v>300</v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ac</t>
        </is>
      </c>
      <c r="AD135" t="inlineStr">
        <is>
          <t>Wikipedia 'M230 chain gun': 625 rpm</t>
        </is>
      </c>
      <c r="AE135" t="inlineStr"/>
      <c r="AF135" t="inlineStr">
        <is>
          <t>Tools/balance/full_weapon_audit.py: REAL / WARHEAD; balance.json weapons[id=heli_gun_flak].real</t>
        </is>
      </c>
      <c r="AG135" t="inlineStr"/>
    </row>
    <row r="136">
      <c r="A136" t="inlineStr">
        <is>
          <t>heli_rockets</t>
        </is>
      </c>
      <c r="B136" t="inlineStr">
        <is>
          <t>heli_rockets</t>
        </is>
      </c>
      <c r="C136" t="inlineStr">
        <is>
          <t>Hydra 70 mm</t>
        </is>
      </c>
      <c r="D136" t="inlineStr">
        <is>
          <t>doi_that</t>
        </is>
      </c>
      <c r="E136" t="inlineStr">
        <is>
          <t>Hydra 70 mm</t>
        </is>
      </c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>
        <is>
          <t>ban_dau_doan</t>
        </is>
      </c>
      <c r="P136" t="inlineStr">
        <is>
          <t>R_balance;R_full_weapon_audit;R_decisions;R_machine_brigade_can_bang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70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900</v>
      </c>
      <c r="Y136" t="inlineStr">
        <is>
          <t>NEED_SOURCE</t>
        </is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rocket</t>
        </is>
      </c>
      <c r="AD136" t="inlineStr">
        <is>
          <t>rocket pods: ripples of 0.05-0.12 s (DECISIONS 19R)</t>
        </is>
      </c>
      <c r="AE136" t="inlineStr">
        <is>
          <t>Hydra 70</t>
        </is>
      </c>
      <c r="AF136" t="inlineStr">
        <is>
          <t>Tools/balance/full_weapon_audit.py: REAL / WARHEAD; balance.json weapons[id=heli_rockets].real</t>
        </is>
      </c>
      <c r="AG136" t="inlineStr"/>
    </row>
    <row r="137">
      <c r="A137" t="inlineStr">
        <is>
          <t>hellfire_standoff</t>
        </is>
      </c>
      <c r="B137" t="inlineStr">
        <is>
          <t>hellfire_standoff</t>
        </is>
      </c>
      <c r="C137" t="inlineStr">
        <is>
          <t>AGM-114L Hellfire Longbow</t>
        </is>
      </c>
      <c r="D137" t="inlineStr">
        <is>
          <t>doi_that</t>
        </is>
      </c>
      <c r="E137" t="inlineStr">
        <is>
          <t>AGM-114L Hellfire Longbow</t>
        </is>
      </c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uoc_dinh</t>
        </is>
      </c>
      <c r="P137" t="inlineStr">
        <is>
          <t>R_balance;R_full_weapon_audit;W_wikipedia_bai_cua_tung_ten_lua_bang_warhead;R_machine_brigade_can_bang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NEED_SOURCE</t>
        </is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60</v>
      </c>
      <c r="Y137" t="n">
        <v>10</v>
      </c>
      <c r="Z137" t="inlineStr">
        <is>
          <t>NEED_SOURCE</t>
        </is>
      </c>
      <c r="AA137" t="inlineStr">
        <is>
          <t>NEED_SOURCE</t>
        </is>
      </c>
      <c r="AB137" t="n">
        <v>9</v>
      </c>
      <c r="AC137" t="inlineStr">
        <is>
          <t>atgm</t>
        </is>
      </c>
      <c r="AD137" t="inlineStr">
        <is>
          <t>air-launched: ripples ~1 s apart, est. 6 s an aimed shot</t>
        </is>
      </c>
      <c r="AE137" t="inlineStr">
        <is>
          <t>Hellfire L (radar): 8 km</t>
        </is>
      </c>
      <c r="AF137" t="inlineStr">
        <is>
          <t>Tools/balance/full_weapon_audit.py: REAL / WARHEAD; balance.json weapons[id=hellfire_standoff].real</t>
        </is>
      </c>
      <c r="AG137" t="inlineStr"/>
    </row>
    <row r="138">
      <c r="A138" t="inlineStr">
        <is>
          <t>hellfire_volley</t>
        </is>
      </c>
      <c r="B138" t="inlineStr">
        <is>
          <t>hellfire_volley</t>
        </is>
      </c>
      <c r="C138" t="inlineStr">
        <is>
          <t>AGM-114L Hellfire Longbow</t>
        </is>
      </c>
      <c r="D138" t="inlineStr">
        <is>
          <t>doi_that</t>
        </is>
      </c>
      <c r="E138" t="inlineStr">
        <is>
          <t>AGM-114L Hellfire Longbow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uoc_dinh</t>
        </is>
      </c>
      <c r="P138" t="inlineStr">
        <is>
          <t>R_balance;R_full_weapon_audit;W_wikipedia_bai_cua_tung_ten_lua_bang_warhead;R_machine_brigade_can_bang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NEED_SOURCE</t>
        </is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60</v>
      </c>
      <c r="Y138" t="n">
        <v>10</v>
      </c>
      <c r="Z138" t="inlineStr">
        <is>
          <t>NEED_SOURCE</t>
        </is>
      </c>
      <c r="AA138" t="inlineStr">
        <is>
          <t>NEED_SOURCE</t>
        </is>
      </c>
      <c r="AB138" t="n">
        <v>9</v>
      </c>
      <c r="AC138" t="inlineStr">
        <is>
          <t>atgm</t>
        </is>
      </c>
      <c r="AD138" t="inlineStr">
        <is>
          <t>air-launched: ripples ~1 s apart, est. 6 s an aimed shot</t>
        </is>
      </c>
      <c r="AE138" t="inlineStr">
        <is>
          <t>Hellfire L</t>
        </is>
      </c>
      <c r="AF138" t="inlineStr">
        <is>
          <t>Tools/balance/full_weapon_audit.py: REAL / WARHEAD; balance.json weapons[id=hellfire_volley].real</t>
        </is>
      </c>
      <c r="AG138" t="inlineStr"/>
    </row>
    <row r="139">
      <c r="A139" t="inlineStr">
        <is>
          <t>hind_rockets</t>
        </is>
      </c>
      <c r="B139" t="inlineStr">
        <is>
          <t>hind_rockets</t>
        </is>
      </c>
      <c r="C139" t="inlineStr">
        <is>
          <t>S-8 80 mm</t>
        </is>
      </c>
      <c r="D139" t="inlineStr">
        <is>
          <t>doi_that</t>
        </is>
      </c>
      <c r="E139" t="inlineStr">
        <is>
          <t>S-8 80 mm</t>
        </is>
      </c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>
        <is>
          <t>ban_dau_doan</t>
        </is>
      </c>
      <c r="P139" t="inlineStr">
        <is>
          <t>R_balance;R_full_weapon_audit;R_decisions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80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900</v>
      </c>
      <c r="Y139" t="inlineStr">
        <is>
          <t>NEED_SOURCE</t>
        </is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rocket</t>
        </is>
      </c>
      <c r="AD139" t="inlineStr">
        <is>
          <t>rocket pods: ripples of 0.05-0.12 s (DECISIONS 19R)</t>
        </is>
      </c>
      <c r="AE139" t="inlineStr"/>
      <c r="AF139" t="inlineStr">
        <is>
          <t>Tools/balance/full_weapon_audit.py: REAL / WARHEAD; balance.json weapons[id=hind_rockets].real</t>
        </is>
      </c>
      <c r="AG139" t="inlineStr"/>
    </row>
    <row r="140">
      <c r="A140" t="inlineStr">
        <is>
          <t>hmg_roof</t>
        </is>
      </c>
      <c r="B140" t="inlineStr">
        <is>
          <t>hmg_roof</t>
        </is>
      </c>
      <c r="C140" t="inlineStr">
        <is>
          <t>M2 Browning 12.7 mm</t>
        </is>
      </c>
      <c r="D140" t="inlineStr">
        <is>
          <t>doi_that</t>
        </is>
      </c>
      <c r="E140" t="inlineStr">
        <is>
          <t>M2 Browning 12.7 mm</t>
        </is>
      </c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da_kiem_chung</t>
        </is>
      </c>
      <c r="P140" t="inlineStr">
        <is>
          <t>R_balance;R_full_weapon_audit;D_us_army_fm_3_22_65;R_machine_brigade_can_bang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12.7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600</v>
      </c>
      <c r="Y140" t="n">
        <v>40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mg</t>
        </is>
      </c>
      <c r="AD140" t="inlineStr">
        <is>
          <t>US Army FM 3-22.65: cyclic 450-600, rapid 40 rpm</t>
        </is>
      </c>
      <c r="AE140" t="inlineStr">
        <is>
          <t>M2: 450–600 phát/phút</t>
        </is>
      </c>
      <c r="AF140" t="inlineStr">
        <is>
          <t>Tools/balance/full_weapon_audit.py: REAL / WARHEAD; balance.json weapons[id=hmg_roof].real</t>
        </is>
      </c>
      <c r="AG140" t="inlineStr"/>
    </row>
    <row r="141">
      <c r="A141" t="inlineStr">
        <is>
          <t>hmg_roof_api</t>
        </is>
      </c>
      <c r="B141" t="inlineStr">
        <is>
          <t>hmg_roof_api</t>
        </is>
      </c>
      <c r="C141" t="inlineStr">
        <is>
          <t>M2 Browning 12.7 mm API</t>
        </is>
      </c>
      <c r="D141" t="inlineStr">
        <is>
          <t>doi_that</t>
        </is>
      </c>
      <c r="E141" t="inlineStr">
        <is>
          <t>M2 Browning 12.7 mm API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da_kiem_chung</t>
        </is>
      </c>
      <c r="P141" t="inlineStr">
        <is>
          <t>R_balance;R_full_weapon_audit;D_us_army_fm_3_22_65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12.7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600</v>
      </c>
      <c r="Y141" t="n">
        <v>40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mg</t>
        </is>
      </c>
      <c r="AD141" t="inlineStr">
        <is>
          <t>US Army FM 3-22.65: cyclic 450-600, rapid 40 rpm</t>
        </is>
      </c>
      <c r="AE141" t="inlineStr"/>
      <c r="AF141" t="inlineStr">
        <is>
          <t>Tools/balance/full_weapon_audit.py: REAL / WARHEAD; balance.json weapons[id=hmg_roof_api].real</t>
        </is>
      </c>
      <c r="AG141" t="inlineStr"/>
    </row>
    <row r="142">
      <c r="A142" t="inlineStr">
        <is>
          <t>hmg_selfdef_15</t>
        </is>
      </c>
      <c r="B142" t="inlineStr">
        <is>
          <t>hmg_selfdef_15</t>
        </is>
      </c>
      <c r="C142" t="inlineStr">
        <is>
          <t>M2 Browning 12.7 mm</t>
        </is>
      </c>
      <c r="D142" t="inlineStr">
        <is>
          <t>doi_that</t>
        </is>
      </c>
      <c r="E142" t="inlineStr">
        <is>
          <t>M2 Browning 12.7 mm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da_kiem_chung</t>
        </is>
      </c>
      <c r="P142" t="inlineStr">
        <is>
          <t>R_balance;R_full_weapon_audit;D_us_army_fm_3_22_65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12.7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600</v>
      </c>
      <c r="Y142" t="n">
        <v>40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mg</t>
        </is>
      </c>
      <c r="AD142" t="inlineStr">
        <is>
          <t>US Army FM 3-22.65: cyclic 450-600, rapid 40 rpm</t>
        </is>
      </c>
      <c r="AE142" t="inlineStr"/>
      <c r="AF142" t="inlineStr">
        <is>
          <t>Tools/balance/full_weapon_audit.py: REAL / WARHEAD; balance.json weapons[id=hmg_selfdef_15].real</t>
        </is>
      </c>
      <c r="AG142" t="inlineStr"/>
    </row>
    <row r="143">
      <c r="A143" t="inlineStr">
        <is>
          <t>hmg_selfdef_15_api</t>
        </is>
      </c>
      <c r="B143" t="inlineStr">
        <is>
          <t>hmg_selfdef_15_api</t>
        </is>
      </c>
      <c r="C143" t="inlineStr">
        <is>
          <t>M2 Browning 12.7 mm API</t>
        </is>
      </c>
      <c r="D143" t="inlineStr">
        <is>
          <t>doi_that</t>
        </is>
      </c>
      <c r="E143" t="inlineStr">
        <is>
          <t>M2 Browning 12.7 mm API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da_kiem_chung</t>
        </is>
      </c>
      <c r="P143" t="inlineStr">
        <is>
          <t>R_balance;R_full_weapon_audit;D_us_army_fm_3_22_65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12.7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600</v>
      </c>
      <c r="Y143" t="n">
        <v>40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mg</t>
        </is>
      </c>
      <c r="AD143" t="inlineStr">
        <is>
          <t>US Army FM 3-22.65: cyclic 450-600, rapid 40 rpm</t>
        </is>
      </c>
      <c r="AE143" t="inlineStr"/>
      <c r="AF143" t="inlineStr">
        <is>
          <t>Tools/balance/full_weapon_audit.py: REAL / WARHEAD; balance.json weapons[id=hmg_selfdef_15_api].real</t>
        </is>
      </c>
      <c r="AG143" t="inlineStr"/>
    </row>
    <row r="144">
      <c r="A144" t="inlineStr">
        <is>
          <t>hmg_selfdef_18</t>
        </is>
      </c>
      <c r="B144" t="inlineStr">
        <is>
          <t>hmg_selfdef_18</t>
        </is>
      </c>
      <c r="C144" t="inlineStr">
        <is>
          <t>M2 Browning 12.7 mm</t>
        </is>
      </c>
      <c r="D144" t="inlineStr">
        <is>
          <t>doi_that</t>
        </is>
      </c>
      <c r="E144" t="inlineStr">
        <is>
          <t>M2 Browning 12.7 mm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da_kiem_chung</t>
        </is>
      </c>
      <c r="P144" t="inlineStr">
        <is>
          <t>R_balance;R_full_weapon_audit;D_us_army_fm_3_22_65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12.7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600</v>
      </c>
      <c r="Y144" t="n">
        <v>40</v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mg</t>
        </is>
      </c>
      <c r="AD144" t="inlineStr">
        <is>
          <t>US Army FM 3-22.65: cyclic 450-600, rapid 40 rpm</t>
        </is>
      </c>
      <c r="AE144" t="inlineStr"/>
      <c r="AF144" t="inlineStr">
        <is>
          <t>Tools/balance/full_weapon_audit.py: REAL / WARHEAD; balance.json weapons[id=hmg_selfdef_18].real</t>
        </is>
      </c>
      <c r="AG144" t="inlineStr"/>
    </row>
    <row r="145">
      <c r="A145" t="inlineStr">
        <is>
          <t>hmg_selfdef_18_api</t>
        </is>
      </c>
      <c r="B145" t="inlineStr">
        <is>
          <t>hmg_selfdef_18_api</t>
        </is>
      </c>
      <c r="C145" t="inlineStr">
        <is>
          <t>M2 Browning 12.7 mm API</t>
        </is>
      </c>
      <c r="D145" t="inlineStr">
        <is>
          <t>doi_that</t>
        </is>
      </c>
      <c r="E145" t="inlineStr">
        <is>
          <t>M2 Browning 12.7 mm API</t>
        </is>
      </c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>
        <is>
          <t>da_kiem_chung</t>
        </is>
      </c>
      <c r="P145" t="inlineStr">
        <is>
          <t>R_balance;R_full_weapon_audit;D_us_army_fm_3_22_65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12.7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600</v>
      </c>
      <c r="Y145" t="n">
        <v>40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mg</t>
        </is>
      </c>
      <c r="AD145" t="inlineStr">
        <is>
          <t>US Army FM 3-22.65: cyclic 450-600, rapid 40 rpm</t>
        </is>
      </c>
      <c r="AE145" t="inlineStr"/>
      <c r="AF145" t="inlineStr">
        <is>
          <t>Tools/balance/full_weapon_audit.py: REAL / WARHEAD; balance.json weapons[id=hmg_selfdef_18_api].real</t>
        </is>
      </c>
      <c r="AG145" t="inlineStr"/>
    </row>
    <row r="146">
      <c r="A146" t="inlineStr">
        <is>
          <t>hmg_selfdef_21</t>
        </is>
      </c>
      <c r="B146" t="inlineStr">
        <is>
          <t>hmg_selfdef_21</t>
        </is>
      </c>
      <c r="C146" t="inlineStr">
        <is>
          <t>M2 Browning 12.7 mm</t>
        </is>
      </c>
      <c r="D146" t="inlineStr">
        <is>
          <t>doi_that</t>
        </is>
      </c>
      <c r="E146" t="inlineStr">
        <is>
          <t>M2 Browning 12.7 mm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R_balance;R_full_weapon_audit;D_us_army_fm_3_22_65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12.7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600</v>
      </c>
      <c r="Y146" t="n">
        <v>40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mg</t>
        </is>
      </c>
      <c r="AD146" t="inlineStr">
        <is>
          <t>US Army FM 3-22.65: cyclic 450-600, rapid 40 rpm</t>
        </is>
      </c>
      <c r="AE146" t="inlineStr"/>
      <c r="AF146" t="inlineStr">
        <is>
          <t>Tools/balance/full_weapon_audit.py: REAL / WARHEAD; balance.json weapons[id=hmg_selfdef_21].real</t>
        </is>
      </c>
      <c r="AG146" t="inlineStr"/>
    </row>
    <row r="147">
      <c r="A147" t="inlineStr">
        <is>
          <t>hmg_selfdef_21_api</t>
        </is>
      </c>
      <c r="B147" t="inlineStr">
        <is>
          <t>hmg_selfdef_21_api</t>
        </is>
      </c>
      <c r="C147" t="inlineStr">
        <is>
          <t>M2 Browning 12.7 mm API</t>
        </is>
      </c>
      <c r="D147" t="inlineStr">
        <is>
          <t>doi_that</t>
        </is>
      </c>
      <c r="E147" t="inlineStr">
        <is>
          <t>M2 Browning 12.7 mm API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R_balance;R_full_weapon_audit;D_us_army_fm_3_22_65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12.7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600</v>
      </c>
      <c r="Y147" t="n">
        <v>40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mg</t>
        </is>
      </c>
      <c r="AD147" t="inlineStr">
        <is>
          <t>US Army FM 3-22.65: cyclic 450-600, rapid 40 rpm</t>
        </is>
      </c>
      <c r="AE147" t="inlineStr"/>
      <c r="AF147" t="inlineStr">
        <is>
          <t>Tools/balance/full_weapon_audit.py: REAL / WARHEAD; balance.json weapons[id=hmg_selfdef_21_api].real</t>
        </is>
      </c>
      <c r="AG147" t="inlineStr"/>
    </row>
    <row r="148">
      <c r="A148" t="inlineStr">
        <is>
          <t>hover_ciws</t>
        </is>
      </c>
      <c r="B148" t="inlineStr">
        <is>
          <t>hover_ciws</t>
        </is>
      </c>
      <c r="C148" t="inlineStr">
        <is>
          <t>AK-630 30 mm</t>
        </is>
      </c>
      <c r="D148" t="inlineStr">
        <is>
          <t>doi_that</t>
        </is>
      </c>
      <c r="E148" t="inlineStr">
        <is>
          <t>AK-630 30 mm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R_balance;R_full_weapon_audit;W_wikipedia_ak_630;R_machine_brigade_can_bang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30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5000</v>
      </c>
      <c r="Y148" t="n">
        <v>1000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'AK-630': 4,000-5,000 rpm, 2,000-round belt</t>
        </is>
      </c>
      <c r="AE148" t="inlineStr">
        <is>
          <t>AK-630: 4.000–5.000 phát/phút</t>
        </is>
      </c>
      <c r="AF148" t="inlineStr">
        <is>
          <t>Tools/balance/full_weapon_audit.py: REAL / WARHEAD; balance.json weapons[id=hover_ciws].real</t>
        </is>
      </c>
      <c r="AG148" t="inlineStr"/>
    </row>
    <row r="149">
      <c r="A149" t="inlineStr">
        <is>
          <t>hover_ciws_flak</t>
        </is>
      </c>
      <c r="B149" t="inlineStr">
        <is>
          <t>hover_ciws_flak</t>
        </is>
      </c>
      <c r="C149" t="inlineStr">
        <is>
          <t>AK-630 30 mm air-burst</t>
        </is>
      </c>
      <c r="D149" t="inlineStr">
        <is>
          <t>doi_that</t>
        </is>
      </c>
      <c r="E149" t="inlineStr">
        <is>
          <t>AK-630 30 mm air-burst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da_kiem_chung</t>
        </is>
      </c>
      <c r="P149" t="inlineStr">
        <is>
          <t>R_balance;R_full_weapon_audit;W_wikipedia_ak_630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30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5000</v>
      </c>
      <c r="Y149" t="n">
        <v>1000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aa</t>
        </is>
      </c>
      <c r="AD149" t="inlineStr">
        <is>
          <t>Wikipedia 'AK-630': 4,000-5,000 rpm, 2,000-round belt</t>
        </is>
      </c>
      <c r="AE149" t="inlineStr"/>
      <c r="AF149" t="inlineStr">
        <is>
          <t>Tools/balance/full_weapon_audit.py: REAL / WARHEAD; balance.json weapons[id=hover_ciws_flak].real</t>
        </is>
      </c>
      <c r="AG149" t="inlineStr"/>
    </row>
    <row r="150">
      <c r="A150" t="inlineStr">
        <is>
          <t>hover_rockets</t>
        </is>
      </c>
      <c r="B150" t="inlineStr">
        <is>
          <t>hover_rockets</t>
        </is>
      </c>
      <c r="C150" t="inlineStr">
        <is>
          <t>A-22 Ogon 140 mm</t>
        </is>
      </c>
      <c r="D150" t="inlineStr">
        <is>
          <t>doi_that</t>
        </is>
      </c>
      <c r="E150" t="inlineStr">
        <is>
          <t>A-22 Ogon 140 mm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uoc_dinh</t>
        </is>
      </c>
      <c r="P150" t="inlineStr">
        <is>
          <t>R_balance;R_full_weapon_audit;R_machine_brigade_can_bang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140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120</v>
      </c>
      <c r="Y150" t="inlineStr">
        <is>
          <t>NEED_SOURCE</t>
        </is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rocket</t>
        </is>
      </c>
      <c r="AD150" t="inlineStr">
        <is>
          <t>A-22 Ogon 140 mm (Zubr hovercraft), est. 0.5 s a rocket</t>
        </is>
      </c>
      <c r="AE150" t="inlineStr">
        <is>
          <t>A-22 Ogon 140 mm: 22 quả</t>
        </is>
      </c>
      <c r="AF150" t="inlineStr">
        <is>
          <t>Tools/balance/full_weapon_audit.py: REAL / WARHEAD; balance.json weapons[id=hover_rockets].real</t>
        </is>
      </c>
      <c r="AG150" t="inlineStr"/>
    </row>
    <row r="151">
      <c r="A151" t="inlineStr">
        <is>
          <t>howitzer</t>
        </is>
      </c>
      <c r="B151" t="inlineStr">
        <is>
          <t>howitzer</t>
        </is>
      </c>
      <c r="C151" t="inlineStr">
        <is>
          <t>M284 155 mm</t>
        </is>
      </c>
      <c r="D151" t="inlineStr">
        <is>
          <t>doi_that</t>
        </is>
      </c>
      <c r="E151" t="inlineStr">
        <is>
          <t>M284 155 mm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R_balance;R_full_weapon_audit;D_us_army_m109a7_fact_file;R_machine_brigade_can_bang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155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4</v>
      </c>
      <c r="Y151" t="n">
        <v>1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US Army M109A7 fact file: 4 rpm for 3 min, 1 rpm sustained</t>
        </is>
      </c>
      <c r="AE151" t="inlineStr">
        <is>
          <t>M284 155 mm (M109A7): 4 phát/phút tối đa, 1 phát/phút duy trì; tầm 24–30 km</t>
        </is>
      </c>
      <c r="AF151" t="inlineStr">
        <is>
          <t>Tools/balance/full_weapon_audit.py: REAL / WARHEAD; balance.json weapons[id=howitzer].real</t>
        </is>
      </c>
      <c r="AG151" t="inlineStr"/>
    </row>
    <row r="152">
      <c r="A152" t="inlineStr">
        <is>
          <t>howitzer_ext</t>
        </is>
      </c>
      <c r="B152" t="inlineStr">
        <is>
          <t>howitzer_ext</t>
        </is>
      </c>
      <c r="C152" t="inlineStr">
        <is>
          <t>M284 155 mm (base bleed)</t>
        </is>
      </c>
      <c r="D152" t="inlineStr">
        <is>
          <t>doi_that</t>
        </is>
      </c>
      <c r="E152" t="inlineStr">
        <is>
          <t>M284 155 mm (base bleed)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R_balance;R_full_weapon_audit;D_us_army_m109a7_fact_file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155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4</v>
      </c>
      <c r="Y152" t="n">
        <v>1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US Army M109A7 fact file: 4 rpm for 3 min, 1 rpm sustained</t>
        </is>
      </c>
      <c r="AE152" t="inlineStr"/>
      <c r="AF152" t="inlineStr">
        <is>
          <t>Tools/balance/full_weapon_audit.py: REAL / WARHEAD; balance.json weapons[id=howitzer_ext].real</t>
        </is>
      </c>
      <c r="AG152" t="inlineStr"/>
    </row>
    <row r="153">
      <c r="A153" t="inlineStr">
        <is>
          <t>howitzer_fixed</t>
        </is>
      </c>
      <c r="B153" t="inlineStr">
        <is>
          <t>howitzer_fixed</t>
        </is>
      </c>
      <c r="C153" t="inlineStr">
        <is>
          <t>M284 155 mm</t>
        </is>
      </c>
      <c r="D153" t="inlineStr">
        <is>
          <t>doi_that</t>
        </is>
      </c>
      <c r="E153" t="inlineStr">
        <is>
          <t>M284 155 mm</t>
        </is>
      </c>
      <c r="F153" t="inlineStr"/>
      <c r="G153" t="inlineStr"/>
      <c r="H153" t="inlineStr"/>
      <c r="I153" t="inlineStr"/>
      <c r="J153" t="inlineStr"/>
      <c r="K153" t="inlineStr"/>
      <c r="L153" t="inlineStr">
        <is>
          <t>nhịp chậm hơn 30 % và mạnh hơn tương ứng (luật súng của game)</t>
        </is>
      </c>
      <c r="M153" t="inlineStr">
        <is>
          <t>gameplay</t>
        </is>
      </c>
      <c r="N153" t="inlineStr"/>
      <c r="O153" t="inlineStr">
        <is>
          <t>da_kiem_chung</t>
        </is>
      </c>
      <c r="P153" t="inlineStr">
        <is>
          <t>R_balance;R_full_weapon_audit;D_us_army_m109a7_fact_file;R_machine_brigade_can_bang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155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4</v>
      </c>
      <c r="Y153" t="n">
        <v>1</v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gun</t>
        </is>
      </c>
      <c r="AD153" t="inlineStr">
        <is>
          <t>US Army M109A7 fact file: 4 rpm for 3 min, 1 rpm sustained</t>
        </is>
      </c>
      <c r="AE153" t="inlineStr">
        <is>
          <t>M284 155 mm</t>
        </is>
      </c>
      <c r="AF153" t="inlineStr">
        <is>
          <t>Tools/balance/full_weapon_audit.py: REAL / WARHEAD; balance.json weapons[id=howitzer_fixed].real</t>
        </is>
      </c>
      <c r="AG153" t="inlineStr"/>
    </row>
    <row r="154">
      <c r="A154" t="inlineStr">
        <is>
          <t>howitzer_fixed_guided</t>
        </is>
      </c>
      <c r="B154" t="inlineStr">
        <is>
          <t>howitzer_fixed_guided</t>
        </is>
      </c>
      <c r="C154" t="inlineStr">
        <is>
          <t>M284 155 mm guided</t>
        </is>
      </c>
      <c r="D154" t="inlineStr">
        <is>
          <t>doi_that</t>
        </is>
      </c>
      <c r="E154" t="inlineStr">
        <is>
          <t>M284 155 mm guided</t>
        </is>
      </c>
      <c r="F154" t="inlineStr"/>
      <c r="G154" t="inlineStr"/>
      <c r="H154" t="inlineStr"/>
      <c r="I154" t="inlineStr"/>
      <c r="J154" t="inlineStr"/>
      <c r="K154" t="inlineStr"/>
      <c r="L154" t="inlineStr">
        <is>
          <t>nhịp chậm hơn 30 % và mạnh hơn tương ứng (luật súng của game)</t>
        </is>
      </c>
      <c r="M154" t="inlineStr">
        <is>
          <t>gameplay</t>
        </is>
      </c>
      <c r="N154" t="inlineStr"/>
      <c r="O154" t="inlineStr">
        <is>
          <t>da_kiem_chung</t>
        </is>
      </c>
      <c r="P154" t="inlineStr">
        <is>
          <t>R_balance;R_full_weapon_audit;D_us_army_m109a7_fact_file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155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4</v>
      </c>
      <c r="Y154" t="n">
        <v>1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gun</t>
        </is>
      </c>
      <c r="AD154" t="inlineStr">
        <is>
          <t>US Army M109A7 fact file: 4 rpm for 3 min, 1 rpm sustained</t>
        </is>
      </c>
      <c r="AE154" t="inlineStr"/>
      <c r="AF154" t="inlineStr">
        <is>
          <t>Tools/balance/full_weapon_audit.py: REAL / WARHEAD; balance.json weapons[id=howitzer_fixed_guided].real</t>
        </is>
      </c>
      <c r="AG154" t="inlineStr"/>
    </row>
    <row r="155">
      <c r="A155" t="inlineStr">
        <is>
          <t>howitzer_guided</t>
        </is>
      </c>
      <c r="B155" t="inlineStr">
        <is>
          <t>howitzer_guided</t>
        </is>
      </c>
      <c r="C155" t="inlineStr">
        <is>
          <t>M284 155 mm guided</t>
        </is>
      </c>
      <c r="D155" t="inlineStr">
        <is>
          <t>doi_that</t>
        </is>
      </c>
      <c r="E155" t="inlineStr">
        <is>
          <t>M284 155 mm guided</t>
        </is>
      </c>
      <c r="F155" t="inlineStr"/>
      <c r="G155" t="inlineStr"/>
      <c r="H155" t="inlineStr"/>
      <c r="I155" t="inlineStr"/>
      <c r="J155" t="inlineStr"/>
      <c r="K155" t="inlineStr"/>
      <c r="L155" t="inlineStr">
        <is>
          <t>nhịp chậm hơn 30 % và mạnh hơn tương ứng (luật súng của game)</t>
        </is>
      </c>
      <c r="M155" t="inlineStr">
        <is>
          <t>gameplay</t>
        </is>
      </c>
      <c r="N155" t="inlineStr"/>
      <c r="O155" t="inlineStr">
        <is>
          <t>da_kiem_chung</t>
        </is>
      </c>
      <c r="P155" t="inlineStr">
        <is>
          <t>R_balance;R_full_weapon_audit;D_us_army_m109a7_fact_file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155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4</v>
      </c>
      <c r="Y155" t="n">
        <v>1</v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gun</t>
        </is>
      </c>
      <c r="AD155" t="inlineStr">
        <is>
          <t>US Army M109A7 fact file: 4 rpm for 3 min, 1 rpm sustained</t>
        </is>
      </c>
      <c r="AE155" t="inlineStr"/>
      <c r="AF155" t="inlineStr">
        <is>
          <t>Tools/balance/full_weapon_audit.py: REAL / WARHEAD; balance.json weapons[id=howitzer_guided].real</t>
        </is>
      </c>
      <c r="AG155" t="inlineStr"/>
    </row>
    <row r="156">
      <c r="A156" t="inlineStr">
        <is>
          <t>hq_flak</t>
        </is>
      </c>
      <c r="B156" t="inlineStr">
        <is>
          <t>hq_flak</t>
        </is>
      </c>
      <c r="C156" t="inlineStr">
        <is>
          <t>2A38 30 mm (twin)</t>
        </is>
      </c>
      <c r="D156" t="inlineStr">
        <is>
          <t>doi_that</t>
        </is>
      </c>
      <c r="E156" t="inlineStr">
        <is>
          <t>2A38 30 mm (twin)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da_kiem_chung</t>
        </is>
      </c>
      <c r="P156" t="inlineStr">
        <is>
          <t>R_balance;R_full_weapon_audit;W_wikipedia_2a38;R_machine_brigade_can_bang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30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2500</v>
      </c>
      <c r="Y156" t="n">
        <v>1000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aa</t>
        </is>
      </c>
      <c r="AD156" t="inlineStr">
        <is>
          <t>Wikipedia '2A38': 4,060-5,000 rpm the twin mount</t>
        </is>
      </c>
      <c r="AE156" t="inlineStr">
        <is>
          <t>2A38M: ~5.000 phát/phút cả cặp</t>
        </is>
      </c>
      <c r="AF156" t="inlineStr">
        <is>
          <t>Tools/balance/full_weapon_audit.py: REAL / WARHEAD; balance.json weapons[id=hq_flak].real</t>
        </is>
      </c>
      <c r="AG156" t="inlineStr"/>
    </row>
    <row r="157">
      <c r="A157" t="inlineStr">
        <is>
          <t>hq_flak_ap</t>
        </is>
      </c>
      <c r="B157" t="inlineStr">
        <is>
          <t>hq_flak_ap</t>
        </is>
      </c>
      <c r="C157" t="inlineStr">
        <is>
          <t>2A38 30 mm AP (twin)</t>
        </is>
      </c>
      <c r="D157" t="inlineStr">
        <is>
          <t>doi_that</t>
        </is>
      </c>
      <c r="E157" t="inlineStr">
        <is>
          <t>2A38 30 mm AP (twin)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R_balance;R_full_weapon_audit;W_wikipedia_2a38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2500</v>
      </c>
      <c r="Y157" t="n">
        <v>1000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aa</t>
        </is>
      </c>
      <c r="AD157" t="inlineStr">
        <is>
          <t>Wikipedia '2A38': 4,060-5,000 rpm the twin mount</t>
        </is>
      </c>
      <c r="AE157" t="inlineStr"/>
      <c r="AF157" t="inlineStr">
        <is>
          <t>Tools/balance/full_weapon_audit.py: REAL / WARHEAD; balance.json weapons[id=hq_flak_ap].real</t>
        </is>
      </c>
      <c r="AG157" t="inlineStr"/>
    </row>
    <row r="158">
      <c r="A158" t="inlineStr">
        <is>
          <t>hydra_club_s</t>
        </is>
      </c>
      <c r="B158" t="inlineStr">
        <is>
          <t>hydra_club_s</t>
        </is>
      </c>
      <c r="C158" t="inlineStr">
        <is>
          <t>3M-54 Club-S (submarine-launched, vertical tubes)</t>
        </is>
      </c>
      <c r="D158" t="inlineStr">
        <is>
          <t>doi_that</t>
        </is>
      </c>
      <c r="E158" t="inlineStr">
        <is>
          <t>3M-54 Club-S (submarine-launched, vertical tubes)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ban_dau_doan</t>
        </is>
      </c>
      <c r="P158" t="inlineStr">
        <is>
          <t>R_balance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inlineStr">
        <is>
          <t>NEED_SOURCE</t>
        </is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inlineStr">
        <is>
          <t>NEED_SOURCE</t>
        </is>
      </c>
      <c r="Y158" t="inlineStr">
        <is>
          <t>NEED_SOURCE</t>
        </is>
      </c>
      <c r="Z158" t="inlineStr">
        <is>
          <t>NEED_SOURCE</t>
        </is>
      </c>
      <c r="AA158" t="inlineStr">
        <is>
          <t>NEED_SOURCE</t>
        </is>
      </c>
      <c r="AB158" t="inlineStr">
        <is>
          <t>NEED_SOURCE</t>
        </is>
      </c>
      <c r="AC158" t="inlineStr"/>
      <c r="AD158" t="inlineStr"/>
      <c r="AE158" t="inlineStr"/>
      <c r="AF158" t="inlineStr">
        <is>
          <t>Tools/balance/full_weapon_audit.py: REAL / WARHEAD; balance.json weapons[id=hydra_club_s].real</t>
        </is>
      </c>
      <c r="AG158" t="inlineStr"/>
    </row>
    <row r="159">
      <c r="A159" t="inlineStr">
        <is>
          <t>ifv_30</t>
        </is>
      </c>
      <c r="B159" t="inlineStr">
        <is>
          <t>ifv_30</t>
        </is>
      </c>
      <c r="C159" t="inlineStr">
        <is>
          <t>2A42 30 mm</t>
        </is>
      </c>
      <c r="D159" t="inlineStr">
        <is>
          <t>doi_that</t>
        </is>
      </c>
      <c r="E159" t="inlineStr">
        <is>
          <t>2A42 30 mm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da_kiem_chung</t>
        </is>
      </c>
      <c r="P159" t="inlineStr">
        <is>
          <t>R_balance;R_full_weapon_audit;W_wikipedia_2a42;R_machine_brigade_can_bang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30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800</v>
      </c>
      <c r="Y159" t="n">
        <v>300</v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ac</t>
        </is>
      </c>
      <c r="AD159" t="inlineStr">
        <is>
          <t>Wikipedia '2A42': 550-800 high, 200-300 low rpm</t>
        </is>
      </c>
      <c r="AE159" t="inlineStr">
        <is>
          <t>2A42: 550–800 phát/phút</t>
        </is>
      </c>
      <c r="AF159" t="inlineStr">
        <is>
          <t>Tools/balance/full_weapon_audit.py: REAL / WARHEAD; balance.json weapons[id=ifv_30].real</t>
        </is>
      </c>
      <c r="AG159" t="inlineStr"/>
    </row>
    <row r="160">
      <c r="A160" t="inlineStr">
        <is>
          <t>ifv_30_flak</t>
        </is>
      </c>
      <c r="B160" t="inlineStr">
        <is>
          <t>ifv_30_flak</t>
        </is>
      </c>
      <c r="C160" t="inlineStr">
        <is>
          <t>2A42 30 mm air-burst</t>
        </is>
      </c>
      <c r="D160" t="inlineStr">
        <is>
          <t>doi_that</t>
        </is>
      </c>
      <c r="E160" t="inlineStr">
        <is>
          <t>2A42 30 mm air-burst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da_kiem_chung</t>
        </is>
      </c>
      <c r="P160" t="inlineStr">
        <is>
          <t>R_balance;R_full_weapon_audit;W_wikipedia_2a42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n">
        <v>30</v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n">
        <v>800</v>
      </c>
      <c r="Y160" t="n">
        <v>300</v>
      </c>
      <c r="Z160" t="inlineStr">
        <is>
          <t>NEED_SOURCE</t>
        </is>
      </c>
      <c r="AA160" t="inlineStr">
        <is>
          <t>NEED_SOURCE</t>
        </is>
      </c>
      <c r="AB160" t="inlineStr"/>
      <c r="AC160" t="inlineStr">
        <is>
          <t>ac</t>
        </is>
      </c>
      <c r="AD160" t="inlineStr">
        <is>
          <t>Wikipedia '2A42': 550-800 high, 200-300 low rpm</t>
        </is>
      </c>
      <c r="AE160" t="inlineStr"/>
      <c r="AF160" t="inlineStr">
        <is>
          <t>Tools/balance/full_weapon_audit.py: REAL / WARHEAD; balance.json weapons[id=ifv_30_flak].real</t>
        </is>
      </c>
      <c r="AG160" t="inlineStr"/>
    </row>
    <row r="161">
      <c r="A161" t="inlineStr">
        <is>
          <t>igla_v</t>
        </is>
      </c>
      <c r="B161" t="inlineStr">
        <is>
          <t>igla_v</t>
        </is>
      </c>
      <c r="C161" t="inlineStr">
        <is>
          <t>9K38 Igla-V</t>
        </is>
      </c>
      <c r="D161" t="inlineStr">
        <is>
          <t>doi_that</t>
        </is>
      </c>
      <c r="E161" t="inlineStr">
        <is>
          <t>9K38 Igla-V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uoc_dinh</t>
        </is>
      </c>
      <c r="P161" t="inlineStr">
        <is>
          <t>R_balance;R_full_weapon_audit;W_wikipedia_bai_cua_tung_ten_lua_bang_warhead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20</v>
      </c>
      <c r="Y161" t="n">
        <v>10</v>
      </c>
      <c r="Z161" t="inlineStr">
        <is>
          <t>NEED_SOURCE</t>
        </is>
      </c>
      <c r="AA161" t="inlineStr">
        <is>
          <t>NEED_SOURCE</t>
        </is>
      </c>
      <c r="AB161" t="n">
        <v>1.2</v>
      </c>
      <c r="AC161" t="inlineStr">
        <is>
          <t>missile</t>
        </is>
      </c>
      <c r="AD161" t="inlineStr">
        <is>
          <t>air-launched Igla-V pairs, est. 3 s</t>
        </is>
      </c>
      <c r="AE161" t="inlineStr"/>
      <c r="AF161" t="inlineStr">
        <is>
          <t>Tools/balance/full_weapon_audit.py: REAL / WARHEAD; balance.json weapons[id=igla_v].real</t>
        </is>
      </c>
      <c r="AG161" t="inlineStr"/>
    </row>
    <row r="162">
      <c r="A162" t="inlineStr">
        <is>
          <t>illum_flare</t>
        </is>
      </c>
      <c r="B162" t="inlineStr">
        <is>
          <t>illum_flare</t>
        </is>
      </c>
      <c r="C162" t="inlineStr">
        <is>
          <t>Illumination flare</t>
        </is>
      </c>
      <c r="D162" t="inlineStr">
        <is>
          <t>doi_that</t>
        </is>
      </c>
      <c r="E162" t="inlineStr">
        <is>
          <t>Illumination flare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ban_dau_doan</t>
        </is>
      </c>
      <c r="P162" t="inlineStr">
        <is>
          <t>R_balance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NEED_SOURCE</t>
        </is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inlineStr">
        <is>
          <t>NEED_SOURCE</t>
        </is>
      </c>
      <c r="Y162" t="inlineStr">
        <is>
          <t>NEED_SOURCE</t>
        </is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/>
      <c r="AD162" t="inlineStr"/>
      <c r="AE162" t="inlineStr"/>
      <c r="AF162" t="inlineStr">
        <is>
          <t>Tools/balance/full_weapon_audit.py: REAL / WARHEAD; balance.json weapons[id=illum_flare].real</t>
        </is>
      </c>
      <c r="AG162" t="inlineStr"/>
    </row>
    <row r="163">
      <c r="A163" t="inlineStr">
        <is>
          <t>jassm</t>
        </is>
      </c>
      <c r="B163" t="inlineStr">
        <is>
          <t>jassm</t>
        </is>
      </c>
      <c r="C163" t="inlineStr">
        <is>
          <t>AGM-158 JASSM (450 kg)</t>
        </is>
      </c>
      <c r="D163" t="inlineStr">
        <is>
          <t>doi_that</t>
        </is>
      </c>
      <c r="E163" t="inlineStr">
        <is>
          <t>AGM-158 JASSM (450 kg)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uoc_dinh</t>
        </is>
      </c>
      <c r="P163" t="inlineStr">
        <is>
          <t>R_balance;R_full_weapon_audit;R_machine_brigade_can_bang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NEED_SOURCE</t>
        </is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20</v>
      </c>
      <c r="Y163" t="n">
        <v>6</v>
      </c>
      <c r="Z163" t="inlineStr">
        <is>
          <t>NEED_SOURCE</t>
        </is>
      </c>
      <c r="AA163" t="inlineStr">
        <is>
          <t>NEED_SOURCE</t>
        </is>
      </c>
      <c r="AB163" t="inlineStr">
        <is>
          <t>NEED_SOURCE</t>
        </is>
      </c>
      <c r="AC163" t="inlineStr">
        <is>
          <t>missile</t>
        </is>
      </c>
      <c r="AD163" t="inlineStr">
        <is>
          <t>cruise missiles: ~3 s between launches (est.)</t>
        </is>
      </c>
      <c r="AE163" t="inlineStr">
        <is>
          <t>JASSM: đầu nổ 450 kg</t>
        </is>
      </c>
      <c r="AF163" t="inlineStr">
        <is>
          <t>Tools/balance/full_weapon_audit.py: REAL / WARHEAD; balance.json weapons[id=jassm].real</t>
        </is>
      </c>
      <c r="AG163" t="inlineStr"/>
    </row>
    <row r="164">
      <c r="A164" t="inlineStr">
        <is>
          <t>jet_bombs</t>
        </is>
      </c>
      <c r="B164" t="inlineStr">
        <is>
          <t>jet_bombs</t>
        </is>
      </c>
      <c r="C164" t="inlineStr">
        <is>
          <t>FAB-250 (250 kg)</t>
        </is>
      </c>
      <c r="D164" t="inlineStr">
        <is>
          <t>doi_that</t>
        </is>
      </c>
      <c r="E164" t="inlineStr">
        <is>
          <t>FAB-250 (250 kg)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uoc_dinh</t>
        </is>
      </c>
      <c r="P164" t="inlineStr">
        <is>
          <t>R_balance;R_full_weapon_audit;R_machine_brigade_can_bang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NEED_SOURCE</t>
        </is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600</v>
      </c>
      <c r="Y164" t="inlineStr">
        <is>
          <t>NEED_SOURCE</t>
        </is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bomb</t>
        </is>
      </c>
      <c r="AD164" t="inlineStr">
        <is>
          <t>a stick's release, 0.1 s and up (est.)</t>
        </is>
      </c>
      <c r="AE164" t="inlineStr">
        <is>
          <t>FAB-250: ~100 kg thuốc nổ</t>
        </is>
      </c>
      <c r="AF164" t="inlineStr">
        <is>
          <t>Tools/balance/full_weapon_audit.py: REAL / WARHEAD; balance.json weapons[id=jet_bombs].real</t>
        </is>
      </c>
      <c r="AG164" t="inlineStr"/>
    </row>
    <row r="165">
      <c r="A165" t="inlineStr">
        <is>
          <t>jet_cannon</t>
        </is>
      </c>
      <c r="B165" t="inlineStr">
        <is>
          <t>jet_cannon</t>
        </is>
      </c>
      <c r="C165" t="inlineStr">
        <is>
          <t>GSh-30-2 30 mm</t>
        </is>
      </c>
      <c r="D165" t="inlineStr">
        <is>
          <t>doi_that</t>
        </is>
      </c>
      <c r="E165" t="inlineStr">
        <is>
          <t>GSh-30-2 30 mm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da_kiem_chung</t>
        </is>
      </c>
      <c r="P165" t="inlineStr">
        <is>
          <t>R_balance;R_full_weapon_audit;W_wikipedia_gsh_30_2;R_machine_brigade_can_bang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30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3000</v>
      </c>
      <c r="Y165" t="inlineStr">
        <is>
          <t>NEED_SOURCE</t>
        </is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ac</t>
        </is>
      </c>
      <c r="AD165" t="inlineStr">
        <is>
          <t>Wikipedia 'GSh-30-2': 3,000 rpm</t>
        </is>
      </c>
      <c r="AE165" t="inlineStr">
        <is>
          <t>GSh-30-2: ~3.000 phát/phút</t>
        </is>
      </c>
      <c r="AF165" t="inlineStr">
        <is>
          <t>Tools/balance/full_weapon_audit.py: REAL / WARHEAD; balance.json weapons[id=jet_cannon].real</t>
        </is>
      </c>
      <c r="AG165" t="inlineStr"/>
    </row>
    <row r="166">
      <c r="A166" t="inlineStr">
        <is>
          <t>jet_cannon_flak</t>
        </is>
      </c>
      <c r="B166" t="inlineStr">
        <is>
          <t>jet_cannon_flak</t>
        </is>
      </c>
      <c r="C166" t="inlineStr">
        <is>
          <t>GSh-30-2 30 mm air-burst</t>
        </is>
      </c>
      <c r="D166" t="inlineStr">
        <is>
          <t>doi_that</t>
        </is>
      </c>
      <c r="E166" t="inlineStr">
        <is>
          <t>GSh-30-2 30 mm air-burst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da_kiem_chung</t>
        </is>
      </c>
      <c r="P166" t="inlineStr">
        <is>
          <t>R_balance;R_full_weapon_audit;W_wikipedia_gsh_30_2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n">
        <v>30</v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3000</v>
      </c>
      <c r="Y166" t="inlineStr">
        <is>
          <t>NEED_SOURCE</t>
        </is>
      </c>
      <c r="Z166" t="inlineStr">
        <is>
          <t>NEED_SOURCE</t>
        </is>
      </c>
      <c r="AA166" t="inlineStr">
        <is>
          <t>NEED_SOURCE</t>
        </is>
      </c>
      <c r="AB166" t="inlineStr"/>
      <c r="AC166" t="inlineStr">
        <is>
          <t>ac</t>
        </is>
      </c>
      <c r="AD166" t="inlineStr">
        <is>
          <t>Wikipedia 'GSh-30-2': 3,000 rpm</t>
        </is>
      </c>
      <c r="AE166" t="inlineStr"/>
      <c r="AF166" t="inlineStr">
        <is>
          <t>Tools/balance/full_weapon_audit.py: REAL / WARHEAD; balance.json weapons[id=jet_cannon_flak].real</t>
        </is>
      </c>
      <c r="AG166" t="inlineStr"/>
    </row>
    <row r="167">
      <c r="A167" t="inlineStr">
        <is>
          <t>jet_rockets</t>
        </is>
      </c>
      <c r="B167" t="inlineStr">
        <is>
          <t>jet_rockets</t>
        </is>
      </c>
      <c r="C167" t="inlineStr">
        <is>
          <t>Hydra 70 mm</t>
        </is>
      </c>
      <c r="D167" t="inlineStr">
        <is>
          <t>doi_that</t>
        </is>
      </c>
      <c r="E167" t="inlineStr">
        <is>
          <t>Hydra 70 mm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ban_dau_doan</t>
        </is>
      </c>
      <c r="P167" t="inlineStr">
        <is>
          <t>R_balance;R_full_weapon_audit;R_decisions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n">
        <v>70</v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900</v>
      </c>
      <c r="Y167" t="inlineStr">
        <is>
          <t>NEED_SOURCE</t>
        </is>
      </c>
      <c r="Z167" t="inlineStr">
        <is>
          <t>NEED_SOURCE</t>
        </is>
      </c>
      <c r="AA167" t="inlineStr">
        <is>
          <t>NEED_SOURCE</t>
        </is>
      </c>
      <c r="AB167" t="inlineStr"/>
      <c r="AC167" t="inlineStr">
        <is>
          <t>rocket</t>
        </is>
      </c>
      <c r="AD167" t="inlineStr">
        <is>
          <t>rocket pods: ripples of 0.05-0.12 s (DECISIONS 19R)</t>
        </is>
      </c>
      <c r="AE167" t="inlineStr"/>
      <c r="AF167" t="inlineStr">
        <is>
          <t>Tools/balance/full_weapon_audit.py: REAL / WARHEAD; balance.json weapons[id=jet_rockets].real</t>
        </is>
      </c>
      <c r="AG167" t="inlineStr"/>
    </row>
    <row r="168">
      <c r="A168" t="inlineStr">
        <is>
          <t>kh29</t>
        </is>
      </c>
      <c r="B168" t="inlineStr">
        <is>
          <t>kh29</t>
        </is>
      </c>
      <c r="C168" t="inlineStr">
        <is>
          <t>Kh-29L</t>
        </is>
      </c>
      <c r="D168" t="inlineStr">
        <is>
          <t>doi_that</t>
        </is>
      </c>
      <c r="E168" t="inlineStr">
        <is>
          <t>Kh-29L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uoc_dinh</t>
        </is>
      </c>
      <c r="P168" t="inlineStr">
        <is>
          <t>R_balance;R_full_weapon_audit;W_wikipedia_bai_cua_tung_ten_lua_bang_warhead;R_machine_brigade_can_bang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NEED_SOURCE</t>
        </is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60</v>
      </c>
      <c r="Y168" t="n">
        <v>10</v>
      </c>
      <c r="Z168" t="inlineStr">
        <is>
          <t>NEED_SOURCE</t>
        </is>
      </c>
      <c r="AA168" t="inlineStr">
        <is>
          <t>NEED_SOURCE</t>
        </is>
      </c>
      <c r="AB168" t="n">
        <v>320</v>
      </c>
      <c r="AC168" t="inlineStr">
        <is>
          <t>atgm</t>
        </is>
      </c>
      <c r="AD168" t="inlineStr">
        <is>
          <t>air-launched: ripples ~1 s apart, est. 6 s an aimed shot</t>
        </is>
      </c>
      <c r="AE168" t="inlineStr">
        <is>
          <t>Kh-29L: 10 km, Mach 2,5, đầu nổ 320 kg</t>
        </is>
      </c>
      <c r="AF168" t="inlineStr">
        <is>
          <t>Tools/balance/full_weapon_audit.py: REAL / WARHEAD; balance.json weapons[id=kh29].real</t>
        </is>
      </c>
      <c r="AG168" t="inlineStr"/>
    </row>
    <row r="169">
      <c r="A169" t="inlineStr">
        <is>
          <t>kornet_multi</t>
        </is>
      </c>
      <c r="B169" t="inlineStr">
        <is>
          <t>kornet_multi</t>
        </is>
      </c>
      <c r="C169" t="inlineStr">
        <is>
          <t>9M133 Kornet</t>
        </is>
      </c>
      <c r="D169" t="inlineStr">
        <is>
          <t>doi_that</t>
        </is>
      </c>
      <c r="E169" t="inlineStr">
        <is>
          <t>9M133 Kornet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R_balance;R_full_weapon_audit;W_wikipedia_9m133_kornet;W_wikipedia_bai_cua_tung_ten_lua_bang_warhead;R_machine_brigade_can_bang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NEED_SOURCE</t>
        </is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3</v>
      </c>
      <c r="Y169" t="n">
        <v>3</v>
      </c>
      <c r="Z169" t="inlineStr">
        <is>
          <t>NEED_SOURCE</t>
        </is>
      </c>
      <c r="AA169" t="inlineStr">
        <is>
          <t>NEED_SOURCE</t>
        </is>
      </c>
      <c r="AB169" t="n">
        <v>7</v>
      </c>
      <c r="AC169" t="inlineStr">
        <is>
          <t>atgm</t>
        </is>
      </c>
      <c r="AD169" t="inlineStr">
        <is>
          <t>Wikipedia '9M133 Kornet': 2-3 rpm</t>
        </is>
      </c>
      <c r="AE169" t="inlineStr">
        <is>
          <t>Kornet</t>
        </is>
      </c>
      <c r="AF169" t="inlineStr">
        <is>
          <t>Tools/balance/full_weapon_audit.py: REAL / WARHEAD; balance.json weapons[id=kornet_multi].real</t>
        </is>
      </c>
      <c r="AG169" t="inlineStr"/>
    </row>
    <row r="170">
      <c r="A170" t="inlineStr">
        <is>
          <t>kornet_top</t>
        </is>
      </c>
      <c r="B170" t="inlineStr">
        <is>
          <t>kornet_top</t>
        </is>
      </c>
      <c r="C170" t="inlineStr">
        <is>
          <t>9M133 Kornet</t>
        </is>
      </c>
      <c r="D170" t="inlineStr">
        <is>
          <t>doi_that</t>
        </is>
      </c>
      <c r="E170" t="inlineStr">
        <is>
          <t>9M133 Kornet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da_kiem_chung</t>
        </is>
      </c>
      <c r="P170" t="inlineStr">
        <is>
          <t>R_balance;R_full_weapon_audit;W_wikipedia_9m133_kornet;W_wikipedia_bai_cua_tung_ten_lua_bang_warhead;R_machine_brigade_can_bang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NEED_SOURCE</t>
        </is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3</v>
      </c>
      <c r="Y170" t="n">
        <v>3</v>
      </c>
      <c r="Z170" t="inlineStr">
        <is>
          <t>NEED_SOURCE</t>
        </is>
      </c>
      <c r="AA170" t="inlineStr">
        <is>
          <t>NEED_SOURCE</t>
        </is>
      </c>
      <c r="AB170" t="n">
        <v>7</v>
      </c>
      <c r="AC170" t="inlineStr">
        <is>
          <t>atgm</t>
        </is>
      </c>
      <c r="AD170" t="inlineStr">
        <is>
          <t>Wikipedia '9M133 Kornet': 2-3 rpm</t>
        </is>
      </c>
      <c r="AE170" t="inlineStr">
        <is>
          <t>Kornet</t>
        </is>
      </c>
      <c r="AF170" t="inlineStr">
        <is>
          <t>Tools/balance/full_weapon_audit.py: REAL / WARHEAD; balance.json weapons[id=kornet_top].real</t>
        </is>
      </c>
      <c r="AG170" t="inlineStr"/>
    </row>
    <row r="171">
      <c r="A171" t="inlineStr">
        <is>
          <t>kornet_twin</t>
        </is>
      </c>
      <c r="B171" t="inlineStr">
        <is>
          <t>kornet_twin</t>
        </is>
      </c>
      <c r="C171" t="inlineStr">
        <is>
          <t>9M133 Kornet</t>
        </is>
      </c>
      <c r="D171" t="inlineStr">
        <is>
          <t>doi_that</t>
        </is>
      </c>
      <c r="E171" t="inlineStr">
        <is>
          <t>9M133 Kornet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da_kiem_chung</t>
        </is>
      </c>
      <c r="P171" t="inlineStr">
        <is>
          <t>R_balance;R_full_weapon_audit;W_wikipedia_9m133_kornet;W_wikipedia_bai_cua_tung_ten_lua_bang_warhead;R_machine_brigade_can_bang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NEED_SOURCE</t>
        </is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n">
        <v>3</v>
      </c>
      <c r="Y171" t="n">
        <v>3</v>
      </c>
      <c r="Z171" t="inlineStr">
        <is>
          <t>NEED_SOURCE</t>
        </is>
      </c>
      <c r="AA171" t="inlineStr">
        <is>
          <t>NEED_SOURCE</t>
        </is>
      </c>
      <c r="AB171" t="n">
        <v>7</v>
      </c>
      <c r="AC171" t="inlineStr">
        <is>
          <t>atgm</t>
        </is>
      </c>
      <c r="AD171" t="inlineStr">
        <is>
          <t>Wikipedia '9M133 Kornet': 2-3 rpm</t>
        </is>
      </c>
      <c r="AE171" t="inlineStr">
        <is>
          <t>Kornet</t>
        </is>
      </c>
      <c r="AF171" t="inlineStr">
        <is>
          <t>Tools/balance/full_weapon_audit.py: REAL / WARHEAD; balance.json weapons[id=kornet_twin].real</t>
        </is>
      </c>
      <c r="AG171" t="inlineStr"/>
    </row>
    <row r="172">
      <c r="A172" t="inlineStr">
        <is>
          <t>lancet</t>
        </is>
      </c>
      <c r="B172" t="inlineStr">
        <is>
          <t>lancet</t>
        </is>
      </c>
      <c r="C172" t="inlineStr">
        <is>
          <t>ZALA Lancet-3 (3 kg)</t>
        </is>
      </c>
      <c r="D172" t="inlineStr">
        <is>
          <t>doi_that</t>
        </is>
      </c>
      <c r="E172" t="inlineStr">
        <is>
          <t>ZALA Lancet-3 (3 kg)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ban_dau_doan</t>
        </is>
      </c>
      <c r="P172" t="inlineStr">
        <is>
          <t>R_balance;R_machine_brigade_can_bang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NEED_SOURCE</t>
        </is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inlineStr">
        <is>
          <t>NEED_SOURCE</t>
        </is>
      </c>
      <c r="Y172" t="inlineStr">
        <is>
          <t>NEED_SOURCE</t>
        </is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/>
      <c r="AD172" t="inlineStr"/>
      <c r="AE172" t="inlineStr">
        <is>
          <t>Lancet-3: đầu nổ 3 kg; tầm 40 km</t>
        </is>
      </c>
      <c r="AF172" t="inlineStr">
        <is>
          <t>Tools/balance/full_weapon_audit.py: REAL / WARHEAD; balance.json weapons[id=lancet].real</t>
        </is>
      </c>
      <c r="AG172" t="inlineStr"/>
    </row>
    <row r="173">
      <c r="A173" t="inlineStr">
        <is>
          <t>lancet_hangar</t>
        </is>
      </c>
      <c r="B173" t="inlineStr">
        <is>
          <t>lancet_hangar</t>
        </is>
      </c>
      <c r="C173" t="inlineStr">
        <is>
          <t>ZALA Lancet-3 (3 kg)</t>
        </is>
      </c>
      <c r="D173" t="inlineStr">
        <is>
          <t>doi_that</t>
        </is>
      </c>
      <c r="E173" t="inlineStr">
        <is>
          <t>ZALA Lancet-3 (3 kg)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ban_dau_doan</t>
        </is>
      </c>
      <c r="P173" t="inlineStr">
        <is>
          <t>R_balance;R_machine_brigade_can_bang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NEED_SOURCE</t>
        </is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inlineStr">
        <is>
          <t>NEED_SOURCE</t>
        </is>
      </c>
      <c r="Y173" t="inlineStr">
        <is>
          <t>NEED_SOURCE</t>
        </is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/>
      <c r="AD173" t="inlineStr"/>
      <c r="AE173" t="inlineStr">
        <is>
          <t>Lancet-3</t>
        </is>
      </c>
      <c r="AF173" t="inlineStr">
        <is>
          <t>Tools/balance/full_weapon_audit.py: REAL / WARHEAD; balance.json weapons[id=lancet_hangar].real</t>
        </is>
      </c>
      <c r="AG173" t="inlineStr"/>
    </row>
    <row r="174">
      <c r="A174" t="inlineStr">
        <is>
          <t>laser_50kw</t>
        </is>
      </c>
      <c r="B174" t="inlineStr">
        <is>
          <t>laser_50kw</t>
        </is>
      </c>
      <c r="C174" t="inlineStr">
        <is>
          <t>50 kW laser (Iron Beam fixed site)</t>
        </is>
      </c>
      <c r="D174" t="inlineStr">
        <is>
          <t>doi_that</t>
        </is>
      </c>
      <c r="E174" t="inlineStr">
        <is>
          <t>50 kW laser (Iron Beam fixed site)</t>
        </is>
      </c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>
        <is>
          <t>ban_dau_doan</t>
        </is>
      </c>
      <c r="P174" t="inlineStr">
        <is>
          <t>R_balance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NEED_SOURCE</t>
        </is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inlineStr">
        <is>
          <t>NEED_SOURCE</t>
        </is>
      </c>
      <c r="Y174" t="inlineStr">
        <is>
          <t>NEED_SOURCE</t>
        </is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/>
      <c r="AD174" t="inlineStr"/>
      <c r="AE174" t="inlineStr"/>
      <c r="AF174" t="inlineStr">
        <is>
          <t>Tools/balance/full_weapon_audit.py: REAL / WARHEAD; balance.json weapons[id=laser_50kw].real</t>
        </is>
      </c>
      <c r="AG174" t="inlineStr"/>
    </row>
    <row r="175">
      <c r="A175" t="inlineStr">
        <is>
          <t>leviathan_460</t>
        </is>
      </c>
      <c r="B175" t="inlineStr">
        <is>
          <t>leviathan_460</t>
        </is>
      </c>
      <c r="C175" t="inlineStr">
        <is>
          <t>Mk 7 406 mm/50 (Iowa, triple)</t>
        </is>
      </c>
      <c r="D175" t="inlineStr">
        <is>
          <t>doi_that</t>
        </is>
      </c>
      <c r="E175" t="inlineStr">
        <is>
          <t>Mk 7 406 mm/50 (Iowa, triple)</t>
        </is>
      </c>
      <c r="F175" t="inlineStr"/>
      <c r="G175" t="inlineStr"/>
      <c r="H175" t="inlineStr"/>
      <c r="I175" t="inlineStr"/>
      <c r="J175" t="inlineStr"/>
      <c r="K175" t="inlineStr"/>
      <c r="L175" t="inlineStr">
        <is>
          <t>nhịp chậm hơn 30 % và mạnh hơn tương ứng (luật súng của game)</t>
        </is>
      </c>
      <c r="M175" t="inlineStr">
        <is>
          <t>gameplay</t>
        </is>
      </c>
      <c r="N175" t="inlineStr"/>
      <c r="O175" t="inlineStr">
        <is>
          <t>da_kiem_chung</t>
        </is>
      </c>
      <c r="P175" t="inlineStr">
        <is>
          <t>R_balance;R_full_weapon_audit;W_wikipedia_16_50_caliber_mark_7;R_machine_brigade_can_bang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n">
        <v>406</v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2</v>
      </c>
      <c r="Y175" t="n">
        <v>2</v>
      </c>
      <c r="Z175" t="inlineStr">
        <is>
          <t>NEED_SOURCE</t>
        </is>
      </c>
      <c r="AA175" t="inlineStr">
        <is>
          <t>NEED_SOURCE</t>
        </is>
      </c>
      <c r="AB175" t="inlineStr"/>
      <c r="AC175" t="inlineStr">
        <is>
          <t>gun</t>
        </is>
      </c>
      <c r="AD175" t="inlineStr">
        <is>
          <t>Wikipedia '16"/50 caliber Mark 7': 2 rpm a gun</t>
        </is>
      </c>
      <c r="AE175" t="inlineStr">
        <is>
          <t>Type 94 460 mm: 1,5–2 phát/phút, đạn 1,46 tấn</t>
        </is>
      </c>
      <c r="AF175" t="inlineStr">
        <is>
          <t>Tools/balance/full_weapon_audit.py: REAL / WARHEAD; balance.json weapons[id=leviathan_460].real</t>
        </is>
      </c>
      <c r="AG175" t="inlineStr"/>
    </row>
    <row r="176">
      <c r="A176" t="inlineStr">
        <is>
          <t>leviathan_460_guided</t>
        </is>
      </c>
      <c r="B176" t="inlineStr">
        <is>
          <t>leviathan_460_guided</t>
        </is>
      </c>
      <c r="C176" t="inlineStr">
        <is>
          <t>Mk 7 406 mm/50 guided (Iowa, triple)</t>
        </is>
      </c>
      <c r="D176" t="inlineStr">
        <is>
          <t>doi_that</t>
        </is>
      </c>
      <c r="E176" t="inlineStr">
        <is>
          <t>Mk 7 406 mm/50 guided (Iowa, triple)</t>
        </is>
      </c>
      <c r="F176" t="inlineStr"/>
      <c r="G176" t="inlineStr"/>
      <c r="H176" t="inlineStr"/>
      <c r="I176" t="inlineStr"/>
      <c r="J176" t="inlineStr"/>
      <c r="K176" t="inlineStr"/>
      <c r="L176" t="inlineStr">
        <is>
          <t>nhịp chậm hơn 30 % và mạnh hơn tương ứng (luật súng của game)</t>
        </is>
      </c>
      <c r="M176" t="inlineStr">
        <is>
          <t>gameplay</t>
        </is>
      </c>
      <c r="N176" t="inlineStr"/>
      <c r="O176" t="inlineStr">
        <is>
          <t>da_kiem_chung</t>
        </is>
      </c>
      <c r="P176" t="inlineStr">
        <is>
          <t>R_balance;R_full_weapon_audit;W_wikipedia_16_50_caliber_mark_7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n">
        <v>406</v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n">
        <v>2</v>
      </c>
      <c r="Y176" t="n">
        <v>2</v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>
        <is>
          <t>gun</t>
        </is>
      </c>
      <c r="AD176" t="inlineStr">
        <is>
          <t>Wikipedia '16"/50 caliber Mark 7': 2 rpm a gun</t>
        </is>
      </c>
      <c r="AE176" t="inlineStr"/>
      <c r="AF176" t="inlineStr">
        <is>
          <t>Tools/balance/full_weapon_audit.py: REAL / WARHEAD; balance.json weapons[id=leviathan_460_guided].real</t>
        </is>
      </c>
      <c r="AG176" t="inlineStr"/>
    </row>
    <row r="177">
      <c r="A177" t="inlineStr">
        <is>
          <t>leviathan_cruise</t>
        </is>
      </c>
      <c r="B177" t="inlineStr">
        <is>
          <t>leviathan_cruise</t>
        </is>
      </c>
      <c r="C177" t="inlineStr">
        <is>
          <t>3M-54 Kalibr</t>
        </is>
      </c>
      <c r="D177" t="inlineStr">
        <is>
          <t>doi_that</t>
        </is>
      </c>
      <c r="E177" t="inlineStr">
        <is>
          <t>3M-54 Kalibr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uoc_dinh</t>
        </is>
      </c>
      <c r="P177" t="inlineStr">
        <is>
          <t>R_balance;R_full_weapon_audit;W_wikipedia_bai_cua_tung_ten_lua_bang_warhead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NEED_SOURCE</t>
        </is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20</v>
      </c>
      <c r="Y177" t="n">
        <v>6</v>
      </c>
      <c r="Z177" t="inlineStr">
        <is>
          <t>NEED_SOURCE</t>
        </is>
      </c>
      <c r="AA177" t="inlineStr">
        <is>
          <t>NEED_SOURCE</t>
        </is>
      </c>
      <c r="AB177" t="n">
        <v>200</v>
      </c>
      <c r="AC177" t="inlineStr">
        <is>
          <t>missile</t>
        </is>
      </c>
      <c r="AD177" t="inlineStr">
        <is>
          <t>cruise missiles: ~3 s between launches (est.)</t>
        </is>
      </c>
      <c r="AE177" t="inlineStr"/>
      <c r="AF177" t="inlineStr">
        <is>
          <t>Tools/balance/full_weapon_audit.py: REAL / WARHEAD; balance.json weapons[id=leviathan_cruise].real</t>
        </is>
      </c>
      <c r="AG177" t="inlineStr"/>
    </row>
    <row r="178">
      <c r="A178" t="inlineStr">
        <is>
          <t>locust_drones</t>
        </is>
      </c>
      <c r="B178" t="inlineStr">
        <is>
          <t>locust_drones</t>
        </is>
      </c>
      <c r="C178" t="inlineStr">
        <is>
          <t>ZALA Lancet-3 swarm</t>
        </is>
      </c>
      <c r="D178" t="inlineStr">
        <is>
          <t>doi_that</t>
        </is>
      </c>
      <c r="E178" t="inlineStr">
        <is>
          <t>ZALA Lancet-3 swarm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>
        <is>
          <t>ban_dau_doan</t>
        </is>
      </c>
      <c r="P178" t="inlineStr">
        <is>
          <t>R_balance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NEED_SOURCE</t>
        </is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inlineStr">
        <is>
          <t>NEED_SOURCE</t>
        </is>
      </c>
      <c r="Y178" t="inlineStr">
        <is>
          <t>NEED_SOURCE</t>
        </is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/>
      <c r="AD178" t="inlineStr"/>
      <c r="AE178" t="inlineStr"/>
      <c r="AF178" t="inlineStr">
        <is>
          <t>Tools/balance/full_weapon_audit.py: REAL / WARHEAD; balance.json weapons[id=locust_drones].real</t>
        </is>
      </c>
      <c r="AG178" t="inlineStr"/>
    </row>
    <row r="179">
      <c r="A179" t="inlineStr">
        <is>
          <t>maverick</t>
        </is>
      </c>
      <c r="B179" t="inlineStr">
        <is>
          <t>maverick</t>
        </is>
      </c>
      <c r="C179" t="inlineStr">
        <is>
          <t>AGM-65 Maverick</t>
        </is>
      </c>
      <c r="D179" t="inlineStr">
        <is>
          <t>doi_that</t>
        </is>
      </c>
      <c r="E179" t="inlineStr">
        <is>
          <t>AGM-65 Maverick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>
        <is>
          <t>uoc_dinh</t>
        </is>
      </c>
      <c r="P179" t="inlineStr">
        <is>
          <t>R_balance;R_full_weapon_audit;W_wikipedia_bai_cua_tung_ten_lua_bang_warhead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inlineStr">
        <is>
          <t>NEED_SOURCE</t>
        </is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60</v>
      </c>
      <c r="Y179" t="n">
        <v>10</v>
      </c>
      <c r="Z179" t="inlineStr">
        <is>
          <t>NEED_SOURCE</t>
        </is>
      </c>
      <c r="AA179" t="inlineStr">
        <is>
          <t>NEED_SOURCE</t>
        </is>
      </c>
      <c r="AB179" t="n">
        <v>57</v>
      </c>
      <c r="AC179" t="inlineStr">
        <is>
          <t>atgm</t>
        </is>
      </c>
      <c r="AD179" t="inlineStr">
        <is>
          <t>air-launched: ripples ~1 s apart, est. 6 s an aimed shot</t>
        </is>
      </c>
      <c r="AE179" t="inlineStr"/>
      <c r="AF179" t="inlineStr">
        <is>
          <t>Tools/balance/full_weapon_audit.py: REAL / WARHEAD; balance.json weapons[id=maverick].real</t>
        </is>
      </c>
      <c r="AG179" t="inlineStr"/>
    </row>
    <row r="180">
      <c r="A180" t="inlineStr">
        <is>
          <t>mg_coax</t>
        </is>
      </c>
      <c r="B180" t="inlineStr">
        <is>
          <t>mg_coax</t>
        </is>
      </c>
      <c r="C180" t="inlineStr">
        <is>
          <t>PKT / M240 7.62 mm</t>
        </is>
      </c>
      <c r="D180" t="inlineStr">
        <is>
          <t>doi_that</t>
        </is>
      </c>
      <c r="E180" t="inlineStr">
        <is>
          <t>PKT / M240 7.62 mm</t>
        </is>
      </c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>
        <is>
          <t>da_kiem_chung</t>
        </is>
      </c>
      <c r="P180" t="inlineStr">
        <is>
          <t>R_balance;R_full_weapon_audit;W_wikipedia_pk_machine_gun;R_machine_brigade_can_bang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7.62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800</v>
      </c>
      <c r="Y180" t="n">
        <v>250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mg</t>
        </is>
      </c>
      <c r="AD180" t="inlineStr">
        <is>
          <t>Wikipedia 'PK machine gun' (PKT 700-800, practical 250); M240 650-950</t>
        </is>
      </c>
      <c r="AE180" t="inlineStr">
        <is>
          <t>PKT/M240: 650–950</t>
        </is>
      </c>
      <c r="AF180" t="inlineStr">
        <is>
          <t>Tools/balance/full_weapon_audit.py: REAL / WARHEAD; balance.json weapons[id=mg_coax].real</t>
        </is>
      </c>
      <c r="AG180" t="inlineStr"/>
    </row>
    <row r="181">
      <c r="A181" t="inlineStr">
        <is>
          <t>mg_coax_long</t>
        </is>
      </c>
      <c r="B181" t="inlineStr">
        <is>
          <t>mg_coax_long</t>
        </is>
      </c>
      <c r="C181" t="inlineStr">
        <is>
          <t>PKT / M240 7.62 mm</t>
        </is>
      </c>
      <c r="D181" t="inlineStr">
        <is>
          <t>doi_that</t>
        </is>
      </c>
      <c r="E181" t="inlineStr">
        <is>
          <t>PKT / M240 7.62 mm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R_balance;R_full_weapon_audit;W_wikipedia_pk_machine_gun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7.62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800</v>
      </c>
      <c r="Y181" t="n">
        <v>250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mg</t>
        </is>
      </c>
      <c r="AD181" t="inlineStr">
        <is>
          <t>Wikipedia 'PK machine gun' (PKT 700-800, practical 250); M240 650-950</t>
        </is>
      </c>
      <c r="AE181" t="inlineStr"/>
      <c r="AF181" t="inlineStr">
        <is>
          <t>Tools/balance/full_weapon_audit.py: REAL / WARHEAD; balance.json weapons[id=mg_coax_long].real</t>
        </is>
      </c>
      <c r="AG181" t="inlineStr"/>
    </row>
    <row r="182">
      <c r="A182" t="inlineStr">
        <is>
          <t>mg_jeep</t>
        </is>
      </c>
      <c r="B182" t="inlineStr">
        <is>
          <t>mg_jeep</t>
        </is>
      </c>
      <c r="C182" t="inlineStr">
        <is>
          <t>M2 Browning 12.7 mm</t>
        </is>
      </c>
      <c r="D182" t="inlineStr">
        <is>
          <t>doi_that</t>
        </is>
      </c>
      <c r="E182" t="inlineStr">
        <is>
          <t>M2 Browning 12.7 mm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R_balance;R_full_weapon_audit;D_us_army_fm_3_22_65;R_machine_brigade_can_bang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12.7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600</v>
      </c>
      <c r="Y182" t="n">
        <v>40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mg</t>
        </is>
      </c>
      <c r="AD182" t="inlineStr">
        <is>
          <t>US Army FM 3-22.65: cyclic 450-600, rapid 40 rpm</t>
        </is>
      </c>
      <c r="AE182" t="inlineStr">
        <is>
          <t>M2: 450–600</t>
        </is>
      </c>
      <c r="AF182" t="inlineStr">
        <is>
          <t>Tools/balance/full_weapon_audit.py: REAL / WARHEAD; balance.json weapons[id=mg_jeep].real</t>
        </is>
      </c>
      <c r="AG182" t="inlineStr"/>
    </row>
    <row r="183">
      <c r="A183" t="inlineStr">
        <is>
          <t>mg_jeep_api</t>
        </is>
      </c>
      <c r="B183" t="inlineStr">
        <is>
          <t>mg_jeep_api</t>
        </is>
      </c>
      <c r="C183" t="inlineStr">
        <is>
          <t>M2 Browning 12.7 mm API</t>
        </is>
      </c>
      <c r="D183" t="inlineStr">
        <is>
          <t>doi_that</t>
        </is>
      </c>
      <c r="E183" t="inlineStr">
        <is>
          <t>M2 Browning 12.7 mm API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R_balance;R_full_weapon_audit;D_us_army_fm_3_22_65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12.7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600</v>
      </c>
      <c r="Y183" t="n">
        <v>40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mg</t>
        </is>
      </c>
      <c r="AD183" t="inlineStr">
        <is>
          <t>US Army FM 3-22.65: cyclic 450-600, rapid 40 rpm</t>
        </is>
      </c>
      <c r="AE183" t="inlineStr"/>
      <c r="AF183" t="inlineStr">
        <is>
          <t>Tools/balance/full_weapon_audit.py: REAL / WARHEAD; balance.json weapons[id=mg_jeep_api].real</t>
        </is>
      </c>
      <c r="AG183" t="inlineStr"/>
    </row>
    <row r="184">
      <c r="A184" t="inlineStr">
        <is>
          <t>mg_jeep_selfdef</t>
        </is>
      </c>
      <c r="B184" t="inlineStr">
        <is>
          <t>mg_jeep_selfdef</t>
        </is>
      </c>
      <c r="C184" t="inlineStr">
        <is>
          <t>M2 Browning 12.7 mm</t>
        </is>
      </c>
      <c r="D184" t="inlineStr">
        <is>
          <t>doi_that</t>
        </is>
      </c>
      <c r="E184" t="inlineStr">
        <is>
          <t>M2 Browning 12.7 mm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R_balance;R_full_weapon_audit;D_us_army_fm_3_22_65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12.7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600</v>
      </c>
      <c r="Y184" t="n">
        <v>40</v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mg</t>
        </is>
      </c>
      <c r="AD184" t="inlineStr">
        <is>
          <t>US Army FM 3-22.65: cyclic 450-600, rapid 40 rpm</t>
        </is>
      </c>
      <c r="AE184" t="inlineStr"/>
      <c r="AF184" t="inlineStr">
        <is>
          <t>Tools/balance/full_weapon_audit.py: REAL / WARHEAD; balance.json weapons[id=mg_jeep_selfdef].real</t>
        </is>
      </c>
      <c r="AG184" t="inlineStr"/>
    </row>
    <row r="185">
      <c r="A185" t="inlineStr">
        <is>
          <t>mg_jeep_selfdef_api</t>
        </is>
      </c>
      <c r="B185" t="inlineStr">
        <is>
          <t>mg_jeep_selfdef_api</t>
        </is>
      </c>
      <c r="C185" t="inlineStr">
        <is>
          <t>M2 Browning 12.7 mm API</t>
        </is>
      </c>
      <c r="D185" t="inlineStr">
        <is>
          <t>doi_that</t>
        </is>
      </c>
      <c r="E185" t="inlineStr">
        <is>
          <t>M2 Browning 12.7 mm API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da_kiem_chung</t>
        </is>
      </c>
      <c r="P185" t="inlineStr">
        <is>
          <t>R_balance;R_full_weapon_audit;D_us_army_fm_3_22_65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n">
        <v>12.7</v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600</v>
      </c>
      <c r="Y185" t="n">
        <v>40</v>
      </c>
      <c r="Z185" t="inlineStr">
        <is>
          <t>NEED_SOURCE</t>
        </is>
      </c>
      <c r="AA185" t="inlineStr">
        <is>
          <t>NEED_SOURCE</t>
        </is>
      </c>
      <c r="AB185" t="inlineStr"/>
      <c r="AC185" t="inlineStr">
        <is>
          <t>mg</t>
        </is>
      </c>
      <c r="AD185" t="inlineStr">
        <is>
          <t>US Army FM 3-22.65: cyclic 450-600, rapid 40 rpm</t>
        </is>
      </c>
      <c r="AE185" t="inlineStr"/>
      <c r="AF185" t="inlineStr">
        <is>
          <t>Tools/balance/full_weapon_audit.py: REAL / WARHEAD; balance.json weapons[id=mg_jeep_selfdef_api].real</t>
        </is>
      </c>
      <c r="AG185" t="inlineStr"/>
    </row>
    <row r="186">
      <c r="A186" t="inlineStr">
        <is>
          <t>minigun</t>
        </is>
      </c>
      <c r="B186" t="inlineStr">
        <is>
          <t>minigun</t>
        </is>
      </c>
      <c r="C186" t="inlineStr">
        <is>
          <t>M134 Minigun 7.62 mm</t>
        </is>
      </c>
      <c r="D186" t="inlineStr">
        <is>
          <t>doi_that</t>
        </is>
      </c>
      <c r="E186" t="inlineStr">
        <is>
          <t>M134 Minigun 7.62 mm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da_kiem_chung</t>
        </is>
      </c>
      <c r="P186" t="inlineStr">
        <is>
          <t>R_balance;R_full_weapon_audit;W_wikipedia_m134_minigun;R_machine_brigade_can_bang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n">
        <v>7.62</v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6000</v>
      </c>
      <c r="Y186" t="inlineStr">
        <is>
          <t>NEED_SOURCE</t>
        </is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>
        <is>
          <t>mg</t>
        </is>
      </c>
      <c r="AD186" t="inlineStr">
        <is>
          <t>Wikipedia 'M134 Minigun': 2,000-6,000 rpm (3,000 on helicopters)</t>
        </is>
      </c>
      <c r="AE186" t="inlineStr">
        <is>
          <t>M134: 2.000–6.000</t>
        </is>
      </c>
      <c r="AF186" t="inlineStr">
        <is>
          <t>Tools/balance/full_weapon_audit.py: REAL / WARHEAD; balance.json weapons[id=minigun].real</t>
        </is>
      </c>
      <c r="AG186" t="inlineStr"/>
    </row>
    <row r="187">
      <c r="A187" t="inlineStr">
        <is>
          <t>missile_57e6</t>
        </is>
      </c>
      <c r="B187" t="inlineStr">
        <is>
          <t>missile_57e6</t>
        </is>
      </c>
      <c r="C187" t="inlineStr">
        <is>
          <t>57E6 (Pantsir)</t>
        </is>
      </c>
      <c r="D187" t="inlineStr">
        <is>
          <t>doi_that</t>
        </is>
      </c>
      <c r="E187" t="inlineStr">
        <is>
          <t>57E6 (Pantsir)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uoc_dinh</t>
        </is>
      </c>
      <c r="P187" t="inlineStr">
        <is>
          <t>R_balance;R_full_weapon_audit;W_wikipedia_pantsir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NEED_SOURCE</t>
        </is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40</v>
      </c>
      <c r="Y187" t="n">
        <v>12</v>
      </c>
      <c r="Z187" t="inlineStr">
        <is>
          <t>NEED_SOURCE</t>
        </is>
      </c>
      <c r="AA187" t="inlineStr">
        <is>
          <t>NEED_SOURCE</t>
        </is>
      </c>
      <c r="AB187" t="inlineStr">
        <is>
          <t>NEED_SOURCE</t>
        </is>
      </c>
      <c r="AC187" t="inlineStr">
        <is>
          <t>missile</t>
        </is>
      </c>
      <c r="AD187" t="inlineStr">
        <is>
          <t>Wikipedia 'Pantsir': 2 missiles ~1.5 s apart (est.)</t>
        </is>
      </c>
      <c r="AE187" t="inlineStr"/>
      <c r="AF187" t="inlineStr">
        <is>
          <t>Tools/balance/full_weapon_audit.py: REAL / WARHEAD; balance.json weapons[id=missile_57e6].real</t>
        </is>
      </c>
      <c r="AG187" t="inlineStr"/>
    </row>
    <row r="188">
      <c r="A188" t="inlineStr">
        <is>
          <t>mlrs_elite</t>
        </is>
      </c>
      <c r="B188" t="inlineStr">
        <is>
          <t>mlrs_elite</t>
        </is>
      </c>
      <c r="C188" t="inlineStr">
        <is>
          <t>M30 GMLRS 227 mm (cluster)</t>
        </is>
      </c>
      <c r="D188" t="inlineStr">
        <is>
          <t>doi_that</t>
        </is>
      </c>
      <c r="E188" t="inlineStr">
        <is>
          <t>M30 GMLRS 227 mm (cluster)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da_kiem_chung</t>
        </is>
      </c>
      <c r="P188" t="inlineStr">
        <is>
          <t>R_balance;R_full_weapon_audit;W_wikipedia_m270_mlrs;R_machine_brigade_can_bang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n">
        <v>227</v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12</v>
      </c>
      <c r="Y188" t="inlineStr">
        <is>
          <t>NEED_SOURCE</t>
        </is>
      </c>
      <c r="Z188" t="inlineStr">
        <is>
          <t>NEED_SOURCE</t>
        </is>
      </c>
      <c r="AA188" t="inlineStr">
        <is>
          <t>NEED_SOURCE</t>
        </is>
      </c>
      <c r="AB188" t="inlineStr"/>
      <c r="AC188" t="inlineStr">
        <is>
          <t>rocket</t>
        </is>
      </c>
      <c r="AD188" t="inlineStr">
        <is>
          <t>Wikipedia 'M270 MLRS': 12 rockets in under a minute</t>
        </is>
      </c>
      <c r="AE188" t="inlineStr">
        <is>
          <t>GMLRS</t>
        </is>
      </c>
      <c r="AF188" t="inlineStr">
        <is>
          <t>Tools/balance/full_weapon_audit.py: REAL / WARHEAD; balance.json weapons[id=mlrs_elite].real</t>
        </is>
      </c>
      <c r="AG188" t="inlineStr"/>
    </row>
    <row r="189">
      <c r="A189" t="inlineStr">
        <is>
          <t>mlrs_rockets</t>
        </is>
      </c>
      <c r="B189" t="inlineStr">
        <is>
          <t>mlrs_rockets</t>
        </is>
      </c>
      <c r="C189" t="inlineStr">
        <is>
          <t>M31 GMLRS 227 mm</t>
        </is>
      </c>
      <c r="D189" t="inlineStr">
        <is>
          <t>doi_that</t>
        </is>
      </c>
      <c r="E189" t="inlineStr">
        <is>
          <t>M31 GMLRS 227 mm</t>
        </is>
      </c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>
        <is>
          <t>da_kiem_chung</t>
        </is>
      </c>
      <c r="P189" t="inlineStr">
        <is>
          <t>R_balance;R_full_weapon_audit;W_wikipedia_m270_mlrs;R_machine_brigade_can_bang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n">
        <v>227</v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12</v>
      </c>
      <c r="Y189" t="inlineStr">
        <is>
          <t>NEED_SOURCE</t>
        </is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rocket</t>
        </is>
      </c>
      <c r="AD189" t="inlineStr">
        <is>
          <t>Wikipedia 'M270 MLRS': 12 rockets in under a minute</t>
        </is>
      </c>
      <c r="AE189" t="inlineStr">
        <is>
          <t>GMLRS: 6 quả / ~45 s; tầm 70–80 km; đầu nổ 90 kg</t>
        </is>
      </c>
      <c r="AF189" t="inlineStr">
        <is>
          <t>Tools/balance/full_weapon_audit.py: REAL / WARHEAD; balance.json weapons[id=mlrs_rockets].real</t>
        </is>
      </c>
      <c r="AG189" t="inlineStr"/>
    </row>
    <row r="190">
      <c r="A190" t="inlineStr">
        <is>
          <t>mortar_120</t>
        </is>
      </c>
      <c r="B190" t="inlineStr">
        <is>
          <t>mortar_120</t>
        </is>
      </c>
      <c r="C190" t="inlineStr">
        <is>
          <t>2B11 120 mm</t>
        </is>
      </c>
      <c r="D190" t="inlineStr">
        <is>
          <t>doi_that</t>
        </is>
      </c>
      <c r="E190" t="inlineStr">
        <is>
          <t>2B11 120 mm</t>
        </is>
      </c>
      <c r="F190" t="inlineStr"/>
      <c r="G190" t="inlineStr"/>
      <c r="H190" t="inlineStr"/>
      <c r="I190" t="inlineStr"/>
      <c r="J190" t="inlineStr"/>
      <c r="K190" t="inlineStr"/>
      <c r="L190" t="inlineStr">
        <is>
          <t>nhịp chậm hơn 30 % và mạnh hơn tương ứng (luật súng của game)</t>
        </is>
      </c>
      <c r="M190" t="inlineStr">
        <is>
          <t>gameplay</t>
        </is>
      </c>
      <c r="N190" t="inlineStr"/>
      <c r="O190" t="inlineStr">
        <is>
          <t>da_kiem_chung</t>
        </is>
      </c>
      <c r="P190" t="inlineStr">
        <is>
          <t>R_balance;R_full_weapon_audit;W_wikipedia_2b11;R_machine_brigade_can_bang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120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15</v>
      </c>
      <c r="Y190" t="n">
        <v>10</v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gun</t>
        </is>
      </c>
      <c r="AD190" t="inlineStr">
        <is>
          <t>Wikipedia '2B11': 15 rpm</t>
        </is>
      </c>
      <c r="AE190" t="inlineStr">
        <is>
          <t>2B11 120 mm: 15 phát/phút; tầm 7 km</t>
        </is>
      </c>
      <c r="AF190" t="inlineStr">
        <is>
          <t>Tools/balance/full_weapon_audit.py: REAL / WARHEAD; balance.json weapons[id=mortar_120].real</t>
        </is>
      </c>
      <c r="AG190" t="inlineStr"/>
    </row>
    <row r="191">
      <c r="A191" t="inlineStr">
        <is>
          <t>mortar_240</t>
        </is>
      </c>
      <c r="B191" t="inlineStr">
        <is>
          <t>mortar_240</t>
        </is>
      </c>
      <c r="C191" t="inlineStr">
        <is>
          <t>2B8 240 mm</t>
        </is>
      </c>
      <c r="D191" t="inlineStr">
        <is>
          <t>doi_that</t>
        </is>
      </c>
      <c r="E191" t="inlineStr">
        <is>
          <t>2B8 240 mm</t>
        </is>
      </c>
      <c r="F191" t="inlineStr"/>
      <c r="G191" t="inlineStr"/>
      <c r="H191" t="inlineStr"/>
      <c r="I191" t="inlineStr"/>
      <c r="J191" t="inlineStr"/>
      <c r="K191" t="inlineStr"/>
      <c r="L191" t="inlineStr">
        <is>
          <t>nhịp chậm hơn 30 % và mạnh hơn tương ứng (luật súng của game)</t>
        </is>
      </c>
      <c r="M191" t="inlineStr">
        <is>
          <t>gameplay</t>
        </is>
      </c>
      <c r="N191" t="inlineStr"/>
      <c r="O191" t="inlineStr">
        <is>
          <t>da_kiem_chung</t>
        </is>
      </c>
      <c r="P191" t="inlineStr">
        <is>
          <t>R_balance;R_full_weapon_audit;W_wikipedia_2s4_tyulpan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n">
        <v>240</v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1</v>
      </c>
      <c r="Y191" t="n">
        <v>1</v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>
        <is>
          <t>gun</t>
        </is>
      </c>
      <c r="AD191" t="inlineStr">
        <is>
          <t>Wikipedia '2S4 Tyulpan': ~1 rpm</t>
        </is>
      </c>
      <c r="AE191" t="inlineStr"/>
      <c r="AF191" t="inlineStr">
        <is>
          <t>Tools/balance/full_weapon_audit.py: REAL / WARHEAD; balance.json weapons[id=mortar_240].real</t>
        </is>
      </c>
      <c r="AG191" t="inlineStr"/>
    </row>
    <row r="192">
      <c r="A192" t="inlineStr">
        <is>
          <t>mothership_cannon</t>
        </is>
      </c>
      <c r="B192" t="inlineStr">
        <is>
          <t>mothership_cannon</t>
        </is>
      </c>
      <c r="C192" t="inlineStr">
        <is>
          <t>AU-220 57 mm</t>
        </is>
      </c>
      <c r="D192" t="inlineStr">
        <is>
          <t>doi_that</t>
        </is>
      </c>
      <c r="E192" t="inlineStr">
        <is>
          <t>AU-220 57 mm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da_kiem_chung</t>
        </is>
      </c>
      <c r="P192" t="inlineStr">
        <is>
          <t>R_balance;R_full_weapon_audit;W_wikipedia_au_220m;R_machine_brigade_can_bang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n">
        <v>57</v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120</v>
      </c>
      <c r="Y192" t="n">
        <v>80</v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ac</t>
        </is>
      </c>
      <c r="AD192" t="inlineStr">
        <is>
          <t>Wikipedia 'AU-220M': 80-120 rpm</t>
        </is>
      </c>
      <c r="AE192" t="inlineStr">
        <is>
          <t>AU-220M: 120 phát/phút</t>
        </is>
      </c>
      <c r="AF192" t="inlineStr">
        <is>
          <t>Tools/balance/full_weapon_audit.py: REAL / WARHEAD; balance.json weapons[id=mothership_cannon].real</t>
        </is>
      </c>
      <c r="AG192" t="inlineStr"/>
    </row>
    <row r="193">
      <c r="A193" t="inlineStr">
        <is>
          <t>mothership_drones</t>
        </is>
      </c>
      <c r="B193" t="inlineStr">
        <is>
          <t>mothership_drones</t>
        </is>
      </c>
      <c r="C193" t="inlineStr">
        <is>
          <t>ZALA Lancet-3 (3 kg)</t>
        </is>
      </c>
      <c r="D193" t="inlineStr">
        <is>
          <t>doi_that</t>
        </is>
      </c>
      <c r="E193" t="inlineStr">
        <is>
          <t>ZALA Lancet-3 (3 kg)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>
        <is>
          <t>ban_dau_doan</t>
        </is>
      </c>
      <c r="P193" t="inlineStr">
        <is>
          <t>R_balance;R_machine_brigade_can_bang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inlineStr">
        <is>
          <t>NEED_SOURCE</t>
        </is>
      </c>
      <c r="Y193" t="inlineStr">
        <is>
          <t>NEED_SOURCE</t>
        </is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/>
      <c r="AD193" t="inlineStr"/>
      <c r="AE193" t="inlineStr">
        <is>
          <t>Lancet-3</t>
        </is>
      </c>
      <c r="AF193" t="inlineStr">
        <is>
          <t>Tools/balance/full_weapon_audit.py: REAL / WARHEAD; balance.json weapons[id=mothership_drones].real</t>
        </is>
      </c>
      <c r="AG193" t="inlineStr"/>
    </row>
    <row r="194">
      <c r="A194" t="inlineStr">
        <is>
          <t>naval_76</t>
        </is>
      </c>
      <c r="B194" t="inlineStr">
        <is>
          <t>naval_76</t>
        </is>
      </c>
      <c r="C194" t="inlineStr">
        <is>
          <t>OTO Melara 76/62</t>
        </is>
      </c>
      <c r="D194" t="inlineStr">
        <is>
          <t>doi_that</t>
        </is>
      </c>
      <c r="E194" t="inlineStr">
        <is>
          <t>OTO Melara 76/62</t>
        </is>
      </c>
      <c r="F194" t="inlineStr"/>
      <c r="G194" t="inlineStr"/>
      <c r="H194" t="inlineStr"/>
      <c r="I194" t="inlineStr"/>
      <c r="J194" t="inlineStr"/>
      <c r="K194" t="inlineStr"/>
      <c r="L194" t="inlineStr">
        <is>
          <t>nhịp chậm hơn 30 % và mạnh hơn tương ứng (luật súng của game)</t>
        </is>
      </c>
      <c r="M194" t="inlineStr">
        <is>
          <t>gameplay</t>
        </is>
      </c>
      <c r="N194" t="inlineStr"/>
      <c r="O194" t="inlineStr">
        <is>
          <t>da_kiem_chung</t>
        </is>
      </c>
      <c r="P194" t="inlineStr">
        <is>
          <t>R_balance;R_full_weapon_audit;W_wikipedia_oto_melara_76_mm;R_machine_brigade_can_bang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NEED_SOURCE</t>
        </is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120</v>
      </c>
      <c r="Y194" t="n">
        <v>80</v>
      </c>
      <c r="Z194" t="inlineStr">
        <is>
          <t>NEED_SOURCE</t>
        </is>
      </c>
      <c r="AA194" t="inlineStr">
        <is>
          <t>NEED_SOURCE</t>
        </is>
      </c>
      <c r="AB194" t="inlineStr"/>
      <c r="AC194" t="inlineStr">
        <is>
          <t>gun</t>
        </is>
      </c>
      <c r="AD194" t="inlineStr">
        <is>
          <t>Wikipedia 'OTO Melara 76 mm': 80-120 rpm (Super Rapid)</t>
        </is>
      </c>
      <c r="AE194" t="inlineStr">
        <is>
          <t>OTO 76/62: 80–120 phát/phút</t>
        </is>
      </c>
      <c r="AF194" t="inlineStr">
        <is>
          <t>Tools/balance/full_weapon_audit.py: REAL / WARHEAD; balance.json weapons[id=naval_76].real</t>
        </is>
      </c>
      <c r="AG194" t="inlineStr"/>
    </row>
    <row r="195">
      <c r="A195" t="inlineStr">
        <is>
          <t>naval_76_guided</t>
        </is>
      </c>
      <c r="B195" t="inlineStr">
        <is>
          <t>naval_76_guided</t>
        </is>
      </c>
      <c r="C195" t="inlineStr">
        <is>
          <t>OTO Melara 76/62 guided</t>
        </is>
      </c>
      <c r="D195" t="inlineStr">
        <is>
          <t>doi_that</t>
        </is>
      </c>
      <c r="E195" t="inlineStr">
        <is>
          <t>OTO Melara 76/62 guided</t>
        </is>
      </c>
      <c r="F195" t="inlineStr"/>
      <c r="G195" t="inlineStr"/>
      <c r="H195" t="inlineStr"/>
      <c r="I195" t="inlineStr"/>
      <c r="J195" t="inlineStr"/>
      <c r="K195" t="inlineStr"/>
      <c r="L195" t="inlineStr">
        <is>
          <t>nhịp chậm hơn 30 % và mạnh hơn tương ứng (luật súng của game)</t>
        </is>
      </c>
      <c r="M195" t="inlineStr">
        <is>
          <t>gameplay</t>
        </is>
      </c>
      <c r="N195" t="inlineStr"/>
      <c r="O195" t="inlineStr">
        <is>
          <t>da_kiem_chung</t>
        </is>
      </c>
      <c r="P195" t="inlineStr">
        <is>
          <t>R_balance;R_full_weapon_audit;W_wikipedia_oto_melara_76_mm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NEED_SOURCE</t>
        </is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120</v>
      </c>
      <c r="Y195" t="n">
        <v>80</v>
      </c>
      <c r="Z195" t="inlineStr">
        <is>
          <t>NEED_SOURCE</t>
        </is>
      </c>
      <c r="AA195" t="inlineStr">
        <is>
          <t>NEED_SOURCE</t>
        </is>
      </c>
      <c r="AB195" t="inlineStr"/>
      <c r="AC195" t="inlineStr">
        <is>
          <t>gun</t>
        </is>
      </c>
      <c r="AD195" t="inlineStr">
        <is>
          <t>Wikipedia 'OTO Melara 76 mm': 80-120 rpm (Super Rapid)</t>
        </is>
      </c>
      <c r="AE195" t="inlineStr"/>
      <c r="AF195" t="inlineStr">
        <is>
          <t>Tools/balance/full_weapon_audit.py: REAL / WARHEAD; balance.json weapons[id=naval_76_guided].real</t>
        </is>
      </c>
      <c r="AG195" t="inlineStr"/>
    </row>
    <row r="196">
      <c r="A196" t="inlineStr">
        <is>
          <t>naval_100</t>
        </is>
      </c>
      <c r="B196" t="inlineStr">
        <is>
          <t>naval_100</t>
        </is>
      </c>
      <c r="C196" t="inlineStr">
        <is>
          <t>AK-100 100 mm</t>
        </is>
      </c>
      <c r="D196" t="inlineStr">
        <is>
          <t>doi_that</t>
        </is>
      </c>
      <c r="E196" t="inlineStr">
        <is>
          <t>AK-100 100 mm</t>
        </is>
      </c>
      <c r="F196" t="inlineStr"/>
      <c r="G196" t="inlineStr"/>
      <c r="H196" t="inlineStr"/>
      <c r="I196" t="inlineStr"/>
      <c r="J196" t="inlineStr"/>
      <c r="K196" t="inlineStr"/>
      <c r="L196" t="inlineStr">
        <is>
          <t>nhịp chậm hơn 30 % và mạnh hơn tương ứng (luật súng của game)</t>
        </is>
      </c>
      <c r="M196" t="inlineStr">
        <is>
          <t>gameplay</t>
        </is>
      </c>
      <c r="N196" t="inlineStr"/>
      <c r="O196" t="inlineStr">
        <is>
          <t>da_kiem_chung</t>
        </is>
      </c>
      <c r="P196" t="inlineStr">
        <is>
          <t>R_balance;R_full_weapon_audit;W_wikipedia_ak_100_naval_gun;R_machine_brigade_can_bang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n">
        <v>100</v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60</v>
      </c>
      <c r="Y196" t="n">
        <v>30</v>
      </c>
      <c r="Z196" t="inlineStr">
        <is>
          <t>NEED_SOURCE</t>
        </is>
      </c>
      <c r="AA196" t="inlineStr">
        <is>
          <t>NEED_SOURCE</t>
        </is>
      </c>
      <c r="AB196" t="inlineStr"/>
      <c r="AC196" t="inlineStr">
        <is>
          <t>gun</t>
        </is>
      </c>
      <c r="AD196" t="inlineStr">
        <is>
          <t>Wikipedia 'AK-100 (naval gun)': 60 rpm</t>
        </is>
      </c>
      <c r="AE196" t="inlineStr">
        <is>
          <t>AK-100: 60 phát/phút</t>
        </is>
      </c>
      <c r="AF196" t="inlineStr">
        <is>
          <t>Tools/balance/full_weapon_audit.py: REAL / WARHEAD; balance.json weapons[id=naval_100].real</t>
        </is>
      </c>
      <c r="AG196" t="inlineStr"/>
    </row>
    <row r="197">
      <c r="A197" t="inlineStr">
        <is>
          <t>naval_100_guided</t>
        </is>
      </c>
      <c r="B197" t="inlineStr">
        <is>
          <t>naval_100_guided</t>
        </is>
      </c>
      <c r="C197" t="inlineStr">
        <is>
          <t>AK-100 100 mm guided</t>
        </is>
      </c>
      <c r="D197" t="inlineStr">
        <is>
          <t>doi_that</t>
        </is>
      </c>
      <c r="E197" t="inlineStr">
        <is>
          <t>AK-100 100 mm guided</t>
        </is>
      </c>
      <c r="F197" t="inlineStr"/>
      <c r="G197" t="inlineStr"/>
      <c r="H197" t="inlineStr"/>
      <c r="I197" t="inlineStr"/>
      <c r="J197" t="inlineStr"/>
      <c r="K197" t="inlineStr"/>
      <c r="L197" t="inlineStr">
        <is>
          <t>nhịp chậm hơn 30 % và mạnh hơn tương ứng (luật súng của game)</t>
        </is>
      </c>
      <c r="M197" t="inlineStr">
        <is>
          <t>gameplay</t>
        </is>
      </c>
      <c r="N197" t="inlineStr"/>
      <c r="O197" t="inlineStr">
        <is>
          <t>da_kiem_chung</t>
        </is>
      </c>
      <c r="P197" t="inlineStr">
        <is>
          <t>R_balance;R_full_weapon_audit;W_wikipedia_ak_100_naval_gun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n">
        <v>100</v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60</v>
      </c>
      <c r="Y197" t="n">
        <v>30</v>
      </c>
      <c r="Z197" t="inlineStr">
        <is>
          <t>NEED_SOURCE</t>
        </is>
      </c>
      <c r="AA197" t="inlineStr">
        <is>
          <t>NEED_SOURCE</t>
        </is>
      </c>
      <c r="AB197" t="inlineStr"/>
      <c r="AC197" t="inlineStr">
        <is>
          <t>gun</t>
        </is>
      </c>
      <c r="AD197" t="inlineStr">
        <is>
          <t>Wikipedia 'AK-100 (naval gun)': 60 rpm</t>
        </is>
      </c>
      <c r="AE197" t="inlineStr"/>
      <c r="AF197" t="inlineStr">
        <is>
          <t>Tools/balance/full_weapon_audit.py: REAL / WARHEAD; balance.json weapons[id=naval_100_guided].real</t>
        </is>
      </c>
      <c r="AG197" t="inlineStr"/>
    </row>
    <row r="198">
      <c r="A198" t="inlineStr">
        <is>
          <t>naval_127</t>
        </is>
      </c>
      <c r="B198" t="inlineStr">
        <is>
          <t>naval_127</t>
        </is>
      </c>
      <c r="C198" t="inlineStr">
        <is>
          <t>Mk 45 127 mm</t>
        </is>
      </c>
      <c r="D198" t="inlineStr">
        <is>
          <t>doi_that</t>
        </is>
      </c>
      <c r="E198" t="inlineStr">
        <is>
          <t>Mk 45 127 mm</t>
        </is>
      </c>
      <c r="F198" t="inlineStr"/>
      <c r="G198" t="inlineStr"/>
      <c r="H198" t="inlineStr"/>
      <c r="I198" t="inlineStr"/>
      <c r="J198" t="inlineStr"/>
      <c r="K198" t="inlineStr"/>
      <c r="L198" t="inlineStr">
        <is>
          <t>nhịp chậm hơn 30 % và mạnh hơn tương ứng (luật súng của game)</t>
        </is>
      </c>
      <c r="M198" t="inlineStr">
        <is>
          <t>gameplay</t>
        </is>
      </c>
      <c r="N198" t="inlineStr"/>
      <c r="O198" t="inlineStr">
        <is>
          <t>da_kiem_chung</t>
        </is>
      </c>
      <c r="P198" t="inlineStr">
        <is>
          <t>R_balance;R_full_weapon_audit;W_wikipedia_5_54_caliber_mark_45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n">
        <v>127</v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20</v>
      </c>
      <c r="Y198" t="n">
        <v>16</v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>
        <is>
          <t>gun</t>
        </is>
      </c>
      <c r="AD198" t="inlineStr">
        <is>
          <t>Wikipedia '5"/54 caliber Mark 45': 16-20 rpm</t>
        </is>
      </c>
      <c r="AE198" t="inlineStr"/>
      <c r="AF198" t="inlineStr">
        <is>
          <t>Tools/balance/full_weapon_audit.py: REAL / WARHEAD; balance.json weapons[id=naval_127].real</t>
        </is>
      </c>
      <c r="AG198" t="inlineStr"/>
    </row>
    <row r="199">
      <c r="A199" t="inlineStr">
        <is>
          <t>naval_130_twin</t>
        </is>
      </c>
      <c r="B199" t="inlineStr">
        <is>
          <t>naval_130_twin</t>
        </is>
      </c>
      <c r="C199" t="inlineStr">
        <is>
          <t>AK-130 130 mm (twin)</t>
        </is>
      </c>
      <c r="D199" t="inlineStr">
        <is>
          <t>doi_that</t>
        </is>
      </c>
      <c r="E199" t="inlineStr">
        <is>
          <t>AK-130 130 mm (twin)</t>
        </is>
      </c>
      <c r="F199" t="inlineStr"/>
      <c r="G199" t="inlineStr"/>
      <c r="H199" t="inlineStr"/>
      <c r="I199" t="inlineStr"/>
      <c r="J199" t="inlineStr"/>
      <c r="K199" t="inlineStr"/>
      <c r="L199" t="inlineStr">
        <is>
          <t>nhịp chậm hơn 30 % và mạnh hơn tương ứng (luật súng của game)</t>
        </is>
      </c>
      <c r="M199" t="inlineStr">
        <is>
          <t>gameplay</t>
        </is>
      </c>
      <c r="N199" t="inlineStr"/>
      <c r="O199" t="inlineStr">
        <is>
          <t>da_kiem_chung</t>
        </is>
      </c>
      <c r="P199" t="inlineStr">
        <is>
          <t>R_balance;R_full_weapon_audit;W_wikipedia_ak_130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n">
        <v>130</v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40</v>
      </c>
      <c r="Y199" t="n">
        <v>20</v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>
        <is>
          <t>gun</t>
        </is>
      </c>
      <c r="AD199" t="inlineStr">
        <is>
          <t>Wikipedia 'AK-130': 10-40 rpm a barrel</t>
        </is>
      </c>
      <c r="AE199" t="inlineStr"/>
      <c r="AF199" t="inlineStr">
        <is>
          <t>Tools/balance/full_weapon_audit.py: REAL / WARHEAD; balance.json weapons[id=naval_130_twin].real</t>
        </is>
      </c>
      <c r="AG199" t="inlineStr"/>
    </row>
    <row r="200">
      <c r="A200" t="inlineStr">
        <is>
          <t>naval_155_triple</t>
        </is>
      </c>
      <c r="B200" t="inlineStr">
        <is>
          <t>naval_155_triple</t>
        </is>
      </c>
      <c r="C200" t="inlineStr">
        <is>
          <t>155 mm/60 (triple)</t>
        </is>
      </c>
      <c r="D200" t="inlineStr">
        <is>
          <t>doi_that</t>
        </is>
      </c>
      <c r="E200" t="inlineStr">
        <is>
          <t>155 mm/60 (triple)</t>
        </is>
      </c>
      <c r="F200" t="inlineStr"/>
      <c r="G200" t="inlineStr"/>
      <c r="H200" t="inlineStr"/>
      <c r="I200" t="inlineStr"/>
      <c r="J200" t="inlineStr"/>
      <c r="K200" t="inlineStr"/>
      <c r="L200" t="inlineStr">
        <is>
          <t>nhịp chậm hơn 30 % và mạnh hơn tương ứng (luật súng của game)</t>
        </is>
      </c>
      <c r="M200" t="inlineStr">
        <is>
          <t>gameplay</t>
        </is>
      </c>
      <c r="N200" t="inlineStr"/>
      <c r="O200" t="inlineStr">
        <is>
          <t>da_kiem_chung</t>
        </is>
      </c>
      <c r="P200" t="inlineStr">
        <is>
          <t>R_balance;R_full_weapon_audit;W_wikipedia_15_5_cm_60_3rd_year_type;R_machine_brigade_can_bang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n">
        <v>155</v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n">
        <v>5</v>
      </c>
      <c r="Y200" t="n">
        <v>4</v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>
        <is>
          <t>gun</t>
        </is>
      </c>
      <c r="AD200" t="inlineStr">
        <is>
          <t>Wikipedia '15.5 cm/60 3rd Year Type' (Mogami): ~5 rpm a gun</t>
        </is>
      </c>
      <c r="AE200" t="inlineStr">
        <is>
          <t>155 mm/60</t>
        </is>
      </c>
      <c r="AF200" t="inlineStr">
        <is>
          <t>Tools/balance/full_weapon_audit.py: REAL / WARHEAD; balance.json weapons[id=naval_155_triple].real</t>
        </is>
      </c>
      <c r="AG200" t="inlineStr"/>
    </row>
    <row r="201">
      <c r="A201" t="inlineStr">
        <is>
          <t>naval_155_triple_guided</t>
        </is>
      </c>
      <c r="B201" t="inlineStr">
        <is>
          <t>naval_155_triple_guided</t>
        </is>
      </c>
      <c r="C201" t="inlineStr">
        <is>
          <t>155 mm/60 guided (triple)</t>
        </is>
      </c>
      <c r="D201" t="inlineStr">
        <is>
          <t>doi_that</t>
        </is>
      </c>
      <c r="E201" t="inlineStr">
        <is>
          <t>155 mm/60 guided (triple)</t>
        </is>
      </c>
      <c r="F201" t="inlineStr"/>
      <c r="G201" t="inlineStr"/>
      <c r="H201" t="inlineStr"/>
      <c r="I201" t="inlineStr"/>
      <c r="J201" t="inlineStr"/>
      <c r="K201" t="inlineStr"/>
      <c r="L201" t="inlineStr">
        <is>
          <t>nhịp chậm hơn 30 % và mạnh hơn tương ứng (luật súng của game)</t>
        </is>
      </c>
      <c r="M201" t="inlineStr">
        <is>
          <t>gameplay</t>
        </is>
      </c>
      <c r="N201" t="inlineStr"/>
      <c r="O201" t="inlineStr">
        <is>
          <t>da_kiem_chung</t>
        </is>
      </c>
      <c r="P201" t="inlineStr">
        <is>
          <t>R_balance;R_full_weapon_audit;W_wikipedia_15_5_cm_60_3rd_year_type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n">
        <v>155</v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n">
        <v>5</v>
      </c>
      <c r="Y201" t="n">
        <v>4</v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>
        <is>
          <t>gun</t>
        </is>
      </c>
      <c r="AD201" t="inlineStr">
        <is>
          <t>Wikipedia '15.5 cm/60 3rd Year Type' (Mogami): ~5 rpm a gun</t>
        </is>
      </c>
      <c r="AE201" t="inlineStr"/>
      <c r="AF201" t="inlineStr">
        <is>
          <t>Tools/balance/full_weapon_audit.py: REAL / WARHEAD; balance.json weapons[id=naval_155_triple_guided].real</t>
        </is>
      </c>
      <c r="AG201" t="inlineStr"/>
    </row>
    <row r="202">
      <c r="A202" t="inlineStr">
        <is>
          <t>net_zap</t>
        </is>
      </c>
      <c r="B202" t="inlineStr">
        <is>
          <t>net_zap</t>
        </is>
      </c>
      <c r="C202" t="inlineStr">
        <is>
          <t>Anti-drone net corridor</t>
        </is>
      </c>
      <c r="D202" t="inlineStr">
        <is>
          <t>doi_that</t>
        </is>
      </c>
      <c r="E202" t="inlineStr">
        <is>
          <t>Anti-drone net corridor</t>
        </is>
      </c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>
        <is>
          <t>ban_dau_doan</t>
        </is>
      </c>
      <c r="P202" t="inlineStr">
        <is>
          <t>R_balance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NEED_SOURCE</t>
        </is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inlineStr">
        <is>
          <t>NEED_SOURCE</t>
        </is>
      </c>
      <c r="Y202" t="inlineStr">
        <is>
          <t>NEED_SOURCE</t>
        </is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/>
      <c r="AD202" t="inlineStr"/>
      <c r="AE202" t="inlineStr"/>
      <c r="AF202" t="inlineStr">
        <is>
          <t>Tools/balance/full_weapon_audit.py: REAL / WARHEAD; balance.json weapons[id=net_zap].real</t>
        </is>
      </c>
      <c r="AG202" t="inlineStr"/>
    </row>
    <row r="203">
      <c r="A203" t="inlineStr">
        <is>
          <t>none</t>
        </is>
      </c>
      <c r="B203" t="inlineStr">
        <is>
          <t>none</t>
        </is>
      </c>
      <c r="C203" t="inlineStr">
        <is>
          <t>none</t>
        </is>
      </c>
      <c r="D203" t="inlineStr">
        <is>
          <t>NEED_SOURCE</t>
        </is>
      </c>
      <c r="E203" t="inlineStr"/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NEED_SOURCE</t>
        </is>
      </c>
      <c r="P203" t="inlineStr"/>
      <c r="Q203" t="inlineStr">
        <is>
          <t>balance.json không ghi tên thật cho vũ khí này</t>
        </is>
      </c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inlineStr">
        <is>
          <t>NEED_SOURCE</t>
        </is>
      </c>
      <c r="Y203" t="inlineStr">
        <is>
          <t>NEED_SOURCE</t>
        </is>
      </c>
      <c r="Z203" t="inlineStr">
        <is>
          <t>NEED_SOURCE</t>
        </is>
      </c>
      <c r="AA203" t="inlineStr">
        <is>
          <t>NEED_SOURCE</t>
        </is>
      </c>
      <c r="AB203" t="inlineStr"/>
      <c r="AC203" t="inlineStr"/>
      <c r="AD203" t="inlineStr"/>
      <c r="AE203" t="inlineStr"/>
      <c r="AF203" t="inlineStr">
        <is>
          <t>Tools/balance/full_weapon_audit.py: REAL / WARHEAD; balance.json weapons[id=none].real</t>
        </is>
      </c>
      <c r="AG203" t="inlineStr"/>
    </row>
    <row r="204">
      <c r="A204" t="inlineStr">
        <is>
          <t>nyx_ags_155</t>
        </is>
      </c>
      <c r="B204" t="inlineStr">
        <is>
          <t>nyx_ags_155</t>
        </is>
      </c>
      <c r="C204" t="inlineStr">
        <is>
          <t>155 mm/62 AGS (Zumwalt-class, single)</t>
        </is>
      </c>
      <c r="D204" t="inlineStr">
        <is>
          <t>doi_that</t>
        </is>
      </c>
      <c r="E204" t="inlineStr">
        <is>
          <t>155 mm/62 AGS (Zumwalt-class, single)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>
        <is>
          <t>ban_dau_doan</t>
        </is>
      </c>
      <c r="P204" t="inlineStr">
        <is>
          <t>R_balance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n">
        <v>155</v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inlineStr">
        <is>
          <t>NEED_SOURCE</t>
        </is>
      </c>
      <c r="Y204" t="inlineStr">
        <is>
          <t>NEED_SOURCE</t>
        </is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/>
      <c r="AD204" t="inlineStr"/>
      <c r="AE204" t="inlineStr"/>
      <c r="AF204" t="inlineStr">
        <is>
          <t>Tools/balance/full_weapon_audit.py: REAL / WARHEAD; balance.json weapons[id=nyx_ags_155].real</t>
        </is>
      </c>
      <c r="AG204" t="inlineStr"/>
    </row>
    <row r="205">
      <c r="A205" t="inlineStr">
        <is>
          <t>nyx_millennium</t>
        </is>
      </c>
      <c r="B205" t="inlineStr">
        <is>
          <t>nyx_millennium</t>
        </is>
      </c>
      <c r="C205" t="inlineStr">
        <is>
          <t>Oerlikon Millennium 35 mm (AHEAD, stealth turret)</t>
        </is>
      </c>
      <c r="D205" t="inlineStr">
        <is>
          <t>doi_that</t>
        </is>
      </c>
      <c r="E205" t="inlineStr">
        <is>
          <t>Oerlikon Millennium 35 mm (AHEAD, stealth turret)</t>
        </is>
      </c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  <c r="O205" t="inlineStr">
        <is>
          <t>ban_dau_doan</t>
        </is>
      </c>
      <c r="P205" t="inlineStr">
        <is>
          <t>R_balance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35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inlineStr">
        <is>
          <t>NEED_SOURCE</t>
        </is>
      </c>
      <c r="Y205" t="inlineStr">
        <is>
          <t>NEED_SOURCE</t>
        </is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/>
      <c r="AD205" t="inlineStr"/>
      <c r="AE205" t="inlineStr"/>
      <c r="AF205" t="inlineStr">
        <is>
          <t>Tools/balance/full_weapon_audit.py: REAL / WARHEAD; balance.json weapons[id=nyx_millennium].real</t>
        </is>
      </c>
      <c r="AG205" t="inlineStr"/>
    </row>
    <row r="206">
      <c r="A206" t="inlineStr">
        <is>
          <t>nyx_tomahawk</t>
        </is>
      </c>
      <c r="B206" t="inlineStr">
        <is>
          <t>nyx_tomahawk</t>
        </is>
      </c>
      <c r="C206" t="inlineStr">
        <is>
          <t>RGM-109E Tomahawk (Mk 41-type 8-cell VLS)</t>
        </is>
      </c>
      <c r="D206" t="inlineStr">
        <is>
          <t>doi_that</t>
        </is>
      </c>
      <c r="E206" t="inlineStr">
        <is>
          <t>RGM-109E Tomahawk (Mk 41-type 8-cell VLS)</t>
        </is>
      </c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>
        <is>
          <t>uoc_dinh</t>
        </is>
      </c>
      <c r="P206" t="inlineStr">
        <is>
          <t>R_balance;R_full_weapon_audit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NEED_SOURCE</t>
        </is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20</v>
      </c>
      <c r="Y206" t="n">
        <v>6</v>
      </c>
      <c r="Z206" t="inlineStr">
        <is>
          <t>NEED_SOURCE</t>
        </is>
      </c>
      <c r="AA206" t="inlineStr">
        <is>
          <t>NEED_SOURCE</t>
        </is>
      </c>
      <c r="AB206" t="inlineStr">
        <is>
          <t>NEED_SOURCE</t>
        </is>
      </c>
      <c r="AC206" t="inlineStr">
        <is>
          <t>missile</t>
        </is>
      </c>
      <c r="AD206" t="inlineStr">
        <is>
          <t>cruise missiles: ~3 s between launches (est.)</t>
        </is>
      </c>
      <c r="AE206" t="inlineStr"/>
      <c r="AF206" t="inlineStr">
        <is>
          <t>Tools/balance/full_weapon_audit.py: REAL / WARHEAD; balance.json weapons[id=nyx_tomahawk].real</t>
        </is>
      </c>
      <c r="AG206" t="inlineStr"/>
    </row>
    <row r="207">
      <c r="A207" t="inlineStr">
        <is>
          <t>one_shot_kornet</t>
        </is>
      </c>
      <c r="B207" t="inlineStr">
        <is>
          <t>one_shot_kornet</t>
        </is>
      </c>
      <c r="C207" t="inlineStr">
        <is>
          <t>9M133 Kornet</t>
        </is>
      </c>
      <c r="D207" t="inlineStr">
        <is>
          <t>doi_that</t>
        </is>
      </c>
      <c r="E207" t="inlineStr">
        <is>
          <t>9M133 Kornet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da_kiem_chung</t>
        </is>
      </c>
      <c r="P207" t="inlineStr">
        <is>
          <t>R_balance;R_full_weapon_audit;W_wikipedia_9m133_kornet;W_wikipedia_bai_cua_tung_ten_lua_bang_warhead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NEED_SOURCE</t>
        </is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3</v>
      </c>
      <c r="Y207" t="n">
        <v>3</v>
      </c>
      <c r="Z207" t="inlineStr">
        <is>
          <t>NEED_SOURCE</t>
        </is>
      </c>
      <c r="AA207" t="inlineStr">
        <is>
          <t>NEED_SOURCE</t>
        </is>
      </c>
      <c r="AB207" t="n">
        <v>7</v>
      </c>
      <c r="AC207" t="inlineStr">
        <is>
          <t>atgm</t>
        </is>
      </c>
      <c r="AD207" t="inlineStr">
        <is>
          <t>Wikipedia '9M133 Kornet': 2-3 rpm</t>
        </is>
      </c>
      <c r="AE207" t="inlineStr"/>
      <c r="AF207" t="inlineStr">
        <is>
          <t>Tools/balance/full_weapon_audit.py: REAL / WARHEAD; balance.json weapons[id=one_shot_kornet].real</t>
        </is>
      </c>
      <c r="AG207" t="inlineStr"/>
    </row>
    <row r="208">
      <c r="A208" t="inlineStr">
        <is>
          <t>orbital_laser</t>
        </is>
      </c>
      <c r="B208" t="inlineStr">
        <is>
          <t>orbital_laser</t>
        </is>
      </c>
      <c r="C208" t="inlineStr">
        <is>
          <t>laser (150 kW)</t>
        </is>
      </c>
      <c r="D208" t="inlineStr">
        <is>
          <t>doi_that</t>
        </is>
      </c>
      <c r="E208" t="inlineStr">
        <is>
          <t>laser (150 kW)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>
        <is>
          <t>ban_dau_doan</t>
        </is>
      </c>
      <c r="P208" t="inlineStr">
        <is>
          <t>R_balance;R_machine_brigade_can_bang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inlineStr">
        <is>
          <t>NEED_SOURCE</t>
        </is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inlineStr">
        <is>
          <t>NEED_SOURCE</t>
        </is>
      </c>
      <c r="Y208" t="inlineStr">
        <is>
          <t>NEED_SOURCE</t>
        </is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/>
      <c r="AD208" t="inlineStr"/>
      <c r="AE208" t="inlineStr">
        <is>
          <t>laser quỹ đạo (giả tưởng)</t>
        </is>
      </c>
      <c r="AF208" t="inlineStr">
        <is>
          <t>Tools/balance/full_weapon_audit.py: REAL / WARHEAD; balance.json weapons[id=orbital_laser].real</t>
        </is>
      </c>
      <c r="AG208" t="inlineStr"/>
    </row>
    <row r="209">
      <c r="A209" t="inlineStr">
        <is>
          <t>p26_bastion_b100</t>
        </is>
      </c>
      <c r="B209" t="inlineStr">
        <is>
          <t>p26_bastion_b100</t>
        </is>
      </c>
      <c r="C209" t="inlineStr">
        <is>
          <t>D-10 100 mm</t>
        </is>
      </c>
      <c r="D209" t="inlineStr">
        <is>
          <t>doi_that</t>
        </is>
      </c>
      <c r="E209" t="inlineStr">
        <is>
          <t>D-10 100 mm</t>
        </is>
      </c>
      <c r="F209" t="inlineStr"/>
      <c r="G209" t="inlineStr"/>
      <c r="H209" t="inlineStr"/>
      <c r="I209" t="inlineStr"/>
      <c r="J209" t="inlineStr"/>
      <c r="K209" t="inlineStr"/>
      <c r="L209" t="inlineStr">
        <is>
          <t>nhịp chậm hơn 30 % và mạnh hơn tương ứng (luật súng của game)</t>
        </is>
      </c>
      <c r="M209" t="inlineStr">
        <is>
          <t>gameplay</t>
        </is>
      </c>
      <c r="N209" t="inlineStr"/>
      <c r="O209" t="inlineStr">
        <is>
          <t>da_kiem_chung</t>
        </is>
      </c>
      <c r="P209" t="inlineStr">
        <is>
          <t>R_balance;R_full_weapon_audit;W_wikipedia_d_10_tank_gun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100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7</v>
      </c>
      <c r="Y209" t="n">
        <v>4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gun</t>
        </is>
      </c>
      <c r="AD209" t="inlineStr">
        <is>
          <t>Wikipedia 'D-10 tank gun' (T-55): 4-7 rpm</t>
        </is>
      </c>
      <c r="AE209" t="inlineStr"/>
      <c r="AF209" t="inlineStr">
        <is>
          <t>Tools/balance/full_weapon_audit.py: REAL / WARHEAD; balance.json weapons[id=p26_bastion_b100].real</t>
        </is>
      </c>
      <c r="AG209" t="inlineStr"/>
    </row>
    <row r="210">
      <c r="A210" t="inlineStr">
        <is>
          <t>p26_bastion_b155</t>
        </is>
      </c>
      <c r="B210" t="inlineStr">
        <is>
          <t>p26_bastion_b155</t>
        </is>
      </c>
      <c r="C210" t="inlineStr">
        <is>
          <t>M284 155 mm (Bastion)</t>
        </is>
      </c>
      <c r="D210" t="inlineStr">
        <is>
          <t>doi_that</t>
        </is>
      </c>
      <c r="E210" t="inlineStr">
        <is>
          <t>M284 155 mm (Bastion)</t>
        </is>
      </c>
      <c r="F210" t="inlineStr"/>
      <c r="G210" t="inlineStr"/>
      <c r="H210" t="inlineStr"/>
      <c r="I210" t="inlineStr"/>
      <c r="J210" t="inlineStr"/>
      <c r="K210" t="inlineStr"/>
      <c r="L210" t="inlineStr">
        <is>
          <t>nhịp chậm hơn 30 % và mạnh hơn tương ứng (luật súng của game)</t>
        </is>
      </c>
      <c r="M210" t="inlineStr">
        <is>
          <t>gameplay</t>
        </is>
      </c>
      <c r="N210" t="inlineStr"/>
      <c r="O210" t="inlineStr">
        <is>
          <t>da_kiem_chung</t>
        </is>
      </c>
      <c r="P210" t="inlineStr">
        <is>
          <t>R_balance;R_full_weapon_audit;D_us_army_m109a7_fact_file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155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4</v>
      </c>
      <c r="Y210" t="n">
        <v>1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gun</t>
        </is>
      </c>
      <c r="AD210" t="inlineStr">
        <is>
          <t>US Army M109A7 fact file: 4 rpm for 3 min, 1 rpm sustained</t>
        </is>
      </c>
      <c r="AE210" t="inlineStr"/>
      <c r="AF210" t="inlineStr">
        <is>
          <t>Tools/balance/full_weapon_audit.py: REAL / WARHEAD; balance.json weapons[id=p26_bastion_b155].real</t>
        </is>
      </c>
      <c r="AG210" t="inlineStr"/>
    </row>
    <row r="211">
      <c r="A211" t="inlineStr">
        <is>
          <t>p26_bastion_b240</t>
        </is>
      </c>
      <c r="B211" t="inlineStr">
        <is>
          <t>p26_bastion_b240</t>
        </is>
      </c>
      <c r="C211" t="inlineStr">
        <is>
          <t>2B8 240 mm</t>
        </is>
      </c>
      <c r="D211" t="inlineStr">
        <is>
          <t>doi_that</t>
        </is>
      </c>
      <c r="E211" t="inlineStr">
        <is>
          <t>2B8 240 mm</t>
        </is>
      </c>
      <c r="F211" t="inlineStr"/>
      <c r="G211" t="inlineStr"/>
      <c r="H211" t="inlineStr"/>
      <c r="I211" t="inlineStr"/>
      <c r="J211" t="inlineStr"/>
      <c r="K211" t="inlineStr"/>
      <c r="L211" t="inlineStr">
        <is>
          <t>nhịp chậm hơn 30 % và mạnh hơn tương ứng (luật súng của game)</t>
        </is>
      </c>
      <c r="M211" t="inlineStr">
        <is>
          <t>gameplay</t>
        </is>
      </c>
      <c r="N211" t="inlineStr"/>
      <c r="O211" t="inlineStr">
        <is>
          <t>da_kiem_chung</t>
        </is>
      </c>
      <c r="P211" t="inlineStr">
        <is>
          <t>R_balance;R_full_weapon_audit;W_wikipedia_2s4_tyulpan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240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1</v>
      </c>
      <c r="Y211" t="n">
        <v>1</v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gun</t>
        </is>
      </c>
      <c r="AD211" t="inlineStr">
        <is>
          <t>Wikipedia '2S4 Tyulpan': ~1 rpm</t>
        </is>
      </c>
      <c r="AE211" t="inlineStr"/>
      <c r="AF211" t="inlineStr">
        <is>
          <t>Tools/balance/full_weapon_audit.py: REAL / WARHEAD; balance.json weapons[id=p26_bastion_b240].real</t>
        </is>
      </c>
      <c r="AG211" t="inlineStr"/>
    </row>
    <row r="212">
      <c r="A212" t="inlineStr">
        <is>
          <t>p26_bastion_close_boss_hmg</t>
        </is>
      </c>
      <c r="B212" t="inlineStr">
        <is>
          <t>p26_bastion_close_boss_hmg</t>
        </is>
      </c>
      <c r="C212" t="inlineStr">
        <is>
          <t>NSV 12.7 mm</t>
        </is>
      </c>
      <c r="D212" t="inlineStr">
        <is>
          <t>doi_that</t>
        </is>
      </c>
      <c r="E212" t="inlineStr">
        <is>
          <t>NSV 12.7 mm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da_kiem_chung</t>
        </is>
      </c>
      <c r="P212" t="inlineStr">
        <is>
          <t>R_balance;R_full_weapon_audit;W_wikipedia_nsv_machine_gun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n">
        <v>12.7</v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800</v>
      </c>
      <c r="Y212" t="n">
        <v>100</v>
      </c>
      <c r="Z212" t="inlineStr">
        <is>
          <t>NEED_SOURCE</t>
        </is>
      </c>
      <c r="AA212" t="inlineStr">
        <is>
          <t>NEED_SOURCE</t>
        </is>
      </c>
      <c r="AB212" t="inlineStr"/>
      <c r="AC212" t="inlineStr">
        <is>
          <t>mg</t>
        </is>
      </c>
      <c r="AD212" t="inlineStr">
        <is>
          <t>Wikipedia 'NSV machine gun': 700-800 cyclic, 100 practical</t>
        </is>
      </c>
      <c r="AE212" t="inlineStr"/>
      <c r="AF212" t="inlineStr">
        <is>
          <t>Tools/balance/full_weapon_audit.py: REAL / WARHEAD; balance.json weapons[id=p26_bastion_close_boss_hmg].real</t>
        </is>
      </c>
      <c r="AG212" t="inlineStr"/>
    </row>
    <row r="213">
      <c r="A213" t="inlineStr">
        <is>
          <t>p26_bastion_direct_b100</t>
        </is>
      </c>
      <c r="B213" t="inlineStr">
        <is>
          <t>p26_bastion_direct_b100</t>
        </is>
      </c>
      <c r="C213" t="inlineStr">
        <is>
          <t>D-10 100 mm (twin casemate)</t>
        </is>
      </c>
      <c r="D213" t="inlineStr">
        <is>
          <t>doi_that</t>
        </is>
      </c>
      <c r="E213" t="inlineStr">
        <is>
          <t>D-10 100 mm (twin casemate)</t>
        </is>
      </c>
      <c r="F213" t="inlineStr"/>
      <c r="G213" t="inlineStr"/>
      <c r="H213" t="inlineStr"/>
      <c r="I213" t="inlineStr"/>
      <c r="J213" t="inlineStr"/>
      <c r="K213" t="inlineStr"/>
      <c r="L213" t="inlineStr">
        <is>
          <t>nhịp chậm hơn 30 % và mạnh hơn tương ứng (luật súng của game)</t>
        </is>
      </c>
      <c r="M213" t="inlineStr">
        <is>
          <t>gameplay</t>
        </is>
      </c>
      <c r="N213" t="inlineStr"/>
      <c r="O213" t="inlineStr">
        <is>
          <t>da_kiem_chung</t>
        </is>
      </c>
      <c r="P213" t="inlineStr">
        <is>
          <t>R_balance;R_full_weapon_audit;W_wikipedia_d_10_tank_gun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100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7</v>
      </c>
      <c r="Y213" t="n">
        <v>4</v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gun</t>
        </is>
      </c>
      <c r="AD213" t="inlineStr">
        <is>
          <t>Wikipedia 'D-10 tank gun' (T-55): 4-7 rpm</t>
        </is>
      </c>
      <c r="AE213" t="inlineStr"/>
      <c r="AF213" t="inlineStr">
        <is>
          <t>Tools/balance/full_weapon_audit.py: REAL / WARHEAD; balance.json weapons[id=p26_bastion_direct_b100].real</t>
        </is>
      </c>
      <c r="AG213" t="inlineStr"/>
    </row>
    <row r="214">
      <c r="A214" t="inlineStr">
        <is>
          <t>p26_bastion_main_b155</t>
        </is>
      </c>
      <c r="B214" t="inlineStr">
        <is>
          <t>p26_bastion_main_b155</t>
        </is>
      </c>
      <c r="C214" t="inlineStr">
        <is>
          <t>M284 155 mm (Bastion)</t>
        </is>
      </c>
      <c r="D214" t="inlineStr">
        <is>
          <t>doi_that</t>
        </is>
      </c>
      <c r="E214" t="inlineStr">
        <is>
          <t>M284 155 mm (Bastion)</t>
        </is>
      </c>
      <c r="F214" t="inlineStr"/>
      <c r="G214" t="inlineStr"/>
      <c r="H214" t="inlineStr"/>
      <c r="I214" t="inlineStr"/>
      <c r="J214" t="inlineStr"/>
      <c r="K214" t="inlineStr"/>
      <c r="L214" t="inlineStr">
        <is>
          <t>nhịp chậm hơn 30 % và mạnh hơn tương ứng (luật súng của game)</t>
        </is>
      </c>
      <c r="M214" t="inlineStr">
        <is>
          <t>gameplay</t>
        </is>
      </c>
      <c r="N214" t="inlineStr"/>
      <c r="O214" t="inlineStr">
        <is>
          <t>da_kiem_chung</t>
        </is>
      </c>
      <c r="P214" t="inlineStr">
        <is>
          <t>R_balance;R_full_weapon_audit;D_us_army_m109a7_fact_file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155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4</v>
      </c>
      <c r="Y214" t="n">
        <v>1</v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gun</t>
        </is>
      </c>
      <c r="AD214" t="inlineStr">
        <is>
          <t>US Army M109A7 fact file: 4 rpm for 3 min, 1 rpm sustained</t>
        </is>
      </c>
      <c r="AE214" t="inlineStr"/>
      <c r="AF214" t="inlineStr">
        <is>
          <t>Tools/balance/full_weapon_audit.py: REAL / WARHEAD; balance.json weapons[id=p26_bastion_main_b155].real</t>
        </is>
      </c>
      <c r="AG214" t="inlineStr"/>
    </row>
    <row r="215">
      <c r="A215" t="inlineStr">
        <is>
          <t>p26_bastion_sec_b240</t>
        </is>
      </c>
      <c r="B215" t="inlineStr">
        <is>
          <t>p26_bastion_sec_b240</t>
        </is>
      </c>
      <c r="C215" t="inlineStr">
        <is>
          <t>2B8 240 mm</t>
        </is>
      </c>
      <c r="D215" t="inlineStr">
        <is>
          <t>doi_that</t>
        </is>
      </c>
      <c r="E215" t="inlineStr">
        <is>
          <t>2B8 240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R_balance;R_full_weapon_audit;W_wikipedia_2s4_tyulpan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240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1</v>
      </c>
      <c r="Y215" t="n">
        <v>1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'2S4 Tyulpan': ~1 rpm</t>
        </is>
      </c>
      <c r="AE215" t="inlineStr"/>
      <c r="AF215" t="inlineStr">
        <is>
          <t>Tools/balance/full_weapon_audit.py: REAL / WARHEAD; balance.json weapons[id=p26_bastion_sec_b240].real</t>
        </is>
      </c>
      <c r="AG215" t="inlineStr"/>
    </row>
    <row r="216">
      <c r="A216" t="inlineStr">
        <is>
          <t>p26_bastion_tiny_autocannon_40</t>
        </is>
      </c>
      <c r="B216" t="inlineStr">
        <is>
          <t>p26_bastion_tiny_autocannon_40</t>
        </is>
      </c>
      <c r="C216" t="inlineStr">
        <is>
          <t>Bofors 40 mm</t>
        </is>
      </c>
      <c r="D216" t="inlineStr">
        <is>
          <t>doi_that</t>
        </is>
      </c>
      <c r="E216" t="inlineStr">
        <is>
          <t>Bofors 40 mm</t>
        </is>
      </c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>
        <is>
          <t>da_kiem_chung</t>
        </is>
      </c>
      <c r="P216" t="inlineStr">
        <is>
          <t>R_balance;R_full_weapon_audit;W_wikipedia_bofors_40_mm_l_70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40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330</v>
      </c>
      <c r="Y216" t="n">
        <v>120</v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aa</t>
        </is>
      </c>
      <c r="AD216" t="inlineStr">
        <is>
          <t>Wikipedia 'Bofors 40 mm L/70': 240-330 rpm</t>
        </is>
      </c>
      <c r="AE216" t="inlineStr"/>
      <c r="AF216" t="inlineStr">
        <is>
          <t>Tools/balance/full_weapon_audit.py: REAL / WARHEAD; balance.json weapons[id=p26_bastion_tiny_autocannon_40].real</t>
        </is>
      </c>
      <c r="AG216" t="inlineStr"/>
    </row>
    <row r="217">
      <c r="A217" t="inlineStr">
        <is>
          <t>p26_bastion_tiny_kornet_twin</t>
        </is>
      </c>
      <c r="B217" t="inlineStr">
        <is>
          <t>p26_bastion_tiny_kornet_twin</t>
        </is>
      </c>
      <c r="C217" t="inlineStr">
        <is>
          <t>9M133 Kornet</t>
        </is>
      </c>
      <c r="D217" t="inlineStr">
        <is>
          <t>doi_that</t>
        </is>
      </c>
      <c r="E217" t="inlineStr">
        <is>
          <t>9M133 Kornet</t>
        </is>
      </c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>
        <is>
          <t>da_kiem_chung</t>
        </is>
      </c>
      <c r="P217" t="inlineStr">
        <is>
          <t>R_balance;R_full_weapon_audit;W_wikipedia_9m133_kornet;W_wikipedia_bai_cua_tung_ten_lua_bang_warhead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inlineStr">
        <is>
          <t>NEED_SOURCE</t>
        </is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3</v>
      </c>
      <c r="Y217" t="n">
        <v>3</v>
      </c>
      <c r="Z217" t="inlineStr">
        <is>
          <t>NEED_SOURCE</t>
        </is>
      </c>
      <c r="AA217" t="inlineStr">
        <is>
          <t>NEED_SOURCE</t>
        </is>
      </c>
      <c r="AB217" t="n">
        <v>7</v>
      </c>
      <c r="AC217" t="inlineStr">
        <is>
          <t>atgm</t>
        </is>
      </c>
      <c r="AD217" t="inlineStr">
        <is>
          <t>Wikipedia '9M133 Kornet': 2-3 rpm</t>
        </is>
      </c>
      <c r="AE217" t="inlineStr"/>
      <c r="AF217" t="inlineStr">
        <is>
          <t>Tools/balance/full_weapon_audit.py: REAL / WARHEAD; balance.json weapons[id=p26_bastion_tiny_kornet_twin].real</t>
        </is>
      </c>
      <c r="AG217" t="inlineStr"/>
    </row>
    <row r="218">
      <c r="A218" t="inlineStr">
        <is>
          <t>p26_bastion_tiny_zu23</t>
        </is>
      </c>
      <c r="B218" t="inlineStr">
        <is>
          <t>p26_bastion_tiny_zu23</t>
        </is>
      </c>
      <c r="C218" t="inlineStr">
        <is>
          <t>ZU-23-2 23 mm</t>
        </is>
      </c>
      <c r="D218" t="inlineStr">
        <is>
          <t>doi_that</t>
        </is>
      </c>
      <c r="E218" t="inlineStr">
        <is>
          <t>ZU-23-2 23 mm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>
        <is>
          <t>da_kiem_chung</t>
        </is>
      </c>
      <c r="P218" t="inlineStr">
        <is>
          <t>R_balance;R_full_weapon_audit;W_wikipedia_zu_23_2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23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1000</v>
      </c>
      <c r="Y218" t="n">
        <v>400</v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>
        <is>
          <t>aa</t>
        </is>
      </c>
      <c r="AD218" t="inlineStr">
        <is>
          <t>Wikipedia 'ZU-23-2': 2 x 800-1,000 rpm</t>
        </is>
      </c>
      <c r="AE218" t="inlineStr"/>
      <c r="AF218" t="inlineStr">
        <is>
          <t>Tools/balance/full_weapon_audit.py: REAL / WARHEAD; balance.json weapons[id=p26_bastion_tiny_zu23].real</t>
        </is>
      </c>
      <c r="AG218" t="inlineStr"/>
    </row>
    <row r="219">
      <c r="A219" t="inlineStr">
        <is>
          <t>p26_behemoth_be120</t>
        </is>
      </c>
      <c r="B219" t="inlineStr">
        <is>
          <t>p26_behemoth_be120</t>
        </is>
      </c>
      <c r="C219" t="inlineStr">
        <is>
          <t>Rh-120 L/44 120 mm</t>
        </is>
      </c>
      <c r="D219" t="inlineStr">
        <is>
          <t>doi_that</t>
        </is>
      </c>
      <c r="E219" t="inlineStr">
        <is>
          <t>Rh-120 L/44 120 mm</t>
        </is>
      </c>
      <c r="F219" t="inlineStr"/>
      <c r="G219" t="inlineStr"/>
      <c r="H219" t="inlineStr"/>
      <c r="I219" t="inlineStr"/>
      <c r="J219" t="inlineStr"/>
      <c r="K219" t="inlineStr"/>
      <c r="L219" t="inlineStr">
        <is>
          <t>nhịp chậm hơn 30 % và mạnh hơn tương ứng (luật súng của game)</t>
        </is>
      </c>
      <c r="M219" t="inlineStr">
        <is>
          <t>gameplay</t>
        </is>
      </c>
      <c r="N219" t="inlineStr"/>
      <c r="O219" t="inlineStr">
        <is>
          <t>da_kiem_chung</t>
        </is>
      </c>
      <c r="P219" t="inlineStr">
        <is>
          <t>R_balance;R_full_weapon_audit;W_wikipedia_rheinmetall_120_mm_gun;R_machine_brigade_can_bang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n">
        <v>120</v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8</v>
      </c>
      <c r="Y219" t="n">
        <v>6</v>
      </c>
      <c r="Z219" t="inlineStr">
        <is>
          <t>tay</t>
        </is>
      </c>
      <c r="AA219" t="inlineStr">
        <is>
          <t>NEED_SOURCE</t>
        </is>
      </c>
      <c r="AB219" t="inlineStr"/>
      <c r="AC219" t="inlineStr">
        <is>
          <t>gun</t>
        </is>
      </c>
      <c r="AD219" t="inlineStr">
        <is>
          <t>the sheet's 'Ngoài đời': Rh-120 6-8 rpm with a loader (Wikipedia 'Rheinmetall 120 mm gun')</t>
        </is>
      </c>
      <c r="AE219" t="inlineStr"/>
      <c r="AF219" t="inlineStr">
        <is>
          <t>Tools/balance/full_weapon_audit.py: REAL / WARHEAD; balance.json weapons[id=p26_behemoth_be120].real</t>
        </is>
      </c>
      <c r="AG219" t="inlineStr"/>
    </row>
    <row r="220">
      <c r="A220" t="inlineStr">
        <is>
          <t>p26_behemoth_be152</t>
        </is>
      </c>
      <c r="B220" t="inlineStr">
        <is>
          <t>p26_behemoth_be152</t>
        </is>
      </c>
      <c r="C220" t="inlineStr">
        <is>
          <t>2A65 152 mm</t>
        </is>
      </c>
      <c r="D220" t="inlineStr">
        <is>
          <t>doi_that</t>
        </is>
      </c>
      <c r="E220" t="inlineStr">
        <is>
          <t>2A65 152 mm</t>
        </is>
      </c>
      <c r="F220" t="inlineStr"/>
      <c r="G220" t="inlineStr"/>
      <c r="H220" t="inlineStr"/>
      <c r="I220" t="inlineStr"/>
      <c r="J220" t="inlineStr"/>
      <c r="K220" t="inlineStr"/>
      <c r="L220" t="inlineStr">
        <is>
          <t>nhịp chậm hơn 30 % và mạnh hơn tương ứng (luật súng của game)</t>
        </is>
      </c>
      <c r="M220" t="inlineStr">
        <is>
          <t>gameplay</t>
        </is>
      </c>
      <c r="N220" t="inlineStr"/>
      <c r="O220" t="inlineStr">
        <is>
          <t>da_kiem_chung</t>
        </is>
      </c>
      <c r="P220" t="inlineStr">
        <is>
          <t>R_balance;R_full_weapon_audit;W_wikipedia_2a65_msta_b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n">
        <v>152</v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8</v>
      </c>
      <c r="Y220" t="n">
        <v>6</v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gun</t>
        </is>
      </c>
      <c r="AD220" t="inlineStr">
        <is>
          <t>Wikipedia '2A65 Msta-B': 7-8 rpm</t>
        </is>
      </c>
      <c r="AE220" t="inlineStr"/>
      <c r="AF220" t="inlineStr">
        <is>
          <t>Tools/balance/full_weapon_audit.py: REAL / WARHEAD; balance.json weapons[id=p26_behemoth_be152].real</t>
        </is>
      </c>
      <c r="AG220" t="inlineStr"/>
    </row>
    <row r="221">
      <c r="A221" t="inlineStr">
        <is>
          <t>p26_behemoth_be_rockets</t>
        </is>
      </c>
      <c r="B221" t="inlineStr">
        <is>
          <t>p26_behemoth_be_rockets</t>
        </is>
      </c>
      <c r="C221" t="inlineStr">
        <is>
          <t>BM-21 Grad 122 mm (dorsal)</t>
        </is>
      </c>
      <c r="D221" t="inlineStr">
        <is>
          <t>doi_that</t>
        </is>
      </c>
      <c r="E221" t="inlineStr">
        <is>
          <t>BM-21 Grad 122 mm (dorsal)</t>
        </is>
      </c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>
        <is>
          <t>da_kiem_chung</t>
        </is>
      </c>
      <c r="P221" t="inlineStr">
        <is>
          <t>R_balance;R_full_weapon_audit;W_wikipedia_bm_21_grad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n">
        <v>122</v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120</v>
      </c>
      <c r="Y221" t="inlineStr">
        <is>
          <t>NEED_SOURCE</t>
        </is>
      </c>
      <c r="Z221" t="inlineStr">
        <is>
          <t>NEED_SOURCE</t>
        </is>
      </c>
      <c r="AA221" t="inlineStr">
        <is>
          <t>NEED_SOURCE</t>
        </is>
      </c>
      <c r="AB221" t="inlineStr"/>
      <c r="AC221" t="inlineStr">
        <is>
          <t>rocket</t>
        </is>
      </c>
      <c r="AD221" t="inlineStr">
        <is>
          <t>Wikipedia 'BM-21 Grad': 40 rockets in 20 s</t>
        </is>
      </c>
      <c r="AE221" t="inlineStr"/>
      <c r="AF221" t="inlineStr">
        <is>
          <t>Tools/balance/full_weapon_audit.py: REAL / WARHEAD; balance.json weapons[id=p26_behemoth_be_rockets].real</t>
        </is>
      </c>
      <c r="AG221" t="inlineStr"/>
    </row>
    <row r="222">
      <c r="A222" t="inlineStr">
        <is>
          <t>p26_behemoth_close_boss_flak</t>
        </is>
      </c>
      <c r="B222" t="inlineStr">
        <is>
          <t>p26_behemoth_close_boss_flak</t>
        </is>
      </c>
      <c r="C222" t="inlineStr">
        <is>
          <t>Oerlikon 35 mm (twin)</t>
        </is>
      </c>
      <c r="D222" t="inlineStr">
        <is>
          <t>doi_that</t>
        </is>
      </c>
      <c r="E222" t="inlineStr">
        <is>
          <t>Oerlikon 35 mm (twin)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>
        <is>
          <t>da_kiem_chung</t>
        </is>
      </c>
      <c r="P222" t="inlineStr">
        <is>
          <t>R_balance;R_full_weapon_audit;W_wikipedia_oerlikon_gdf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n">
        <v>35</v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550</v>
      </c>
      <c r="Y222" t="n">
        <v>300</v>
      </c>
      <c r="Z222" t="inlineStr">
        <is>
          <t>NEED_SOURCE</t>
        </is>
      </c>
      <c r="AA222" t="inlineStr">
        <is>
          <t>NEED_SOURCE</t>
        </is>
      </c>
      <c r="AB222" t="inlineStr"/>
      <c r="AC222" t="inlineStr">
        <is>
          <t>aa</t>
        </is>
      </c>
      <c r="AD222" t="inlineStr">
        <is>
          <t>Wikipedia 'Oerlikon GDF': 550 rpm a gun (the twin: 1,100)</t>
        </is>
      </c>
      <c r="AE222" t="inlineStr"/>
      <c r="AF222" t="inlineStr">
        <is>
          <t>Tools/balance/full_weapon_audit.py: REAL / WARHEAD; balance.json weapons[id=p26_behemoth_close_boss_flak].real</t>
        </is>
      </c>
      <c r="AG222" t="inlineStr"/>
    </row>
    <row r="223">
      <c r="A223" t="inlineStr">
        <is>
          <t>p26_behemoth_direct_be120</t>
        </is>
      </c>
      <c r="B223" t="inlineStr">
        <is>
          <t>p26_behemoth_direct_be120</t>
        </is>
      </c>
      <c r="C223" t="inlineStr">
        <is>
          <t>Rh-120 L/44 120 mm (twin)</t>
        </is>
      </c>
      <c r="D223" t="inlineStr">
        <is>
          <t>doi_that</t>
        </is>
      </c>
      <c r="E223" t="inlineStr">
        <is>
          <t>Rh-120 L/44 120 mm (twin)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R_balance;R_full_weapon_audit;W_wikipedia_rheinmetall_120_mm_gun;R_machine_brigade_can_bang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120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8</v>
      </c>
      <c r="Y223" t="n">
        <v>6</v>
      </c>
      <c r="Z223" t="inlineStr">
        <is>
          <t>tay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the sheet's 'Ngoài đời': Rh-120 6-8 rpm with a loader (Wikipedia 'Rheinmetall 120 mm gun')</t>
        </is>
      </c>
      <c r="AE223" t="inlineStr"/>
      <c r="AF223" t="inlineStr">
        <is>
          <t>Tools/balance/full_weapon_audit.py: REAL / WARHEAD; balance.json weapons[id=p26_behemoth_direct_be120].real</t>
        </is>
      </c>
      <c r="AG223" t="inlineStr"/>
    </row>
    <row r="224">
      <c r="A224" t="inlineStr">
        <is>
          <t>p26_behemoth_main_be152</t>
        </is>
      </c>
      <c r="B224" t="inlineStr">
        <is>
          <t>p26_behemoth_main_be152</t>
        </is>
      </c>
      <c r="C224" t="inlineStr">
        <is>
          <t>2A65 152 mm</t>
        </is>
      </c>
      <c r="D224" t="inlineStr">
        <is>
          <t>doi_that</t>
        </is>
      </c>
      <c r="E224" t="inlineStr">
        <is>
          <t>2A65 152 mm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R_balance;R_full_weapon_audit;W_wikipedia_2a65_msta_b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152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8</v>
      </c>
      <c r="Y224" t="n">
        <v>6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Wikipedia '2A65 Msta-B': 7-8 rpm</t>
        </is>
      </c>
      <c r="AE224" t="inlineStr"/>
      <c r="AF224" t="inlineStr">
        <is>
          <t>Tools/balance/full_weapon_audit.py: REAL / WARHEAD; balance.json weapons[id=p26_behemoth_main_be152].real</t>
        </is>
      </c>
      <c r="AG224" t="inlineStr"/>
    </row>
    <row r="225">
      <c r="A225" t="inlineStr">
        <is>
          <t>p26_behemoth_sec_be_rockets</t>
        </is>
      </c>
      <c r="B225" t="inlineStr">
        <is>
          <t>p26_behemoth_sec_be_rockets</t>
        </is>
      </c>
      <c r="C225" t="inlineStr">
        <is>
          <t>BM-21 Grad 122 mm (dorsal)</t>
        </is>
      </c>
      <c r="D225" t="inlineStr">
        <is>
          <t>doi_that</t>
        </is>
      </c>
      <c r="E225" t="inlineStr">
        <is>
          <t>BM-21 Grad 122 mm (dorsal)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>
        <is>
          <t>da_kiem_chung</t>
        </is>
      </c>
      <c r="P225" t="inlineStr">
        <is>
          <t>R_balance;R_full_weapon_audit;W_wikipedia_bm_21_grad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n">
        <v>122</v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120</v>
      </c>
      <c r="Y225" t="inlineStr">
        <is>
          <t>NEED_SOURCE</t>
        </is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rocket</t>
        </is>
      </c>
      <c r="AD225" t="inlineStr">
        <is>
          <t>Wikipedia 'BM-21 Grad': 40 rockets in 20 s</t>
        </is>
      </c>
      <c r="AE225" t="inlineStr"/>
      <c r="AF225" t="inlineStr">
        <is>
          <t>Tools/balance/full_weapon_audit.py: REAL / WARHEAD; balance.json weapons[id=p26_behemoth_sec_be_rockets].real</t>
        </is>
      </c>
      <c r="AG225" t="inlineStr"/>
    </row>
    <row r="226">
      <c r="A226" t="inlineStr">
        <is>
          <t>p26_behemoth_tiny_be120</t>
        </is>
      </c>
      <c r="B226" t="inlineStr">
        <is>
          <t>p26_behemoth_tiny_be120</t>
        </is>
      </c>
      <c r="C226" t="inlineStr">
        <is>
          <t>Rh-120 L/44 120 mm</t>
        </is>
      </c>
      <c r="D226" t="inlineStr">
        <is>
          <t>doi_that</t>
        </is>
      </c>
      <c r="E226" t="inlineStr">
        <is>
          <t>Rh-120 L/44 120 mm</t>
        </is>
      </c>
      <c r="F226" t="inlineStr"/>
      <c r="G226" t="inlineStr"/>
      <c r="H226" t="inlineStr"/>
      <c r="I226" t="inlineStr"/>
      <c r="J226" t="inlineStr"/>
      <c r="K226" t="inlineStr"/>
      <c r="L226" t="inlineStr">
        <is>
          <t>nhịp chậm hơn 30 % và mạnh hơn tương ứng (luật súng của game)</t>
        </is>
      </c>
      <c r="M226" t="inlineStr">
        <is>
          <t>gameplay</t>
        </is>
      </c>
      <c r="N226" t="inlineStr"/>
      <c r="O226" t="inlineStr">
        <is>
          <t>da_kiem_chung</t>
        </is>
      </c>
      <c r="P226" t="inlineStr">
        <is>
          <t>R_balance;R_full_weapon_audit;W_wikipedia_rheinmetall_120_mm_gun;R_machine_brigade_can_bang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n">
        <v>120</v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n">
        <v>8</v>
      </c>
      <c r="Y226" t="n">
        <v>6</v>
      </c>
      <c r="Z226" t="inlineStr">
        <is>
          <t>tay</t>
        </is>
      </c>
      <c r="AA226" t="inlineStr">
        <is>
          <t>NEED_SOURCE</t>
        </is>
      </c>
      <c r="AB226" t="inlineStr"/>
      <c r="AC226" t="inlineStr">
        <is>
          <t>gun</t>
        </is>
      </c>
      <c r="AD226" t="inlineStr">
        <is>
          <t>the sheet's 'Ngoài đời': Rh-120 6-8 rpm with a loader (Wikipedia 'Rheinmetall 120 mm gun')</t>
        </is>
      </c>
      <c r="AE226" t="inlineStr"/>
      <c r="AF226" t="inlineStr">
        <is>
          <t>Tools/balance/full_weapon_audit.py: REAL / WARHEAD; balance.json weapons[id=p26_behemoth_tiny_be120].real</t>
        </is>
      </c>
      <c r="AG226" t="inlineStr"/>
    </row>
    <row r="227">
      <c r="A227" t="inlineStr">
        <is>
          <t>p26_behemoth_tiny_boss_missiles</t>
        </is>
      </c>
      <c r="B227" t="inlineStr">
        <is>
          <t>p26_behemoth_tiny_boss_missiles</t>
        </is>
      </c>
      <c r="C227" t="inlineStr">
        <is>
          <t>9M133 Kornet</t>
        </is>
      </c>
      <c r="D227" t="inlineStr">
        <is>
          <t>doi_that</t>
        </is>
      </c>
      <c r="E227" t="inlineStr">
        <is>
          <t>9M133 Kornet</t>
        </is>
      </c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  <c r="O227" t="inlineStr">
        <is>
          <t>da_kiem_chung</t>
        </is>
      </c>
      <c r="P227" t="inlineStr">
        <is>
          <t>R_balance;R_full_weapon_audit;W_wikipedia_9m133_kornet;W_wikipedia_bai_cua_tung_ten_lua_bang_warhead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inlineStr">
        <is>
          <t>NEED_SOURCE</t>
        </is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3</v>
      </c>
      <c r="Y227" t="n">
        <v>3</v>
      </c>
      <c r="Z227" t="inlineStr">
        <is>
          <t>NEED_SOURCE</t>
        </is>
      </c>
      <c r="AA227" t="inlineStr">
        <is>
          <t>NEED_SOURCE</t>
        </is>
      </c>
      <c r="AB227" t="n">
        <v>7</v>
      </c>
      <c r="AC227" t="inlineStr">
        <is>
          <t>atgm</t>
        </is>
      </c>
      <c r="AD227" t="inlineStr">
        <is>
          <t>Wikipedia '9M133 Kornet': 2-3 rpm</t>
        </is>
      </c>
      <c r="AE227" t="inlineStr"/>
      <c r="AF227" t="inlineStr">
        <is>
          <t>Tools/balance/full_weapon_audit.py: REAL / WARHEAD; balance.json weapons[id=p26_behemoth_tiny_boss_missiles].real</t>
        </is>
      </c>
      <c r="AG227" t="inlineStr"/>
    </row>
    <row r="228">
      <c r="A228" t="inlineStr">
        <is>
          <t>p26_behemoth_tiny_kornet_twin</t>
        </is>
      </c>
      <c r="B228" t="inlineStr">
        <is>
          <t>p26_behemoth_tiny_kornet_twin</t>
        </is>
      </c>
      <c r="C228" t="inlineStr">
        <is>
          <t>Rh-120 L/44 120 mm (side gun)</t>
        </is>
      </c>
      <c r="D228" t="inlineStr">
        <is>
          <t>doi_that</t>
        </is>
      </c>
      <c r="E228" t="inlineStr">
        <is>
          <t>Rh-120 L/44 120 mm (side gun)</t>
        </is>
      </c>
      <c r="F228" t="inlineStr"/>
      <c r="G228" t="inlineStr"/>
      <c r="H228" t="inlineStr"/>
      <c r="I228" t="inlineStr"/>
      <c r="J228" t="inlineStr"/>
      <c r="K228" t="inlineStr"/>
      <c r="L228" t="inlineStr">
        <is>
          <t>nhịp chậm hơn 30 % và mạnh hơn tương ứng (luật súng của game)</t>
        </is>
      </c>
      <c r="M228" t="inlineStr">
        <is>
          <t>gameplay</t>
        </is>
      </c>
      <c r="N228" t="inlineStr"/>
      <c r="O228" t="inlineStr">
        <is>
          <t>da_kiem_chung</t>
        </is>
      </c>
      <c r="P228" t="inlineStr">
        <is>
          <t>R_balance;R_full_weapon_audit;W_wikipedia_rheinmetall_120_mm_gun;R_machine_brigade_can_bang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120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8</v>
      </c>
      <c r="Y228" t="n">
        <v>6</v>
      </c>
      <c r="Z228" t="inlineStr">
        <is>
          <t>tay</t>
        </is>
      </c>
      <c r="AA228" t="inlineStr">
        <is>
          <t>NEED_SOURCE</t>
        </is>
      </c>
      <c r="AB228" t="inlineStr"/>
      <c r="AC228" t="inlineStr">
        <is>
          <t>gun</t>
        </is>
      </c>
      <c r="AD228" t="inlineStr">
        <is>
          <t>the sheet's 'Ngoài đời': Rh-120 6-8 rpm with a loader (Wikipedia 'Rheinmetall 120 mm gun')</t>
        </is>
      </c>
      <c r="AE228" t="inlineStr"/>
      <c r="AF228" t="inlineStr">
        <is>
          <t>Tools/balance/full_weapon_audit.py: REAL / WARHEAD; balance.json weapons[id=p26_behemoth_tiny_kornet_twin].real</t>
        </is>
      </c>
      <c r="AG228" t="inlineStr"/>
    </row>
    <row r="229">
      <c r="A229" t="inlineStr">
        <is>
          <t>p26_daedalus_dae57</t>
        </is>
      </c>
      <c r="B229" t="inlineStr">
        <is>
          <t>p26_daedalus_dae57</t>
        </is>
      </c>
      <c r="C229" t="inlineStr">
        <is>
          <t>AU-220 57 mm (belly)</t>
        </is>
      </c>
      <c r="D229" t="inlineStr">
        <is>
          <t>doi_that</t>
        </is>
      </c>
      <c r="E229" t="inlineStr">
        <is>
          <t>AU-220 57 mm (belly)</t>
        </is>
      </c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da_kiem_chung</t>
        </is>
      </c>
      <c r="P229" t="inlineStr">
        <is>
          <t>R_balance;R_full_weapon_audit;W_wikipedia_au_220m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n">
        <v>57</v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n">
        <v>120</v>
      </c>
      <c r="Y229" t="n">
        <v>80</v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>
        <is>
          <t>ac</t>
        </is>
      </c>
      <c r="AD229" t="inlineStr">
        <is>
          <t>Wikipedia 'AU-220M': 80-120 rpm</t>
        </is>
      </c>
      <c r="AE229" t="inlineStr"/>
      <c r="AF229" t="inlineStr">
        <is>
          <t>Tools/balance/full_weapon_audit.py: REAL / WARHEAD; balance.json weapons[id=p26_daedalus_dae57].real</t>
        </is>
      </c>
      <c r="AG229" t="inlineStr"/>
    </row>
    <row r="230">
      <c r="A230" t="inlineStr">
        <is>
          <t>p26_daedalus_dae_laser</t>
        </is>
      </c>
      <c r="B230" t="inlineStr">
        <is>
          <t>p26_daedalus_dae_laser</t>
        </is>
      </c>
      <c r="C230" t="inlineStr">
        <is>
          <t>targeting laser (300 kW)</t>
        </is>
      </c>
      <c r="D230" t="inlineStr">
        <is>
          <t>doi_that</t>
        </is>
      </c>
      <c r="E230" t="inlineStr">
        <is>
          <t>targeting laser (300 kW)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ban_dau_doan</t>
        </is>
      </c>
      <c r="P230" t="inlineStr">
        <is>
          <t>R_balance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inlineStr">
        <is>
          <t>NEED_SOURCE</t>
        </is>
      </c>
      <c r="Y230" t="inlineStr">
        <is>
          <t>NEED_SOURCE</t>
        </is>
      </c>
      <c r="Z230" t="inlineStr">
        <is>
          <t>NEED_SOURCE</t>
        </is>
      </c>
      <c r="AA230" t="inlineStr">
        <is>
          <t>NEED_SOURCE</t>
        </is>
      </c>
      <c r="AB230" t="inlineStr"/>
      <c r="AC230" t="inlineStr"/>
      <c r="AD230" t="inlineStr"/>
      <c r="AE230" t="inlineStr"/>
      <c r="AF230" t="inlineStr">
        <is>
          <t>Tools/balance/full_weapon_audit.py: REAL / WARHEAD; balance.json weapons[id=p26_daedalus_dae_laser].real</t>
        </is>
      </c>
      <c r="AG230" t="inlineStr"/>
    </row>
    <row r="231">
      <c r="A231" t="inlineStr">
        <is>
          <t>p26_daedalus_direct_dae_laser</t>
        </is>
      </c>
      <c r="B231" t="inlineStr">
        <is>
          <t>p26_daedalus_direct_dae_laser</t>
        </is>
      </c>
      <c r="C231" t="inlineStr">
        <is>
          <t>targeting laser (300 kW)</t>
        </is>
      </c>
      <c r="D231" t="inlineStr">
        <is>
          <t>doi_that</t>
        </is>
      </c>
      <c r="E231" t="inlineStr">
        <is>
          <t>targeting laser (300 kW)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ban_dau_doan</t>
        </is>
      </c>
      <c r="P231" t="inlineStr">
        <is>
          <t>R_balance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inlineStr">
        <is>
          <t>NEED_SOURCE</t>
        </is>
      </c>
      <c r="Y231" t="inlineStr">
        <is>
          <t>NEED_SOURCE</t>
        </is>
      </c>
      <c r="Z231" t="inlineStr">
        <is>
          <t>NEED_SOURCE</t>
        </is>
      </c>
      <c r="AA231" t="inlineStr">
        <is>
          <t>NEED_SOURCE</t>
        </is>
      </c>
      <c r="AB231" t="inlineStr"/>
      <c r="AC231" t="inlineStr"/>
      <c r="AD231" t="inlineStr"/>
      <c r="AE231" t="inlineStr"/>
      <c r="AF231" t="inlineStr">
        <is>
          <t>Tools/balance/full_weapon_audit.py: REAL / WARHEAD; balance.json weapons[id=p26_daedalus_direct_dae_laser].real</t>
        </is>
      </c>
      <c r="AG231" t="inlineStr"/>
    </row>
    <row r="232">
      <c r="A232" t="inlineStr">
        <is>
          <t>p26_daedalus_sec_dae57</t>
        </is>
      </c>
      <c r="B232" t="inlineStr">
        <is>
          <t>p26_daedalus_sec_dae57</t>
        </is>
      </c>
      <c r="C232" t="inlineStr">
        <is>
          <t>AU-220 57 mm (twin belly mount)</t>
        </is>
      </c>
      <c r="D232" t="inlineStr">
        <is>
          <t>doi_that</t>
        </is>
      </c>
      <c r="E232" t="inlineStr">
        <is>
          <t>AU-220 57 mm (twin belly mount)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da_kiem_chung</t>
        </is>
      </c>
      <c r="P232" t="inlineStr">
        <is>
          <t>R_balance;R_full_weapon_audit;W_wikipedia_au_220m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n">
        <v>57</v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n">
        <v>120</v>
      </c>
      <c r="Y232" t="n">
        <v>80</v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>
        <is>
          <t>ac</t>
        </is>
      </c>
      <c r="AD232" t="inlineStr">
        <is>
          <t>Wikipedia 'AU-220M': 80-120 rpm</t>
        </is>
      </c>
      <c r="AE232" t="inlineStr"/>
      <c r="AF232" t="inlineStr">
        <is>
          <t>Tools/balance/full_weapon_audit.py: REAL / WARHEAD; balance.json weapons[id=p26_daedalus_sec_dae57].real</t>
        </is>
      </c>
      <c r="AG232" t="inlineStr"/>
    </row>
    <row r="233">
      <c r="A233" t="inlineStr">
        <is>
          <t>p26_icarus_close_autocannon_40</t>
        </is>
      </c>
      <c r="B233" t="inlineStr">
        <is>
          <t>p26_icarus_close_autocannon_40</t>
        </is>
      </c>
      <c r="C233" t="inlineStr">
        <is>
          <t>Bofors 40 mm</t>
        </is>
      </c>
      <c r="D233" t="inlineStr">
        <is>
          <t>doi_that</t>
        </is>
      </c>
      <c r="E233" t="inlineStr">
        <is>
          <t>Bofors 40 mm</t>
        </is>
      </c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>
        <is>
          <t>da_kiem_chung</t>
        </is>
      </c>
      <c r="P233" t="inlineStr">
        <is>
          <t>R_balance;R_full_weapon_audit;W_wikipedia_bofors_40_mm_l_70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n">
        <v>40</v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n">
        <v>330</v>
      </c>
      <c r="Y233" t="n">
        <v>120</v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>
        <is>
          <t>aa</t>
        </is>
      </c>
      <c r="AD233" t="inlineStr">
        <is>
          <t>Wikipedia 'Bofors 40 mm L/70': 240-330 rpm</t>
        </is>
      </c>
      <c r="AE233" t="inlineStr"/>
      <c r="AF233" t="inlineStr">
        <is>
          <t>Tools/balance/full_weapon_audit.py: REAL / WARHEAD; balance.json weapons[id=p26_icarus_close_autocannon_40].real</t>
        </is>
      </c>
      <c r="AG233" t="inlineStr"/>
    </row>
    <row r="234">
      <c r="A234" t="inlineStr">
        <is>
          <t>p26_icarus_direct_ic_laser</t>
        </is>
      </c>
      <c r="B234" t="inlineStr">
        <is>
          <t>p26_icarus_direct_ic_laser</t>
        </is>
      </c>
      <c r="C234" t="inlineStr">
        <is>
          <t>laser tower (300 kW)</t>
        </is>
      </c>
      <c r="D234" t="inlineStr">
        <is>
          <t>doi_that</t>
        </is>
      </c>
      <c r="E234" t="inlineStr">
        <is>
          <t>laser tower (300 kW)</t>
        </is>
      </c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  <c r="O234" t="inlineStr">
        <is>
          <t>ban_dau_doan</t>
        </is>
      </c>
      <c r="P234" t="inlineStr">
        <is>
          <t>R_balance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inlineStr">
        <is>
          <t>NEED_SOURCE</t>
        </is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inlineStr">
        <is>
          <t>NEED_SOURCE</t>
        </is>
      </c>
      <c r="Y234" t="inlineStr">
        <is>
          <t>NEED_SOURCE</t>
        </is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/>
      <c r="AD234" t="inlineStr"/>
      <c r="AE234" t="inlineStr"/>
      <c r="AF234" t="inlineStr">
        <is>
          <t>Tools/balance/full_weapon_audit.py: REAL / WARHEAD; balance.json weapons[id=p26_icarus_direct_ic_laser].real</t>
        </is>
      </c>
      <c r="AG234" t="inlineStr"/>
    </row>
    <row r="235">
      <c r="A235" t="inlineStr">
        <is>
          <t>p26_icarus_ic_coil</t>
        </is>
      </c>
      <c r="B235" t="inlineStr">
        <is>
          <t>p26_icarus_ic_coil</t>
        </is>
      </c>
      <c r="C235" t="inlineStr">
        <is>
          <t>coilgun (64 MJ)</t>
        </is>
      </c>
      <c r="D235" t="inlineStr">
        <is>
          <t>doi_that</t>
        </is>
      </c>
      <c r="E235" t="inlineStr">
        <is>
          <t>coilgun (64 MJ)</t>
        </is>
      </c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/>
      <c r="O235" t="inlineStr">
        <is>
          <t>ban_dau_doan</t>
        </is>
      </c>
      <c r="P235" t="inlineStr">
        <is>
          <t>R_balance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inlineStr">
        <is>
          <t>NEED_SOURCE</t>
        </is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inlineStr">
        <is>
          <t>NEED_SOURCE</t>
        </is>
      </c>
      <c r="Y235" t="inlineStr">
        <is>
          <t>NEED_SOURCE</t>
        </is>
      </c>
      <c r="Z235" t="inlineStr">
        <is>
          <t>NEED_SOURCE</t>
        </is>
      </c>
      <c r="AA235" t="inlineStr">
        <is>
          <t>NEED_SOURCE</t>
        </is>
      </c>
      <c r="AB235" t="inlineStr"/>
      <c r="AC235" t="inlineStr"/>
      <c r="AD235" t="inlineStr"/>
      <c r="AE235" t="inlineStr"/>
      <c r="AF235" t="inlineStr">
        <is>
          <t>Tools/balance/full_weapon_audit.py: REAL / WARHEAD; balance.json weapons[id=p26_icarus_ic_coil].real</t>
        </is>
      </c>
      <c r="AG235" t="inlineStr"/>
    </row>
    <row r="236">
      <c r="A236" t="inlineStr">
        <is>
          <t>p26_icarus_ic_laser</t>
        </is>
      </c>
      <c r="B236" t="inlineStr">
        <is>
          <t>p26_icarus_ic_laser</t>
        </is>
      </c>
      <c r="C236" t="inlineStr">
        <is>
          <t>laser tower (300 kW)</t>
        </is>
      </c>
      <c r="D236" t="inlineStr">
        <is>
          <t>doi_that</t>
        </is>
      </c>
      <c r="E236" t="inlineStr">
        <is>
          <t>laser tower (300 kW)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ban_dau_doan</t>
        </is>
      </c>
      <c r="P236" t="inlineStr">
        <is>
          <t>R_balance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inlineStr">
        <is>
          <t>NEED_SOURCE</t>
        </is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inlineStr">
        <is>
          <t>NEED_SOURCE</t>
        </is>
      </c>
      <c r="Y236" t="inlineStr">
        <is>
          <t>NEED_SOURCE</t>
        </is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/>
      <c r="AD236" t="inlineStr"/>
      <c r="AE236" t="inlineStr"/>
      <c r="AF236" t="inlineStr">
        <is>
          <t>Tools/balance/full_weapon_audit.py: REAL / WARHEAD; balance.json weapons[id=p26_icarus_ic_laser].real</t>
        </is>
      </c>
      <c r="AG236" t="inlineStr"/>
    </row>
    <row r="237">
      <c r="A237" t="inlineStr">
        <is>
          <t>p26_icarus_main_ic_coil</t>
        </is>
      </c>
      <c r="B237" t="inlineStr">
        <is>
          <t>p26_icarus_main_ic_coil</t>
        </is>
      </c>
      <c r="C237" t="inlineStr">
        <is>
          <t>heavy coilgun (64 MJ)</t>
        </is>
      </c>
      <c r="D237" t="inlineStr">
        <is>
          <t>doi_that</t>
        </is>
      </c>
      <c r="E237" t="inlineStr">
        <is>
          <t>heavy coilgun (64 MJ)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>
        <is>
          <t>ban_dau_doan</t>
        </is>
      </c>
      <c r="P237" t="inlineStr">
        <is>
          <t>R_balance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inlineStr">
        <is>
          <t>NEED_SOURCE</t>
        </is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inlineStr">
        <is>
          <t>NEED_SOURCE</t>
        </is>
      </c>
      <c r="Y237" t="inlineStr">
        <is>
          <t>NEED_SOURCE</t>
        </is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/>
      <c r="AD237" t="inlineStr"/>
      <c r="AE237" t="inlineStr"/>
      <c r="AF237" t="inlineStr">
        <is>
          <t>Tools/balance/full_weapon_audit.py: REAL / WARHEAD; balance.json weapons[id=p26_icarus_main_ic_coil].real</t>
        </is>
      </c>
      <c r="AG237" t="inlineStr"/>
    </row>
    <row r="238">
      <c r="A238" t="inlineStr">
        <is>
          <t>p26_icarus_sec_orbital_laser</t>
        </is>
      </c>
      <c r="B238" t="inlineStr">
        <is>
          <t>p26_icarus_sec_orbital_laser</t>
        </is>
      </c>
      <c r="C238" t="inlineStr">
        <is>
          <t>laser (150 kW)</t>
        </is>
      </c>
      <c r="D238" t="inlineStr">
        <is>
          <t>doi_that</t>
        </is>
      </c>
      <c r="E238" t="inlineStr">
        <is>
          <t>laser (150 kW)</t>
        </is>
      </c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  <c r="O238" t="inlineStr">
        <is>
          <t>ban_dau_doan</t>
        </is>
      </c>
      <c r="P238" t="inlineStr">
        <is>
          <t>R_balance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inlineStr">
        <is>
          <t>NEED_SOURCE</t>
        </is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inlineStr">
        <is>
          <t>NEED_SOURCE</t>
        </is>
      </c>
      <c r="Y238" t="inlineStr">
        <is>
          <t>NEED_SOURCE</t>
        </is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/>
      <c r="AD238" t="inlineStr"/>
      <c r="AE238" t="inlineStr"/>
      <c r="AF238" t="inlineStr">
        <is>
          <t>Tools/balance/full_weapon_audit.py: REAL / WARHEAD; balance.json weapons[id=p26_icarus_sec_orbital_laser].real</t>
        </is>
      </c>
      <c r="AG238" t="inlineStr"/>
    </row>
    <row r="239">
      <c r="A239" t="inlineStr">
        <is>
          <t>p26_ixion_125</t>
        </is>
      </c>
      <c r="B239" t="inlineStr">
        <is>
          <t>p26_ixion_125</t>
        </is>
      </c>
      <c r="C239" t="inlineStr">
        <is>
          <t>2A46 125 mm (turret, AP)</t>
        </is>
      </c>
      <c r="D239" t="inlineStr">
        <is>
          <t>doi_that</t>
        </is>
      </c>
      <c r="E239" t="inlineStr">
        <is>
          <t>2A46 125 mm (turret, AP)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R_balance;R_full_weapon_audit;W_wikipedia_2a46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125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8</v>
      </c>
      <c r="Y239" t="n">
        <v>7</v>
      </c>
      <c r="Z239" t="inlineStr">
        <is>
          <t>tu_dong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'2A46': 7-8 rpm with the autoloader</t>
        </is>
      </c>
      <c r="AE239" t="inlineStr"/>
      <c r="AF239" t="inlineStr">
        <is>
          <t>Tools/balance/full_weapon_audit.py: REAL / WARHEAD; balance.json weapons[id=p26_ixion_125].real</t>
        </is>
      </c>
      <c r="AG239" t="inlineStr"/>
    </row>
    <row r="240">
      <c r="A240" t="inlineStr">
        <is>
          <t>p26_ixion_125_he</t>
        </is>
      </c>
      <c r="B240" t="inlineStr">
        <is>
          <t>p26_ixion_125_he</t>
        </is>
      </c>
      <c r="C240" t="inlineStr">
        <is>
          <t>2A46 125 mm HE-FRAG</t>
        </is>
      </c>
      <c r="D240" t="inlineStr">
        <is>
          <t>doi_that</t>
        </is>
      </c>
      <c r="E240" t="inlineStr">
        <is>
          <t>2A46 125 mm HE-FRAG</t>
        </is>
      </c>
      <c r="F240" t="inlineStr"/>
      <c r="G240" t="inlineStr"/>
      <c r="H240" t="inlineStr"/>
      <c r="I240" t="inlineStr"/>
      <c r="J240" t="inlineStr"/>
      <c r="K240" t="inlineStr"/>
      <c r="L240" t="inlineStr">
        <is>
          <t>nhịp chậm hơn 30 % và mạnh hơn tương ứng (luật súng của game)</t>
        </is>
      </c>
      <c r="M240" t="inlineStr">
        <is>
          <t>gameplay</t>
        </is>
      </c>
      <c r="N240" t="inlineStr"/>
      <c r="O240" t="inlineStr">
        <is>
          <t>da_kiem_chung</t>
        </is>
      </c>
      <c r="P240" t="inlineStr">
        <is>
          <t>R_balance;R_full_weapon_audit;W_wikipedia_2a46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125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8</v>
      </c>
      <c r="Y240" t="n">
        <v>7</v>
      </c>
      <c r="Z240" t="inlineStr">
        <is>
          <t>tu_dong</t>
        </is>
      </c>
      <c r="AA240" t="inlineStr">
        <is>
          <t>NEED_SOURCE</t>
        </is>
      </c>
      <c r="AB240" t="inlineStr"/>
      <c r="AC240" t="inlineStr">
        <is>
          <t>gun</t>
        </is>
      </c>
      <c r="AD240" t="inlineStr">
        <is>
          <t>Wikipedia '2A46': 7-8 rpm with the autoloader</t>
        </is>
      </c>
      <c r="AE240" t="inlineStr"/>
      <c r="AF240" t="inlineStr">
        <is>
          <t>Tools/balance/full_weapon_audit.py: REAL / WARHEAD; balance.json weapons[id=p26_ixion_125_he].real</t>
        </is>
      </c>
      <c r="AG240" t="inlineStr"/>
    </row>
    <row r="241">
      <c r="A241" t="inlineStr">
        <is>
          <t>p26_ixion_mg</t>
        </is>
      </c>
      <c r="B241" t="inlineStr">
        <is>
          <t>p26_ixion_mg</t>
        </is>
      </c>
      <c r="C241" t="inlineStr">
        <is>
          <t>NSV 12.7 mm</t>
        </is>
      </c>
      <c r="D241" t="inlineStr">
        <is>
          <t>doi_that</t>
        </is>
      </c>
      <c r="E241" t="inlineStr">
        <is>
          <t>NSV 12.7 mm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da_kiem_chung</t>
        </is>
      </c>
      <c r="P241" t="inlineStr">
        <is>
          <t>R_balance;R_full_weapon_audit;W_wikipedia_nsv_machine_gun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n">
        <v>12.7</v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800</v>
      </c>
      <c r="Y241" t="n">
        <v>100</v>
      </c>
      <c r="Z241" t="inlineStr">
        <is>
          <t>NEED_SOURCE</t>
        </is>
      </c>
      <c r="AA241" t="inlineStr">
        <is>
          <t>NEED_SOURCE</t>
        </is>
      </c>
      <c r="AB241" t="inlineStr"/>
      <c r="AC241" t="inlineStr">
        <is>
          <t>mg</t>
        </is>
      </c>
      <c r="AD241" t="inlineStr">
        <is>
          <t>Wikipedia 'NSV machine gun': 700-800 cyclic, 100 practical</t>
        </is>
      </c>
      <c r="AE241" t="inlineStr"/>
      <c r="AF241" t="inlineStr">
        <is>
          <t>Tools/balance/full_weapon_audit.py: REAL / WARHEAD; balance.json weapons[id=p26_ixion_mg].real</t>
        </is>
      </c>
      <c r="AG241" t="inlineStr"/>
    </row>
    <row r="242">
      <c r="A242" t="inlineStr">
        <is>
          <t>p26_jotunn_close_boss_flak</t>
        </is>
      </c>
      <c r="B242" t="inlineStr">
        <is>
          <t>p26_jotunn_close_boss_flak</t>
        </is>
      </c>
      <c r="C242" t="inlineStr">
        <is>
          <t>Oerlikon 35 mm (twin)</t>
        </is>
      </c>
      <c r="D242" t="inlineStr">
        <is>
          <t>doi_that</t>
        </is>
      </c>
      <c r="E242" t="inlineStr">
        <is>
          <t>Oerlikon 35 mm (twin)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R_balance;R_full_weapon_audit;W_wikipedia_oerlikon_gdf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35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550</v>
      </c>
      <c r="Y242" t="n">
        <v>300</v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aa</t>
        </is>
      </c>
      <c r="AD242" t="inlineStr">
        <is>
          <t>Wikipedia 'Oerlikon GDF': 550 rpm a gun (the twin: 1,100)</t>
        </is>
      </c>
      <c r="AE242" t="inlineStr"/>
      <c r="AF242" t="inlineStr">
        <is>
          <t>Tools/balance/full_weapon_audit.py: REAL / WARHEAD; balance.json weapons[id=p26_jotunn_close_boss_flak].real</t>
        </is>
      </c>
      <c r="AG242" t="inlineStr"/>
    </row>
    <row r="243">
      <c r="A243" t="inlineStr">
        <is>
          <t>p26_jotunn_direct_jo125</t>
        </is>
      </c>
      <c r="B243" t="inlineStr">
        <is>
          <t>p26_jotunn_direct_jo125</t>
        </is>
      </c>
      <c r="C243" t="inlineStr">
        <is>
          <t>2A46 125 mm</t>
        </is>
      </c>
      <c r="D243" t="inlineStr">
        <is>
          <t>doi_that</t>
        </is>
      </c>
      <c r="E243" t="inlineStr">
        <is>
          <t>2A46 125 mm</t>
        </is>
      </c>
      <c r="F243" t="inlineStr"/>
      <c r="G243" t="inlineStr"/>
      <c r="H243" t="inlineStr"/>
      <c r="I243" t="inlineStr"/>
      <c r="J243" t="inlineStr"/>
      <c r="K243" t="inlineStr"/>
      <c r="L243" t="inlineStr">
        <is>
          <t>nhịp chậm hơn 30 % và mạnh hơn tương ứng (luật súng của game)</t>
        </is>
      </c>
      <c r="M243" t="inlineStr">
        <is>
          <t>gameplay</t>
        </is>
      </c>
      <c r="N243" t="inlineStr"/>
      <c r="O243" t="inlineStr">
        <is>
          <t>da_kiem_chung</t>
        </is>
      </c>
      <c r="P243" t="inlineStr">
        <is>
          <t>R_balance;R_full_weapon_audit;W_wikipedia_2a46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125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8</v>
      </c>
      <c r="Y243" t="n">
        <v>7</v>
      </c>
      <c r="Z243" t="inlineStr">
        <is>
          <t>tu_dong</t>
        </is>
      </c>
      <c r="AA243" t="inlineStr">
        <is>
          <t>NEED_SOURCE</t>
        </is>
      </c>
      <c r="AB243" t="inlineStr"/>
      <c r="AC243" t="inlineStr">
        <is>
          <t>gun</t>
        </is>
      </c>
      <c r="AD243" t="inlineStr">
        <is>
          <t>Wikipedia '2A46': 7-8 rpm with the autoloader</t>
        </is>
      </c>
      <c r="AE243" t="inlineStr"/>
      <c r="AF243" t="inlineStr">
        <is>
          <t>Tools/balance/full_weapon_audit.py: REAL / WARHEAD; balance.json weapons[id=p26_jotunn_direct_jo125].real</t>
        </is>
      </c>
      <c r="AG243" t="inlineStr"/>
    </row>
    <row r="244">
      <c r="A244" t="inlineStr">
        <is>
          <t>p26_jotunn_jo125</t>
        </is>
      </c>
      <c r="B244" t="inlineStr">
        <is>
          <t>p26_jotunn_jo125</t>
        </is>
      </c>
      <c r="C244" t="inlineStr">
        <is>
          <t>2A46 125 mm</t>
        </is>
      </c>
      <c r="D244" t="inlineStr">
        <is>
          <t>doi_that</t>
        </is>
      </c>
      <c r="E244" t="inlineStr">
        <is>
          <t>2A46 125 mm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R_balance;R_full_weapon_audit;W_wikipedia_2a46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125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8</v>
      </c>
      <c r="Y244" t="n">
        <v>7</v>
      </c>
      <c r="Z244" t="inlineStr">
        <is>
          <t>tu_dong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Wikipedia '2A46': 7-8 rpm with the autoloader</t>
        </is>
      </c>
      <c r="AE244" t="inlineStr"/>
      <c r="AF244" t="inlineStr">
        <is>
          <t>Tools/balance/full_weapon_audit.py: REAL / WARHEAD; balance.json weapons[id=p26_jotunn_jo125].real</t>
        </is>
      </c>
      <c r="AG244" t="inlineStr"/>
    </row>
    <row r="245">
      <c r="A245" t="inlineStr">
        <is>
          <t>p26_jotunn_jo203</t>
        </is>
      </c>
      <c r="B245" t="inlineStr">
        <is>
          <t>p26_jotunn_jo203</t>
        </is>
      </c>
      <c r="C245" t="inlineStr">
        <is>
          <t>2A44 203 mm</t>
        </is>
      </c>
      <c r="D245" t="inlineStr">
        <is>
          <t>doi_that</t>
        </is>
      </c>
      <c r="E245" t="inlineStr">
        <is>
          <t>2A44 203 mm</t>
        </is>
      </c>
      <c r="F245" t="inlineStr"/>
      <c r="G245" t="inlineStr"/>
      <c r="H245" t="inlineStr"/>
      <c r="I245" t="inlineStr"/>
      <c r="J245" t="inlineStr"/>
      <c r="K245" t="inlineStr"/>
      <c r="L245" t="inlineStr">
        <is>
          <t>nhịp chậm hơn 30 % và mạnh hơn tương ứng (luật súng của game)</t>
        </is>
      </c>
      <c r="M245" t="inlineStr">
        <is>
          <t>gameplay</t>
        </is>
      </c>
      <c r="N245" t="inlineStr"/>
      <c r="O245" t="inlineStr">
        <is>
          <t>da_kiem_chung</t>
        </is>
      </c>
      <c r="P245" t="inlineStr">
        <is>
          <t>R_balance;R_full_weapon_audit;W_wikipedia_2s7_pion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203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2.5</v>
      </c>
      <c r="Y245" t="n">
        <v>1</v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gun</t>
        </is>
      </c>
      <c r="AD245" t="inlineStr">
        <is>
          <t>Wikipedia '2S7 Pion': 1.5 rpm (2S7M Malka 2.5)</t>
        </is>
      </c>
      <c r="AE245" t="inlineStr"/>
      <c r="AF245" t="inlineStr">
        <is>
          <t>Tools/balance/full_weapon_audit.py: REAL / WARHEAD; balance.json weapons[id=p26_jotunn_jo203].real</t>
        </is>
      </c>
      <c r="AG245" t="inlineStr"/>
    </row>
    <row r="246">
      <c r="A246" t="inlineStr">
        <is>
          <t>p26_jotunn_jo_rockets</t>
        </is>
      </c>
      <c r="B246" t="inlineStr">
        <is>
          <t>p26_jotunn_jo_rockets</t>
        </is>
      </c>
      <c r="C246" t="inlineStr">
        <is>
          <t>BM-30 Smerch 300 mm (pod)</t>
        </is>
      </c>
      <c r="D246" t="inlineStr">
        <is>
          <t>doi_that</t>
        </is>
      </c>
      <c r="E246" t="inlineStr">
        <is>
          <t>BM-30 Smerch 300 mm (pod)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>
        <is>
          <t>da_kiem_chung</t>
        </is>
      </c>
      <c r="P246" t="inlineStr">
        <is>
          <t>R_balance;R_full_weapon_audit;W_wikipedia_bm_30_smerch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300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19</v>
      </c>
      <c r="Y246" t="inlineStr">
        <is>
          <t>NEED_SOURCE</t>
        </is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rocket</t>
        </is>
      </c>
      <c r="AD246" t="inlineStr">
        <is>
          <t>Wikipedia 'BM-30 Smerch': 12 rockets in 38 s</t>
        </is>
      </c>
      <c r="AE246" t="inlineStr"/>
      <c r="AF246" t="inlineStr">
        <is>
          <t>Tools/balance/full_weapon_audit.py: REAL / WARHEAD; balance.json weapons[id=p26_jotunn_jo_rockets].real</t>
        </is>
      </c>
      <c r="AG246" t="inlineStr"/>
    </row>
    <row r="247">
      <c r="A247" t="inlineStr">
        <is>
          <t>p26_jotunn_sec_jo_rockets</t>
        </is>
      </c>
      <c r="B247" t="inlineStr">
        <is>
          <t>p26_jotunn_sec_jo_rockets</t>
        </is>
      </c>
      <c r="C247" t="inlineStr">
        <is>
          <t>BM-30 Smerch 300 mm (pod)</t>
        </is>
      </c>
      <c r="D247" t="inlineStr">
        <is>
          <t>doi_that</t>
        </is>
      </c>
      <c r="E247" t="inlineStr">
        <is>
          <t>BM-30 Smerch 300 mm (pod)</t>
        </is>
      </c>
      <c r="F247" t="inlineStr"/>
      <c r="G247" t="inlineStr"/>
      <c r="H247" t="inlineStr"/>
      <c r="I247" t="inlineStr"/>
      <c r="J247" t="inlineStr"/>
      <c r="K247" t="inlineStr"/>
      <c r="L247" t="inlineStr"/>
      <c r="M247" t="inlineStr"/>
      <c r="N247" t="inlineStr"/>
      <c r="O247" t="inlineStr">
        <is>
          <t>da_kiem_chung</t>
        </is>
      </c>
      <c r="P247" t="inlineStr">
        <is>
          <t>R_balance;R_full_weapon_audit;W_wikipedia_bm_30_smerch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300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19</v>
      </c>
      <c r="Y247" t="inlineStr">
        <is>
          <t>NEED_SOURCE</t>
        </is>
      </c>
      <c r="Z247" t="inlineStr">
        <is>
          <t>NEED_SOURCE</t>
        </is>
      </c>
      <c r="AA247" t="inlineStr">
        <is>
          <t>NEED_SOURCE</t>
        </is>
      </c>
      <c r="AB247" t="inlineStr"/>
      <c r="AC247" t="inlineStr">
        <is>
          <t>rocket</t>
        </is>
      </c>
      <c r="AD247" t="inlineStr">
        <is>
          <t>Wikipedia 'BM-30 Smerch': 12 rockets in 38 s</t>
        </is>
      </c>
      <c r="AE247" t="inlineStr"/>
      <c r="AF247" t="inlineStr">
        <is>
          <t>Tools/balance/full_weapon_audit.py: REAL / WARHEAD; balance.json weapons[id=p26_jotunn_sec_jo_rockets].real</t>
        </is>
      </c>
      <c r="AG247" t="inlineStr"/>
    </row>
    <row r="248">
      <c r="A248" t="inlineStr">
        <is>
          <t>p26_jotunn_tiny_twin_30_flak</t>
        </is>
      </c>
      <c r="B248" t="inlineStr">
        <is>
          <t>p26_jotunn_tiny_twin_30_flak</t>
        </is>
      </c>
      <c r="C248" t="inlineStr">
        <is>
          <t>2A38 30 mm (twin)</t>
        </is>
      </c>
      <c r="D248" t="inlineStr">
        <is>
          <t>doi_that</t>
        </is>
      </c>
      <c r="E248" t="inlineStr">
        <is>
          <t>2A38 30 mm (twin)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>
        <is>
          <t>da_kiem_chung</t>
        </is>
      </c>
      <c r="P248" t="inlineStr">
        <is>
          <t>R_balance;R_full_weapon_audit;W_wikipedia_2a38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30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2500</v>
      </c>
      <c r="Y248" t="n">
        <v>1000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aa</t>
        </is>
      </c>
      <c r="AD248" t="inlineStr">
        <is>
          <t>Wikipedia '2A38': 4,060-5,000 rpm the twin mount</t>
        </is>
      </c>
      <c r="AE248" t="inlineStr"/>
      <c r="AF248" t="inlineStr">
        <is>
          <t>Tools/balance/full_weapon_audit.py: REAL / WARHEAD; balance.json weapons[id=p26_jotunn_tiny_twin_30_flak].real</t>
        </is>
      </c>
      <c r="AG248" t="inlineStr"/>
    </row>
    <row r="249">
      <c r="A249" t="inlineStr">
        <is>
          <t>p26_leviathan_direct_lev127</t>
        </is>
      </c>
      <c r="B249" t="inlineStr">
        <is>
          <t>p26_leviathan_direct_lev127</t>
        </is>
      </c>
      <c r="C249" t="inlineStr">
        <is>
          <t>AK-127 127 mm</t>
        </is>
      </c>
      <c r="D249" t="inlineStr">
        <is>
          <t>doi_that</t>
        </is>
      </c>
      <c r="E249" t="inlineStr">
        <is>
          <t>AK-127 127 mm</t>
        </is>
      </c>
      <c r="F249" t="inlineStr"/>
      <c r="G249" t="inlineStr"/>
      <c r="H249" t="inlineStr"/>
      <c r="I249" t="inlineStr"/>
      <c r="J249" t="inlineStr"/>
      <c r="K249" t="inlineStr"/>
      <c r="L249" t="inlineStr">
        <is>
          <t>nhịp chậm hơn 30 % và mạnh hơn tương ứng (luật súng của game)</t>
        </is>
      </c>
      <c r="M249" t="inlineStr">
        <is>
          <t>gameplay</t>
        </is>
      </c>
      <c r="N249" t="inlineStr"/>
      <c r="O249" t="inlineStr">
        <is>
          <t>da_kiem_chung</t>
        </is>
      </c>
      <c r="P249" t="inlineStr">
        <is>
          <t>R_balance;R_full_weapon_audit;W_wikipedia_a_192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127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30</v>
      </c>
      <c r="Y249" t="n">
        <v>20</v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gun</t>
        </is>
      </c>
      <c r="AD249" t="inlineStr">
        <is>
          <t>the A-192 'Armat' 130 mm class, 30 rpm (Wikipedia 'A-192')</t>
        </is>
      </c>
      <c r="AE249" t="inlineStr"/>
      <c r="AF249" t="inlineStr">
        <is>
          <t>Tools/balance/full_weapon_audit.py: REAL / WARHEAD; balance.json weapons[id=p26_leviathan_direct_lev127].real</t>
        </is>
      </c>
      <c r="AG249" t="inlineStr"/>
    </row>
    <row r="250">
      <c r="A250" t="inlineStr">
        <is>
          <t>p26_leviathan_lev127</t>
        </is>
      </c>
      <c r="B250" t="inlineStr">
        <is>
          <t>p26_leviathan_lev127</t>
        </is>
      </c>
      <c r="C250" t="inlineStr">
        <is>
          <t>AK-127 127 mm</t>
        </is>
      </c>
      <c r="D250" t="inlineStr">
        <is>
          <t>doi_that</t>
        </is>
      </c>
      <c r="E250" t="inlineStr">
        <is>
          <t>AK-127 127 mm</t>
        </is>
      </c>
      <c r="F250" t="inlineStr"/>
      <c r="G250" t="inlineStr"/>
      <c r="H250" t="inlineStr"/>
      <c r="I250" t="inlineStr"/>
      <c r="J250" t="inlineStr"/>
      <c r="K250" t="inlineStr"/>
      <c r="L250" t="inlineStr">
        <is>
          <t>nhịp chậm hơn 30 % và mạnh hơn tương ứng (luật súng của game)</t>
        </is>
      </c>
      <c r="M250" t="inlineStr">
        <is>
          <t>gameplay</t>
        </is>
      </c>
      <c r="N250" t="inlineStr"/>
      <c r="O250" t="inlineStr">
        <is>
          <t>da_kiem_chung</t>
        </is>
      </c>
      <c r="P250" t="inlineStr">
        <is>
          <t>R_balance;R_full_weapon_audit;W_wikipedia_a_192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n">
        <v>127</v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30</v>
      </c>
      <c r="Y250" t="n">
        <v>20</v>
      </c>
      <c r="Z250" t="inlineStr">
        <is>
          <t>NEED_SOURCE</t>
        </is>
      </c>
      <c r="AA250" t="inlineStr">
        <is>
          <t>NEED_SOURCE</t>
        </is>
      </c>
      <c r="AB250" t="inlineStr"/>
      <c r="AC250" t="inlineStr">
        <is>
          <t>gun</t>
        </is>
      </c>
      <c r="AD250" t="inlineStr">
        <is>
          <t>the A-192 'Armat' 130 mm class, 30 rpm (Wikipedia 'A-192')</t>
        </is>
      </c>
      <c r="AE250" t="inlineStr"/>
      <c r="AF250" t="inlineStr">
        <is>
          <t>Tools/balance/full_weapon_audit.py: REAL / WARHEAD; balance.json weapons[id=p26_leviathan_lev127].real</t>
        </is>
      </c>
      <c r="AG250" t="inlineStr"/>
    </row>
    <row r="251">
      <c r="A251" t="inlineStr">
        <is>
          <t>p26_leviathan_lev155</t>
        </is>
      </c>
      <c r="B251" t="inlineStr">
        <is>
          <t>p26_leviathan_lev155</t>
        </is>
      </c>
      <c r="C251" t="inlineStr">
        <is>
          <t>155 mm/60 (triple)</t>
        </is>
      </c>
      <c r="D251" t="inlineStr">
        <is>
          <t>doi_that</t>
        </is>
      </c>
      <c r="E251" t="inlineStr">
        <is>
          <t>155 mm/60 (triple)</t>
        </is>
      </c>
      <c r="F251" t="inlineStr"/>
      <c r="G251" t="inlineStr"/>
      <c r="H251" t="inlineStr"/>
      <c r="I251" t="inlineStr"/>
      <c r="J251" t="inlineStr"/>
      <c r="K251" t="inlineStr"/>
      <c r="L251" t="inlineStr">
        <is>
          <t>nhịp chậm hơn 30 % và mạnh hơn tương ứng (luật súng của game)</t>
        </is>
      </c>
      <c r="M251" t="inlineStr">
        <is>
          <t>gameplay</t>
        </is>
      </c>
      <c r="N251" t="inlineStr"/>
      <c r="O251" t="inlineStr">
        <is>
          <t>da_kiem_chung</t>
        </is>
      </c>
      <c r="P251" t="inlineStr">
        <is>
          <t>R_balance;R_full_weapon_audit;W_wikipedia_15_5_cm_60_3rd_year_type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n">
        <v>155</v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5</v>
      </c>
      <c r="Y251" t="n">
        <v>4</v>
      </c>
      <c r="Z251" t="inlineStr">
        <is>
          <t>NEED_SOURCE</t>
        </is>
      </c>
      <c r="AA251" t="inlineStr">
        <is>
          <t>NEED_SOURCE</t>
        </is>
      </c>
      <c r="AB251" t="inlineStr"/>
      <c r="AC251" t="inlineStr">
        <is>
          <t>gun</t>
        </is>
      </c>
      <c r="AD251" t="inlineStr">
        <is>
          <t>Wikipedia '15.5 cm/60 3rd Year Type' (Mogami): ~5 rpm a gun</t>
        </is>
      </c>
      <c r="AE251" t="inlineStr"/>
      <c r="AF251" t="inlineStr">
        <is>
          <t>Tools/balance/full_weapon_audit.py: REAL / WARHEAD; balance.json weapons[id=p26_leviathan_lev155].real</t>
        </is>
      </c>
      <c r="AG251" t="inlineStr"/>
    </row>
    <row r="252">
      <c r="A252" t="inlineStr">
        <is>
          <t>p26_leviathan_lev406</t>
        </is>
      </c>
      <c r="B252" t="inlineStr">
        <is>
          <t>p26_leviathan_lev406</t>
        </is>
      </c>
      <c r="C252" t="inlineStr">
        <is>
          <t>Mk 7 406 mm/50 (Iowa, triple)</t>
        </is>
      </c>
      <c r="D252" t="inlineStr">
        <is>
          <t>doi_that</t>
        </is>
      </c>
      <c r="E252" t="inlineStr">
        <is>
          <t>Mk 7 406 mm/50 (Iowa, triple)</t>
        </is>
      </c>
      <c r="F252" t="inlineStr"/>
      <c r="G252" t="inlineStr"/>
      <c r="H252" t="inlineStr"/>
      <c r="I252" t="inlineStr"/>
      <c r="J252" t="inlineStr"/>
      <c r="K252" t="inlineStr"/>
      <c r="L252" t="inlineStr">
        <is>
          <t>nhịp chậm hơn 30 % và mạnh hơn tương ứng (luật súng của game)</t>
        </is>
      </c>
      <c r="M252" t="inlineStr">
        <is>
          <t>gameplay</t>
        </is>
      </c>
      <c r="N252" t="inlineStr"/>
      <c r="O252" t="inlineStr">
        <is>
          <t>da_kiem_chung</t>
        </is>
      </c>
      <c r="P252" t="inlineStr">
        <is>
          <t>R_balance;R_full_weapon_audit;W_wikipedia_16_50_caliber_mark_7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n">
        <v>406</v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2</v>
      </c>
      <c r="Y252" t="n">
        <v>2</v>
      </c>
      <c r="Z252" t="inlineStr">
        <is>
          <t>NEED_SOURCE</t>
        </is>
      </c>
      <c r="AA252" t="inlineStr">
        <is>
          <t>NEED_SOURCE</t>
        </is>
      </c>
      <c r="AB252" t="inlineStr"/>
      <c r="AC252" t="inlineStr">
        <is>
          <t>gun</t>
        </is>
      </c>
      <c r="AD252" t="inlineStr">
        <is>
          <t>Wikipedia '16"/50 caliber Mark 7': 2 rpm a gun</t>
        </is>
      </c>
      <c r="AE252" t="inlineStr"/>
      <c r="AF252" t="inlineStr">
        <is>
          <t>Tools/balance/full_weapon_audit.py: REAL / WARHEAD; balance.json weapons[id=p26_leviathan_lev406].real</t>
        </is>
      </c>
      <c r="AG252" t="inlineStr"/>
    </row>
    <row r="253">
      <c r="A253" t="inlineStr">
        <is>
          <t>p26_leviathan_sec_lev155</t>
        </is>
      </c>
      <c r="B253" t="inlineStr">
        <is>
          <t>p26_leviathan_sec_lev155</t>
        </is>
      </c>
      <c r="C253" t="inlineStr">
        <is>
          <t>155 mm/60 (triple)</t>
        </is>
      </c>
      <c r="D253" t="inlineStr">
        <is>
          <t>doi_that</t>
        </is>
      </c>
      <c r="E253" t="inlineStr">
        <is>
          <t>155 mm/60 (triple)</t>
        </is>
      </c>
      <c r="F253" t="inlineStr"/>
      <c r="G253" t="inlineStr"/>
      <c r="H253" t="inlineStr"/>
      <c r="I253" t="inlineStr"/>
      <c r="J253" t="inlineStr"/>
      <c r="K253" t="inlineStr"/>
      <c r="L253" t="inlineStr">
        <is>
          <t>nhịp chậm hơn 30 % và mạnh hơn tương ứng (luật súng của game)</t>
        </is>
      </c>
      <c r="M253" t="inlineStr">
        <is>
          <t>gameplay</t>
        </is>
      </c>
      <c r="N253" t="inlineStr"/>
      <c r="O253" t="inlineStr">
        <is>
          <t>da_kiem_chung</t>
        </is>
      </c>
      <c r="P253" t="inlineStr">
        <is>
          <t>R_balance;R_full_weapon_audit;W_wikipedia_15_5_cm_60_3rd_year_type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155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5</v>
      </c>
      <c r="Y253" t="n">
        <v>4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gun</t>
        </is>
      </c>
      <c r="AD253" t="inlineStr">
        <is>
          <t>Wikipedia '15.5 cm/60 3rd Year Type' (Mogami): ~5 rpm a gun</t>
        </is>
      </c>
      <c r="AE253" t="inlineStr"/>
      <c r="AF253" t="inlineStr">
        <is>
          <t>Tools/balance/full_weapon_audit.py: REAL / WARHEAD; balance.json weapons[id=p26_leviathan_sec_lev155].real</t>
        </is>
      </c>
      <c r="AG253" t="inlineStr"/>
    </row>
    <row r="254">
      <c r="A254" t="inlineStr">
        <is>
          <t>p26_matriarch_close_boss_flak</t>
        </is>
      </c>
      <c r="B254" t="inlineStr">
        <is>
          <t>p26_matriarch_close_boss_flak</t>
        </is>
      </c>
      <c r="C254" t="inlineStr">
        <is>
          <t>Oerlikon 35 mm (twin)</t>
        </is>
      </c>
      <c r="D254" t="inlineStr">
        <is>
          <t>doi_that</t>
        </is>
      </c>
      <c r="E254" t="inlineStr">
        <is>
          <t>Oerlikon 35 mm (twin)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da_kiem_chung</t>
        </is>
      </c>
      <c r="P254" t="inlineStr">
        <is>
          <t>R_balance;R_full_weapon_audit;W_wikipedia_oerlikon_gdf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35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550</v>
      </c>
      <c r="Y254" t="n">
        <v>300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aa</t>
        </is>
      </c>
      <c r="AD254" t="inlineStr">
        <is>
          <t>Wikipedia 'Oerlikon GDF': 550 rpm a gun (the twin: 1,100)</t>
        </is>
      </c>
      <c r="AE254" t="inlineStr"/>
      <c r="AF254" t="inlineStr">
        <is>
          <t>Tools/balance/full_weapon_audit.py: REAL / WARHEAD; balance.json weapons[id=p26_matriarch_close_boss_flak].real</t>
        </is>
      </c>
      <c r="AG254" t="inlineStr"/>
    </row>
    <row r="255">
      <c r="A255" t="inlineStr">
        <is>
          <t>p26_matriarch_direct_ma_atgm</t>
        </is>
      </c>
      <c r="B255" t="inlineStr">
        <is>
          <t>p26_matriarch_direct_ma_atgm</t>
        </is>
      </c>
      <c r="C255" t="inlineStr">
        <is>
          <t>9M133 Kornet</t>
        </is>
      </c>
      <c r="D255" t="inlineStr">
        <is>
          <t>doi_that</t>
        </is>
      </c>
      <c r="E255" t="inlineStr">
        <is>
          <t>9M133 Kornet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da_kiem_chung</t>
        </is>
      </c>
      <c r="P255" t="inlineStr">
        <is>
          <t>R_balance;R_full_weapon_audit;W_wikipedia_9m133_kornet;W_wikipedia_bai_cua_tung_ten_lua_bang_warhead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inlineStr">
        <is>
          <t>NEED_SOURCE</t>
        </is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3</v>
      </c>
      <c r="Y255" t="n">
        <v>3</v>
      </c>
      <c r="Z255" t="inlineStr">
        <is>
          <t>NEED_SOURCE</t>
        </is>
      </c>
      <c r="AA255" t="inlineStr">
        <is>
          <t>NEED_SOURCE</t>
        </is>
      </c>
      <c r="AB255" t="n">
        <v>7</v>
      </c>
      <c r="AC255" t="inlineStr">
        <is>
          <t>atgm</t>
        </is>
      </c>
      <c r="AD255" t="inlineStr">
        <is>
          <t>Wikipedia '9M133 Kornet': 2-3 rpm</t>
        </is>
      </c>
      <c r="AE255" t="inlineStr"/>
      <c r="AF255" t="inlineStr">
        <is>
          <t>Tools/balance/full_weapon_audit.py: REAL / WARHEAD; balance.json weapons[id=p26_matriarch_direct_ma_atgm].real</t>
        </is>
      </c>
      <c r="AG255" t="inlineStr"/>
    </row>
    <row r="256">
      <c r="A256" t="inlineStr">
        <is>
          <t>p26_matriarch_ma_atgm</t>
        </is>
      </c>
      <c r="B256" t="inlineStr">
        <is>
          <t>p26_matriarch_ma_atgm</t>
        </is>
      </c>
      <c r="C256" t="inlineStr">
        <is>
          <t>9M133 Kornet</t>
        </is>
      </c>
      <c r="D256" t="inlineStr">
        <is>
          <t>doi_that</t>
        </is>
      </c>
      <c r="E256" t="inlineStr">
        <is>
          <t>9M133 Kornet</t>
        </is>
      </c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>
        <is>
          <t>da_kiem_chung</t>
        </is>
      </c>
      <c r="P256" t="inlineStr">
        <is>
          <t>R_balance;R_full_weapon_audit;W_wikipedia_9m133_kornet;W_wikipedia_bai_cua_tung_ten_lua_bang_warhead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inlineStr">
        <is>
          <t>NEED_SOURCE</t>
        </is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3</v>
      </c>
      <c r="Y256" t="n">
        <v>3</v>
      </c>
      <c r="Z256" t="inlineStr">
        <is>
          <t>NEED_SOURCE</t>
        </is>
      </c>
      <c r="AA256" t="inlineStr">
        <is>
          <t>NEED_SOURCE</t>
        </is>
      </c>
      <c r="AB256" t="n">
        <v>7</v>
      </c>
      <c r="AC256" t="inlineStr">
        <is>
          <t>atgm</t>
        </is>
      </c>
      <c r="AD256" t="inlineStr">
        <is>
          <t>Wikipedia '9M133 Kornet': 2-3 rpm</t>
        </is>
      </c>
      <c r="AE256" t="inlineStr"/>
      <c r="AF256" t="inlineStr">
        <is>
          <t>Tools/balance/full_weapon_audit.py: REAL / WARHEAD; balance.json weapons[id=p26_matriarch_ma_atgm].real</t>
        </is>
      </c>
      <c r="AG256" t="inlineStr"/>
    </row>
    <row r="257">
      <c r="A257" t="inlineStr">
        <is>
          <t>p26_matriarch_ma_drones</t>
        </is>
      </c>
      <c r="B257" t="inlineStr">
        <is>
          <t>p26_matriarch_ma_drones</t>
        </is>
      </c>
      <c r="C257" t="inlineStr">
        <is>
          <t>ZALA Lancet-3 swarm</t>
        </is>
      </c>
      <c r="D257" t="inlineStr">
        <is>
          <t>doi_that</t>
        </is>
      </c>
      <c r="E257" t="inlineStr">
        <is>
          <t>ZALA Lancet-3 swarm</t>
        </is>
      </c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  <c r="O257" t="inlineStr">
        <is>
          <t>ban_dau_doan</t>
        </is>
      </c>
      <c r="P257" t="inlineStr">
        <is>
          <t>R_balance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inlineStr">
        <is>
          <t>NEED_SOURCE</t>
        </is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inlineStr">
        <is>
          <t>NEED_SOURCE</t>
        </is>
      </c>
      <c r="Y257" t="inlineStr">
        <is>
          <t>NEED_SOURCE</t>
        </is>
      </c>
      <c r="Z257" t="inlineStr">
        <is>
          <t>NEED_SOURCE</t>
        </is>
      </c>
      <c r="AA257" t="inlineStr">
        <is>
          <t>NEED_SOURCE</t>
        </is>
      </c>
      <c r="AB257" t="inlineStr"/>
      <c r="AC257" t="inlineStr"/>
      <c r="AD257" t="inlineStr"/>
      <c r="AE257" t="inlineStr"/>
      <c r="AF257" t="inlineStr">
        <is>
          <t>Tools/balance/full_weapon_audit.py: REAL / WARHEAD; balance.json weapons[id=p26_matriarch_ma_drones].real</t>
        </is>
      </c>
      <c r="AG257" t="inlineStr"/>
    </row>
    <row r="258">
      <c r="A258" t="inlineStr">
        <is>
          <t>p26_matriarch_sec_autocannon_30</t>
        </is>
      </c>
      <c r="B258" t="inlineStr">
        <is>
          <t>p26_matriarch_sec_autocannon_30</t>
        </is>
      </c>
      <c r="C258" t="inlineStr">
        <is>
          <t>2A42 30 mm</t>
        </is>
      </c>
      <c r="D258" t="inlineStr">
        <is>
          <t>doi_that</t>
        </is>
      </c>
      <c r="E258" t="inlineStr">
        <is>
          <t>2A42 30 mm</t>
        </is>
      </c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  <c r="O258" t="inlineStr">
        <is>
          <t>da_kiem_chung</t>
        </is>
      </c>
      <c r="P258" t="inlineStr">
        <is>
          <t>R_balance;R_full_weapon_audit;W_wikipedia_2a42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30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800</v>
      </c>
      <c r="Y258" t="n">
        <v>300</v>
      </c>
      <c r="Z258" t="inlineStr">
        <is>
          <t>NEED_SOURCE</t>
        </is>
      </c>
      <c r="AA258" t="inlineStr">
        <is>
          <t>NEED_SOURCE</t>
        </is>
      </c>
      <c r="AB258" t="inlineStr"/>
      <c r="AC258" t="inlineStr">
        <is>
          <t>ac</t>
        </is>
      </c>
      <c r="AD258" t="inlineStr">
        <is>
          <t>Wikipedia '2A42': 550-800 high, 200-300 low rpm</t>
        </is>
      </c>
      <c r="AE258" t="inlineStr"/>
      <c r="AF258" t="inlineStr">
        <is>
          <t>Tools/balance/full_weapon_audit.py: REAL / WARHEAD; balance.json weapons[id=p26_matriarch_sec_autocannon_30].real</t>
        </is>
      </c>
      <c r="AG258" t="inlineStr"/>
    </row>
    <row r="259">
      <c r="A259" t="inlineStr">
        <is>
          <t>p26_matriarch_tiny_mothership_cannon</t>
        </is>
      </c>
      <c r="B259" t="inlineStr">
        <is>
          <t>p26_matriarch_tiny_mothership_cannon</t>
        </is>
      </c>
      <c r="C259" t="inlineStr">
        <is>
          <t>AU-220 57 mm</t>
        </is>
      </c>
      <c r="D259" t="inlineStr">
        <is>
          <t>doi_that</t>
        </is>
      </c>
      <c r="E259" t="inlineStr">
        <is>
          <t>AU-220 57 mm</t>
        </is>
      </c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  <c r="O259" t="inlineStr">
        <is>
          <t>da_kiem_chung</t>
        </is>
      </c>
      <c r="P259" t="inlineStr">
        <is>
          <t>R_balance;R_full_weapon_audit;W_wikipedia_au_220m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n">
        <v>57</v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120</v>
      </c>
      <c r="Y259" t="n">
        <v>80</v>
      </c>
      <c r="Z259" t="inlineStr">
        <is>
          <t>NEED_SOURCE</t>
        </is>
      </c>
      <c r="AA259" t="inlineStr">
        <is>
          <t>NEED_SOURCE</t>
        </is>
      </c>
      <c r="AB259" t="inlineStr"/>
      <c r="AC259" t="inlineStr">
        <is>
          <t>ac</t>
        </is>
      </c>
      <c r="AD259" t="inlineStr">
        <is>
          <t>Wikipedia 'AU-220M': 80-120 rpm</t>
        </is>
      </c>
      <c r="AE259" t="inlineStr"/>
      <c r="AF259" t="inlineStr">
        <is>
          <t>Tools/balance/full_weapon_audit.py: REAL / WARHEAD; balance.json weapons[id=p26_matriarch_tiny_mothership_cannon].real</t>
        </is>
      </c>
      <c r="AG259" t="inlineStr"/>
    </row>
    <row r="260">
      <c r="A260" t="inlineStr">
        <is>
          <t>p26_moloch_close_boss_flak</t>
        </is>
      </c>
      <c r="B260" t="inlineStr">
        <is>
          <t>p26_moloch_close_boss_flak</t>
        </is>
      </c>
      <c r="C260" t="inlineStr">
        <is>
          <t>Oerlikon 35 mm (twin)</t>
        </is>
      </c>
      <c r="D260" t="inlineStr">
        <is>
          <t>doi_that</t>
        </is>
      </c>
      <c r="E260" t="inlineStr">
        <is>
          <t>Oerlikon 35 mm (twin)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da_kiem_chung</t>
        </is>
      </c>
      <c r="P260" t="inlineStr">
        <is>
          <t>R_balance;R_full_weapon_audit;W_wikipedia_oerlikon_gdf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n">
        <v>35</v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550</v>
      </c>
      <c r="Y260" t="n">
        <v>300</v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>
        <is>
          <t>aa</t>
        </is>
      </c>
      <c r="AD260" t="inlineStr">
        <is>
          <t>Wikipedia 'Oerlikon GDF': 550 rpm a gun (the twin: 1,100)</t>
        </is>
      </c>
      <c r="AE260" t="inlineStr"/>
      <c r="AF260" t="inlineStr">
        <is>
          <t>Tools/balance/full_weapon_audit.py: REAL / WARHEAD; balance.json weapons[id=p26_moloch_close_boss_flak].real</t>
        </is>
      </c>
      <c r="AG260" t="inlineStr"/>
    </row>
    <row r="261">
      <c r="A261" t="inlineStr">
        <is>
          <t>p26_moloch_direct_mo120ap</t>
        </is>
      </c>
      <c r="B261" t="inlineStr">
        <is>
          <t>p26_moloch_direct_mo120ap</t>
        </is>
      </c>
      <c r="C261" t="inlineStr">
        <is>
          <t>Rh-120 L/44 120 mm AP (twin)</t>
        </is>
      </c>
      <c r="D261" t="inlineStr">
        <is>
          <t>doi_that</t>
        </is>
      </c>
      <c r="E261" t="inlineStr">
        <is>
          <t>Rh-120 L/44 120 mm AP (twin)</t>
        </is>
      </c>
      <c r="F261" t="inlineStr"/>
      <c r="G261" t="inlineStr"/>
      <c r="H261" t="inlineStr"/>
      <c r="I261" t="inlineStr"/>
      <c r="J261" t="inlineStr"/>
      <c r="K261" t="inlineStr"/>
      <c r="L261" t="inlineStr">
        <is>
          <t>nhịp chậm hơn 30 % và mạnh hơn tương ứng (luật súng của game)</t>
        </is>
      </c>
      <c r="M261" t="inlineStr">
        <is>
          <t>gameplay</t>
        </is>
      </c>
      <c r="N261" t="inlineStr"/>
      <c r="O261" t="inlineStr">
        <is>
          <t>da_kiem_chung</t>
        </is>
      </c>
      <c r="P261" t="inlineStr">
        <is>
          <t>R_balance;R_full_weapon_audit;W_wikipedia_rheinmetall_120_mm_gun;R_machine_brigade_can_bang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n">
        <v>120</v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n">
        <v>8</v>
      </c>
      <c r="Y261" t="n">
        <v>6</v>
      </c>
      <c r="Z261" t="inlineStr">
        <is>
          <t>tay</t>
        </is>
      </c>
      <c r="AA261" t="inlineStr">
        <is>
          <t>NEED_SOURCE</t>
        </is>
      </c>
      <c r="AB261" t="inlineStr"/>
      <c r="AC261" t="inlineStr">
        <is>
          <t>gun</t>
        </is>
      </c>
      <c r="AD261" t="inlineStr">
        <is>
          <t>the sheet's 'Ngoài đời': Rh-120 6-8 rpm with a loader (Wikipedia 'Rheinmetall 120 mm gun')</t>
        </is>
      </c>
      <c r="AE261" t="inlineStr"/>
      <c r="AF261" t="inlineStr">
        <is>
          <t>Tools/balance/full_weapon_audit.py: REAL / WARHEAD; balance.json weapons[id=p26_moloch_direct_mo120ap].real</t>
        </is>
      </c>
      <c r="AG261" t="inlineStr"/>
    </row>
    <row r="262">
      <c r="A262" t="inlineStr">
        <is>
          <t>p26_moloch_main_mo120</t>
        </is>
      </c>
      <c r="B262" t="inlineStr">
        <is>
          <t>p26_moloch_main_mo120</t>
        </is>
      </c>
      <c r="C262" t="inlineStr">
        <is>
          <t>Rh-120 L/44 120 mm HE (twin)</t>
        </is>
      </c>
      <c r="D262" t="inlineStr">
        <is>
          <t>doi_that</t>
        </is>
      </c>
      <c r="E262" t="inlineStr">
        <is>
          <t>Rh-120 L/44 120 mm HE (twin)</t>
        </is>
      </c>
      <c r="F262" t="inlineStr"/>
      <c r="G262" t="inlineStr"/>
      <c r="H262" t="inlineStr"/>
      <c r="I262" t="inlineStr"/>
      <c r="J262" t="inlineStr"/>
      <c r="K262" t="inlineStr"/>
      <c r="L262" t="inlineStr">
        <is>
          <t>nhịp chậm hơn 30 % và mạnh hơn tương ứng (luật súng của game)</t>
        </is>
      </c>
      <c r="M262" t="inlineStr">
        <is>
          <t>gameplay</t>
        </is>
      </c>
      <c r="N262" t="inlineStr"/>
      <c r="O262" t="inlineStr">
        <is>
          <t>da_kiem_chung</t>
        </is>
      </c>
      <c r="P262" t="inlineStr">
        <is>
          <t>R_balance;R_full_weapon_audit;W_wikipedia_rheinmetall_120_mm_gun;R_machine_brigade_can_bang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120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8</v>
      </c>
      <c r="Y262" t="n">
        <v>6</v>
      </c>
      <c r="Z262" t="inlineStr">
        <is>
          <t>tay</t>
        </is>
      </c>
      <c r="AA262" t="inlineStr">
        <is>
          <t>NEED_SOURCE</t>
        </is>
      </c>
      <c r="AB262" t="inlineStr"/>
      <c r="AC262" t="inlineStr">
        <is>
          <t>gun</t>
        </is>
      </c>
      <c r="AD262" t="inlineStr">
        <is>
          <t>the sheet's 'Ngoài đời': Rh-120 6-8 rpm with a loader (Wikipedia 'Rheinmetall 120 mm gun')</t>
        </is>
      </c>
      <c r="AE262" t="inlineStr"/>
      <c r="AF262" t="inlineStr">
        <is>
          <t>Tools/balance/full_weapon_audit.py: REAL / WARHEAD; balance.json weapons[id=p26_moloch_main_mo120].real</t>
        </is>
      </c>
      <c r="AG262" t="inlineStr"/>
    </row>
    <row r="263">
      <c r="A263" t="inlineStr">
        <is>
          <t>p26_moloch_mo120</t>
        </is>
      </c>
      <c r="B263" t="inlineStr">
        <is>
          <t>p26_moloch_mo120</t>
        </is>
      </c>
      <c r="C263" t="inlineStr">
        <is>
          <t>Rh-120 L/44 120 mm HE</t>
        </is>
      </c>
      <c r="D263" t="inlineStr">
        <is>
          <t>doi_that</t>
        </is>
      </c>
      <c r="E263" t="inlineStr">
        <is>
          <t>Rh-120 L/44 120 mm HE</t>
        </is>
      </c>
      <c r="F263" t="inlineStr"/>
      <c r="G263" t="inlineStr"/>
      <c r="H263" t="inlineStr"/>
      <c r="I263" t="inlineStr"/>
      <c r="J263" t="inlineStr"/>
      <c r="K263" t="inlineStr"/>
      <c r="L263" t="inlineStr">
        <is>
          <t>nhịp chậm hơn 30 % và mạnh hơn tương ứng (luật súng của game)</t>
        </is>
      </c>
      <c r="M263" t="inlineStr">
        <is>
          <t>gameplay</t>
        </is>
      </c>
      <c r="N263" t="inlineStr"/>
      <c r="O263" t="inlineStr">
        <is>
          <t>da_kiem_chung</t>
        </is>
      </c>
      <c r="P263" t="inlineStr">
        <is>
          <t>R_balance;R_full_weapon_audit;W_wikipedia_rheinmetall_120_mm_gun;R_machine_brigade_can_bang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120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8</v>
      </c>
      <c r="Y263" t="n">
        <v>6</v>
      </c>
      <c r="Z263" t="inlineStr">
        <is>
          <t>tay</t>
        </is>
      </c>
      <c r="AA263" t="inlineStr">
        <is>
          <t>NEED_SOURCE</t>
        </is>
      </c>
      <c r="AB263" t="inlineStr"/>
      <c r="AC263" t="inlineStr">
        <is>
          <t>gun</t>
        </is>
      </c>
      <c r="AD263" t="inlineStr">
        <is>
          <t>the sheet's 'Ngoài đời': Rh-120 6-8 rpm with a loader (Wikipedia 'Rheinmetall 120 mm gun')</t>
        </is>
      </c>
      <c r="AE263" t="inlineStr"/>
      <c r="AF263" t="inlineStr">
        <is>
          <t>Tools/balance/full_weapon_audit.py: REAL / WARHEAD; balance.json weapons[id=p26_moloch_mo120].real</t>
        </is>
      </c>
      <c r="AG263" t="inlineStr"/>
    </row>
    <row r="264">
      <c r="A264" t="inlineStr">
        <is>
          <t>p26_moloch_mo120ap</t>
        </is>
      </c>
      <c r="B264" t="inlineStr">
        <is>
          <t>p26_moloch_mo120ap</t>
        </is>
      </c>
      <c r="C264" t="inlineStr">
        <is>
          <t>Rh-120 L/44 120 mm AP</t>
        </is>
      </c>
      <c r="D264" t="inlineStr">
        <is>
          <t>doi_that</t>
        </is>
      </c>
      <c r="E264" t="inlineStr">
        <is>
          <t>Rh-120 L/44 120 mm AP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R_balance;R_full_weapon_audit;W_wikipedia_rheinmetall_120_mm_gun;R_machine_brigade_can_bang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120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6</v>
      </c>
      <c r="Z264" t="inlineStr">
        <is>
          <t>tay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the sheet's 'Ngoài đời': Rh-120 6-8 rpm with a loader (Wikipedia 'Rheinmetall 120 mm gun')</t>
        </is>
      </c>
      <c r="AE264" t="inlineStr"/>
      <c r="AF264" t="inlineStr">
        <is>
          <t>Tools/balance/full_weapon_audit.py: REAL / WARHEAD; balance.json weapons[id=p26_moloch_mo120ap].real</t>
        </is>
      </c>
      <c r="AG264" t="inlineStr"/>
    </row>
    <row r="265">
      <c r="A265" t="inlineStr">
        <is>
          <t>p26_moloch_tiny_zu23</t>
        </is>
      </c>
      <c r="B265" t="inlineStr">
        <is>
          <t>p26_moloch_tiny_zu23</t>
        </is>
      </c>
      <c r="C265" t="inlineStr">
        <is>
          <t>ZU-23-2 23 mm</t>
        </is>
      </c>
      <c r="D265" t="inlineStr">
        <is>
          <t>doi_that</t>
        </is>
      </c>
      <c r="E265" t="inlineStr">
        <is>
          <t>ZU-23-2 23 mm</t>
        </is>
      </c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>
        <is>
          <t>da_kiem_chung</t>
        </is>
      </c>
      <c r="P265" t="inlineStr">
        <is>
          <t>R_balance;R_full_weapon_audit;W_wikipedia_zu_23_2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23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1000</v>
      </c>
      <c r="Y265" t="n">
        <v>400</v>
      </c>
      <c r="Z265" t="inlineStr">
        <is>
          <t>NEED_SOURCE</t>
        </is>
      </c>
      <c r="AA265" t="inlineStr">
        <is>
          <t>NEED_SOURCE</t>
        </is>
      </c>
      <c r="AB265" t="inlineStr"/>
      <c r="AC265" t="inlineStr">
        <is>
          <t>aa</t>
        </is>
      </c>
      <c r="AD265" t="inlineStr">
        <is>
          <t>Wikipedia 'ZU-23-2': 2 x 800-1,000 rpm</t>
        </is>
      </c>
      <c r="AE265" t="inlineStr"/>
      <c r="AF265" t="inlineStr">
        <is>
          <t>Tools/balance/full_weapon_audit.py: REAL / WARHEAD; balance.json weapons[id=p26_moloch_tiny_zu23].real</t>
        </is>
      </c>
      <c r="AG265" t="inlineStr"/>
    </row>
    <row r="266">
      <c r="A266" t="inlineStr">
        <is>
          <t>p26_nemesis_close_boss_flak</t>
        </is>
      </c>
      <c r="B266" t="inlineStr">
        <is>
          <t>p26_nemesis_close_boss_flak</t>
        </is>
      </c>
      <c r="C266" t="inlineStr">
        <is>
          <t>Oerlikon 35 mm (twin)</t>
        </is>
      </c>
      <c r="D266" t="inlineStr">
        <is>
          <t>doi_that</t>
        </is>
      </c>
      <c r="E266" t="inlineStr">
        <is>
          <t>Oerlikon 35 mm (twin)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R_balance;R_full_weapon_audit;W_wikipedia_oerlikon_gdf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35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550</v>
      </c>
      <c r="Y266" t="n">
        <v>300</v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aa</t>
        </is>
      </c>
      <c r="AD266" t="inlineStr">
        <is>
          <t>Wikipedia 'Oerlikon GDF': 550 rpm a gun (the twin: 1,100)</t>
        </is>
      </c>
      <c r="AE266" t="inlineStr"/>
      <c r="AF266" t="inlineStr">
        <is>
          <t>Tools/balance/full_weapon_audit.py: REAL / WARHEAD; balance.json weapons[id=p26_nemesis_close_boss_flak].real</t>
        </is>
      </c>
      <c r="AG266" t="inlineStr"/>
    </row>
    <row r="267">
      <c r="A267" t="inlineStr">
        <is>
          <t>p26_nemesis_direct_ne125</t>
        </is>
      </c>
      <c r="B267" t="inlineStr">
        <is>
          <t>p26_nemesis_direct_ne125</t>
        </is>
      </c>
      <c r="C267" t="inlineStr">
        <is>
          <t>2A46 125 mm</t>
        </is>
      </c>
      <c r="D267" t="inlineStr">
        <is>
          <t>doi_that</t>
        </is>
      </c>
      <c r="E267" t="inlineStr">
        <is>
          <t>2A46 125 mm</t>
        </is>
      </c>
      <c r="F267" t="inlineStr"/>
      <c r="G267" t="inlineStr"/>
      <c r="H267" t="inlineStr"/>
      <c r="I267" t="inlineStr"/>
      <c r="J267" t="inlineStr"/>
      <c r="K267" t="inlineStr"/>
      <c r="L267" t="inlineStr">
        <is>
          <t>nhịp chậm hơn 30 % và mạnh hơn tương ứng (luật súng của game)</t>
        </is>
      </c>
      <c r="M267" t="inlineStr">
        <is>
          <t>gameplay</t>
        </is>
      </c>
      <c r="N267" t="inlineStr"/>
      <c r="O267" t="inlineStr">
        <is>
          <t>da_kiem_chung</t>
        </is>
      </c>
      <c r="P267" t="inlineStr">
        <is>
          <t>R_balance;R_full_weapon_audit;W_wikipedia_2a46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125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8</v>
      </c>
      <c r="Y267" t="n">
        <v>7</v>
      </c>
      <c r="Z267" t="inlineStr">
        <is>
          <t>tu_dong</t>
        </is>
      </c>
      <c r="AA267" t="inlineStr">
        <is>
          <t>NEED_SOURCE</t>
        </is>
      </c>
      <c r="AB267" t="inlineStr"/>
      <c r="AC267" t="inlineStr">
        <is>
          <t>gun</t>
        </is>
      </c>
      <c r="AD267" t="inlineStr">
        <is>
          <t>Wikipedia '2A46': 7-8 rpm with the autoloader</t>
        </is>
      </c>
      <c r="AE267" t="inlineStr"/>
      <c r="AF267" t="inlineStr">
        <is>
          <t>Tools/balance/full_weapon_audit.py: REAL / WARHEAD; balance.json weapons[id=p26_nemesis_direct_ne125].real</t>
        </is>
      </c>
      <c r="AG267" t="inlineStr"/>
    </row>
    <row r="268">
      <c r="A268" t="inlineStr">
        <is>
          <t>p26_nemesis_main_ne152</t>
        </is>
      </c>
      <c r="B268" t="inlineStr">
        <is>
          <t>p26_nemesis_main_ne152</t>
        </is>
      </c>
      <c r="C268" t="inlineStr">
        <is>
          <t>152 mm railcar gun</t>
        </is>
      </c>
      <c r="D268" t="inlineStr">
        <is>
          <t>doi_that</t>
        </is>
      </c>
      <c r="E268" t="inlineStr">
        <is>
          <t>152 mm railcar gun</t>
        </is>
      </c>
      <c r="F268" t="inlineStr"/>
      <c r="G268" t="inlineStr"/>
      <c r="H268" t="inlineStr"/>
      <c r="I268" t="inlineStr"/>
      <c r="J268" t="inlineStr"/>
      <c r="K268" t="inlineStr"/>
      <c r="L268" t="inlineStr">
        <is>
          <t>nhịp chậm hơn 30 % và mạnh hơn tương ứng (luật súng của game)</t>
        </is>
      </c>
      <c r="M268" t="inlineStr">
        <is>
          <t>gameplay</t>
        </is>
      </c>
      <c r="N268" t="inlineStr"/>
      <c r="O268" t="inlineStr">
        <is>
          <t>uoc_dinh</t>
        </is>
      </c>
      <c r="P268" t="inlineStr">
        <is>
          <t>R_balance;R_full_weapon_audit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n">
        <v>152</v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8</v>
      </c>
      <c r="Y268" t="n">
        <v>6</v>
      </c>
      <c r="Z268" t="inlineStr">
        <is>
          <t>NEED_SOURCE</t>
        </is>
      </c>
      <c r="AA268" t="inlineStr">
        <is>
          <t>NEED_SOURCE</t>
        </is>
      </c>
      <c r="AB268" t="inlineStr"/>
      <c r="AC268" t="inlineStr">
        <is>
          <t>gun</t>
        </is>
      </c>
      <c r="AD268" t="inlineStr">
        <is>
          <t>a 152 mm railway mount of the 2A65 class, est. 7-8 rpm</t>
        </is>
      </c>
      <c r="AE268" t="inlineStr"/>
      <c r="AF268" t="inlineStr">
        <is>
          <t>Tools/balance/full_weapon_audit.py: REAL / WARHEAD; balance.json weapons[id=p26_nemesis_main_ne152].real</t>
        </is>
      </c>
      <c r="AG268" t="inlineStr"/>
    </row>
    <row r="269">
      <c r="A269" t="inlineStr">
        <is>
          <t>p26_nemesis_ne125</t>
        </is>
      </c>
      <c r="B269" t="inlineStr">
        <is>
          <t>p26_nemesis_ne125</t>
        </is>
      </c>
      <c r="C269" t="inlineStr">
        <is>
          <t>2A46 125 mm</t>
        </is>
      </c>
      <c r="D269" t="inlineStr">
        <is>
          <t>doi_that</t>
        </is>
      </c>
      <c r="E269" t="inlineStr">
        <is>
          <t>2A46 125 mm</t>
        </is>
      </c>
      <c r="F269" t="inlineStr"/>
      <c r="G269" t="inlineStr"/>
      <c r="H269" t="inlineStr"/>
      <c r="I269" t="inlineStr"/>
      <c r="J269" t="inlineStr"/>
      <c r="K269" t="inlineStr"/>
      <c r="L269" t="inlineStr">
        <is>
          <t>nhịp chậm hơn 30 % và mạnh hơn tương ứng (luật súng của game)</t>
        </is>
      </c>
      <c r="M269" t="inlineStr">
        <is>
          <t>gameplay</t>
        </is>
      </c>
      <c r="N269" t="inlineStr"/>
      <c r="O269" t="inlineStr">
        <is>
          <t>da_kiem_chung</t>
        </is>
      </c>
      <c r="P269" t="inlineStr">
        <is>
          <t>R_balance;R_full_weapon_audit;W_wikipedia_2a46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n">
        <v>125</v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8</v>
      </c>
      <c r="Y269" t="n">
        <v>7</v>
      </c>
      <c r="Z269" t="inlineStr">
        <is>
          <t>tu_dong</t>
        </is>
      </c>
      <c r="AA269" t="inlineStr">
        <is>
          <t>NEED_SOURCE</t>
        </is>
      </c>
      <c r="AB269" t="inlineStr"/>
      <c r="AC269" t="inlineStr">
        <is>
          <t>gun</t>
        </is>
      </c>
      <c r="AD269" t="inlineStr">
        <is>
          <t>Wikipedia '2A46': 7-8 rpm with the autoloader</t>
        </is>
      </c>
      <c r="AE269" t="inlineStr"/>
      <c r="AF269" t="inlineStr">
        <is>
          <t>Tools/balance/full_weapon_audit.py: REAL / WARHEAD; balance.json weapons[id=p26_nemesis_ne125].real</t>
        </is>
      </c>
      <c r="AG269" t="inlineStr"/>
    </row>
    <row r="270">
      <c r="A270" t="inlineStr">
        <is>
          <t>p26_nemesis_ne152</t>
        </is>
      </c>
      <c r="B270" t="inlineStr">
        <is>
          <t>p26_nemesis_ne152</t>
        </is>
      </c>
      <c r="C270" t="inlineStr">
        <is>
          <t>152 mm railcar gun</t>
        </is>
      </c>
      <c r="D270" t="inlineStr">
        <is>
          <t>doi_that</t>
        </is>
      </c>
      <c r="E270" t="inlineStr">
        <is>
          <t>152 mm railcar gun</t>
        </is>
      </c>
      <c r="F270" t="inlineStr"/>
      <c r="G270" t="inlineStr"/>
      <c r="H270" t="inlineStr"/>
      <c r="I270" t="inlineStr"/>
      <c r="J270" t="inlineStr"/>
      <c r="K270" t="inlineStr"/>
      <c r="L270" t="inlineStr">
        <is>
          <t>nhịp chậm hơn 30 % và mạnh hơn tương ứng (luật súng của game)</t>
        </is>
      </c>
      <c r="M270" t="inlineStr">
        <is>
          <t>gameplay</t>
        </is>
      </c>
      <c r="N270" t="inlineStr"/>
      <c r="O270" t="inlineStr">
        <is>
          <t>uoc_dinh</t>
        </is>
      </c>
      <c r="P270" t="inlineStr">
        <is>
          <t>R_balance;R_full_weapon_audit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152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8</v>
      </c>
      <c r="Y270" t="n">
        <v>6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gun</t>
        </is>
      </c>
      <c r="AD270" t="inlineStr">
        <is>
          <t>a 152 mm railway mount of the 2A65 class, est. 7-8 rpm</t>
        </is>
      </c>
      <c r="AE270" t="inlineStr"/>
      <c r="AF270" t="inlineStr">
        <is>
          <t>Tools/balance/full_weapon_audit.py: REAL / WARHEAD; balance.json weapons[id=p26_nemesis_ne152].real</t>
        </is>
      </c>
      <c r="AG270" t="inlineStr"/>
    </row>
    <row r="271">
      <c r="A271" t="inlineStr">
        <is>
          <t>p26_nemesis_sec_boss_rockets</t>
        </is>
      </c>
      <c r="B271" t="inlineStr">
        <is>
          <t>p26_nemesis_sec_boss_rockets</t>
        </is>
      </c>
      <c r="C271" t="inlineStr">
        <is>
          <t>BM-21 Grad 122 mm</t>
        </is>
      </c>
      <c r="D271" t="inlineStr">
        <is>
          <t>doi_that</t>
        </is>
      </c>
      <c r="E271" t="inlineStr">
        <is>
          <t>BM-21 Grad 122 mm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R_balance;R_full_weapon_audit;W_wikipedia_bm_21_grad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122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120</v>
      </c>
      <c r="Y271" t="inlineStr">
        <is>
          <t>NEED_SOURCE</t>
        </is>
      </c>
      <c r="Z271" t="inlineStr">
        <is>
          <t>NEED_SOURCE</t>
        </is>
      </c>
      <c r="AA271" t="inlineStr">
        <is>
          <t>NEED_SOURCE</t>
        </is>
      </c>
      <c r="AB271" t="inlineStr"/>
      <c r="AC271" t="inlineStr">
        <is>
          <t>rocket</t>
        </is>
      </c>
      <c r="AD271" t="inlineStr">
        <is>
          <t>Wikipedia 'BM-21 Grad': 40 rockets in 20 s</t>
        </is>
      </c>
      <c r="AE271" t="inlineStr"/>
      <c r="AF271" t="inlineStr">
        <is>
          <t>Tools/balance/full_weapon_audit.py: REAL / WARHEAD; balance.json weapons[id=p26_nemesis_sec_boss_rockets].real</t>
        </is>
      </c>
      <c r="AG271" t="inlineStr"/>
    </row>
    <row r="272">
      <c r="A272" t="inlineStr">
        <is>
          <t>p26_roc_close_twin_30_bmpt</t>
        </is>
      </c>
      <c r="B272" t="inlineStr">
        <is>
          <t>p26_roc_close_twin_30_bmpt</t>
        </is>
      </c>
      <c r="C272" t="inlineStr">
        <is>
          <t>2A42 30 mm (twin)</t>
        </is>
      </c>
      <c r="D272" t="inlineStr">
        <is>
          <t>doi_that</t>
        </is>
      </c>
      <c r="E272" t="inlineStr">
        <is>
          <t>2A42 30 mm (twin)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da_kiem_chung</t>
        </is>
      </c>
      <c r="P272" t="inlineStr">
        <is>
          <t>R_balance;R_full_weapon_audit;W_wikipedia_2a42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n">
        <v>30</v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800</v>
      </c>
      <c r="Y272" t="n">
        <v>300</v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ac</t>
        </is>
      </c>
      <c r="AD272" t="inlineStr">
        <is>
          <t>Wikipedia '2A42': 550-800 high, 200-300 low rpm</t>
        </is>
      </c>
      <c r="AE272" t="inlineStr"/>
      <c r="AF272" t="inlineStr">
        <is>
          <t>Tools/balance/full_weapon_audit.py: REAL / WARHEAD; balance.json weapons[id=p26_roc_close_twin_30_bmpt].real</t>
        </is>
      </c>
      <c r="AG272" t="inlineStr"/>
    </row>
    <row r="273">
      <c r="A273" t="inlineStr">
        <is>
          <t>p26_roc_direct_roc_atgm</t>
        </is>
      </c>
      <c r="B273" t="inlineStr">
        <is>
          <t>p26_roc_direct_roc_atgm</t>
        </is>
      </c>
      <c r="C273" t="inlineStr">
        <is>
          <t>Kornet (dropped from the bay)</t>
        </is>
      </c>
      <c r="D273" t="inlineStr">
        <is>
          <t>doi_that</t>
        </is>
      </c>
      <c r="E273" t="inlineStr">
        <is>
          <t>Kornet (dropped from the bay)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>
        <is>
          <t>da_kiem_chung</t>
        </is>
      </c>
      <c r="P273" t="inlineStr">
        <is>
          <t>R_balance;R_full_weapon_audit;W_wikipedia_9m133_kornet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inlineStr">
        <is>
          <t>NEED_SOURCE</t>
        </is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3</v>
      </c>
      <c r="Y273" t="n">
        <v>3</v>
      </c>
      <c r="Z273" t="inlineStr">
        <is>
          <t>NEED_SOURCE</t>
        </is>
      </c>
      <c r="AA273" t="inlineStr">
        <is>
          <t>NEED_SOURCE</t>
        </is>
      </c>
      <c r="AB273" t="inlineStr">
        <is>
          <t>NEED_SOURCE</t>
        </is>
      </c>
      <c r="AC273" t="inlineStr">
        <is>
          <t>atgm</t>
        </is>
      </c>
      <c r="AD273" t="inlineStr">
        <is>
          <t>Wikipedia '9M133 Kornet': 2-3 rpm</t>
        </is>
      </c>
      <c r="AE273" t="inlineStr"/>
      <c r="AF273" t="inlineStr">
        <is>
          <t>Tools/balance/full_weapon_audit.py: REAL / WARHEAD; balance.json weapons[id=p26_roc_direct_roc_atgm].real</t>
        </is>
      </c>
      <c r="AG273" t="inlineStr"/>
    </row>
    <row r="274">
      <c r="A274" t="inlineStr">
        <is>
          <t>p26_roc_main_roc_bombs</t>
        </is>
      </c>
      <c r="B274" t="inlineStr">
        <is>
          <t>p26_roc_main_roc_bombs</t>
        </is>
      </c>
      <c r="C274" t="inlineStr">
        <is>
          <t>bomb-bay stick 400 kg</t>
        </is>
      </c>
      <c r="D274" t="inlineStr">
        <is>
          <t>doi_that</t>
        </is>
      </c>
      <c r="E274" t="inlineStr">
        <is>
          <t>bomb-bay stick 400 kg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uoc_dinh</t>
        </is>
      </c>
      <c r="P274" t="inlineStr">
        <is>
          <t>R_balance;R_full_weapon_audit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inlineStr">
        <is>
          <t>NEED_SOURCE</t>
        </is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600</v>
      </c>
      <c r="Y274" t="inlineStr">
        <is>
          <t>NEED_SOURCE</t>
        </is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bomb</t>
        </is>
      </c>
      <c r="AD274" t="inlineStr">
        <is>
          <t>a stick's release, 0.1 s and up (est.)</t>
        </is>
      </c>
      <c r="AE274" t="inlineStr"/>
      <c r="AF274" t="inlineStr">
        <is>
          <t>Tools/balance/full_weapon_audit.py: REAL / WARHEAD; balance.json weapons[id=p26_roc_main_roc_bombs].real</t>
        </is>
      </c>
      <c r="AG274" t="inlineStr"/>
    </row>
    <row r="275">
      <c r="A275" t="inlineStr">
        <is>
          <t>p26_roc_roc105</t>
        </is>
      </c>
      <c r="B275" t="inlineStr">
        <is>
          <t>p26_roc_roc105</t>
        </is>
      </c>
      <c r="C275" t="inlineStr">
        <is>
          <t>M102 105 mm (gondola)</t>
        </is>
      </c>
      <c r="D275" t="inlineStr">
        <is>
          <t>doi_that</t>
        </is>
      </c>
      <c r="E275" t="inlineStr">
        <is>
          <t>M102 105 mm (gondola)</t>
        </is>
      </c>
      <c r="F275" t="inlineStr"/>
      <c r="G275" t="inlineStr"/>
      <c r="H275" t="inlineStr"/>
      <c r="I275" t="inlineStr"/>
      <c r="J275" t="inlineStr"/>
      <c r="K275" t="inlineStr"/>
      <c r="L275" t="inlineStr">
        <is>
          <t>nhịp chậm hơn 30 % và mạnh hơn tương ứng (luật súng của game)</t>
        </is>
      </c>
      <c r="M275" t="inlineStr">
        <is>
          <t>gameplay</t>
        </is>
      </c>
      <c r="N275" t="inlineStr"/>
      <c r="O275" t="inlineStr">
        <is>
          <t>da_kiem_chung</t>
        </is>
      </c>
      <c r="P275" t="inlineStr">
        <is>
          <t>R_balance;R_full_weapon_audit;W_wikipedia_m102_howitzer;R_machine_brigade_can_bang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105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10</v>
      </c>
      <c r="Y275" t="n">
        <v>3</v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gun</t>
        </is>
      </c>
      <c r="AD275" t="inlineStr">
        <is>
          <t>the sheet's 'Ngoài đời': M102 10 rpm (Wikipedia 'M102 howitzer')</t>
        </is>
      </c>
      <c r="AE275" t="inlineStr"/>
      <c r="AF275" t="inlineStr">
        <is>
          <t>Tools/balance/full_weapon_audit.py: REAL / WARHEAD; balance.json weapons[id=p26_roc_roc105].real</t>
        </is>
      </c>
      <c r="AG275" t="inlineStr"/>
    </row>
    <row r="276">
      <c r="A276" t="inlineStr">
        <is>
          <t>p26_roc_roc_atgm</t>
        </is>
      </c>
      <c r="B276" t="inlineStr">
        <is>
          <t>p26_roc_roc_atgm</t>
        </is>
      </c>
      <c r="C276" t="inlineStr">
        <is>
          <t>Kornet (dropped from the bay)</t>
        </is>
      </c>
      <c r="D276" t="inlineStr">
        <is>
          <t>doi_that</t>
        </is>
      </c>
      <c r="E276" t="inlineStr">
        <is>
          <t>Kornet (dropped from the bay)</t>
        </is>
      </c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>
        <is>
          <t>da_kiem_chung</t>
        </is>
      </c>
      <c r="P276" t="inlineStr">
        <is>
          <t>R_balance;R_full_weapon_audit;W_wikipedia_9m133_kornet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inlineStr">
        <is>
          <t>NEED_SOURCE</t>
        </is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3</v>
      </c>
      <c r="Y276" t="n">
        <v>3</v>
      </c>
      <c r="Z276" t="inlineStr">
        <is>
          <t>NEED_SOURCE</t>
        </is>
      </c>
      <c r="AA276" t="inlineStr">
        <is>
          <t>NEED_SOURCE</t>
        </is>
      </c>
      <c r="AB276" t="inlineStr">
        <is>
          <t>NEED_SOURCE</t>
        </is>
      </c>
      <c r="AC276" t="inlineStr">
        <is>
          <t>atgm</t>
        </is>
      </c>
      <c r="AD276" t="inlineStr">
        <is>
          <t>Wikipedia '9M133 Kornet': 2-3 rpm</t>
        </is>
      </c>
      <c r="AE276" t="inlineStr"/>
      <c r="AF276" t="inlineStr">
        <is>
          <t>Tools/balance/full_weapon_audit.py: REAL / WARHEAD; balance.json weapons[id=p26_roc_roc_atgm].real</t>
        </is>
      </c>
      <c r="AG276" t="inlineStr"/>
    </row>
    <row r="277">
      <c r="A277" t="inlineStr">
        <is>
          <t>p26_roc_roc_bombs</t>
        </is>
      </c>
      <c r="B277" t="inlineStr">
        <is>
          <t>p26_roc_roc_bombs</t>
        </is>
      </c>
      <c r="C277" t="inlineStr">
        <is>
          <t>bomb-bay stick 400 kg</t>
        </is>
      </c>
      <c r="D277" t="inlineStr">
        <is>
          <t>doi_that</t>
        </is>
      </c>
      <c r="E277" t="inlineStr">
        <is>
          <t>bomb-bay stick 400 kg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uoc_dinh</t>
        </is>
      </c>
      <c r="P277" t="inlineStr">
        <is>
          <t>R_balance;R_full_weapon_audit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inlineStr">
        <is>
          <t>NEED_SOURCE</t>
        </is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600</v>
      </c>
      <c r="Y277" t="inlineStr">
        <is>
          <t>NEED_SOURCE</t>
        </is>
      </c>
      <c r="Z277" t="inlineStr">
        <is>
          <t>NEED_SOURCE</t>
        </is>
      </c>
      <c r="AA277" t="inlineStr">
        <is>
          <t>NEED_SOURCE</t>
        </is>
      </c>
      <c r="AB277" t="inlineStr"/>
      <c r="AC277" t="inlineStr">
        <is>
          <t>bomb</t>
        </is>
      </c>
      <c r="AD277" t="inlineStr">
        <is>
          <t>a stick's release, 0.1 s and up (est.)</t>
        </is>
      </c>
      <c r="AE277" t="inlineStr"/>
      <c r="AF277" t="inlineStr">
        <is>
          <t>Tools/balance/full_weapon_audit.py: REAL / WARHEAD; balance.json weapons[id=p26_roc_roc_bombs].real</t>
        </is>
      </c>
      <c r="AG277" t="inlineStr"/>
    </row>
    <row r="278">
      <c r="A278" t="inlineStr">
        <is>
          <t>p26_typhon_direct_ty100</t>
        </is>
      </c>
      <c r="B278" t="inlineStr">
        <is>
          <t>p26_typhon_direct_ty100</t>
        </is>
      </c>
      <c r="C278" t="inlineStr">
        <is>
          <t>AK-100 100 mm (deck)</t>
        </is>
      </c>
      <c r="D278" t="inlineStr">
        <is>
          <t>doi_that</t>
        </is>
      </c>
      <c r="E278" t="inlineStr">
        <is>
          <t>AK-100 100 mm (deck)</t>
        </is>
      </c>
      <c r="F278" t="inlineStr"/>
      <c r="G278" t="inlineStr"/>
      <c r="H278" t="inlineStr"/>
      <c r="I278" t="inlineStr"/>
      <c r="J278" t="inlineStr"/>
      <c r="K278" t="inlineStr"/>
      <c r="L278" t="inlineStr">
        <is>
          <t>nhịp chậm hơn 30 % và mạnh hơn tương ứng (luật súng của game)</t>
        </is>
      </c>
      <c r="M278" t="inlineStr">
        <is>
          <t>gameplay</t>
        </is>
      </c>
      <c r="N278" t="inlineStr"/>
      <c r="O278" t="inlineStr">
        <is>
          <t>da_kiem_chung</t>
        </is>
      </c>
      <c r="P278" t="inlineStr">
        <is>
          <t>R_balance;R_full_weapon_audit;W_wikipedia_ak_100_naval_gun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n">
        <v>100</v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60</v>
      </c>
      <c r="Y278" t="n">
        <v>30</v>
      </c>
      <c r="Z278" t="inlineStr">
        <is>
          <t>NEED_SOURCE</t>
        </is>
      </c>
      <c r="AA278" t="inlineStr">
        <is>
          <t>NEED_SOURCE</t>
        </is>
      </c>
      <c r="AB278" t="inlineStr"/>
      <c r="AC278" t="inlineStr">
        <is>
          <t>gun</t>
        </is>
      </c>
      <c r="AD278" t="inlineStr">
        <is>
          <t>Wikipedia 'AK-100 (naval gun)': 60 rpm</t>
        </is>
      </c>
      <c r="AE278" t="inlineStr"/>
      <c r="AF278" t="inlineStr">
        <is>
          <t>Tools/balance/full_weapon_audit.py: REAL / WARHEAD; balance.json weapons[id=p26_typhon_direct_ty100].real</t>
        </is>
      </c>
      <c r="AG278" t="inlineStr"/>
    </row>
    <row r="279">
      <c r="A279" t="inlineStr">
        <is>
          <t>p26_typhon_sec_ty57</t>
        </is>
      </c>
      <c r="B279" t="inlineStr">
        <is>
          <t>p26_typhon_sec_ty57</t>
        </is>
      </c>
      <c r="C279" t="inlineStr">
        <is>
          <t>AU-220 57 mm (twin deck mount)</t>
        </is>
      </c>
      <c r="D279" t="inlineStr">
        <is>
          <t>doi_that</t>
        </is>
      </c>
      <c r="E279" t="inlineStr">
        <is>
          <t>AU-220 57 mm (twin deck mount)</t>
        </is>
      </c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>
        <is>
          <t>da_kiem_chung</t>
        </is>
      </c>
      <c r="P279" t="inlineStr">
        <is>
          <t>R_balance;R_full_weapon_audit;W_wikipedia_au_220m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57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120</v>
      </c>
      <c r="Y279" t="n">
        <v>80</v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ac</t>
        </is>
      </c>
      <c r="AD279" t="inlineStr">
        <is>
          <t>Wikipedia 'AU-220M': 80-120 rpm</t>
        </is>
      </c>
      <c r="AE279" t="inlineStr"/>
      <c r="AF279" t="inlineStr">
        <is>
          <t>Tools/balance/full_weapon_audit.py: REAL / WARHEAD; balance.json weapons[id=p26_typhon_sec_ty57].real</t>
        </is>
      </c>
      <c r="AG279" t="inlineStr"/>
    </row>
    <row r="280">
      <c r="A280" t="inlineStr">
        <is>
          <t>p26_typhon_ty57</t>
        </is>
      </c>
      <c r="B280" t="inlineStr">
        <is>
          <t>p26_typhon_ty57</t>
        </is>
      </c>
      <c r="C280" t="inlineStr">
        <is>
          <t>AU-220 57 mm (deck)</t>
        </is>
      </c>
      <c r="D280" t="inlineStr">
        <is>
          <t>doi_that</t>
        </is>
      </c>
      <c r="E280" t="inlineStr">
        <is>
          <t>AU-220 57 mm (deck)</t>
        </is>
      </c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>
        <is>
          <t>da_kiem_chung</t>
        </is>
      </c>
      <c r="P280" t="inlineStr">
        <is>
          <t>R_balance;R_full_weapon_audit;W_wikipedia_au_220m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57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120</v>
      </c>
      <c r="Y280" t="n">
        <v>80</v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ac</t>
        </is>
      </c>
      <c r="AD280" t="inlineStr">
        <is>
          <t>Wikipedia 'AU-220M': 80-120 rpm</t>
        </is>
      </c>
      <c r="AE280" t="inlineStr"/>
      <c r="AF280" t="inlineStr">
        <is>
          <t>Tools/balance/full_weapon_audit.py: REAL / WARHEAD; balance.json weapons[id=p26_typhon_ty57].real</t>
        </is>
      </c>
      <c r="AG280" t="inlineStr"/>
    </row>
    <row r="281">
      <c r="A281" t="inlineStr">
        <is>
          <t>p26_typhon_ty100</t>
        </is>
      </c>
      <c r="B281" t="inlineStr">
        <is>
          <t>p26_typhon_ty100</t>
        </is>
      </c>
      <c r="C281" t="inlineStr">
        <is>
          <t>AK-100 100 mm (deck)</t>
        </is>
      </c>
      <c r="D281" t="inlineStr">
        <is>
          <t>doi_that</t>
        </is>
      </c>
      <c r="E281" t="inlineStr">
        <is>
          <t>AK-100 100 mm (deck)</t>
        </is>
      </c>
      <c r="F281" t="inlineStr"/>
      <c r="G281" t="inlineStr"/>
      <c r="H281" t="inlineStr"/>
      <c r="I281" t="inlineStr"/>
      <c r="J281" t="inlineStr"/>
      <c r="K281" t="inlineStr"/>
      <c r="L281" t="inlineStr">
        <is>
          <t>nhịp chậm hơn 30 % và mạnh hơn tương ứng (luật súng của game)</t>
        </is>
      </c>
      <c r="M281" t="inlineStr">
        <is>
          <t>gameplay</t>
        </is>
      </c>
      <c r="N281" t="inlineStr"/>
      <c r="O281" t="inlineStr">
        <is>
          <t>da_kiem_chung</t>
        </is>
      </c>
      <c r="P281" t="inlineStr">
        <is>
          <t>R_balance;R_full_weapon_audit;W_wikipedia_ak_100_naval_gun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n">
        <v>100</v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60</v>
      </c>
      <c r="Y281" t="n">
        <v>30</v>
      </c>
      <c r="Z281" t="inlineStr">
        <is>
          <t>NEED_SOURCE</t>
        </is>
      </c>
      <c r="AA281" t="inlineStr">
        <is>
          <t>NEED_SOURCE</t>
        </is>
      </c>
      <c r="AB281" t="inlineStr"/>
      <c r="AC281" t="inlineStr">
        <is>
          <t>gun</t>
        </is>
      </c>
      <c r="AD281" t="inlineStr">
        <is>
          <t>Wikipedia 'AK-100 (naval gun)': 60 rpm</t>
        </is>
      </c>
      <c r="AE281" t="inlineStr"/>
      <c r="AF281" t="inlineStr">
        <is>
          <t>Tools/balance/full_weapon_audit.py: REAL / WARHEAD; balance.json weapons[id=p26_typhon_ty100].real</t>
        </is>
      </c>
      <c r="AG281" t="inlineStr"/>
    </row>
    <row r="282">
      <c r="A282" t="inlineStr">
        <is>
          <t>patriot</t>
        </is>
      </c>
      <c r="B282" t="inlineStr">
        <is>
          <t>patriot</t>
        </is>
      </c>
      <c r="C282" t="inlineStr">
        <is>
          <t>MIM-104 Patriot PAC-2</t>
        </is>
      </c>
      <c r="D282" t="inlineStr">
        <is>
          <t>doi_that</t>
        </is>
      </c>
      <c r="E282" t="inlineStr">
        <is>
          <t>MIM-104 Patriot PAC-2</t>
        </is>
      </c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>
        <is>
          <t>uoc_dinh</t>
        </is>
      </c>
      <c r="P282" t="inlineStr">
        <is>
          <t>R_balance;R_full_weapon_audit;W_wikipedia_mim_104_patriot;R_machine_brigade_can_bang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inlineStr">
        <is>
          <t>NEED_SOURCE</t>
        </is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20</v>
      </c>
      <c r="Y282" t="n">
        <v>20</v>
      </c>
      <c r="Z282" t="inlineStr">
        <is>
          <t>NEED_SOURCE</t>
        </is>
      </c>
      <c r="AA282" t="inlineStr">
        <is>
          <t>NEED_SOURCE</t>
        </is>
      </c>
      <c r="AB282" t="inlineStr">
        <is>
          <t>NEED_SOURCE</t>
        </is>
      </c>
      <c r="AC282" t="inlineStr">
        <is>
          <t>missile</t>
        </is>
      </c>
      <c r="AD282" t="inlineStr">
        <is>
          <t>Wikipedia 'MIM-104 Patriot': ripples a few seconds apart (est. 3 s)</t>
        </is>
      </c>
      <c r="AE282" t="inlineStr">
        <is>
          <t>PAC-2: 160 km, Mach 4</t>
        </is>
      </c>
      <c r="AF282" t="inlineStr">
        <is>
          <t>Tools/balance/full_weapon_audit.py: REAL / WARHEAD; balance.json weapons[id=patriot].real</t>
        </is>
      </c>
      <c r="AG282" t="inlineStr"/>
    </row>
    <row r="283">
      <c r="A283" t="inlineStr">
        <is>
          <t>pt14_co_203</t>
        </is>
      </c>
      <c r="B283" t="inlineStr">
        <is>
          <t>pt14_co_203</t>
        </is>
      </c>
      <c r="C283" t="inlineStr">
        <is>
          <t>Mk 71 203 mm (Coeus twin turret)</t>
        </is>
      </c>
      <c r="D283" t="inlineStr">
        <is>
          <t>doi_that</t>
        </is>
      </c>
      <c r="E283" t="inlineStr">
        <is>
          <t>Mk 71 203 mm (Coeus twin turret)</t>
        </is>
      </c>
      <c r="F283" t="inlineStr"/>
      <c r="G283" t="inlineStr"/>
      <c r="H283" t="inlineStr"/>
      <c r="I283" t="inlineStr"/>
      <c r="J283" t="inlineStr"/>
      <c r="K283" t="inlineStr"/>
      <c r="L283" t="inlineStr">
        <is>
          <t>nhịp chậm hơn 30 % và mạnh hơn tương ứng (luật súng của game)</t>
        </is>
      </c>
      <c r="M283" t="inlineStr">
        <is>
          <t>gameplay</t>
        </is>
      </c>
      <c r="N283" t="inlineStr"/>
      <c r="O283" t="inlineStr">
        <is>
          <t>da_kiem_chung</t>
        </is>
      </c>
      <c r="P283" t="inlineStr">
        <is>
          <t>R_balance;R_full_weapon_audit;W_wikipedia_8_55_caliber_mark_71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203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12</v>
      </c>
      <c r="Y283" t="n">
        <v>12</v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gun</t>
        </is>
      </c>
      <c r="AD283" t="inlineStr">
        <is>
          <t>Wikipedia '8"/55 caliber Mark 71': 12 rpm</t>
        </is>
      </c>
      <c r="AE283" t="inlineStr"/>
      <c r="AF283" t="inlineStr">
        <is>
          <t>Tools/balance/full_weapon_audit.py: REAL / WARHEAD; balance.json weapons[id=pt14_co_203].real</t>
        </is>
      </c>
      <c r="AG283" t="inlineStr"/>
    </row>
    <row r="284">
      <c r="A284" t="inlineStr">
        <is>
          <t>pt14_co_spike</t>
        </is>
      </c>
      <c r="B284" t="inlineStr">
        <is>
          <t>pt14_co_spike</t>
        </is>
      </c>
      <c r="C284" t="inlineStr">
        <is>
          <t>Spike NLOS (Coeus box launcher)</t>
        </is>
      </c>
      <c r="D284" t="inlineStr">
        <is>
          <t>doi_that</t>
        </is>
      </c>
      <c r="E284" t="inlineStr">
        <is>
          <t>Spike NLOS (Coeus box launcher)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uoc_dinh</t>
        </is>
      </c>
      <c r="P284" t="inlineStr">
        <is>
          <t>R_balance;R_full_weapon_audit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inlineStr">
        <is>
          <t>NEED_SOURCE</t>
        </is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6</v>
      </c>
      <c r="Y284" t="n">
        <v>4</v>
      </c>
      <c r="Z284" t="inlineStr">
        <is>
          <t>NEED_SOURCE</t>
        </is>
      </c>
      <c r="AA284" t="inlineStr">
        <is>
          <t>NEED_SOURCE</t>
        </is>
      </c>
      <c r="AB284" t="inlineStr">
        <is>
          <t>NEED_SOURCE</t>
        </is>
      </c>
      <c r="AC284" t="inlineStr">
        <is>
          <t>atgm</t>
        </is>
      </c>
      <c r="AD284" t="inlineStr">
        <is>
          <t>Spike NLOS launcher, est. 4-6 rpm</t>
        </is>
      </c>
      <c r="AE284" t="inlineStr"/>
      <c r="AF284" t="inlineStr">
        <is>
          <t>Tools/balance/full_weapon_audit.py: REAL / WARHEAD; balance.json weapons[id=pt14_co_spike].real</t>
        </is>
      </c>
      <c r="AG284" t="inlineStr"/>
    </row>
    <row r="285">
      <c r="A285" t="inlineStr">
        <is>
          <t>pt14_co_v76</t>
        </is>
      </c>
      <c r="B285" t="inlineStr">
        <is>
          <t>pt14_co_v76</t>
        </is>
      </c>
      <c r="C285" t="inlineStr">
        <is>
          <t>OTO Melara 76/62 (Coeus ventral twin)</t>
        </is>
      </c>
      <c r="D285" t="inlineStr">
        <is>
          <t>doi_that</t>
        </is>
      </c>
      <c r="E285" t="inlineStr">
        <is>
          <t>OTO Melara 76/62 (Coeus ventral twin)</t>
        </is>
      </c>
      <c r="F285" t="inlineStr"/>
      <c r="G285" t="inlineStr"/>
      <c r="H285" t="inlineStr"/>
      <c r="I285" t="inlineStr"/>
      <c r="J285" t="inlineStr"/>
      <c r="K285" t="inlineStr"/>
      <c r="L285" t="inlineStr">
        <is>
          <t>nhịp chậm hơn 30 % và mạnh hơn tương ứng (luật súng của game)</t>
        </is>
      </c>
      <c r="M285" t="inlineStr">
        <is>
          <t>gameplay</t>
        </is>
      </c>
      <c r="N285" t="inlineStr"/>
      <c r="O285" t="inlineStr">
        <is>
          <t>da_kiem_chung</t>
        </is>
      </c>
      <c r="P285" t="inlineStr">
        <is>
          <t>R_balance;R_full_weapon_audit;W_wikipedia_oto_melara_76_mm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inlineStr">
        <is>
          <t>NEED_SOURCE</t>
        </is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120</v>
      </c>
      <c r="Y285" t="n">
        <v>80</v>
      </c>
      <c r="Z285" t="inlineStr">
        <is>
          <t>NEED_SOURCE</t>
        </is>
      </c>
      <c r="AA285" t="inlineStr">
        <is>
          <t>NEED_SOURCE</t>
        </is>
      </c>
      <c r="AB285" t="inlineStr"/>
      <c r="AC285" t="inlineStr">
        <is>
          <t>gun</t>
        </is>
      </c>
      <c r="AD285" t="inlineStr">
        <is>
          <t>Wikipedia 'OTO Melara 76 mm': 80-120 rpm (Super Rapid)</t>
        </is>
      </c>
      <c r="AE285" t="inlineStr"/>
      <c r="AF285" t="inlineStr">
        <is>
          <t>Tools/balance/full_weapon_audit.py: REAL / WARHEAD; balance.json weapons[id=pt14_co_v76].real</t>
        </is>
      </c>
      <c r="AG285" t="inlineStr"/>
    </row>
    <row r="286">
      <c r="A286" t="inlineStr">
        <is>
          <t>pt14_dd_v25</t>
        </is>
      </c>
      <c r="B286" t="inlineStr">
        <is>
          <t>pt14_dd_v25</t>
        </is>
      </c>
      <c r="C286" t="inlineStr">
        <is>
          <t>GAU-12/U Equalizer 25 mm (Daedalus ventral gondola)</t>
        </is>
      </c>
      <c r="D286" t="inlineStr">
        <is>
          <t>doi_that</t>
        </is>
      </c>
      <c r="E286" t="inlineStr">
        <is>
          <t>GAU-12/U Equalizer 25 mm (Daedalus ventral gondola)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da_kiem_chung</t>
        </is>
      </c>
      <c r="P286" t="inlineStr">
        <is>
          <t>R_balance;R_full_weapon_audit;W_wikipedia_gau_12_equalizer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n">
        <v>25</v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4200</v>
      </c>
      <c r="Y286" t="inlineStr">
        <is>
          <t>NEED_SOURCE</t>
        </is>
      </c>
      <c r="Z286" t="inlineStr">
        <is>
          <t>NEED_SOURCE</t>
        </is>
      </c>
      <c r="AA286" t="inlineStr">
        <is>
          <t>NEED_SOURCE</t>
        </is>
      </c>
      <c r="AB286" t="inlineStr"/>
      <c r="AC286" t="inlineStr">
        <is>
          <t>ac</t>
        </is>
      </c>
      <c r="AD286" t="inlineStr">
        <is>
          <t>Wikipedia 'GAU-12 Equalizer': 3,600-4,200 rpm (1,800 on the AC-130U)</t>
        </is>
      </c>
      <c r="AE286" t="inlineStr"/>
      <c r="AF286" t="inlineStr">
        <is>
          <t>Tools/balance/full_weapon_audit.py: REAL / WARHEAD; balance.json weapons[id=pt14_dd_v25].real</t>
        </is>
      </c>
      <c r="AG286" t="inlineStr"/>
    </row>
    <row r="287">
      <c r="A287" t="inlineStr">
        <is>
          <t>pt14_dd_v57</t>
        </is>
      </c>
      <c r="B287" t="inlineStr">
        <is>
          <t>pt14_dd_v57</t>
        </is>
      </c>
      <c r="C287" t="inlineStr">
        <is>
          <t>AU-220 57 mm (twin ventral turret)</t>
        </is>
      </c>
      <c r="D287" t="inlineStr">
        <is>
          <t>doi_that</t>
        </is>
      </c>
      <c r="E287" t="inlineStr">
        <is>
          <t>AU-220 57 mm (twin ventral turret)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da_kiem_chung</t>
        </is>
      </c>
      <c r="P287" t="inlineStr">
        <is>
          <t>R_balance;R_full_weapon_audit;W_wikipedia_au_220m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n">
        <v>57</v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120</v>
      </c>
      <c r="Y287" t="n">
        <v>80</v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ac</t>
        </is>
      </c>
      <c r="AD287" t="inlineStr">
        <is>
          <t>Wikipedia 'AU-220M': 80-120 rpm</t>
        </is>
      </c>
      <c r="AE287" t="inlineStr"/>
      <c r="AF287" t="inlineStr">
        <is>
          <t>Tools/balance/full_weapon_audit.py: REAL / WARHEAD; balance.json weapons[id=pt14_dd_v57].real</t>
        </is>
      </c>
      <c r="AG287" t="inlineStr"/>
    </row>
    <row r="288">
      <c r="A288" t="inlineStr">
        <is>
          <t>pt14_hp_155</t>
        </is>
      </c>
      <c r="B288" t="inlineStr">
        <is>
          <t>pt14_hp_155</t>
        </is>
      </c>
      <c r="C288" t="inlineStr">
        <is>
          <t>155 mm/60 (Hyperion twin turret)</t>
        </is>
      </c>
      <c r="D288" t="inlineStr">
        <is>
          <t>doi_that</t>
        </is>
      </c>
      <c r="E288" t="inlineStr">
        <is>
          <t>155 mm/60 (Hyperion twin turret)</t>
        </is>
      </c>
      <c r="F288" t="inlineStr"/>
      <c r="G288" t="inlineStr"/>
      <c r="H288" t="inlineStr"/>
      <c r="I288" t="inlineStr"/>
      <c r="J288" t="inlineStr"/>
      <c r="K288" t="inlineStr"/>
      <c r="L288" t="inlineStr">
        <is>
          <t>nhịp chậm hơn 30 % và mạnh hơn tương ứng (luật súng của game)</t>
        </is>
      </c>
      <c r="M288" t="inlineStr">
        <is>
          <t>gameplay</t>
        </is>
      </c>
      <c r="N288" t="inlineStr"/>
      <c r="O288" t="inlineStr">
        <is>
          <t>da_kiem_chung</t>
        </is>
      </c>
      <c r="P288" t="inlineStr">
        <is>
          <t>R_balance;R_full_weapon_audit;W_wikipedia_15_5_cm_60_3rd_year_type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n">
        <v>155</v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5</v>
      </c>
      <c r="Y288" t="n">
        <v>4</v>
      </c>
      <c r="Z288" t="inlineStr">
        <is>
          <t>NEED_SOURCE</t>
        </is>
      </c>
      <c r="AA288" t="inlineStr">
        <is>
          <t>NEED_SOURCE</t>
        </is>
      </c>
      <c r="AB288" t="inlineStr"/>
      <c r="AC288" t="inlineStr">
        <is>
          <t>gun</t>
        </is>
      </c>
      <c r="AD288" t="inlineStr">
        <is>
          <t>Wikipedia '15.5 cm/60 3rd Year Type' (Mogami): ~5 rpm a gun</t>
        </is>
      </c>
      <c r="AE288" t="inlineStr"/>
      <c r="AF288" t="inlineStr">
        <is>
          <t>Tools/balance/full_weapon_audit.py: REAL / WARHEAD; balance.json weapons[id=pt14_hp_155].real</t>
        </is>
      </c>
      <c r="AG288" t="inlineStr"/>
    </row>
    <row r="289">
      <c r="A289" t="inlineStr">
        <is>
          <t>pt14_hp_nsm</t>
        </is>
      </c>
      <c r="B289" t="inlineStr">
        <is>
          <t>pt14_hp_nsm</t>
        </is>
      </c>
      <c r="C289" t="inlineStr">
        <is>
          <t>NSM Block 1A (Hyperion VLS, land attack)</t>
        </is>
      </c>
      <c r="D289" t="inlineStr">
        <is>
          <t>doi_that</t>
        </is>
      </c>
      <c r="E289" t="inlineStr">
        <is>
          <t>NSM Block 1A (Hyperion VLS, land attack)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uoc_dinh</t>
        </is>
      </c>
      <c r="P289" t="inlineStr">
        <is>
          <t>R_balance;R_full_weapon_audit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inlineStr">
        <is>
          <t>NEED_SOURCE</t>
        </is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20</v>
      </c>
      <c r="Y289" t="n">
        <v>6</v>
      </c>
      <c r="Z289" t="inlineStr">
        <is>
          <t>NEED_SOURCE</t>
        </is>
      </c>
      <c r="AA289" t="inlineStr">
        <is>
          <t>NEED_SOURCE</t>
        </is>
      </c>
      <c r="AB289" t="inlineStr">
        <is>
          <t>NEED_SOURCE</t>
        </is>
      </c>
      <c r="AC289" t="inlineStr">
        <is>
          <t>missile</t>
        </is>
      </c>
      <c r="AD289" t="inlineStr">
        <is>
          <t>cruise missiles: ~3 s between launches (est.)</t>
        </is>
      </c>
      <c r="AE289" t="inlineStr"/>
      <c r="AF289" t="inlineStr">
        <is>
          <t>Tools/balance/full_weapon_audit.py: REAL / WARHEAD; balance.json weapons[id=pt14_hp_nsm].real</t>
        </is>
      </c>
      <c r="AG289" t="inlineStr"/>
    </row>
    <row r="290">
      <c r="A290" t="inlineStr">
        <is>
          <t>pt14_hp_v127</t>
        </is>
      </c>
      <c r="B290" t="inlineStr">
        <is>
          <t>pt14_hp_v127</t>
        </is>
      </c>
      <c r="C290" t="inlineStr">
        <is>
          <t>Mk 45 127 mm (Hyperion ventral turret)</t>
        </is>
      </c>
      <c r="D290" t="inlineStr">
        <is>
          <t>doi_that</t>
        </is>
      </c>
      <c r="E290" t="inlineStr">
        <is>
          <t>Mk 45 127 mm (Hyperion ventral turret)</t>
        </is>
      </c>
      <c r="F290" t="inlineStr"/>
      <c r="G290" t="inlineStr"/>
      <c r="H290" t="inlineStr"/>
      <c r="I290" t="inlineStr"/>
      <c r="J290" t="inlineStr"/>
      <c r="K290" t="inlineStr"/>
      <c r="L290" t="inlineStr">
        <is>
          <t>nhịp chậm hơn 30 % và mạnh hơn tương ứng (luật súng của game)</t>
        </is>
      </c>
      <c r="M290" t="inlineStr">
        <is>
          <t>gameplay</t>
        </is>
      </c>
      <c r="N290" t="inlineStr"/>
      <c r="O290" t="inlineStr">
        <is>
          <t>da_kiem_chung</t>
        </is>
      </c>
      <c r="P290" t="inlineStr">
        <is>
          <t>R_balance;R_full_weapon_audit;W_wikipedia_5_54_caliber_mark_45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n">
        <v>127</v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20</v>
      </c>
      <c r="Y290" t="n">
        <v>16</v>
      </c>
      <c r="Z290" t="inlineStr">
        <is>
          <t>NEED_SOURCE</t>
        </is>
      </c>
      <c r="AA290" t="inlineStr">
        <is>
          <t>NEED_SOURCE</t>
        </is>
      </c>
      <c r="AB290" t="inlineStr"/>
      <c r="AC290" t="inlineStr">
        <is>
          <t>gun</t>
        </is>
      </c>
      <c r="AD290" t="inlineStr">
        <is>
          <t>Wikipedia '5"/54 caliber Mark 45': 16-20 rpm</t>
        </is>
      </c>
      <c r="AE290" t="inlineStr"/>
      <c r="AF290" t="inlineStr">
        <is>
          <t>Tools/balance/full_weapon_audit.py: REAL / WARHEAD; balance.json weapons[id=pt14_hp_v127].real</t>
        </is>
      </c>
      <c r="AG290" t="inlineStr"/>
    </row>
    <row r="291">
      <c r="A291" t="inlineStr">
        <is>
          <t>pt14_hp_vlaser</t>
        </is>
      </c>
      <c r="B291" t="inlineStr">
        <is>
          <t>pt14_hp_vlaser</t>
        </is>
      </c>
      <c r="C291" t="inlineStr">
        <is>
          <t>laser tower (300 kW)</t>
        </is>
      </c>
      <c r="D291" t="inlineStr">
        <is>
          <t>doi_that</t>
        </is>
      </c>
      <c r="E291" t="inlineStr">
        <is>
          <t>laser tower (300 kW)</t>
        </is>
      </c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  <c r="O291" t="inlineStr">
        <is>
          <t>ban_dau_doan</t>
        </is>
      </c>
      <c r="P291" t="inlineStr">
        <is>
          <t>R_balance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inlineStr">
        <is>
          <t>NEED_SOURCE</t>
        </is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inlineStr">
        <is>
          <t>NEED_SOURCE</t>
        </is>
      </c>
      <c r="Y291" t="inlineStr">
        <is>
          <t>NEED_SOURCE</t>
        </is>
      </c>
      <c r="Z291" t="inlineStr">
        <is>
          <t>NEED_SOURCE</t>
        </is>
      </c>
      <c r="AA291" t="inlineStr">
        <is>
          <t>NEED_SOURCE</t>
        </is>
      </c>
      <c r="AB291" t="inlineStr"/>
      <c r="AC291" t="inlineStr"/>
      <c r="AD291" t="inlineStr"/>
      <c r="AE291" t="inlineStr"/>
      <c r="AF291" t="inlineStr">
        <is>
          <t>Tools/balance/full_weapon_audit.py: REAL / WARHEAD; balance.json weapons[id=pt14_hp_vlaser].real</t>
        </is>
      </c>
      <c r="AG291" t="inlineStr"/>
    </row>
    <row r="292">
      <c r="A292" t="inlineStr">
        <is>
          <t>pt14_ixion_30</t>
        </is>
      </c>
      <c r="B292" t="inlineStr">
        <is>
          <t>pt14_ixion_30</t>
        </is>
      </c>
      <c r="C292" t="inlineStr">
        <is>
          <t>2A42 30 mm (remote turret)</t>
        </is>
      </c>
      <c r="D292" t="inlineStr">
        <is>
          <t>doi_that</t>
        </is>
      </c>
      <c r="E292" t="inlineStr">
        <is>
          <t>2A42 30 mm (remote turret)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>
        <is>
          <t>da_kiem_chung</t>
        </is>
      </c>
      <c r="P292" t="inlineStr">
        <is>
          <t>R_balance;R_full_weapon_audit;W_wikipedia_2a42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n">
        <v>30</v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800</v>
      </c>
      <c r="Y292" t="n">
        <v>300</v>
      </c>
      <c r="Z292" t="inlineStr">
        <is>
          <t>NEED_SOURCE</t>
        </is>
      </c>
      <c r="AA292" t="inlineStr">
        <is>
          <t>NEED_SOURCE</t>
        </is>
      </c>
      <c r="AB292" t="inlineStr"/>
      <c r="AC292" t="inlineStr">
        <is>
          <t>ac</t>
        </is>
      </c>
      <c r="AD292" t="inlineStr">
        <is>
          <t>Wikipedia '2A42': 550-800 high, 200-300 low rpm</t>
        </is>
      </c>
      <c r="AE292" t="inlineStr"/>
      <c r="AF292" t="inlineStr">
        <is>
          <t>Tools/balance/full_weapon_audit.py: REAL / WARHEAD; balance.json weapons[id=pt14_ixion_30].real</t>
        </is>
      </c>
      <c r="AG292" t="inlineStr"/>
    </row>
    <row r="293">
      <c r="A293" t="inlineStr">
        <is>
          <t>pt14_ixion_grad</t>
        </is>
      </c>
      <c r="B293" t="inlineStr">
        <is>
          <t>pt14_ixion_grad</t>
        </is>
      </c>
      <c r="C293" t="inlineStr">
        <is>
          <t>BM-21V Grad-V 122 mm (12-tube pack)</t>
        </is>
      </c>
      <c r="D293" t="inlineStr">
        <is>
          <t>doi_that</t>
        </is>
      </c>
      <c r="E293" t="inlineStr">
        <is>
          <t>BM-21V Grad-V 122 mm (12-tube pack)</t>
        </is>
      </c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>
        <is>
          <t>da_kiem_chung</t>
        </is>
      </c>
      <c r="P293" t="inlineStr">
        <is>
          <t>R_balance;R_full_weapon_audit;W_wikipedia_bm_21_grad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122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120</v>
      </c>
      <c r="Y293" t="inlineStr">
        <is>
          <t>NEED_SOURCE</t>
        </is>
      </c>
      <c r="Z293" t="inlineStr">
        <is>
          <t>NEED_SOURCE</t>
        </is>
      </c>
      <c r="AA293" t="inlineStr">
        <is>
          <t>NEED_SOURCE</t>
        </is>
      </c>
      <c r="AB293" t="inlineStr"/>
      <c r="AC293" t="inlineStr">
        <is>
          <t>rocket</t>
        </is>
      </c>
      <c r="AD293" t="inlineStr">
        <is>
          <t>Wikipedia 'BM-21 Grad': 40 rockets in 20 s</t>
        </is>
      </c>
      <c r="AE293" t="inlineStr"/>
      <c r="AF293" t="inlineStr">
        <is>
          <t>Tools/balance/full_weapon_audit.py: REAL / WARHEAD; balance.json weapons[id=pt14_ixion_grad].real</t>
        </is>
      </c>
      <c r="AG293" t="inlineStr"/>
    </row>
    <row r="294">
      <c r="A294" t="inlineStr">
        <is>
          <t>pt14_ixion_kornet</t>
        </is>
      </c>
      <c r="B294" t="inlineStr">
        <is>
          <t>pt14_ixion_kornet</t>
        </is>
      </c>
      <c r="C294" t="inlineStr">
        <is>
          <t>9M133 Kornet-EM (twin launcher)</t>
        </is>
      </c>
      <c r="D294" t="inlineStr">
        <is>
          <t>doi_that</t>
        </is>
      </c>
      <c r="E294" t="inlineStr">
        <is>
          <t>9M133 Kornet-EM (twin launcher)</t>
        </is>
      </c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da_kiem_chung</t>
        </is>
      </c>
      <c r="P294" t="inlineStr">
        <is>
          <t>R_balance;R_full_weapon_audit;W_wikipedia_9m133_kornet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inlineStr">
        <is>
          <t>NEED_SOURCE</t>
        </is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3</v>
      </c>
      <c r="Y294" t="n">
        <v>3</v>
      </c>
      <c r="Z294" t="inlineStr">
        <is>
          <t>NEED_SOURCE</t>
        </is>
      </c>
      <c r="AA294" t="inlineStr">
        <is>
          <t>NEED_SOURCE</t>
        </is>
      </c>
      <c r="AB294" t="inlineStr">
        <is>
          <t>NEED_SOURCE</t>
        </is>
      </c>
      <c r="AC294" t="inlineStr">
        <is>
          <t>atgm</t>
        </is>
      </c>
      <c r="AD294" t="inlineStr">
        <is>
          <t>Wikipedia '9M133 Kornet': 2-3 rpm</t>
        </is>
      </c>
      <c r="AE294" t="inlineStr"/>
      <c r="AF294" t="inlineStr">
        <is>
          <t>Tools/balance/full_weapon_audit.py: REAL / WARHEAD; balance.json weapons[id=pt14_ixion_kornet].real</t>
        </is>
      </c>
      <c r="AG294" t="inlineStr"/>
    </row>
    <row r="295">
      <c r="A295" t="inlineStr">
        <is>
          <t>pt14_mk0_v40</t>
        </is>
      </c>
      <c r="B295" t="inlineStr">
        <is>
          <t>pt14_mk0_v40</t>
        </is>
      </c>
      <c r="C295" t="inlineStr">
        <is>
          <t>Bofors L/60 40 mm (ventral test mount)</t>
        </is>
      </c>
      <c r="D295" t="inlineStr">
        <is>
          <t>doi_that</t>
        </is>
      </c>
      <c r="E295" t="inlineStr">
        <is>
          <t>Bofors L/60 40 mm (ventral test mount)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da_kiem_chung</t>
        </is>
      </c>
      <c r="P295" t="inlineStr">
        <is>
          <t>R_balance;R_full_weapon_audit;W_wikipedia_bofors_40_mm_l_60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n">
        <v>40</v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120</v>
      </c>
      <c r="Y295" t="n">
        <v>80</v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>
        <is>
          <t>aa</t>
        </is>
      </c>
      <c r="AD295" t="inlineStr">
        <is>
          <t>Wikipedia 'Bofors 40 mm L/60': 120 rpm</t>
        </is>
      </c>
      <c r="AE295" t="inlineStr"/>
      <c r="AF295" t="inlineStr">
        <is>
          <t>Tools/balance/full_weapon_audit.py: REAL / WARHEAD; balance.json weapons[id=pt14_mk0_v40].real</t>
        </is>
      </c>
      <c r="AG295" t="inlineStr"/>
    </row>
    <row r="296">
      <c r="A296" t="inlineStr">
        <is>
          <t>pt14_sb_v30</t>
        </is>
      </c>
      <c r="B296" t="inlineStr">
        <is>
          <t>pt14_sb_v30</t>
        </is>
      </c>
      <c r="C296" t="inlineStr">
        <is>
          <t>Mk 44 Bushmaster II 30 mm (Icarus ventral twin)</t>
        </is>
      </c>
      <c r="D296" t="inlineStr">
        <is>
          <t>doi_that</t>
        </is>
      </c>
      <c r="E296" t="inlineStr">
        <is>
          <t>Mk 44 Bushmaster II 30 mm (Icarus ventral twin)</t>
        </is>
      </c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  <c r="O296" t="inlineStr">
        <is>
          <t>ban_dau_doan</t>
        </is>
      </c>
      <c r="P296" t="inlineStr">
        <is>
          <t>R_balance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30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inlineStr">
        <is>
          <t>NEED_SOURCE</t>
        </is>
      </c>
      <c r="Y296" t="inlineStr">
        <is>
          <t>NEED_SOURCE</t>
        </is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/>
      <c r="AD296" t="inlineStr"/>
      <c r="AE296" t="inlineStr"/>
      <c r="AF296" t="inlineStr">
        <is>
          <t>Tools/balance/full_weapon_audit.py: REAL / WARHEAD; balance.json weapons[id=pt14_sb_v30].real</t>
        </is>
      </c>
      <c r="AG296" t="inlineStr"/>
    </row>
    <row r="297">
      <c r="A297" t="inlineStr">
        <is>
          <t>pt14_sb_v105</t>
        </is>
      </c>
      <c r="B297" t="inlineStr">
        <is>
          <t>pt14_sb_v105</t>
        </is>
      </c>
      <c r="C297" t="inlineStr">
        <is>
          <t>M102 105 mm (Icarus ventral turret)</t>
        </is>
      </c>
      <c r="D297" t="inlineStr">
        <is>
          <t>doi_that</t>
        </is>
      </c>
      <c r="E297" t="inlineStr">
        <is>
          <t>M102 105 mm (Icarus ventral turret)</t>
        </is>
      </c>
      <c r="F297" t="inlineStr"/>
      <c r="G297" t="inlineStr"/>
      <c r="H297" t="inlineStr"/>
      <c r="I297" t="inlineStr"/>
      <c r="J297" t="inlineStr"/>
      <c r="K297" t="inlineStr"/>
      <c r="L297" t="inlineStr">
        <is>
          <t>nhịp chậm hơn 30 % và mạnh hơn tương ứng (luật súng của game)</t>
        </is>
      </c>
      <c r="M297" t="inlineStr">
        <is>
          <t>gameplay</t>
        </is>
      </c>
      <c r="N297" t="inlineStr"/>
      <c r="O297" t="inlineStr">
        <is>
          <t>da_kiem_chung</t>
        </is>
      </c>
      <c r="P297" t="inlineStr">
        <is>
          <t>R_balance;R_full_weapon_audit;W_wikipedia_m102_howitzer;R_machine_brigade_can_bang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105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10</v>
      </c>
      <c r="Y297" t="n">
        <v>3</v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gun</t>
        </is>
      </c>
      <c r="AD297" t="inlineStr">
        <is>
          <t>the sheet's 'Ngoài đời': M102 10 rpm (Wikipedia 'M102 howitzer')</t>
        </is>
      </c>
      <c r="AE297" t="inlineStr"/>
      <c r="AF297" t="inlineStr">
        <is>
          <t>Tools/balance/full_weapon_audit.py: REAL / WARHEAD; balance.json weapons[id=pt14_sb_v105].real</t>
        </is>
      </c>
      <c r="AG297" t="inlineStr"/>
    </row>
    <row r="298">
      <c r="A298" t="inlineStr">
        <is>
          <t>pt14_th_jagm</t>
        </is>
      </c>
      <c r="B298" t="inlineStr">
        <is>
          <t>pt14_th_jagm</t>
        </is>
      </c>
      <c r="C298" t="inlineStr">
        <is>
          <t>AGM-179 JAGM (Theia quad pod)</t>
        </is>
      </c>
      <c r="D298" t="inlineStr">
        <is>
          <t>doi_that</t>
        </is>
      </c>
      <c r="E298" t="inlineStr">
        <is>
          <t>AGM-179 JAGM (Theia quad pod)</t>
        </is>
      </c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>
        <is>
          <t>ban_dau_doan</t>
        </is>
      </c>
      <c r="P298" t="inlineStr">
        <is>
          <t>R_balance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inlineStr">
        <is>
          <t>NEED_SOURCE</t>
        </is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inlineStr">
        <is>
          <t>NEED_SOURCE</t>
        </is>
      </c>
      <c r="Y298" t="inlineStr">
        <is>
          <t>NEED_SOURCE</t>
        </is>
      </c>
      <c r="Z298" t="inlineStr">
        <is>
          <t>NEED_SOURCE</t>
        </is>
      </c>
      <c r="AA298" t="inlineStr">
        <is>
          <t>NEED_SOURCE</t>
        </is>
      </c>
      <c r="AB298" t="inlineStr">
        <is>
          <t>NEED_SOURCE</t>
        </is>
      </c>
      <c r="AC298" t="inlineStr"/>
      <c r="AD298" t="inlineStr"/>
      <c r="AE298" t="inlineStr"/>
      <c r="AF298" t="inlineStr">
        <is>
          <t>Tools/balance/full_weapon_audit.py: REAL / WARHEAD; balance.json weapons[id=pt14_th_jagm].real</t>
        </is>
      </c>
      <c r="AG298" t="inlineStr"/>
    </row>
    <row r="299">
      <c r="A299" t="inlineStr">
        <is>
          <t>pt14_th_pd</t>
        </is>
      </c>
      <c r="B299" t="inlineStr">
        <is>
          <t>pt14_th_pd</t>
        </is>
      </c>
      <c r="C299" t="inlineStr">
        <is>
          <t>50 kW laser (Theia point-defence turret)</t>
        </is>
      </c>
      <c r="D299" t="inlineStr">
        <is>
          <t>doi_that</t>
        </is>
      </c>
      <c r="E299" t="inlineStr">
        <is>
          <t>50 kW laser (Theia point-defence turret)</t>
        </is>
      </c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>
        <is>
          <t>ban_dau_doan</t>
        </is>
      </c>
      <c r="P299" t="inlineStr">
        <is>
          <t>R_balance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inlineStr">
        <is>
          <t>NEED_SOURCE</t>
        </is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inlineStr">
        <is>
          <t>NEED_SOURCE</t>
        </is>
      </c>
      <c r="Y299" t="inlineStr">
        <is>
          <t>NEED_SOURCE</t>
        </is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/>
      <c r="AD299" t="inlineStr"/>
      <c r="AE299" t="inlineStr"/>
      <c r="AF299" t="inlineStr">
        <is>
          <t>Tools/balance/full_weapon_audit.py: REAL / WARHEAD; balance.json weapons[id=pt14_th_pd].real</t>
        </is>
      </c>
      <c r="AG299" t="inlineStr"/>
    </row>
    <row r="300">
      <c r="A300" t="inlineStr">
        <is>
          <t>pt14_th_v35</t>
        </is>
      </c>
      <c r="B300" t="inlineStr">
        <is>
          <t>pt14_th_v35</t>
        </is>
      </c>
      <c r="C300" t="inlineStr">
        <is>
          <t>Oerlikon KDA 35 mm (Theia ventral twin)</t>
        </is>
      </c>
      <c r="D300" t="inlineStr">
        <is>
          <t>doi_that</t>
        </is>
      </c>
      <c r="E300" t="inlineStr">
        <is>
          <t>Oerlikon KDA 35 mm (Theia ventral twin)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da_kiem_chung</t>
        </is>
      </c>
      <c r="P300" t="inlineStr">
        <is>
          <t>R_balance;R_full_weapon_audit;W_wikipedia_oerlikon_gdf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35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550</v>
      </c>
      <c r="Y300" t="n">
        <v>300</v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>
        <is>
          <t>aa</t>
        </is>
      </c>
      <c r="AD300" t="inlineStr">
        <is>
          <t>Wikipedia 'Oerlikon GDF' / 'Gepard': 2 x 550 rpm</t>
        </is>
      </c>
      <c r="AE300" t="inlineStr"/>
      <c r="AF300" t="inlineStr">
        <is>
          <t>Tools/balance/full_weapon_audit.py: REAL / WARHEAD; balance.json weapons[id=pt14_th_v35].real</t>
        </is>
      </c>
      <c r="AG300" t="inlineStr"/>
    </row>
    <row r="301">
      <c r="A301" t="inlineStr">
        <is>
          <t>pt14_train_grad</t>
        </is>
      </c>
      <c r="B301" t="inlineStr">
        <is>
          <t>pt14_train_grad</t>
        </is>
      </c>
      <c r="C301" t="inlineStr">
        <is>
          <t>BM-21 Grad 122 mm</t>
        </is>
      </c>
      <c r="D301" t="inlineStr">
        <is>
          <t>doi_that</t>
        </is>
      </c>
      <c r="E301" t="inlineStr">
        <is>
          <t>BM-21 Grad 122 mm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da_kiem_chung</t>
        </is>
      </c>
      <c r="P301" t="inlineStr">
        <is>
          <t>R_balance;R_full_weapon_audit;W_wikipedia_bm_21_grad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n">
        <v>122</v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120</v>
      </c>
      <c r="Y301" t="inlineStr">
        <is>
          <t>NEED_SOURCE</t>
        </is>
      </c>
      <c r="Z301" t="inlineStr">
        <is>
          <t>NEED_SOURCE</t>
        </is>
      </c>
      <c r="AA301" t="inlineStr">
        <is>
          <t>NEED_SOURCE</t>
        </is>
      </c>
      <c r="AB301" t="inlineStr"/>
      <c r="AC301" t="inlineStr">
        <is>
          <t>rocket</t>
        </is>
      </c>
      <c r="AD301" t="inlineStr">
        <is>
          <t>Wikipedia 'BM-21 Grad': 40 rockets in 20 s</t>
        </is>
      </c>
      <c r="AE301" t="inlineStr"/>
      <c r="AF301" t="inlineStr">
        <is>
          <t>Tools/balance/full_weapon_audit.py: REAL / WARHEAD; balance.json weapons[id=pt14_train_grad].real</t>
        </is>
      </c>
      <c r="AG301" t="inlineStr"/>
    </row>
    <row r="302">
      <c r="A302" t="inlineStr">
        <is>
          <t>r60</t>
        </is>
      </c>
      <c r="B302" t="inlineStr">
        <is>
          <t>r60</t>
        </is>
      </c>
      <c r="C302" t="inlineStr">
        <is>
          <t>R-60</t>
        </is>
      </c>
      <c r="D302" t="inlineStr">
        <is>
          <t>doi_that</t>
        </is>
      </c>
      <c r="E302" t="inlineStr">
        <is>
          <t>R-60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uoc_dinh</t>
        </is>
      </c>
      <c r="P302" t="inlineStr">
        <is>
          <t>R_balance;R_full_weapon_audit;R_machine_brigade_can_bang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60</v>
      </c>
      <c r="Y302" t="inlineStr">
        <is>
          <t>NEED_SOURCE</t>
        </is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>
        <is>
          <t>missile</t>
        </is>
      </c>
      <c r="AD302" t="inlineStr">
        <is>
          <t>air-to-air: ~1 s between launches (est.)</t>
        </is>
      </c>
      <c r="AE302" t="inlineStr">
        <is>
          <t>R-60: 8 km, Mach 2,7</t>
        </is>
      </c>
      <c r="AF302" t="inlineStr">
        <is>
          <t>Tools/balance/full_weapon_audit.py: REAL / WARHEAD; balance.json weapons[id=r60].real</t>
        </is>
      </c>
      <c r="AG302" t="inlineStr"/>
    </row>
    <row r="303">
      <c r="A303" t="inlineStr">
        <is>
          <t>railgun</t>
        </is>
      </c>
      <c r="B303" t="inlineStr">
        <is>
          <t>railgun</t>
        </is>
      </c>
      <c r="C303" t="inlineStr">
        <is>
          <t>railgun (32 MJ)</t>
        </is>
      </c>
      <c r="D303" t="inlineStr">
        <is>
          <t>doi_that</t>
        </is>
      </c>
      <c r="E303" t="inlineStr">
        <is>
          <t>railgun (32 MJ)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ban_dau_doan</t>
        </is>
      </c>
      <c r="P303" t="inlineStr">
        <is>
          <t>R_balance;R_machine_brigade_can_bang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inlineStr">
        <is>
          <t>NEED_SOURCE</t>
        </is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inlineStr">
        <is>
          <t>NEED_SOURCE</t>
        </is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/>
      <c r="AD303" t="inlineStr"/>
      <c r="AE303" t="inlineStr">
        <is>
          <t>EMRG (US Navy): 32 MJ, ~2.500 m/s, ~10 phát/phút (thử nghiệm)</t>
        </is>
      </c>
      <c r="AF303" t="inlineStr">
        <is>
          <t>Tools/balance/full_weapon_audit.py: REAL / WARHEAD; balance.json weapons[id=railgun].real</t>
        </is>
      </c>
      <c r="AG303" t="inlineStr"/>
    </row>
    <row r="304">
      <c r="A304" t="inlineStr">
        <is>
          <t>recoilless_106</t>
        </is>
      </c>
      <c r="B304" t="inlineStr">
        <is>
          <t>recoilless_106</t>
        </is>
      </c>
      <c r="C304" t="inlineStr">
        <is>
          <t>M40 106 mm recoilless rifle</t>
        </is>
      </c>
      <c r="D304" t="inlineStr">
        <is>
          <t>doi_that</t>
        </is>
      </c>
      <c r="E304" t="inlineStr">
        <is>
          <t>M40 106 mm recoilless rifle</t>
        </is>
      </c>
      <c r="F304" t="inlineStr"/>
      <c r="G304" t="inlineStr"/>
      <c r="H304" t="inlineStr"/>
      <c r="I304" t="inlineStr"/>
      <c r="J304" t="inlineStr"/>
      <c r="K304" t="inlineStr"/>
      <c r="L304" t="inlineStr">
        <is>
          <t>nhịp chậm hơn 30 % và mạnh hơn tương ứng (luật súng của game)</t>
        </is>
      </c>
      <c r="M304" t="inlineStr">
        <is>
          <t>gameplay</t>
        </is>
      </c>
      <c r="N304" t="inlineStr"/>
      <c r="O304" t="inlineStr">
        <is>
          <t>da_kiem_chung</t>
        </is>
      </c>
      <c r="P304" t="inlineStr">
        <is>
          <t>R_balance;R_full_weapon_audit;W_wikipedia_m40_recoilless_rifle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106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5</v>
      </c>
      <c r="Y304" t="n">
        <v>1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gun</t>
        </is>
      </c>
      <c r="AD304" t="inlineStr">
        <is>
          <t>Wikipedia 'M40 recoilless rifle': 1 rpm sustained, ~5 rpm short bursts</t>
        </is>
      </c>
      <c r="AE304" t="inlineStr"/>
      <c r="AF304" t="inlineStr">
        <is>
          <t>Tools/balance/full_weapon_audit.py: REAL / WARHEAD; balance.json weapons[id=recoilless_106].real</t>
        </is>
      </c>
      <c r="AG304" t="inlineStr"/>
    </row>
    <row r="305">
      <c r="A305" t="inlineStr">
        <is>
          <t>recon_missile</t>
        </is>
      </c>
      <c r="B305" t="inlineStr">
        <is>
          <t>recon_missile</t>
        </is>
      </c>
      <c r="C305" t="inlineStr">
        <is>
          <t>MAM-L</t>
        </is>
      </c>
      <c r="D305" t="inlineStr">
        <is>
          <t>doi_that</t>
        </is>
      </c>
      <c r="E305" t="inlineStr">
        <is>
          <t>MAM-L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uoc_dinh</t>
        </is>
      </c>
      <c r="P305" t="inlineStr">
        <is>
          <t>R_balance;R_full_weapon_audit;R_machine_brigade_can_bang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inlineStr">
        <is>
          <t>NEED_SOURCE</t>
        </is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60</v>
      </c>
      <c r="Y305" t="n">
        <v>10</v>
      </c>
      <c r="Z305" t="inlineStr">
        <is>
          <t>NEED_SOURCE</t>
        </is>
      </c>
      <c r="AA305" t="inlineStr">
        <is>
          <t>NEED_SOURCE</t>
        </is>
      </c>
      <c r="AB305" t="inlineStr">
        <is>
          <t>NEED_SOURCE</t>
        </is>
      </c>
      <c r="AC305" t="inlineStr">
        <is>
          <t>atgm</t>
        </is>
      </c>
      <c r="AD305" t="inlineStr">
        <is>
          <t>air-launched: ripples ~1 s apart, est. 6 s an aimed shot</t>
        </is>
      </c>
      <c r="AE305" t="inlineStr">
        <is>
          <t>MAM-L: 8–15 km</t>
        </is>
      </c>
      <c r="AF305" t="inlineStr">
        <is>
          <t>Tools/balance/full_weapon_audit.py: REAL / WARHEAD; balance.json weapons[id=recon_missile].real</t>
        </is>
      </c>
      <c r="AG305" t="inlineStr"/>
    </row>
    <row r="306">
      <c r="A306" t="inlineStr">
        <is>
          <t>rockets_300mm</t>
        </is>
      </c>
      <c r="B306" t="inlineStr">
        <is>
          <t>rockets_300mm</t>
        </is>
      </c>
      <c r="C306" t="inlineStr">
        <is>
          <t>9M55 Smerch 300 mm</t>
        </is>
      </c>
      <c r="D306" t="inlineStr">
        <is>
          <t>doi_that</t>
        </is>
      </c>
      <c r="E306" t="inlineStr">
        <is>
          <t>9M55 Smerch 300 mm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da_kiem_chung</t>
        </is>
      </c>
      <c r="P306" t="inlineStr">
        <is>
          <t>R_balance;R_full_weapon_audit;W_wikipedia_bm_30_smerch;R_machine_brigade_can_bang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n">
        <v>300</v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19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rocket</t>
        </is>
      </c>
      <c r="AD306" t="inlineStr">
        <is>
          <t>Wikipedia 'BM-30 Smerch': 12 rockets in 38 s</t>
        </is>
      </c>
      <c r="AE306" t="inlineStr">
        <is>
          <t>9M55 Smerch: 12 quả / 38 s; đầu nổ 243–258 kg</t>
        </is>
      </c>
      <c r="AF306" t="inlineStr">
        <is>
          <t>Tools/balance/full_weapon_audit.py: REAL / WARHEAD; balance.json weapons[id=rockets_300mm].real</t>
        </is>
      </c>
      <c r="AG306" t="inlineStr"/>
    </row>
    <row r="307">
      <c r="A307" t="inlineStr">
        <is>
          <t>s8_pods</t>
        </is>
      </c>
      <c r="B307" t="inlineStr">
        <is>
          <t>s8_pods</t>
        </is>
      </c>
      <c r="C307" t="inlineStr">
        <is>
          <t>S-8 80 mm</t>
        </is>
      </c>
      <c r="D307" t="inlineStr">
        <is>
          <t>doi_that</t>
        </is>
      </c>
      <c r="E307" t="inlineStr">
        <is>
          <t>S-8 80 mm</t>
        </is>
      </c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>
        <is>
          <t>ban_dau_doan</t>
        </is>
      </c>
      <c r="P307" t="inlineStr">
        <is>
          <t>R_balance;R_full_weapon_audit;R_decisions;R_machine_brigade_can_bang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80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900</v>
      </c>
      <c r="Y307" t="inlineStr">
        <is>
          <t>NEED_SOURCE</t>
        </is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rocket</t>
        </is>
      </c>
      <c r="AD307" t="inlineStr">
        <is>
          <t>rocket pods: ripples of 0.05-0.12 s (DECISIONS 19R)</t>
        </is>
      </c>
      <c r="AE307" t="inlineStr">
        <is>
          <t>S-8 80 mm</t>
        </is>
      </c>
      <c r="AF307" t="inlineStr">
        <is>
          <t>Tools/balance/full_weapon_audit.py: REAL / WARHEAD; balance.json weapons[id=s8_pods].real</t>
        </is>
      </c>
      <c r="AG307" t="inlineStr"/>
    </row>
    <row r="308">
      <c r="A308" t="inlineStr">
        <is>
          <t>sam</t>
        </is>
      </c>
      <c r="B308" t="inlineStr">
        <is>
          <t>sam</t>
        </is>
      </c>
      <c r="C308" t="inlineStr">
        <is>
          <t>Starstreak / Stinger SHORAD</t>
        </is>
      </c>
      <c r="D308" t="inlineStr">
        <is>
          <t>doi_that</t>
        </is>
      </c>
      <c r="E308" t="inlineStr">
        <is>
          <t>Starstreak / Stinger SHORAD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uoc_dinh</t>
        </is>
      </c>
      <c r="P308" t="inlineStr">
        <is>
          <t>R_balance;R_full_weapon_audit;W_wikipedia_bai_cua_tung_ten_lua_bang_warhead;R_machine_brigade_can_bang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inlineStr">
        <is>
          <t>NEED_SOURCE</t>
        </is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20</v>
      </c>
      <c r="Y308" t="n">
        <v>10</v>
      </c>
      <c r="Z308" t="inlineStr">
        <is>
          <t>NEED_SOURCE</t>
        </is>
      </c>
      <c r="AA308" t="inlineStr">
        <is>
          <t>NEED_SOURCE</t>
        </is>
      </c>
      <c r="AB308" t="n">
        <v>1</v>
      </c>
      <c r="AC308" t="inlineStr">
        <is>
          <t>missile</t>
        </is>
      </c>
      <c r="AD308" t="inlineStr">
        <is>
          <t>Avenger / Stormer: ~3 s between rounds (est.); a MANPADS team 6-10 s</t>
        </is>
      </c>
      <c r="AE308" t="inlineStr">
        <is>
          <t>Stinger/Starstreak: 4,8–7 km, Mach 2,2 (Starstreak Mach 3+)</t>
        </is>
      </c>
      <c r="AF308" t="inlineStr">
        <is>
          <t>Tools/balance/full_weapon_audit.py: REAL / WARHEAD; balance.json weapons[id=sam].real</t>
        </is>
      </c>
      <c r="AG308" t="inlineStr"/>
    </row>
    <row r="309">
      <c r="A309" t="inlineStr">
        <is>
          <t>sam_48n6</t>
        </is>
      </c>
      <c r="B309" t="inlineStr">
        <is>
          <t>sam_48n6</t>
        </is>
      </c>
      <c r="C309" t="inlineStr">
        <is>
          <t>S-400 48N6</t>
        </is>
      </c>
      <c r="D309" t="inlineStr">
        <is>
          <t>doi_that</t>
        </is>
      </c>
      <c r="E309" t="inlineStr">
        <is>
          <t>S-400 48N6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R_balance;R_full_weapon_audit;W_wikipedia_s_400;R_machine_brigade_can_bang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inlineStr">
        <is>
          <t>NEED_SOURCE</t>
        </is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20</v>
      </c>
      <c r="Y309" t="n">
        <v>6</v>
      </c>
      <c r="Z309" t="inlineStr">
        <is>
          <t>NEED_SOURCE</t>
        </is>
      </c>
      <c r="AA309" t="inlineStr">
        <is>
          <t>NEED_SOURCE</t>
        </is>
      </c>
      <c r="AB309" t="inlineStr">
        <is>
          <t>NEED_SOURCE</t>
        </is>
      </c>
      <c r="AC309" t="inlineStr">
        <is>
          <t>missile</t>
        </is>
      </c>
      <c r="AD309" t="inlineStr">
        <is>
          <t>Wikipedia 'S-400': 3 s between launches</t>
        </is>
      </c>
      <c r="AE309" t="inlineStr">
        <is>
          <t>48N6 (S-400): 150–250 km, Mach 6</t>
        </is>
      </c>
      <c r="AF309" t="inlineStr">
        <is>
          <t>Tools/balance/full_weapon_audit.py: REAL / WARHEAD; balance.json weapons[id=sam_48n6].real</t>
        </is>
      </c>
      <c r="AG309" t="inlineStr"/>
    </row>
    <row r="310">
      <c r="A310" t="inlineStr">
        <is>
          <t>sam_battery</t>
        </is>
      </c>
      <c r="B310" t="inlineStr">
        <is>
          <t>sam_battery</t>
        </is>
      </c>
      <c r="C310" t="inlineStr">
        <is>
          <t>MIM-104 Patriot PAC-2</t>
        </is>
      </c>
      <c r="D310" t="inlineStr">
        <is>
          <t>doi_that</t>
        </is>
      </c>
      <c r="E310" t="inlineStr">
        <is>
          <t>MIM-104 Patriot PAC-2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>
        <is>
          <t>uoc_dinh</t>
        </is>
      </c>
      <c r="P310" t="inlineStr">
        <is>
          <t>R_balance;R_full_weapon_audit;W_wikipedia_mim_104_patriot;R_machine_brigade_can_bang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inlineStr">
        <is>
          <t>NEED_SOURCE</t>
        </is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20</v>
      </c>
      <c r="Y310" t="n">
        <v>20</v>
      </c>
      <c r="Z310" t="inlineStr">
        <is>
          <t>NEED_SOURCE</t>
        </is>
      </c>
      <c r="AA310" t="inlineStr">
        <is>
          <t>NEED_SOURCE</t>
        </is>
      </c>
      <c r="AB310" t="inlineStr">
        <is>
          <t>NEED_SOURCE</t>
        </is>
      </c>
      <c r="AC310" t="inlineStr">
        <is>
          <t>missile</t>
        </is>
      </c>
      <c r="AD310" t="inlineStr">
        <is>
          <t>Wikipedia 'MIM-104 Patriot': ripples a few seconds apart (est. 3 s)</t>
        </is>
      </c>
      <c r="AE310" t="inlineStr">
        <is>
          <t>PAC-2</t>
        </is>
      </c>
      <c r="AF310" t="inlineStr">
        <is>
          <t>Tools/balance/full_weapon_audit.py: REAL / WARHEAD; balance.json weapons[id=sam_battery].real</t>
        </is>
      </c>
      <c r="AG310" t="inlineStr"/>
    </row>
    <row r="311">
      <c r="A311" t="inlineStr">
        <is>
          <t>sam_battery_lrr</t>
        </is>
      </c>
      <c r="B311" t="inlineStr">
        <is>
          <t>sam_battery_lrr</t>
        </is>
      </c>
      <c r="C311" t="inlineStr">
        <is>
          <t>MIM-104 Patriot PAC-2</t>
        </is>
      </c>
      <c r="D311" t="inlineStr">
        <is>
          <t>doi_that</t>
        </is>
      </c>
      <c r="E311" t="inlineStr">
        <is>
          <t>MIM-104 Patriot PAC-2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uoc_dinh</t>
        </is>
      </c>
      <c r="P311" t="inlineStr">
        <is>
          <t>R_balance;R_full_weapon_audit;W_wikipedia_mim_104_patriot;R_machine_brigade_can_bang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inlineStr">
        <is>
          <t>NEED_SOURCE</t>
        </is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20</v>
      </c>
      <c r="Y311" t="n">
        <v>20</v>
      </c>
      <c r="Z311" t="inlineStr">
        <is>
          <t>NEED_SOURCE</t>
        </is>
      </c>
      <c r="AA311" t="inlineStr">
        <is>
          <t>NEED_SOURCE</t>
        </is>
      </c>
      <c r="AB311" t="inlineStr">
        <is>
          <t>NEED_SOURCE</t>
        </is>
      </c>
      <c r="AC311" t="inlineStr">
        <is>
          <t>missile</t>
        </is>
      </c>
      <c r="AD311" t="inlineStr">
        <is>
          <t>Wikipedia 'MIM-104 Patriot': ripples a few seconds apart (est. 3 s)</t>
        </is>
      </c>
      <c r="AE311" t="inlineStr">
        <is>
          <t>PAC-2</t>
        </is>
      </c>
      <c r="AF311" t="inlineStr">
        <is>
          <t>Tools/balance/full_weapon_audit.py: REAL / WARHEAD; balance.json weapons[id=sam_battery_lrr].real</t>
        </is>
      </c>
      <c r="AG311" t="inlineStr"/>
    </row>
    <row r="312">
      <c r="A312" t="inlineStr">
        <is>
          <t>sam_long</t>
        </is>
      </c>
      <c r="B312" t="inlineStr">
        <is>
          <t>sam_long</t>
        </is>
      </c>
      <c r="C312" t="inlineStr">
        <is>
          <t>9M317 Buk</t>
        </is>
      </c>
      <c r="D312" t="inlineStr">
        <is>
          <t>doi_that</t>
        </is>
      </c>
      <c r="E312" t="inlineStr">
        <is>
          <t>9M317 Buk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da_kiem_chung</t>
        </is>
      </c>
      <c r="P312" t="inlineStr">
        <is>
          <t>R_balance;R_full_weapon_audit;W_wikipedia_buk_missile_system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inlineStr">
        <is>
          <t>NEED_SOURCE</t>
        </is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15</v>
      </c>
      <c r="Y312" t="n">
        <v>15</v>
      </c>
      <c r="Z312" t="inlineStr">
        <is>
          <t>NEED_SOURCE</t>
        </is>
      </c>
      <c r="AA312" t="inlineStr">
        <is>
          <t>NEED_SOURCE</t>
        </is>
      </c>
      <c r="AB312" t="inlineStr">
        <is>
          <t>NEED_SOURCE</t>
        </is>
      </c>
      <c r="AC312" t="inlineStr">
        <is>
          <t>missile</t>
        </is>
      </c>
      <c r="AD312" t="inlineStr">
        <is>
          <t>Wikipedia 'Buk missile system': 4 s between launches</t>
        </is>
      </c>
      <c r="AE312" t="inlineStr"/>
      <c r="AF312" t="inlineStr">
        <is>
          <t>Tools/balance/full_weapon_audit.py: REAL / WARHEAD; balance.json weapons[id=sam_long].real</t>
        </is>
      </c>
      <c r="AG312" t="inlineStr"/>
    </row>
    <row r="313">
      <c r="A313" t="inlineStr">
        <is>
          <t>sam_pac3</t>
        </is>
      </c>
      <c r="B313" t="inlineStr">
        <is>
          <t>sam_pac3</t>
        </is>
      </c>
      <c r="C313" t="inlineStr">
        <is>
          <t>Patriot PAC-3 MSE</t>
        </is>
      </c>
      <c r="D313" t="inlineStr">
        <is>
          <t>doi_that</t>
        </is>
      </c>
      <c r="E313" t="inlineStr">
        <is>
          <t>Patriot PAC-3 MSE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uoc_dinh</t>
        </is>
      </c>
      <c r="P313" t="inlineStr">
        <is>
          <t>R_balance;R_full_weapon_audit;W_wikipedia_mim_104_patriot;W_wikipedia_bai_cua_tung_ten_lua_bang_warhead;R_machine_brigade_can_bang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inlineStr">
        <is>
          <t>NEED_SOURCE</t>
        </is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20</v>
      </c>
      <c r="Y313" t="n">
        <v>20</v>
      </c>
      <c r="Z313" t="inlineStr">
        <is>
          <t>NEED_SOURCE</t>
        </is>
      </c>
      <c r="AA313" t="inlineStr">
        <is>
          <t>NEED_SOURCE</t>
        </is>
      </c>
      <c r="AB313" t="n">
        <v>7</v>
      </c>
      <c r="AC313" t="inlineStr">
        <is>
          <t>missile</t>
        </is>
      </c>
      <c r="AD313" t="inlineStr">
        <is>
          <t>Wikipedia 'MIM-104 Patriot': ripples a few seconds apart (est. 3 s)</t>
        </is>
      </c>
      <c r="AE313" t="inlineStr">
        <is>
          <t>PAC-3 MSE: 35–60 km, Mach 5</t>
        </is>
      </c>
      <c r="AF313" t="inlineStr">
        <is>
          <t>Tools/balance/full_weapon_audit.py: REAL / WARHEAD; balance.json weapons[id=sam_pac3].real</t>
        </is>
      </c>
      <c r="AG313" t="inlineStr"/>
    </row>
    <row r="314">
      <c r="A314" t="inlineStr">
        <is>
          <t>sam_post</t>
        </is>
      </c>
      <c r="B314" t="inlineStr">
        <is>
          <t>sam_post</t>
        </is>
      </c>
      <c r="C314" t="inlineStr">
        <is>
          <t>9M317 Buk</t>
        </is>
      </c>
      <c r="D314" t="inlineStr">
        <is>
          <t>doi_that</t>
        </is>
      </c>
      <c r="E314" t="inlineStr">
        <is>
          <t>9M317 Buk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da_kiem_chung</t>
        </is>
      </c>
      <c r="P314" t="inlineStr">
        <is>
          <t>R_balance;R_full_weapon_audit;W_wikipedia_buk_missile_system;R_machine_brigade_can_bang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inlineStr">
        <is>
          <t>NEED_SOURCE</t>
        </is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15</v>
      </c>
      <c r="Y314" t="n">
        <v>15</v>
      </c>
      <c r="Z314" t="inlineStr">
        <is>
          <t>NEED_SOURCE</t>
        </is>
      </c>
      <c r="AA314" t="inlineStr">
        <is>
          <t>NEED_SOURCE</t>
        </is>
      </c>
      <c r="AB314" t="inlineStr">
        <is>
          <t>NEED_SOURCE</t>
        </is>
      </c>
      <c r="AC314" t="inlineStr">
        <is>
          <t>missile</t>
        </is>
      </c>
      <c r="AD314" t="inlineStr">
        <is>
          <t>Wikipedia 'Buk missile system': 4 s between launches</t>
        </is>
      </c>
      <c r="AE314" t="inlineStr">
        <is>
          <t>9M317 Buk</t>
        </is>
      </c>
      <c r="AF314" t="inlineStr">
        <is>
          <t>Tools/balance/full_weapon_audit.py: REAL / WARHEAD; balance.json weapons[id=sam_post].real</t>
        </is>
      </c>
      <c r="AG314" t="inlineStr"/>
    </row>
    <row r="315">
      <c r="A315" t="inlineStr">
        <is>
          <t>scout_rockets</t>
        </is>
      </c>
      <c r="B315" t="inlineStr">
        <is>
          <t>scout_rockets</t>
        </is>
      </c>
      <c r="C315" t="inlineStr">
        <is>
          <t>Hydra 70 mm</t>
        </is>
      </c>
      <c r="D315" t="inlineStr">
        <is>
          <t>doi_that</t>
        </is>
      </c>
      <c r="E315" t="inlineStr">
        <is>
          <t>Hydra 70 mm</t>
        </is>
      </c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>
        <is>
          <t>ban_dau_doan</t>
        </is>
      </c>
      <c r="P315" t="inlineStr">
        <is>
          <t>R_balance;R_full_weapon_audit;R_decisions;R_machine_brigade_can_bang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n">
        <v>70</v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900</v>
      </c>
      <c r="Y315" t="inlineStr">
        <is>
          <t>NEED_SOURCE</t>
        </is>
      </c>
      <c r="Z315" t="inlineStr">
        <is>
          <t>NEED_SOURCE</t>
        </is>
      </c>
      <c r="AA315" t="inlineStr">
        <is>
          <t>NEED_SOURCE</t>
        </is>
      </c>
      <c r="AB315" t="inlineStr"/>
      <c r="AC315" t="inlineStr">
        <is>
          <t>rocket</t>
        </is>
      </c>
      <c r="AD315" t="inlineStr">
        <is>
          <t>rocket pods: ripples of 0.05-0.12 s (DECISIONS 19R)</t>
        </is>
      </c>
      <c r="AE315" t="inlineStr">
        <is>
          <t>Hydra 70</t>
        </is>
      </c>
      <c r="AF315" t="inlineStr">
        <is>
          <t>Tools/balance/full_weapon_audit.py: REAL / WARHEAD; balance.json weapons[id=scout_rockets].real</t>
        </is>
      </c>
      <c r="AG315" t="inlineStr"/>
    </row>
    <row r="316">
      <c r="A316" t="inlineStr">
        <is>
          <t>scylla_2m7</t>
        </is>
      </c>
      <c r="B316" t="inlineStr">
        <is>
          <t>scylla_2m7</t>
        </is>
      </c>
      <c r="C316" t="inlineStr">
        <is>
          <t>2M-7 14.5 mm (twin HMG)</t>
        </is>
      </c>
      <c r="D316" t="inlineStr">
        <is>
          <t>doi_that</t>
        </is>
      </c>
      <c r="E316" t="inlineStr">
        <is>
          <t>2M-7 14.5 mm (twin HMG)</t>
        </is>
      </c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>
        <is>
          <t>ban_dau_doan</t>
        </is>
      </c>
      <c r="P316" t="inlineStr">
        <is>
          <t>R_balance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n">
        <v>14.5</v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inlineStr">
        <is>
          <t>NEED_SOURCE</t>
        </is>
      </c>
      <c r="Y316" t="inlineStr">
        <is>
          <t>NEED_SOURCE</t>
        </is>
      </c>
      <c r="Z316" t="inlineStr">
        <is>
          <t>NEED_SOURCE</t>
        </is>
      </c>
      <c r="AA316" t="inlineStr">
        <is>
          <t>NEED_SOURCE</t>
        </is>
      </c>
      <c r="AB316" t="inlineStr"/>
      <c r="AC316" t="inlineStr"/>
      <c r="AD316" t="inlineStr"/>
      <c r="AE316" t="inlineStr"/>
      <c r="AF316" t="inlineStr">
        <is>
          <t>Tools/balance/full_weapon_audit.py: REAL / WARHEAD; balance.json weapons[id=scylla_2m7].real</t>
        </is>
      </c>
      <c r="AG316" t="inlineStr"/>
    </row>
    <row r="317">
      <c r="A317" t="inlineStr">
        <is>
          <t>scylla_ak230</t>
        </is>
      </c>
      <c r="B317" t="inlineStr">
        <is>
          <t>scylla_ak230</t>
        </is>
      </c>
      <c r="C317" t="inlineStr">
        <is>
          <t>AK-230 30 mm (twin, enclosed)</t>
        </is>
      </c>
      <c r="D317" t="inlineStr">
        <is>
          <t>doi_that</t>
        </is>
      </c>
      <c r="E317" t="inlineStr">
        <is>
          <t>AK-230 30 mm (twin, enclosed)</t>
        </is>
      </c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  <c r="O317" t="inlineStr">
        <is>
          <t>ban_dau_doan</t>
        </is>
      </c>
      <c r="P317" t="inlineStr">
        <is>
          <t>R_balance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30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inlineStr">
        <is>
          <t>NEED_SOURCE</t>
        </is>
      </c>
      <c r="Y317" t="inlineStr">
        <is>
          <t>NEED_SOURCE</t>
        </is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/>
      <c r="AD317" t="inlineStr"/>
      <c r="AE317" t="inlineStr"/>
      <c r="AF317" t="inlineStr">
        <is>
          <t>Tools/balance/full_weapon_audit.py: REAL / WARHEAD; balance.json weapons[id=scylla_ak230].real</t>
        </is>
      </c>
      <c r="AG317" t="inlineStr"/>
    </row>
    <row r="318">
      <c r="A318" t="inlineStr">
        <is>
          <t>scylla_kh35</t>
        </is>
      </c>
      <c r="B318" t="inlineStr">
        <is>
          <t>scylla_kh35</t>
        </is>
      </c>
      <c r="C318" t="inlineStr">
        <is>
          <t>Kh-35U Uran (quad canister bank)</t>
        </is>
      </c>
      <c r="D318" t="inlineStr">
        <is>
          <t>doi_that</t>
        </is>
      </c>
      <c r="E318" t="inlineStr">
        <is>
          <t>Kh-35U Uran (quad canister bank)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ban_dau_doan</t>
        </is>
      </c>
      <c r="P318" t="inlineStr">
        <is>
          <t>R_balance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inlineStr">
        <is>
          <t>NEED_SOURCE</t>
        </is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inlineStr">
        <is>
          <t>NEED_SOURCE</t>
        </is>
      </c>
      <c r="Y318" t="inlineStr">
        <is>
          <t>NEED_SOURCE</t>
        </is>
      </c>
      <c r="Z318" t="inlineStr">
        <is>
          <t>NEED_SOURCE</t>
        </is>
      </c>
      <c r="AA318" t="inlineStr">
        <is>
          <t>NEED_SOURCE</t>
        </is>
      </c>
      <c r="AB318" t="inlineStr">
        <is>
          <t>NEED_SOURCE</t>
        </is>
      </c>
      <c r="AC318" t="inlineStr"/>
      <c r="AD318" t="inlineStr"/>
      <c r="AE318" t="inlineStr"/>
      <c r="AF318" t="inlineStr">
        <is>
          <t>Tools/balance/full_weapon_audit.py: REAL / WARHEAD; balance.json weapons[id=scylla_kh35].real</t>
        </is>
      </c>
      <c r="AG318" t="inlineStr"/>
    </row>
    <row r="319">
      <c r="A319" t="inlineStr">
        <is>
          <t>shahed</t>
        </is>
      </c>
      <c r="B319" t="inlineStr">
        <is>
          <t>shahed</t>
        </is>
      </c>
      <c r="C319" t="inlineStr">
        <is>
          <t>Shahed-136 (50 kg)</t>
        </is>
      </c>
      <c r="D319" t="inlineStr">
        <is>
          <t>doi_that</t>
        </is>
      </c>
      <c r="E319" t="inlineStr">
        <is>
          <t>Shahed-136 (50 kg)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ban_dau_doan</t>
        </is>
      </c>
      <c r="P319" t="inlineStr">
        <is>
          <t>R_balance;R_machine_brigade_can_bang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inlineStr">
        <is>
          <t>NEED_SOURCE</t>
        </is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inlineStr">
        <is>
          <t>NEED_SOURCE</t>
        </is>
      </c>
      <c r="Y319" t="inlineStr">
        <is>
          <t>NEED_SOURCE</t>
        </is>
      </c>
      <c r="Z319" t="inlineStr">
        <is>
          <t>NEED_SOURCE</t>
        </is>
      </c>
      <c r="AA319" t="inlineStr">
        <is>
          <t>NEED_SOURCE</t>
        </is>
      </c>
      <c r="AB319" t="inlineStr"/>
      <c r="AC319" t="inlineStr"/>
      <c r="AD319" t="inlineStr"/>
      <c r="AE319" t="inlineStr">
        <is>
          <t>Shahed-136: đầu nổ 40–50 kg</t>
        </is>
      </c>
      <c r="AF319" t="inlineStr">
        <is>
          <t>Tools/balance/full_weapon_audit.py: REAL / WARHEAD; balance.json weapons[id=shahed].real</t>
        </is>
      </c>
      <c r="AG319" t="inlineStr"/>
    </row>
    <row r="320">
      <c r="A320" t="inlineStr">
        <is>
          <t>siege_gun_105</t>
        </is>
      </c>
      <c r="B320" t="inlineStr">
        <is>
          <t>siege_gun_105</t>
        </is>
      </c>
      <c r="C320" t="inlineStr">
        <is>
          <t>L7 105 mm (siege tank)</t>
        </is>
      </c>
      <c r="D320" t="inlineStr">
        <is>
          <t>doi_that</t>
        </is>
      </c>
      <c r="E320" t="inlineStr">
        <is>
          <t>L7 105 mm (siege tank)</t>
        </is>
      </c>
      <c r="F320" t="inlineStr"/>
      <c r="G320" t="inlineStr"/>
      <c r="H320" t="inlineStr"/>
      <c r="I320" t="inlineStr"/>
      <c r="J320" t="inlineStr"/>
      <c r="K320" t="inlineStr"/>
      <c r="L320" t="inlineStr">
        <is>
          <t>nhịp chậm hơn 30 % và mạnh hơn tương ứng (luật súng của game)</t>
        </is>
      </c>
      <c r="M320" t="inlineStr">
        <is>
          <t>gameplay</t>
        </is>
      </c>
      <c r="N320" t="inlineStr"/>
      <c r="O320" t="inlineStr">
        <is>
          <t>da_kiem_chung</t>
        </is>
      </c>
      <c r="P320" t="inlineStr">
        <is>
          <t>R_balance;R_full_weapon_audit;W_wikipedia_royal_ordnance_l7;R_machine_brigade_can_bang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105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10</v>
      </c>
      <c r="Y320" t="n">
        <v>6</v>
      </c>
      <c r="Z320" t="inlineStr">
        <is>
          <t>NEED_SOURCE</t>
        </is>
      </c>
      <c r="AA320" t="inlineStr">
        <is>
          <t>NEED_SOURCE</t>
        </is>
      </c>
      <c r="AB320" t="inlineStr"/>
      <c r="AC320" t="inlineStr">
        <is>
          <t>gun</t>
        </is>
      </c>
      <c r="AD320" t="inlineStr">
        <is>
          <t>Wikipedia 'Royal Ordnance L7': 6-10 rpm</t>
        </is>
      </c>
      <c r="AE320" t="inlineStr">
        <is>
          <t>L7 105 mm</t>
        </is>
      </c>
      <c r="AF320" t="inlineStr">
        <is>
          <t>Tools/balance/full_weapon_audit.py: REAL / WARHEAD; balance.json weapons[id=siege_gun_105].real</t>
        </is>
      </c>
      <c r="AG320" t="inlineStr"/>
    </row>
    <row r="321">
      <c r="A321" t="inlineStr">
        <is>
          <t>siege_gun_105_he</t>
        </is>
      </c>
      <c r="B321" t="inlineStr">
        <is>
          <t>siege_gun_105_he</t>
        </is>
      </c>
      <c r="C321" t="inlineStr">
        <is>
          <t>L7 105 mm HE (siege tank)</t>
        </is>
      </c>
      <c r="D321" t="inlineStr">
        <is>
          <t>doi_that</t>
        </is>
      </c>
      <c r="E321" t="inlineStr">
        <is>
          <t>L7 105 mm HE (siege tank)</t>
        </is>
      </c>
      <c r="F321" t="inlineStr"/>
      <c r="G321" t="inlineStr"/>
      <c r="H321" t="inlineStr"/>
      <c r="I321" t="inlineStr"/>
      <c r="J321" t="inlineStr"/>
      <c r="K321" t="inlineStr"/>
      <c r="L321" t="inlineStr">
        <is>
          <t>nhịp chậm hơn 30 % và mạnh hơn tương ứng (luật súng của game)</t>
        </is>
      </c>
      <c r="M321" t="inlineStr">
        <is>
          <t>gameplay</t>
        </is>
      </c>
      <c r="N321" t="inlineStr"/>
      <c r="O321" t="inlineStr">
        <is>
          <t>da_kiem_chung</t>
        </is>
      </c>
      <c r="P321" t="inlineStr">
        <is>
          <t>R_balance;R_full_weapon_audit;W_wikipedia_royal_ordnance_l7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n">
        <v>105</v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10</v>
      </c>
      <c r="Y321" t="n">
        <v>6</v>
      </c>
      <c r="Z321" t="inlineStr">
        <is>
          <t>NEED_SOURCE</t>
        </is>
      </c>
      <c r="AA321" t="inlineStr">
        <is>
          <t>NEED_SOURCE</t>
        </is>
      </c>
      <c r="AB321" t="inlineStr"/>
      <c r="AC321" t="inlineStr">
        <is>
          <t>gun</t>
        </is>
      </c>
      <c r="AD321" t="inlineStr">
        <is>
          <t>Wikipedia 'Royal Ordnance L7': 6-10 rpm</t>
        </is>
      </c>
      <c r="AE321" t="inlineStr"/>
      <c r="AF321" t="inlineStr">
        <is>
          <t>Tools/balance/full_weapon_audit.py: REAL / WARHEAD; balance.json weapons[id=siege_gun_105_he].real</t>
        </is>
      </c>
      <c r="AG321" t="inlineStr"/>
    </row>
    <row r="322">
      <c r="A322" t="inlineStr">
        <is>
          <t>siege_mortar_240</t>
        </is>
      </c>
      <c r="B322" t="inlineStr">
        <is>
          <t>siege_mortar_240</t>
        </is>
      </c>
      <c r="C322" t="inlineStr">
        <is>
          <t>2B8 240 mm (siege tank)</t>
        </is>
      </c>
      <c r="D322" t="inlineStr">
        <is>
          <t>doi_that</t>
        </is>
      </c>
      <c r="E322" t="inlineStr">
        <is>
          <t>2B8 240 mm (siege tank)</t>
        </is>
      </c>
      <c r="F322" t="inlineStr"/>
      <c r="G322" t="inlineStr"/>
      <c r="H322" t="inlineStr"/>
      <c r="I322" t="inlineStr"/>
      <c r="J322" t="inlineStr"/>
      <c r="K322" t="inlineStr"/>
      <c r="L322" t="inlineStr">
        <is>
          <t>nhịp chậm hơn 30 % và mạnh hơn tương ứng (luật súng của game)</t>
        </is>
      </c>
      <c r="M322" t="inlineStr">
        <is>
          <t>gameplay</t>
        </is>
      </c>
      <c r="N322" t="inlineStr"/>
      <c r="O322" t="inlineStr">
        <is>
          <t>da_kiem_chung</t>
        </is>
      </c>
      <c r="P322" t="inlineStr">
        <is>
          <t>R_balance;R_full_weapon_audit;W_wikipedia_2s4_tyulpan;R_machine_brigade_can_bang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n">
        <v>240</v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1</v>
      </c>
      <c r="Y322" t="n">
        <v>1</v>
      </c>
      <c r="Z322" t="inlineStr">
        <is>
          <t>NEED_SOURCE</t>
        </is>
      </c>
      <c r="AA322" t="inlineStr">
        <is>
          <t>NEED_SOURCE</t>
        </is>
      </c>
      <c r="AB322" t="inlineStr"/>
      <c r="AC322" t="inlineStr">
        <is>
          <t>gun</t>
        </is>
      </c>
      <c r="AD322" t="inlineStr">
        <is>
          <t>Wikipedia '2S4 Tyulpan': ~1 rpm</t>
        </is>
      </c>
      <c r="AE322" t="inlineStr">
        <is>
          <t>2B8 240 mm</t>
        </is>
      </c>
      <c r="AF322" t="inlineStr">
        <is>
          <t>Tools/balance/full_weapon_audit.py: REAL / WARHEAD; balance.json weapons[id=siege_mortar_240].real</t>
        </is>
      </c>
      <c r="AG322" t="inlineStr"/>
    </row>
    <row r="323">
      <c r="A323" t="inlineStr">
        <is>
          <t>spg9_73mm</t>
        </is>
      </c>
      <c r="B323" t="inlineStr">
        <is>
          <t>spg9_73mm</t>
        </is>
      </c>
      <c r="C323" t="inlineStr">
        <is>
          <t>SPG-9 Kopyo 73 mm</t>
        </is>
      </c>
      <c r="D323" t="inlineStr">
        <is>
          <t>doi_that</t>
        </is>
      </c>
      <c r="E323" t="inlineStr">
        <is>
          <t>SPG-9 Kopyo 73 mm</t>
        </is>
      </c>
      <c r="F323" t="inlineStr"/>
      <c r="G323" t="inlineStr"/>
      <c r="H323" t="inlineStr"/>
      <c r="I323" t="inlineStr"/>
      <c r="J323" t="inlineStr"/>
      <c r="K323" t="inlineStr"/>
      <c r="L323" t="inlineStr">
        <is>
          <t>nhịp chậm hơn 30 % và mạnh hơn tương ứng (luật súng của game)</t>
        </is>
      </c>
      <c r="M323" t="inlineStr">
        <is>
          <t>gameplay</t>
        </is>
      </c>
      <c r="N323" t="inlineStr"/>
      <c r="O323" t="inlineStr">
        <is>
          <t>da_kiem_chung</t>
        </is>
      </c>
      <c r="P323" t="inlineStr">
        <is>
          <t>R_balance;R_full_weapon_audit;W_wikipedia_spg_9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n">
        <v>73</v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6</v>
      </c>
      <c r="Y323" t="n">
        <v>4</v>
      </c>
      <c r="Z323" t="inlineStr">
        <is>
          <t>NEED_SOURCE</t>
        </is>
      </c>
      <c r="AA323" t="inlineStr">
        <is>
          <t>NEED_SOURCE</t>
        </is>
      </c>
      <c r="AB323" t="inlineStr"/>
      <c r="AC323" t="inlineStr">
        <is>
          <t>gun</t>
        </is>
      </c>
      <c r="AD323" t="inlineStr">
        <is>
          <t>Wikipedia 'SPG-9': 5-6 rpm</t>
        </is>
      </c>
      <c r="AE323" t="inlineStr"/>
      <c r="AF323" t="inlineStr">
        <is>
          <t>Tools/balance/full_weapon_audit.py: REAL / WARHEAD; balance.json weapons[id=spg9_73mm].real</t>
        </is>
      </c>
      <c r="AG323" t="inlineStr"/>
    </row>
    <row r="324">
      <c r="A324" t="inlineStr">
        <is>
          <t>stealth_payload</t>
        </is>
      </c>
      <c r="B324" t="inlineStr">
        <is>
          <t>stealth_payload</t>
        </is>
      </c>
      <c r="C324" t="inlineStr">
        <is>
          <t>GBU-31 JDAM (907 kg)</t>
        </is>
      </c>
      <c r="D324" t="inlineStr">
        <is>
          <t>doi_that</t>
        </is>
      </c>
      <c r="E324" t="inlineStr">
        <is>
          <t>GBU-31 JDAM (907 kg)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uoc_dinh</t>
        </is>
      </c>
      <c r="P324" t="inlineStr">
        <is>
          <t>R_balance;R_full_weapon_audit;R_machine_brigade_can_bang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inlineStr">
        <is>
          <t>NEED_SOURCE</t>
        </is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600</v>
      </c>
      <c r="Y324" t="inlineStr">
        <is>
          <t>NEED_SOURCE</t>
        </is>
      </c>
      <c r="Z324" t="inlineStr">
        <is>
          <t>NEED_SOURCE</t>
        </is>
      </c>
      <c r="AA324" t="inlineStr">
        <is>
          <t>NEED_SOURCE</t>
        </is>
      </c>
      <c r="AB324" t="inlineStr"/>
      <c r="AC324" t="inlineStr">
        <is>
          <t>bomb</t>
        </is>
      </c>
      <c r="AD324" t="inlineStr">
        <is>
          <t>a stick's release, 0.1 s and up (est.)</t>
        </is>
      </c>
      <c r="AE324" t="inlineStr">
        <is>
          <t>GBU-31 (Mk 84): ~430 kg thuốc nổ</t>
        </is>
      </c>
      <c r="AF324" t="inlineStr">
        <is>
          <t>Tools/balance/full_weapon_audit.py: REAL / WARHEAD; balance.json weapons[id=stealth_payload].real</t>
        </is>
      </c>
      <c r="AG324" t="inlineStr"/>
    </row>
    <row r="325">
      <c r="A325" t="inlineStr">
        <is>
          <t>stinger_atas</t>
        </is>
      </c>
      <c r="B325" t="inlineStr">
        <is>
          <t>stinger_atas</t>
        </is>
      </c>
      <c r="C325" t="inlineStr">
        <is>
          <t>FIM-92 Stinger (ATAS)</t>
        </is>
      </c>
      <c r="D325" t="inlineStr">
        <is>
          <t>doi_that</t>
        </is>
      </c>
      <c r="E325" t="inlineStr">
        <is>
          <t>FIM-92 Stinger (ATAS)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uoc_dinh</t>
        </is>
      </c>
      <c r="P325" t="inlineStr">
        <is>
          <t>R_balance;R_full_weapon_audit;R_machine_brigade_can_bang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inlineStr">
        <is>
          <t>NEED_SOURCE</t>
        </is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20</v>
      </c>
      <c r="Y325" t="n">
        <v>10</v>
      </c>
      <c r="Z325" t="inlineStr">
        <is>
          <t>NEED_SOURCE</t>
        </is>
      </c>
      <c r="AA325" t="inlineStr">
        <is>
          <t>NEED_SOURCE</t>
        </is>
      </c>
      <c r="AB325" t="inlineStr">
        <is>
          <t>NEED_SOURCE</t>
        </is>
      </c>
      <c r="AC325" t="inlineStr">
        <is>
          <t>missile</t>
        </is>
      </c>
      <c r="AD325" t="inlineStr">
        <is>
          <t>Avenger / Stormer: ~3 s between rounds (est.); a MANPADS team 6-10 s</t>
        </is>
      </c>
      <c r="AE325" t="inlineStr">
        <is>
          <t>Stinger: 4,8 km, Mach 2,2</t>
        </is>
      </c>
      <c r="AF325" t="inlineStr">
        <is>
          <t>Tools/balance/full_weapon_audit.py: REAL / WARHEAD; balance.json weapons[id=stinger_atas].real</t>
        </is>
      </c>
      <c r="AG325" t="inlineStr"/>
    </row>
    <row r="326">
      <c r="A326" t="inlineStr">
        <is>
          <t>stinger_post</t>
        </is>
      </c>
      <c r="B326" t="inlineStr">
        <is>
          <t>stinger_post</t>
        </is>
      </c>
      <c r="C326" t="inlineStr">
        <is>
          <t>FIM-92 Stinger (tower post)</t>
        </is>
      </c>
      <c r="D326" t="inlineStr">
        <is>
          <t>doi_that</t>
        </is>
      </c>
      <c r="E326" t="inlineStr">
        <is>
          <t>FIM-92 Stinger (tower post)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uoc_dinh</t>
        </is>
      </c>
      <c r="P326" t="inlineStr">
        <is>
          <t>R_balance;R_full_weapon_audit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inlineStr">
        <is>
          <t>NEED_SOURCE</t>
        </is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20</v>
      </c>
      <c r="Y326" t="n">
        <v>10</v>
      </c>
      <c r="Z326" t="inlineStr">
        <is>
          <t>NEED_SOURCE</t>
        </is>
      </c>
      <c r="AA326" t="inlineStr">
        <is>
          <t>NEED_SOURCE</t>
        </is>
      </c>
      <c r="AB326" t="inlineStr">
        <is>
          <t>NEED_SOURCE</t>
        </is>
      </c>
      <c r="AC326" t="inlineStr">
        <is>
          <t>missile</t>
        </is>
      </c>
      <c r="AD326" t="inlineStr">
        <is>
          <t>Avenger / Stormer: ~3 s between rounds (est.); a MANPADS team 6-10 s</t>
        </is>
      </c>
      <c r="AE326" t="inlineStr"/>
      <c r="AF326" t="inlineStr">
        <is>
          <t>Tools/balance/full_weapon_audit.py: REAL / WARHEAD; balance.json weapons[id=stinger_post].real</t>
        </is>
      </c>
      <c r="AG326" t="inlineStr"/>
    </row>
    <row r="327">
      <c r="A327" t="inlineStr">
        <is>
          <t>swarm_drones</t>
        </is>
      </c>
      <c r="B327" t="inlineStr">
        <is>
          <t>swarm_drones</t>
        </is>
      </c>
      <c r="C327" t="inlineStr">
        <is>
          <t>FPV drone (1.5 kg)</t>
        </is>
      </c>
      <c r="D327" t="inlineStr">
        <is>
          <t>doi_that</t>
        </is>
      </c>
      <c r="E327" t="inlineStr">
        <is>
          <t>FPV drone (1.5 kg)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ban_dau_doan</t>
        </is>
      </c>
      <c r="P327" t="inlineStr">
        <is>
          <t>R_balance;R_machine_brigade_can_bang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inlineStr">
        <is>
          <t>NEED_SOURCE</t>
        </is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inlineStr">
        <is>
          <t>NEED_SOURCE</t>
        </is>
      </c>
      <c r="Y327" t="inlineStr">
        <is>
          <t>NEED_SOURCE</t>
        </is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/>
      <c r="AD327" t="inlineStr"/>
      <c r="AE327" t="inlineStr">
        <is>
          <t>FPV</t>
        </is>
      </c>
      <c r="AF327" t="inlineStr">
        <is>
          <t>Tools/balance/full_weapon_audit.py: REAL / WARHEAD; balance.json weapons[id=swarm_drones].real</t>
        </is>
      </c>
      <c r="AG327" t="inlineStr"/>
    </row>
    <row r="328">
      <c r="A328" t="inlineStr">
        <is>
          <t>tamir</t>
        </is>
      </c>
      <c r="B328" t="inlineStr">
        <is>
          <t>tamir</t>
        </is>
      </c>
      <c r="C328" t="inlineStr">
        <is>
          <t>Tamir interceptor (Iron Dome)</t>
        </is>
      </c>
      <c r="D328" t="inlineStr">
        <is>
          <t>doi_that</t>
        </is>
      </c>
      <c r="E328" t="inlineStr">
        <is>
          <t>Tamir interceptor (Iron Dome)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ban_dau_doan</t>
        </is>
      </c>
      <c r="P328" t="inlineStr">
        <is>
          <t>R_balance;R_full_weapon_audit;R_decisions;R_machine_brigade_can_bang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inlineStr">
        <is>
          <t>NEED_SOURCE</t>
        </is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60</v>
      </c>
      <c r="Y328" t="n">
        <v>30</v>
      </c>
      <c r="Z328" t="inlineStr">
        <is>
          <t>NEED_SOURCE</t>
        </is>
      </c>
      <c r="AA328" t="inlineStr">
        <is>
          <t>NEED_SOURCE</t>
        </is>
      </c>
      <c r="AB328" t="inlineStr">
        <is>
          <t>NEED_SOURCE</t>
        </is>
      </c>
      <c r="AC328" t="inlineStr">
        <is>
          <t>missile</t>
        </is>
      </c>
      <c r="AD328" t="inlineStr">
        <is>
          <t>Iron Dome: launches 1-2 s apart (DECISIONS 19R)</t>
        </is>
      </c>
      <c r="AE328" t="inlineStr">
        <is>
          <t>Tamir: 4–70 km, Mach 2,2</t>
        </is>
      </c>
      <c r="AF328" t="inlineStr">
        <is>
          <t>Tools/balance/full_weapon_audit.py: REAL / WARHEAD; balance.json weapons[id=tamir].real</t>
        </is>
      </c>
      <c r="AG328" t="inlineStr"/>
    </row>
    <row r="329">
      <c r="A329" t="inlineStr">
        <is>
          <t>technical_rockets</t>
        </is>
      </c>
      <c r="B329" t="inlineStr">
        <is>
          <t>technical_rockets</t>
        </is>
      </c>
      <c r="C329" t="inlineStr">
        <is>
          <t>Type 63 107 mm</t>
        </is>
      </c>
      <c r="D329" t="inlineStr">
        <is>
          <t>doi_that</t>
        </is>
      </c>
      <c r="E329" t="inlineStr">
        <is>
          <t>Type 63 107 mm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>
        <is>
          <t>da_kiem_chung</t>
        </is>
      </c>
      <c r="P329" t="inlineStr">
        <is>
          <t>R_balance;R_full_weapon_audit;W_wikipedia_type_63_mrl;R_machine_brigade_can_bang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107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100</v>
      </c>
      <c r="Y329" t="inlineStr">
        <is>
          <t>NEED_SOURCE</t>
        </is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rocket</t>
        </is>
      </c>
      <c r="AD329" t="inlineStr">
        <is>
          <t>Wikipedia 'Type 63 MRL': 12 rockets in 7-9 s</t>
        </is>
      </c>
      <c r="AE329" t="inlineStr">
        <is>
          <t>Type 63 107 mm: 12 quả trong ~7–9 s</t>
        </is>
      </c>
      <c r="AF329" t="inlineStr">
        <is>
          <t>Tools/balance/full_weapon_audit.py: REAL / WARHEAD; balance.json weapons[id=technical_rockets].real</t>
        </is>
      </c>
      <c r="AG329" t="inlineStr"/>
    </row>
    <row r="330">
      <c r="A330" t="inlineStr">
        <is>
          <t>thermobaric_rockets</t>
        </is>
      </c>
      <c r="B330" t="inlineStr">
        <is>
          <t>thermobaric_rockets</t>
        </is>
      </c>
      <c r="C330" t="inlineStr">
        <is>
          <t>TOS-1A 220 mm thermobaric</t>
        </is>
      </c>
      <c r="D330" t="inlineStr">
        <is>
          <t>doi_that</t>
        </is>
      </c>
      <c r="E330" t="inlineStr">
        <is>
          <t>TOS-1A 220 mm thermobaric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da_kiem_chung</t>
        </is>
      </c>
      <c r="P330" t="inlineStr">
        <is>
          <t>R_balance;R_full_weapon_audit;W_wikipedia_tos_1;R_machine_brigade_can_bang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n">
        <v>220</v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240</v>
      </c>
      <c r="Y330" t="inlineStr">
        <is>
          <t>NEED_SOURCE</t>
        </is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>
        <is>
          <t>rocket</t>
        </is>
      </c>
      <c r="AD330" t="inlineStr">
        <is>
          <t>Wikipedia 'TOS-1': 24 rockets in 6-12 s</t>
        </is>
      </c>
      <c r="AE330" t="inlineStr">
        <is>
          <t>TOS-1A: 24 quả / ~7,5 s; tầm 6 km</t>
        </is>
      </c>
      <c r="AF330" t="inlineStr">
        <is>
          <t>Tools/balance/full_weapon_audit.py: REAL / WARHEAD; balance.json weapons[id=thermobaric_rockets].real</t>
        </is>
      </c>
      <c r="AG330" t="inlineStr"/>
    </row>
    <row r="331">
      <c r="A331" t="inlineStr">
        <is>
          <t>tower_ac25</t>
        </is>
      </c>
      <c r="B331" t="inlineStr">
        <is>
          <t>tower_ac25</t>
        </is>
      </c>
      <c r="C331" t="inlineStr">
        <is>
          <t>M242 Bushmaster 25 mm</t>
        </is>
      </c>
      <c r="D331" t="inlineStr">
        <is>
          <t>doi_that</t>
        </is>
      </c>
      <c r="E331" t="inlineStr">
        <is>
          <t>M242 Bushmaster 25 mm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da_kiem_chung</t>
        </is>
      </c>
      <c r="P331" t="inlineStr">
        <is>
          <t>R_balance;R_full_weapon_audit;W_wikipedia_m242_bushmaster;R_machine_brigade_can_bang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n">
        <v>25</v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500</v>
      </c>
      <c r="Y331" t="n">
        <v>200</v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>
        <is>
          <t>ac</t>
        </is>
      </c>
      <c r="AD331" t="inlineStr">
        <is>
          <t>Wikipedia 'M242 Bushmaster': 200 or 500 rpm</t>
        </is>
      </c>
      <c r="AE331" t="inlineStr">
        <is>
          <t>M242: 200/500 phát/phút</t>
        </is>
      </c>
      <c r="AF331" t="inlineStr">
        <is>
          <t>Tools/balance/full_weapon_audit.py: REAL / WARHEAD; balance.json weapons[id=tower_ac25].real</t>
        </is>
      </c>
      <c r="AG331" t="inlineStr"/>
    </row>
    <row r="332">
      <c r="A332" t="inlineStr">
        <is>
          <t>tower_ac25_flak</t>
        </is>
      </c>
      <c r="B332" t="inlineStr">
        <is>
          <t>tower_ac25_flak</t>
        </is>
      </c>
      <c r="C332" t="inlineStr">
        <is>
          <t>M242 Bushmaster 25 mm air-burst</t>
        </is>
      </c>
      <c r="D332" t="inlineStr">
        <is>
          <t>doi_that</t>
        </is>
      </c>
      <c r="E332" t="inlineStr">
        <is>
          <t>M242 Bushmaster 25 mm air-burst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da_kiem_chung</t>
        </is>
      </c>
      <c r="P332" t="inlineStr">
        <is>
          <t>R_balance;R_full_weapon_audit;W_wikipedia_m242_bushmaster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25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500</v>
      </c>
      <c r="Y332" t="n">
        <v>200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ac</t>
        </is>
      </c>
      <c r="AD332" t="inlineStr">
        <is>
          <t>Wikipedia 'M242 Bushmaster': 200 or 500 rpm</t>
        </is>
      </c>
      <c r="AE332" t="inlineStr"/>
      <c r="AF332" t="inlineStr">
        <is>
          <t>Tools/balance/full_weapon_audit.py: REAL / WARHEAD; balance.json weapons[id=tower_ac25_flak].real</t>
        </is>
      </c>
      <c r="AG332" t="inlineStr"/>
    </row>
    <row r="333">
      <c r="A333" t="inlineStr">
        <is>
          <t>tower_agl</t>
        </is>
      </c>
      <c r="B333" t="inlineStr">
        <is>
          <t>tower_agl</t>
        </is>
      </c>
      <c r="C333" t="inlineStr">
        <is>
          <t>Mk 19 40 mm</t>
        </is>
      </c>
      <c r="D333" t="inlineStr">
        <is>
          <t>doi_that</t>
        </is>
      </c>
      <c r="E333" t="inlineStr">
        <is>
          <t>Mk 19 40 mm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da_kiem_chung</t>
        </is>
      </c>
      <c r="P333" t="inlineStr">
        <is>
          <t>R_balance;R_full_weapon_audit;D_us_army_fm_3_22_27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n">
        <v>40</v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375</v>
      </c>
      <c r="Y333" t="n">
        <v>60</v>
      </c>
      <c r="Z333" t="inlineStr">
        <is>
          <t>NEED_SOURCE</t>
        </is>
      </c>
      <c r="AA333" t="inlineStr">
        <is>
          <t>NEED_SOURCE</t>
        </is>
      </c>
      <c r="AB333" t="inlineStr"/>
      <c r="AC333" t="inlineStr">
        <is>
          <t>ac</t>
        </is>
      </c>
      <c r="AD333" t="inlineStr">
        <is>
          <t>US Army FM 3-22.27: 325-375 cyclic, 60 rapid</t>
        </is>
      </c>
      <c r="AE333" t="inlineStr"/>
      <c r="AF333" t="inlineStr">
        <is>
          <t>Tools/balance/full_weapon_audit.py: REAL / WARHEAD; balance.json weapons[id=tower_agl].real</t>
        </is>
      </c>
      <c r="AG333" t="inlineStr"/>
    </row>
    <row r="334">
      <c r="A334" t="inlineStr">
        <is>
          <t>tower_flak_30</t>
        </is>
      </c>
      <c r="B334" t="inlineStr">
        <is>
          <t>tower_flak_30</t>
        </is>
      </c>
      <c r="C334" t="inlineStr">
        <is>
          <t>2A38 30 mm (twin)</t>
        </is>
      </c>
      <c r="D334" t="inlineStr">
        <is>
          <t>doi_that</t>
        </is>
      </c>
      <c r="E334" t="inlineStr">
        <is>
          <t>2A38 30 mm (twin)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da_kiem_chung</t>
        </is>
      </c>
      <c r="P334" t="inlineStr">
        <is>
          <t>R_balance;R_full_weapon_audit;W_wikipedia_2a38;R_machine_brigade_can_bang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n">
        <v>30</v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2500</v>
      </c>
      <c r="Y334" t="n">
        <v>1000</v>
      </c>
      <c r="Z334" t="inlineStr">
        <is>
          <t>NEED_SOURCE</t>
        </is>
      </c>
      <c r="AA334" t="inlineStr">
        <is>
          <t>NEED_SOURCE</t>
        </is>
      </c>
      <c r="AB334" t="inlineStr"/>
      <c r="AC334" t="inlineStr">
        <is>
          <t>aa</t>
        </is>
      </c>
      <c r="AD334" t="inlineStr">
        <is>
          <t>Wikipedia '2A38': 4,060-5,000 rpm the twin mount</t>
        </is>
      </c>
      <c r="AE334" t="inlineStr">
        <is>
          <t>2A38M: ~5.000 phát/phút cả cặp</t>
        </is>
      </c>
      <c r="AF334" t="inlineStr">
        <is>
          <t>Tools/balance/full_weapon_audit.py: REAL / WARHEAD; balance.json weapons[id=tower_flak_30].real</t>
        </is>
      </c>
      <c r="AG334" t="inlineStr"/>
    </row>
    <row r="335">
      <c r="A335" t="inlineStr">
        <is>
          <t>tower_flak_30_ap</t>
        </is>
      </c>
      <c r="B335" t="inlineStr">
        <is>
          <t>tower_flak_30_ap</t>
        </is>
      </c>
      <c r="C335" t="inlineStr">
        <is>
          <t>2A38 30 mm AP (twin)</t>
        </is>
      </c>
      <c r="D335" t="inlineStr">
        <is>
          <t>doi_that</t>
        </is>
      </c>
      <c r="E335" t="inlineStr">
        <is>
          <t>2A38 30 mm AP (twin)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da_kiem_chung</t>
        </is>
      </c>
      <c r="P335" t="inlineStr">
        <is>
          <t>R_balance;R_full_weapon_audit;W_wikipedia_2a38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n">
        <v>30</v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2500</v>
      </c>
      <c r="Y335" t="n">
        <v>1000</v>
      </c>
      <c r="Z335" t="inlineStr">
        <is>
          <t>NEED_SOURCE</t>
        </is>
      </c>
      <c r="AA335" t="inlineStr">
        <is>
          <t>NEED_SOURCE</t>
        </is>
      </c>
      <c r="AB335" t="inlineStr"/>
      <c r="AC335" t="inlineStr">
        <is>
          <t>aa</t>
        </is>
      </c>
      <c r="AD335" t="inlineStr">
        <is>
          <t>Wikipedia '2A38': 4,060-5,000 rpm the twin mount</t>
        </is>
      </c>
      <c r="AE335" t="inlineStr"/>
      <c r="AF335" t="inlineStr">
        <is>
          <t>Tools/balance/full_weapon_audit.py: REAL / WARHEAD; balance.json weapons[id=tower_flak_30_ap].real</t>
        </is>
      </c>
      <c r="AG335" t="inlineStr"/>
    </row>
    <row r="336">
      <c r="A336" t="inlineStr">
        <is>
          <t>tower_hmg</t>
        </is>
      </c>
      <c r="B336" t="inlineStr">
        <is>
          <t>tower_hmg</t>
        </is>
      </c>
      <c r="C336" t="inlineStr">
        <is>
          <t>M2 Browning 12.7 mm</t>
        </is>
      </c>
      <c r="D336" t="inlineStr">
        <is>
          <t>doi_that</t>
        </is>
      </c>
      <c r="E336" t="inlineStr">
        <is>
          <t>M2 Browning 12.7 mm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>
        <is>
          <t>da_kiem_chung</t>
        </is>
      </c>
      <c r="P336" t="inlineStr">
        <is>
          <t>R_balance;R_full_weapon_audit;D_us_army_fm_3_22_65;R_machine_brigade_can_bang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n">
        <v>12.7</v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600</v>
      </c>
      <c r="Y336" t="n">
        <v>40</v>
      </c>
      <c r="Z336" t="inlineStr">
        <is>
          <t>NEED_SOURCE</t>
        </is>
      </c>
      <c r="AA336" t="inlineStr">
        <is>
          <t>NEED_SOURCE</t>
        </is>
      </c>
      <c r="AB336" t="inlineStr"/>
      <c r="AC336" t="inlineStr">
        <is>
          <t>mg</t>
        </is>
      </c>
      <c r="AD336" t="inlineStr">
        <is>
          <t>US Army FM 3-22.65: cyclic 450-600, rapid 40 rpm</t>
        </is>
      </c>
      <c r="AE336" t="inlineStr">
        <is>
          <t>M2: 450–600</t>
        </is>
      </c>
      <c r="AF336" t="inlineStr">
        <is>
          <t>Tools/balance/full_weapon_audit.py: REAL / WARHEAD; balance.json weapons[id=tower_hmg].real</t>
        </is>
      </c>
      <c r="AG336" t="inlineStr"/>
    </row>
    <row r="337">
      <c r="A337" t="inlineStr">
        <is>
          <t>tower_hmg_api</t>
        </is>
      </c>
      <c r="B337" t="inlineStr">
        <is>
          <t>tower_hmg_api</t>
        </is>
      </c>
      <c r="C337" t="inlineStr">
        <is>
          <t>M2 Browning 12.7 mm API</t>
        </is>
      </c>
      <c r="D337" t="inlineStr">
        <is>
          <t>doi_that</t>
        </is>
      </c>
      <c r="E337" t="inlineStr">
        <is>
          <t>M2 Browning 12.7 mm API</t>
        </is>
      </c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  <c r="O337" t="inlineStr">
        <is>
          <t>da_kiem_chung</t>
        </is>
      </c>
      <c r="P337" t="inlineStr">
        <is>
          <t>R_balance;R_full_weapon_audit;D_us_army_fm_3_22_65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n">
        <v>12.7</v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n">
        <v>600</v>
      </c>
      <c r="Y337" t="n">
        <v>40</v>
      </c>
      <c r="Z337" t="inlineStr">
        <is>
          <t>NEED_SOURCE</t>
        </is>
      </c>
      <c r="AA337" t="inlineStr">
        <is>
          <t>NEED_SOURCE</t>
        </is>
      </c>
      <c r="AB337" t="inlineStr"/>
      <c r="AC337" t="inlineStr">
        <is>
          <t>mg</t>
        </is>
      </c>
      <c r="AD337" t="inlineStr">
        <is>
          <t>US Army FM 3-22.65: cyclic 450-600, rapid 40 rpm</t>
        </is>
      </c>
      <c r="AE337" t="inlineStr"/>
      <c r="AF337" t="inlineStr">
        <is>
          <t>Tools/balance/full_weapon_audit.py: REAL / WARHEAD; balance.json weapons[id=tower_hmg_api].real</t>
        </is>
      </c>
      <c r="AG337" t="inlineStr"/>
    </row>
    <row r="338">
      <c r="A338" t="inlineStr">
        <is>
          <t>tower_kornet</t>
        </is>
      </c>
      <c r="B338" t="inlineStr">
        <is>
          <t>tower_kornet</t>
        </is>
      </c>
      <c r="C338" t="inlineStr">
        <is>
          <t>9M133 Kornet</t>
        </is>
      </c>
      <c r="D338" t="inlineStr">
        <is>
          <t>doi_that</t>
        </is>
      </c>
      <c r="E338" t="inlineStr">
        <is>
          <t>9M133 Kornet</t>
        </is>
      </c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>
        <is>
          <t>da_kiem_chung</t>
        </is>
      </c>
      <c r="P338" t="inlineStr">
        <is>
          <t>R_balance;R_full_weapon_audit;W_wikipedia_9m133_kornet;W_wikipedia_bai_cua_tung_ten_lua_bang_warhead;R_machine_brigade_can_bang</t>
        </is>
      </c>
      <c r="Q338" t="inlineStr"/>
      <c r="R3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8" t="inlineStr">
        <is>
          <t>NEED_SOURCE</t>
        </is>
      </c>
      <c r="T338" t="inlineStr">
        <is>
          <t>NEED_SOURCE</t>
        </is>
      </c>
      <c r="U338" t="inlineStr">
        <is>
          <t>NEED_SOURCE</t>
        </is>
      </c>
      <c r="V338" t="inlineStr">
        <is>
          <t>NEED_SOURCE</t>
        </is>
      </c>
      <c r="W338" t="inlineStr">
        <is>
          <t>NEED_SOURCE</t>
        </is>
      </c>
      <c r="X338" t="n">
        <v>3</v>
      </c>
      <c r="Y338" t="n">
        <v>3</v>
      </c>
      <c r="Z338" t="inlineStr">
        <is>
          <t>NEED_SOURCE</t>
        </is>
      </c>
      <c r="AA338" t="inlineStr">
        <is>
          <t>NEED_SOURCE</t>
        </is>
      </c>
      <c r="AB338" t="n">
        <v>7</v>
      </c>
      <c r="AC338" t="inlineStr">
        <is>
          <t>atgm</t>
        </is>
      </c>
      <c r="AD338" t="inlineStr">
        <is>
          <t>Wikipedia '9M133 Kornet': 2-3 rpm</t>
        </is>
      </c>
      <c r="AE338" t="inlineStr">
        <is>
          <t>Kornet: tầm 5,5–8 km, ~300 m/s</t>
        </is>
      </c>
      <c r="AF338" t="inlineStr">
        <is>
          <t>Tools/balance/full_weapon_audit.py: REAL / WARHEAD; balance.json weapons[id=tower_kornet].real</t>
        </is>
      </c>
      <c r="AG338" t="inlineStr"/>
    </row>
    <row r="339">
      <c r="A339" t="inlineStr">
        <is>
          <t>train_gun</t>
        </is>
      </c>
      <c r="B339" t="inlineStr">
        <is>
          <t>train_gun</t>
        </is>
      </c>
      <c r="C339" t="inlineStr">
        <is>
          <t>B-38 152 mm</t>
        </is>
      </c>
      <c r="D339" t="inlineStr">
        <is>
          <t>doi_that</t>
        </is>
      </c>
      <c r="E339" t="inlineStr">
        <is>
          <t>B-38 152 mm</t>
        </is>
      </c>
      <c r="F339" t="inlineStr"/>
      <c r="G339" t="inlineStr"/>
      <c r="H339" t="inlineStr"/>
      <c r="I339" t="inlineStr"/>
      <c r="J339" t="inlineStr"/>
      <c r="K339" t="inlineStr"/>
      <c r="L339" t="inlineStr">
        <is>
          <t>nhịp chậm hơn 30 % và mạnh hơn tương ứng (luật súng của game)</t>
        </is>
      </c>
      <c r="M339" t="inlineStr">
        <is>
          <t>gameplay</t>
        </is>
      </c>
      <c r="N339" t="inlineStr"/>
      <c r="O339" t="inlineStr">
        <is>
          <t>da_kiem_chung</t>
        </is>
      </c>
      <c r="P339" t="inlineStr">
        <is>
          <t>R_balance;R_full_weapon_audit;W_wikipedia_15_2_cm_57_b_38</t>
        </is>
      </c>
      <c r="Q339" t="inlineStr"/>
      <c r="R3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9" t="n">
        <v>152</v>
      </c>
      <c r="T339" t="inlineStr">
        <is>
          <t>NEED_SOURCE</t>
        </is>
      </c>
      <c r="U339" t="inlineStr">
        <is>
          <t>NEED_SOURCE</t>
        </is>
      </c>
      <c r="V339" t="inlineStr">
        <is>
          <t>NEED_SOURCE</t>
        </is>
      </c>
      <c r="W339" t="inlineStr">
        <is>
          <t>NEED_SOURCE</t>
        </is>
      </c>
      <c r="X339" t="n">
        <v>7.5</v>
      </c>
      <c r="Y339" t="n">
        <v>5</v>
      </c>
      <c r="Z339" t="inlineStr">
        <is>
          <t>NEED_SOURCE</t>
        </is>
      </c>
      <c r="AA339" t="inlineStr">
        <is>
          <t>NEED_SOURCE</t>
        </is>
      </c>
      <c r="AB339" t="inlineStr"/>
      <c r="AC339" t="inlineStr">
        <is>
          <t>gun</t>
        </is>
      </c>
      <c r="AD339" t="inlineStr">
        <is>
          <t>Wikipedia '15.2 cm/57 B-38': 5-7.5 rpm</t>
        </is>
      </c>
      <c r="AE339" t="inlineStr"/>
      <c r="AF339" t="inlineStr">
        <is>
          <t>Tools/balance/full_weapon_audit.py: REAL / WARHEAD; balance.json weapons[id=train_gun].real</t>
        </is>
      </c>
      <c r="AG339" t="inlineStr"/>
    </row>
    <row r="340">
      <c r="A340" t="inlineStr">
        <is>
          <t>train_gun_he</t>
        </is>
      </c>
      <c r="B340" t="inlineStr">
        <is>
          <t>train_gun_he</t>
        </is>
      </c>
      <c r="C340" t="inlineStr">
        <is>
          <t>B-38 152 mm HE</t>
        </is>
      </c>
      <c r="D340" t="inlineStr">
        <is>
          <t>doi_that</t>
        </is>
      </c>
      <c r="E340" t="inlineStr">
        <is>
          <t>B-38 152 mm HE</t>
        </is>
      </c>
      <c r="F340" t="inlineStr"/>
      <c r="G340" t="inlineStr"/>
      <c r="H340" t="inlineStr"/>
      <c r="I340" t="inlineStr"/>
      <c r="J340" t="inlineStr"/>
      <c r="K340" t="inlineStr"/>
      <c r="L340" t="inlineStr">
        <is>
          <t>nhịp chậm hơn 30 % và mạnh hơn tương ứng (luật súng của game)</t>
        </is>
      </c>
      <c r="M340" t="inlineStr">
        <is>
          <t>gameplay</t>
        </is>
      </c>
      <c r="N340" t="inlineStr"/>
      <c r="O340" t="inlineStr">
        <is>
          <t>da_kiem_chung</t>
        </is>
      </c>
      <c r="P340" t="inlineStr">
        <is>
          <t>R_balance;R_full_weapon_audit;W_wikipedia_15_2_cm_57_b_38</t>
        </is>
      </c>
      <c r="Q340" t="inlineStr"/>
      <c r="R3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0" t="n">
        <v>152</v>
      </c>
      <c r="T340" t="inlineStr">
        <is>
          <t>NEED_SOURCE</t>
        </is>
      </c>
      <c r="U340" t="inlineStr">
        <is>
          <t>NEED_SOURCE</t>
        </is>
      </c>
      <c r="V340" t="inlineStr">
        <is>
          <t>NEED_SOURCE</t>
        </is>
      </c>
      <c r="W340" t="inlineStr">
        <is>
          <t>NEED_SOURCE</t>
        </is>
      </c>
      <c r="X340" t="n">
        <v>7.5</v>
      </c>
      <c r="Y340" t="n">
        <v>5</v>
      </c>
      <c r="Z340" t="inlineStr">
        <is>
          <t>NEED_SOURCE</t>
        </is>
      </c>
      <c r="AA340" t="inlineStr">
        <is>
          <t>NEED_SOURCE</t>
        </is>
      </c>
      <c r="AB340" t="inlineStr"/>
      <c r="AC340" t="inlineStr">
        <is>
          <t>gun</t>
        </is>
      </c>
      <c r="AD340" t="inlineStr">
        <is>
          <t>Wikipedia '15.2 cm/57 B-38': 5-7.5 rpm</t>
        </is>
      </c>
      <c r="AE340" t="inlineStr"/>
      <c r="AF340" t="inlineStr">
        <is>
          <t>Tools/balance/full_weapon_audit.py: REAL / WARHEAD; balance.json weapons[id=train_gun_he].real</t>
        </is>
      </c>
      <c r="AG340" t="inlineStr"/>
    </row>
    <row r="341">
      <c r="A341" t="inlineStr">
        <is>
          <t>train_mortar</t>
        </is>
      </c>
      <c r="B341" t="inlineStr">
        <is>
          <t>train_mortar</t>
        </is>
      </c>
      <c r="C341" t="inlineStr">
        <is>
          <t>2B11 120 mm (twin)</t>
        </is>
      </c>
      <c r="D341" t="inlineStr">
        <is>
          <t>doi_that</t>
        </is>
      </c>
      <c r="E341" t="inlineStr">
        <is>
          <t>2B11 120 mm (twin)</t>
        </is>
      </c>
      <c r="F341" t="inlineStr"/>
      <c r="G341" t="inlineStr"/>
      <c r="H341" t="inlineStr"/>
      <c r="I341" t="inlineStr"/>
      <c r="J341" t="inlineStr"/>
      <c r="K341" t="inlineStr"/>
      <c r="L341" t="inlineStr">
        <is>
          <t>nhịp chậm hơn 30 % và mạnh hơn tương ứng (luật súng của game)</t>
        </is>
      </c>
      <c r="M341" t="inlineStr">
        <is>
          <t>gameplay</t>
        </is>
      </c>
      <c r="N341" t="inlineStr"/>
      <c r="O341" t="inlineStr">
        <is>
          <t>da_kiem_chung</t>
        </is>
      </c>
      <c r="P341" t="inlineStr">
        <is>
          <t>R_balance;R_full_weapon_audit;W_wikipedia_2b11</t>
        </is>
      </c>
      <c r="Q341" t="inlineStr"/>
      <c r="R3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1" t="n">
        <v>120</v>
      </c>
      <c r="T341" t="inlineStr">
        <is>
          <t>NEED_SOURCE</t>
        </is>
      </c>
      <c r="U341" t="inlineStr">
        <is>
          <t>NEED_SOURCE</t>
        </is>
      </c>
      <c r="V341" t="inlineStr">
        <is>
          <t>NEED_SOURCE</t>
        </is>
      </c>
      <c r="W341" t="inlineStr">
        <is>
          <t>NEED_SOURCE</t>
        </is>
      </c>
      <c r="X341" t="n">
        <v>15</v>
      </c>
      <c r="Y341" t="n">
        <v>10</v>
      </c>
      <c r="Z341" t="inlineStr">
        <is>
          <t>NEED_SOURCE</t>
        </is>
      </c>
      <c r="AA341" t="inlineStr">
        <is>
          <t>NEED_SOURCE</t>
        </is>
      </c>
      <c r="AB341" t="inlineStr"/>
      <c r="AC341" t="inlineStr">
        <is>
          <t>gun</t>
        </is>
      </c>
      <c r="AD341" t="inlineStr">
        <is>
          <t>Wikipedia '2B11': 15 rpm</t>
        </is>
      </c>
      <c r="AE341" t="inlineStr"/>
      <c r="AF341" t="inlineStr">
        <is>
          <t>Tools/balance/full_weapon_audit.py: REAL / WARHEAD; balance.json weapons[id=train_mortar].real</t>
        </is>
      </c>
      <c r="AG341" t="inlineStr"/>
    </row>
    <row r="342">
      <c r="A342" t="inlineStr">
        <is>
          <t>turret_gmlrs</t>
        </is>
      </c>
      <c r="B342" t="inlineStr">
        <is>
          <t>turret_gmlrs</t>
        </is>
      </c>
      <c r="C342" t="inlineStr">
        <is>
          <t>M31 GMLRS 227 mm (tower)</t>
        </is>
      </c>
      <c r="D342" t="inlineStr">
        <is>
          <t>doi_that</t>
        </is>
      </c>
      <c r="E342" t="inlineStr">
        <is>
          <t>M31 GMLRS 227 mm (tower)</t>
        </is>
      </c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>
        <is>
          <t>da_kiem_chung</t>
        </is>
      </c>
      <c r="P342" t="inlineStr">
        <is>
          <t>R_balance;R_full_weapon_audit;W_wikipedia_m270_mlrs;R_machine_brigade_can_bang</t>
        </is>
      </c>
      <c r="Q342" t="inlineStr"/>
      <c r="R3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2" t="n">
        <v>227</v>
      </c>
      <c r="T342" t="inlineStr">
        <is>
          <t>NEED_SOURCE</t>
        </is>
      </c>
      <c r="U342" t="inlineStr">
        <is>
          <t>NEED_SOURCE</t>
        </is>
      </c>
      <c r="V342" t="inlineStr">
        <is>
          <t>NEED_SOURCE</t>
        </is>
      </c>
      <c r="W342" t="inlineStr">
        <is>
          <t>NEED_SOURCE</t>
        </is>
      </c>
      <c r="X342" t="n">
        <v>12</v>
      </c>
      <c r="Y342" t="inlineStr">
        <is>
          <t>NEED_SOURCE</t>
        </is>
      </c>
      <c r="Z342" t="inlineStr">
        <is>
          <t>NEED_SOURCE</t>
        </is>
      </c>
      <c r="AA342" t="inlineStr">
        <is>
          <t>NEED_SOURCE</t>
        </is>
      </c>
      <c r="AB342" t="inlineStr"/>
      <c r="AC342" t="inlineStr">
        <is>
          <t>rocket</t>
        </is>
      </c>
      <c r="AD342" t="inlineStr">
        <is>
          <t>Wikipedia 'M270 MLRS': 12 rockets in under a minute</t>
        </is>
      </c>
      <c r="AE342" t="inlineStr">
        <is>
          <t>GMLRS dẫn đường</t>
        </is>
      </c>
      <c r="AF342" t="inlineStr">
        <is>
          <t>Tools/balance/full_weapon_audit.py: REAL / WARHEAD; balance.json weapons[id=turret_gmlrs].real</t>
        </is>
      </c>
      <c r="AG342" t="inlineStr"/>
    </row>
    <row r="343">
      <c r="A343" t="inlineStr">
        <is>
          <t>turret_gun_120</t>
        </is>
      </c>
      <c r="B343" t="inlineStr">
        <is>
          <t>turret_gun_120</t>
        </is>
      </c>
      <c r="C343" t="inlineStr">
        <is>
          <t>Rh-120 L/44 120 mm</t>
        </is>
      </c>
      <c r="D343" t="inlineStr">
        <is>
          <t>doi_that</t>
        </is>
      </c>
      <c r="E343" t="inlineStr">
        <is>
          <t>Rh-120 L/44 120 mm</t>
        </is>
      </c>
      <c r="F343" t="inlineStr"/>
      <c r="G343" t="inlineStr"/>
      <c r="H343" t="inlineStr"/>
      <c r="I343" t="inlineStr"/>
      <c r="J343" t="inlineStr"/>
      <c r="K343" t="inlineStr"/>
      <c r="L343" t="inlineStr">
        <is>
          <t>nhịp chậm hơn 30 % và mạnh hơn tương ứng (luật súng của game)</t>
        </is>
      </c>
      <c r="M343" t="inlineStr">
        <is>
          <t>gameplay</t>
        </is>
      </c>
      <c r="N343" t="inlineStr"/>
      <c r="O343" t="inlineStr">
        <is>
          <t>da_kiem_chung</t>
        </is>
      </c>
      <c r="P343" t="inlineStr">
        <is>
          <t>R_balance;R_full_weapon_audit;W_wikipedia_rheinmetall_120_mm_gun;R_machine_brigade_can_bang</t>
        </is>
      </c>
      <c r="Q343" t="inlineStr"/>
      <c r="R3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3" t="n">
        <v>120</v>
      </c>
      <c r="T343" t="inlineStr">
        <is>
          <t>NEED_SOURCE</t>
        </is>
      </c>
      <c r="U343" t="inlineStr">
        <is>
          <t>NEED_SOURCE</t>
        </is>
      </c>
      <c r="V343" t="inlineStr">
        <is>
          <t>NEED_SOURCE</t>
        </is>
      </c>
      <c r="W343" t="inlineStr">
        <is>
          <t>NEED_SOURCE</t>
        </is>
      </c>
      <c r="X343" t="n">
        <v>8</v>
      </c>
      <c r="Y343" t="n">
        <v>6</v>
      </c>
      <c r="Z343" t="inlineStr">
        <is>
          <t>tay</t>
        </is>
      </c>
      <c r="AA343" t="inlineStr">
        <is>
          <t>NEED_SOURCE</t>
        </is>
      </c>
      <c r="AB343" t="inlineStr"/>
      <c r="AC343" t="inlineStr">
        <is>
          <t>gun</t>
        </is>
      </c>
      <c r="AD343" t="inlineStr">
        <is>
          <t>the sheet's 'Ngoài đời': Rh-120 6-8 rpm with a loader (Wikipedia 'Rheinmetall 120 mm gun')</t>
        </is>
      </c>
      <c r="AE343" t="inlineStr">
        <is>
          <t>Rh-120 nạp tay: 6–8 phát/phút</t>
        </is>
      </c>
      <c r="AF343" t="inlineStr">
        <is>
          <t>Tools/balance/full_weapon_audit.py: REAL / WARHEAD; balance.json weapons[id=turret_gun_120].real</t>
        </is>
      </c>
      <c r="AG343" t="inlineStr"/>
    </row>
    <row r="344">
      <c r="A344" t="inlineStr">
        <is>
          <t>turret_gun_120_auto</t>
        </is>
      </c>
      <c r="B344" t="inlineStr">
        <is>
          <t>turret_gun_120_auto</t>
        </is>
      </c>
      <c r="C344" t="inlineStr">
        <is>
          <t>Rh-120 L/44 120 mm (autoloader)</t>
        </is>
      </c>
      <c r="D344" t="inlineStr">
        <is>
          <t>doi_that</t>
        </is>
      </c>
      <c r="E344" t="inlineStr">
        <is>
          <t>Rh-120 L/44 120 mm (autoloader)</t>
        </is>
      </c>
      <c r="F344" t="inlineStr"/>
      <c r="G344" t="inlineStr"/>
      <c r="H344" t="inlineStr"/>
      <c r="I344" t="inlineStr"/>
      <c r="J344" t="inlineStr"/>
      <c r="K344" t="inlineStr"/>
      <c r="L344" t="inlineStr">
        <is>
          <t>nhịp chậm hơn 30 % và mạnh hơn tương ứng (luật súng của game)</t>
        </is>
      </c>
      <c r="M344" t="inlineStr">
        <is>
          <t>gameplay</t>
        </is>
      </c>
      <c r="N344" t="inlineStr"/>
      <c r="O344" t="inlineStr">
        <is>
          <t>da_kiem_chung</t>
        </is>
      </c>
      <c r="P344" t="inlineStr">
        <is>
          <t>R_balance;R_full_weapon_audit;W_wikipedia_rheinmetall_120_mm_gun;R_machine_brigade_can_bang</t>
        </is>
      </c>
      <c r="Q344" t="inlineStr"/>
      <c r="R3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4" t="n">
        <v>120</v>
      </c>
      <c r="T344" t="inlineStr">
        <is>
          <t>NEED_SOURCE</t>
        </is>
      </c>
      <c r="U344" t="inlineStr">
        <is>
          <t>NEED_SOURCE</t>
        </is>
      </c>
      <c r="V344" t="inlineStr">
        <is>
          <t>NEED_SOURCE</t>
        </is>
      </c>
      <c r="W344" t="inlineStr">
        <is>
          <t>NEED_SOURCE</t>
        </is>
      </c>
      <c r="X344" t="n">
        <v>8</v>
      </c>
      <c r="Y344" t="n">
        <v>6</v>
      </c>
      <c r="Z344" t="inlineStr">
        <is>
          <t>tay</t>
        </is>
      </c>
      <c r="AA344" t="inlineStr">
        <is>
          <t>NEED_SOURCE</t>
        </is>
      </c>
      <c r="AB344" t="inlineStr"/>
      <c r="AC344" t="inlineStr">
        <is>
          <t>gun</t>
        </is>
      </c>
      <c r="AD344" t="inlineStr">
        <is>
          <t>the sheet's 'Ngoài đời': Rh-120 6-8 rpm with a loader (Wikipedia 'Rheinmetall 120 mm gun')</t>
        </is>
      </c>
      <c r="AE344" t="inlineStr"/>
      <c r="AF344" t="inlineStr">
        <is>
          <t>Tools/balance/full_weapon_audit.py: REAL / WARHEAD; balance.json weapons[id=turret_gun_120_auto].real</t>
        </is>
      </c>
      <c r="AG344" t="inlineStr"/>
    </row>
    <row r="345">
      <c r="A345" t="inlineStr">
        <is>
          <t>turret_gun_120_he</t>
        </is>
      </c>
      <c r="B345" t="inlineStr">
        <is>
          <t>turret_gun_120_he</t>
        </is>
      </c>
      <c r="C345" t="inlineStr">
        <is>
          <t>Rh-120 L/44 120 mm HE</t>
        </is>
      </c>
      <c r="D345" t="inlineStr">
        <is>
          <t>doi_that</t>
        </is>
      </c>
      <c r="E345" t="inlineStr">
        <is>
          <t>Rh-120 L/44 120 mm HE</t>
        </is>
      </c>
      <c r="F345" t="inlineStr"/>
      <c r="G345" t="inlineStr"/>
      <c r="H345" t="inlineStr"/>
      <c r="I345" t="inlineStr"/>
      <c r="J345" t="inlineStr"/>
      <c r="K345" t="inlineStr"/>
      <c r="L345" t="inlineStr">
        <is>
          <t>nhịp chậm hơn 30 % và mạnh hơn tương ứng (luật súng của game)</t>
        </is>
      </c>
      <c r="M345" t="inlineStr">
        <is>
          <t>gameplay</t>
        </is>
      </c>
      <c r="N345" t="inlineStr"/>
      <c r="O345" t="inlineStr">
        <is>
          <t>da_kiem_chung</t>
        </is>
      </c>
      <c r="P345" t="inlineStr">
        <is>
          <t>R_balance;R_full_weapon_audit;W_wikipedia_rheinmetall_120_mm_gun;R_machine_brigade_can_bang</t>
        </is>
      </c>
      <c r="Q345" t="inlineStr"/>
      <c r="R3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5" t="n">
        <v>120</v>
      </c>
      <c r="T345" t="inlineStr">
        <is>
          <t>NEED_SOURCE</t>
        </is>
      </c>
      <c r="U345" t="inlineStr">
        <is>
          <t>NEED_SOURCE</t>
        </is>
      </c>
      <c r="V345" t="inlineStr">
        <is>
          <t>NEED_SOURCE</t>
        </is>
      </c>
      <c r="W345" t="inlineStr">
        <is>
          <t>NEED_SOURCE</t>
        </is>
      </c>
      <c r="X345" t="n">
        <v>8</v>
      </c>
      <c r="Y345" t="n">
        <v>6</v>
      </c>
      <c r="Z345" t="inlineStr">
        <is>
          <t>tay</t>
        </is>
      </c>
      <c r="AA345" t="inlineStr">
        <is>
          <t>NEED_SOURCE</t>
        </is>
      </c>
      <c r="AB345" t="inlineStr"/>
      <c r="AC345" t="inlineStr">
        <is>
          <t>gun</t>
        </is>
      </c>
      <c r="AD345" t="inlineStr">
        <is>
          <t>the sheet's 'Ngoài đời': Rh-120 6-8 rpm with a loader (Wikipedia 'Rheinmetall 120 mm gun')</t>
        </is>
      </c>
      <c r="AE345" t="inlineStr"/>
      <c r="AF345" t="inlineStr">
        <is>
          <t>Tools/balance/full_weapon_audit.py: REAL / WARHEAD; balance.json weapons[id=turret_gun_120_he].real</t>
        </is>
      </c>
      <c r="AG345" t="inlineStr"/>
    </row>
    <row r="346">
      <c r="A346" t="inlineStr">
        <is>
          <t>turret_gun_120_long</t>
        </is>
      </c>
      <c r="B346" t="inlineStr">
        <is>
          <t>turret_gun_120_long</t>
        </is>
      </c>
      <c r="C346" t="inlineStr">
        <is>
          <t>Rh-120 L/55 120 mm</t>
        </is>
      </c>
      <c r="D346" t="inlineStr">
        <is>
          <t>doi_that</t>
        </is>
      </c>
      <c r="E346" t="inlineStr">
        <is>
          <t>Rh-120 L/55 120 mm</t>
        </is>
      </c>
      <c r="F346" t="inlineStr"/>
      <c r="G346" t="inlineStr"/>
      <c r="H346" t="inlineStr"/>
      <c r="I346" t="inlineStr"/>
      <c r="J346" t="inlineStr"/>
      <c r="K346" t="inlineStr"/>
      <c r="L346" t="inlineStr">
        <is>
          <t>nhịp chậm hơn 30 % và mạnh hơn tương ứng (luật súng của game)</t>
        </is>
      </c>
      <c r="M346" t="inlineStr">
        <is>
          <t>gameplay</t>
        </is>
      </c>
      <c r="N346" t="inlineStr"/>
      <c r="O346" t="inlineStr">
        <is>
          <t>da_kiem_chung</t>
        </is>
      </c>
      <c r="P346" t="inlineStr">
        <is>
          <t>R_balance;R_full_weapon_audit;W_wikipedia_rheinmetall_120_mm_gun;R_machine_brigade_can_bang</t>
        </is>
      </c>
      <c r="Q346" t="inlineStr"/>
      <c r="R3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6" t="n">
        <v>120</v>
      </c>
      <c r="T346" t="inlineStr">
        <is>
          <t>NEED_SOURCE</t>
        </is>
      </c>
      <c r="U346" t="inlineStr">
        <is>
          <t>NEED_SOURCE</t>
        </is>
      </c>
      <c r="V346" t="inlineStr">
        <is>
          <t>NEED_SOURCE</t>
        </is>
      </c>
      <c r="W346" t="inlineStr">
        <is>
          <t>NEED_SOURCE</t>
        </is>
      </c>
      <c r="X346" t="n">
        <v>8</v>
      </c>
      <c r="Y346" t="n">
        <v>6</v>
      </c>
      <c r="Z346" t="inlineStr">
        <is>
          <t>tay</t>
        </is>
      </c>
      <c r="AA346" t="inlineStr">
        <is>
          <t>NEED_SOURCE</t>
        </is>
      </c>
      <c r="AB346" t="inlineStr"/>
      <c r="AC346" t="inlineStr">
        <is>
          <t>gun</t>
        </is>
      </c>
      <c r="AD346" t="inlineStr">
        <is>
          <t>the sheet's 'Ngoài đời': Rh-120 6-8 rpm with a loader (Wikipedia 'Rheinmetall 120 mm gun')</t>
        </is>
      </c>
      <c r="AE346" t="inlineStr">
        <is>
          <t>Rh-120 L/55: 6–8 phát/phút, sơ tốc cao hơn</t>
        </is>
      </c>
      <c r="AF346" t="inlineStr">
        <is>
          <t>Tools/balance/full_weapon_audit.py: REAL / WARHEAD; balance.json weapons[id=turret_gun_120_long].real</t>
        </is>
      </c>
      <c r="AG346" t="inlineStr"/>
    </row>
    <row r="347">
      <c r="A347" t="inlineStr">
        <is>
          <t>turret_gun_120_long_he</t>
        </is>
      </c>
      <c r="B347" t="inlineStr">
        <is>
          <t>turret_gun_120_long_he</t>
        </is>
      </c>
      <c r="C347" t="inlineStr">
        <is>
          <t>Rh-120 L/55 120 mm HE</t>
        </is>
      </c>
      <c r="D347" t="inlineStr">
        <is>
          <t>doi_that</t>
        </is>
      </c>
      <c r="E347" t="inlineStr">
        <is>
          <t>Rh-120 L/55 120 mm HE</t>
        </is>
      </c>
      <c r="F347" t="inlineStr"/>
      <c r="G347" t="inlineStr"/>
      <c r="H347" t="inlineStr"/>
      <c r="I347" t="inlineStr"/>
      <c r="J347" t="inlineStr"/>
      <c r="K347" t="inlineStr"/>
      <c r="L347" t="inlineStr">
        <is>
          <t>nhịp chậm hơn 30 % và mạnh hơn tương ứng (luật súng của game)</t>
        </is>
      </c>
      <c r="M347" t="inlineStr">
        <is>
          <t>gameplay</t>
        </is>
      </c>
      <c r="N347" t="inlineStr"/>
      <c r="O347" t="inlineStr">
        <is>
          <t>da_kiem_chung</t>
        </is>
      </c>
      <c r="P347" t="inlineStr">
        <is>
          <t>R_balance;R_full_weapon_audit;W_wikipedia_rheinmetall_120_mm_gun;R_machine_brigade_can_bang</t>
        </is>
      </c>
      <c r="Q347" t="inlineStr"/>
      <c r="R3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7" t="n">
        <v>120</v>
      </c>
      <c r="T347" t="inlineStr">
        <is>
          <t>NEED_SOURCE</t>
        </is>
      </c>
      <c r="U347" t="inlineStr">
        <is>
          <t>NEED_SOURCE</t>
        </is>
      </c>
      <c r="V347" t="inlineStr">
        <is>
          <t>NEED_SOURCE</t>
        </is>
      </c>
      <c r="W347" t="inlineStr">
        <is>
          <t>NEED_SOURCE</t>
        </is>
      </c>
      <c r="X347" t="n">
        <v>8</v>
      </c>
      <c r="Y347" t="n">
        <v>6</v>
      </c>
      <c r="Z347" t="inlineStr">
        <is>
          <t>tay</t>
        </is>
      </c>
      <c r="AA347" t="inlineStr">
        <is>
          <t>NEED_SOURCE</t>
        </is>
      </c>
      <c r="AB347" t="inlineStr"/>
      <c r="AC347" t="inlineStr">
        <is>
          <t>gun</t>
        </is>
      </c>
      <c r="AD347" t="inlineStr">
        <is>
          <t>the sheet's 'Ngoài đời': Rh-120 6-8 rpm with a loader (Wikipedia 'Rheinmetall 120 mm gun')</t>
        </is>
      </c>
      <c r="AE347" t="inlineStr"/>
      <c r="AF347" t="inlineStr">
        <is>
          <t>Tools/balance/full_weapon_audit.py: REAL / WARHEAD; balance.json weapons[id=turret_gun_120_long_he].real</t>
        </is>
      </c>
      <c r="AG347" t="inlineStr"/>
    </row>
    <row r="348">
      <c r="A348" t="inlineStr">
        <is>
          <t>turret_rockets</t>
        </is>
      </c>
      <c r="B348" t="inlineStr">
        <is>
          <t>turret_rockets</t>
        </is>
      </c>
      <c r="C348" t="inlineStr">
        <is>
          <t>BM-21 Grad 122 mm</t>
        </is>
      </c>
      <c r="D348" t="inlineStr">
        <is>
          <t>doi_that</t>
        </is>
      </c>
      <c r="E348" t="inlineStr">
        <is>
          <t>BM-21 Grad 122 mm</t>
        </is>
      </c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>
        <is>
          <t>da_kiem_chung</t>
        </is>
      </c>
      <c r="P348" t="inlineStr">
        <is>
          <t>R_balance;R_full_weapon_audit;W_wikipedia_bm_21_grad;R_machine_brigade_can_bang</t>
        </is>
      </c>
      <c r="Q348" t="inlineStr"/>
      <c r="R3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8" t="n">
        <v>122</v>
      </c>
      <c r="T348" t="inlineStr">
        <is>
          <t>NEED_SOURCE</t>
        </is>
      </c>
      <c r="U348" t="inlineStr">
        <is>
          <t>NEED_SOURCE</t>
        </is>
      </c>
      <c r="V348" t="inlineStr">
        <is>
          <t>NEED_SOURCE</t>
        </is>
      </c>
      <c r="W348" t="inlineStr">
        <is>
          <t>NEED_SOURCE</t>
        </is>
      </c>
      <c r="X348" t="n">
        <v>120</v>
      </c>
      <c r="Y348" t="inlineStr">
        <is>
          <t>NEED_SOURCE</t>
        </is>
      </c>
      <c r="Z348" t="inlineStr">
        <is>
          <t>NEED_SOURCE</t>
        </is>
      </c>
      <c r="AA348" t="inlineStr">
        <is>
          <t>NEED_SOURCE</t>
        </is>
      </c>
      <c r="AB348" t="inlineStr"/>
      <c r="AC348" t="inlineStr">
        <is>
          <t>rocket</t>
        </is>
      </c>
      <c r="AD348" t="inlineStr">
        <is>
          <t>Wikipedia 'BM-21 Grad': 40 rockets in 20 s</t>
        </is>
      </c>
      <c r="AE348" t="inlineStr">
        <is>
          <t>BM-21 Grad: 40 quả trong 20 s</t>
        </is>
      </c>
      <c r="AF348" t="inlineStr">
        <is>
          <t>Tools/balance/full_weapon_audit.py: REAL / WARHEAD; balance.json weapons[id=turret_rockets].real</t>
        </is>
      </c>
      <c r="AG348" t="inlineStr"/>
    </row>
    <row r="349">
      <c r="A349" t="inlineStr">
        <is>
          <t>turret_rockets_cluster</t>
        </is>
      </c>
      <c r="B349" t="inlineStr">
        <is>
          <t>turret_rockets_cluster</t>
        </is>
      </c>
      <c r="C349" t="inlineStr">
        <is>
          <t>BM-21 Grad 122 mm (cluster)</t>
        </is>
      </c>
      <c r="D349" t="inlineStr">
        <is>
          <t>doi_that</t>
        </is>
      </c>
      <c r="E349" t="inlineStr">
        <is>
          <t>BM-21 Grad 122 mm (cluster)</t>
        </is>
      </c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>
        <is>
          <t>da_kiem_chung</t>
        </is>
      </c>
      <c r="P349" t="inlineStr">
        <is>
          <t>R_balance;R_full_weapon_audit;W_wikipedia_bm_21_grad;R_machine_brigade_can_bang</t>
        </is>
      </c>
      <c r="Q349" t="inlineStr"/>
      <c r="R3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9" t="n">
        <v>122</v>
      </c>
      <c r="T349" t="inlineStr">
        <is>
          <t>NEED_SOURCE</t>
        </is>
      </c>
      <c r="U349" t="inlineStr">
        <is>
          <t>NEED_SOURCE</t>
        </is>
      </c>
      <c r="V349" t="inlineStr">
        <is>
          <t>NEED_SOURCE</t>
        </is>
      </c>
      <c r="W349" t="inlineStr">
        <is>
          <t>NEED_SOURCE</t>
        </is>
      </c>
      <c r="X349" t="n">
        <v>120</v>
      </c>
      <c r="Y349" t="inlineStr">
        <is>
          <t>NEED_SOURCE</t>
        </is>
      </c>
      <c r="Z349" t="inlineStr">
        <is>
          <t>NEED_SOURCE</t>
        </is>
      </c>
      <c r="AA349" t="inlineStr">
        <is>
          <t>NEED_SOURCE</t>
        </is>
      </c>
      <c r="AB349" t="inlineStr"/>
      <c r="AC349" t="inlineStr">
        <is>
          <t>rocket</t>
        </is>
      </c>
      <c r="AD349" t="inlineStr">
        <is>
          <t>Wikipedia 'BM-21 Grad': 40 rockets in 20 s</t>
        </is>
      </c>
      <c r="AE349" t="inlineStr">
        <is>
          <t>BM-21</t>
        </is>
      </c>
      <c r="AF349" t="inlineStr">
        <is>
          <t>Tools/balance/full_weapon_audit.py: REAL / WARHEAD; balance.json weapons[id=turret_rockets_cluster].real</t>
        </is>
      </c>
      <c r="AG349" t="inlineStr"/>
    </row>
    <row r="350">
      <c r="A350" t="inlineStr">
        <is>
          <t>turret_thermobaric</t>
        </is>
      </c>
      <c r="B350" t="inlineStr">
        <is>
          <t>turret_thermobaric</t>
        </is>
      </c>
      <c r="C350" t="inlineStr">
        <is>
          <t>122 mm thermobaric</t>
        </is>
      </c>
      <c r="D350" t="inlineStr">
        <is>
          <t>doi_that</t>
        </is>
      </c>
      <c r="E350" t="inlineStr">
        <is>
          <t>122 mm thermobaric</t>
        </is>
      </c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>
        <is>
          <t>da_kiem_chung</t>
        </is>
      </c>
      <c r="P350" t="inlineStr">
        <is>
          <t>R_balance;R_full_weapon_audit;W_wikipedia_bm_21_grad</t>
        </is>
      </c>
      <c r="Q350" t="inlineStr"/>
      <c r="R3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0" t="n">
        <v>122</v>
      </c>
      <c r="T350" t="inlineStr">
        <is>
          <t>NEED_SOURCE</t>
        </is>
      </c>
      <c r="U350" t="inlineStr">
        <is>
          <t>NEED_SOURCE</t>
        </is>
      </c>
      <c r="V350" t="inlineStr">
        <is>
          <t>NEED_SOURCE</t>
        </is>
      </c>
      <c r="W350" t="inlineStr">
        <is>
          <t>NEED_SOURCE</t>
        </is>
      </c>
      <c r="X350" t="n">
        <v>120</v>
      </c>
      <c r="Y350" t="inlineStr">
        <is>
          <t>NEED_SOURCE</t>
        </is>
      </c>
      <c r="Z350" t="inlineStr">
        <is>
          <t>NEED_SOURCE</t>
        </is>
      </c>
      <c r="AA350" t="inlineStr">
        <is>
          <t>NEED_SOURCE</t>
        </is>
      </c>
      <c r="AB350" t="inlineStr"/>
      <c r="AC350" t="inlineStr">
        <is>
          <t>rocket</t>
        </is>
      </c>
      <c r="AD350" t="inlineStr">
        <is>
          <t>Wikipedia 'BM-21 Grad': 40 rockets in 20 s</t>
        </is>
      </c>
      <c r="AE350" t="inlineStr"/>
      <c r="AF350" t="inlineStr">
        <is>
          <t>Tools/balance/full_weapon_audit.py: REAL / WARHEAD; balance.json weapons[id=turret_thermobaric].real</t>
        </is>
      </c>
      <c r="AG350" t="inlineStr"/>
    </row>
    <row r="351">
      <c r="A351" t="inlineStr">
        <is>
          <t>twin_30_bmpt</t>
        </is>
      </c>
      <c r="B351" t="inlineStr">
        <is>
          <t>twin_30_bmpt</t>
        </is>
      </c>
      <c r="C351" t="inlineStr">
        <is>
          <t>2A42 30 mm (twin)</t>
        </is>
      </c>
      <c r="D351" t="inlineStr">
        <is>
          <t>doi_that</t>
        </is>
      </c>
      <c r="E351" t="inlineStr">
        <is>
          <t>2A42 30 mm (twin)</t>
        </is>
      </c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>
        <is>
          <t>da_kiem_chung</t>
        </is>
      </c>
      <c r="P351" t="inlineStr">
        <is>
          <t>R_balance;R_full_weapon_audit;W_wikipedia_2a42;R_machine_brigade_can_bang</t>
        </is>
      </c>
      <c r="Q351" t="inlineStr"/>
      <c r="R3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1" t="n">
        <v>30</v>
      </c>
      <c r="T351" t="inlineStr">
        <is>
          <t>NEED_SOURCE</t>
        </is>
      </c>
      <c r="U351" t="inlineStr">
        <is>
          <t>NEED_SOURCE</t>
        </is>
      </c>
      <c r="V351" t="inlineStr">
        <is>
          <t>NEED_SOURCE</t>
        </is>
      </c>
      <c r="W351" t="inlineStr">
        <is>
          <t>NEED_SOURCE</t>
        </is>
      </c>
      <c r="X351" t="n">
        <v>800</v>
      </c>
      <c r="Y351" t="n">
        <v>300</v>
      </c>
      <c r="Z351" t="inlineStr">
        <is>
          <t>NEED_SOURCE</t>
        </is>
      </c>
      <c r="AA351" t="inlineStr">
        <is>
          <t>NEED_SOURCE</t>
        </is>
      </c>
      <c r="AB351" t="inlineStr"/>
      <c r="AC351" t="inlineStr">
        <is>
          <t>ac</t>
        </is>
      </c>
      <c r="AD351" t="inlineStr">
        <is>
          <t>Wikipedia '2A42': 550-800 high, 200-300 low rpm</t>
        </is>
      </c>
      <c r="AE351" t="inlineStr">
        <is>
          <t>2 × 2A42: tổng ~1.100–1.600 phát/phút</t>
        </is>
      </c>
      <c r="AF351" t="inlineStr">
        <is>
          <t>Tools/balance/full_weapon_audit.py: REAL / WARHEAD; balance.json weapons[id=twin_30_bmpt].real</t>
        </is>
      </c>
      <c r="AG351" t="inlineStr"/>
    </row>
    <row r="352">
      <c r="A352" t="inlineStr">
        <is>
          <t>twin_30_bmpt_flak</t>
        </is>
      </c>
      <c r="B352" t="inlineStr">
        <is>
          <t>twin_30_bmpt_flak</t>
        </is>
      </c>
      <c r="C352" t="inlineStr">
        <is>
          <t>2A42 30 mm air-burst (twin)</t>
        </is>
      </c>
      <c r="D352" t="inlineStr">
        <is>
          <t>doi_that</t>
        </is>
      </c>
      <c r="E352" t="inlineStr">
        <is>
          <t>2A42 30 mm air-burst (twin)</t>
        </is>
      </c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>
        <is>
          <t>da_kiem_chung</t>
        </is>
      </c>
      <c r="P352" t="inlineStr">
        <is>
          <t>R_balance;R_full_weapon_audit;W_wikipedia_2a42</t>
        </is>
      </c>
      <c r="Q352" t="inlineStr"/>
      <c r="R3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2" t="n">
        <v>30</v>
      </c>
      <c r="T352" t="inlineStr">
        <is>
          <t>NEED_SOURCE</t>
        </is>
      </c>
      <c r="U352" t="inlineStr">
        <is>
          <t>NEED_SOURCE</t>
        </is>
      </c>
      <c r="V352" t="inlineStr">
        <is>
          <t>NEED_SOURCE</t>
        </is>
      </c>
      <c r="W352" t="inlineStr">
        <is>
          <t>NEED_SOURCE</t>
        </is>
      </c>
      <c r="X352" t="n">
        <v>800</v>
      </c>
      <c r="Y352" t="n">
        <v>300</v>
      </c>
      <c r="Z352" t="inlineStr">
        <is>
          <t>NEED_SOURCE</t>
        </is>
      </c>
      <c r="AA352" t="inlineStr">
        <is>
          <t>NEED_SOURCE</t>
        </is>
      </c>
      <c r="AB352" t="inlineStr"/>
      <c r="AC352" t="inlineStr">
        <is>
          <t>ac</t>
        </is>
      </c>
      <c r="AD352" t="inlineStr">
        <is>
          <t>Wikipedia '2A42': 550-800 high, 200-300 low rpm</t>
        </is>
      </c>
      <c r="AE352" t="inlineStr"/>
      <c r="AF352" t="inlineStr">
        <is>
          <t>Tools/balance/full_weapon_audit.py: REAL / WARHEAD; balance.json weapons[id=twin_30_bmpt_flak].real</t>
        </is>
      </c>
      <c r="AG352" t="inlineStr"/>
    </row>
    <row r="353">
      <c r="A353" t="inlineStr">
        <is>
          <t>twin_30_flak</t>
        </is>
      </c>
      <c r="B353" t="inlineStr">
        <is>
          <t>twin_30_flak</t>
        </is>
      </c>
      <c r="C353" t="inlineStr">
        <is>
          <t>2A38 30 mm (twin)</t>
        </is>
      </c>
      <c r="D353" t="inlineStr">
        <is>
          <t>doi_that</t>
        </is>
      </c>
      <c r="E353" t="inlineStr">
        <is>
          <t>2A38 30 mm (twin)</t>
        </is>
      </c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>
        <is>
          <t>da_kiem_chung</t>
        </is>
      </c>
      <c r="P353" t="inlineStr">
        <is>
          <t>R_balance;R_full_weapon_audit;W_wikipedia_2a38;R_machine_brigade_can_bang</t>
        </is>
      </c>
      <c r="Q353" t="inlineStr"/>
      <c r="R3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3" t="n">
        <v>30</v>
      </c>
      <c r="T353" t="inlineStr">
        <is>
          <t>NEED_SOURCE</t>
        </is>
      </c>
      <c r="U353" t="inlineStr">
        <is>
          <t>NEED_SOURCE</t>
        </is>
      </c>
      <c r="V353" t="inlineStr">
        <is>
          <t>NEED_SOURCE</t>
        </is>
      </c>
      <c r="W353" t="inlineStr">
        <is>
          <t>NEED_SOURCE</t>
        </is>
      </c>
      <c r="X353" t="n">
        <v>2500</v>
      </c>
      <c r="Y353" t="n">
        <v>1000</v>
      </c>
      <c r="Z353" t="inlineStr">
        <is>
          <t>NEED_SOURCE</t>
        </is>
      </c>
      <c r="AA353" t="inlineStr">
        <is>
          <t>NEED_SOURCE</t>
        </is>
      </c>
      <c r="AB353" t="inlineStr"/>
      <c r="AC353" t="inlineStr">
        <is>
          <t>aa</t>
        </is>
      </c>
      <c r="AD353" t="inlineStr">
        <is>
          <t>Wikipedia '2A38': 4,060-5,000 rpm the twin mount</t>
        </is>
      </c>
      <c r="AE353" t="inlineStr">
        <is>
          <t>2A38M (Pantsir/Tunguska): ~5.000 phát/phút cả cặp; tầm ~4 km</t>
        </is>
      </c>
      <c r="AF353" t="inlineStr">
        <is>
          <t>Tools/balance/full_weapon_audit.py: REAL / WARHEAD; balance.json weapons[id=twin_30_flak].real</t>
        </is>
      </c>
      <c r="AG353" t="inlineStr"/>
    </row>
    <row r="354">
      <c r="A354" t="inlineStr">
        <is>
          <t>twin_30_flak_ap</t>
        </is>
      </c>
      <c r="B354" t="inlineStr">
        <is>
          <t>twin_30_flak_ap</t>
        </is>
      </c>
      <c r="C354" t="inlineStr">
        <is>
          <t>2A38 30 mm AP (twin)</t>
        </is>
      </c>
      <c r="D354" t="inlineStr">
        <is>
          <t>doi_that</t>
        </is>
      </c>
      <c r="E354" t="inlineStr">
        <is>
          <t>2A38 30 mm AP (twin)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>
        <is>
          <t>da_kiem_chung</t>
        </is>
      </c>
      <c r="P354" t="inlineStr">
        <is>
          <t>R_balance;R_full_weapon_audit;W_wikipedia_2a38</t>
        </is>
      </c>
      <c r="Q354" t="inlineStr"/>
      <c r="R3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4" t="n">
        <v>30</v>
      </c>
      <c r="T354" t="inlineStr">
        <is>
          <t>NEED_SOURCE</t>
        </is>
      </c>
      <c r="U354" t="inlineStr">
        <is>
          <t>NEED_SOURCE</t>
        </is>
      </c>
      <c r="V354" t="inlineStr">
        <is>
          <t>NEED_SOURCE</t>
        </is>
      </c>
      <c r="W354" t="inlineStr">
        <is>
          <t>NEED_SOURCE</t>
        </is>
      </c>
      <c r="X354" t="n">
        <v>2500</v>
      </c>
      <c r="Y354" t="n">
        <v>1000</v>
      </c>
      <c r="Z354" t="inlineStr">
        <is>
          <t>NEED_SOURCE</t>
        </is>
      </c>
      <c r="AA354" t="inlineStr">
        <is>
          <t>NEED_SOURCE</t>
        </is>
      </c>
      <c r="AB354" t="inlineStr"/>
      <c r="AC354" t="inlineStr">
        <is>
          <t>aa</t>
        </is>
      </c>
      <c r="AD354" t="inlineStr">
        <is>
          <t>Wikipedia '2A38': 4,060-5,000 rpm the twin mount</t>
        </is>
      </c>
      <c r="AE354" t="inlineStr"/>
      <c r="AF354" t="inlineStr">
        <is>
          <t>Tools/balance/full_weapon_audit.py: REAL / WARHEAD; balance.json weapons[id=twin_30_flak_ap].real</t>
        </is>
      </c>
      <c r="AG354" t="inlineStr"/>
    </row>
    <row r="355">
      <c r="A355" t="inlineStr">
        <is>
          <t>twin_35_ahead</t>
        </is>
      </c>
      <c r="B355" t="inlineStr">
        <is>
          <t>twin_35_ahead</t>
        </is>
      </c>
      <c r="C355" t="inlineStr">
        <is>
          <t>Skyranger 35 mm AHEAD</t>
        </is>
      </c>
      <c r="D355" t="inlineStr">
        <is>
          <t>doi_that</t>
        </is>
      </c>
      <c r="E355" t="inlineStr">
        <is>
          <t>Skyranger 35 mm AHEAD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>
        <is>
          <t>da_kiem_chung</t>
        </is>
      </c>
      <c r="P355" t="inlineStr">
        <is>
          <t>R_balance;R_full_weapon_audit;D_rheinmetall_skyranger_30_35;R_machine_brigade_can_bang</t>
        </is>
      </c>
      <c r="Q355" t="inlineStr"/>
      <c r="R3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5" t="n">
        <v>35</v>
      </c>
      <c r="T355" t="inlineStr">
        <is>
          <t>NEED_SOURCE</t>
        </is>
      </c>
      <c r="U355" t="inlineStr">
        <is>
          <t>NEED_SOURCE</t>
        </is>
      </c>
      <c r="V355" t="inlineStr">
        <is>
          <t>NEED_SOURCE</t>
        </is>
      </c>
      <c r="W355" t="inlineStr">
        <is>
          <t>NEED_SOURCE</t>
        </is>
      </c>
      <c r="X355" t="n">
        <v>1000</v>
      </c>
      <c r="Y355" t="n">
        <v>400</v>
      </c>
      <c r="Z355" t="inlineStr">
        <is>
          <t>NEED_SOURCE</t>
        </is>
      </c>
      <c r="AA355" t="inlineStr">
        <is>
          <t>NEED_SOURCE</t>
        </is>
      </c>
      <c r="AB355" t="inlineStr"/>
      <c r="AC355" t="inlineStr">
        <is>
          <t>aa</t>
        </is>
      </c>
      <c r="AD355" t="inlineStr">
        <is>
          <t>Rheinmetall Skyranger 30/35: 1,000 rpm, 20-24-round AHEAD bursts</t>
        </is>
      </c>
      <c r="AE355" t="inlineStr">
        <is>
          <t>Skyranger 35: 1.000 phát/phút, đạn AHEAD</t>
        </is>
      </c>
      <c r="AF355" t="inlineStr">
        <is>
          <t>Tools/balance/full_weapon_audit.py: REAL / WARHEAD; balance.json weapons[id=twin_35_ahead].real</t>
        </is>
      </c>
      <c r="AG355" t="inlineStr"/>
    </row>
    <row r="356">
      <c r="A356" t="inlineStr">
        <is>
          <t>twin_35_ahead_ap</t>
        </is>
      </c>
      <c r="B356" t="inlineStr">
        <is>
          <t>twin_35_ahead_ap</t>
        </is>
      </c>
      <c r="C356" t="inlineStr">
        <is>
          <t>Skyranger 35 mm AHEAD AP</t>
        </is>
      </c>
      <c r="D356" t="inlineStr">
        <is>
          <t>doi_that</t>
        </is>
      </c>
      <c r="E356" t="inlineStr">
        <is>
          <t>Skyranger 35 mm AHEAD AP</t>
        </is>
      </c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  <c r="O356" t="inlineStr">
        <is>
          <t>da_kiem_chung</t>
        </is>
      </c>
      <c r="P356" t="inlineStr">
        <is>
          <t>R_balance;R_full_weapon_audit;D_rheinmetall_skyranger_30_35</t>
        </is>
      </c>
      <c r="Q356" t="inlineStr"/>
      <c r="R3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6" t="n">
        <v>35</v>
      </c>
      <c r="T356" t="inlineStr">
        <is>
          <t>NEED_SOURCE</t>
        </is>
      </c>
      <c r="U356" t="inlineStr">
        <is>
          <t>NEED_SOURCE</t>
        </is>
      </c>
      <c r="V356" t="inlineStr">
        <is>
          <t>NEED_SOURCE</t>
        </is>
      </c>
      <c r="W356" t="inlineStr">
        <is>
          <t>NEED_SOURCE</t>
        </is>
      </c>
      <c r="X356" t="n">
        <v>1000</v>
      </c>
      <c r="Y356" t="n">
        <v>400</v>
      </c>
      <c r="Z356" t="inlineStr">
        <is>
          <t>NEED_SOURCE</t>
        </is>
      </c>
      <c r="AA356" t="inlineStr">
        <is>
          <t>NEED_SOURCE</t>
        </is>
      </c>
      <c r="AB356" t="inlineStr"/>
      <c r="AC356" t="inlineStr">
        <is>
          <t>aa</t>
        </is>
      </c>
      <c r="AD356" t="inlineStr">
        <is>
          <t>Rheinmetall Skyranger 30/35: 1,000 rpm, 20-24-round AHEAD bursts</t>
        </is>
      </c>
      <c r="AE356" t="inlineStr"/>
      <c r="AF356" t="inlineStr">
        <is>
          <t>Tools/balance/full_weapon_audit.py: REAL / WARHEAD; balance.json weapons[id=twin_35_ahead_ap].real</t>
        </is>
      </c>
      <c r="AG356" t="inlineStr"/>
    </row>
    <row r="357">
      <c r="A357" t="inlineStr">
        <is>
          <t>vikhr</t>
        </is>
      </c>
      <c r="B357" t="inlineStr">
        <is>
          <t>vikhr</t>
        </is>
      </c>
      <c r="C357" t="inlineStr">
        <is>
          <t>9K121 Vikhr</t>
        </is>
      </c>
      <c r="D357" t="inlineStr">
        <is>
          <t>doi_that</t>
        </is>
      </c>
      <c r="E357" t="inlineStr">
        <is>
          <t>9K121 Vikhr</t>
        </is>
      </c>
      <c r="F357" t="inlineStr"/>
      <c r="G357" t="inlineStr"/>
      <c r="H357" t="inlineStr"/>
      <c r="I357" t="inlineStr"/>
      <c r="J357" t="inlineStr"/>
      <c r="K357" t="inlineStr"/>
      <c r="L357" t="inlineStr"/>
      <c r="M357" t="inlineStr"/>
      <c r="N357" t="inlineStr"/>
      <c r="O357" t="inlineStr">
        <is>
          <t>uoc_dinh</t>
        </is>
      </c>
      <c r="P357" t="inlineStr">
        <is>
          <t>R_balance;R_full_weapon_audit;W_wikipedia_bai_cua_tung_ten_lua_bang_warhead</t>
        </is>
      </c>
      <c r="Q357" t="inlineStr"/>
      <c r="R3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7" t="inlineStr">
        <is>
          <t>NEED_SOURCE</t>
        </is>
      </c>
      <c r="T357" t="inlineStr">
        <is>
          <t>NEED_SOURCE</t>
        </is>
      </c>
      <c r="U357" t="inlineStr">
        <is>
          <t>NEED_SOURCE</t>
        </is>
      </c>
      <c r="V357" t="inlineStr">
        <is>
          <t>NEED_SOURCE</t>
        </is>
      </c>
      <c r="W357" t="inlineStr">
        <is>
          <t>NEED_SOURCE</t>
        </is>
      </c>
      <c r="X357" t="n">
        <v>4</v>
      </c>
      <c r="Y357" t="n">
        <v>3</v>
      </c>
      <c r="Z357" t="inlineStr">
        <is>
          <t>NEED_SOURCE</t>
        </is>
      </c>
      <c r="AA357" t="inlineStr">
        <is>
          <t>NEED_SOURCE</t>
        </is>
      </c>
      <c r="AB357" t="n">
        <v>8</v>
      </c>
      <c r="AC357" t="inlineStr">
        <is>
          <t>atgm</t>
        </is>
      </c>
      <c r="AD357" t="inlineStr">
        <is>
          <t>Shturm / Ataka / Khrizantema launchers: est. 3-4 rpm a rail</t>
        </is>
      </c>
      <c r="AE357" t="inlineStr"/>
      <c r="AF357" t="inlineStr">
        <is>
          <t>Tools/balance/full_weapon_audit.py: REAL / WARHEAD; balance.json weapons[id=vikhr].real</t>
        </is>
      </c>
      <c r="AG357" t="inlineStr"/>
    </row>
    <row r="358">
      <c r="A358" t="inlineStr">
        <is>
          <t>wvr_aam</t>
        </is>
      </c>
      <c r="B358" t="inlineStr">
        <is>
          <t>wvr_aam</t>
        </is>
      </c>
      <c r="C358" t="inlineStr">
        <is>
          <t>AIM-9X Sidewinder</t>
        </is>
      </c>
      <c r="D358" t="inlineStr">
        <is>
          <t>doi_that</t>
        </is>
      </c>
      <c r="E358" t="inlineStr">
        <is>
          <t>AIM-9X Sidewinder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>
        <is>
          <t>uoc_dinh</t>
        </is>
      </c>
      <c r="P358" t="inlineStr">
        <is>
          <t>R_balance;R_full_weapon_audit;R_machine_brigade_can_bang</t>
        </is>
      </c>
      <c r="Q358" t="inlineStr"/>
      <c r="R3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8" t="inlineStr">
        <is>
          <t>NEED_SOURCE</t>
        </is>
      </c>
      <c r="T358" t="inlineStr">
        <is>
          <t>NEED_SOURCE</t>
        </is>
      </c>
      <c r="U358" t="inlineStr">
        <is>
          <t>NEED_SOURCE</t>
        </is>
      </c>
      <c r="V358" t="inlineStr">
        <is>
          <t>NEED_SOURCE</t>
        </is>
      </c>
      <c r="W358" t="inlineStr">
        <is>
          <t>NEED_SOURCE</t>
        </is>
      </c>
      <c r="X358" t="n">
        <v>60</v>
      </c>
      <c r="Y358" t="inlineStr">
        <is>
          <t>NEED_SOURCE</t>
        </is>
      </c>
      <c r="Z358" t="inlineStr">
        <is>
          <t>NEED_SOURCE</t>
        </is>
      </c>
      <c r="AA358" t="inlineStr">
        <is>
          <t>NEED_SOURCE</t>
        </is>
      </c>
      <c r="AB358" t="inlineStr">
        <is>
          <t>NEED_SOURCE</t>
        </is>
      </c>
      <c r="AC358" t="inlineStr">
        <is>
          <t>missile</t>
        </is>
      </c>
      <c r="AD358" t="inlineStr">
        <is>
          <t>air-to-air: ~1 s between launches (est.)</t>
        </is>
      </c>
      <c r="AE358" t="inlineStr">
        <is>
          <t>AIM-9X: 35 km, Mach 2,5+</t>
        </is>
      </c>
      <c r="AF358" t="inlineStr">
        <is>
          <t>Tools/balance/full_weapon_audit.py: REAL / WARHEAD; balance.json weapons[id=wvr_aam].real</t>
        </is>
      </c>
      <c r="AG358" t="inlineStr"/>
    </row>
    <row r="359">
      <c r="A359" t="inlineStr">
        <is>
          <t>zu23</t>
        </is>
      </c>
      <c r="B359" t="inlineStr">
        <is>
          <t>zu23</t>
        </is>
      </c>
      <c r="C359" t="inlineStr">
        <is>
          <t>ZU-23-2 23 mm</t>
        </is>
      </c>
      <c r="D359" t="inlineStr">
        <is>
          <t>doi_that</t>
        </is>
      </c>
      <c r="E359" t="inlineStr">
        <is>
          <t>ZU-23-2 23 mm</t>
        </is>
      </c>
      <c r="F359" t="inlineStr"/>
      <c r="G359" t="inlineStr"/>
      <c r="H359" t="inlineStr"/>
      <c r="I359" t="inlineStr"/>
      <c r="J359" t="inlineStr"/>
      <c r="K359" t="inlineStr"/>
      <c r="L359" t="inlineStr"/>
      <c r="M359" t="inlineStr"/>
      <c r="N359" t="inlineStr"/>
      <c r="O359" t="inlineStr">
        <is>
          <t>da_kiem_chung</t>
        </is>
      </c>
      <c r="P359" t="inlineStr">
        <is>
          <t>R_balance;R_full_weapon_audit;W_wikipedia_zu_23_2;R_machine_brigade_can_bang</t>
        </is>
      </c>
      <c r="Q359" t="inlineStr"/>
      <c r="R3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9" t="n">
        <v>23</v>
      </c>
      <c r="T359" t="inlineStr">
        <is>
          <t>NEED_SOURCE</t>
        </is>
      </c>
      <c r="U359" t="inlineStr">
        <is>
          <t>NEED_SOURCE</t>
        </is>
      </c>
      <c r="V359" t="inlineStr">
        <is>
          <t>NEED_SOURCE</t>
        </is>
      </c>
      <c r="W359" t="inlineStr">
        <is>
          <t>NEED_SOURCE</t>
        </is>
      </c>
      <c r="X359" t="n">
        <v>1000</v>
      </c>
      <c r="Y359" t="n">
        <v>400</v>
      </c>
      <c r="Z359" t="inlineStr">
        <is>
          <t>NEED_SOURCE</t>
        </is>
      </c>
      <c r="AA359" t="inlineStr">
        <is>
          <t>NEED_SOURCE</t>
        </is>
      </c>
      <c r="AB359" t="inlineStr"/>
      <c r="AC359" t="inlineStr">
        <is>
          <t>aa</t>
        </is>
      </c>
      <c r="AD359" t="inlineStr">
        <is>
          <t>Wikipedia 'ZU-23-2': 2 x 800-1,000 rpm</t>
        </is>
      </c>
      <c r="AE359" t="inlineStr">
        <is>
          <t>ZU-23-2: 2.000 phát/phút cả cặp; tầm 2,5 km</t>
        </is>
      </c>
      <c r="AF359" t="inlineStr">
        <is>
          <t>Tools/balance/full_weapon_audit.py: REAL / WARHEAD; balance.json weapons[id=zu23].real</t>
        </is>
      </c>
      <c r="AG359" t="inlineStr"/>
    </row>
    <row r="360">
      <c r="A360" t="inlineStr">
        <is>
          <t>zu23_ap</t>
        </is>
      </c>
      <c r="B360" t="inlineStr">
        <is>
          <t>zu23_ap</t>
        </is>
      </c>
      <c r="C360" t="inlineStr">
        <is>
          <t>ZU-23-2 23 mm AP</t>
        </is>
      </c>
      <c r="D360" t="inlineStr">
        <is>
          <t>doi_that</t>
        </is>
      </c>
      <c r="E360" t="inlineStr">
        <is>
          <t>ZU-23-2 23 mm AP</t>
        </is>
      </c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  <c r="O360" t="inlineStr">
        <is>
          <t>da_kiem_chung</t>
        </is>
      </c>
      <c r="P360" t="inlineStr">
        <is>
          <t>R_balance;R_full_weapon_audit;W_wikipedia_zu_23_2</t>
        </is>
      </c>
      <c r="Q360" t="inlineStr"/>
      <c r="R3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0" t="n">
        <v>23</v>
      </c>
      <c r="T360" t="inlineStr">
        <is>
          <t>NEED_SOURCE</t>
        </is>
      </c>
      <c r="U360" t="inlineStr">
        <is>
          <t>NEED_SOURCE</t>
        </is>
      </c>
      <c r="V360" t="inlineStr">
        <is>
          <t>NEED_SOURCE</t>
        </is>
      </c>
      <c r="W360" t="inlineStr">
        <is>
          <t>NEED_SOURCE</t>
        </is>
      </c>
      <c r="X360" t="n">
        <v>1000</v>
      </c>
      <c r="Y360" t="n">
        <v>400</v>
      </c>
      <c r="Z360" t="inlineStr">
        <is>
          <t>NEED_SOURCE</t>
        </is>
      </c>
      <c r="AA360" t="inlineStr">
        <is>
          <t>NEED_SOURCE</t>
        </is>
      </c>
      <c r="AB360" t="inlineStr"/>
      <c r="AC360" t="inlineStr">
        <is>
          <t>aa</t>
        </is>
      </c>
      <c r="AD360" t="inlineStr">
        <is>
          <t>Wikipedia 'ZU-23-2': 2 x 800-1,000 rpm</t>
        </is>
      </c>
      <c r="AE360" t="inlineStr"/>
      <c r="AF360" t="inlineStr">
        <is>
          <t>Tools/balance/full_weapon_audit.py: REAL / WARHEAD; balance.json weapons[id=zu23_ap].real</t>
        </is>
      </c>
      <c r="AG360" t="inlineStr"/>
    </row>
  </sheetData>
  <autoFilter ref="A1:AG36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7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60/INDEX(Vu_khi!$BB$2:$BB$360,MATCH($B$2,Vu_khi!$A$2:$A$360,0))/IF(INDEX(Vu_khi!$BD$2:$BD$360,MATCH($B$2,Vu_khi!$A$2:$A$360,0))="gun",0.7,1)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60/INDEX(Vu_khi!$BB$2:$BB$360,MATCH($B$3,Vu_khi!$A$2:$A$360,0))/IF(INDEX(Vu_khi!$BD$2:$BD$360,MATCH($B$3,Vu_khi!$A$2:$A$360,0))="gun",0.7,1)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60/INDEX(Vu_khi!$BB$2:$BB$360,MATCH($B$4,Vu_khi!$A$2:$A$360,0))/IF(INDEX(Vu_khi!$BD$2:$BD$360,MATCH($B$4,Vu_khi!$A$2:$A$360,0))="gun",0.7,1)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7.678503297</v>
      </c>
      <c r="F5">
        <f>60/INDEX(Vu_khi!$BB$2:$BB$360,MATCH($B$5,Vu_khi!$A$2:$A$360,0))/IF(INDEX(Vu_khi!$BD$2:$BD$360,MATCH($B$5,Vu_khi!$A$2:$A$360,0))="gun",0.7,1)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INDEX(Vu_khi!$X$2:$X$360,MATCH($B$6,Vu_khi!$A$2:$A$360,0))</f>
        <v/>
      </c>
      <c r="F6">
        <f>POWER(INDEX(Vu_khi_tham_chieu!$AB$2:$AB$360,MATCH($B$6,Vu_khi_tham_chieu!$A$2:$A$360,0)),1/3)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60/INDEX(Vu_khi!$BB$2:$BB$360,MATCH($B$7,Vu_khi!$A$2:$A$360,0))/IF(INDEX(Vu_khi!$BD$2:$BD$360,MATCH($B$7,Vu_khi!$A$2:$A$360,0))="gun",0.7,1)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TC0001</t>
        </is>
      </c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INDEX(Vu_khi!$W$2:$W$360,MATCH($B$8,Vu_khi!$A$2:$A$360,0))</f>
        <v/>
      </c>
      <c r="F8">
        <f>INDEX(Vu_khi_tham_chieu!$AB$2:$AB$360,MATCH($B$8,Vu_khi_tham_chieu!$A$2:$A$360,0))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apkws_rocket/nhip</t>
        </is>
      </c>
      <c r="B9" t="inlineStr">
        <is>
          <t>apkws_rocket</t>
        </is>
      </c>
      <c r="C9" t="inlineStr">
        <is>
          <t>khe_mot_nong_mot_vien</t>
        </is>
      </c>
      <c r="D9" t="inlineStr">
        <is>
          <t>s</t>
        </is>
      </c>
      <c r="E9" t="n">
        <v>1</v>
      </c>
      <c r="F9">
        <f>60/INDEX(Vu_khi!$BB$2:$BB$360,MATCH($B$9,Vu_khi!$A$2:$A$360,0))/IF(INDEX(Vu_khi!$BD$2:$BD$360,MATCH($B$9,Vu_khi!$A$2:$A$360,0))="gun",0.7,1)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">
        <f>IF(ISNUMBER($H$9),AND(NOT($J$9),OR($G$9&lt;$H$9,$G$9&gt;$I$9)),FALSE)</f>
        <v/>
      </c>
      <c r="M9" t="inlineStr"/>
      <c r="N9" t="inlineStr">
        <is>
          <t>R_balance;R_full_weapon_audit;R_decisions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atgm/nhip</t>
        </is>
      </c>
      <c r="B10" t="inlineStr">
        <is>
          <t>atgm</t>
        </is>
      </c>
      <c r="C10" t="inlineStr">
        <is>
          <t>khe_mot_nong_mot_vien</t>
        </is>
      </c>
      <c r="D10" t="inlineStr">
        <is>
          <t>s</t>
        </is>
      </c>
      <c r="E10" t="n">
        <v>12.33</v>
      </c>
      <c r="F10">
        <f>60/INDEX(Vu_khi!$BB$2:$BB$360,MATCH($B$10,Vu_khi!$A$2:$A$360,0))/IF(INDEX(Vu_khi!$BD$2:$BD$360,MATCH($B$10,Vu_khi!$A$2:$A$360,0))="gun",0.7,1)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R_balance;R_full_weapon_audit;W_wikipedia_bgm_71_tow;W_wikipedia_bai_cua_tung_ten_lua_bang_warhead;R_machine_brigade_can_bang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atgm/sat_thuong</t>
        </is>
      </c>
      <c r="B11" t="inlineStr">
        <is>
          <t>atgm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INDEX(Vu_khi!$W$2:$W$360,MATCH($B$11,Vu_khi!$A$2:$A$360,0))</f>
        <v/>
      </c>
      <c r="F11">
        <f>INDEX(Vu_khi_tham_chieu!$AB$2:$AB$360,MATCH($B$11,Vu_khi_tham_chieu!$A$2:$A$360,0))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atgm_heavy/nhip</t>
        </is>
      </c>
      <c r="B12" t="inlineStr">
        <is>
          <t>atgm_heavy</t>
        </is>
      </c>
      <c r="C12" t="inlineStr">
        <is>
          <t>khe_mot_nong_mot_vien</t>
        </is>
      </c>
      <c r="D12" t="inlineStr">
        <is>
          <t>s</t>
        </is>
      </c>
      <c r="E12" t="n">
        <v>7.5</v>
      </c>
      <c r="F12">
        <f>60/INDEX(Vu_khi!$BB$2:$BB$360,MATCH($B$12,Vu_khi!$A$2:$A$360,0))/IF(INDEX(Vu_khi!$BD$2:$BD$360,MATCH($B$12,Vu_khi!$A$2:$A$360,0))="gun",0.7,1)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TC0002</t>
        </is>
      </c>
      <c r="N12" t="inlineStr">
        <is>
          <t>R_balance;R_full_weapon_audit;W_wikipedia_9m133_kornet;W_wikipedia_bai_cua_tung_ten_lua_bang_warhead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atgm_heavy/sat_thuong</t>
        </is>
      </c>
      <c r="B13" t="inlineStr">
        <is>
          <t>atgm_heavy</t>
        </is>
      </c>
      <c r="C13" t="inlineStr">
        <is>
          <t>sat_thuong_tren_kg_dau_dan</t>
        </is>
      </c>
      <c r="D13" t="inlineStr">
        <is>
          <t>hp/kg</t>
        </is>
      </c>
      <c r="E13">
        <f>INDEX(Vu_khi!$W$2:$W$360,MATCH($B$13,Vu_khi!$A$2:$A$360,0))</f>
        <v/>
      </c>
      <c r="F13">
        <f>INDEX(Vu_khi_tham_chieu!$AB$2:$AB$360,MATCH($B$13,Vu_khi_tham_chieu!$A$2:$A$360,0))</f>
        <v/>
      </c>
      <c r="G13">
        <f>$E$13/$F$13</f>
        <v/>
      </c>
      <c r="H13" t="inlineStr"/>
      <c r="I13" t="inlineStr"/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R_full_weapon_audit</t>
        </is>
      </c>
      <c r="O13" t="inlineStr">
        <is>
          <t>sát thương một phát / khối lượng đầu đạn (không bắt buộc 1:1, chỉ ghi ty_le)</t>
        </is>
      </c>
      <c r="P13" t="inlineStr">
        <is>
          <t>Tools/balance/full_weapon_audit.py WARHEAD</t>
        </is>
      </c>
      <c r="Q13" t="inlineStr"/>
    </row>
    <row r="14">
      <c r="A14" t="inlineStr">
        <is>
          <t>atgm_post/nhip</t>
        </is>
      </c>
      <c r="B14" t="inlineStr">
        <is>
          <t>atgm_post</t>
        </is>
      </c>
      <c r="C14" t="inlineStr">
        <is>
          <t>khe_mot_nong_mot_vien</t>
        </is>
      </c>
      <c r="D14" t="inlineStr">
        <is>
          <t>s</t>
        </is>
      </c>
      <c r="E14" t="n">
        <v>12.1</v>
      </c>
      <c r="F14">
        <f>60/INDEX(Vu_khi!$BB$2:$BB$360,MATCH($B$14,Vu_khi!$A$2:$A$360,0))/IF(INDEX(Vu_khi!$BD$2:$BD$360,MATCH($B$14,Vu_khi!$A$2:$A$360,0))="gun",0.7,1)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R_balance;R_full_weapon_audit;W_wikipedia_9m113_konkurs;W_wikipedia_bai_cua_tung_ten_lua_bang_warhead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atgm_post/sat_thuong</t>
        </is>
      </c>
      <c r="B15" t="inlineStr">
        <is>
          <t>atgm_post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INDEX(Vu_khi!$W$2:$W$360,MATCH($B$15,Vu_khi!$A$2:$A$360,0))</f>
        <v/>
      </c>
      <c r="F15">
        <f>INDEX(Vu_khi_tham_chieu!$AB$2:$AB$360,MATCH($B$15,Vu_khi_tham_chieu!$A$2:$A$360,0))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autocannon_25/nhip</t>
        </is>
      </c>
      <c r="B16" t="inlineStr">
        <is>
          <t>autocannon_25</t>
        </is>
      </c>
      <c r="C16" t="inlineStr">
        <is>
          <t>khe_mot_nong_mot_vien</t>
        </is>
      </c>
      <c r="D16" t="inlineStr">
        <is>
          <t>s</t>
        </is>
      </c>
      <c r="E16" t="n">
        <v>0.32919996</v>
      </c>
      <c r="F16">
        <f>60/INDEX(Vu_khi!$BB$2:$BB$360,MATCH($B$16,Vu_khi!$A$2:$A$360,0))/IF(INDEX(Vu_khi!$BD$2:$BD$360,MATCH($B$16,Vu_khi!$A$2:$A$360,0))="gun",0.7,1)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R_balance;R_full_weapon_audit;W_wikipedia_m242_bushmaster;R_machine_brigade_can_bang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autocannon_30/nhip</t>
        </is>
      </c>
      <c r="B17" t="inlineStr">
        <is>
          <t>autocannon_30</t>
        </is>
      </c>
      <c r="C17" t="inlineStr">
        <is>
          <t>khe_mot_nong_mot_vien</t>
        </is>
      </c>
      <c r="D17" t="inlineStr">
        <is>
          <t>s</t>
        </is>
      </c>
      <c r="E17" t="n">
        <v>0.261099975</v>
      </c>
      <c r="F17">
        <f>60/INDEX(Vu_khi!$BB$2:$BB$360,MATCH($B$17,Vu_khi!$A$2:$A$360,0))/IF(INDEX(Vu_khi!$BD$2:$BD$360,MATCH($B$17,Vu_khi!$A$2:$A$360,0))="gun",0.7,1)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R_balance;R_full_weapon_audit;W_wikipedia_2a42;R_machine_brigade_can_bang</t>
        </is>
      </c>
      <c r="O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" t="inlineStr">
        <is>
          <t>Tools/balance/full_weapon_audit.py (bảng REAL) và 01_chien_dau/Vu_khi_suy_ra</t>
        </is>
      </c>
      <c r="Q17" t="inlineStr"/>
    </row>
    <row r="18">
      <c r="A18" t="inlineStr">
        <is>
          <t>autocannon_40/nhip</t>
        </is>
      </c>
      <c r="B18" t="inlineStr">
        <is>
          <t>autocannon_40</t>
        </is>
      </c>
      <c r="C18" t="inlineStr">
        <is>
          <t>khe_mot_nong_mot_vien</t>
        </is>
      </c>
      <c r="D18" t="inlineStr">
        <is>
          <t>s</t>
        </is>
      </c>
      <c r="E18" t="n">
        <v>0.352</v>
      </c>
      <c r="F18">
        <f>60/INDEX(Vu_khi!$BB$2:$BB$360,MATCH($B$18,Vu_khi!$A$2:$A$360,0))/IF(INDEX(Vu_khi!$BD$2:$BD$360,MATCH($B$18,Vu_khi!$A$2:$A$360,0))="gun",0.7,1)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R_balance;R_full_weapon_audit;W_wikipedia_bofors_40_mm_l_70;R_machine_brigade_can_bang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ballistic_missile/nhip</t>
        </is>
      </c>
      <c r="B19" t="inlineStr">
        <is>
          <t>ballistic_missile</t>
        </is>
      </c>
      <c r="C19" t="inlineStr">
        <is>
          <t>khe_mot_nong_mot_vien</t>
        </is>
      </c>
      <c r="D19" t="inlineStr">
        <is>
          <t>s</t>
        </is>
      </c>
      <c r="E19" t="n">
        <v>12.105</v>
      </c>
      <c r="F19">
        <f>60/INDEX(Vu_khi!$BB$2:$BB$360,MATCH($B$19,Vu_khi!$A$2:$A$360,0))/IF(INDEX(Vu_khi!$BD$2:$BD$360,MATCH($B$19,Vu_khi!$A$2:$A$360,0))="gun",0.7,1)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>
        <is>
          <t>TC0003</t>
        </is>
      </c>
      <c r="N19" t="inlineStr">
        <is>
          <t>R_balance;R_full_weapon_audit;W_wikipedia_9k720_iskander;R_machine_brigade_can_bang</t>
        </is>
      </c>
      <c r="O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" t="inlineStr">
        <is>
          <t>Tools/balance/full_weapon_audit.py (bảng REAL) và 01_chien_dau/Vu_khi_suy_ra</t>
        </is>
      </c>
      <c r="Q19" t="inlineStr"/>
    </row>
    <row r="20">
      <c r="A20" t="inlineStr">
        <is>
          <t>bastion_gun/nhip</t>
        </is>
      </c>
      <c r="B20" t="inlineStr">
        <is>
          <t>bastion_gun</t>
        </is>
      </c>
      <c r="C20" t="inlineStr">
        <is>
          <t>khe_mot_nong_mot_vien</t>
        </is>
      </c>
      <c r="D20" t="inlineStr">
        <is>
          <t>s</t>
        </is>
      </c>
      <c r="E20" t="n">
        <v>7.443</v>
      </c>
      <c r="F20">
        <f>60/INDEX(Vu_khi!$BB$2:$BB$360,MATCH($B$20,Vu_khi!$A$2:$A$360,0))/IF(INDEX(Vu_khi!$BD$2:$BD$360,MATCH($B$20,Vu_khi!$A$2:$A$360,0))="gun",0.7,1)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R_balance;R_full_weapon_audit;R_machine_brigade_can_bang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boat_rockets/nhip</t>
        </is>
      </c>
      <c r="B21" t="inlineStr">
        <is>
          <t>boat_rockets</t>
        </is>
      </c>
      <c r="C21" t="inlineStr">
        <is>
          <t>khe_mot_nong_mot_vien</t>
        </is>
      </c>
      <c r="D21" t="inlineStr">
        <is>
          <t>s</t>
        </is>
      </c>
      <c r="E21" t="n">
        <v>0.12</v>
      </c>
      <c r="F21">
        <f>60/INDEX(Vu_khi!$BB$2:$BB$360,MATCH($B$21,Vu_khi!$A$2:$A$360,0))/IF(INDEX(Vu_khi!$BD$2:$BD$360,MATCH($B$21,Vu_khi!$A$2:$A$360,0))="gun",0.7,1)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R_balance;R_full_weapon_audit;R_decisions;R_machine_brigade_can_bang</t>
        </is>
      </c>
      <c r="O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" t="inlineStr">
        <is>
          <t>Tools/balance/full_weapon_audit.py (bảng REAL) và 01_chien_dau/Vu_khi_suy_ra</t>
        </is>
      </c>
      <c r="Q21" t="inlineStr"/>
    </row>
    <row r="22">
      <c r="A22" t="inlineStr">
        <is>
          <t>bofors_l70/nhip</t>
        </is>
      </c>
      <c r="B22" t="inlineStr">
        <is>
          <t>bofors_l70</t>
        </is>
      </c>
      <c r="C22" t="inlineStr">
        <is>
          <t>khe_mot_nong_mot_vien</t>
        </is>
      </c>
      <c r="D22" t="inlineStr">
        <is>
          <t>s</t>
        </is>
      </c>
      <c r="E22" t="n">
        <v>0.3875</v>
      </c>
      <c r="F22">
        <f>60/INDEX(Vu_khi!$BB$2:$BB$360,MATCH($B$22,Vu_khi!$A$2:$A$360,0))/IF(INDEX(Vu_khi!$BD$2:$BD$360,MATCH($B$22,Vu_khi!$A$2:$A$360,0))="gun",0.7,1)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R_balance;R_full_weapon_audit;W_wikipedia_bofors_40_mm_l_70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bomber_payload/nhip</t>
        </is>
      </c>
      <c r="B23" t="inlineStr">
        <is>
          <t>bomber_payload</t>
        </is>
      </c>
      <c r="C23" t="inlineStr">
        <is>
          <t>khe_mot_nong_mot_vien</t>
        </is>
      </c>
      <c r="D23" t="inlineStr">
        <is>
          <t>s</t>
        </is>
      </c>
      <c r="E23" t="n">
        <v>0.2</v>
      </c>
      <c r="F23">
        <f>60/INDEX(Vu_khi!$BB$2:$BB$360,MATCH($B$23,Vu_khi!$A$2:$A$360,0))/IF(INDEX(Vu_khi!$BD$2:$BD$360,MATCH($B$23,Vu_khi!$A$2:$A$360,0))="gun",0.7,1)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R_balance;R_full_weapon_audit;R_machine_brigade_can_bang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bomber_tail_guns/nhip</t>
        </is>
      </c>
      <c r="B24" t="inlineStr">
        <is>
          <t>bomber_tail_guns</t>
        </is>
      </c>
      <c r="C24" t="inlineStr">
        <is>
          <t>khe_mot_nong_mot_vien</t>
        </is>
      </c>
      <c r="D24" t="inlineStr">
        <is>
          <t>s</t>
        </is>
      </c>
      <c r="E24" t="n">
        <v>0.4919231</v>
      </c>
      <c r="F24">
        <f>60/INDEX(Vu_khi!$BB$2:$BB$360,MATCH($B$24,Vu_khi!$A$2:$A$360,0))/IF(INDEX(Vu_khi!$BD$2:$BD$360,MATCH($B$24,Vu_khi!$A$2:$A$360,0))="gun",0.7,1)</f>
        <v/>
      </c>
      <c r="G24">
        <f>$E$24/$F$24</f>
        <v/>
      </c>
      <c r="H24" t="n">
        <v>0.6</v>
      </c>
      <c r="I24" t="n">
        <v>2</v>
      </c>
      <c r="J24" t="b">
        <v>1</v>
      </c>
      <c r="K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">
        <f>IF(ISNUMBER($H$24),AND(NOT($J$24),OR($G$24&lt;$H$24,$G$24&gt;$I$24)),FALSE)</f>
        <v/>
      </c>
      <c r="M24" t="inlineStr"/>
      <c r="N24" t="inlineStr">
        <is>
          <t>R_balance;R_full_weapon_audit;W_wikipedia_m3_browning;R_machine_brigade_can_bang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borer_cannon/nhip</t>
        </is>
      </c>
      <c r="B25" t="inlineStr">
        <is>
          <t>borer_cannon</t>
        </is>
      </c>
      <c r="C25" t="inlineStr">
        <is>
          <t>khe_mot_nong_mot_vien</t>
        </is>
      </c>
      <c r="D25" t="inlineStr">
        <is>
          <t>s</t>
        </is>
      </c>
      <c r="E25" t="n">
        <v>6</v>
      </c>
      <c r="F25">
        <f>60/INDEX(Vu_khi!$BB$2:$BB$360,MATCH($B$25,Vu_khi!$A$2:$A$360,0))/IF(INDEX(Vu_khi!$BD$2:$BD$360,MATCH($B$25,Vu_khi!$A$2:$A$360,0))="gun",0.7,1)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R_balance;R_full_weapon_audit;W_wikipedia_2a70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boss_flak/nhip</t>
        </is>
      </c>
      <c r="B26" t="inlineStr">
        <is>
          <t>boss_flak</t>
        </is>
      </c>
      <c r="C26" t="inlineStr">
        <is>
          <t>khe_mot_nong_mot_vien</t>
        </is>
      </c>
      <c r="D26" t="inlineStr">
        <is>
          <t>s</t>
        </is>
      </c>
      <c r="E26" t="n">
        <v>0.262439018</v>
      </c>
      <c r="F26">
        <f>60/INDEX(Vu_khi!$BB$2:$BB$360,MATCH($B$26,Vu_khi!$A$2:$A$360,0))/IF(INDEX(Vu_khi!$BD$2:$BD$360,MATCH($B$26,Vu_khi!$A$2:$A$360,0))="gun",0.7,1)</f>
        <v/>
      </c>
      <c r="G26">
        <f>$E$26/$F$26</f>
        <v/>
      </c>
      <c r="H26" t="n">
        <v>0.6</v>
      </c>
      <c r="I26" t="n">
        <v>2</v>
      </c>
      <c r="J26" t="b">
        <v>1</v>
      </c>
      <c r="K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">
        <f>IF(ISNUMBER($H$26),AND(NOT($J$26),OR($G$26&lt;$H$26,$G$26&gt;$I$26)),FALSE)</f>
        <v/>
      </c>
      <c r="M26" t="inlineStr"/>
      <c r="N26" t="inlineStr">
        <is>
          <t>R_balance;R_full_weapon_audit;W_wikipedia_oerlikon_gdf;R_machine_brigade_can_bang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boss_heli_gun/nhip</t>
        </is>
      </c>
      <c r="B27" t="inlineStr">
        <is>
          <t>boss_heli_gun</t>
        </is>
      </c>
      <c r="C27" t="inlineStr">
        <is>
          <t>khe_mot_nong_mot_vien</t>
        </is>
      </c>
      <c r="D27" t="inlineStr">
        <is>
          <t>s</t>
        </is>
      </c>
      <c r="E27" t="n">
        <v>0.241707456</v>
      </c>
      <c r="F27">
        <f>60/INDEX(Vu_khi!$BB$2:$BB$360,MATCH($B$27,Vu_khi!$A$2:$A$360,0))/IF(INDEX(Vu_khi!$BD$2:$BD$360,MATCH($B$27,Vu_khi!$A$2:$A$360,0))="gun",0.7,1)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R_balance;R_full_weapon_audit;W_wikipedia_m230_chain_gun;R_machine_brigade_can_bang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boss_hmg/nhip</t>
        </is>
      </c>
      <c r="B28" t="inlineStr">
        <is>
          <t>boss_hmg</t>
        </is>
      </c>
      <c r="C28" t="inlineStr">
        <is>
          <t>khe_mot_nong_mot_vien</t>
        </is>
      </c>
      <c r="D28" t="inlineStr">
        <is>
          <t>s</t>
        </is>
      </c>
      <c r="E28" t="n">
        <v>0.132467025</v>
      </c>
      <c r="F28">
        <f>60/INDEX(Vu_khi!$BB$2:$BB$360,MATCH($B$28,Vu_khi!$A$2:$A$360,0))/IF(INDEX(Vu_khi!$BD$2:$BD$360,MATCH($B$28,Vu_khi!$A$2:$A$360,0))="gun",0.7,1)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boss_howitzer/nhip</t>
        </is>
      </c>
      <c r="B29" t="inlineStr">
        <is>
          <t>boss_howitzer</t>
        </is>
      </c>
      <c r="C29" t="inlineStr">
        <is>
          <t>khe_mot_nong_mot_vien</t>
        </is>
      </c>
      <c r="D29" t="inlineStr">
        <is>
          <t>s</t>
        </is>
      </c>
      <c r="E29" t="n">
        <v>9.439988571000001</v>
      </c>
      <c r="F29">
        <f>60/INDEX(Vu_khi!$BB$2:$BB$360,MATCH($B$29,Vu_khi!$A$2:$A$360,0))/IF(INDEX(Vu_khi!$BD$2:$BD$360,MATCH($B$29,Vu_khi!$A$2:$A$360,0))="gun",0.7,1)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TC0004</t>
        </is>
      </c>
      <c r="N29" t="inlineStr">
        <is>
          <t>R_balance;R_full_weapon_audit;W_wikipedia_2s7_pion;R_machine_brigade_can_bang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boss_minigun/nhip</t>
        </is>
      </c>
      <c r="B30" t="inlineStr">
        <is>
          <t>boss_minigun</t>
        </is>
      </c>
      <c r="C30" t="inlineStr">
        <is>
          <t>khe_mot_nong_mot_vien</t>
        </is>
      </c>
      <c r="D30" t="inlineStr">
        <is>
          <t>s</t>
        </is>
      </c>
      <c r="E30" t="n">
        <v>0.16902</v>
      </c>
      <c r="F30">
        <f>60/INDEX(Vu_khi!$BB$2:$BB$360,MATCH($B$30,Vu_khi!$A$2:$A$360,0))/IF(INDEX(Vu_khi!$BD$2:$BD$360,MATCH($B$30,Vu_khi!$A$2:$A$360,0))="gun",0.7,1)</f>
        <v/>
      </c>
      <c r="G30">
        <f>$E$30/$F$30</f>
        <v/>
      </c>
      <c r="H30" t="n">
        <v>0.6</v>
      </c>
      <c r="I30" t="n">
        <v>2</v>
      </c>
      <c r="J30" t="b">
        <v>1</v>
      </c>
      <c r="K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0">
        <f>IF(ISNUMBER($H$30),AND(NOT($J$30),OR($G$30&lt;$H$30,$G$30&gt;$I$30)),FALSE)</f>
        <v/>
      </c>
      <c r="M30" t="inlineStr"/>
      <c r="N30" t="inlineStr">
        <is>
          <t>R_balance;R_full_weapon_audit;W_wikipedia_gshg_7_62;R_machine_brigade_can_bang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boss_missiles/nhip</t>
        </is>
      </c>
      <c r="B31" t="inlineStr">
        <is>
          <t>boss_missiles</t>
        </is>
      </c>
      <c r="C31" t="inlineStr">
        <is>
          <t>khe_mot_nong_mot_vien</t>
        </is>
      </c>
      <c r="D31" t="inlineStr">
        <is>
          <t>s</t>
        </is>
      </c>
      <c r="E31" t="n">
        <v>6.39</v>
      </c>
      <c r="F31">
        <f>60/INDEX(Vu_khi!$BB$2:$BB$360,MATCH($B$31,Vu_khi!$A$2:$A$360,0))/IF(INDEX(Vu_khi!$BD$2:$BD$360,MATCH($B$31,Vu_khi!$A$2:$A$360,0))="gun",0.7,1)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R_balance;R_full_weapon_audit;W_wikipedia_9m133_kornet;W_wikipedia_bai_cua_tung_ten_lua_bang_warhead;R_machine_brigade_can_bang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boss_missiles/sat_thuong</t>
        </is>
      </c>
      <c r="B32" t="inlineStr">
        <is>
          <t>boss_missiles</t>
        </is>
      </c>
      <c r="C32" t="inlineStr">
        <is>
          <t>sat_thuong_tren_kg_dau_dan</t>
        </is>
      </c>
      <c r="D32" t="inlineStr">
        <is>
          <t>hp/kg</t>
        </is>
      </c>
      <c r="E32">
        <f>INDEX(Vu_khi!$W$2:$W$360,MATCH($B$32,Vu_khi!$A$2:$A$360,0))</f>
        <v/>
      </c>
      <c r="F32">
        <f>INDEX(Vu_khi_tham_chieu!$AB$2:$AB$360,MATCH($B$32,Vu_khi_tham_chieu!$A$2:$A$360,0))</f>
        <v/>
      </c>
      <c r="G32">
        <f>$E$32/$F$32</f>
        <v/>
      </c>
      <c r="H32" t="inlineStr"/>
      <c r="I32" t="inlineStr"/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R_full_weapon_audit</t>
        </is>
      </c>
      <c r="O32" t="inlineStr">
        <is>
          <t>sát thương một phát / khối lượng đầu đạn (không bắt buộc 1:1, chỉ ghi ty_le)</t>
        </is>
      </c>
      <c r="P32" t="inlineStr">
        <is>
          <t>Tools/balance/full_weapon_audit.py WARHEAD</t>
        </is>
      </c>
      <c r="Q32" t="inlineStr"/>
    </row>
    <row r="33">
      <c r="A33" t="inlineStr">
        <is>
          <t>boss_mortar/nhip</t>
        </is>
      </c>
      <c r="B33" t="inlineStr">
        <is>
          <t>boss_mortar</t>
        </is>
      </c>
      <c r="C33" t="inlineStr">
        <is>
          <t>khe_mot_nong_mot_vien</t>
        </is>
      </c>
      <c r="D33" t="inlineStr">
        <is>
          <t>s</t>
        </is>
      </c>
      <c r="E33" t="n">
        <v>9.779999999999999</v>
      </c>
      <c r="F33">
        <f>60/INDEX(Vu_khi!$BB$2:$BB$360,MATCH($B$33,Vu_khi!$A$2:$A$360,0))/IF(INDEX(Vu_khi!$BD$2:$BD$360,MATCH($B$33,Vu_khi!$A$2:$A$360,0))="gun",0.7,1)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TC0006</t>
        </is>
      </c>
      <c r="N33" t="inlineStr">
        <is>
          <t>R_balance;R_full_weapon_audit;W_wikipedia_2s4_tyulpan;R_machine_brigade_can_bang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boss_rockets/nhip</t>
        </is>
      </c>
      <c r="B34" t="inlineStr">
        <is>
          <t>boss_rockets</t>
        </is>
      </c>
      <c r="C34" t="inlineStr">
        <is>
          <t>khe_mot_nong_mot_vien</t>
        </is>
      </c>
      <c r="D34" t="inlineStr">
        <is>
          <t>s</t>
        </is>
      </c>
      <c r="E34" t="n">
        <v>0.5</v>
      </c>
      <c r="F34">
        <f>60/INDEX(Vu_khi!$BB$2:$BB$360,MATCH($B$34,Vu_khi!$A$2:$A$360,0))/IF(INDEX(Vu_khi!$BD$2:$BD$360,MATCH($B$34,Vu_khi!$A$2:$A$360,0))="gun",0.7,1)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R_balance;R_full_weapon_audit;W_wikipedia_bm_21_grad;R_machine_brigade_can_bang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boss_thermo/nhip</t>
        </is>
      </c>
      <c r="B35" t="inlineStr">
        <is>
          <t>boss_thermo</t>
        </is>
      </c>
      <c r="C35" t="inlineStr">
        <is>
          <t>khe_mot_nong_mot_vien</t>
        </is>
      </c>
      <c r="D35" t="inlineStr">
        <is>
          <t>s</t>
        </is>
      </c>
      <c r="E35" t="n">
        <v>6.255</v>
      </c>
      <c r="F35">
        <f>60/INDEX(Vu_khi!$BB$2:$BB$360,MATCH($B$35,Vu_khi!$A$2:$A$360,0))/IF(INDEX(Vu_khi!$BD$2:$BD$360,MATCH($B$35,Vu_khi!$A$2:$A$360,0))="gun",0.7,1)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>
        <is>
          <t>TC0007</t>
        </is>
      </c>
      <c r="N35" t="inlineStr">
        <is>
          <t>R_balance;R_full_weapon_audit;W_wikipedia_2a46;R_machine_brigade_can_bang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buk_launcher/nhip</t>
        </is>
      </c>
      <c r="B36" t="inlineStr">
        <is>
          <t>buk_launcher</t>
        </is>
      </c>
      <c r="C36" t="inlineStr">
        <is>
          <t>khe_mot_nong_mot_vien</t>
        </is>
      </c>
      <c r="D36" t="inlineStr">
        <is>
          <t>s</t>
        </is>
      </c>
      <c r="E36" t="n">
        <v>1.65</v>
      </c>
      <c r="F36">
        <f>60/INDEX(Vu_khi!$BB$2:$BB$360,MATCH($B$36,Vu_khi!$A$2:$A$360,0))/IF(INDEX(Vu_khi!$BD$2:$BD$360,MATCH($B$36,Vu_khi!$A$2:$A$360,0))="gun",0.7,1)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TC0008</t>
        </is>
      </c>
      <c r="N36" t="inlineStr">
        <is>
          <t>R_balance;R_full_weapon_audit;W_wikipedia_buk_missile_system;R_machine_brigade_can_bang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bunker_hmg/nhip</t>
        </is>
      </c>
      <c r="B37" t="inlineStr">
        <is>
          <t>bunker_hmg</t>
        </is>
      </c>
      <c r="C37" t="inlineStr">
        <is>
          <t>khe_mot_nong_mot_vien</t>
        </is>
      </c>
      <c r="D37" t="inlineStr">
        <is>
          <t>s</t>
        </is>
      </c>
      <c r="E37" t="n">
        <v>0.08866665</v>
      </c>
      <c r="F37">
        <f>60/INDEX(Vu_khi!$BB$2:$BB$360,MATCH($B$37,Vu_khi!$A$2:$A$360,0))/IF(INDEX(Vu_khi!$BD$2:$BD$360,MATCH($B$37,Vu_khi!$A$2:$A$360,0))="gun",0.7,1)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R_balance;R_full_weapon_audit;W_wikipedia_nsv_machine_gun;R_machine_brigade_can_bang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bunker_hmg_twin/nhip</t>
        </is>
      </c>
      <c r="B38" t="inlineStr">
        <is>
          <t>bunker_hmg_twin</t>
        </is>
      </c>
      <c r="C38" t="inlineStr">
        <is>
          <t>khe_mot_nong_mot_vien</t>
        </is>
      </c>
      <c r="D38" t="inlineStr">
        <is>
          <t>s</t>
        </is>
      </c>
      <c r="E38" t="n">
        <v>0.1533333</v>
      </c>
      <c r="F38">
        <f>60/INDEX(Vu_khi!$BB$2:$BB$360,MATCH($B$38,Vu_khi!$A$2:$A$360,0))/IF(INDEX(Vu_khi!$BD$2:$BD$360,MATCH($B$38,Vu_khi!$A$2:$A$360,0))="gun",0.7,1)</f>
        <v/>
      </c>
      <c r="G38">
        <f>$E$38/$F$38</f>
        <v/>
      </c>
      <c r="H38" t="n">
        <v>0.6</v>
      </c>
      <c r="I38" t="n">
        <v>2</v>
      </c>
      <c r="J38" t="b">
        <v>1</v>
      </c>
      <c r="K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8">
        <f>IF(ISNUMBER($H$38),AND(NOT($J$38),OR($G$38&lt;$H$38,$G$38&gt;$I$38)),FALSE)</f>
        <v/>
      </c>
      <c r="M38" t="inlineStr"/>
      <c r="N38" t="inlineStr">
        <is>
          <t>R_balance;R_full_weapon_audit;W_wikipedia_nsv_machine_gun;R_machine_brigade_can_bang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c_ram_gatling/nhip</t>
        </is>
      </c>
      <c r="B39" t="inlineStr">
        <is>
          <t>c_ram_gatling</t>
        </is>
      </c>
      <c r="C39" t="inlineStr">
        <is>
          <t>khe_mot_nong_mot_vien</t>
        </is>
      </c>
      <c r="D39" t="inlineStr">
        <is>
          <t>s</t>
        </is>
      </c>
      <c r="E39" t="n">
        <v>0.035</v>
      </c>
      <c r="F39">
        <f>60/INDEX(Vu_khi!$BB$2:$BB$360,MATCH($B$39,Vu_khi!$A$2:$A$360,0))/IF(INDEX(Vu_khi!$BD$2:$BD$360,MATCH($B$39,Vu_khi!$A$2:$A$360,0))="gun",0.7,1)</f>
        <v/>
      </c>
      <c r="G39">
        <f>$E$39/$F$39</f>
        <v/>
      </c>
      <c r="H39" t="n">
        <v>0.6</v>
      </c>
      <c r="I39" t="n">
        <v>2</v>
      </c>
      <c r="J39" t="b">
        <v>1</v>
      </c>
      <c r="K3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9">
        <f>IF(ISNUMBER($H$39),AND(NOT($J$39),OR($G$39&lt;$H$39,$G$39&gt;$I$39)),FALSE)</f>
        <v/>
      </c>
      <c r="M39" t="inlineStr"/>
      <c r="N39" t="inlineStr">
        <is>
          <t>R_balance;R_full_weapon_audit;W_wikipedia_phalanx_ciws;R_machine_brigade_can_bang</t>
        </is>
      </c>
      <c r="O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9" t="inlineStr">
        <is>
          <t>Tools/balance/full_weapon_audit.py (bảng REAL) và 01_chien_dau/Vu_khi_suy_ra</t>
        </is>
      </c>
      <c r="Q39" t="inlineStr"/>
    </row>
    <row r="40">
      <c r="A40" t="inlineStr">
        <is>
          <t>casemate_155/nhip</t>
        </is>
      </c>
      <c r="B40" t="inlineStr">
        <is>
          <t>casemate_155</t>
        </is>
      </c>
      <c r="C40" t="inlineStr">
        <is>
          <t>khe_mot_nong_mot_vien</t>
        </is>
      </c>
      <c r="D40" t="inlineStr">
        <is>
          <t>s</t>
        </is>
      </c>
      <c r="E40" t="n">
        <v>12.81</v>
      </c>
      <c r="F40">
        <f>60/INDEX(Vu_khi!$BB$2:$BB$360,MATCH($B$40,Vu_khi!$A$2:$A$360,0))/IF(INDEX(Vu_khi!$BD$2:$BD$360,MATCH($B$40,Vu_khi!$A$2:$A$360,0))="gun",0.7,1)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TC0009</t>
        </is>
      </c>
      <c r="N40" t="inlineStr">
        <is>
          <t>R_balance;R_full_weapon_audit;D_us_army_m109a7_fact_file;R_machine_brigade_can_bang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ciws_aa/nhip</t>
        </is>
      </c>
      <c r="B41" t="inlineStr">
        <is>
          <t>ciws_aa</t>
        </is>
      </c>
      <c r="C41" t="inlineStr">
        <is>
          <t>khe_mot_nong_mot_vien</t>
        </is>
      </c>
      <c r="D41" t="inlineStr">
        <is>
          <t>s</t>
        </is>
      </c>
      <c r="E41" t="n">
        <v>0.100033332</v>
      </c>
      <c r="F41">
        <f>60/INDEX(Vu_khi!$BB$2:$BB$360,MATCH($B$41,Vu_khi!$A$2:$A$360,0))/IF(INDEX(Vu_khi!$BD$2:$BD$360,MATCH($B$41,Vu_khi!$A$2:$A$360,0))="gun",0.7,1)</f>
        <v/>
      </c>
      <c r="G41">
        <f>$E$41/$F$41</f>
        <v/>
      </c>
      <c r="H41" t="n">
        <v>0.6</v>
      </c>
      <c r="I41" t="n">
        <v>2</v>
      </c>
      <c r="J41" t="b">
        <v>1</v>
      </c>
      <c r="K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1">
        <f>IF(ISNUMBER($H$41),AND(NOT($J$41),OR($G$41&lt;$H$41,$G$41&gt;$I$41)),FALSE)</f>
        <v/>
      </c>
      <c r="M41" t="inlineStr"/>
      <c r="N41" t="inlineStr">
        <is>
          <t>R_balance;R_full_weapon_audit;W_wikipedia_ak_630;R_machine_brigade_can_bang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cruise_missile_ground/nhip</t>
        </is>
      </c>
      <c r="B42" t="inlineStr">
        <is>
          <t>cruise_missile_ground</t>
        </is>
      </c>
      <c r="C42" t="inlineStr">
        <is>
          <t>khe_mot_nong_mot_vien</t>
        </is>
      </c>
      <c r="D42" t="inlineStr">
        <is>
          <t>s</t>
        </is>
      </c>
      <c r="E42" t="n">
        <v>22.5</v>
      </c>
      <c r="F42">
        <f>60/INDEX(Vu_khi!$BB$2:$BB$360,MATCH($B$42,Vu_khi!$A$2:$A$360,0))/IF(INDEX(Vu_khi!$BD$2:$BD$360,MATCH($B$42,Vu_khi!$A$2:$A$360,0))="gun",0.7,1)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>
        <is>
          <t>TC0010</t>
        </is>
      </c>
      <c r="N42" t="inlineStr">
        <is>
          <t>R_balance;R_full_weapon_audit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cruiser_203/nhip</t>
        </is>
      </c>
      <c r="B43" t="inlineStr">
        <is>
          <t>cruiser_203</t>
        </is>
      </c>
      <c r="C43" t="inlineStr">
        <is>
          <t>khe_mot_nong_mot_vien</t>
        </is>
      </c>
      <c r="D43" t="inlineStr">
        <is>
          <t>s</t>
        </is>
      </c>
      <c r="E43" t="n">
        <v>16.857</v>
      </c>
      <c r="F43">
        <f>60/INDEX(Vu_khi!$BB$2:$BB$360,MATCH($B$43,Vu_khi!$A$2:$A$360,0))/IF(INDEX(Vu_khi!$BD$2:$BD$360,MATCH($B$43,Vu_khi!$A$2:$A$360,0))="gun",0.7,1)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>
        <is>
          <t>TC0011</t>
        </is>
      </c>
      <c r="N43" t="inlineStr">
        <is>
          <t>R_balance;R_full_weapon_audit;W_wikipedia_8_55_caliber_mark_71;R_machine_brigade_can_bang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drone_gun/nhip</t>
        </is>
      </c>
      <c r="B44" t="inlineStr">
        <is>
          <t>drone_gun</t>
        </is>
      </c>
      <c r="C44" t="inlineStr">
        <is>
          <t>khe_mot_nong_mot_vien</t>
        </is>
      </c>
      <c r="D44" t="inlineStr">
        <is>
          <t>s</t>
        </is>
      </c>
      <c r="E44" t="n">
        <v>0.158</v>
      </c>
      <c r="F44">
        <f>60/INDEX(Vu_khi!$BB$2:$BB$360,MATCH($B$44,Vu_khi!$A$2:$A$360,0))/IF(INDEX(Vu_khi!$BD$2:$BD$360,MATCH($B$44,Vu_khi!$A$2:$A$360,0))="gun",0.7,1)</f>
        <v/>
      </c>
      <c r="G44">
        <f>$E$44/$F$44</f>
        <v/>
      </c>
      <c r="H44" t="n">
        <v>0.6</v>
      </c>
      <c r="I44" t="n">
        <v>2</v>
      </c>
      <c r="J44" t="b">
        <v>1</v>
      </c>
      <c r="K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4">
        <f>IF(ISNUMBER($H$44),AND(NOT($J$44),OR($G$44&lt;$H$44,$G$44&gt;$I$44)),FALSE)</f>
        <v/>
      </c>
      <c r="M44" t="inlineStr"/>
      <c r="N44" t="inlineStr">
        <is>
          <t>R_balance;R_full_weapon_audit;W_wikipedia_m3_browning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drone_missile/sat_thuong</t>
        </is>
      </c>
      <c r="B45" t="inlineStr">
        <is>
          <t>drone_missile</t>
        </is>
      </c>
      <c r="C45" t="inlineStr">
        <is>
          <t>sat_thuong_tren_kg_dau_dan</t>
        </is>
      </c>
      <c r="D45" t="inlineStr">
        <is>
          <t>hp/kg</t>
        </is>
      </c>
      <c r="E45">
        <f>INDEX(Vu_khi!$W$2:$W$360,MATCH($B$45,Vu_khi!$A$2:$A$360,0))</f>
        <v/>
      </c>
      <c r="F45">
        <f>INDEX(Vu_khi_tham_chieu!$AB$2:$AB$360,MATCH($B$45,Vu_khi_tham_chieu!$A$2:$A$360,0))</f>
        <v/>
      </c>
      <c r="G45">
        <f>$E$45/$F$45</f>
        <v/>
      </c>
      <c r="H45" t="inlineStr"/>
      <c r="I45" t="inlineStr"/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R_full_weapon_audit</t>
        </is>
      </c>
      <c r="O45" t="inlineStr">
        <is>
          <t>sát thương một phát / khối lượng đầu đạn (không bắt buộc 1:1, chỉ ghi ty_le)</t>
        </is>
      </c>
      <c r="P45" t="inlineStr">
        <is>
          <t>Tools/balance/full_weapon_audit.py WARHEAD</t>
        </is>
      </c>
      <c r="Q45" t="inlineStr"/>
    </row>
    <row r="46">
      <c r="A46" t="inlineStr">
        <is>
          <t>fighter_cannon/nhip</t>
        </is>
      </c>
      <c r="B46" t="inlineStr">
        <is>
          <t>fighter_cannon</t>
        </is>
      </c>
      <c r="C46" t="inlineStr">
        <is>
          <t>khe_mot_nong_mot_vien</t>
        </is>
      </c>
      <c r="D46" t="inlineStr">
        <is>
          <t>s</t>
        </is>
      </c>
      <c r="E46" t="n">
        <v>0.135211364</v>
      </c>
      <c r="F46">
        <f>60/INDEX(Vu_khi!$BB$2:$BB$360,MATCH($B$46,Vu_khi!$A$2:$A$360,0))/IF(INDEX(Vu_khi!$BD$2:$BD$360,MATCH($B$46,Vu_khi!$A$2:$A$360,0))="gun",0.7,1)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R_balance;R_full_weapon_audit;W_wikipedia_gau_22_a;R_machine_brigade_can_bang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flak_35/nhip</t>
        </is>
      </c>
      <c r="B47" t="inlineStr">
        <is>
          <t>flak_35</t>
        </is>
      </c>
      <c r="C47" t="inlineStr">
        <is>
          <t>khe_mot_nong_mot_vien</t>
        </is>
      </c>
      <c r="D47" t="inlineStr">
        <is>
          <t>s</t>
        </is>
      </c>
      <c r="E47" t="n">
        <v>0.590909127</v>
      </c>
      <c r="F47">
        <f>60/INDEX(Vu_khi!$BB$2:$BB$360,MATCH($B$47,Vu_khi!$A$2:$A$360,0))/IF(INDEX(Vu_khi!$BD$2:$BD$360,MATCH($B$47,Vu_khi!$A$2:$A$360,0))="gun",0.7,1)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>
        <is>
          <t>TC0012</t>
        </is>
      </c>
      <c r="N47" t="inlineStr">
        <is>
          <t>R_balance;R_full_weapon_audit;W_wikipedia_oerlikon_gdf;R_machine_brigade_can_bang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flak_quad/nhip</t>
        </is>
      </c>
      <c r="B48" t="inlineStr">
        <is>
          <t>flak_quad</t>
        </is>
      </c>
      <c r="C48" t="inlineStr">
        <is>
          <t>khe_mot_nong_mot_vien</t>
        </is>
      </c>
      <c r="D48" t="inlineStr">
        <is>
          <t>s</t>
        </is>
      </c>
      <c r="E48" t="n">
        <v>0.23831112</v>
      </c>
      <c r="F48">
        <f>60/INDEX(Vu_khi!$BB$2:$BB$360,MATCH($B$48,Vu_khi!$A$2:$A$360,0))/IF(INDEX(Vu_khi!$BD$2:$BD$360,MATCH($B$48,Vu_khi!$A$2:$A$360,0))="gun",0.7,1)</f>
        <v/>
      </c>
      <c r="G48">
        <f>$E$48/$F$48</f>
        <v/>
      </c>
      <c r="H48" t="n">
        <v>0.6</v>
      </c>
      <c r="I48" t="n">
        <v>2</v>
      </c>
      <c r="J48" t="b">
        <v>1</v>
      </c>
      <c r="K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8">
        <f>IF(ISNUMBER($H$48),AND(NOT($J$48),OR($G$48&lt;$H$48,$G$48&gt;$I$48)),FALSE)</f>
        <v/>
      </c>
      <c r="M48" t="inlineStr"/>
      <c r="N48" t="inlineStr">
        <is>
          <t>R_balance;R_full_weapon_audit;W_wikipedia_zsu_23_4_shilka;R_machine_brigade_can_bang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gau_gatling/nhip</t>
        </is>
      </c>
      <c r="B49" t="inlineStr">
        <is>
          <t>gau_gatling</t>
        </is>
      </c>
      <c r="C49" t="inlineStr">
        <is>
          <t>khe_mot_nong_mot_vien</t>
        </is>
      </c>
      <c r="D49" t="inlineStr">
        <is>
          <t>s</t>
        </is>
      </c>
      <c r="E49" t="n">
        <v>0.041242477</v>
      </c>
      <c r="F49">
        <f>60/INDEX(Vu_khi!$BB$2:$BB$360,MATCH($B$49,Vu_khi!$A$2:$A$360,0))/IF(INDEX(Vu_khi!$BD$2:$BD$360,MATCH($B$49,Vu_khi!$A$2:$A$360,0))="gun",0.7,1)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R_balance;R_full_weapon_audit;W_wikipedia_gau_8_avenger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grad_cluster/nhip</t>
        </is>
      </c>
      <c r="B50" t="inlineStr">
        <is>
          <t>grad_cluster</t>
        </is>
      </c>
      <c r="C50" t="inlineStr">
        <is>
          <t>khe_mot_nong_mot_vien</t>
        </is>
      </c>
      <c r="D50" t="inlineStr">
        <is>
          <t>s</t>
        </is>
      </c>
      <c r="E50" t="n">
        <v>0.5</v>
      </c>
      <c r="F50">
        <f>60/INDEX(Vu_khi!$BB$2:$BB$360,MATCH($B$50,Vu_khi!$A$2:$A$360,0))/IF(INDEX(Vu_khi!$BD$2:$BD$360,MATCH($B$50,Vu_khi!$A$2:$A$360,0))="gun",0.7,1)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R_balance;R_full_weapon_audit;W_wikipedia_bm_21_grad;R_machine_brigade_can_bang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grad_rockets/nhip</t>
        </is>
      </c>
      <c r="B51" t="inlineStr">
        <is>
          <t>grad_rockets</t>
        </is>
      </c>
      <c r="C51" t="inlineStr">
        <is>
          <t>khe_mot_nong_mot_vien</t>
        </is>
      </c>
      <c r="D51" t="inlineStr">
        <is>
          <t>s</t>
        </is>
      </c>
      <c r="E51" t="n">
        <v>0.5</v>
      </c>
      <c r="F51">
        <f>60/INDEX(Vu_khi!$BB$2:$BB$360,MATCH($B$51,Vu_khi!$A$2:$A$360,0))/IF(INDEX(Vu_khi!$BD$2:$BD$360,MATCH($B$51,Vu_khi!$A$2:$A$360,0))="gun",0.7,1)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R_balance;R_full_weapon_audit;W_wikipedia_bm_21_grad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gsh_23v/nhip</t>
        </is>
      </c>
      <c r="B52" t="inlineStr">
        <is>
          <t>gsh_23v</t>
        </is>
      </c>
      <c r="C52" t="inlineStr">
        <is>
          <t>khe_mot_nong_mot_vien</t>
        </is>
      </c>
      <c r="D52" t="inlineStr">
        <is>
          <t>s</t>
        </is>
      </c>
      <c r="E52" t="n">
        <v>0.145059088</v>
      </c>
      <c r="F52">
        <f>60/INDEX(Vu_khi!$BB$2:$BB$360,MATCH($B$52,Vu_khi!$A$2:$A$360,0))/IF(INDEX(Vu_khi!$BD$2:$BD$360,MATCH($B$52,Vu_khi!$A$2:$A$360,0))="gun",0.7,1)</f>
        <v/>
      </c>
      <c r="G52">
        <f>$E$52/$F$52</f>
        <v/>
      </c>
      <c r="H52" t="n">
        <v>0.6</v>
      </c>
      <c r="I52" t="n">
        <v>2</v>
      </c>
      <c r="J52" t="b">
        <v>1</v>
      </c>
      <c r="K5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2">
        <f>IF(ISNUMBER($H$52),AND(NOT($J$52),OR($G$52&lt;$H$52,$G$52&gt;$I$52)),FALSE)</f>
        <v/>
      </c>
      <c r="M52" t="inlineStr"/>
      <c r="N52" t="inlineStr">
        <is>
          <t>R_balance;R_full_weapon_audit;W_wikipedia_gryazev_shipunov_gsh_23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gun_57_air/nhip</t>
        </is>
      </c>
      <c r="B53" t="inlineStr">
        <is>
          <t>gun_57_air</t>
        </is>
      </c>
      <c r="C53" t="inlineStr">
        <is>
          <t>khe_mot_nong_mot_vien</t>
        </is>
      </c>
      <c r="D53" t="inlineStr">
        <is>
          <t>s</t>
        </is>
      </c>
      <c r="E53" t="n">
        <v>0.8166665</v>
      </c>
      <c r="F53">
        <f>60/INDEX(Vu_khi!$BB$2:$BB$360,MATCH($B$53,Vu_khi!$A$2:$A$360,0))/IF(INDEX(Vu_khi!$BD$2:$BD$360,MATCH($B$53,Vu_khi!$A$2:$A$360,0))="gun",0.7,1)</f>
        <v/>
      </c>
      <c r="G53">
        <f>$E$53/$F$53</f>
        <v/>
      </c>
      <c r="H53" t="n">
        <v>0.6</v>
      </c>
      <c r="I53" t="n">
        <v>2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R_balance;R_full_weapon_audit;W_wikipedia_au_220m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gun_57_auto/nhip</t>
        </is>
      </c>
      <c r="B54" t="inlineStr">
        <is>
          <t>gun_57_auto</t>
        </is>
      </c>
      <c r="C54" t="inlineStr">
        <is>
          <t>khe_mot_nong_mot_vien</t>
        </is>
      </c>
      <c r="D54" t="inlineStr">
        <is>
          <t>s</t>
        </is>
      </c>
      <c r="E54" t="n">
        <v>0.9</v>
      </c>
      <c r="F54">
        <f>60/INDEX(Vu_khi!$BB$2:$BB$360,MATCH($B$54,Vu_khi!$A$2:$A$360,0))/IF(INDEX(Vu_khi!$BD$2:$BD$360,MATCH($B$54,Vu_khi!$A$2:$A$360,0))="gun",0.7,1)</f>
        <v/>
      </c>
      <c r="G54">
        <f>$E$54/$F$54</f>
        <v/>
      </c>
      <c r="H54" t="n">
        <v>0.6</v>
      </c>
      <c r="I54" t="n">
        <v>2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R_balance;R_full_weapon_audit;W_wikipedia_au_220m;R_machine_brigade_can_bang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gun_57mm/nhip</t>
        </is>
      </c>
      <c r="B55" t="inlineStr">
        <is>
          <t>gun_57mm</t>
        </is>
      </c>
      <c r="C55" t="inlineStr">
        <is>
          <t>khe_mot_nong_mot_vien</t>
        </is>
      </c>
      <c r="D55" t="inlineStr">
        <is>
          <t>s</t>
        </is>
      </c>
      <c r="E55" t="n">
        <v>3.2145</v>
      </c>
      <c r="F55">
        <f>60/INDEX(Vu_khi!$BB$2:$BB$360,MATCH($B$55,Vu_khi!$A$2:$A$360,0))/IF(INDEX(Vu_khi!$BD$2:$BD$360,MATCH($B$55,Vu_khi!$A$2:$A$360,0))="gun",0.7,1)</f>
        <v/>
      </c>
      <c r="G55">
        <f>$E$55/$F$55</f>
        <v/>
      </c>
      <c r="H55" t="n">
        <v>0.6</v>
      </c>
      <c r="I55" t="n">
        <v>2</v>
      </c>
      <c r="J55" t="b">
        <v>0</v>
      </c>
      <c r="K55" t="inlineStr"/>
      <c r="L55">
        <f>IF(ISNUMBER($H$55),AND(NOT($J$55),OR($G$55&lt;$H$55,$G$55&gt;$I$55)),FALSE)</f>
        <v/>
      </c>
      <c r="M55" t="inlineStr">
        <is>
          <t>TC0025</t>
        </is>
      </c>
      <c r="N55" t="inlineStr">
        <is>
          <t>R_balance;R_full_weapon_audit;W_wikipedia_au_220m;R_machine_brigade_can_bang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gun_100_river/nhip</t>
        </is>
      </c>
      <c r="B56" t="inlineStr">
        <is>
          <t>gun_100_river</t>
        </is>
      </c>
      <c r="C56" t="inlineStr">
        <is>
          <t>khe_mot_nong_mot_vien</t>
        </is>
      </c>
      <c r="D56" t="inlineStr">
        <is>
          <t>s</t>
        </is>
      </c>
      <c r="E56" t="n">
        <v>4.286000357</v>
      </c>
      <c r="F56">
        <f>60/INDEX(Vu_khi!$BB$2:$BB$360,MATCH($B$56,Vu_khi!$A$2:$A$360,0))/IF(INDEX(Vu_khi!$BD$2:$BD$360,MATCH($B$56,Vu_khi!$A$2:$A$360,0))="gun",0.7,1)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TC0013</t>
        </is>
      </c>
      <c r="N56" t="inlineStr">
        <is>
          <t>R_balance;R_full_weapon_audit;W_wikipedia_a_190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gun_105_apfsds/nhip</t>
        </is>
      </c>
      <c r="B57" t="inlineStr">
        <is>
          <t>gun_105_apfsds</t>
        </is>
      </c>
      <c r="C57" t="inlineStr">
        <is>
          <t>khe_mot_nong_mot_vien</t>
        </is>
      </c>
      <c r="D57" t="inlineStr">
        <is>
          <t>s</t>
        </is>
      </c>
      <c r="E57" t="n">
        <v>5.583</v>
      </c>
      <c r="F57">
        <f>60/INDEX(Vu_khi!$BB$2:$BB$360,MATCH($B$57,Vu_khi!$A$2:$A$360,0))/IF(INDEX(Vu_khi!$BD$2:$BD$360,MATCH($B$57,Vu_khi!$A$2:$A$360,0))="gun",0.7,1)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TC0014</t>
        </is>
      </c>
      <c r="N57" t="inlineStr">
        <is>
          <t>R_balance;R_full_weapon_audit;W_wikipedia_2s25_sprut_sd;R_machine_brigade_can_bang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gun_105_bunker/nhip</t>
        </is>
      </c>
      <c r="B58" t="inlineStr">
        <is>
          <t>gun_105_bunker</t>
        </is>
      </c>
      <c r="C58" t="inlineStr">
        <is>
          <t>khe_mot_nong_mot_vien</t>
        </is>
      </c>
      <c r="D58" t="inlineStr">
        <is>
          <t>s</t>
        </is>
      </c>
      <c r="E58" t="n">
        <v>4.536</v>
      </c>
      <c r="F58">
        <f>60/INDEX(Vu_khi!$BB$2:$BB$360,MATCH($B$58,Vu_khi!$A$2:$A$360,0))/IF(INDEX(Vu_khi!$BD$2:$BD$360,MATCH($B$58,Vu_khi!$A$2:$A$360,0))="gun",0.7,1)</f>
        <v/>
      </c>
      <c r="G58">
        <f>$E$58/$F$58</f>
        <v/>
      </c>
      <c r="H58" t="n">
        <v>0.6</v>
      </c>
      <c r="I58" t="n">
        <v>2</v>
      </c>
      <c r="J58" t="b">
        <v>0</v>
      </c>
      <c r="K58" t="inlineStr"/>
      <c r="L58">
        <f>IF(ISNUMBER($H$58),AND(NOT($J$58),OR($G$58&lt;$H$58,$G$58&gt;$I$58)),FALSE)</f>
        <v/>
      </c>
      <c r="M58" t="inlineStr">
        <is>
          <t>TC0015</t>
        </is>
      </c>
      <c r="N58" t="inlineStr">
        <is>
          <t>R_balance;R_full_weapon_audit;W_wikipedia_royal_ordnance_l7;R_machine_brigade_can_bang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gun_105_long/nhip</t>
        </is>
      </c>
      <c r="B59" t="inlineStr">
        <is>
          <t>gun_105_long</t>
        </is>
      </c>
      <c r="C59" t="inlineStr">
        <is>
          <t>khe_mot_nong_mot_vien</t>
        </is>
      </c>
      <c r="D59" t="inlineStr">
        <is>
          <t>s</t>
        </is>
      </c>
      <c r="E59" t="n">
        <v>4.762004082</v>
      </c>
      <c r="F59">
        <f>60/INDEX(Vu_khi!$BB$2:$BB$360,MATCH($B$59,Vu_khi!$A$2:$A$360,0))/IF(INDEX(Vu_khi!$BD$2:$BD$360,MATCH($B$59,Vu_khi!$A$2:$A$360,0))="gun",0.7,1)</f>
        <v/>
      </c>
      <c r="G59">
        <f>$E$59/$F$59</f>
        <v/>
      </c>
      <c r="H59" t="n">
        <v>0.6</v>
      </c>
      <c r="I59" t="n">
        <v>2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TC0016</t>
        </is>
      </c>
      <c r="N59" t="inlineStr">
        <is>
          <t>R_balance;R_full_weapon_audit;W_wikipedia_2s25_sprut_sd;R_machine_brigade_can_bang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gun_105_twin/nhip</t>
        </is>
      </c>
      <c r="B60" t="inlineStr">
        <is>
          <t>gun_105_twin</t>
        </is>
      </c>
      <c r="C60" t="inlineStr">
        <is>
          <t>khe_mot_nong_mot_vien</t>
        </is>
      </c>
      <c r="D60" t="inlineStr">
        <is>
          <t>s</t>
        </is>
      </c>
      <c r="E60" t="n">
        <v>5.740002857</v>
      </c>
      <c r="F60">
        <f>60/INDEX(Vu_khi!$BB$2:$BB$360,MATCH($B$60,Vu_khi!$A$2:$A$360,0))/IF(INDEX(Vu_khi!$BD$2:$BD$360,MATCH($B$60,Vu_khi!$A$2:$A$360,0))="gun",0.7,1)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R_balance;R_full_weapon_audit;W_wikipedia_royal_ordnance_l7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gun_105_wheeled/nhip</t>
        </is>
      </c>
      <c r="B61" t="inlineStr">
        <is>
          <t>gun_105_wheeled</t>
        </is>
      </c>
      <c r="C61" t="inlineStr">
        <is>
          <t>khe_mot_nong_mot_vien</t>
        </is>
      </c>
      <c r="D61" t="inlineStr">
        <is>
          <t>s</t>
        </is>
      </c>
      <c r="E61" t="n">
        <v>5.291003571</v>
      </c>
      <c r="F61">
        <f>60/INDEX(Vu_khi!$BB$2:$BB$360,MATCH($B$61,Vu_khi!$A$2:$A$360,0))/IF(INDEX(Vu_khi!$BD$2:$BD$360,MATCH($B$61,Vu_khi!$A$2:$A$360,0))="gun",0.7,1)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TC0017</t>
        </is>
      </c>
      <c r="N61" t="inlineStr">
        <is>
          <t>R_balance;R_full_weapon_audit;R_machine_brigade_can_bang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gun_120_twin/nhip</t>
        </is>
      </c>
      <c r="B62" t="inlineStr">
        <is>
          <t>gun_120_twin</t>
        </is>
      </c>
      <c r="C62" t="inlineStr">
        <is>
          <t>khe_mot_nong_mot_vien</t>
        </is>
      </c>
      <c r="D62" t="inlineStr">
        <is>
          <t>s</t>
        </is>
      </c>
      <c r="E62" t="n">
        <v>7.376003571</v>
      </c>
      <c r="F62">
        <f>60/INDEX(Vu_khi!$BB$2:$BB$360,MATCH($B$62,Vu_khi!$A$2:$A$360,0))/IF(INDEX(Vu_khi!$BD$2:$BD$360,MATCH($B$62,Vu_khi!$A$2:$A$360,0))="gun",0.7,1)</f>
        <v/>
      </c>
      <c r="G62">
        <f>$E$62/$F$62</f>
        <v/>
      </c>
      <c r="H62" t="n">
        <v>0.6</v>
      </c>
      <c r="I62" t="n">
        <v>2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R_balance;R_full_weapon_audit;W_wikipedia_rheinmetall_120_mm_gun;R_machine_brigade_can_bang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gun_120mm/nhip</t>
        </is>
      </c>
      <c r="B63" t="inlineStr">
        <is>
          <t>gun_120mm</t>
        </is>
      </c>
      <c r="C63" t="inlineStr">
        <is>
          <t>khe_mot_nong_mot_vien</t>
        </is>
      </c>
      <c r="D63" t="inlineStr">
        <is>
          <t>s</t>
        </is>
      </c>
      <c r="E63" t="n">
        <v>7.283003571</v>
      </c>
      <c r="F63">
        <f>60/INDEX(Vu_khi!$BB$2:$BB$360,MATCH($B$63,Vu_khi!$A$2:$A$360,0))/IF(INDEX(Vu_khi!$BD$2:$BD$360,MATCH($B$63,Vu_khi!$A$2:$A$360,0))="gun",0.7,1)</f>
        <v/>
      </c>
      <c r="G63">
        <f>$E$63/$F$63</f>
        <v/>
      </c>
      <c r="H63" t="n">
        <v>0.6</v>
      </c>
      <c r="I63" t="n">
        <v>2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R_balance;R_full_weapon_audit;W_wikipedia_rheinmetall_120_mm_gun;R_machine_brigade_can_bang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gun_125_armata_ke/nhip</t>
        </is>
      </c>
      <c r="B64" t="inlineStr">
        <is>
          <t>gun_125_armata_ke</t>
        </is>
      </c>
      <c r="C64" t="inlineStr">
        <is>
          <t>khe_mot_nong_mot_vien</t>
        </is>
      </c>
      <c r="D64" t="inlineStr">
        <is>
          <t>s</t>
        </is>
      </c>
      <c r="E64" t="n">
        <v>7.143</v>
      </c>
      <c r="F64">
        <f>60/INDEX(Vu_khi!$BB$2:$BB$360,MATCH($B$64,Vu_khi!$A$2:$A$360,0))/IF(INDEX(Vu_khi!$BD$2:$BD$360,MATCH($B$64,Vu_khi!$A$2:$A$360,0))="gun",0.7,1)</f>
        <v/>
      </c>
      <c r="G64">
        <f>$E$64/$F$64</f>
        <v/>
      </c>
      <c r="H64" t="n">
        <v>0.6</v>
      </c>
      <c r="I64" t="n">
        <v>2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R_balance;R_full_weapon_audit;W_wikipedia_2a46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gun_125_elite/nhip</t>
        </is>
      </c>
      <c r="B65" t="inlineStr">
        <is>
          <t>gun_125_elite</t>
        </is>
      </c>
      <c r="C65" t="inlineStr">
        <is>
          <t>khe_mot_nong_mot_vien</t>
        </is>
      </c>
      <c r="D65" t="inlineStr">
        <is>
          <t>s</t>
        </is>
      </c>
      <c r="E65" t="n">
        <v>8.085996429</v>
      </c>
      <c r="F65">
        <f>60/INDEX(Vu_khi!$BB$2:$BB$360,MATCH($B$65,Vu_khi!$A$2:$A$360,0))/IF(INDEX(Vu_khi!$BD$2:$BD$360,MATCH($B$65,Vu_khi!$A$2:$A$360,0))="gun",0.7,1)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R_balance;R_full_weapon_audit;W_wikipedia_2a46;R_machine_brigade_can_bang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gun_140_twin/nhip</t>
        </is>
      </c>
      <c r="B66" t="inlineStr">
        <is>
          <t>gun_140_twin</t>
        </is>
      </c>
      <c r="C66" t="inlineStr">
        <is>
          <t>khe_mot_nong_mot_vien</t>
        </is>
      </c>
      <c r="D66" t="inlineStr">
        <is>
          <t>s</t>
        </is>
      </c>
      <c r="E66" t="n">
        <v>6.481002857</v>
      </c>
      <c r="F66">
        <f>60/INDEX(Vu_khi!$BB$2:$BB$360,MATCH($B$66,Vu_khi!$A$2:$A$360,0))/IF(INDEX(Vu_khi!$BD$2:$BD$360,MATCH($B$66,Vu_khi!$A$2:$A$360,0))="gun",0.7,1)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R_balance;R_full_weapon_audit;R_machine_brigade_can_bang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gun_152/nhip</t>
        </is>
      </c>
      <c r="B67" t="inlineStr">
        <is>
          <t>gun_152</t>
        </is>
      </c>
      <c r="C67" t="inlineStr">
        <is>
          <t>khe_mot_nong_mot_vien</t>
        </is>
      </c>
      <c r="D67" t="inlineStr">
        <is>
          <t>s</t>
        </is>
      </c>
      <c r="E67" t="n">
        <v>8.163</v>
      </c>
      <c r="F67">
        <f>60/INDEX(Vu_khi!$BB$2:$BB$360,MATCH($B$67,Vu_khi!$A$2:$A$360,0))/IF(INDEX(Vu_khi!$BD$2:$BD$360,MATCH($B$67,Vu_khi!$A$2:$A$360,0))="gun",0.7,1)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R_balance;R_full_weapon_audit;R_machine_brigade_can_bang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gun_152_he/nhip</t>
        </is>
      </c>
      <c r="B68" t="inlineStr">
        <is>
          <t>gun_152_he</t>
        </is>
      </c>
      <c r="C68" t="inlineStr">
        <is>
          <t>khe_mot_nong_mot_vien</t>
        </is>
      </c>
      <c r="D68" t="inlineStr">
        <is>
          <t>s</t>
        </is>
      </c>
      <c r="E68" t="n">
        <v>8.571</v>
      </c>
      <c r="F68">
        <f>60/INDEX(Vu_khi!$BB$2:$BB$360,MATCH($B$68,Vu_khi!$A$2:$A$360,0))/IF(INDEX(Vu_khi!$BD$2:$BD$360,MATCH($B$68,Vu_khi!$A$2:$A$360,0))="gun",0.7,1)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gun_152_heat/nhip</t>
        </is>
      </c>
      <c r="B69" t="inlineStr">
        <is>
          <t>gun_152_heat</t>
        </is>
      </c>
      <c r="C69" t="inlineStr">
        <is>
          <t>khe_mot_nong_mot_vien</t>
        </is>
      </c>
      <c r="D69" t="inlineStr">
        <is>
          <t>s</t>
        </is>
      </c>
      <c r="E69" t="n">
        <v>9.043002856999999</v>
      </c>
      <c r="F69">
        <f>60/INDEX(Vu_khi!$BB$2:$BB$360,MATCH($B$69,Vu_khi!$A$2:$A$360,0))/IF(INDEX(Vu_khi!$BD$2:$BD$360,MATCH($B$69,Vu_khi!$A$2:$A$360,0))="gun",0.7,1)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R_balance;R_full_weapon_audit;R_machine_brigade_can_bang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gun_155_coastal/nhip</t>
        </is>
      </c>
      <c r="B70" t="inlineStr">
        <is>
          <t>gun_155_coastal</t>
        </is>
      </c>
      <c r="C70" t="inlineStr">
        <is>
          <t>khe_mot_nong_mot_vien</t>
        </is>
      </c>
      <c r="D70" t="inlineStr">
        <is>
          <t>s</t>
        </is>
      </c>
      <c r="E70" t="n">
        <v>6.314507143</v>
      </c>
      <c r="F70">
        <f>60/INDEX(Vu_khi!$BB$2:$BB$360,MATCH($B$70,Vu_khi!$A$2:$A$360,0))/IF(INDEX(Vu_khi!$BD$2:$BD$360,MATCH($B$70,Vu_khi!$A$2:$A$360,0))="gun",0.7,1)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TC0018</t>
        </is>
      </c>
      <c r="N70" t="inlineStr">
        <is>
          <t>R_balance;R_full_weapon_audit;D_us_army_m109a7_fact_file;R_machine_brigade_can_bang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gun_155_sph/nhip</t>
        </is>
      </c>
      <c r="B71" t="inlineStr">
        <is>
          <t>gun_155_sph</t>
        </is>
      </c>
      <c r="C71" t="inlineStr">
        <is>
          <t>khe_mot_nong_mot_vien</t>
        </is>
      </c>
      <c r="D71" t="inlineStr">
        <is>
          <t>s</t>
        </is>
      </c>
      <c r="E71" t="n">
        <v>15.428742857</v>
      </c>
      <c r="F71">
        <f>60/INDEX(Vu_khi!$BB$2:$BB$360,MATCH($B$71,Vu_khi!$A$2:$A$360,0))/IF(INDEX(Vu_khi!$BD$2:$BD$360,MATCH($B$71,Vu_khi!$A$2:$A$360,0))="gun",0.7,1)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R_balance;R_full_weapon_audit;D_us_army_m109a7_fact_file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gun_155_twin/nhip</t>
        </is>
      </c>
      <c r="B72" t="inlineStr">
        <is>
          <t>gun_155_twin</t>
        </is>
      </c>
      <c r="C72" t="inlineStr">
        <is>
          <t>khe_mot_nong_mot_vien</t>
        </is>
      </c>
      <c r="D72" t="inlineStr">
        <is>
          <t>s</t>
        </is>
      </c>
      <c r="E72" t="n">
        <v>8.839992857</v>
      </c>
      <c r="F72">
        <f>60/INDEX(Vu_khi!$BB$2:$BB$360,MATCH($B$72,Vu_khi!$A$2:$A$360,0))/IF(INDEX(Vu_khi!$BD$2:$BD$360,MATCH($B$72,Vu_khi!$A$2:$A$360,0))="gun",0.7,1)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TC0019</t>
        </is>
      </c>
      <c r="N72" t="inlineStr">
        <is>
          <t>R_balance;R_full_weapon_audit;D_us_army_m109a7_fact_file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gun_155_twin_ap/nhip</t>
        </is>
      </c>
      <c r="B73" t="inlineStr">
        <is>
          <t>gun_155_twin_ap</t>
        </is>
      </c>
      <c r="C73" t="inlineStr">
        <is>
          <t>khe_mot_nong_mot_vien</t>
        </is>
      </c>
      <c r="D73" t="inlineStr">
        <is>
          <t>s</t>
        </is>
      </c>
      <c r="E73" t="n">
        <v>7.929</v>
      </c>
      <c r="F73">
        <f>60/INDEX(Vu_khi!$BB$2:$BB$360,MATCH($B$73,Vu_khi!$A$2:$A$360,0))/IF(INDEX(Vu_khi!$BD$2:$BD$360,MATCH($B$73,Vu_khi!$A$2:$A$360,0))="gun",0.7,1)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TC0020</t>
        </is>
      </c>
      <c r="N73" t="inlineStr">
        <is>
          <t>R_balance;R_full_weapon_audit;D_us_army_m109a7_fact_file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gun_155_twin_coastlr/nhip</t>
        </is>
      </c>
      <c r="B74" t="inlineStr">
        <is>
          <t>gun_155_twin_coastlr</t>
        </is>
      </c>
      <c r="C74" t="inlineStr">
        <is>
          <t>khe_mot_nong_mot_vien</t>
        </is>
      </c>
      <c r="D74" t="inlineStr">
        <is>
          <t>s</t>
        </is>
      </c>
      <c r="E74" t="n">
        <v>7.929</v>
      </c>
      <c r="F74">
        <f>60/INDEX(Vu_khi!$BB$2:$BB$360,MATCH($B$74,Vu_khi!$A$2:$A$360,0))/IF(INDEX(Vu_khi!$BD$2:$BD$360,MATCH($B$74,Vu_khi!$A$2:$A$360,0))="gun",0.7,1)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TC0021</t>
        </is>
      </c>
      <c r="N74" t="inlineStr">
        <is>
          <t>R_balance;R_full_weapon_audit;D_us_army_m109a7_fact_file;R_machine_brigade_can_bang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gun_155_twin_fort/nhip</t>
        </is>
      </c>
      <c r="B75" t="inlineStr">
        <is>
          <t>gun_155_twin_fort</t>
        </is>
      </c>
      <c r="C75" t="inlineStr">
        <is>
          <t>khe_mot_nong_mot_vien</t>
        </is>
      </c>
      <c r="D75" t="inlineStr">
        <is>
          <t>s</t>
        </is>
      </c>
      <c r="E75" t="n">
        <v>7.929</v>
      </c>
      <c r="F75">
        <f>60/INDEX(Vu_khi!$BB$2:$BB$360,MATCH($B$75,Vu_khi!$A$2:$A$360,0))/IF(INDEX(Vu_khi!$BD$2:$BD$360,MATCH($B$75,Vu_khi!$A$2:$A$360,0))="gun",0.7,1)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TC0022</t>
        </is>
      </c>
      <c r="N75" t="inlineStr">
        <is>
          <t>R_balance;R_full_weapon_audit;D_us_army_m109a7_fact_file;R_machine_brigade_can_bang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gun_155_twin_long/nhip</t>
        </is>
      </c>
      <c r="B76" t="inlineStr">
        <is>
          <t>gun_155_twin_long</t>
        </is>
      </c>
      <c r="C76" t="inlineStr">
        <is>
          <t>khe_mot_nong_mot_vien</t>
        </is>
      </c>
      <c r="D76" t="inlineStr">
        <is>
          <t>s</t>
        </is>
      </c>
      <c r="E76" t="n">
        <v>8.839992857</v>
      </c>
      <c r="F76">
        <f>60/INDEX(Vu_khi!$BB$2:$BB$360,MATCH($B$76,Vu_khi!$A$2:$A$360,0))/IF(INDEX(Vu_khi!$BD$2:$BD$360,MATCH($B$76,Vu_khi!$A$2:$A$360,0))="gun",0.7,1)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TC0023</t>
        </is>
      </c>
      <c r="N76" t="inlineStr">
        <is>
          <t>R_balance;R_full_weapon_audit;D_us_army_m109a7_fact_file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gun_203_siege/nhip</t>
        </is>
      </c>
      <c r="B77" t="inlineStr">
        <is>
          <t>gun_203_siege</t>
        </is>
      </c>
      <c r="C77" t="inlineStr">
        <is>
          <t>khe_mot_nong_mot_vien</t>
        </is>
      </c>
      <c r="D77" t="inlineStr">
        <is>
          <t>s</t>
        </is>
      </c>
      <c r="E77" t="n">
        <v>12.200014286</v>
      </c>
      <c r="F77">
        <f>60/INDEX(Vu_khi!$BB$2:$BB$360,MATCH($B$77,Vu_khi!$A$2:$A$360,0))/IF(INDEX(Vu_khi!$BD$2:$BD$360,MATCH($B$77,Vu_khi!$A$2:$A$360,0))="gun",0.7,1)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TC0024</t>
        </is>
      </c>
      <c r="N77" t="inlineStr">
        <is>
          <t>R_balance;R_full_weapon_audit;W_wikipedia_m110_howitzer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gun_behemoth/nhip</t>
        </is>
      </c>
      <c r="B78" t="inlineStr">
        <is>
          <t>gun_behemoth</t>
        </is>
      </c>
      <c r="C78" t="inlineStr">
        <is>
          <t>khe_mot_nong_mot_vien</t>
        </is>
      </c>
      <c r="D78" t="inlineStr">
        <is>
          <t>s</t>
        </is>
      </c>
      <c r="E78" t="n">
        <v>8.979996429</v>
      </c>
      <c r="F78">
        <f>60/INDEX(Vu_khi!$BB$2:$BB$360,MATCH($B$78,Vu_khi!$A$2:$A$360,0))/IF(INDEX(Vu_khi!$BD$2:$BD$360,MATCH($B$78,Vu_khi!$A$2:$A$360,0))="gun",0.7,1)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R_balance;R_full_weapon_audit;W_wikipedia_2a65_msta_b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gun_launched_atgm/nhip</t>
        </is>
      </c>
      <c r="B79" t="inlineStr">
        <is>
          <t>gun_launched_atgm</t>
        </is>
      </c>
      <c r="C79" t="inlineStr">
        <is>
          <t>khe_mot_nong_mot_vien</t>
        </is>
      </c>
      <c r="D79" t="inlineStr">
        <is>
          <t>s</t>
        </is>
      </c>
      <c r="E79" t="n">
        <v>19.999995</v>
      </c>
      <c r="F79">
        <f>60/INDEX(Vu_khi!$BB$2:$BB$360,MATCH($B$79,Vu_khi!$A$2:$A$360,0))/IF(INDEX(Vu_khi!$BD$2:$BD$360,MATCH($B$79,Vu_khi!$A$2:$A$360,0))="gun",0.7,1)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R_balance;R_full_weapon_audit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gun_pit_105/nhip</t>
        </is>
      </c>
      <c r="B80" t="inlineStr">
        <is>
          <t>gun_pit_105</t>
        </is>
      </c>
      <c r="C80" t="inlineStr">
        <is>
          <t>khe_mot_nong_mot_vien</t>
        </is>
      </c>
      <c r="D80" t="inlineStr">
        <is>
          <t>s</t>
        </is>
      </c>
      <c r="E80" t="n">
        <v>4.629996429</v>
      </c>
      <c r="F80">
        <f>60/INDEX(Vu_khi!$BB$2:$BB$360,MATCH($B$80,Vu_khi!$A$2:$A$360,0))/IF(INDEX(Vu_khi!$BD$2:$BD$360,MATCH($B$80,Vu_khi!$A$2:$A$360,0))="gun",0.7,1)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TC0026</t>
        </is>
      </c>
      <c r="N80" t="inlineStr">
        <is>
          <t>R_balance;R_full_weapon_audit;W_wikipedia_rheinmetall_120_mm_gun;R_machine_brigade_can_bang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gunship_25mm/nhip</t>
        </is>
      </c>
      <c r="B81" t="inlineStr">
        <is>
          <t>gunship_25mm</t>
        </is>
      </c>
      <c r="C81" t="inlineStr">
        <is>
          <t>khe_mot_nong_mot_vien</t>
        </is>
      </c>
      <c r="D81" t="inlineStr">
        <is>
          <t>s</t>
        </is>
      </c>
      <c r="E81" t="n">
        <v>0.107330357</v>
      </c>
      <c r="F81">
        <f>60/INDEX(Vu_khi!$BB$2:$BB$360,MATCH($B$81,Vu_khi!$A$2:$A$360,0))/IF(INDEX(Vu_khi!$BD$2:$BD$360,MATCH($B$81,Vu_khi!$A$2:$A$360,0))="gun",0.7,1)</f>
        <v/>
      </c>
      <c r="G81">
        <f>$E$81/$F$81</f>
        <v/>
      </c>
      <c r="H81" t="n">
        <v>0.6</v>
      </c>
      <c r="I81" t="n">
        <v>2</v>
      </c>
      <c r="J81" t="b">
        <v>1</v>
      </c>
      <c r="K8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1">
        <f>IF(ISNUMBER($H$81),AND(NOT($J$81),OR($G$81&lt;$H$81,$G$81&gt;$I$81)),FALSE)</f>
        <v/>
      </c>
      <c r="M81" t="inlineStr"/>
      <c r="N81" t="inlineStr">
        <is>
          <t>R_balance;R_full_weapon_audit;W_wikipedia_gau_12_equalizer;R_machine_brigade_can_bang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gunship_40mm/nhip</t>
        </is>
      </c>
      <c r="B82" t="inlineStr">
        <is>
          <t>gunship_40mm</t>
        </is>
      </c>
      <c r="C82" t="inlineStr">
        <is>
          <t>khe_mot_nong_mot_vien</t>
        </is>
      </c>
      <c r="D82" t="inlineStr">
        <is>
          <t>s</t>
        </is>
      </c>
      <c r="E82" t="n">
        <v>0.2066345</v>
      </c>
      <c r="F82">
        <f>60/INDEX(Vu_khi!$BB$2:$BB$360,MATCH($B$82,Vu_khi!$A$2:$A$360,0))/IF(INDEX(Vu_khi!$BD$2:$BD$360,MATCH($B$82,Vu_khi!$A$2:$A$360,0))="gun",0.7,1)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>
        <is>
          <t>TC0027</t>
        </is>
      </c>
      <c r="N82" t="inlineStr">
        <is>
          <t>R_balance;R_full_weapon_audit;W_wikipedia_bofors_40_mm_l_60;R_machine_brigade_can_bang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gunship_105/nhip</t>
        </is>
      </c>
      <c r="B83" t="inlineStr">
        <is>
          <t>gunship_105</t>
        </is>
      </c>
      <c r="C83" t="inlineStr">
        <is>
          <t>khe_mot_nong_mot_vien</t>
        </is>
      </c>
      <c r="D83" t="inlineStr">
        <is>
          <t>s</t>
        </is>
      </c>
      <c r="E83" t="n">
        <v>3.919002857</v>
      </c>
      <c r="F83">
        <f>60/INDEX(Vu_khi!$BB$2:$BB$360,MATCH($B$83,Vu_khi!$A$2:$A$360,0))/IF(INDEX(Vu_khi!$BD$2:$BD$360,MATCH($B$83,Vu_khi!$A$2:$A$360,0))="gun",0.7,1)</f>
        <v/>
      </c>
      <c r="G83">
        <f>$E$83/$F$83</f>
        <v/>
      </c>
      <c r="H83" t="n">
        <v>0.6</v>
      </c>
      <c r="I83" t="n">
        <v>2</v>
      </c>
      <c r="J83" t="b">
        <v>1</v>
      </c>
      <c r="K83" t="inlineStr">
        <is>
          <t>fix_weapon_reasons.json: shared with the player's AC-130: the player rule (Docs/balance/player_weapon_waitlist.md)</t>
        </is>
      </c>
      <c r="L83">
        <f>IF(ISNUMBER($H$83),AND(NOT($J$83),OR($G$83&lt;$H$83,$G$83&gt;$I$83)),FALSE)</f>
        <v/>
      </c>
      <c r="M83" t="inlineStr"/>
      <c r="N83" t="inlineStr">
        <is>
          <t>R_balance;R_full_weapon_audit;W_wikipedia_m102_howitzer;R_machine_brigade_can_bang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gunship_rockets/nhip</t>
        </is>
      </c>
      <c r="B84" t="inlineStr">
        <is>
          <t>gunship_rockets</t>
        </is>
      </c>
      <c r="C84" t="inlineStr">
        <is>
          <t>khe_mot_nong_mot_vien</t>
        </is>
      </c>
      <c r="D84" t="inlineStr">
        <is>
          <t>s</t>
        </is>
      </c>
      <c r="E84" t="n">
        <v>0.1</v>
      </c>
      <c r="F84">
        <f>60/INDEX(Vu_khi!$BB$2:$BB$360,MATCH($B$84,Vu_khi!$A$2:$A$360,0))/IF(INDEX(Vu_khi!$BD$2:$BD$360,MATCH($B$84,Vu_khi!$A$2:$A$360,0))="gun",0.7,1)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R_balance;R_full_weapon_audit;R_decisions;R_machine_brigade_can_bang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heli_gun/nhip</t>
        </is>
      </c>
      <c r="B85" t="inlineStr">
        <is>
          <t>heli_gun</t>
        </is>
      </c>
      <c r="C85" t="inlineStr">
        <is>
          <t>khe_mot_nong_mot_vien</t>
        </is>
      </c>
      <c r="D85" t="inlineStr">
        <is>
          <t>s</t>
        </is>
      </c>
      <c r="E85" t="n">
        <v>0.241699968</v>
      </c>
      <c r="F85">
        <f>60/INDEX(Vu_khi!$BB$2:$BB$360,MATCH($B$85,Vu_khi!$A$2:$A$360,0))/IF(INDEX(Vu_khi!$BD$2:$BD$360,MATCH($B$85,Vu_khi!$A$2:$A$360,0))="gun",0.7,1)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R_balance;R_full_weapon_audit;W_wikipedia_m230_chain_gun;R_machine_brigade_can_bang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heli_rockets/nhip</t>
        </is>
      </c>
      <c r="B86" t="inlineStr">
        <is>
          <t>heli_rockets</t>
        </is>
      </c>
      <c r="C86" t="inlineStr">
        <is>
          <t>khe_mot_nong_mot_vien</t>
        </is>
      </c>
      <c r="D86" t="inlineStr">
        <is>
          <t>s</t>
        </is>
      </c>
      <c r="E86" t="n">
        <v>0.12</v>
      </c>
      <c r="F86">
        <f>60/INDEX(Vu_khi!$BB$2:$BB$360,MATCH($B$86,Vu_khi!$A$2:$A$360,0))/IF(INDEX(Vu_khi!$BD$2:$BD$360,MATCH($B$86,Vu_khi!$A$2:$A$360,0))="gun",0.7,1)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R_balance;R_full_weapon_audit;R_decisions;R_machine_brigade_can_bang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hellfire_standoff/sat_thuong</t>
        </is>
      </c>
      <c r="B87" t="inlineStr">
        <is>
          <t>hellfire_standoff</t>
        </is>
      </c>
      <c r="C87" t="inlineStr">
        <is>
          <t>sat_thuong_tren_kg_dau_dan</t>
        </is>
      </c>
      <c r="D87" t="inlineStr">
        <is>
          <t>hp/kg</t>
        </is>
      </c>
      <c r="E87">
        <f>INDEX(Vu_khi!$W$2:$W$360,MATCH($B$87,Vu_khi!$A$2:$A$360,0))</f>
        <v/>
      </c>
      <c r="F87">
        <f>INDEX(Vu_khi_tham_chieu!$AB$2:$AB$360,MATCH($B$87,Vu_khi_tham_chieu!$A$2:$A$360,0))</f>
        <v/>
      </c>
      <c r="G87">
        <f>$E$87/$F$87</f>
        <v/>
      </c>
      <c r="H87" t="inlineStr"/>
      <c r="I87" t="inlineStr"/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R_full_weapon_audit</t>
        </is>
      </c>
      <c r="O87" t="inlineStr">
        <is>
          <t>sát thương một phát / khối lượng đầu đạn (không bắt buộc 1:1, chỉ ghi ty_le)</t>
        </is>
      </c>
      <c r="P87" t="inlineStr">
        <is>
          <t>Tools/balance/full_weapon_audit.py WARHEAD</t>
        </is>
      </c>
      <c r="Q87" t="inlineStr"/>
    </row>
    <row r="88">
      <c r="A88" t="inlineStr">
        <is>
          <t>hellfire_volley/sat_thuong</t>
        </is>
      </c>
      <c r="B88" t="inlineStr">
        <is>
          <t>hellfire_volley</t>
        </is>
      </c>
      <c r="C88" t="inlineStr">
        <is>
          <t>sat_thuong_tren_kg_dau_dan</t>
        </is>
      </c>
      <c r="D88" t="inlineStr">
        <is>
          <t>hp/kg</t>
        </is>
      </c>
      <c r="E88">
        <f>INDEX(Vu_khi!$W$2:$W$360,MATCH($B$88,Vu_khi!$A$2:$A$360,0))</f>
        <v/>
      </c>
      <c r="F88">
        <f>INDEX(Vu_khi_tham_chieu!$AB$2:$AB$360,MATCH($B$88,Vu_khi_tham_chieu!$A$2:$A$360,0))</f>
        <v/>
      </c>
      <c r="G88">
        <f>$E$88/$F$88</f>
        <v/>
      </c>
      <c r="H88" t="inlineStr"/>
      <c r="I88" t="inlineStr"/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R_full_weapon_audit</t>
        </is>
      </c>
      <c r="O88" t="inlineStr">
        <is>
          <t>sát thương một phát / khối lượng đầu đạn (không bắt buộc 1:1, chỉ ghi ty_le)</t>
        </is>
      </c>
      <c r="P88" t="inlineStr">
        <is>
          <t>Tools/balance/full_weapon_audit.py WARHEAD</t>
        </is>
      </c>
      <c r="Q88" t="inlineStr"/>
    </row>
    <row r="89">
      <c r="A89" t="inlineStr">
        <is>
          <t>hind_rockets/nhip</t>
        </is>
      </c>
      <c r="B89" t="inlineStr">
        <is>
          <t>hind_rockets</t>
        </is>
      </c>
      <c r="C89" t="inlineStr">
        <is>
          <t>khe_mot_nong_mot_vien</t>
        </is>
      </c>
      <c r="D89" t="inlineStr">
        <is>
          <t>s</t>
        </is>
      </c>
      <c r="E89" t="n">
        <v>0.07000000000000001</v>
      </c>
      <c r="F89">
        <f>60/INDEX(Vu_khi!$BB$2:$BB$360,MATCH($B$89,Vu_khi!$A$2:$A$360,0))/IF(INDEX(Vu_khi!$BD$2:$BD$360,MATCH($B$89,Vu_khi!$A$2:$A$360,0))="gun",0.7,1)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R_balance;R_full_weapon_audit;R_decisions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hmg_roof/nhip</t>
        </is>
      </c>
      <c r="B90" t="inlineStr">
        <is>
          <t>hmg_roof</t>
        </is>
      </c>
      <c r="C90" t="inlineStr">
        <is>
          <t>khe_mot_nong_mot_vien</t>
        </is>
      </c>
      <c r="D90" t="inlineStr">
        <is>
          <t>s</t>
        </is>
      </c>
      <c r="E90" t="n">
        <v>0.1611</v>
      </c>
      <c r="F90">
        <f>60/INDEX(Vu_khi!$BB$2:$BB$360,MATCH($B$90,Vu_khi!$A$2:$A$360,0))/IF(INDEX(Vu_khi!$BD$2:$BD$360,MATCH($B$90,Vu_khi!$A$2:$A$360,0))="gun",0.7,1)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R_balance;R_full_weapon_audit;D_us_army_fm_3_22_65;R_machine_brigade_can_bang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hmg_selfdef_15/nhip</t>
        </is>
      </c>
      <c r="B91" t="inlineStr">
        <is>
          <t>hmg_selfdef_15</t>
        </is>
      </c>
      <c r="C91" t="inlineStr">
        <is>
          <t>khe_mot_nong_mot_vien</t>
        </is>
      </c>
      <c r="D91" t="inlineStr">
        <is>
          <t>s</t>
        </is>
      </c>
      <c r="E91" t="n">
        <v>0.1611</v>
      </c>
      <c r="F91">
        <f>60/INDEX(Vu_khi!$BB$2:$BB$360,MATCH($B$91,Vu_khi!$A$2:$A$360,0))/IF(INDEX(Vu_khi!$BD$2:$BD$360,MATCH($B$91,Vu_khi!$A$2:$A$360,0))="gun",0.7,1)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R_balance;R_full_weapon_audit;D_us_army_fm_3_22_65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hmg_selfdef_18/nhip</t>
        </is>
      </c>
      <c r="B92" t="inlineStr">
        <is>
          <t>hmg_selfdef_18</t>
        </is>
      </c>
      <c r="C92" t="inlineStr">
        <is>
          <t>khe_mot_nong_mot_vien</t>
        </is>
      </c>
      <c r="D92" t="inlineStr">
        <is>
          <t>s</t>
        </is>
      </c>
      <c r="E92" t="n">
        <v>0.1611</v>
      </c>
      <c r="F92">
        <f>60/INDEX(Vu_khi!$BB$2:$BB$360,MATCH($B$92,Vu_khi!$A$2:$A$360,0))/IF(INDEX(Vu_khi!$BD$2:$BD$360,MATCH($B$92,Vu_khi!$A$2:$A$360,0))="gun",0.7,1)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R_balance;R_full_weapon_audit;D_us_army_fm_3_22_65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hmg_selfdef_21/nhip</t>
        </is>
      </c>
      <c r="B93" t="inlineStr">
        <is>
          <t>hmg_selfdef_21</t>
        </is>
      </c>
      <c r="C93" t="inlineStr">
        <is>
          <t>khe_mot_nong_mot_vien</t>
        </is>
      </c>
      <c r="D93" t="inlineStr">
        <is>
          <t>s</t>
        </is>
      </c>
      <c r="E93" t="n">
        <v>0.1611</v>
      </c>
      <c r="F93">
        <f>60/INDEX(Vu_khi!$BB$2:$BB$360,MATCH($B$93,Vu_khi!$A$2:$A$360,0))/IF(INDEX(Vu_khi!$BD$2:$BD$360,MATCH($B$93,Vu_khi!$A$2:$A$360,0))="gun",0.7,1)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R_balance;R_full_weapon_audit;D_us_army_fm_3_22_65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hover_ciws/nhip</t>
        </is>
      </c>
      <c r="B94" t="inlineStr">
        <is>
          <t>hover_ciws</t>
        </is>
      </c>
      <c r="C94" t="inlineStr">
        <is>
          <t>khe_mot_nong_mot_vien</t>
        </is>
      </c>
      <c r="D94" t="inlineStr">
        <is>
          <t>s</t>
        </is>
      </c>
      <c r="E94" t="n">
        <v>0.100033332</v>
      </c>
      <c r="F94">
        <f>60/INDEX(Vu_khi!$BB$2:$BB$360,MATCH($B$94,Vu_khi!$A$2:$A$360,0))/IF(INDEX(Vu_khi!$BD$2:$BD$360,MATCH($B$94,Vu_khi!$A$2:$A$360,0))="gun",0.7,1)</f>
        <v/>
      </c>
      <c r="G94">
        <f>$E$94/$F$94</f>
        <v/>
      </c>
      <c r="H94" t="n">
        <v>0.6</v>
      </c>
      <c r="I94" t="n">
        <v>2</v>
      </c>
      <c r="J94" t="b">
        <v>1</v>
      </c>
      <c r="K9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4">
        <f>IF(ISNUMBER($H$94),AND(NOT($J$94),OR($G$94&lt;$H$94,$G$94&gt;$I$94)),FALSE)</f>
        <v/>
      </c>
      <c r="M94" t="inlineStr"/>
      <c r="N94" t="inlineStr">
        <is>
          <t>R_balance;R_full_weapon_audit;W_wikipedia_ak_630;R_machine_brigade_can_bang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hover_rockets/nhip</t>
        </is>
      </c>
      <c r="B95" t="inlineStr">
        <is>
          <t>hover_rockets</t>
        </is>
      </c>
      <c r="C95" t="inlineStr">
        <is>
          <t>khe_mot_nong_mot_vien</t>
        </is>
      </c>
      <c r="D95" t="inlineStr">
        <is>
          <t>s</t>
        </is>
      </c>
      <c r="E95" t="n">
        <v>0.5</v>
      </c>
      <c r="F95">
        <f>60/INDEX(Vu_khi!$BB$2:$BB$360,MATCH($B$95,Vu_khi!$A$2:$A$360,0))/IF(INDEX(Vu_khi!$BD$2:$BD$360,MATCH($B$95,Vu_khi!$A$2:$A$360,0))="gun",0.7,1)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R_balance;R_full_weapon_audit;R_machine_brigade_can_bang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howitzer/nhip</t>
        </is>
      </c>
      <c r="B96" t="inlineStr">
        <is>
          <t>howitzer</t>
        </is>
      </c>
      <c r="C96" t="inlineStr">
        <is>
          <t>khe_mot_nong_mot_vien</t>
        </is>
      </c>
      <c r="D96" t="inlineStr">
        <is>
          <t>s</t>
        </is>
      </c>
      <c r="E96" t="n">
        <v>11.8785</v>
      </c>
      <c r="F96">
        <f>60/INDEX(Vu_khi!$BB$2:$BB$360,MATCH($B$96,Vu_khi!$A$2:$A$360,0))/IF(INDEX(Vu_khi!$BD$2:$BD$360,MATCH($B$96,Vu_khi!$A$2:$A$360,0))="gun",0.7,1)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TC0028</t>
        </is>
      </c>
      <c r="N96" t="inlineStr">
        <is>
          <t>R_balance;R_full_weapon_audit;D_us_army_m109a7_fact_file;R_machine_brigade_can_bang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howitzer_ext/nhip</t>
        </is>
      </c>
      <c r="B97" t="inlineStr">
        <is>
          <t>howitzer_ext</t>
        </is>
      </c>
      <c r="C97" t="inlineStr">
        <is>
          <t>khe_mot_nong_mot_vien</t>
        </is>
      </c>
      <c r="D97" t="inlineStr">
        <is>
          <t>s</t>
        </is>
      </c>
      <c r="E97" t="n">
        <v>8.620992856999999</v>
      </c>
      <c r="F97">
        <f>60/INDEX(Vu_khi!$BB$2:$BB$360,MATCH($B$97,Vu_khi!$A$2:$A$360,0))/IF(INDEX(Vu_khi!$BD$2:$BD$360,MATCH($B$97,Vu_khi!$A$2:$A$360,0))="gun",0.7,1)</f>
        <v/>
      </c>
      <c r="G97">
        <f>$E$97/$F$97</f>
        <v/>
      </c>
      <c r="H97" t="n">
        <v>0.6</v>
      </c>
      <c r="I97" t="n">
        <v>2</v>
      </c>
      <c r="J97" t="b">
        <v>0</v>
      </c>
      <c r="K97" t="inlineStr"/>
      <c r="L97">
        <f>IF(ISNUMBER($H$97),AND(NOT($J$97),OR($G$97&lt;$H$97,$G$97&gt;$I$97)),FALSE)</f>
        <v/>
      </c>
      <c r="M97" t="inlineStr">
        <is>
          <t>TC0029</t>
        </is>
      </c>
      <c r="N97" t="inlineStr">
        <is>
          <t>R_balance;R_full_weapon_audit;D_us_army_m109a7_fact_file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howitzer_fixed/nhip</t>
        </is>
      </c>
      <c r="B98" t="inlineStr">
        <is>
          <t>howitzer_fixed</t>
        </is>
      </c>
      <c r="C98" t="inlineStr">
        <is>
          <t>khe_mot_nong_mot_vien</t>
        </is>
      </c>
      <c r="D98" t="inlineStr">
        <is>
          <t>s</t>
        </is>
      </c>
      <c r="E98" t="n">
        <v>10.65</v>
      </c>
      <c r="F98">
        <f>60/INDEX(Vu_khi!$BB$2:$BB$360,MATCH($B$98,Vu_khi!$A$2:$A$360,0))/IF(INDEX(Vu_khi!$BD$2:$BD$360,MATCH($B$98,Vu_khi!$A$2:$A$360,0))="gun",0.7,1)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TC0030</t>
        </is>
      </c>
      <c r="N98" t="inlineStr">
        <is>
          <t>R_balance;R_full_weapon_audit;D_us_army_m109a7_fact_file;R_machine_brigade_can_bang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hq_flak/nhip</t>
        </is>
      </c>
      <c r="B99" t="inlineStr">
        <is>
          <t>hq_flak</t>
        </is>
      </c>
      <c r="C99" t="inlineStr">
        <is>
          <t>khe_mot_nong_mot_vien</t>
        </is>
      </c>
      <c r="D99" t="inlineStr">
        <is>
          <t>s</t>
        </is>
      </c>
      <c r="E99" t="n">
        <v>0.107200008</v>
      </c>
      <c r="F99">
        <f>60/INDEX(Vu_khi!$BB$2:$BB$360,MATCH($B$99,Vu_khi!$A$2:$A$360,0))/IF(INDEX(Vu_khi!$BD$2:$BD$360,MATCH($B$99,Vu_khi!$A$2:$A$360,0))="gun",0.7,1)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R_balance;R_full_weapon_audit;W_wikipedia_2a38;R_machine_brigade_can_bang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ifv_30/nhip</t>
        </is>
      </c>
      <c r="B100" t="inlineStr">
        <is>
          <t>ifv_30</t>
        </is>
      </c>
      <c r="C100" t="inlineStr">
        <is>
          <t>khe_mot_nong_mot_vien</t>
        </is>
      </c>
      <c r="D100" t="inlineStr">
        <is>
          <t>s</t>
        </is>
      </c>
      <c r="E100" t="n">
        <v>0.261099975</v>
      </c>
      <c r="F100">
        <f>60/INDEX(Vu_khi!$BB$2:$BB$360,MATCH($B$100,Vu_khi!$A$2:$A$360,0))/IF(INDEX(Vu_khi!$BD$2:$BD$360,MATCH($B$100,Vu_khi!$A$2:$A$360,0))="gun",0.7,1)</f>
        <v/>
      </c>
      <c r="G100">
        <f>$E$100/$F$100</f>
        <v/>
      </c>
      <c r="H100" t="n">
        <v>0.6</v>
      </c>
      <c r="I100" t="n">
        <v>2</v>
      </c>
      <c r="J100" t="b">
        <v>1</v>
      </c>
      <c r="K1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0">
        <f>IF(ISNUMBER($H$100),AND(NOT($J$100),OR($G$100&lt;$H$100,$G$100&gt;$I$100)),FALSE)</f>
        <v/>
      </c>
      <c r="M100" t="inlineStr"/>
      <c r="N100" t="inlineStr">
        <is>
          <t>R_balance;R_full_weapon_audit;W_wikipedia_2a42;R_machine_brigade_can_bang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igla_v/loi_no</t>
        </is>
      </c>
      <c r="B101" t="inlineStr">
        <is>
          <t>igla_v</t>
        </is>
      </c>
      <c r="C101" t="inlineStr">
        <is>
          <t>loi_m_tren_can_bac_ba_kg_dau_dan</t>
        </is>
      </c>
      <c r="D101" t="inlineStr">
        <is>
          <t>m/kg^(1/3)</t>
        </is>
      </c>
      <c r="E101">
        <f>INDEX(Vu_khi!$X$2:$X$360,MATCH($B$101,Vu_khi!$A$2:$A$360,0))</f>
        <v/>
      </c>
      <c r="F101">
        <f>POWER(INDEX(Vu_khi_tham_chieu!$AB$2:$AB$360,MATCH($B$101,Vu_khi_tham_chieu!$A$2:$A$360,0)),1/3)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lõi nổ / căn bậc ba khối lượng đầu đạn (đầu đạn thay cho thuốc nổ: repo không có khối lượng thuốc nổ)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igla_v/sat_thuong</t>
        </is>
      </c>
      <c r="B102" t="inlineStr">
        <is>
          <t>igla_v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INDEX(Vu_khi!$W$2:$W$360,MATCH($B$102,Vu_khi!$A$2:$A$360,0))</f>
        <v/>
      </c>
      <c r="F102">
        <f>INDEX(Vu_khi_tham_chieu!$AB$2:$AB$360,MATCH($B$102,Vu_khi_tham_chieu!$A$2:$A$360,0))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jassm/nhip</t>
        </is>
      </c>
      <c r="B103" t="inlineStr">
        <is>
          <t>jassm</t>
        </is>
      </c>
      <c r="C103" t="inlineStr">
        <is>
          <t>khe_mot_nong_mot_vien</t>
        </is>
      </c>
      <c r="D103" t="inlineStr">
        <is>
          <t>s</t>
        </is>
      </c>
      <c r="E103" t="n">
        <v>0.6</v>
      </c>
      <c r="F103">
        <f>60/INDEX(Vu_khi!$BB$2:$BB$360,MATCH($B$103,Vu_khi!$A$2:$A$360,0))/IF(INDEX(Vu_khi!$BD$2:$BD$360,MATCH($B$103,Vu_khi!$A$2:$A$360,0))="gun",0.7,1)</f>
        <v/>
      </c>
      <c r="G103">
        <f>$E$103/$F$103</f>
        <v/>
      </c>
      <c r="H103" t="n">
        <v>0.6</v>
      </c>
      <c r="I103" t="n">
        <v>2</v>
      </c>
      <c r="J103" t="b">
        <v>0</v>
      </c>
      <c r="K103" t="inlineStr"/>
      <c r="L103">
        <f>IF(ISNUMBER($H$103),AND(NOT($J$103),OR($G$103&lt;$H$103,$G$103&gt;$I$103)),FALSE)</f>
        <v/>
      </c>
      <c r="M103" t="inlineStr">
        <is>
          <t>TC0031</t>
        </is>
      </c>
      <c r="N103" t="inlineStr">
        <is>
          <t>R_balance;R_full_weapon_audit;R_machine_brigade_can_bang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jet_bombs/nhip</t>
        </is>
      </c>
      <c r="B104" t="inlineStr">
        <is>
          <t>jet_bombs</t>
        </is>
      </c>
      <c r="C104" t="inlineStr">
        <is>
          <t>khe_mot_nong_mot_vien</t>
        </is>
      </c>
      <c r="D104" t="inlineStr">
        <is>
          <t>s</t>
        </is>
      </c>
      <c r="E104" t="n">
        <v>0.25</v>
      </c>
      <c r="F104">
        <f>60/INDEX(Vu_khi!$BB$2:$BB$360,MATCH($B$104,Vu_khi!$A$2:$A$360,0))/IF(INDEX(Vu_khi!$BD$2:$BD$360,MATCH($B$104,Vu_khi!$A$2:$A$360,0))="gun",0.7,1)</f>
        <v/>
      </c>
      <c r="G104">
        <f>$E$104/$F$104</f>
        <v/>
      </c>
      <c r="H104" t="n">
        <v>0.6</v>
      </c>
      <c r="I104" t="n">
        <v>2</v>
      </c>
      <c r="J104" t="b">
        <v>1</v>
      </c>
      <c r="K10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4">
        <f>IF(ISNUMBER($H$104),AND(NOT($J$104),OR($G$104&lt;$H$104,$G$104&gt;$I$104)),FALSE)</f>
        <v/>
      </c>
      <c r="M104" t="inlineStr"/>
      <c r="N104" t="inlineStr">
        <is>
          <t>R_balance;R_full_weapon_audit;R_machine_brigade_can_bang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jet_cannon/nhip</t>
        </is>
      </c>
      <c r="B105" t="inlineStr">
        <is>
          <t>jet_cannon</t>
        </is>
      </c>
      <c r="C105" t="inlineStr">
        <is>
          <t>khe_mot_nong_mot_vien</t>
        </is>
      </c>
      <c r="D105" t="inlineStr">
        <is>
          <t>s</t>
        </is>
      </c>
      <c r="E105" t="n">
        <v>0.07402858</v>
      </c>
      <c r="F105">
        <f>60/INDEX(Vu_khi!$BB$2:$BB$360,MATCH($B$105,Vu_khi!$A$2:$A$360,0))/IF(INDEX(Vu_khi!$BD$2:$BD$360,MATCH($B$105,Vu_khi!$A$2:$A$360,0))="gun",0.7,1)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R_balance;R_full_weapon_audit;W_wikipedia_gsh_30_2;R_machine_brigade_can_bang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jet_rockets/nhip</t>
        </is>
      </c>
      <c r="B106" t="inlineStr">
        <is>
          <t>jet_rockets</t>
        </is>
      </c>
      <c r="C106" t="inlineStr">
        <is>
          <t>khe_mot_nong_mot_vien</t>
        </is>
      </c>
      <c r="D106" t="inlineStr">
        <is>
          <t>s</t>
        </is>
      </c>
      <c r="E106" t="n">
        <v>0.08</v>
      </c>
      <c r="F106">
        <f>60/INDEX(Vu_khi!$BB$2:$BB$360,MATCH($B$106,Vu_khi!$A$2:$A$360,0))/IF(INDEX(Vu_khi!$BD$2:$BD$360,MATCH($B$106,Vu_khi!$A$2:$A$360,0))="gun",0.7,1)</f>
        <v/>
      </c>
      <c r="G106">
        <f>$E$106/$F$106</f>
        <v/>
      </c>
      <c r="H106" t="n">
        <v>0.6</v>
      </c>
      <c r="I106" t="n">
        <v>2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R_balance;R_full_weapon_audit;R_decisions</t>
        </is>
      </c>
      <c r="O1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6" t="inlineStr">
        <is>
          <t>Tools/balance/full_weapon_audit.py (bảng REAL) và 01_chien_dau/Vu_khi_suy_ra</t>
        </is>
      </c>
      <c r="Q106" t="inlineStr"/>
    </row>
    <row r="107">
      <c r="A107" t="inlineStr">
        <is>
          <t>kh29/loi_no</t>
        </is>
      </c>
      <c r="B107" t="inlineStr">
        <is>
          <t>kh29</t>
        </is>
      </c>
      <c r="C107" t="inlineStr">
        <is>
          <t>loi_m_tren_can_bac_ba_kg_dau_dan</t>
        </is>
      </c>
      <c r="D107" t="inlineStr">
        <is>
          <t>m/kg^(1/3)</t>
        </is>
      </c>
      <c r="E107">
        <f>INDEX(Vu_khi!$X$2:$X$360,MATCH($B$107,Vu_khi!$A$2:$A$360,0))</f>
        <v/>
      </c>
      <c r="F107">
        <f>POWER(INDEX(Vu_khi_tham_chieu!$AB$2:$AB$360,MATCH($B$107,Vu_khi_tham_chieu!$A$2:$A$360,0)),1/3)</f>
        <v/>
      </c>
      <c r="G107">
        <f>$E$107/$F$107</f>
        <v/>
      </c>
      <c r="H107" t="inlineStr"/>
      <c r="I107" t="inlineStr"/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R_full_weapon_audit</t>
        </is>
      </c>
      <c r="O107" t="inlineStr">
        <is>
          <t>lõi nổ / căn bậc ba khối lượng đầu đạn (đầu đạn thay cho thuốc nổ: repo không có khối lượng thuốc nổ)</t>
        </is>
      </c>
      <c r="P107" t="inlineStr">
        <is>
          <t>Tools/balance/full_weapon_audit.py WARHEAD</t>
        </is>
      </c>
      <c r="Q107" t="inlineStr"/>
    </row>
    <row r="108">
      <c r="A108" t="inlineStr">
        <is>
          <t>kh29/sat_thuong</t>
        </is>
      </c>
      <c r="B108" t="inlineStr">
        <is>
          <t>kh29</t>
        </is>
      </c>
      <c r="C108" t="inlineStr">
        <is>
          <t>sat_thuong_tren_kg_dau_dan</t>
        </is>
      </c>
      <c r="D108" t="inlineStr">
        <is>
          <t>hp/kg</t>
        </is>
      </c>
      <c r="E108">
        <f>INDEX(Vu_khi!$W$2:$W$360,MATCH($B$108,Vu_khi!$A$2:$A$360,0))</f>
        <v/>
      </c>
      <c r="F108">
        <f>INDEX(Vu_khi_tham_chieu!$AB$2:$AB$360,MATCH($B$108,Vu_khi_tham_chieu!$A$2:$A$360,0))</f>
        <v/>
      </c>
      <c r="G108">
        <f>$E$108/$F$108</f>
        <v/>
      </c>
      <c r="H108" t="inlineStr"/>
      <c r="I108" t="inlineStr"/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R_full_weapon_audit</t>
        </is>
      </c>
      <c r="O108" t="inlineStr">
        <is>
          <t>sát thương một phát / khối lượng đầu đạn (không bắt buộc 1:1, chỉ ghi ty_le)</t>
        </is>
      </c>
      <c r="P108" t="inlineStr">
        <is>
          <t>Tools/balance/full_weapon_audit.py WARHEAD</t>
        </is>
      </c>
      <c r="Q108" t="inlineStr"/>
    </row>
    <row r="109">
      <c r="A109" t="inlineStr">
        <is>
          <t>kornet_multi/nhip</t>
        </is>
      </c>
      <c r="B109" t="inlineStr">
        <is>
          <t>kornet_multi</t>
        </is>
      </c>
      <c r="C109" t="inlineStr">
        <is>
          <t>khe_mot_nong_mot_vien</t>
        </is>
      </c>
      <c r="D109" t="inlineStr">
        <is>
          <t>s</t>
        </is>
      </c>
      <c r="E109" t="n">
        <v>5.55</v>
      </c>
      <c r="F109">
        <f>60/INDEX(Vu_khi!$BB$2:$BB$360,MATCH($B$109,Vu_khi!$A$2:$A$360,0))/IF(INDEX(Vu_khi!$BD$2:$BD$360,MATCH($B$109,Vu_khi!$A$2:$A$360,0))="gun",0.7,1)</f>
        <v/>
      </c>
      <c r="G109">
        <f>$E$109/$F$109</f>
        <v/>
      </c>
      <c r="H109" t="n">
        <v>0.6</v>
      </c>
      <c r="I109" t="n">
        <v>2</v>
      </c>
      <c r="J109" t="b">
        <v>0</v>
      </c>
      <c r="K109" t="inlineStr"/>
      <c r="L109">
        <f>IF(ISNUMBER($H$109),AND(NOT($J$109),OR($G$109&lt;$H$109,$G$109&gt;$I$109)),FALSE)</f>
        <v/>
      </c>
      <c r="M109" t="inlineStr">
        <is>
          <t>TC0032</t>
        </is>
      </c>
      <c r="N109" t="inlineStr">
        <is>
          <t>R_balance;R_full_weapon_audit;W_wikipedia_9m133_kornet;W_wikipedia_bai_cua_tung_ten_lua_bang_warhead;R_machine_brigade_can_bang</t>
        </is>
      </c>
      <c r="O1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9" t="inlineStr">
        <is>
          <t>Tools/balance/full_weapon_audit.py (bảng REAL) và 01_chien_dau/Vu_khi_suy_ra</t>
        </is>
      </c>
      <c r="Q109" t="inlineStr"/>
    </row>
    <row r="110">
      <c r="A110" t="inlineStr">
        <is>
          <t>kornet_multi/sat_thuong</t>
        </is>
      </c>
      <c r="B110" t="inlineStr">
        <is>
          <t>kornet_multi</t>
        </is>
      </c>
      <c r="C110" t="inlineStr">
        <is>
          <t>sat_thuong_tren_kg_dau_dan</t>
        </is>
      </c>
      <c r="D110" t="inlineStr">
        <is>
          <t>hp/kg</t>
        </is>
      </c>
      <c r="E110">
        <f>INDEX(Vu_khi!$W$2:$W$360,MATCH($B$110,Vu_khi!$A$2:$A$360,0))</f>
        <v/>
      </c>
      <c r="F110">
        <f>INDEX(Vu_khi_tham_chieu!$AB$2:$AB$360,MATCH($B$110,Vu_khi_tham_chieu!$A$2:$A$360,0))</f>
        <v/>
      </c>
      <c r="G110">
        <f>$E$110/$F$110</f>
        <v/>
      </c>
      <c r="H110" t="inlineStr"/>
      <c r="I110" t="inlineStr"/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R_full_weapon_audit</t>
        </is>
      </c>
      <c r="O110" t="inlineStr">
        <is>
          <t>sát thương một phát / khối lượng đầu đạn (không bắt buộc 1:1, chỉ ghi ty_le)</t>
        </is>
      </c>
      <c r="P110" t="inlineStr">
        <is>
          <t>Tools/balance/full_weapon_audit.py WARHEAD</t>
        </is>
      </c>
      <c r="Q110" t="inlineStr"/>
    </row>
    <row r="111">
      <c r="A111" t="inlineStr">
        <is>
          <t>kornet_top/nhip</t>
        </is>
      </c>
      <c r="B111" t="inlineStr">
        <is>
          <t>kornet_top</t>
        </is>
      </c>
      <c r="C111" t="inlineStr">
        <is>
          <t>khe_mot_nong_mot_vien</t>
        </is>
      </c>
      <c r="D111" t="inlineStr">
        <is>
          <t>s</t>
        </is>
      </c>
      <c r="E111" t="n">
        <v>5.2</v>
      </c>
      <c r="F111">
        <f>60/INDEX(Vu_khi!$BB$2:$BB$360,MATCH($B$111,Vu_khi!$A$2:$A$360,0))/IF(INDEX(Vu_khi!$BD$2:$BD$360,MATCH($B$111,Vu_khi!$A$2:$A$360,0))="gun",0.7,1)</f>
        <v/>
      </c>
      <c r="G111">
        <f>$E$111/$F$111</f>
        <v/>
      </c>
      <c r="H111" t="n">
        <v>0.6</v>
      </c>
      <c r="I111" t="n">
        <v>2</v>
      </c>
      <c r="J111" t="b">
        <v>0</v>
      </c>
      <c r="K111" t="inlineStr"/>
      <c r="L111">
        <f>IF(ISNUMBER($H$111),AND(NOT($J$111),OR($G$111&lt;$H$111,$G$111&gt;$I$111)),FALSE)</f>
        <v/>
      </c>
      <c r="M111" t="inlineStr">
        <is>
          <t>TC0033</t>
        </is>
      </c>
      <c r="N111" t="inlineStr">
        <is>
          <t>R_balance;R_full_weapon_audit;W_wikipedia_9m133_kornet;W_wikipedia_bai_cua_tung_ten_lua_bang_warhead;R_machine_brigade_can_bang</t>
        </is>
      </c>
      <c r="O1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1" t="inlineStr">
        <is>
          <t>Tools/balance/full_weapon_audit.py (bảng REAL) và 01_chien_dau/Vu_khi_suy_ra</t>
        </is>
      </c>
      <c r="Q111" t="inlineStr"/>
    </row>
    <row r="112">
      <c r="A112" t="inlineStr">
        <is>
          <t>kornet_top/sat_thuong</t>
        </is>
      </c>
      <c r="B112" t="inlineStr">
        <is>
          <t>kornet_top</t>
        </is>
      </c>
      <c r="C112" t="inlineStr">
        <is>
          <t>sat_thuong_tren_kg_dau_dan</t>
        </is>
      </c>
      <c r="D112" t="inlineStr">
        <is>
          <t>hp/kg</t>
        </is>
      </c>
      <c r="E112">
        <f>INDEX(Vu_khi!$W$2:$W$360,MATCH($B$112,Vu_khi!$A$2:$A$360,0))</f>
        <v/>
      </c>
      <c r="F112">
        <f>INDEX(Vu_khi_tham_chieu!$AB$2:$AB$360,MATCH($B$112,Vu_khi_tham_chieu!$A$2:$A$360,0))</f>
        <v/>
      </c>
      <c r="G112">
        <f>$E$112/$F$112</f>
        <v/>
      </c>
      <c r="H112" t="inlineStr"/>
      <c r="I112" t="inlineStr"/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R_full_weapon_audit</t>
        </is>
      </c>
      <c r="O112" t="inlineStr">
        <is>
          <t>sát thương một phát / khối lượng đầu đạn (không bắt buộc 1:1, chỉ ghi ty_le)</t>
        </is>
      </c>
      <c r="P112" t="inlineStr">
        <is>
          <t>Tools/balance/full_weapon_audit.py WARHEAD</t>
        </is>
      </c>
      <c r="Q112" t="inlineStr"/>
    </row>
    <row r="113">
      <c r="A113" t="inlineStr">
        <is>
          <t>kornet_twin/nhip</t>
        </is>
      </c>
      <c r="B113" t="inlineStr">
        <is>
          <t>kornet_twin</t>
        </is>
      </c>
      <c r="C113" t="inlineStr">
        <is>
          <t>khe_mot_nong_mot_vien</t>
        </is>
      </c>
      <c r="D113" t="inlineStr">
        <is>
          <t>s</t>
        </is>
      </c>
      <c r="E113" t="n">
        <v>11.11</v>
      </c>
      <c r="F113">
        <f>60/INDEX(Vu_khi!$BB$2:$BB$360,MATCH($B$113,Vu_khi!$A$2:$A$360,0))/IF(INDEX(Vu_khi!$BD$2:$BD$360,MATCH($B$113,Vu_khi!$A$2:$A$360,0))="gun",0.7,1)</f>
        <v/>
      </c>
      <c r="G113">
        <f>$E$113/$F$113</f>
        <v/>
      </c>
      <c r="H113" t="n">
        <v>0.6</v>
      </c>
      <c r="I113" t="n">
        <v>2</v>
      </c>
      <c r="J113" t="b">
        <v>0</v>
      </c>
      <c r="K113" t="inlineStr"/>
      <c r="L113">
        <f>IF(ISNUMBER($H$113),AND(NOT($J$113),OR($G$113&lt;$H$113,$G$113&gt;$I$113)),FALSE)</f>
        <v/>
      </c>
      <c r="M113" t="inlineStr">
        <is>
          <t>TC0034</t>
        </is>
      </c>
      <c r="N113" t="inlineStr">
        <is>
          <t>R_balance;R_full_weapon_audit;W_wikipedia_9m133_kornet;W_wikipedia_bai_cua_tung_ten_lua_bang_warhead;R_machine_brigade_can_bang</t>
        </is>
      </c>
      <c r="O1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3" t="inlineStr">
        <is>
          <t>Tools/balance/full_weapon_audit.py (bảng REAL) và 01_chien_dau/Vu_khi_suy_ra</t>
        </is>
      </c>
      <c r="Q113" t="inlineStr"/>
    </row>
    <row r="114">
      <c r="A114" t="inlineStr">
        <is>
          <t>kornet_twin/sat_thuong</t>
        </is>
      </c>
      <c r="B114" t="inlineStr">
        <is>
          <t>kornet_twin</t>
        </is>
      </c>
      <c r="C114" t="inlineStr">
        <is>
          <t>sat_thuong_tren_kg_dau_dan</t>
        </is>
      </c>
      <c r="D114" t="inlineStr">
        <is>
          <t>hp/kg</t>
        </is>
      </c>
      <c r="E114">
        <f>INDEX(Vu_khi!$W$2:$W$360,MATCH($B$114,Vu_khi!$A$2:$A$360,0))</f>
        <v/>
      </c>
      <c r="F114">
        <f>INDEX(Vu_khi_tham_chieu!$AB$2:$AB$360,MATCH($B$114,Vu_khi_tham_chieu!$A$2:$A$360,0))</f>
        <v/>
      </c>
      <c r="G114">
        <f>$E$114/$F$114</f>
        <v/>
      </c>
      <c r="H114" t="inlineStr"/>
      <c r="I114" t="inlineStr"/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R_full_weapon_audit</t>
        </is>
      </c>
      <c r="O114" t="inlineStr">
        <is>
          <t>sát thương một phát / khối lượng đầu đạn (không bắt buộc 1:1, chỉ ghi ty_le)</t>
        </is>
      </c>
      <c r="P114" t="inlineStr">
        <is>
          <t>Tools/balance/full_weapon_audit.py WARHEAD</t>
        </is>
      </c>
      <c r="Q114" t="inlineStr"/>
    </row>
    <row r="115">
      <c r="A115" t="inlineStr">
        <is>
          <t>leviathan_460/nhip</t>
        </is>
      </c>
      <c r="B115" t="inlineStr">
        <is>
          <t>leviathan_460</t>
        </is>
      </c>
      <c r="C115" t="inlineStr">
        <is>
          <t>khe_mot_nong_mot_vien</t>
        </is>
      </c>
      <c r="D115" t="inlineStr">
        <is>
          <t>s</t>
        </is>
      </c>
      <c r="E115" t="n">
        <v>42</v>
      </c>
      <c r="F115">
        <f>60/INDEX(Vu_khi!$BB$2:$BB$360,MATCH($B$115,Vu_khi!$A$2:$A$360,0))/IF(INDEX(Vu_khi!$BD$2:$BD$360,MATCH($B$115,Vu_khi!$A$2:$A$360,0))="gun",0.7,1)</f>
        <v/>
      </c>
      <c r="G115">
        <f>$E$115/$F$115</f>
        <v/>
      </c>
      <c r="H115" t="n">
        <v>0.6</v>
      </c>
      <c r="I115" t="n">
        <v>2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R_balance;R_full_weapon_audit;W_wikipedia_16_50_caliber_mark_7;R_machine_brigade_can_bang</t>
        </is>
      </c>
      <c r="O1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5" t="inlineStr">
        <is>
          <t>Tools/balance/full_weapon_audit.py (bảng REAL) và 01_chien_dau/Vu_khi_suy_ra</t>
        </is>
      </c>
      <c r="Q115" t="inlineStr"/>
    </row>
    <row r="116">
      <c r="A116" t="inlineStr">
        <is>
          <t>leviathan_cruise/loi_no</t>
        </is>
      </c>
      <c r="B116" t="inlineStr">
        <is>
          <t>leviathan_cruise</t>
        </is>
      </c>
      <c r="C116" t="inlineStr">
        <is>
          <t>loi_m_tren_can_bac_ba_kg_dau_dan</t>
        </is>
      </c>
      <c r="D116" t="inlineStr">
        <is>
          <t>m/kg^(1/3)</t>
        </is>
      </c>
      <c r="E116">
        <f>INDEX(Vu_khi!$X$2:$X$360,MATCH($B$116,Vu_khi!$A$2:$A$360,0))</f>
        <v/>
      </c>
      <c r="F116">
        <f>POWER(INDEX(Vu_khi_tham_chieu!$AB$2:$AB$360,MATCH($B$116,Vu_khi_tham_chieu!$A$2:$A$360,0)),1/3)</f>
        <v/>
      </c>
      <c r="G116">
        <f>$E$116/$F$116</f>
        <v/>
      </c>
      <c r="H116" t="inlineStr"/>
      <c r="I116" t="inlineStr"/>
      <c r="J116" t="b">
        <v>0</v>
      </c>
      <c r="K116" t="inlineStr"/>
      <c r="L116">
        <f>IF(ISNUMBER($H$116),AND(NOT($J$116),OR($G$116&lt;$H$116,$G$116&gt;$I$116)),FALSE)</f>
        <v/>
      </c>
      <c r="M116" t="inlineStr"/>
      <c r="N116" t="inlineStr">
        <is>
          <t>R_full_weapon_audit</t>
        </is>
      </c>
      <c r="O116" t="inlineStr">
        <is>
          <t>lõi nổ / căn bậc ba khối lượng đầu đạn (đầu đạn thay cho thuốc nổ: repo không có khối lượng thuốc nổ)</t>
        </is>
      </c>
      <c r="P116" t="inlineStr">
        <is>
          <t>Tools/balance/full_weapon_audit.py WARHEAD</t>
        </is>
      </c>
      <c r="Q116" t="inlineStr"/>
    </row>
    <row r="117">
      <c r="A117" t="inlineStr">
        <is>
          <t>leviathan_cruise/sat_thuong</t>
        </is>
      </c>
      <c r="B117" t="inlineStr">
        <is>
          <t>leviathan_cruise</t>
        </is>
      </c>
      <c r="C117" t="inlineStr">
        <is>
          <t>sat_thuong_tren_kg_dau_dan</t>
        </is>
      </c>
      <c r="D117" t="inlineStr">
        <is>
          <t>hp/kg</t>
        </is>
      </c>
      <c r="E117">
        <f>INDEX(Vu_khi!$W$2:$W$360,MATCH($B$117,Vu_khi!$A$2:$A$360,0))</f>
        <v/>
      </c>
      <c r="F117">
        <f>INDEX(Vu_khi_tham_chieu!$AB$2:$AB$360,MATCH($B$117,Vu_khi_tham_chieu!$A$2:$A$360,0))</f>
        <v/>
      </c>
      <c r="G117">
        <f>$E$117/$F$117</f>
        <v/>
      </c>
      <c r="H117" t="inlineStr"/>
      <c r="I117" t="inlineStr"/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R_full_weapon_audit</t>
        </is>
      </c>
      <c r="O117" t="inlineStr">
        <is>
          <t>sát thương một phát / khối lượng đầu đạn (không bắt buộc 1:1, chỉ ghi ty_le)</t>
        </is>
      </c>
      <c r="P117" t="inlineStr">
        <is>
          <t>Tools/balance/full_weapon_audit.py WARHEAD</t>
        </is>
      </c>
      <c r="Q117" t="inlineStr"/>
    </row>
    <row r="118">
      <c r="A118" t="inlineStr">
        <is>
          <t>maverick/loi_no</t>
        </is>
      </c>
      <c r="B118" t="inlineStr">
        <is>
          <t>maverick</t>
        </is>
      </c>
      <c r="C118" t="inlineStr">
        <is>
          <t>loi_m_tren_can_bac_ba_kg_dau_dan</t>
        </is>
      </c>
      <c r="D118" t="inlineStr">
        <is>
          <t>m/kg^(1/3)</t>
        </is>
      </c>
      <c r="E118">
        <f>INDEX(Vu_khi!$X$2:$X$360,MATCH($B$118,Vu_khi!$A$2:$A$360,0))</f>
        <v/>
      </c>
      <c r="F118">
        <f>POWER(INDEX(Vu_khi_tham_chieu!$AB$2:$AB$360,MATCH($B$118,Vu_khi_tham_chieu!$A$2:$A$360,0)),1/3)</f>
        <v/>
      </c>
      <c r="G118">
        <f>$E$118/$F$118</f>
        <v/>
      </c>
      <c r="H118" t="inlineStr"/>
      <c r="I118" t="inlineStr"/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R_full_weapon_audit</t>
        </is>
      </c>
      <c r="O118" t="inlineStr">
        <is>
          <t>lõi nổ / căn bậc ba khối lượng đầu đạn (đầu đạn thay cho thuốc nổ: repo không có khối lượng thuốc nổ)</t>
        </is>
      </c>
      <c r="P118" t="inlineStr">
        <is>
          <t>Tools/balance/full_weapon_audit.py WARHEAD</t>
        </is>
      </c>
      <c r="Q118" t="inlineStr"/>
    </row>
    <row r="119">
      <c r="A119" t="inlineStr">
        <is>
          <t>maverick/sat_thuong</t>
        </is>
      </c>
      <c r="B119" t="inlineStr">
        <is>
          <t>maverick</t>
        </is>
      </c>
      <c r="C119" t="inlineStr">
        <is>
          <t>sat_thuong_tren_kg_dau_dan</t>
        </is>
      </c>
      <c r="D119" t="inlineStr">
        <is>
          <t>hp/kg</t>
        </is>
      </c>
      <c r="E119">
        <f>INDEX(Vu_khi!$W$2:$W$360,MATCH($B$119,Vu_khi!$A$2:$A$360,0))</f>
        <v/>
      </c>
      <c r="F119">
        <f>INDEX(Vu_khi_tham_chieu!$AB$2:$AB$360,MATCH($B$119,Vu_khi_tham_chieu!$A$2:$A$360,0))</f>
        <v/>
      </c>
      <c r="G119">
        <f>$E$119/$F$119</f>
        <v/>
      </c>
      <c r="H119" t="inlineStr"/>
      <c r="I119" t="inlineStr"/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R_full_weapon_audit</t>
        </is>
      </c>
      <c r="O119" t="inlineStr">
        <is>
          <t>sát thương một phát / khối lượng đầu đạn (không bắt buộc 1:1, chỉ ghi ty_le)</t>
        </is>
      </c>
      <c r="P119" t="inlineStr">
        <is>
          <t>Tools/balance/full_weapon_audit.py WARHEAD</t>
        </is>
      </c>
      <c r="Q119" t="inlineStr"/>
    </row>
    <row r="120">
      <c r="A120" t="inlineStr">
        <is>
          <t>mg_coax/nhip</t>
        </is>
      </c>
      <c r="B120" t="inlineStr">
        <is>
          <t>mg_coax</t>
        </is>
      </c>
      <c r="C120" t="inlineStr">
        <is>
          <t>khe_mot_nong_mot_vien</t>
        </is>
      </c>
      <c r="D120" t="inlineStr">
        <is>
          <t>s</t>
        </is>
      </c>
      <c r="E120" t="n">
        <v>0.1233</v>
      </c>
      <c r="F120">
        <f>60/INDEX(Vu_khi!$BB$2:$BB$360,MATCH($B$120,Vu_khi!$A$2:$A$360,0))/IF(INDEX(Vu_khi!$BD$2:$BD$360,MATCH($B$120,Vu_khi!$A$2:$A$360,0))="gun",0.7,1)</f>
        <v/>
      </c>
      <c r="G120">
        <f>$E$120/$F$120</f>
        <v/>
      </c>
      <c r="H120" t="n">
        <v>0.6</v>
      </c>
      <c r="I120" t="n">
        <v>2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R_balance;R_full_weapon_audit;W_wikipedia_pk_machine_gun;R_machine_brigade_can_bang</t>
        </is>
      </c>
      <c r="O1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0" t="inlineStr">
        <is>
          <t>Tools/balance/full_weapon_audit.py (bảng REAL) và 01_chien_dau/Vu_khi_suy_ra</t>
        </is>
      </c>
      <c r="Q120" t="inlineStr"/>
    </row>
    <row r="121">
      <c r="A121" t="inlineStr">
        <is>
          <t>mg_coax_long/nhip</t>
        </is>
      </c>
      <c r="B121" t="inlineStr">
        <is>
          <t>mg_coax_long</t>
        </is>
      </c>
      <c r="C121" t="inlineStr">
        <is>
          <t>khe_mot_nong_mot_vien</t>
        </is>
      </c>
      <c r="D121" t="inlineStr">
        <is>
          <t>s</t>
        </is>
      </c>
      <c r="E121" t="n">
        <v>0.1233</v>
      </c>
      <c r="F121">
        <f>60/INDEX(Vu_khi!$BB$2:$BB$360,MATCH($B$121,Vu_khi!$A$2:$A$360,0))/IF(INDEX(Vu_khi!$BD$2:$BD$360,MATCH($B$121,Vu_khi!$A$2:$A$360,0))="gun",0.7,1)</f>
        <v/>
      </c>
      <c r="G121">
        <f>$E$121/$F$121</f>
        <v/>
      </c>
      <c r="H121" t="n">
        <v>0.6</v>
      </c>
      <c r="I121" t="n">
        <v>2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R_balance;R_full_weapon_audit;W_wikipedia_pk_machine_gun</t>
        </is>
      </c>
      <c r="O1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1" t="inlineStr">
        <is>
          <t>Tools/balance/full_weapon_audit.py (bảng REAL) và 01_chien_dau/Vu_khi_suy_ra</t>
        </is>
      </c>
      <c r="Q121" t="inlineStr"/>
    </row>
    <row r="122">
      <c r="A122" t="inlineStr">
        <is>
          <t>mg_jeep/nhip</t>
        </is>
      </c>
      <c r="B122" t="inlineStr">
        <is>
          <t>mg_jeep</t>
        </is>
      </c>
      <c r="C122" t="inlineStr">
        <is>
          <t>khe_mot_nong_mot_vien</t>
        </is>
      </c>
      <c r="D122" t="inlineStr">
        <is>
          <t>s</t>
        </is>
      </c>
      <c r="E122" t="n">
        <v>0.1611</v>
      </c>
      <c r="F122">
        <f>60/INDEX(Vu_khi!$BB$2:$BB$360,MATCH($B$122,Vu_khi!$A$2:$A$360,0))/IF(INDEX(Vu_khi!$BD$2:$BD$360,MATCH($B$122,Vu_khi!$A$2:$A$360,0))="gun",0.7,1)</f>
        <v/>
      </c>
      <c r="G122">
        <f>$E$122/$F$122</f>
        <v/>
      </c>
      <c r="H122" t="n">
        <v>0.6</v>
      </c>
      <c r="I122" t="n">
        <v>2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R_balance;R_full_weapon_audit;D_us_army_fm_3_22_65;R_machine_brigade_can_bang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mg_jeep_selfdef/nhip</t>
        </is>
      </c>
      <c r="B123" t="inlineStr">
        <is>
          <t>mg_jeep_selfdef</t>
        </is>
      </c>
      <c r="C123" t="inlineStr">
        <is>
          <t>khe_mot_nong_mot_vien</t>
        </is>
      </c>
      <c r="D123" t="inlineStr">
        <is>
          <t>s</t>
        </is>
      </c>
      <c r="E123" t="n">
        <v>0.1611</v>
      </c>
      <c r="F123">
        <f>60/INDEX(Vu_khi!$BB$2:$BB$360,MATCH($B$123,Vu_khi!$A$2:$A$360,0))/IF(INDEX(Vu_khi!$BD$2:$BD$360,MATCH($B$123,Vu_khi!$A$2:$A$360,0))="gun",0.7,1)</f>
        <v/>
      </c>
      <c r="G123">
        <f>$E$123/$F$123</f>
        <v/>
      </c>
      <c r="H123" t="n">
        <v>0.6</v>
      </c>
      <c r="I123" t="n">
        <v>2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R_balance;R_full_weapon_audit;D_us_army_fm_3_22_65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minigun/nhip</t>
        </is>
      </c>
      <c r="B124" t="inlineStr">
        <is>
          <t>minigun</t>
        </is>
      </c>
      <c r="C124" t="inlineStr">
        <is>
          <t>khe_mot_nong_mot_vien</t>
        </is>
      </c>
      <c r="D124" t="inlineStr">
        <is>
          <t>s</t>
        </is>
      </c>
      <c r="E124" t="n">
        <v>0.04</v>
      </c>
      <c r="F124">
        <f>60/INDEX(Vu_khi!$BB$2:$BB$360,MATCH($B$124,Vu_khi!$A$2:$A$360,0))/IF(INDEX(Vu_khi!$BD$2:$BD$360,MATCH($B$124,Vu_khi!$A$2:$A$360,0))="gun",0.7,1)</f>
        <v/>
      </c>
      <c r="G124">
        <f>$E$124/$F$124</f>
        <v/>
      </c>
      <c r="H124" t="n">
        <v>0.6</v>
      </c>
      <c r="I124" t="n">
        <v>2</v>
      </c>
      <c r="J124" t="b">
        <v>1</v>
      </c>
      <c r="K1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4">
        <f>IF(ISNUMBER($H$124),AND(NOT($J$124),OR($G$124&lt;$H$124,$G$124&gt;$I$124)),FALSE)</f>
        <v/>
      </c>
      <c r="M124" t="inlineStr"/>
      <c r="N124" t="inlineStr">
        <is>
          <t>R_balance;R_full_weapon_audit;W_wikipedia_m134_minigun;R_machine_brigade_can_bang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missile_57e6/nhip</t>
        </is>
      </c>
      <c r="B125" t="inlineStr">
        <is>
          <t>missile_57e6</t>
        </is>
      </c>
      <c r="C125" t="inlineStr">
        <is>
          <t>khe_mot_nong_mot_vien</t>
        </is>
      </c>
      <c r="D125" t="inlineStr">
        <is>
          <t>s</t>
        </is>
      </c>
      <c r="E125" t="n">
        <v>4.452</v>
      </c>
      <c r="F125">
        <f>60/INDEX(Vu_khi!$BB$2:$BB$360,MATCH($B$125,Vu_khi!$A$2:$A$360,0))/IF(INDEX(Vu_khi!$BD$2:$BD$360,MATCH($B$125,Vu_khi!$A$2:$A$360,0))="gun",0.7,1)</f>
        <v/>
      </c>
      <c r="G125">
        <f>$E$125/$F$125</f>
        <v/>
      </c>
      <c r="H125" t="n">
        <v>0.6</v>
      </c>
      <c r="I125" t="n">
        <v>2</v>
      </c>
      <c r="J125" t="b">
        <v>1</v>
      </c>
      <c r="K12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5">
        <f>IF(ISNUMBER($H$125),AND(NOT($J$125),OR($G$125&lt;$H$125,$G$125&gt;$I$125)),FALSE)</f>
        <v/>
      </c>
      <c r="M125" t="inlineStr"/>
      <c r="N125" t="inlineStr">
        <is>
          <t>R_balance;R_full_weapon_audit;W_wikipedia_pantsir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mlrs_elite/nhip</t>
        </is>
      </c>
      <c r="B126" t="inlineStr">
        <is>
          <t>mlrs_elite</t>
        </is>
      </c>
      <c r="C126" t="inlineStr">
        <is>
          <t>khe_mot_nong_mot_vien</t>
        </is>
      </c>
      <c r="D126" t="inlineStr">
        <is>
          <t>s</t>
        </is>
      </c>
      <c r="E126" t="n">
        <v>0.14</v>
      </c>
      <c r="F126">
        <f>60/INDEX(Vu_khi!$BB$2:$BB$360,MATCH($B$126,Vu_khi!$A$2:$A$360,0))/IF(INDEX(Vu_khi!$BD$2:$BD$360,MATCH($B$126,Vu_khi!$A$2:$A$360,0))="gun",0.7,1)</f>
        <v/>
      </c>
      <c r="G126">
        <f>$E$126/$F$126</f>
        <v/>
      </c>
      <c r="H126" t="n">
        <v>0.6</v>
      </c>
      <c r="I126" t="n">
        <v>2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TC0035</t>
        </is>
      </c>
      <c r="N126" t="inlineStr">
        <is>
          <t>R_balance;R_full_weapon_audit;W_wikipedia_m270_mlrs;R_machine_brigade_can_bang</t>
        </is>
      </c>
      <c r="O1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6" t="inlineStr">
        <is>
          <t>Tools/balance/full_weapon_audit.py (bảng REAL) và 01_chien_dau/Vu_khi_suy_ra</t>
        </is>
      </c>
      <c r="Q126" t="inlineStr"/>
    </row>
    <row r="127">
      <c r="A127" t="inlineStr">
        <is>
          <t>mlrs_rockets/nhip</t>
        </is>
      </c>
      <c r="B127" t="inlineStr">
        <is>
          <t>mlrs_rockets</t>
        </is>
      </c>
      <c r="C127" t="inlineStr">
        <is>
          <t>khe_mot_nong_mot_vien</t>
        </is>
      </c>
      <c r="D127" t="inlineStr">
        <is>
          <t>s</t>
        </is>
      </c>
      <c r="E127" t="n">
        <v>0.3</v>
      </c>
      <c r="F127">
        <f>60/INDEX(Vu_khi!$BB$2:$BB$360,MATCH($B$127,Vu_khi!$A$2:$A$360,0))/IF(INDEX(Vu_khi!$BD$2:$BD$360,MATCH($B$127,Vu_khi!$A$2:$A$360,0))="gun",0.7,1)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>
        <is>
          <t>TC0036</t>
        </is>
      </c>
      <c r="N127" t="inlineStr">
        <is>
          <t>R_balance;R_full_weapon_audit;W_wikipedia_m270_mlrs;R_machine_brigade_can_bang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mortar_120/nhip</t>
        </is>
      </c>
      <c r="B128" t="inlineStr">
        <is>
          <t>mortar_120</t>
        </is>
      </c>
      <c r="C128" t="inlineStr">
        <is>
          <t>khe_mot_nong_mot_vien</t>
        </is>
      </c>
      <c r="D128" t="inlineStr">
        <is>
          <t>s</t>
        </is>
      </c>
      <c r="E128" t="n">
        <v>9.128</v>
      </c>
      <c r="F128">
        <f>60/INDEX(Vu_khi!$BB$2:$BB$360,MATCH($B$128,Vu_khi!$A$2:$A$360,0))/IF(INDEX(Vu_khi!$BD$2:$BD$360,MATCH($B$128,Vu_khi!$A$2:$A$360,0))="gun",0.7,1)</f>
        <v/>
      </c>
      <c r="G128">
        <f>$E$128/$F$128</f>
        <v/>
      </c>
      <c r="H128" t="n">
        <v>0.6</v>
      </c>
      <c r="I128" t="n">
        <v>2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R_balance;R_full_weapon_audit;W_wikipedia_2b11;R_machine_brigade_can_bang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mortar_240/nhip</t>
        </is>
      </c>
      <c r="B129" t="inlineStr">
        <is>
          <t>mortar_240</t>
        </is>
      </c>
      <c r="C129" t="inlineStr">
        <is>
          <t>khe_mot_nong_mot_vien</t>
        </is>
      </c>
      <c r="D129" t="inlineStr">
        <is>
          <t>s</t>
        </is>
      </c>
      <c r="E129" t="n">
        <v>17.1</v>
      </c>
      <c r="F129">
        <f>60/INDEX(Vu_khi!$BB$2:$BB$360,MATCH($B$129,Vu_khi!$A$2:$A$360,0))/IF(INDEX(Vu_khi!$BD$2:$BD$360,MATCH($B$129,Vu_khi!$A$2:$A$360,0))="gun",0.7,1)</f>
        <v/>
      </c>
      <c r="G129">
        <f>$E$129/$F$129</f>
        <v/>
      </c>
      <c r="H129" t="n">
        <v>0.6</v>
      </c>
      <c r="I129" t="n">
        <v>2</v>
      </c>
      <c r="J129" t="b">
        <v>0</v>
      </c>
      <c r="K129" t="inlineStr"/>
      <c r="L129">
        <f>IF(ISNUMBER($H$129),AND(NOT($J$129),OR($G$129&lt;$H$129,$G$129&gt;$I$129)),FALSE)</f>
        <v/>
      </c>
      <c r="M129" t="inlineStr">
        <is>
          <t>TC0037</t>
        </is>
      </c>
      <c r="N129" t="inlineStr">
        <is>
          <t>R_balance;R_full_weapon_audit;W_wikipedia_2s4_tyulpan</t>
        </is>
      </c>
      <c r="O1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9" t="inlineStr">
        <is>
          <t>Tools/balance/full_weapon_audit.py (bảng REAL) và 01_chien_dau/Vu_khi_suy_ra</t>
        </is>
      </c>
      <c r="Q129" t="inlineStr"/>
    </row>
    <row r="130">
      <c r="A130" t="inlineStr">
        <is>
          <t>mothership_cannon/nhip</t>
        </is>
      </c>
      <c r="B130" t="inlineStr">
        <is>
          <t>mothership_cannon</t>
        </is>
      </c>
      <c r="C130" t="inlineStr">
        <is>
          <t>khe_mot_nong_mot_vien</t>
        </is>
      </c>
      <c r="D130" t="inlineStr">
        <is>
          <t>s</t>
        </is>
      </c>
      <c r="E130" t="n">
        <v>1.1975</v>
      </c>
      <c r="F130">
        <f>60/INDEX(Vu_khi!$BB$2:$BB$360,MATCH($B$130,Vu_khi!$A$2:$A$360,0))/IF(INDEX(Vu_khi!$BD$2:$BD$360,MATCH($B$130,Vu_khi!$A$2:$A$360,0))="gun",0.7,1)</f>
        <v/>
      </c>
      <c r="G130">
        <f>$E$130/$F$130</f>
        <v/>
      </c>
      <c r="H130" t="n">
        <v>0.6</v>
      </c>
      <c r="I130" t="n">
        <v>2</v>
      </c>
      <c r="J130" t="b">
        <v>1</v>
      </c>
      <c r="K1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30">
        <f>IF(ISNUMBER($H$130),AND(NOT($J$130),OR($G$130&lt;$H$130,$G$130&gt;$I$130)),FALSE)</f>
        <v/>
      </c>
      <c r="M130" t="inlineStr"/>
      <c r="N130" t="inlineStr">
        <is>
          <t>R_balance;R_full_weapon_audit;W_wikipedia_au_220m;R_machine_brigade_can_bang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naval_76/nhip</t>
        </is>
      </c>
      <c r="B131" t="inlineStr">
        <is>
          <t>naval_76</t>
        </is>
      </c>
      <c r="C131" t="inlineStr">
        <is>
          <t>khe_mot_nong_mot_vien</t>
        </is>
      </c>
      <c r="D131" t="inlineStr">
        <is>
          <t>s</t>
        </is>
      </c>
      <c r="E131" t="n">
        <v>2.5715</v>
      </c>
      <c r="F131">
        <f>60/INDEX(Vu_khi!$BB$2:$BB$360,MATCH($B$131,Vu_khi!$A$2:$A$360,0))/IF(INDEX(Vu_khi!$BD$2:$BD$360,MATCH($B$131,Vu_khi!$A$2:$A$360,0))="gun",0.7,1)</f>
        <v/>
      </c>
      <c r="G131">
        <f>$E$131/$F$131</f>
        <v/>
      </c>
      <c r="H131" t="n">
        <v>0.6</v>
      </c>
      <c r="I131" t="n">
        <v>2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TC0038</t>
        </is>
      </c>
      <c r="N131" t="inlineStr">
        <is>
          <t>R_balance;R_full_weapon_audit;W_wikipedia_oto_melara_76_mm;R_machine_brigade_can_bang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naval_100/nhip</t>
        </is>
      </c>
      <c r="B132" t="inlineStr">
        <is>
          <t>naval_100</t>
        </is>
      </c>
      <c r="C132" t="inlineStr">
        <is>
          <t>khe_mot_nong_mot_vien</t>
        </is>
      </c>
      <c r="D132" t="inlineStr">
        <is>
          <t>s</t>
        </is>
      </c>
      <c r="E132" t="n">
        <v>2.75</v>
      </c>
      <c r="F132">
        <f>60/INDEX(Vu_khi!$BB$2:$BB$360,MATCH($B$132,Vu_khi!$A$2:$A$360,0))/IF(INDEX(Vu_khi!$BD$2:$BD$360,MATCH($B$132,Vu_khi!$A$2:$A$360,0))="gun",0.7,1)</f>
        <v/>
      </c>
      <c r="G132">
        <f>$E$132/$F$132</f>
        <v/>
      </c>
      <c r="H132" t="n">
        <v>0.6</v>
      </c>
      <c r="I132" t="n">
        <v>2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R_balance;R_full_weapon_audit;W_wikipedia_ak_100_naval_gun;R_machine_brigade_can_bang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naval_127/nhip</t>
        </is>
      </c>
      <c r="B133" t="inlineStr">
        <is>
          <t>naval_127</t>
        </is>
      </c>
      <c r="C133" t="inlineStr">
        <is>
          <t>khe_mot_nong_mot_vien</t>
        </is>
      </c>
      <c r="D133" t="inlineStr">
        <is>
          <t>s</t>
        </is>
      </c>
      <c r="E133" t="n">
        <v>2.8215</v>
      </c>
      <c r="F133">
        <f>60/INDEX(Vu_khi!$BB$2:$BB$360,MATCH($B$133,Vu_khi!$A$2:$A$360,0))/IF(INDEX(Vu_khi!$BD$2:$BD$360,MATCH($B$133,Vu_khi!$A$2:$A$360,0))="gun",0.7,1)</f>
        <v/>
      </c>
      <c r="G133">
        <f>$E$133/$F$133</f>
        <v/>
      </c>
      <c r="H133" t="n">
        <v>0.6</v>
      </c>
      <c r="I133" t="n">
        <v>2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R_balance;R_full_weapon_audit;W_wikipedia_5_54_caliber_mark_45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naval_130_twin/nhip</t>
        </is>
      </c>
      <c r="B134" t="inlineStr">
        <is>
          <t>naval_130_twin</t>
        </is>
      </c>
      <c r="C134" t="inlineStr">
        <is>
          <t>khe_mot_nong_mot_vien</t>
        </is>
      </c>
      <c r="D134" t="inlineStr">
        <is>
          <t>s</t>
        </is>
      </c>
      <c r="E134" t="n">
        <v>4.285999286</v>
      </c>
      <c r="F134">
        <f>60/INDEX(Vu_khi!$BB$2:$BB$360,MATCH($B$134,Vu_khi!$A$2:$A$360,0))/IF(INDEX(Vu_khi!$BD$2:$BD$360,MATCH($B$134,Vu_khi!$A$2:$A$360,0))="gun",0.7,1)</f>
        <v/>
      </c>
      <c r="G134">
        <f>$E$134/$F$134</f>
        <v/>
      </c>
      <c r="H134" t="n">
        <v>0.6</v>
      </c>
      <c r="I134" t="n">
        <v>2</v>
      </c>
      <c r="J134" t="b">
        <v>1</v>
      </c>
      <c r="K134" t="inlineStr">
        <is>
          <t>fix_weapon_reasons.json: real AK-130 10-40 rpm a barrel: 20 rpm (3 s), practical; 4.75 s was too slow</t>
        </is>
      </c>
      <c r="L134">
        <f>IF(ISNUMBER($H$134),AND(NOT($J$134),OR($G$134&lt;$H$134,$G$134&gt;$I$134)),FALSE)</f>
        <v/>
      </c>
      <c r="M134" t="inlineStr"/>
      <c r="N134" t="inlineStr">
        <is>
          <t>R_balance;R_full_weapon_audit;W_wikipedia_ak_130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naval_155_triple/nhip</t>
        </is>
      </c>
      <c r="B135" t="inlineStr">
        <is>
          <t>naval_155_triple</t>
        </is>
      </c>
      <c r="C135" t="inlineStr">
        <is>
          <t>khe_mot_nong_mot_vien</t>
        </is>
      </c>
      <c r="D135" t="inlineStr">
        <is>
          <t>s</t>
        </is>
      </c>
      <c r="E135" t="n">
        <v>10.5</v>
      </c>
      <c r="F135">
        <f>60/INDEX(Vu_khi!$BB$2:$BB$360,MATCH($B$135,Vu_khi!$A$2:$A$360,0))/IF(INDEX(Vu_khi!$BD$2:$BD$360,MATCH($B$135,Vu_khi!$A$2:$A$360,0))="gun",0.7,1)</f>
        <v/>
      </c>
      <c r="G135">
        <f>$E$135/$F$135</f>
        <v/>
      </c>
      <c r="H135" t="n">
        <v>0.6</v>
      </c>
      <c r="I135" t="n">
        <v>2</v>
      </c>
      <c r="J135" t="b">
        <v>0</v>
      </c>
      <c r="K135" t="inlineStr"/>
      <c r="L135">
        <f>IF(ISNUMBER($H$135),AND(NOT($J$135),OR($G$135&lt;$H$135,$G$135&gt;$I$135)),FALSE)</f>
        <v/>
      </c>
      <c r="M135" t="inlineStr"/>
      <c r="N135" t="inlineStr">
        <is>
          <t>R_balance;R_full_weapon_audit;W_wikipedia_15_5_cm_60_3rd_year_type;R_machine_brigade_can_bang</t>
        </is>
      </c>
      <c r="O1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5" t="inlineStr">
        <is>
          <t>Tools/balance/full_weapon_audit.py (bảng REAL) và 01_chien_dau/Vu_khi_suy_ra</t>
        </is>
      </c>
      <c r="Q135" t="inlineStr"/>
    </row>
    <row r="136">
      <c r="A136" t="inlineStr">
        <is>
          <t>nyx_tomahawk/nhip</t>
        </is>
      </c>
      <c r="B136" t="inlineStr">
        <is>
          <t>nyx_tomahawk</t>
        </is>
      </c>
      <c r="C136" t="inlineStr">
        <is>
          <t>khe_mot_nong_mot_vien</t>
        </is>
      </c>
      <c r="D136" t="inlineStr">
        <is>
          <t>s</t>
        </is>
      </c>
      <c r="E136" t="n">
        <v>27</v>
      </c>
      <c r="F136">
        <f>60/INDEX(Vu_khi!$BB$2:$BB$360,MATCH($B$136,Vu_khi!$A$2:$A$360,0))/IF(INDEX(Vu_khi!$BD$2:$BD$360,MATCH($B$136,Vu_khi!$A$2:$A$360,0))="gun",0.7,1)</f>
        <v/>
      </c>
      <c r="G136">
        <f>$E$136/$F$136</f>
        <v/>
      </c>
      <c r="H136" t="n">
        <v>0.6</v>
      </c>
      <c r="I136" t="n">
        <v>2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TC0039</t>
        </is>
      </c>
      <c r="N136" t="inlineStr">
        <is>
          <t>R_balance;R_full_weapon_audit</t>
        </is>
      </c>
      <c r="O1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6" t="inlineStr">
        <is>
          <t>Tools/balance/full_weapon_audit.py (bảng REAL) và 01_chien_dau/Vu_khi_suy_ra</t>
        </is>
      </c>
      <c r="Q136" t="inlineStr"/>
    </row>
    <row r="137">
      <c r="A137" t="inlineStr">
        <is>
          <t>one_shot_kornet/nhip</t>
        </is>
      </c>
      <c r="B137" t="inlineStr">
        <is>
          <t>one_shot_kornet</t>
        </is>
      </c>
      <c r="C137" t="inlineStr">
        <is>
          <t>khe_mot_nong_mot_vien</t>
        </is>
      </c>
      <c r="D137" t="inlineStr">
        <is>
          <t>s</t>
        </is>
      </c>
      <c r="E137" t="n">
        <v>1.2</v>
      </c>
      <c r="F137">
        <f>60/INDEX(Vu_khi!$BB$2:$BB$360,MATCH($B$137,Vu_khi!$A$2:$A$360,0))/IF(INDEX(Vu_khi!$BD$2:$BD$360,MATCH($B$137,Vu_khi!$A$2:$A$360,0))="gun",0.7,1)</f>
        <v/>
      </c>
      <c r="G137">
        <f>$E$137/$F$137</f>
        <v/>
      </c>
      <c r="H137" t="n">
        <v>0.6</v>
      </c>
      <c r="I137" t="n">
        <v>2</v>
      </c>
      <c r="J137" t="b">
        <v>0</v>
      </c>
      <c r="K137" t="inlineStr"/>
      <c r="L137">
        <f>IF(ISNUMBER($H$137),AND(NOT($J$137),OR($G$137&lt;$H$137,$G$137&gt;$I$137)),FALSE)</f>
        <v/>
      </c>
      <c r="M137" t="inlineStr">
        <is>
          <t>TC0040</t>
        </is>
      </c>
      <c r="N137" t="inlineStr">
        <is>
          <t>R_balance;R_full_weapon_audit;W_wikipedia_9m133_kornet;W_wikipedia_bai_cua_tung_ten_lua_bang_warhead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one_shot_kornet/sat_thuong</t>
        </is>
      </c>
      <c r="B138" t="inlineStr">
        <is>
          <t>one_shot_kornet</t>
        </is>
      </c>
      <c r="C138" t="inlineStr">
        <is>
          <t>sat_thuong_tren_kg_dau_dan</t>
        </is>
      </c>
      <c r="D138" t="inlineStr">
        <is>
          <t>hp/kg</t>
        </is>
      </c>
      <c r="E138">
        <f>INDEX(Vu_khi!$W$2:$W$360,MATCH($B$138,Vu_khi!$A$2:$A$360,0))</f>
        <v/>
      </c>
      <c r="F138">
        <f>INDEX(Vu_khi_tham_chieu!$AB$2:$AB$360,MATCH($B$138,Vu_khi_tham_chieu!$A$2:$A$360,0))</f>
        <v/>
      </c>
      <c r="G138">
        <f>$E$138/$F$138</f>
        <v/>
      </c>
      <c r="H138" t="inlineStr"/>
      <c r="I138" t="inlineStr"/>
      <c r="J138" t="b">
        <v>0</v>
      </c>
      <c r="K138" t="inlineStr"/>
      <c r="L138">
        <f>IF(ISNUMBER($H$138),AND(NOT($J$138),OR($G$138&lt;$H$138,$G$138&gt;$I$138)),FALSE)</f>
        <v/>
      </c>
      <c r="M138" t="inlineStr"/>
      <c r="N138" t="inlineStr">
        <is>
          <t>R_full_weapon_audit</t>
        </is>
      </c>
      <c r="O138" t="inlineStr">
        <is>
          <t>sát thương một phát / khối lượng đầu đạn (không bắt buộc 1:1, chỉ ghi ty_le)</t>
        </is>
      </c>
      <c r="P138" t="inlineStr">
        <is>
          <t>Tools/balance/full_weapon_audit.py WARHEAD</t>
        </is>
      </c>
      <c r="Q138" t="inlineStr"/>
    </row>
    <row r="139">
      <c r="A139" t="inlineStr">
        <is>
          <t>p26_bastion_b100/nhip</t>
        </is>
      </c>
      <c r="B139" t="inlineStr">
        <is>
          <t>p26_bastion_b100</t>
        </is>
      </c>
      <c r="C139" t="inlineStr">
        <is>
          <t>khe_mot_nong_mot_vien</t>
        </is>
      </c>
      <c r="D139" t="inlineStr">
        <is>
          <t>s</t>
        </is>
      </c>
      <c r="E139" t="n">
        <v>4.000004082</v>
      </c>
      <c r="F139">
        <f>60/INDEX(Vu_khi!$BB$2:$BB$360,MATCH($B$139,Vu_khi!$A$2:$A$360,0))/IF(INDEX(Vu_khi!$BD$2:$BD$360,MATCH($B$139,Vu_khi!$A$2:$A$360,0))="gun",0.7,1)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>
        <is>
          <t>TC0041</t>
        </is>
      </c>
      <c r="N139" t="inlineStr">
        <is>
          <t>R_balance;R_full_weapon_audit;W_wikipedia_d_10_tank_gun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p26_bastion_b155/nhip</t>
        </is>
      </c>
      <c r="B140" t="inlineStr">
        <is>
          <t>p26_bastion_b155</t>
        </is>
      </c>
      <c r="C140" t="inlineStr">
        <is>
          <t>khe_mot_nong_mot_vien</t>
        </is>
      </c>
      <c r="D140" t="inlineStr">
        <is>
          <t>s</t>
        </is>
      </c>
      <c r="E140" t="n">
        <v>15</v>
      </c>
      <c r="F140">
        <f>60/INDEX(Vu_khi!$BB$2:$BB$360,MATCH($B$140,Vu_khi!$A$2:$A$360,0))/IF(INDEX(Vu_khi!$BD$2:$BD$360,MATCH($B$140,Vu_khi!$A$2:$A$360,0))="gun",0.7,1)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R_balance;R_full_weapon_audit;D_us_army_m109a7_fact_file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p26_bastion_b240/nhip</t>
        </is>
      </c>
      <c r="B141" t="inlineStr">
        <is>
          <t>p26_bastion_b240</t>
        </is>
      </c>
      <c r="C141" t="inlineStr">
        <is>
          <t>khe_mot_nong_mot_vien</t>
        </is>
      </c>
      <c r="D141" t="inlineStr">
        <is>
          <t>s</t>
        </is>
      </c>
      <c r="E141" t="n">
        <v>30</v>
      </c>
      <c r="F141">
        <f>60/INDEX(Vu_khi!$BB$2:$BB$360,MATCH($B$141,Vu_khi!$A$2:$A$360,0))/IF(INDEX(Vu_khi!$BD$2:$BD$360,MATCH($B$141,Vu_khi!$A$2:$A$360,0))="gun",0.7,1)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TC0042</t>
        </is>
      </c>
      <c r="N141" t="inlineStr">
        <is>
          <t>R_balance;R_full_weapon_audit;W_wikipedia_2s4_tyulpan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p26_bastion_close_boss_hmg/nhip</t>
        </is>
      </c>
      <c r="B142" t="inlineStr">
        <is>
          <t>p26_bastion_close_boss_hmg</t>
        </is>
      </c>
      <c r="C142" t="inlineStr">
        <is>
          <t>khe_mot_nong_mot_vien</t>
        </is>
      </c>
      <c r="D142" t="inlineStr">
        <is>
          <t>s</t>
        </is>
      </c>
      <c r="E142" t="n">
        <v>0.132467025</v>
      </c>
      <c r="F142">
        <f>60/INDEX(Vu_khi!$BB$2:$BB$360,MATCH($B$142,Vu_khi!$A$2:$A$360,0))/IF(INDEX(Vu_khi!$BD$2:$BD$360,MATCH($B$142,Vu_khi!$A$2:$A$360,0))="gun",0.7,1)</f>
        <v/>
      </c>
      <c r="G142">
        <f>$E$142/$F$142</f>
        <v/>
      </c>
      <c r="H142" t="n">
        <v>0.6</v>
      </c>
      <c r="I142" t="n">
        <v>2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R_balance;R_full_weapon_audit;W_wikipedia_nsv_machine_gun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p26_bastion_direct_b100/nhip</t>
        </is>
      </c>
      <c r="B143" t="inlineStr">
        <is>
          <t>p26_bastion_direct_b100</t>
        </is>
      </c>
      <c r="C143" t="inlineStr">
        <is>
          <t>khe_mot_nong_mot_vien</t>
        </is>
      </c>
      <c r="D143" t="inlineStr">
        <is>
          <t>s</t>
        </is>
      </c>
      <c r="E143" t="n">
        <v>8.599995917999999</v>
      </c>
      <c r="F143">
        <f>60/INDEX(Vu_khi!$BB$2:$BB$360,MATCH($B$143,Vu_khi!$A$2:$A$360,0))/IF(INDEX(Vu_khi!$BD$2:$BD$360,MATCH($B$143,Vu_khi!$A$2:$A$360,0))="gun",0.7,1)</f>
        <v/>
      </c>
      <c r="G143">
        <f>$E$143/$F$143</f>
        <v/>
      </c>
      <c r="H143" t="n">
        <v>0.6</v>
      </c>
      <c r="I143" t="n">
        <v>2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R_balance;R_full_weapon_audit;W_wikipedia_d_10_tank_gun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p26_bastion_main_b155/nhip</t>
        </is>
      </c>
      <c r="B144" t="inlineStr">
        <is>
          <t>p26_bastion_main_b155</t>
        </is>
      </c>
      <c r="C144" t="inlineStr">
        <is>
          <t>khe_mot_nong_mot_vien</t>
        </is>
      </c>
      <c r="D144" t="inlineStr">
        <is>
          <t>s</t>
        </is>
      </c>
      <c r="E144" t="n">
        <v>15</v>
      </c>
      <c r="F144">
        <f>60/INDEX(Vu_khi!$BB$2:$BB$360,MATCH($B$144,Vu_khi!$A$2:$A$360,0))/IF(INDEX(Vu_khi!$BD$2:$BD$360,MATCH($B$144,Vu_khi!$A$2:$A$360,0))="gun",0.7,1)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R_balance;R_full_weapon_audit;D_us_army_m109a7_fact_file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p26_bastion_sec_b240/nhip</t>
        </is>
      </c>
      <c r="B145" t="inlineStr">
        <is>
          <t>p26_bastion_sec_b240</t>
        </is>
      </c>
      <c r="C145" t="inlineStr">
        <is>
          <t>khe_mot_nong_mot_vien</t>
        </is>
      </c>
      <c r="D145" t="inlineStr">
        <is>
          <t>s</t>
        </is>
      </c>
      <c r="E145" t="n">
        <v>60</v>
      </c>
      <c r="F145">
        <f>60/INDEX(Vu_khi!$BB$2:$BB$360,MATCH($B$145,Vu_khi!$A$2:$A$360,0))/IF(INDEX(Vu_khi!$BD$2:$BD$360,MATCH($B$145,Vu_khi!$A$2:$A$360,0))="gun",0.7,1)</f>
        <v/>
      </c>
      <c r="G145">
        <f>$E$145/$F$145</f>
        <v/>
      </c>
      <c r="H145" t="n">
        <v>0.6</v>
      </c>
      <c r="I145" t="n">
        <v>2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R_balance;R_full_weapon_audit;W_wikipedia_2s4_tyulpan</t>
        </is>
      </c>
      <c r="O1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5" t="inlineStr">
        <is>
          <t>Tools/balance/full_weapon_audit.py (bảng REAL) và 01_chien_dau/Vu_khi_suy_ra</t>
        </is>
      </c>
      <c r="Q145" t="inlineStr"/>
    </row>
    <row r="146">
      <c r="A146" t="inlineStr">
        <is>
          <t>p26_bastion_tiny_autocannon_40/nhip</t>
        </is>
      </c>
      <c r="B146" t="inlineStr">
        <is>
          <t>p26_bastion_tiny_autocannon_40</t>
        </is>
      </c>
      <c r="C146" t="inlineStr">
        <is>
          <t>khe_mot_nong_mot_vien</t>
        </is>
      </c>
      <c r="D146" t="inlineStr">
        <is>
          <t>s</t>
        </is>
      </c>
      <c r="E146" t="n">
        <v>0.332</v>
      </c>
      <c r="F146">
        <f>60/INDEX(Vu_khi!$BB$2:$BB$360,MATCH($B$146,Vu_khi!$A$2:$A$360,0))/IF(INDEX(Vu_khi!$BD$2:$BD$360,MATCH($B$146,Vu_khi!$A$2:$A$360,0))="gun",0.7,1)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R_balance;R_full_weapon_audit;W_wikipedia_bofors_40_mm_l_70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p26_bastion_tiny_kornet_twin/nhip</t>
        </is>
      </c>
      <c r="B147" t="inlineStr">
        <is>
          <t>p26_bastion_tiny_kornet_twin</t>
        </is>
      </c>
      <c r="C147" t="inlineStr">
        <is>
          <t>khe_mot_nong_mot_vien</t>
        </is>
      </c>
      <c r="D147" t="inlineStr">
        <is>
          <t>s</t>
        </is>
      </c>
      <c r="E147" t="n">
        <v>20</v>
      </c>
      <c r="F147">
        <f>60/INDEX(Vu_khi!$BB$2:$BB$360,MATCH($B$147,Vu_khi!$A$2:$A$360,0))/IF(INDEX(Vu_khi!$BD$2:$BD$360,MATCH($B$147,Vu_khi!$A$2:$A$360,0))="gun",0.7,1)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R_balance;R_full_weapon_audit;W_wikipedia_9m133_kornet;W_wikipedia_bai_cua_tung_ten_lua_bang_warhead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p26_bastion_tiny_kornet_twin/sat_thuong</t>
        </is>
      </c>
      <c r="B148" t="inlineStr">
        <is>
          <t>p26_bastion_tiny_kornet_twin</t>
        </is>
      </c>
      <c r="C148" t="inlineStr">
        <is>
          <t>sat_thuong_tren_kg_dau_dan</t>
        </is>
      </c>
      <c r="D148" t="inlineStr">
        <is>
          <t>hp/kg</t>
        </is>
      </c>
      <c r="E148">
        <f>INDEX(Vu_khi!$W$2:$W$360,MATCH($B$148,Vu_khi!$A$2:$A$360,0))</f>
        <v/>
      </c>
      <c r="F148">
        <f>INDEX(Vu_khi_tham_chieu!$AB$2:$AB$360,MATCH($B$148,Vu_khi_tham_chieu!$A$2:$A$360,0))</f>
        <v/>
      </c>
      <c r="G148">
        <f>$E$148/$F$148</f>
        <v/>
      </c>
      <c r="H148" t="inlineStr"/>
      <c r="I148" t="inlineStr"/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R_full_weapon_audit</t>
        </is>
      </c>
      <c r="O148" t="inlineStr">
        <is>
          <t>sát thương một phát / khối lượng đầu đạn (không bắt buộc 1:1, chỉ ghi ty_le)</t>
        </is>
      </c>
      <c r="P148" t="inlineStr">
        <is>
          <t>Tools/balance/full_weapon_audit.py WARHEAD</t>
        </is>
      </c>
      <c r="Q148" t="inlineStr"/>
    </row>
    <row r="149">
      <c r="A149" t="inlineStr">
        <is>
          <t>p26_bastion_tiny_zu23/nhip</t>
        </is>
      </c>
      <c r="B149" t="inlineStr">
        <is>
          <t>p26_bastion_tiny_zu23</t>
        </is>
      </c>
      <c r="C149" t="inlineStr">
        <is>
          <t>khe_mot_nong_mot_vien</t>
        </is>
      </c>
      <c r="D149" t="inlineStr">
        <is>
          <t>s</t>
        </is>
      </c>
      <c r="E149" t="n">
        <v>0.09919997999999999</v>
      </c>
      <c r="F149">
        <f>60/INDEX(Vu_khi!$BB$2:$BB$360,MATCH($B$149,Vu_khi!$A$2:$A$360,0))/IF(INDEX(Vu_khi!$BD$2:$BD$360,MATCH($B$149,Vu_khi!$A$2:$A$360,0))="gun",0.7,1)</f>
        <v/>
      </c>
      <c r="G149">
        <f>$E$149/$F$149</f>
        <v/>
      </c>
      <c r="H149" t="n">
        <v>0.6</v>
      </c>
      <c r="I149" t="n">
        <v>2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R_balance;R_full_weapon_audit;W_wikipedia_zu_23_2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p26_behemoth_be120/nhip</t>
        </is>
      </c>
      <c r="B150" t="inlineStr">
        <is>
          <t>p26_behemoth_be120</t>
        </is>
      </c>
      <c r="C150" t="inlineStr">
        <is>
          <t>khe_mot_nong_mot_vien</t>
        </is>
      </c>
      <c r="D150" t="inlineStr">
        <is>
          <t>s</t>
        </is>
      </c>
      <c r="E150" t="n">
        <v>3.999996429</v>
      </c>
      <c r="F150">
        <f>60/INDEX(Vu_khi!$BB$2:$BB$360,MATCH($B$150,Vu_khi!$A$2:$A$360,0))/IF(INDEX(Vu_khi!$BD$2:$BD$360,MATCH($B$150,Vu_khi!$A$2:$A$360,0))="gun",0.7,1)</f>
        <v/>
      </c>
      <c r="G150">
        <f>$E$150/$F$150</f>
        <v/>
      </c>
      <c r="H150" t="n">
        <v>0.6</v>
      </c>
      <c r="I150" t="n">
        <v>2</v>
      </c>
      <c r="J150" t="b">
        <v>0</v>
      </c>
      <c r="K150" t="inlineStr"/>
      <c r="L150">
        <f>IF(ISNUMBER($H$150),AND(NOT($J$150),OR($G$150&lt;$H$150,$G$150&gt;$I$150)),FALSE)</f>
        <v/>
      </c>
      <c r="M150" t="inlineStr">
        <is>
          <t>TC0043</t>
        </is>
      </c>
      <c r="N150" t="inlineStr">
        <is>
          <t>R_balance;R_full_weapon_audit;W_wikipedia_rheinmetall_120_mm_gun;R_machine_brigade_can_bang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p26_behemoth_be152/nhip</t>
        </is>
      </c>
      <c r="B151" t="inlineStr">
        <is>
          <t>p26_behemoth_be152</t>
        </is>
      </c>
      <c r="C151" t="inlineStr">
        <is>
          <t>khe_mot_nong_mot_vien</t>
        </is>
      </c>
      <c r="D151" t="inlineStr">
        <is>
          <t>s</t>
        </is>
      </c>
      <c r="E151" t="n">
        <v>2.000003571</v>
      </c>
      <c r="F151">
        <f>60/INDEX(Vu_khi!$BB$2:$BB$360,MATCH($B$151,Vu_khi!$A$2:$A$360,0))/IF(INDEX(Vu_khi!$BD$2:$BD$360,MATCH($B$151,Vu_khi!$A$2:$A$360,0))="gun",0.7,1)</f>
        <v/>
      </c>
      <c r="G151">
        <f>$E$151/$F$151</f>
        <v/>
      </c>
      <c r="H151" t="n">
        <v>0.6</v>
      </c>
      <c r="I151" t="n">
        <v>2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TC0044</t>
        </is>
      </c>
      <c r="N151" t="inlineStr">
        <is>
          <t>R_balance;R_full_weapon_audit;W_wikipedia_2a65_msta_b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p26_behemoth_be_rockets/nhip</t>
        </is>
      </c>
      <c r="B152" t="inlineStr">
        <is>
          <t>p26_behemoth_be_rockets</t>
        </is>
      </c>
      <c r="C152" t="inlineStr">
        <is>
          <t>khe_mot_nong_mot_vien</t>
        </is>
      </c>
      <c r="D152" t="inlineStr">
        <is>
          <t>s</t>
        </is>
      </c>
      <c r="E152" t="n">
        <v>0.3</v>
      </c>
      <c r="F152">
        <f>60/INDEX(Vu_khi!$BB$2:$BB$360,MATCH($B$152,Vu_khi!$A$2:$A$360,0))/IF(INDEX(Vu_khi!$BD$2:$BD$360,MATCH($B$152,Vu_khi!$A$2:$A$360,0))="gun",0.7,1)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R_balance;R_full_weapon_audit;W_wikipedia_bm_21_grad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p26_behemoth_close_boss_flak/nhip</t>
        </is>
      </c>
      <c r="B153" t="inlineStr">
        <is>
          <t>p26_behemoth_close_boss_flak</t>
        </is>
      </c>
      <c r="C153" t="inlineStr">
        <is>
          <t>khe_mot_nong_mot_vien</t>
        </is>
      </c>
      <c r="D153" t="inlineStr">
        <is>
          <t>s</t>
        </is>
      </c>
      <c r="E153" t="n">
        <v>0.262439018</v>
      </c>
      <c r="F153">
        <f>60/INDEX(Vu_khi!$BB$2:$BB$360,MATCH($B$153,Vu_khi!$A$2:$A$360,0))/IF(INDEX(Vu_khi!$BD$2:$BD$360,MATCH($B$153,Vu_khi!$A$2:$A$360,0))="gun",0.7,1)</f>
        <v/>
      </c>
      <c r="G153">
        <f>$E$153/$F$153</f>
        <v/>
      </c>
      <c r="H153" t="n">
        <v>0.6</v>
      </c>
      <c r="I153" t="n">
        <v>2</v>
      </c>
      <c r="J153" t="b">
        <v>1</v>
      </c>
      <c r="K153" t="inlineStr">
        <is>
          <t>fix_weapon_reasons.json: wave 1 boss_flak: 41 rounds at 1,200 rpm, changed in 3.38 s (twin Oerlikon GDF 2 x 550 rpm)</t>
        </is>
      </c>
      <c r="L153">
        <f>IF(ISNUMBER($H$153),AND(NOT($J$153),OR($G$153&lt;$H$153,$G$153&gt;$I$153)),FALSE)</f>
        <v/>
      </c>
      <c r="M153" t="inlineStr"/>
      <c r="N153" t="inlineStr">
        <is>
          <t>R_balance;R_full_weapon_audit;W_wikipedia_oerlikon_gdf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p26_behemoth_direct_be120/nhip</t>
        </is>
      </c>
      <c r="B154" t="inlineStr">
        <is>
          <t>p26_behemoth_direct_be120</t>
        </is>
      </c>
      <c r="C154" t="inlineStr">
        <is>
          <t>khe_mot_nong_mot_vien</t>
        </is>
      </c>
      <c r="D154" t="inlineStr">
        <is>
          <t>s</t>
        </is>
      </c>
      <c r="E154" t="n">
        <v>7.5</v>
      </c>
      <c r="F154">
        <f>60/INDEX(Vu_khi!$BB$2:$BB$360,MATCH($B$154,Vu_khi!$A$2:$A$360,0))/IF(INDEX(Vu_khi!$BD$2:$BD$360,MATCH($B$154,Vu_khi!$A$2:$A$360,0))="gun",0.7,1)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R_balance;R_full_weapon_audit;W_wikipedia_rheinmetall_120_mm_gun;R_machine_brigade_can_bang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p26_behemoth_main_be152/nhip</t>
        </is>
      </c>
      <c r="B155" t="inlineStr">
        <is>
          <t>p26_behemoth_main_be152</t>
        </is>
      </c>
      <c r="C155" t="inlineStr">
        <is>
          <t>khe_mot_nong_mot_vien</t>
        </is>
      </c>
      <c r="D155" t="inlineStr">
        <is>
          <t>s</t>
        </is>
      </c>
      <c r="E155" t="n">
        <v>8.979996429</v>
      </c>
      <c r="F155">
        <f>60/INDEX(Vu_khi!$BB$2:$BB$360,MATCH($B$155,Vu_khi!$A$2:$A$360,0))/IF(INDEX(Vu_khi!$BD$2:$BD$360,MATCH($B$155,Vu_khi!$A$2:$A$360,0))="gun",0.7,1)</f>
        <v/>
      </c>
      <c r="G155">
        <f>$E$155/$F$155</f>
        <v/>
      </c>
      <c r="H155" t="n">
        <v>0.6</v>
      </c>
      <c r="I155" t="n">
        <v>2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R_balance;R_full_weapon_audit;W_wikipedia_2a65_msta_b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p26_behemoth_sec_be_rockets/nhip</t>
        </is>
      </c>
      <c r="B156" t="inlineStr">
        <is>
          <t>p26_behemoth_sec_be_rockets</t>
        </is>
      </c>
      <c r="C156" t="inlineStr">
        <is>
          <t>khe_mot_nong_mot_vien</t>
        </is>
      </c>
      <c r="D156" t="inlineStr">
        <is>
          <t>s</t>
        </is>
      </c>
      <c r="E156" t="n">
        <v>0.5</v>
      </c>
      <c r="F156">
        <f>60/INDEX(Vu_khi!$BB$2:$BB$360,MATCH($B$156,Vu_khi!$A$2:$A$360,0))/IF(INDEX(Vu_khi!$BD$2:$BD$360,MATCH($B$156,Vu_khi!$A$2:$A$360,0))="gun",0.7,1)</f>
        <v/>
      </c>
      <c r="G156">
        <f>$E$156/$F$156</f>
        <v/>
      </c>
      <c r="H156" t="n">
        <v>0.6</v>
      </c>
      <c r="I156" t="n">
        <v>2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R_balance;R_full_weapon_audit;W_wikipedia_bm_21_grad</t>
        </is>
      </c>
      <c r="O1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6" t="inlineStr">
        <is>
          <t>Tools/balance/full_weapon_audit.py (bảng REAL) và 01_chien_dau/Vu_khi_suy_ra</t>
        </is>
      </c>
      <c r="Q156" t="inlineStr"/>
    </row>
    <row r="157">
      <c r="A157" t="inlineStr">
        <is>
          <t>p26_behemoth_tiny_be120/nhip</t>
        </is>
      </c>
      <c r="B157" t="inlineStr">
        <is>
          <t>p26_behemoth_tiny_be120</t>
        </is>
      </c>
      <c r="C157" t="inlineStr">
        <is>
          <t>khe_mot_nong_mot_vien</t>
        </is>
      </c>
      <c r="D157" t="inlineStr">
        <is>
          <t>s</t>
        </is>
      </c>
      <c r="E157" t="n">
        <v>7.5</v>
      </c>
      <c r="F157">
        <f>60/INDEX(Vu_khi!$BB$2:$BB$360,MATCH($B$157,Vu_khi!$A$2:$A$360,0))/IF(INDEX(Vu_khi!$BD$2:$BD$360,MATCH($B$157,Vu_khi!$A$2:$A$360,0))="gun",0.7,1)</f>
        <v/>
      </c>
      <c r="G157">
        <f>$E$157/$F$157</f>
        <v/>
      </c>
      <c r="H157" t="n">
        <v>0.6</v>
      </c>
      <c r="I157" t="n">
        <v>2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R_balance;R_full_weapon_audit;W_wikipedia_rheinmetall_120_mm_gun;R_machine_brigade_can_bang</t>
        </is>
      </c>
      <c r="O1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7" t="inlineStr">
        <is>
          <t>Tools/balance/full_weapon_audit.py (bảng REAL) và 01_chien_dau/Vu_khi_suy_ra</t>
        </is>
      </c>
      <c r="Q157" t="inlineStr"/>
    </row>
    <row r="158">
      <c r="A158" t="inlineStr">
        <is>
          <t>p26_behemoth_tiny_boss_missiles/nhip</t>
        </is>
      </c>
      <c r="B158" t="inlineStr">
        <is>
          <t>p26_behemoth_tiny_boss_missiles</t>
        </is>
      </c>
      <c r="C158" t="inlineStr">
        <is>
          <t>khe_mot_nong_mot_vien</t>
        </is>
      </c>
      <c r="D158" t="inlineStr">
        <is>
          <t>s</t>
        </is>
      </c>
      <c r="E158" t="n">
        <v>20</v>
      </c>
      <c r="F158">
        <f>60/INDEX(Vu_khi!$BB$2:$BB$360,MATCH($B$158,Vu_khi!$A$2:$A$360,0))/IF(INDEX(Vu_khi!$BD$2:$BD$360,MATCH($B$158,Vu_khi!$A$2:$A$360,0))="gun",0.7,1)</f>
        <v/>
      </c>
      <c r="G158">
        <f>$E$158/$F$158</f>
        <v/>
      </c>
      <c r="H158" t="n">
        <v>0.6</v>
      </c>
      <c r="I158" t="n">
        <v>2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R_balance;R_full_weapon_audit;W_wikipedia_9m133_kornet;W_wikipedia_bai_cua_tung_ten_lua_bang_warhead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p26_behemoth_tiny_boss_missiles/sat_thuong</t>
        </is>
      </c>
      <c r="B159" t="inlineStr">
        <is>
          <t>p26_behemoth_tiny_boss_missiles</t>
        </is>
      </c>
      <c r="C159" t="inlineStr">
        <is>
          <t>sat_thuong_tren_kg_dau_dan</t>
        </is>
      </c>
      <c r="D159" t="inlineStr">
        <is>
          <t>hp/kg</t>
        </is>
      </c>
      <c r="E159">
        <f>INDEX(Vu_khi!$W$2:$W$360,MATCH($B$159,Vu_khi!$A$2:$A$360,0))</f>
        <v/>
      </c>
      <c r="F159">
        <f>INDEX(Vu_khi_tham_chieu!$AB$2:$AB$360,MATCH($B$159,Vu_khi_tham_chieu!$A$2:$A$360,0))</f>
        <v/>
      </c>
      <c r="G159">
        <f>$E$159/$F$159</f>
        <v/>
      </c>
      <c r="H159" t="inlineStr"/>
      <c r="I159" t="inlineStr"/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R_full_weapon_audit</t>
        </is>
      </c>
      <c r="O159" t="inlineStr">
        <is>
          <t>sát thương một phát / khối lượng đầu đạn (không bắt buộc 1:1, chỉ ghi ty_le)</t>
        </is>
      </c>
      <c r="P159" t="inlineStr">
        <is>
          <t>Tools/balance/full_weapon_audit.py WARHEAD</t>
        </is>
      </c>
      <c r="Q159" t="inlineStr"/>
    </row>
    <row r="160">
      <c r="A160" t="inlineStr">
        <is>
          <t>p26_behemoth_tiny_kornet_twin/nhip</t>
        </is>
      </c>
      <c r="B160" t="inlineStr">
        <is>
          <t>p26_behemoth_tiny_kornet_twin</t>
        </is>
      </c>
      <c r="C160" t="inlineStr">
        <is>
          <t>khe_mot_nong_mot_vien</t>
        </is>
      </c>
      <c r="D160" t="inlineStr">
        <is>
          <t>s</t>
        </is>
      </c>
      <c r="E160" t="n">
        <v>9.699996429</v>
      </c>
      <c r="F160">
        <f>60/INDEX(Vu_khi!$BB$2:$BB$360,MATCH($B$160,Vu_khi!$A$2:$A$360,0))/IF(INDEX(Vu_khi!$BD$2:$BD$360,MATCH($B$160,Vu_khi!$A$2:$A$360,0))="gun",0.7,1)</f>
        <v/>
      </c>
      <c r="G160">
        <f>$E$160/$F$160</f>
        <v/>
      </c>
      <c r="H160" t="n">
        <v>0.6</v>
      </c>
      <c r="I160" t="n">
        <v>2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R_balance;R_full_weapon_audit;W_wikipedia_rheinmetall_120_mm_gun;R_machine_brigade_can_bang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p26_daedalus_dae57/nhip</t>
        </is>
      </c>
      <c r="B161" t="inlineStr">
        <is>
          <t>p26_daedalus_dae57</t>
        </is>
      </c>
      <c r="C161" t="inlineStr">
        <is>
          <t>khe_mot_nong_mot_vien</t>
        </is>
      </c>
      <c r="D161" t="inlineStr">
        <is>
          <t>s</t>
        </is>
      </c>
      <c r="E161" t="n">
        <v>1.25</v>
      </c>
      <c r="F161">
        <f>60/INDEX(Vu_khi!$BB$2:$BB$360,MATCH($B$161,Vu_khi!$A$2:$A$360,0))/IF(INDEX(Vu_khi!$BD$2:$BD$360,MATCH($B$161,Vu_khi!$A$2:$A$360,0))="gun",0.7,1)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TC0045</t>
        </is>
      </c>
      <c r="N161" t="inlineStr">
        <is>
          <t>R_balance;R_full_weapon_audit;W_wikipedia_au_220m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p26_daedalus_sec_dae57/nhip</t>
        </is>
      </c>
      <c r="B162" t="inlineStr">
        <is>
          <t>p26_daedalus_sec_dae57</t>
        </is>
      </c>
      <c r="C162" t="inlineStr">
        <is>
          <t>khe_mot_nong_mot_vien</t>
        </is>
      </c>
      <c r="D162" t="inlineStr">
        <is>
          <t>s</t>
        </is>
      </c>
      <c r="E162" t="n">
        <v>1.0725</v>
      </c>
      <c r="F162">
        <f>60/INDEX(Vu_khi!$BB$2:$BB$360,MATCH($B$162,Vu_khi!$A$2:$A$360,0))/IF(INDEX(Vu_khi!$BD$2:$BD$360,MATCH($B$162,Vu_khi!$A$2:$A$360,0))="gun",0.7,1)</f>
        <v/>
      </c>
      <c r="G162">
        <f>$E$162/$F$162</f>
        <v/>
      </c>
      <c r="H162" t="n">
        <v>0.6</v>
      </c>
      <c r="I162" t="n">
        <v>2</v>
      </c>
      <c r="J162" t="b">
        <v>1</v>
      </c>
      <c r="K162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62">
        <f>IF(ISNUMBER($H$162),AND(NOT($J$162),OR($G$162&lt;$H$162,$G$162&gt;$I$162)),FALSE)</f>
        <v/>
      </c>
      <c r="M162" t="inlineStr"/>
      <c r="N162" t="inlineStr">
        <is>
          <t>R_balance;R_full_weapon_audit;W_wikipedia_au_220m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p26_icarus_close_autocannon_40/nhip</t>
        </is>
      </c>
      <c r="B163" t="inlineStr">
        <is>
          <t>p26_icarus_close_autocannon_40</t>
        </is>
      </c>
      <c r="C163" t="inlineStr">
        <is>
          <t>khe_mot_nong_mot_vien</t>
        </is>
      </c>
      <c r="D163" t="inlineStr">
        <is>
          <t>s</t>
        </is>
      </c>
      <c r="E163" t="n">
        <v>0.332</v>
      </c>
      <c r="F163">
        <f>60/INDEX(Vu_khi!$BB$2:$BB$360,MATCH($B$163,Vu_khi!$A$2:$A$360,0))/IF(INDEX(Vu_khi!$BD$2:$BD$360,MATCH($B$163,Vu_khi!$A$2:$A$360,0))="gun",0.7,1)</f>
        <v/>
      </c>
      <c r="G163">
        <f>$E$163/$F$163</f>
        <v/>
      </c>
      <c r="H163" t="n">
        <v>0.6</v>
      </c>
      <c r="I163" t="n">
        <v>2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R_balance;R_full_weapon_audit;W_wikipedia_bofors_40_mm_l_70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p26_ixion_125/nhip</t>
        </is>
      </c>
      <c r="B164" t="inlineStr">
        <is>
          <t>p26_ixion_125</t>
        </is>
      </c>
      <c r="C164" t="inlineStr">
        <is>
          <t>khe_mot_nong_mot_vien</t>
        </is>
      </c>
      <c r="D164" t="inlineStr">
        <is>
          <t>s</t>
        </is>
      </c>
      <c r="E164" t="n">
        <v>7.5</v>
      </c>
      <c r="F164">
        <f>60/INDEX(Vu_khi!$BB$2:$BB$360,MATCH($B$164,Vu_khi!$A$2:$A$360,0))/IF(INDEX(Vu_khi!$BD$2:$BD$360,MATCH($B$164,Vu_khi!$A$2:$A$360,0))="gun",0.7,1)</f>
        <v/>
      </c>
      <c r="G164">
        <f>$E$164/$F$164</f>
        <v/>
      </c>
      <c r="H164" t="n">
        <v>0.6</v>
      </c>
      <c r="I164" t="n">
        <v>2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R_balance;R_full_weapon_audit;W_wikipedia_2a46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p26_ixion_mg/nhip</t>
        </is>
      </c>
      <c r="B165" t="inlineStr">
        <is>
          <t>p26_ixion_mg</t>
        </is>
      </c>
      <c r="C165" t="inlineStr">
        <is>
          <t>khe_mot_nong_mot_vien</t>
        </is>
      </c>
      <c r="D165" t="inlineStr">
        <is>
          <t>s</t>
        </is>
      </c>
      <c r="E165" t="n">
        <v>0.132467025</v>
      </c>
      <c r="F165">
        <f>60/INDEX(Vu_khi!$BB$2:$BB$360,MATCH($B$165,Vu_khi!$A$2:$A$360,0))/IF(INDEX(Vu_khi!$BD$2:$BD$360,MATCH($B$165,Vu_khi!$A$2:$A$360,0))="gun",0.7,1)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R_balance;R_full_weapon_audit;W_wikipedia_nsv_machine_gun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p26_jotunn_close_boss_flak/nhip</t>
        </is>
      </c>
      <c r="B166" t="inlineStr">
        <is>
          <t>p26_jotunn_close_boss_flak</t>
        </is>
      </c>
      <c r="C166" t="inlineStr">
        <is>
          <t>khe_mot_nong_mot_vien</t>
        </is>
      </c>
      <c r="D166" t="inlineStr">
        <is>
          <t>s</t>
        </is>
      </c>
      <c r="E166" t="n">
        <v>0.262439018</v>
      </c>
      <c r="F166">
        <f>60/INDEX(Vu_khi!$BB$2:$BB$360,MATCH($B$166,Vu_khi!$A$2:$A$360,0))/IF(INDEX(Vu_khi!$BD$2:$BD$360,MATCH($B$166,Vu_khi!$A$2:$A$360,0))="gun",0.7,1)</f>
        <v/>
      </c>
      <c r="G166">
        <f>$E$166/$F$166</f>
        <v/>
      </c>
      <c r="H166" t="n">
        <v>0.6</v>
      </c>
      <c r="I166" t="n">
        <v>2</v>
      </c>
      <c r="J166" t="b">
        <v>1</v>
      </c>
      <c r="K166" t="inlineStr">
        <is>
          <t>fix_weapon_reasons.json: wave 1 boss_flak: 41 rounds at 1,200 rpm, changed in 3.38 s (twin Oerlikon GDF 2 x 550 rpm)</t>
        </is>
      </c>
      <c r="L166">
        <f>IF(ISNUMBER($H$166),AND(NOT($J$166),OR($G$166&lt;$H$166,$G$166&gt;$I$166)),FALSE)</f>
        <v/>
      </c>
      <c r="M166" t="inlineStr"/>
      <c r="N166" t="inlineStr">
        <is>
          <t>R_balance;R_full_weapon_audit;W_wikipedia_oerlikon_gdf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p26_jotunn_direct_jo125/nhip</t>
        </is>
      </c>
      <c r="B167" t="inlineStr">
        <is>
          <t>p26_jotunn_direct_jo125</t>
        </is>
      </c>
      <c r="C167" t="inlineStr">
        <is>
          <t>khe_mot_nong_mot_vien</t>
        </is>
      </c>
      <c r="D167" t="inlineStr">
        <is>
          <t>s</t>
        </is>
      </c>
      <c r="E167" t="n">
        <v>7.5</v>
      </c>
      <c r="F167">
        <f>60/INDEX(Vu_khi!$BB$2:$BB$360,MATCH($B$167,Vu_khi!$A$2:$A$360,0))/IF(INDEX(Vu_khi!$BD$2:$BD$360,MATCH($B$167,Vu_khi!$A$2:$A$360,0))="gun",0.7,1)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R_balance;R_full_weapon_audit;W_wikipedia_2a46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p26_jotunn_jo125/nhip</t>
        </is>
      </c>
      <c r="B168" t="inlineStr">
        <is>
          <t>p26_jotunn_jo125</t>
        </is>
      </c>
      <c r="C168" t="inlineStr">
        <is>
          <t>khe_mot_nong_mot_vien</t>
        </is>
      </c>
      <c r="D168" t="inlineStr">
        <is>
          <t>s</t>
        </is>
      </c>
      <c r="E168" t="n">
        <v>2.000003571</v>
      </c>
      <c r="F168">
        <f>60/INDEX(Vu_khi!$BB$2:$BB$360,MATCH($B$168,Vu_khi!$A$2:$A$360,0))/IF(INDEX(Vu_khi!$BD$2:$BD$360,MATCH($B$168,Vu_khi!$A$2:$A$360,0))="gun",0.7,1)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>
        <is>
          <t>TC0046</t>
        </is>
      </c>
      <c r="N168" t="inlineStr">
        <is>
          <t>R_balance;R_full_weapon_audit;W_wikipedia_2a46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p26_jotunn_jo203/nhip</t>
        </is>
      </c>
      <c r="B169" t="inlineStr">
        <is>
          <t>p26_jotunn_jo203</t>
        </is>
      </c>
      <c r="C169" t="inlineStr">
        <is>
          <t>khe_mot_nong_mot_vien</t>
        </is>
      </c>
      <c r="D169" t="inlineStr">
        <is>
          <t>s</t>
        </is>
      </c>
      <c r="E169" t="n">
        <v>24</v>
      </c>
      <c r="F169">
        <f>60/INDEX(Vu_khi!$BB$2:$BB$360,MATCH($B$169,Vu_khi!$A$2:$A$360,0))/IF(INDEX(Vu_khi!$BD$2:$BD$360,MATCH($B$169,Vu_khi!$A$2:$A$360,0))="gun",0.7,1)</f>
        <v/>
      </c>
      <c r="G169">
        <f>$E$169/$F$169</f>
        <v/>
      </c>
      <c r="H169" t="n">
        <v>0.6</v>
      </c>
      <c r="I169" t="n">
        <v>2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R_balance;R_full_weapon_audit;W_wikipedia_2s7_pion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p26_jotunn_jo_rockets/nhip</t>
        </is>
      </c>
      <c r="B170" t="inlineStr">
        <is>
          <t>p26_jotunn_jo_rockets</t>
        </is>
      </c>
      <c r="C170" t="inlineStr">
        <is>
          <t>khe_mot_nong_mot_vien</t>
        </is>
      </c>
      <c r="D170" t="inlineStr">
        <is>
          <t>s</t>
        </is>
      </c>
      <c r="E170" t="n">
        <v>0.3</v>
      </c>
      <c r="F170">
        <f>60/INDEX(Vu_khi!$BB$2:$BB$360,MATCH($B$170,Vu_khi!$A$2:$A$360,0))/IF(INDEX(Vu_khi!$BD$2:$BD$360,MATCH($B$170,Vu_khi!$A$2:$A$360,0))="gun",0.7,1)</f>
        <v/>
      </c>
      <c r="G170">
        <f>$E$170/$F$170</f>
        <v/>
      </c>
      <c r="H170" t="n">
        <v>0.6</v>
      </c>
      <c r="I170" t="n">
        <v>2</v>
      </c>
      <c r="J170" t="b">
        <v>0</v>
      </c>
      <c r="K170" t="inlineStr"/>
      <c r="L170">
        <f>IF(ISNUMBER($H$170),AND(NOT($J$170),OR($G$170&lt;$H$170,$G$170&gt;$I$170)),FALSE)</f>
        <v/>
      </c>
      <c r="M170" t="inlineStr">
        <is>
          <t>TC0047</t>
        </is>
      </c>
      <c r="N170" t="inlineStr">
        <is>
          <t>R_balance;R_full_weapon_audit;W_wikipedia_bm_30_smerch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p26_jotunn_sec_jo_rockets/nhip</t>
        </is>
      </c>
      <c r="B171" t="inlineStr">
        <is>
          <t>p26_jotunn_sec_jo_rockets</t>
        </is>
      </c>
      <c r="C171" t="inlineStr">
        <is>
          <t>khe_mot_nong_mot_vien</t>
        </is>
      </c>
      <c r="D171" t="inlineStr">
        <is>
          <t>s</t>
        </is>
      </c>
      <c r="E171" t="n">
        <v>3.169998947</v>
      </c>
      <c r="F171">
        <f>60/INDEX(Vu_khi!$BB$2:$BB$360,MATCH($B$171,Vu_khi!$A$2:$A$360,0))/IF(INDEX(Vu_khi!$BD$2:$BD$360,MATCH($B$171,Vu_khi!$A$2:$A$360,0))="gun",0.7,1)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R_balance;R_full_weapon_audit;W_wikipedia_bm_30_smerch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p26_jotunn_tiny_twin_30_flak/nhip</t>
        </is>
      </c>
      <c r="B172" t="inlineStr">
        <is>
          <t>p26_jotunn_tiny_twin_30_flak</t>
        </is>
      </c>
      <c r="C172" t="inlineStr">
        <is>
          <t>khe_mot_nong_mot_vien</t>
        </is>
      </c>
      <c r="D172" t="inlineStr">
        <is>
          <t>s</t>
        </is>
      </c>
      <c r="E172" t="n">
        <v>0.08718748799999999</v>
      </c>
      <c r="F172">
        <f>60/INDEX(Vu_khi!$BB$2:$BB$360,MATCH($B$172,Vu_khi!$A$2:$A$360,0))/IF(INDEX(Vu_khi!$BD$2:$BD$360,MATCH($B$172,Vu_khi!$A$2:$A$360,0))="gun",0.7,1)</f>
        <v/>
      </c>
      <c r="G172">
        <f>$E$172/$F$172</f>
        <v/>
      </c>
      <c r="H172" t="n">
        <v>0.6</v>
      </c>
      <c r="I172" t="n">
        <v>2</v>
      </c>
      <c r="J172" t="b">
        <v>1</v>
      </c>
      <c r="K172" t="inlineStr">
        <is>
          <t>fix_weapon_reasons.json: wave 1 twin_30_flak: 160 rounds at 2,400 rpm, changed in 3 s (2A38M 4,060-5,000 rpm the pair)</t>
        </is>
      </c>
      <c r="L172">
        <f>IF(ISNUMBER($H$172),AND(NOT($J$172),OR($G$172&lt;$H$172,$G$172&gt;$I$172)),FALSE)</f>
        <v/>
      </c>
      <c r="M172" t="inlineStr"/>
      <c r="N172" t="inlineStr">
        <is>
          <t>R_balance;R_full_weapon_audit;W_wikipedia_2a38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p26_leviathan_direct_lev127/nhip</t>
        </is>
      </c>
      <c r="B173" t="inlineStr">
        <is>
          <t>p26_leviathan_direct_lev127</t>
        </is>
      </c>
      <c r="C173" t="inlineStr">
        <is>
          <t>khe_mot_nong_mot_vien</t>
        </is>
      </c>
      <c r="D173" t="inlineStr">
        <is>
          <t>s</t>
        </is>
      </c>
      <c r="E173" t="n">
        <v>3</v>
      </c>
      <c r="F173">
        <f>60/INDEX(Vu_khi!$BB$2:$BB$360,MATCH($B$173,Vu_khi!$A$2:$A$360,0))/IF(INDEX(Vu_khi!$BD$2:$BD$360,MATCH($B$173,Vu_khi!$A$2:$A$360,0))="gun",0.7,1)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/>
      <c r="N173" t="inlineStr">
        <is>
          <t>R_balance;R_full_weapon_audit;W_wikipedia_a_192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p26_leviathan_lev127/nhip</t>
        </is>
      </c>
      <c r="B174" t="inlineStr">
        <is>
          <t>p26_leviathan_lev127</t>
        </is>
      </c>
      <c r="C174" t="inlineStr">
        <is>
          <t>khe_mot_nong_mot_vien</t>
        </is>
      </c>
      <c r="D174" t="inlineStr">
        <is>
          <t>s</t>
        </is>
      </c>
      <c r="E174" t="n">
        <v>2</v>
      </c>
      <c r="F174">
        <f>60/INDEX(Vu_khi!$BB$2:$BB$360,MATCH($B$174,Vu_khi!$A$2:$A$360,0))/IF(INDEX(Vu_khi!$BD$2:$BD$360,MATCH($B$174,Vu_khi!$A$2:$A$360,0))="gun",0.7,1)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R_balance;R_full_weapon_audit;W_wikipedia_a_192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p26_leviathan_lev155/nhip</t>
        </is>
      </c>
      <c r="B175" t="inlineStr">
        <is>
          <t>p26_leviathan_lev155</t>
        </is>
      </c>
      <c r="C175" t="inlineStr">
        <is>
          <t>khe_mot_nong_mot_vien</t>
        </is>
      </c>
      <c r="D175" t="inlineStr">
        <is>
          <t>s</t>
        </is>
      </c>
      <c r="E175" t="n">
        <v>5.000005714</v>
      </c>
      <c r="F175">
        <f>60/INDEX(Vu_khi!$BB$2:$BB$360,MATCH($B$175,Vu_khi!$A$2:$A$360,0))/IF(INDEX(Vu_khi!$BD$2:$BD$360,MATCH($B$175,Vu_khi!$A$2:$A$360,0))="gun",0.7,1)</f>
        <v/>
      </c>
      <c r="G175">
        <f>$E$175/$F$175</f>
        <v/>
      </c>
      <c r="H175" t="n">
        <v>0.6</v>
      </c>
      <c r="I175" t="n">
        <v>2</v>
      </c>
      <c r="J175" t="b">
        <v>0</v>
      </c>
      <c r="K175" t="inlineStr"/>
      <c r="L175">
        <f>IF(ISNUMBER($H$175),AND(NOT($J$175),OR($G$175&lt;$H$175,$G$175&gt;$I$175)),FALSE)</f>
        <v/>
      </c>
      <c r="M175" t="inlineStr">
        <is>
          <t>TC0048</t>
        </is>
      </c>
      <c r="N175" t="inlineStr">
        <is>
          <t>R_balance;R_full_weapon_audit;W_wikipedia_15_5_cm_60_3rd_year_type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p26_leviathan_lev406/nhip</t>
        </is>
      </c>
      <c r="B176" t="inlineStr">
        <is>
          <t>p26_leviathan_lev406</t>
        </is>
      </c>
      <c r="C176" t="inlineStr">
        <is>
          <t>khe_mot_nong_mot_vien</t>
        </is>
      </c>
      <c r="D176" t="inlineStr">
        <is>
          <t>s</t>
        </is>
      </c>
      <c r="E176" t="n">
        <v>60</v>
      </c>
      <c r="F176">
        <f>60/INDEX(Vu_khi!$BB$2:$BB$360,MATCH($B$176,Vu_khi!$A$2:$A$360,0))/IF(INDEX(Vu_khi!$BD$2:$BD$360,MATCH($B$176,Vu_khi!$A$2:$A$360,0))="gun",0.7,1)</f>
        <v/>
      </c>
      <c r="G176">
        <f>$E$176/$F$176</f>
        <v/>
      </c>
      <c r="H176" t="n">
        <v>0.6</v>
      </c>
      <c r="I176" t="n">
        <v>2</v>
      </c>
      <c r="J176" t="b">
        <v>0</v>
      </c>
      <c r="K176" t="inlineStr"/>
      <c r="L176">
        <f>IF(ISNUMBER($H$176),AND(NOT($J$176),OR($G$176&lt;$H$176,$G$176&gt;$I$176)),FALSE)</f>
        <v/>
      </c>
      <c r="M176" t="inlineStr"/>
      <c r="N176" t="inlineStr">
        <is>
          <t>R_balance;R_full_weapon_audit;W_wikipedia_16_50_caliber_mark_7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p26_leviathan_sec_lev155/nhip</t>
        </is>
      </c>
      <c r="B177" t="inlineStr">
        <is>
          <t>p26_leviathan_sec_lev155</t>
        </is>
      </c>
      <c r="C177" t="inlineStr">
        <is>
          <t>khe_mot_nong_mot_vien</t>
        </is>
      </c>
      <c r="D177" t="inlineStr">
        <is>
          <t>s</t>
        </is>
      </c>
      <c r="E177" t="n">
        <v>10.5</v>
      </c>
      <c r="F177">
        <f>60/INDEX(Vu_khi!$BB$2:$BB$360,MATCH($B$177,Vu_khi!$A$2:$A$360,0))/IF(INDEX(Vu_khi!$BD$2:$BD$360,MATCH($B$177,Vu_khi!$A$2:$A$360,0))="gun",0.7,1)</f>
        <v/>
      </c>
      <c r="G177">
        <f>$E$177/$F$177</f>
        <v/>
      </c>
      <c r="H177" t="n">
        <v>0.6</v>
      </c>
      <c r="I177" t="n">
        <v>2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R_balance;R_full_weapon_audit;W_wikipedia_15_5_cm_60_3rd_year_type</t>
        </is>
      </c>
      <c r="O1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7" t="inlineStr">
        <is>
          <t>Tools/balance/full_weapon_audit.py (bảng REAL) và 01_chien_dau/Vu_khi_suy_ra</t>
        </is>
      </c>
      <c r="Q177" t="inlineStr"/>
    </row>
    <row r="178">
      <c r="A178" t="inlineStr">
        <is>
          <t>p26_matriarch_close_boss_flak/nhip</t>
        </is>
      </c>
      <c r="B178" t="inlineStr">
        <is>
          <t>p26_matriarch_close_boss_flak</t>
        </is>
      </c>
      <c r="C178" t="inlineStr">
        <is>
          <t>khe_mot_nong_mot_vien</t>
        </is>
      </c>
      <c r="D178" t="inlineStr">
        <is>
          <t>s</t>
        </is>
      </c>
      <c r="E178" t="n">
        <v>0.262439018</v>
      </c>
      <c r="F178">
        <f>60/INDEX(Vu_khi!$BB$2:$BB$360,MATCH($B$178,Vu_khi!$A$2:$A$360,0))/IF(INDEX(Vu_khi!$BD$2:$BD$360,MATCH($B$178,Vu_khi!$A$2:$A$360,0))="gun",0.7,1)</f>
        <v/>
      </c>
      <c r="G178">
        <f>$E$178/$F$178</f>
        <v/>
      </c>
      <c r="H178" t="n">
        <v>0.6</v>
      </c>
      <c r="I178" t="n">
        <v>2</v>
      </c>
      <c r="J178" t="b">
        <v>1</v>
      </c>
      <c r="K178" t="inlineStr">
        <is>
          <t>fix_weapon_reasons.json: wave 1 boss_flak: 41 rounds at 1,200 rpm, changed in 3.38 s (twin Oerlikon GDF 2 x 550 rpm)</t>
        </is>
      </c>
      <c r="L178">
        <f>IF(ISNUMBER($H$178),AND(NOT($J$178),OR($G$178&lt;$H$178,$G$178&gt;$I$178)),FALSE)</f>
        <v/>
      </c>
      <c r="M178" t="inlineStr"/>
      <c r="N178" t="inlineStr">
        <is>
          <t>R_balance;R_full_weapon_audit;W_wikipedia_oerlikon_gdf</t>
        </is>
      </c>
      <c r="O1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8" t="inlineStr">
        <is>
          <t>Tools/balance/full_weapon_audit.py (bảng REAL) và 01_chien_dau/Vu_khi_suy_ra</t>
        </is>
      </c>
      <c r="Q178" t="inlineStr"/>
    </row>
    <row r="179">
      <c r="A179" t="inlineStr">
        <is>
          <t>p26_matriarch_direct_ma_atgm/nhip</t>
        </is>
      </c>
      <c r="B179" t="inlineStr">
        <is>
          <t>p26_matriarch_direct_ma_atgm</t>
        </is>
      </c>
      <c r="C179" t="inlineStr">
        <is>
          <t>khe_mot_nong_mot_vien</t>
        </is>
      </c>
      <c r="D179" t="inlineStr">
        <is>
          <t>s</t>
        </is>
      </c>
      <c r="E179" t="n">
        <v>20</v>
      </c>
      <c r="F179">
        <f>60/INDEX(Vu_khi!$BB$2:$BB$360,MATCH($B$179,Vu_khi!$A$2:$A$360,0))/IF(INDEX(Vu_khi!$BD$2:$BD$360,MATCH($B$179,Vu_khi!$A$2:$A$360,0))="gun",0.7,1)</f>
        <v/>
      </c>
      <c r="G179">
        <f>$E$179/$F$179</f>
        <v/>
      </c>
      <c r="H179" t="n">
        <v>0.6</v>
      </c>
      <c r="I179" t="n">
        <v>2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R_balance;R_full_weapon_audit;W_wikipedia_9m133_kornet;W_wikipedia_bai_cua_tung_ten_lua_bang_warhead</t>
        </is>
      </c>
      <c r="O1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9" t="inlineStr">
        <is>
          <t>Tools/balance/full_weapon_audit.py (bảng REAL) và 01_chien_dau/Vu_khi_suy_ra</t>
        </is>
      </c>
      <c r="Q179" t="inlineStr"/>
    </row>
    <row r="180">
      <c r="A180" t="inlineStr">
        <is>
          <t>p26_matriarch_direct_ma_atgm/sat_thuong</t>
        </is>
      </c>
      <c r="B180" t="inlineStr">
        <is>
          <t>p26_matriarch_direct_ma_atgm</t>
        </is>
      </c>
      <c r="C180" t="inlineStr">
        <is>
          <t>sat_thuong_tren_kg_dau_dan</t>
        </is>
      </c>
      <c r="D180" t="inlineStr">
        <is>
          <t>hp/kg</t>
        </is>
      </c>
      <c r="E180">
        <f>INDEX(Vu_khi!$W$2:$W$360,MATCH($B$180,Vu_khi!$A$2:$A$360,0))</f>
        <v/>
      </c>
      <c r="F180">
        <f>INDEX(Vu_khi_tham_chieu!$AB$2:$AB$360,MATCH($B$180,Vu_khi_tham_chieu!$A$2:$A$360,0))</f>
        <v/>
      </c>
      <c r="G180">
        <f>$E$180/$F$180</f>
        <v/>
      </c>
      <c r="H180" t="inlineStr"/>
      <c r="I180" t="inlineStr"/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R_full_weapon_audit</t>
        </is>
      </c>
      <c r="O180" t="inlineStr">
        <is>
          <t>sát thương một phát / khối lượng đầu đạn (không bắt buộc 1:1, chỉ ghi ty_le)</t>
        </is>
      </c>
      <c r="P180" t="inlineStr">
        <is>
          <t>Tools/balance/full_weapon_audit.py WARHEAD</t>
        </is>
      </c>
      <c r="Q180" t="inlineStr"/>
    </row>
    <row r="181">
      <c r="A181" t="inlineStr">
        <is>
          <t>p26_matriarch_ma_atgm/nhip</t>
        </is>
      </c>
      <c r="B181" t="inlineStr">
        <is>
          <t>p26_matriarch_ma_atgm</t>
        </is>
      </c>
      <c r="C181" t="inlineStr">
        <is>
          <t>khe_mot_nong_mot_vien</t>
        </is>
      </c>
      <c r="D181" t="inlineStr">
        <is>
          <t>s</t>
        </is>
      </c>
      <c r="E181" t="n">
        <v>2</v>
      </c>
      <c r="F181">
        <f>60/INDEX(Vu_khi!$BB$2:$BB$360,MATCH($B$181,Vu_khi!$A$2:$A$360,0))/IF(INDEX(Vu_khi!$BD$2:$BD$360,MATCH($B$181,Vu_khi!$A$2:$A$360,0))="gun",0.7,1)</f>
        <v/>
      </c>
      <c r="G181">
        <f>$E$181/$F$181</f>
        <v/>
      </c>
      <c r="H181" t="n">
        <v>0.6</v>
      </c>
      <c r="I181" t="n">
        <v>2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TC0049</t>
        </is>
      </c>
      <c r="N181" t="inlineStr">
        <is>
          <t>R_balance;R_full_weapon_audit;W_wikipedia_9m133_kornet;W_wikipedia_bai_cua_tung_ten_lua_bang_warhead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p26_matriarch_ma_atgm/sat_thuong</t>
        </is>
      </c>
      <c r="B182" t="inlineStr">
        <is>
          <t>p26_matriarch_ma_atgm</t>
        </is>
      </c>
      <c r="C182" t="inlineStr">
        <is>
          <t>sat_thuong_tren_kg_dau_dan</t>
        </is>
      </c>
      <c r="D182" t="inlineStr">
        <is>
          <t>hp/kg</t>
        </is>
      </c>
      <c r="E182">
        <f>INDEX(Vu_khi!$W$2:$W$360,MATCH($B$182,Vu_khi!$A$2:$A$360,0))</f>
        <v/>
      </c>
      <c r="F182">
        <f>INDEX(Vu_khi_tham_chieu!$AB$2:$AB$360,MATCH($B$182,Vu_khi_tham_chieu!$A$2:$A$360,0))</f>
        <v/>
      </c>
      <c r="G182">
        <f>$E$182/$F$182</f>
        <v/>
      </c>
      <c r="H182" t="inlineStr"/>
      <c r="I182" t="inlineStr"/>
      <c r="J182" t="b">
        <v>0</v>
      </c>
      <c r="K182" t="inlineStr"/>
      <c r="L182">
        <f>IF(ISNUMBER($H$182),AND(NOT($J$182),OR($G$182&lt;$H$182,$G$182&gt;$I$182)),FALSE)</f>
        <v/>
      </c>
      <c r="M182" t="inlineStr"/>
      <c r="N182" t="inlineStr">
        <is>
          <t>R_full_weapon_audit</t>
        </is>
      </c>
      <c r="O182" t="inlineStr">
        <is>
          <t>sát thương một phát / khối lượng đầu đạn (không bắt buộc 1:1, chỉ ghi ty_le)</t>
        </is>
      </c>
      <c r="P182" t="inlineStr">
        <is>
          <t>Tools/balance/full_weapon_audit.py WARHEAD</t>
        </is>
      </c>
      <c r="Q182" t="inlineStr"/>
    </row>
    <row r="183">
      <c r="A183" t="inlineStr">
        <is>
          <t>p26_matriarch_sec_autocannon_30/nhip</t>
        </is>
      </c>
      <c r="B183" t="inlineStr">
        <is>
          <t>p26_matriarch_sec_autocannon_30</t>
        </is>
      </c>
      <c r="C183" t="inlineStr">
        <is>
          <t>khe_mot_nong_mot_vien</t>
        </is>
      </c>
      <c r="D183" t="inlineStr">
        <is>
          <t>s</t>
        </is>
      </c>
      <c r="E183" t="n">
        <v>0.24999</v>
      </c>
      <c r="F183">
        <f>60/INDEX(Vu_khi!$BB$2:$BB$360,MATCH($B$183,Vu_khi!$A$2:$A$360,0))/IF(INDEX(Vu_khi!$BD$2:$BD$360,MATCH($B$183,Vu_khi!$A$2:$A$360,0))="gun",0.7,1)</f>
        <v/>
      </c>
      <c r="G183">
        <f>$E$183/$F$183</f>
        <v/>
      </c>
      <c r="H183" t="n">
        <v>0.6</v>
      </c>
      <c r="I183" t="n">
        <v>2</v>
      </c>
      <c r="J183" t="b">
        <v>1</v>
      </c>
      <c r="K183" t="inlineStr">
        <is>
          <t>fix_weapon_reasons.json: wave 1 autocannon_30: 10 rounds at 540 rpm every 2.5 s (2A42 550-800 rpm)</t>
        </is>
      </c>
      <c r="L183">
        <f>IF(ISNUMBER($H$183),AND(NOT($J$183),OR($G$183&lt;$H$183,$G$183&gt;$I$183)),FALSE)</f>
        <v/>
      </c>
      <c r="M183" t="inlineStr"/>
      <c r="N183" t="inlineStr">
        <is>
          <t>R_balance;R_full_weapon_audit;W_wikipedia_2a42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p26_matriarch_tiny_mothership_cannon/nhip</t>
        </is>
      </c>
      <c r="B184" t="inlineStr">
        <is>
          <t>p26_matriarch_tiny_mothership_cannon</t>
        </is>
      </c>
      <c r="C184" t="inlineStr">
        <is>
          <t>khe_mot_nong_mot_vien</t>
        </is>
      </c>
      <c r="D184" t="inlineStr">
        <is>
          <t>s</t>
        </is>
      </c>
      <c r="E184" t="n">
        <v>1.0725</v>
      </c>
      <c r="F184">
        <f>60/INDEX(Vu_khi!$BB$2:$BB$360,MATCH($B$184,Vu_khi!$A$2:$A$360,0))/IF(INDEX(Vu_khi!$BD$2:$BD$360,MATCH($B$184,Vu_khi!$A$2:$A$360,0))="gun",0.7,1)</f>
        <v/>
      </c>
      <c r="G184">
        <f>$E$184/$F$184</f>
        <v/>
      </c>
      <c r="H184" t="n">
        <v>0.6</v>
      </c>
      <c r="I184" t="n">
        <v>2</v>
      </c>
      <c r="J184" t="b">
        <v>1</v>
      </c>
      <c r="K184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4">
        <f>IF(ISNUMBER($H$184),AND(NOT($J$184),OR($G$184&lt;$H$184,$G$184&gt;$I$184)),FALSE)</f>
        <v/>
      </c>
      <c r="M184" t="inlineStr"/>
      <c r="N184" t="inlineStr">
        <is>
          <t>R_balance;R_full_weapon_audit;W_wikipedia_au_220m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p26_moloch_close_boss_flak/nhip</t>
        </is>
      </c>
      <c r="B185" t="inlineStr">
        <is>
          <t>p26_moloch_close_boss_flak</t>
        </is>
      </c>
      <c r="C185" t="inlineStr">
        <is>
          <t>khe_mot_nong_mot_vien</t>
        </is>
      </c>
      <c r="D185" t="inlineStr">
        <is>
          <t>s</t>
        </is>
      </c>
      <c r="E185" t="n">
        <v>0.262439018</v>
      </c>
      <c r="F185">
        <f>60/INDEX(Vu_khi!$BB$2:$BB$360,MATCH($B$185,Vu_khi!$A$2:$A$360,0))/IF(INDEX(Vu_khi!$BD$2:$BD$360,MATCH($B$185,Vu_khi!$A$2:$A$360,0))="gun",0.7,1)</f>
        <v/>
      </c>
      <c r="G185">
        <f>$E$185/$F$185</f>
        <v/>
      </c>
      <c r="H185" t="n">
        <v>0.6</v>
      </c>
      <c r="I185" t="n">
        <v>2</v>
      </c>
      <c r="J185" t="b">
        <v>1</v>
      </c>
      <c r="K185" t="inlineStr">
        <is>
          <t>fix_weapon_reasons.json: wave 1 boss_flak: 41 rounds at 1,200 rpm, changed in 3.38 s (twin Oerlikon GDF 2 x 550 rpm)</t>
        </is>
      </c>
      <c r="L185">
        <f>IF(ISNUMBER($H$185),AND(NOT($J$185),OR($G$185&lt;$H$185,$G$185&gt;$I$185)),FALSE)</f>
        <v/>
      </c>
      <c r="M185" t="inlineStr"/>
      <c r="N185" t="inlineStr">
        <is>
          <t>R_balance;R_full_weapon_audit;W_wikipedia_oerlikon_gdf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p26_moloch_direct_mo120ap/nhip</t>
        </is>
      </c>
      <c r="B186" t="inlineStr">
        <is>
          <t>p26_moloch_direct_mo120ap</t>
        </is>
      </c>
      <c r="C186" t="inlineStr">
        <is>
          <t>khe_mot_nong_mot_vien</t>
        </is>
      </c>
      <c r="D186" t="inlineStr">
        <is>
          <t>s</t>
        </is>
      </c>
      <c r="E186" t="n">
        <v>7.5</v>
      </c>
      <c r="F186">
        <f>60/INDEX(Vu_khi!$BB$2:$BB$360,MATCH($B$186,Vu_khi!$A$2:$A$360,0))/IF(INDEX(Vu_khi!$BD$2:$BD$360,MATCH($B$186,Vu_khi!$A$2:$A$360,0))="gun",0.7,1)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/>
      <c r="N186" t="inlineStr">
        <is>
          <t>R_balance;R_full_weapon_audit;W_wikipedia_rheinmetall_120_mm_gun;R_machine_brigade_can_bang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p26_moloch_main_mo120/nhip</t>
        </is>
      </c>
      <c r="B187" t="inlineStr">
        <is>
          <t>p26_moloch_main_mo120</t>
        </is>
      </c>
      <c r="C187" t="inlineStr">
        <is>
          <t>khe_mot_nong_mot_vien</t>
        </is>
      </c>
      <c r="D187" t="inlineStr">
        <is>
          <t>s</t>
        </is>
      </c>
      <c r="E187" t="n">
        <v>7.5</v>
      </c>
      <c r="F187">
        <f>60/INDEX(Vu_khi!$BB$2:$BB$360,MATCH($B$187,Vu_khi!$A$2:$A$360,0))/IF(INDEX(Vu_khi!$BD$2:$BD$360,MATCH($B$187,Vu_khi!$A$2:$A$360,0))="gun",0.7,1)</f>
        <v/>
      </c>
      <c r="G187">
        <f>$E$187/$F$187</f>
        <v/>
      </c>
      <c r="H187" t="n">
        <v>0.6</v>
      </c>
      <c r="I187" t="n">
        <v>2</v>
      </c>
      <c r="J187" t="b">
        <v>0</v>
      </c>
      <c r="K187" t="inlineStr"/>
      <c r="L187">
        <f>IF(ISNUMBER($H$187),AND(NOT($J$187),OR($G$187&lt;$H$187,$G$187&gt;$I$187)),FALSE)</f>
        <v/>
      </c>
      <c r="M187" t="inlineStr"/>
      <c r="N187" t="inlineStr">
        <is>
          <t>R_balance;R_full_weapon_audit;W_wikipedia_rheinmetall_120_mm_gun;R_machine_brigade_can_bang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p26_moloch_mo120/nhip</t>
        </is>
      </c>
      <c r="B188" t="inlineStr">
        <is>
          <t>p26_moloch_mo120</t>
        </is>
      </c>
      <c r="C188" t="inlineStr">
        <is>
          <t>khe_mot_nong_mot_vien</t>
        </is>
      </c>
      <c r="D188" t="inlineStr">
        <is>
          <t>s</t>
        </is>
      </c>
      <c r="E188" t="n">
        <v>2.000003571</v>
      </c>
      <c r="F188">
        <f>60/INDEX(Vu_khi!$BB$2:$BB$360,MATCH($B$188,Vu_khi!$A$2:$A$360,0))/IF(INDEX(Vu_khi!$BD$2:$BD$360,MATCH($B$188,Vu_khi!$A$2:$A$360,0))="gun",0.7,1)</f>
        <v/>
      </c>
      <c r="G188">
        <f>$E$188/$F$188</f>
        <v/>
      </c>
      <c r="H188" t="n">
        <v>0.6</v>
      </c>
      <c r="I188" t="n">
        <v>2</v>
      </c>
      <c r="J188" t="b">
        <v>0</v>
      </c>
      <c r="K188" t="inlineStr"/>
      <c r="L188">
        <f>IF(ISNUMBER($H$188),AND(NOT($J$188),OR($G$188&lt;$H$188,$G$188&gt;$I$188)),FALSE)</f>
        <v/>
      </c>
      <c r="M188" t="inlineStr">
        <is>
          <t>TC0050</t>
        </is>
      </c>
      <c r="N188" t="inlineStr">
        <is>
          <t>R_balance;R_full_weapon_audit;W_wikipedia_rheinmetall_120_mm_gun;R_machine_brigade_can_bang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p26_moloch_mo120ap/nhip</t>
        </is>
      </c>
      <c r="B189" t="inlineStr">
        <is>
          <t>p26_moloch_mo120ap</t>
        </is>
      </c>
      <c r="C189" t="inlineStr">
        <is>
          <t>khe_mot_nong_mot_vien</t>
        </is>
      </c>
      <c r="D189" t="inlineStr">
        <is>
          <t>s</t>
        </is>
      </c>
      <c r="E189" t="n">
        <v>2.000003571</v>
      </c>
      <c r="F189">
        <f>60/INDEX(Vu_khi!$BB$2:$BB$360,MATCH($B$189,Vu_khi!$A$2:$A$360,0))/IF(INDEX(Vu_khi!$BD$2:$BD$360,MATCH($B$189,Vu_khi!$A$2:$A$360,0))="gun",0.7,1)</f>
        <v/>
      </c>
      <c r="G189">
        <f>$E$189/$F$189</f>
        <v/>
      </c>
      <c r="H189" t="n">
        <v>0.6</v>
      </c>
      <c r="I189" t="n">
        <v>2</v>
      </c>
      <c r="J189" t="b">
        <v>0</v>
      </c>
      <c r="K189" t="inlineStr"/>
      <c r="L189">
        <f>IF(ISNUMBER($H$189),AND(NOT($J$189),OR($G$189&lt;$H$189,$G$189&gt;$I$189)),FALSE)</f>
        <v/>
      </c>
      <c r="M189" t="inlineStr">
        <is>
          <t>TC0051</t>
        </is>
      </c>
      <c r="N189" t="inlineStr">
        <is>
          <t>R_balance;R_full_weapon_audit;W_wikipedia_rheinmetall_120_mm_gun;R_machine_brigade_can_bang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p26_moloch_tiny_zu23/nhip</t>
        </is>
      </c>
      <c r="B190" t="inlineStr">
        <is>
          <t>p26_moloch_tiny_zu23</t>
        </is>
      </c>
      <c r="C190" t="inlineStr">
        <is>
          <t>khe_mot_nong_mot_vien</t>
        </is>
      </c>
      <c r="D190" t="inlineStr">
        <is>
          <t>s</t>
        </is>
      </c>
      <c r="E190" t="n">
        <v>0.09919997999999999</v>
      </c>
      <c r="F190">
        <f>60/INDEX(Vu_khi!$BB$2:$BB$360,MATCH($B$190,Vu_khi!$A$2:$A$360,0))/IF(INDEX(Vu_khi!$BD$2:$BD$360,MATCH($B$190,Vu_khi!$A$2:$A$360,0))="gun",0.7,1)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R_balance;R_full_weapon_audit;W_wikipedia_zu_23_2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p26_nemesis_close_boss_flak/nhip</t>
        </is>
      </c>
      <c r="B191" t="inlineStr">
        <is>
          <t>p26_nemesis_close_boss_flak</t>
        </is>
      </c>
      <c r="C191" t="inlineStr">
        <is>
          <t>khe_mot_nong_mot_vien</t>
        </is>
      </c>
      <c r="D191" t="inlineStr">
        <is>
          <t>s</t>
        </is>
      </c>
      <c r="E191" t="n">
        <v>0.262439018</v>
      </c>
      <c r="F191">
        <f>60/INDEX(Vu_khi!$BB$2:$BB$360,MATCH($B$191,Vu_khi!$A$2:$A$360,0))/IF(INDEX(Vu_khi!$BD$2:$BD$360,MATCH($B$191,Vu_khi!$A$2:$A$360,0))="gun",0.7,1)</f>
        <v/>
      </c>
      <c r="G191">
        <f>$E$191/$F$191</f>
        <v/>
      </c>
      <c r="H191" t="n">
        <v>0.6</v>
      </c>
      <c r="I191" t="n">
        <v>2</v>
      </c>
      <c r="J191" t="b">
        <v>1</v>
      </c>
      <c r="K191" t="inlineStr">
        <is>
          <t>fix_weapon_reasons.json: wave 1 boss_flak: 41 rounds at 1,200 rpm, changed in 3.38 s (twin Oerlikon GDF 2 x 550 rpm)</t>
        </is>
      </c>
      <c r="L191">
        <f>IF(ISNUMBER($H$191),AND(NOT($J$191),OR($G$191&lt;$H$191,$G$191&gt;$I$191)),FALSE)</f>
        <v/>
      </c>
      <c r="M191" t="inlineStr"/>
      <c r="N191" t="inlineStr">
        <is>
          <t>R_balance;R_full_weapon_audit;W_wikipedia_oerlikon_gdf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p26_nemesis_direct_ne125/nhip</t>
        </is>
      </c>
      <c r="B192" t="inlineStr">
        <is>
          <t>p26_nemesis_direct_ne125</t>
        </is>
      </c>
      <c r="C192" t="inlineStr">
        <is>
          <t>khe_mot_nong_mot_vien</t>
        </is>
      </c>
      <c r="D192" t="inlineStr">
        <is>
          <t>s</t>
        </is>
      </c>
      <c r="E192" t="n">
        <v>7.5</v>
      </c>
      <c r="F192">
        <f>60/INDEX(Vu_khi!$BB$2:$BB$360,MATCH($B$192,Vu_khi!$A$2:$A$360,0))/IF(INDEX(Vu_khi!$BD$2:$BD$360,MATCH($B$192,Vu_khi!$A$2:$A$360,0))="gun",0.7,1)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/>
      <c r="N192" t="inlineStr">
        <is>
          <t>R_balance;R_full_weapon_audit;W_wikipedia_2a46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p26_nemesis_main_ne152/nhip</t>
        </is>
      </c>
      <c r="B193" t="inlineStr">
        <is>
          <t>p26_nemesis_main_ne152</t>
        </is>
      </c>
      <c r="C193" t="inlineStr">
        <is>
          <t>khe_mot_nong_mot_vien</t>
        </is>
      </c>
      <c r="D193" t="inlineStr">
        <is>
          <t>s</t>
        </is>
      </c>
      <c r="E193" t="n">
        <v>7.5</v>
      </c>
      <c r="F193">
        <f>60/INDEX(Vu_khi!$BB$2:$BB$360,MATCH($B$193,Vu_khi!$A$2:$A$360,0))/IF(INDEX(Vu_khi!$BD$2:$BD$360,MATCH($B$193,Vu_khi!$A$2:$A$360,0))="gun",0.7,1)</f>
        <v/>
      </c>
      <c r="G193">
        <f>$E$193/$F$193</f>
        <v/>
      </c>
      <c r="H193" t="n">
        <v>0.6</v>
      </c>
      <c r="I193" t="n">
        <v>2</v>
      </c>
      <c r="J193" t="b">
        <v>0</v>
      </c>
      <c r="K193" t="inlineStr"/>
      <c r="L193">
        <f>IF(ISNUMBER($H$193),AND(NOT($J$193),OR($G$193&lt;$H$193,$G$193&gt;$I$193)),FALSE)</f>
        <v/>
      </c>
      <c r="M193" t="inlineStr"/>
      <c r="N193" t="inlineStr">
        <is>
          <t>R_balance;R_full_weapon_audit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p26_nemesis_ne125/nhip</t>
        </is>
      </c>
      <c r="B194" t="inlineStr">
        <is>
          <t>p26_nemesis_ne125</t>
        </is>
      </c>
      <c r="C194" t="inlineStr">
        <is>
          <t>khe_mot_nong_mot_vien</t>
        </is>
      </c>
      <c r="D194" t="inlineStr">
        <is>
          <t>s</t>
        </is>
      </c>
      <c r="E194" t="n">
        <v>2.000003571</v>
      </c>
      <c r="F194">
        <f>60/INDEX(Vu_khi!$BB$2:$BB$360,MATCH($B$194,Vu_khi!$A$2:$A$360,0))/IF(INDEX(Vu_khi!$BD$2:$BD$360,MATCH($B$194,Vu_khi!$A$2:$A$360,0))="gun",0.7,1)</f>
        <v/>
      </c>
      <c r="G194">
        <f>$E$194/$F$194</f>
        <v/>
      </c>
      <c r="H194" t="n">
        <v>0.6</v>
      </c>
      <c r="I194" t="n">
        <v>2</v>
      </c>
      <c r="J194" t="b">
        <v>0</v>
      </c>
      <c r="K194" t="inlineStr"/>
      <c r="L194">
        <f>IF(ISNUMBER($H$194),AND(NOT($J$194),OR($G$194&lt;$H$194,$G$194&gt;$I$194)),FALSE)</f>
        <v/>
      </c>
      <c r="M194" t="inlineStr">
        <is>
          <t>TC0052</t>
        </is>
      </c>
      <c r="N194" t="inlineStr">
        <is>
          <t>R_balance;R_full_weapon_audit;W_wikipedia_2a46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p26_nemesis_ne152/nhip</t>
        </is>
      </c>
      <c r="B195" t="inlineStr">
        <is>
          <t>p26_nemesis_ne152</t>
        </is>
      </c>
      <c r="C195" t="inlineStr">
        <is>
          <t>khe_mot_nong_mot_vien</t>
        </is>
      </c>
      <c r="D195" t="inlineStr">
        <is>
          <t>s</t>
        </is>
      </c>
      <c r="E195" t="n">
        <v>1.250003571</v>
      </c>
      <c r="F195">
        <f>60/INDEX(Vu_khi!$BB$2:$BB$360,MATCH($B$195,Vu_khi!$A$2:$A$360,0))/IF(INDEX(Vu_khi!$BD$2:$BD$360,MATCH($B$195,Vu_khi!$A$2:$A$360,0))="gun",0.7,1)</f>
        <v/>
      </c>
      <c r="G195">
        <f>$E$195/$F$195</f>
        <v/>
      </c>
      <c r="H195" t="n">
        <v>0.6</v>
      </c>
      <c r="I195" t="n">
        <v>2</v>
      </c>
      <c r="J195" t="b">
        <v>0</v>
      </c>
      <c r="K195" t="inlineStr"/>
      <c r="L195">
        <f>IF(ISNUMBER($H$195),AND(NOT($J$195),OR($G$195&lt;$H$195,$G$195&gt;$I$195)),FALSE)</f>
        <v/>
      </c>
      <c r="M195" t="inlineStr">
        <is>
          <t>TC0053</t>
        </is>
      </c>
      <c r="N195" t="inlineStr">
        <is>
          <t>R_balance;R_full_weapon_audit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p26_nemesis_sec_boss_rockets/nhip</t>
        </is>
      </c>
      <c r="B196" t="inlineStr">
        <is>
          <t>p26_nemesis_sec_boss_rockets</t>
        </is>
      </c>
      <c r="C196" t="inlineStr">
        <is>
          <t>khe_mot_nong_mot_vien</t>
        </is>
      </c>
      <c r="D196" t="inlineStr">
        <is>
          <t>s</t>
        </is>
      </c>
      <c r="E196" t="n">
        <v>0.5</v>
      </c>
      <c r="F196">
        <f>60/INDEX(Vu_khi!$BB$2:$BB$360,MATCH($B$196,Vu_khi!$A$2:$A$360,0))/IF(INDEX(Vu_khi!$BD$2:$BD$360,MATCH($B$196,Vu_khi!$A$2:$A$360,0))="gun",0.7,1)</f>
        <v/>
      </c>
      <c r="G196">
        <f>$E$196/$F$196</f>
        <v/>
      </c>
      <c r="H196" t="n">
        <v>0.6</v>
      </c>
      <c r="I196" t="n">
        <v>2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R_balance;R_full_weapon_audit;W_wikipedia_bm_21_grad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p26_roc_close_twin_30_bmpt/nhip</t>
        </is>
      </c>
      <c r="B197" t="inlineStr">
        <is>
          <t>p26_roc_close_twin_30_bmpt</t>
        </is>
      </c>
      <c r="C197" t="inlineStr">
        <is>
          <t>khe_mot_nong_mot_vien</t>
        </is>
      </c>
      <c r="D197" t="inlineStr">
        <is>
          <t>s</t>
        </is>
      </c>
      <c r="E197" t="n">
        <v>0.3943833</v>
      </c>
      <c r="F197">
        <f>60/INDEX(Vu_khi!$BB$2:$BB$360,MATCH($B$197,Vu_khi!$A$2:$A$360,0))/IF(INDEX(Vu_khi!$BD$2:$BD$360,MATCH($B$197,Vu_khi!$A$2:$A$360,0))="gun",0.7,1)</f>
        <v/>
      </c>
      <c r="G197">
        <f>$E$197/$F$197</f>
        <v/>
      </c>
      <c r="H197" t="n">
        <v>0.6</v>
      </c>
      <c r="I197" t="n">
        <v>2</v>
      </c>
      <c r="J197" t="b">
        <v>1</v>
      </c>
      <c r="K197" t="inlineStr">
        <is>
          <t>fix_weapon_reasons.json: wave 1 twin_30_bmpt: 12 rounds at 720 rpm, 1.45 s after (wave 1's 1.5 s is a hair over 2 x the practical rate)</t>
        </is>
      </c>
      <c r="L197">
        <f>IF(ISNUMBER($H$197),AND(NOT($J$197),OR($G$197&lt;$H$197,$G$197&gt;$I$197)),FALSE)</f>
        <v/>
      </c>
      <c r="M197" t="inlineStr"/>
      <c r="N197" t="inlineStr">
        <is>
          <t>R_balance;R_full_weapon_audit;W_wikipedia_2a42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p26_roc_direct_roc_atgm/nhip</t>
        </is>
      </c>
      <c r="B198" t="inlineStr">
        <is>
          <t>p26_roc_direct_roc_atgm</t>
        </is>
      </c>
      <c r="C198" t="inlineStr">
        <is>
          <t>khe_mot_nong_mot_vien</t>
        </is>
      </c>
      <c r="D198" t="inlineStr">
        <is>
          <t>s</t>
        </is>
      </c>
      <c r="E198" t="n">
        <v>20</v>
      </c>
      <c r="F198">
        <f>60/INDEX(Vu_khi!$BB$2:$BB$360,MATCH($B$198,Vu_khi!$A$2:$A$360,0))/IF(INDEX(Vu_khi!$BD$2:$BD$360,MATCH($B$198,Vu_khi!$A$2:$A$360,0))="gun",0.7,1)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R_balance;R_full_weapon_audit;W_wikipedia_9m133_kornet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p26_roc_main_roc_bombs/nhip</t>
        </is>
      </c>
      <c r="B199" t="inlineStr">
        <is>
          <t>p26_roc_main_roc_bombs</t>
        </is>
      </c>
      <c r="C199" t="inlineStr">
        <is>
          <t>khe_mot_nong_mot_vien</t>
        </is>
      </c>
      <c r="D199" t="inlineStr">
        <is>
          <t>s</t>
        </is>
      </c>
      <c r="E199" t="n">
        <v>0.3</v>
      </c>
      <c r="F199">
        <f>60/INDEX(Vu_khi!$BB$2:$BB$360,MATCH($B$199,Vu_khi!$A$2:$A$360,0))/IF(INDEX(Vu_khi!$BD$2:$BD$360,MATCH($B$199,Vu_khi!$A$2:$A$360,0))="gun",0.7,1)</f>
        <v/>
      </c>
      <c r="G199">
        <f>$E$199/$F$199</f>
        <v/>
      </c>
      <c r="H199" t="n">
        <v>0.6</v>
      </c>
      <c r="I199" t="n">
        <v>2</v>
      </c>
      <c r="J199" t="b">
        <v>1</v>
      </c>
      <c r="K199" t="inlineStr">
        <is>
          <t>fix_weapon_reasons.json: a 400 kg bomb stick from an airship's bay: no real rate for the bay's reload; the 35.4 s cycle kept</t>
        </is>
      </c>
      <c r="L199">
        <f>IF(ISNUMBER($H$199),AND(NOT($J$199),OR($G$199&lt;$H$199,$G$199&gt;$I$199)),FALSE)</f>
        <v/>
      </c>
      <c r="M199" t="inlineStr"/>
      <c r="N199" t="inlineStr">
        <is>
          <t>R_balance;R_full_weapon_audit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p26_roc_roc105/nhip</t>
        </is>
      </c>
      <c r="B200" t="inlineStr">
        <is>
          <t>p26_roc_roc105</t>
        </is>
      </c>
      <c r="C200" t="inlineStr">
        <is>
          <t>khe_mot_nong_mot_vien</t>
        </is>
      </c>
      <c r="D200" t="inlineStr">
        <is>
          <t>s</t>
        </is>
      </c>
      <c r="E200" t="n">
        <v>6</v>
      </c>
      <c r="F200">
        <f>60/INDEX(Vu_khi!$BB$2:$BB$360,MATCH($B$200,Vu_khi!$A$2:$A$360,0))/IF(INDEX(Vu_khi!$BD$2:$BD$360,MATCH($B$200,Vu_khi!$A$2:$A$360,0))="gun",0.7,1)</f>
        <v/>
      </c>
      <c r="G200">
        <f>$E$200/$F$200</f>
        <v/>
      </c>
      <c r="H200" t="n">
        <v>0.6</v>
      </c>
      <c r="I200" t="n">
        <v>2</v>
      </c>
      <c r="J200" t="b">
        <v>0</v>
      </c>
      <c r="K200" t="inlineStr"/>
      <c r="L200">
        <f>IF(ISNUMBER($H$200),AND(NOT($J$200),OR($G$200&lt;$H$200,$G$200&gt;$I$200)),FALSE)</f>
        <v/>
      </c>
      <c r="M200" t="inlineStr"/>
      <c r="N200" t="inlineStr">
        <is>
          <t>R_balance;R_full_weapon_audit;W_wikipedia_m102_howitzer;R_machine_brigade_can_bang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p26_roc_roc_atgm/nhip</t>
        </is>
      </c>
      <c r="B201" t="inlineStr">
        <is>
          <t>p26_roc_roc_atgm</t>
        </is>
      </c>
      <c r="C201" t="inlineStr">
        <is>
          <t>khe_mot_nong_mot_vien</t>
        </is>
      </c>
      <c r="D201" t="inlineStr">
        <is>
          <t>s</t>
        </is>
      </c>
      <c r="E201" t="n">
        <v>2</v>
      </c>
      <c r="F201">
        <f>60/INDEX(Vu_khi!$BB$2:$BB$360,MATCH($B$201,Vu_khi!$A$2:$A$360,0))/IF(INDEX(Vu_khi!$BD$2:$BD$360,MATCH($B$201,Vu_khi!$A$2:$A$360,0))="gun",0.7,1)</f>
        <v/>
      </c>
      <c r="G201">
        <f>$E$201/$F$201</f>
        <v/>
      </c>
      <c r="H201" t="n">
        <v>0.6</v>
      </c>
      <c r="I201" t="n">
        <v>2</v>
      </c>
      <c r="J201" t="b">
        <v>0</v>
      </c>
      <c r="K201" t="inlineStr"/>
      <c r="L201">
        <f>IF(ISNUMBER($H$201),AND(NOT($J$201),OR($G$201&lt;$H$201,$G$201&gt;$I$201)),FALSE)</f>
        <v/>
      </c>
      <c r="M201" t="inlineStr">
        <is>
          <t>TC0054</t>
        </is>
      </c>
      <c r="N201" t="inlineStr">
        <is>
          <t>R_balance;R_full_weapon_audit;W_wikipedia_9m133_kornet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p26_roc_roc_bombs/nhip</t>
        </is>
      </c>
      <c r="B202" t="inlineStr">
        <is>
          <t>p26_roc_roc_bombs</t>
        </is>
      </c>
      <c r="C202" t="inlineStr">
        <is>
          <t>khe_mot_nong_mot_vien</t>
        </is>
      </c>
      <c r="D202" t="inlineStr">
        <is>
          <t>s</t>
        </is>
      </c>
      <c r="E202" t="n">
        <v>0.3</v>
      </c>
      <c r="F202">
        <f>60/INDEX(Vu_khi!$BB$2:$BB$360,MATCH($B$202,Vu_khi!$A$2:$A$360,0))/IF(INDEX(Vu_khi!$BD$2:$BD$360,MATCH($B$202,Vu_khi!$A$2:$A$360,0))="gun",0.7,1)</f>
        <v/>
      </c>
      <c r="G202">
        <f>$E$202/$F$202</f>
        <v/>
      </c>
      <c r="H202" t="n">
        <v>0.6</v>
      </c>
      <c r="I202" t="n">
        <v>2</v>
      </c>
      <c r="J202" t="b">
        <v>1</v>
      </c>
      <c r="K20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2">
        <f>IF(ISNUMBER($H$202),AND(NOT($J$202),OR($G$202&lt;$H$202,$G$202&gt;$I$202)),FALSE)</f>
        <v/>
      </c>
      <c r="M202" t="inlineStr"/>
      <c r="N202" t="inlineStr">
        <is>
          <t>R_balance;R_full_weapon_audit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p26_typhon_direct_ty100/nhip</t>
        </is>
      </c>
      <c r="B203" t="inlineStr">
        <is>
          <t>p26_typhon_direct_ty100</t>
        </is>
      </c>
      <c r="C203" t="inlineStr">
        <is>
          <t>khe_mot_nong_mot_vien</t>
        </is>
      </c>
      <c r="D203" t="inlineStr">
        <is>
          <t>s</t>
        </is>
      </c>
      <c r="E203" t="n">
        <v>1.75</v>
      </c>
      <c r="F203">
        <f>60/INDEX(Vu_khi!$BB$2:$BB$360,MATCH($B$203,Vu_khi!$A$2:$A$360,0))/IF(INDEX(Vu_khi!$BD$2:$BD$360,MATCH($B$203,Vu_khi!$A$2:$A$360,0))="gun",0.7,1)</f>
        <v/>
      </c>
      <c r="G203">
        <f>$E$203/$F$203</f>
        <v/>
      </c>
      <c r="H203" t="n">
        <v>0.6</v>
      </c>
      <c r="I203" t="n">
        <v>2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R_balance;R_full_weapon_audit;W_wikipedia_ak_100_naval_gun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p26_typhon_sec_ty57/nhip</t>
        </is>
      </c>
      <c r="B204" t="inlineStr">
        <is>
          <t>p26_typhon_sec_ty57</t>
        </is>
      </c>
      <c r="C204" t="inlineStr">
        <is>
          <t>khe_mot_nong_mot_vien</t>
        </is>
      </c>
      <c r="D204" t="inlineStr">
        <is>
          <t>s</t>
        </is>
      </c>
      <c r="E204" t="n">
        <v>1.0725</v>
      </c>
      <c r="F204">
        <f>60/INDEX(Vu_khi!$BB$2:$BB$360,MATCH($B$204,Vu_khi!$A$2:$A$360,0))/IF(INDEX(Vu_khi!$BD$2:$BD$360,MATCH($B$204,Vu_khi!$A$2:$A$360,0))="gun",0.7,1)</f>
        <v/>
      </c>
      <c r="G204">
        <f>$E$204/$F$204</f>
        <v/>
      </c>
      <c r="H204" t="n">
        <v>0.6</v>
      </c>
      <c r="I204" t="n">
        <v>2</v>
      </c>
      <c r="J204" t="b">
        <v>1</v>
      </c>
      <c r="K204" t="inlineStr">
        <is>
          <t>fix_weapon_reasons.json: wave 1 mothership_cannon: 4 rounds 0.5 s apart every 4.29 s (AU-220M 120 rpm); made up: a twin 57 mm deck mount (as the real AK-725 twin 57 mm)</t>
        </is>
      </c>
      <c r="L204">
        <f>IF(ISNUMBER($H$204),AND(NOT($J$204),OR($G$204&lt;$H$204,$G$204&gt;$I$204)),FALSE)</f>
        <v/>
      </c>
      <c r="M204" t="inlineStr"/>
      <c r="N204" t="inlineStr">
        <is>
          <t>R_balance;R_full_weapon_audit;W_wikipedia_au_220m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p26_typhon_ty57/nhip</t>
        </is>
      </c>
      <c r="B205" t="inlineStr">
        <is>
          <t>p26_typhon_ty57</t>
        </is>
      </c>
      <c r="C205" t="inlineStr">
        <is>
          <t>khe_mot_nong_mot_vien</t>
        </is>
      </c>
      <c r="D205" t="inlineStr">
        <is>
          <t>s</t>
        </is>
      </c>
      <c r="E205" t="n">
        <v>0.75</v>
      </c>
      <c r="F205">
        <f>60/INDEX(Vu_khi!$BB$2:$BB$360,MATCH($B$205,Vu_khi!$A$2:$A$360,0))/IF(INDEX(Vu_khi!$BD$2:$BD$360,MATCH($B$205,Vu_khi!$A$2:$A$360,0))="gun",0.7,1)</f>
        <v/>
      </c>
      <c r="G205">
        <f>$E$205/$F$205</f>
        <v/>
      </c>
      <c r="H205" t="n">
        <v>0.6</v>
      </c>
      <c r="I205" t="n">
        <v>2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R_balance;R_full_weapon_audit;W_wikipedia_au_220m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p26_typhon_ty100/nhip</t>
        </is>
      </c>
      <c r="B206" t="inlineStr">
        <is>
          <t>p26_typhon_ty100</t>
        </is>
      </c>
      <c r="C206" t="inlineStr">
        <is>
          <t>khe_mot_nong_mot_vien</t>
        </is>
      </c>
      <c r="D206" t="inlineStr">
        <is>
          <t>s</t>
        </is>
      </c>
      <c r="E206" t="n">
        <v>2.5</v>
      </c>
      <c r="F206">
        <f>60/INDEX(Vu_khi!$BB$2:$BB$360,MATCH($B$206,Vu_khi!$A$2:$A$360,0))/IF(INDEX(Vu_khi!$BD$2:$BD$360,MATCH($B$206,Vu_khi!$A$2:$A$360,0))="gun",0.7,1)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/>
      <c r="N206" t="inlineStr">
        <is>
          <t>R_balance;R_full_weapon_audit;W_wikipedia_ak_100_naval_gun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patriot/nhip</t>
        </is>
      </c>
      <c r="B207" t="inlineStr">
        <is>
          <t>patriot</t>
        </is>
      </c>
      <c r="C207" t="inlineStr">
        <is>
          <t>khe_mot_nong_mot_vien</t>
        </is>
      </c>
      <c r="D207" t="inlineStr">
        <is>
          <t>s</t>
        </is>
      </c>
      <c r="E207" t="n">
        <v>1.599999</v>
      </c>
      <c r="F207">
        <f>60/INDEX(Vu_khi!$BB$2:$BB$360,MATCH($B$207,Vu_khi!$A$2:$A$360,0))/IF(INDEX(Vu_khi!$BD$2:$BD$360,MATCH($B$207,Vu_khi!$A$2:$A$360,0))="gun",0.7,1)</f>
        <v/>
      </c>
      <c r="G207">
        <f>$E$207/$F$207</f>
        <v/>
      </c>
      <c r="H207" t="n">
        <v>0.6</v>
      </c>
      <c r="I207" t="n">
        <v>2</v>
      </c>
      <c r="J207" t="b">
        <v>0</v>
      </c>
      <c r="K207" t="inlineStr"/>
      <c r="L207">
        <f>IF(ISNUMBER($H$207),AND(NOT($J$207),OR($G$207&lt;$H$207,$G$207&gt;$I$207)),FALSE)</f>
        <v/>
      </c>
      <c r="M207" t="inlineStr">
        <is>
          <t>TC0055</t>
        </is>
      </c>
      <c r="N207" t="inlineStr">
        <is>
          <t>R_balance;R_full_weapon_audit;W_wikipedia_mim_104_patriot;R_machine_brigade_can_bang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pt14_co_203/nhip</t>
        </is>
      </c>
      <c r="B208" t="inlineStr">
        <is>
          <t>pt14_co_203</t>
        </is>
      </c>
      <c r="C208" t="inlineStr">
        <is>
          <t>khe_mot_nong_mot_vien</t>
        </is>
      </c>
      <c r="D208" t="inlineStr">
        <is>
          <t>s</t>
        </is>
      </c>
      <c r="E208" t="n">
        <v>21</v>
      </c>
      <c r="F208">
        <f>60/INDEX(Vu_khi!$BB$2:$BB$360,MATCH($B$208,Vu_khi!$A$2:$A$360,0))/IF(INDEX(Vu_khi!$BD$2:$BD$360,MATCH($B$208,Vu_khi!$A$2:$A$360,0))="gun",0.7,1)</f>
        <v/>
      </c>
      <c r="G208">
        <f>$E$208/$F$208</f>
        <v/>
      </c>
      <c r="H208" t="n">
        <v>0.6</v>
      </c>
      <c r="I208" t="n">
        <v>2</v>
      </c>
      <c r="J208" t="b">
        <v>0</v>
      </c>
      <c r="K208" t="inlineStr"/>
      <c r="L208">
        <f>IF(ISNUMBER($H$208),AND(NOT($J$208),OR($G$208&lt;$H$208,$G$208&gt;$I$208)),FALSE)</f>
        <v/>
      </c>
      <c r="M208" t="inlineStr">
        <is>
          <t>TC0056</t>
        </is>
      </c>
      <c r="N208" t="inlineStr">
        <is>
          <t>R_balance;R_full_weapon_audit;W_wikipedia_8_55_caliber_mark_71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pt14_co_v76/nhip</t>
        </is>
      </c>
      <c r="B209" t="inlineStr">
        <is>
          <t>pt14_co_v76</t>
        </is>
      </c>
      <c r="C209" t="inlineStr">
        <is>
          <t>khe_mot_nong_mot_vien</t>
        </is>
      </c>
      <c r="D209" t="inlineStr">
        <is>
          <t>s</t>
        </is>
      </c>
      <c r="E209" t="n">
        <v>2.05</v>
      </c>
      <c r="F209">
        <f>60/INDEX(Vu_khi!$BB$2:$BB$360,MATCH($B$209,Vu_khi!$A$2:$A$360,0))/IF(INDEX(Vu_khi!$BD$2:$BD$360,MATCH($B$209,Vu_khi!$A$2:$A$360,0))="gun",0.7,1)</f>
        <v/>
      </c>
      <c r="G209">
        <f>$E$209/$F$209</f>
        <v/>
      </c>
      <c r="H209" t="n">
        <v>0.6</v>
      </c>
      <c r="I209" t="n">
        <v>2</v>
      </c>
      <c r="J209" t="b">
        <v>0</v>
      </c>
      <c r="K209" t="inlineStr"/>
      <c r="L209">
        <f>IF(ISNUMBER($H$209),AND(NOT($J$209),OR($G$209&lt;$H$209,$G$209&gt;$I$209)),FALSE)</f>
        <v/>
      </c>
      <c r="M209" t="inlineStr">
        <is>
          <t>TC0057</t>
        </is>
      </c>
      <c r="N209" t="inlineStr">
        <is>
          <t>R_balance;R_full_weapon_audit;W_wikipedia_oto_melara_76_mm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pt14_dd_v25/nhip</t>
        </is>
      </c>
      <c r="B210" t="inlineStr">
        <is>
          <t>pt14_dd_v25</t>
        </is>
      </c>
      <c r="C210" t="inlineStr">
        <is>
          <t>khe_mot_nong_mot_vien</t>
        </is>
      </c>
      <c r="D210" t="inlineStr">
        <is>
          <t>s</t>
        </is>
      </c>
      <c r="E210" t="n">
        <v>0.203571429</v>
      </c>
      <c r="F210">
        <f>60/INDEX(Vu_khi!$BB$2:$BB$360,MATCH($B$210,Vu_khi!$A$2:$A$360,0))/IF(INDEX(Vu_khi!$BD$2:$BD$360,MATCH($B$210,Vu_khi!$A$2:$A$360,0))="gun",0.7,1)</f>
        <v/>
      </c>
      <c r="G210">
        <f>$E$210/$F$210</f>
        <v/>
      </c>
      <c r="H210" t="n">
        <v>0.6</v>
      </c>
      <c r="I210" t="n">
        <v>2</v>
      </c>
      <c r="J210" t="b">
        <v>1</v>
      </c>
      <c r="K21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0">
        <f>IF(ISNUMBER($H$210),AND(NOT($J$210),OR($G$210&lt;$H$210,$G$210&gt;$I$210)),FALSE)</f>
        <v/>
      </c>
      <c r="M210" t="inlineStr"/>
      <c r="N210" t="inlineStr">
        <is>
          <t>R_balance;R_full_weapon_audit;W_wikipedia_gau_12_equalizer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pt14_dd_v57/nhip</t>
        </is>
      </c>
      <c r="B211" t="inlineStr">
        <is>
          <t>pt14_dd_v57</t>
        </is>
      </c>
      <c r="C211" t="inlineStr">
        <is>
          <t>khe_mot_nong_mot_vien</t>
        </is>
      </c>
      <c r="D211" t="inlineStr">
        <is>
          <t>s</t>
        </is>
      </c>
      <c r="E211" t="n">
        <v>1.0725</v>
      </c>
      <c r="F211">
        <f>60/INDEX(Vu_khi!$BB$2:$BB$360,MATCH($B$211,Vu_khi!$A$2:$A$360,0))/IF(INDEX(Vu_khi!$BD$2:$BD$360,MATCH($B$211,Vu_khi!$A$2:$A$360,0))="gun",0.7,1)</f>
        <v/>
      </c>
      <c r="G211">
        <f>$E$211/$F$211</f>
        <v/>
      </c>
      <c r="H211" t="n">
        <v>0.6</v>
      </c>
      <c r="I211" t="n">
        <v>2</v>
      </c>
      <c r="J211" t="b">
        <v>1</v>
      </c>
      <c r="K21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1">
        <f>IF(ISNUMBER($H$211),AND(NOT($J$211),OR($G$211&lt;$H$211,$G$211&gt;$I$211)),FALSE)</f>
        <v/>
      </c>
      <c r="M211" t="inlineStr"/>
      <c r="N211" t="inlineStr">
        <is>
          <t>R_balance;R_full_weapon_audit;W_wikipedia_au_220m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pt14_hp_155/nhip</t>
        </is>
      </c>
      <c r="B212" t="inlineStr">
        <is>
          <t>pt14_hp_155</t>
        </is>
      </c>
      <c r="C212" t="inlineStr">
        <is>
          <t>khe_mot_nong_mot_vien</t>
        </is>
      </c>
      <c r="D212" t="inlineStr">
        <is>
          <t>s</t>
        </is>
      </c>
      <c r="E212" t="n">
        <v>13.899994286</v>
      </c>
      <c r="F212">
        <f>60/INDEX(Vu_khi!$BB$2:$BB$360,MATCH($B$212,Vu_khi!$A$2:$A$360,0))/IF(INDEX(Vu_khi!$BD$2:$BD$360,MATCH($B$212,Vu_khi!$A$2:$A$360,0))="gun",0.7,1)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R_balance;R_full_weapon_audit;W_wikipedia_15_5_cm_60_3rd_year_type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pt14_hp_nsm/nhip</t>
        </is>
      </c>
      <c r="B213" t="inlineStr">
        <is>
          <t>pt14_hp_nsm</t>
        </is>
      </c>
      <c r="C213" t="inlineStr">
        <is>
          <t>khe_mot_nong_mot_vien</t>
        </is>
      </c>
      <c r="D213" t="inlineStr">
        <is>
          <t>s</t>
        </is>
      </c>
      <c r="E213" t="n">
        <v>7.299999</v>
      </c>
      <c r="F213">
        <f>60/INDEX(Vu_khi!$BB$2:$BB$360,MATCH($B$213,Vu_khi!$A$2:$A$360,0))/IF(INDEX(Vu_khi!$BD$2:$BD$360,MATCH($B$213,Vu_khi!$A$2:$A$360,0))="gun",0.7,1)</f>
        <v/>
      </c>
      <c r="G213">
        <f>$E$213/$F$213</f>
        <v/>
      </c>
      <c r="H213" t="n">
        <v>0.6</v>
      </c>
      <c r="I213" t="n">
        <v>2</v>
      </c>
      <c r="J213" t="b">
        <v>0</v>
      </c>
      <c r="K213" t="inlineStr"/>
      <c r="L213">
        <f>IF(ISNUMBER($H$213),AND(NOT($J$213),OR($G$213&lt;$H$213,$G$213&gt;$I$213)),FALSE)</f>
        <v/>
      </c>
      <c r="M213" t="inlineStr">
        <is>
          <t>TC0058</t>
        </is>
      </c>
      <c r="N213" t="inlineStr">
        <is>
          <t>R_balance;R_full_weapon_audit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pt14_hp_v127/nhip</t>
        </is>
      </c>
      <c r="B214" t="inlineStr">
        <is>
          <t>pt14_hp_v127</t>
        </is>
      </c>
      <c r="C214" t="inlineStr">
        <is>
          <t>khe_mot_nong_mot_vien</t>
        </is>
      </c>
      <c r="D214" t="inlineStr">
        <is>
          <t>s</t>
        </is>
      </c>
      <c r="E214" t="n">
        <v>2.499998571</v>
      </c>
      <c r="F214">
        <f>60/INDEX(Vu_khi!$BB$2:$BB$360,MATCH($B$214,Vu_khi!$A$2:$A$360,0))/IF(INDEX(Vu_khi!$BD$2:$BD$360,MATCH($B$214,Vu_khi!$A$2:$A$360,0))="gun",0.7,1)</f>
        <v/>
      </c>
      <c r="G214">
        <f>$E$214/$F$214</f>
        <v/>
      </c>
      <c r="H214" t="n">
        <v>0.6</v>
      </c>
      <c r="I214" t="n">
        <v>2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TC0059</t>
        </is>
      </c>
      <c r="N214" t="inlineStr">
        <is>
          <t>R_balance;R_full_weapon_audit;W_wikipedia_5_54_caliber_mark_45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pt14_ixion_30/nhip</t>
        </is>
      </c>
      <c r="B215" t="inlineStr">
        <is>
          <t>pt14_ixion_30</t>
        </is>
      </c>
      <c r="C215" t="inlineStr">
        <is>
          <t>khe_mot_nong_mot_vien</t>
        </is>
      </c>
      <c r="D215" t="inlineStr">
        <is>
          <t>s</t>
        </is>
      </c>
      <c r="E215" t="n">
        <v>0.5347125</v>
      </c>
      <c r="F215">
        <f>60/INDEX(Vu_khi!$BB$2:$BB$360,MATCH($B$215,Vu_khi!$A$2:$A$360,0))/IF(INDEX(Vu_khi!$BD$2:$BD$360,MATCH($B$215,Vu_khi!$A$2:$A$360,0))="gun",0.7,1)</f>
        <v/>
      </c>
      <c r="G215">
        <f>$E$215/$F$215</f>
        <v/>
      </c>
      <c r="H215" t="n">
        <v>0.6</v>
      </c>
      <c r="I215" t="n">
        <v>2</v>
      </c>
      <c r="J215" t="b">
        <v>0</v>
      </c>
      <c r="K215" t="inlineStr"/>
      <c r="L215">
        <f>IF(ISNUMBER($H$215),AND(NOT($J$215),OR($G$215&lt;$H$215,$G$215&gt;$I$215)),FALSE)</f>
        <v/>
      </c>
      <c r="M215" t="inlineStr">
        <is>
          <t>TC0060</t>
        </is>
      </c>
      <c r="N215" t="inlineStr">
        <is>
          <t>R_balance;R_full_weapon_audit;W_wikipedia_2a42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pt14_ixion_grad/nhip</t>
        </is>
      </c>
      <c r="B216" t="inlineStr">
        <is>
          <t>pt14_ixion_grad</t>
        </is>
      </c>
      <c r="C216" t="inlineStr">
        <is>
          <t>khe_mot_nong_mot_vien</t>
        </is>
      </c>
      <c r="D216" t="inlineStr">
        <is>
          <t>s</t>
        </is>
      </c>
      <c r="E216" t="n">
        <v>0.5</v>
      </c>
      <c r="F216">
        <f>60/INDEX(Vu_khi!$BB$2:$BB$360,MATCH($B$216,Vu_khi!$A$2:$A$360,0))/IF(INDEX(Vu_khi!$BD$2:$BD$360,MATCH($B$216,Vu_khi!$A$2:$A$360,0))="gun",0.7,1)</f>
        <v/>
      </c>
      <c r="G216">
        <f>$E$216/$F$216</f>
        <v/>
      </c>
      <c r="H216" t="n">
        <v>0.6</v>
      </c>
      <c r="I216" t="n">
        <v>2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R_balance;R_full_weapon_audit;W_wikipedia_bm_21_grad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pt14_ixion_kornet/nhip</t>
        </is>
      </c>
      <c r="B217" t="inlineStr">
        <is>
          <t>pt14_ixion_kornet</t>
        </is>
      </c>
      <c r="C217" t="inlineStr">
        <is>
          <t>khe_mot_nong_mot_vien</t>
        </is>
      </c>
      <c r="D217" t="inlineStr">
        <is>
          <t>s</t>
        </is>
      </c>
      <c r="E217" t="n">
        <v>24</v>
      </c>
      <c r="F217">
        <f>60/INDEX(Vu_khi!$BB$2:$BB$360,MATCH($B$217,Vu_khi!$A$2:$A$360,0))/IF(INDEX(Vu_khi!$BD$2:$BD$360,MATCH($B$217,Vu_khi!$A$2:$A$360,0))="gun",0.7,1)</f>
        <v/>
      </c>
      <c r="G217">
        <f>$E$217/$F$217</f>
        <v/>
      </c>
      <c r="H217" t="n">
        <v>0.6</v>
      </c>
      <c r="I217" t="n">
        <v>2</v>
      </c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R_balance;R_full_weapon_audit;W_wikipedia_9m133_kornet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pt14_mk0_v40/nhip</t>
        </is>
      </c>
      <c r="B218" t="inlineStr">
        <is>
          <t>pt14_mk0_v40</t>
        </is>
      </c>
      <c r="C218" t="inlineStr">
        <is>
          <t>khe_mot_nong_mot_vien</t>
        </is>
      </c>
      <c r="D218" t="inlineStr">
        <is>
          <t>s</t>
        </is>
      </c>
      <c r="E218" t="n">
        <v>0.5375</v>
      </c>
      <c r="F218">
        <f>60/INDEX(Vu_khi!$BB$2:$BB$360,MATCH($B$218,Vu_khi!$A$2:$A$360,0))/IF(INDEX(Vu_khi!$BD$2:$BD$360,MATCH($B$218,Vu_khi!$A$2:$A$360,0))="gun",0.7,1)</f>
        <v/>
      </c>
      <c r="G218">
        <f>$E$218/$F$218</f>
        <v/>
      </c>
      <c r="H218" t="n">
        <v>0.6</v>
      </c>
      <c r="I218" t="n">
        <v>2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R_balance;R_full_weapon_audit;W_wikipedia_bofors_40_mm_l_60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pt14_sb_v105/nhip</t>
        </is>
      </c>
      <c r="B219" t="inlineStr">
        <is>
          <t>pt14_sb_v105</t>
        </is>
      </c>
      <c r="C219" t="inlineStr">
        <is>
          <t>khe_mot_nong_mot_vien</t>
        </is>
      </c>
      <c r="D219" t="inlineStr">
        <is>
          <t>s</t>
        </is>
      </c>
      <c r="E219" t="n">
        <v>6</v>
      </c>
      <c r="F219">
        <f>60/INDEX(Vu_khi!$BB$2:$BB$360,MATCH($B$219,Vu_khi!$A$2:$A$360,0))/IF(INDEX(Vu_khi!$BD$2:$BD$360,MATCH($B$219,Vu_khi!$A$2:$A$360,0))="gun",0.7,1)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R_balance;R_full_weapon_audit;W_wikipedia_m102_howitzer;R_machine_brigade_can_bang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pt14_th_v35/nhip</t>
        </is>
      </c>
      <c r="B220" t="inlineStr">
        <is>
          <t>pt14_th_v35</t>
        </is>
      </c>
      <c r="C220" t="inlineStr">
        <is>
          <t>khe_mot_nong_mot_vien</t>
        </is>
      </c>
      <c r="D220" t="inlineStr">
        <is>
          <t>s</t>
        </is>
      </c>
      <c r="E220" t="n">
        <v>0.69375</v>
      </c>
      <c r="F220">
        <f>60/INDEX(Vu_khi!$BB$2:$BB$360,MATCH($B$220,Vu_khi!$A$2:$A$360,0))/IF(INDEX(Vu_khi!$BD$2:$BD$360,MATCH($B$220,Vu_khi!$A$2:$A$360,0))="gun",0.7,1)</f>
        <v/>
      </c>
      <c r="G220">
        <f>$E$220/$F$220</f>
        <v/>
      </c>
      <c r="H220" t="n">
        <v>0.6</v>
      </c>
      <c r="I220" t="n">
        <v>2</v>
      </c>
      <c r="J220" t="b">
        <v>0</v>
      </c>
      <c r="K220" t="inlineStr"/>
      <c r="L220">
        <f>IF(ISNUMBER($H$220),AND(NOT($J$220),OR($G$220&lt;$H$220,$G$220&gt;$I$220)),FALSE)</f>
        <v/>
      </c>
      <c r="M220" t="inlineStr">
        <is>
          <t>TC0061</t>
        </is>
      </c>
      <c r="N220" t="inlineStr">
        <is>
          <t>R_balance;R_full_weapon_audit;W_wikipedia_oerlikon_gdf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pt14_train_grad/nhip</t>
        </is>
      </c>
      <c r="B221" t="inlineStr">
        <is>
          <t>pt14_train_grad</t>
        </is>
      </c>
      <c r="C221" t="inlineStr">
        <is>
          <t>khe_mot_nong_mot_vien</t>
        </is>
      </c>
      <c r="D221" t="inlineStr">
        <is>
          <t>s</t>
        </is>
      </c>
      <c r="E221" t="n">
        <v>0.5</v>
      </c>
      <c r="F221">
        <f>60/INDEX(Vu_khi!$BB$2:$BB$360,MATCH($B$221,Vu_khi!$A$2:$A$360,0))/IF(INDEX(Vu_khi!$BD$2:$BD$360,MATCH($B$221,Vu_khi!$A$2:$A$360,0))="gun",0.7,1)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R_balance;R_full_weapon_audit;W_wikipedia_bm_21_grad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recoilless_106/nhip</t>
        </is>
      </c>
      <c r="B222" t="inlineStr">
        <is>
          <t>recoilless_106</t>
        </is>
      </c>
      <c r="C222" t="inlineStr">
        <is>
          <t>khe_mot_nong_mot_vien</t>
        </is>
      </c>
      <c r="D222" t="inlineStr">
        <is>
          <t>s</t>
        </is>
      </c>
      <c r="E222" t="n">
        <v>9.524005713999999</v>
      </c>
      <c r="F222">
        <f>60/INDEX(Vu_khi!$BB$2:$BB$360,MATCH($B$222,Vu_khi!$A$2:$A$360,0))/IF(INDEX(Vu_khi!$BD$2:$BD$360,MATCH($B$222,Vu_khi!$A$2:$A$360,0))="gun",0.7,1)</f>
        <v/>
      </c>
      <c r="G222">
        <f>$E$222/$F$222</f>
        <v/>
      </c>
      <c r="H222" t="n">
        <v>0.6</v>
      </c>
      <c r="I222" t="n">
        <v>2</v>
      </c>
      <c r="J222" t="b">
        <v>0</v>
      </c>
      <c r="K222" t="inlineStr"/>
      <c r="L222">
        <f>IF(ISNUMBER($H$222),AND(NOT($J$222),OR($G$222&lt;$H$222,$G$222&gt;$I$222)),FALSE)</f>
        <v/>
      </c>
      <c r="M222" t="inlineStr">
        <is>
          <t>TC0062</t>
        </is>
      </c>
      <c r="N222" t="inlineStr">
        <is>
          <t>R_balance;R_full_weapon_audit;W_wikipedia_m40_recoilless_rifle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rockets_300mm/nhip</t>
        </is>
      </c>
      <c r="B223" t="inlineStr">
        <is>
          <t>rockets_300mm</t>
        </is>
      </c>
      <c r="C223" t="inlineStr">
        <is>
          <t>khe_mot_nong_mot_vien</t>
        </is>
      </c>
      <c r="D223" t="inlineStr">
        <is>
          <t>s</t>
        </is>
      </c>
      <c r="E223" t="n">
        <v>0.250001053</v>
      </c>
      <c r="F223">
        <f>60/INDEX(Vu_khi!$BB$2:$BB$360,MATCH($B$223,Vu_khi!$A$2:$A$360,0))/IF(INDEX(Vu_khi!$BD$2:$BD$360,MATCH($B$223,Vu_khi!$A$2:$A$360,0))="gun",0.7,1)</f>
        <v/>
      </c>
      <c r="G223">
        <f>$E$223/$F$223</f>
        <v/>
      </c>
      <c r="H223" t="n">
        <v>0.6</v>
      </c>
      <c r="I223" t="n">
        <v>2</v>
      </c>
      <c r="J223" t="b">
        <v>0</v>
      </c>
      <c r="K223" t="inlineStr"/>
      <c r="L223">
        <f>IF(ISNUMBER($H$223),AND(NOT($J$223),OR($G$223&lt;$H$223,$G$223&gt;$I$223)),FALSE)</f>
        <v/>
      </c>
      <c r="M223" t="inlineStr">
        <is>
          <t>TC0063</t>
        </is>
      </c>
      <c r="N223" t="inlineStr">
        <is>
          <t>R_balance;R_full_weapon_audit;W_wikipedia_bm_30_smerch;R_machine_brigade_can_bang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s8_pods/nhip</t>
        </is>
      </c>
      <c r="B224" t="inlineStr">
        <is>
          <t>s8_pods</t>
        </is>
      </c>
      <c r="C224" t="inlineStr">
        <is>
          <t>khe_mot_nong_mot_vien</t>
        </is>
      </c>
      <c r="D224" t="inlineStr">
        <is>
          <t>s</t>
        </is>
      </c>
      <c r="E224" t="n">
        <v>0.05</v>
      </c>
      <c r="F224">
        <f>60/INDEX(Vu_khi!$BB$2:$BB$360,MATCH($B$224,Vu_khi!$A$2:$A$360,0))/IF(INDEX(Vu_khi!$BD$2:$BD$360,MATCH($B$224,Vu_khi!$A$2:$A$360,0))="gun",0.7,1)</f>
        <v/>
      </c>
      <c r="G224">
        <f>$E$224/$F$224</f>
        <v/>
      </c>
      <c r="H224" t="n">
        <v>0.6</v>
      </c>
      <c r="I224" t="n">
        <v>2</v>
      </c>
      <c r="J224" t="b">
        <v>0</v>
      </c>
      <c r="K224" t="inlineStr"/>
      <c r="L224">
        <f>IF(ISNUMBER($H$224),AND(NOT($J$224),OR($G$224&lt;$H$224,$G$224&gt;$I$224)),FALSE)</f>
        <v/>
      </c>
      <c r="M224" t="inlineStr"/>
      <c r="N224" t="inlineStr">
        <is>
          <t>R_balance;R_full_weapon_audit;R_decisions;R_machine_brigade_can_bang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sam/loi_no</t>
        </is>
      </c>
      <c r="B225" t="inlineStr">
        <is>
          <t>sam</t>
        </is>
      </c>
      <c r="C225" t="inlineStr">
        <is>
          <t>loi_m_tren_can_bac_ba_kg_dau_dan</t>
        </is>
      </c>
      <c r="D225" t="inlineStr">
        <is>
          <t>m/kg^(1/3)</t>
        </is>
      </c>
      <c r="E225">
        <f>INDEX(Vu_khi!$X$2:$X$360,MATCH($B$225,Vu_khi!$A$2:$A$360,0))</f>
        <v/>
      </c>
      <c r="F225">
        <f>POWER(INDEX(Vu_khi_tham_chieu!$AB$2:$AB$360,MATCH($B$225,Vu_khi_tham_chieu!$A$2:$A$360,0)),1/3)</f>
        <v/>
      </c>
      <c r="G225">
        <f>$E$225/$F$225</f>
        <v/>
      </c>
      <c r="H225" t="inlineStr"/>
      <c r="I225" t="inlineStr"/>
      <c r="J225" t="b">
        <v>0</v>
      </c>
      <c r="K225" t="inlineStr"/>
      <c r="L225">
        <f>IF(ISNUMBER($H$225),AND(NOT($J$225),OR($G$225&lt;$H$225,$G$225&gt;$I$225)),FALSE)</f>
        <v/>
      </c>
      <c r="M225" t="inlineStr"/>
      <c r="N225" t="inlineStr">
        <is>
          <t>R_full_weapon_audit</t>
        </is>
      </c>
      <c r="O225" t="inlineStr">
        <is>
          <t>lõi nổ / căn bậc ba khối lượng đầu đạn (đầu đạn thay cho thuốc nổ: repo không có khối lượng thuốc nổ)</t>
        </is>
      </c>
      <c r="P225" t="inlineStr">
        <is>
          <t>Tools/balance/full_weapon_audit.py WARHEAD</t>
        </is>
      </c>
      <c r="Q225" t="inlineStr"/>
    </row>
    <row r="226">
      <c r="A226" t="inlineStr">
        <is>
          <t>sam/nhip</t>
        </is>
      </c>
      <c r="B226" t="inlineStr">
        <is>
          <t>sam</t>
        </is>
      </c>
      <c r="C226" t="inlineStr">
        <is>
          <t>khe_mot_nong_mot_vien</t>
        </is>
      </c>
      <c r="D226" t="inlineStr">
        <is>
          <t>s</t>
        </is>
      </c>
      <c r="E226" t="n">
        <v>4.452</v>
      </c>
      <c r="F226">
        <f>60/INDEX(Vu_khi!$BB$2:$BB$360,MATCH($B$226,Vu_khi!$A$2:$A$360,0))/IF(INDEX(Vu_khi!$BD$2:$BD$360,MATCH($B$226,Vu_khi!$A$2:$A$360,0))="gun",0.7,1)</f>
        <v/>
      </c>
      <c r="G226">
        <f>$E$226/$F$226</f>
        <v/>
      </c>
      <c r="H226" t="n">
        <v>0.6</v>
      </c>
      <c r="I226" t="n">
        <v>2</v>
      </c>
      <c r="J226" t="b">
        <v>0</v>
      </c>
      <c r="K226" t="inlineStr"/>
      <c r="L226">
        <f>IF(ISNUMBER($H$226),AND(NOT($J$226),OR($G$226&lt;$H$226,$G$226&gt;$I$226)),FALSE)</f>
        <v/>
      </c>
      <c r="M226" t="inlineStr"/>
      <c r="N226" t="inlineStr">
        <is>
          <t>R_balance;R_full_weapon_audit;W_wikipedia_bai_cua_tung_ten_lua_bang_warhead;R_machine_brigade_can_bang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sam/sat_thuong</t>
        </is>
      </c>
      <c r="B227" t="inlineStr">
        <is>
          <t>sam</t>
        </is>
      </c>
      <c r="C227" t="inlineStr">
        <is>
          <t>sat_thuong_tren_kg_dau_dan</t>
        </is>
      </c>
      <c r="D227" t="inlineStr">
        <is>
          <t>hp/kg</t>
        </is>
      </c>
      <c r="E227">
        <f>INDEX(Vu_khi!$W$2:$W$360,MATCH($B$227,Vu_khi!$A$2:$A$360,0))</f>
        <v/>
      </c>
      <c r="F227">
        <f>INDEX(Vu_khi_tham_chieu!$AB$2:$AB$360,MATCH($B$227,Vu_khi_tham_chieu!$A$2:$A$360,0))</f>
        <v/>
      </c>
      <c r="G227">
        <f>$E$227/$F$227</f>
        <v/>
      </c>
      <c r="H227" t="inlineStr"/>
      <c r="I227" t="inlineStr"/>
      <c r="J227" t="b">
        <v>0</v>
      </c>
      <c r="K227" t="inlineStr"/>
      <c r="L227">
        <f>IF(ISNUMBER($H$227),AND(NOT($J$227),OR($G$227&lt;$H$227,$G$227&gt;$I$227)),FALSE)</f>
        <v/>
      </c>
      <c r="M227" t="inlineStr"/>
      <c r="N227" t="inlineStr">
        <is>
          <t>R_full_weapon_audit</t>
        </is>
      </c>
      <c r="O227" t="inlineStr">
        <is>
          <t>sát thương một phát / khối lượng đầu đạn (không bắt buộc 1:1, chỉ ghi ty_le)</t>
        </is>
      </c>
      <c r="P227" t="inlineStr">
        <is>
          <t>Tools/balance/full_weapon_audit.py WARHEAD</t>
        </is>
      </c>
      <c r="Q227" t="inlineStr"/>
    </row>
    <row r="228">
      <c r="A228" t="inlineStr">
        <is>
          <t>sam_48n6/nhip</t>
        </is>
      </c>
      <c r="B228" t="inlineStr">
        <is>
          <t>sam_48n6</t>
        </is>
      </c>
      <c r="C228" t="inlineStr">
        <is>
          <t>khe_mot_nong_mot_vien</t>
        </is>
      </c>
      <c r="D228" t="inlineStr">
        <is>
          <t>s</t>
        </is>
      </c>
      <c r="E228" t="n">
        <v>7.2</v>
      </c>
      <c r="F228">
        <f>60/INDEX(Vu_khi!$BB$2:$BB$360,MATCH($B$228,Vu_khi!$A$2:$A$360,0))/IF(INDEX(Vu_khi!$BD$2:$BD$360,MATCH($B$228,Vu_khi!$A$2:$A$360,0))="gun",0.7,1)</f>
        <v/>
      </c>
      <c r="G228">
        <f>$E$228/$F$228</f>
        <v/>
      </c>
      <c r="H228" t="n">
        <v>0.6</v>
      </c>
      <c r="I228" t="n">
        <v>2</v>
      </c>
      <c r="J228" t="b">
        <v>1</v>
      </c>
      <c r="K2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8">
        <f>IF(ISNUMBER($H$228),AND(NOT($J$228),OR($G$228&lt;$H$228,$G$228&gt;$I$228)),FALSE)</f>
        <v/>
      </c>
      <c r="M228" t="inlineStr"/>
      <c r="N228" t="inlineStr">
        <is>
          <t>R_balance;R_full_weapon_audit;W_wikipedia_s_400;R_machine_brigade_can_bang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sam_battery/nhip</t>
        </is>
      </c>
      <c r="B229" t="inlineStr">
        <is>
          <t>sam_battery</t>
        </is>
      </c>
      <c r="C229" t="inlineStr">
        <is>
          <t>khe_mot_nong_mot_vien</t>
        </is>
      </c>
      <c r="D229" t="inlineStr">
        <is>
          <t>s</t>
        </is>
      </c>
      <c r="E229" t="n">
        <v>5.499999</v>
      </c>
      <c r="F229">
        <f>60/INDEX(Vu_khi!$BB$2:$BB$360,MATCH($B$229,Vu_khi!$A$2:$A$360,0))/IF(INDEX(Vu_khi!$BD$2:$BD$360,MATCH($B$229,Vu_khi!$A$2:$A$360,0))="gun",0.7,1)</f>
        <v/>
      </c>
      <c r="G229">
        <f>$E$229/$F$229</f>
        <v/>
      </c>
      <c r="H229" t="n">
        <v>0.6</v>
      </c>
      <c r="I229" t="n">
        <v>2</v>
      </c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R_balance;R_full_weapon_audit;W_wikipedia_mim_104_patriot;R_machine_brigade_can_bang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sam_battery_lrr/nhip</t>
        </is>
      </c>
      <c r="B230" t="inlineStr">
        <is>
          <t>sam_battery_lrr</t>
        </is>
      </c>
      <c r="C230" t="inlineStr">
        <is>
          <t>khe_mot_nong_mot_vien</t>
        </is>
      </c>
      <c r="D230" t="inlineStr">
        <is>
          <t>s</t>
        </is>
      </c>
      <c r="E230" t="n">
        <v>1.95</v>
      </c>
      <c r="F230">
        <f>60/INDEX(Vu_khi!$BB$2:$BB$360,MATCH($B$230,Vu_khi!$A$2:$A$360,0))/IF(INDEX(Vu_khi!$BD$2:$BD$360,MATCH($B$230,Vu_khi!$A$2:$A$360,0))="gun",0.7,1)</f>
        <v/>
      </c>
      <c r="G230">
        <f>$E$230/$F$230</f>
        <v/>
      </c>
      <c r="H230" t="n">
        <v>0.6</v>
      </c>
      <c r="I230" t="n">
        <v>2</v>
      </c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R_balance;R_full_weapon_audit;W_wikipedia_mim_104_patriot;R_machine_brigade_can_bang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sam_long/nhip</t>
        </is>
      </c>
      <c r="B231" t="inlineStr">
        <is>
          <t>sam_long</t>
        </is>
      </c>
      <c r="C231" t="inlineStr">
        <is>
          <t>khe_mot_nong_mot_vien</t>
        </is>
      </c>
      <c r="D231" t="inlineStr">
        <is>
          <t>s</t>
        </is>
      </c>
      <c r="E231" t="n">
        <v>3.115</v>
      </c>
      <c r="F231">
        <f>60/INDEX(Vu_khi!$BB$2:$BB$360,MATCH($B$231,Vu_khi!$A$2:$A$360,0))/IF(INDEX(Vu_khi!$BD$2:$BD$360,MATCH($B$231,Vu_khi!$A$2:$A$360,0))="gun",0.7,1)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R_balance;R_full_weapon_audit;W_wikipedia_buk_missile_system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sam_pac3/loi_no</t>
        </is>
      </c>
      <c r="B232" t="inlineStr">
        <is>
          <t>sam_pac3</t>
        </is>
      </c>
      <c r="C232" t="inlineStr">
        <is>
          <t>loi_m_tren_can_bac_ba_kg_dau_dan</t>
        </is>
      </c>
      <c r="D232" t="inlineStr">
        <is>
          <t>m/kg^(1/3)</t>
        </is>
      </c>
      <c r="E232">
        <f>INDEX(Vu_khi!$X$2:$X$360,MATCH($B$232,Vu_khi!$A$2:$A$360,0))</f>
        <v/>
      </c>
      <c r="F232">
        <f>POWER(INDEX(Vu_khi_tham_chieu!$AB$2:$AB$360,MATCH($B$232,Vu_khi_tham_chieu!$A$2:$A$360,0)),1/3)</f>
        <v/>
      </c>
      <c r="G232">
        <f>$E$232/$F$232</f>
        <v/>
      </c>
      <c r="H232" t="inlineStr"/>
      <c r="I232" t="inlineStr"/>
      <c r="J232" t="b">
        <v>0</v>
      </c>
      <c r="K232" t="inlineStr"/>
      <c r="L232">
        <f>IF(ISNUMBER($H$232),AND(NOT($J$232),OR($G$232&lt;$H$232,$G$232&gt;$I$232)),FALSE)</f>
        <v/>
      </c>
      <c r="M232" t="inlineStr"/>
      <c r="N232" t="inlineStr">
        <is>
          <t>R_full_weapon_audit</t>
        </is>
      </c>
      <c r="O232" t="inlineStr">
        <is>
          <t>lõi nổ / căn bậc ba khối lượng đầu đạn (đầu đạn thay cho thuốc nổ: repo không có khối lượng thuốc nổ)</t>
        </is>
      </c>
      <c r="P232" t="inlineStr">
        <is>
          <t>Tools/balance/full_weapon_audit.py WARHEAD</t>
        </is>
      </c>
      <c r="Q232" t="inlineStr"/>
    </row>
    <row r="233">
      <c r="A233" t="inlineStr">
        <is>
          <t>sam_pac3/nhip</t>
        </is>
      </c>
      <c r="B233" t="inlineStr">
        <is>
          <t>sam_pac3</t>
        </is>
      </c>
      <c r="C233" t="inlineStr">
        <is>
          <t>khe_mot_nong_mot_vien</t>
        </is>
      </c>
      <c r="D233" t="inlineStr">
        <is>
          <t>s</t>
        </is>
      </c>
      <c r="E233" t="n">
        <v>3.350001</v>
      </c>
      <c r="F233">
        <f>60/INDEX(Vu_khi!$BB$2:$BB$360,MATCH($B$233,Vu_khi!$A$2:$A$360,0))/IF(INDEX(Vu_khi!$BD$2:$BD$360,MATCH($B$233,Vu_khi!$A$2:$A$360,0))="gun",0.7,1)</f>
        <v/>
      </c>
      <c r="G233">
        <f>$E$233/$F$233</f>
        <v/>
      </c>
      <c r="H233" t="n">
        <v>0.6</v>
      </c>
      <c r="I233" t="n">
        <v>2</v>
      </c>
      <c r="J233" t="b">
        <v>0</v>
      </c>
      <c r="K233" t="inlineStr"/>
      <c r="L233">
        <f>IF(ISNUMBER($H$233),AND(NOT($J$233),OR($G$233&lt;$H$233,$G$233&gt;$I$233)),FALSE)</f>
        <v/>
      </c>
      <c r="M233" t="inlineStr"/>
      <c r="N233" t="inlineStr">
        <is>
          <t>R_balance;R_full_weapon_audit;W_wikipedia_mim_104_patriot;W_wikipedia_bai_cua_tung_ten_lua_bang_warhead;R_machine_brigade_can_bang</t>
        </is>
      </c>
      <c r="O2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3" t="inlineStr">
        <is>
          <t>Tools/balance/full_weapon_audit.py (bảng REAL) và 01_chien_dau/Vu_khi_suy_ra</t>
        </is>
      </c>
      <c r="Q233" t="inlineStr"/>
    </row>
    <row r="234">
      <c r="A234" t="inlineStr">
        <is>
          <t>sam_pac3/sat_thuong</t>
        </is>
      </c>
      <c r="B234" t="inlineStr">
        <is>
          <t>sam_pac3</t>
        </is>
      </c>
      <c r="C234" t="inlineStr">
        <is>
          <t>sat_thuong_tren_kg_dau_dan</t>
        </is>
      </c>
      <c r="D234" t="inlineStr">
        <is>
          <t>hp/kg</t>
        </is>
      </c>
      <c r="E234">
        <f>INDEX(Vu_khi!$W$2:$W$360,MATCH($B$234,Vu_khi!$A$2:$A$360,0))</f>
        <v/>
      </c>
      <c r="F234">
        <f>INDEX(Vu_khi_tham_chieu!$AB$2:$AB$360,MATCH($B$234,Vu_khi_tham_chieu!$A$2:$A$360,0))</f>
        <v/>
      </c>
      <c r="G234">
        <f>$E$234/$F$234</f>
        <v/>
      </c>
      <c r="H234" t="inlineStr"/>
      <c r="I234" t="inlineStr"/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R_full_weapon_audit</t>
        </is>
      </c>
      <c r="O234" t="inlineStr">
        <is>
          <t>sát thương một phát / khối lượng đầu đạn (không bắt buộc 1:1, chỉ ghi ty_le)</t>
        </is>
      </c>
      <c r="P234" t="inlineStr">
        <is>
          <t>Tools/balance/full_weapon_audit.py WARHEAD</t>
        </is>
      </c>
      <c r="Q234" t="inlineStr"/>
    </row>
    <row r="235">
      <c r="A235" t="inlineStr">
        <is>
          <t>sam_post/nhip</t>
        </is>
      </c>
      <c r="B235" t="inlineStr">
        <is>
          <t>sam_post</t>
        </is>
      </c>
      <c r="C235" t="inlineStr">
        <is>
          <t>khe_mot_nong_mot_vien</t>
        </is>
      </c>
      <c r="D235" t="inlineStr">
        <is>
          <t>s</t>
        </is>
      </c>
      <c r="E235" t="n">
        <v>2.2</v>
      </c>
      <c r="F235">
        <f>60/INDEX(Vu_khi!$BB$2:$BB$360,MATCH($B$235,Vu_khi!$A$2:$A$360,0))/IF(INDEX(Vu_khi!$BD$2:$BD$360,MATCH($B$235,Vu_khi!$A$2:$A$360,0))="gun",0.7,1)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>
        <is>
          <t>TC0064</t>
        </is>
      </c>
      <c r="N235" t="inlineStr">
        <is>
          <t>R_balance;R_full_weapon_audit;W_wikipedia_buk_missile_system;R_machine_brigade_can_bang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scout_rockets/nhip</t>
        </is>
      </c>
      <c r="B236" t="inlineStr">
        <is>
          <t>scout_rockets</t>
        </is>
      </c>
      <c r="C236" t="inlineStr">
        <is>
          <t>khe_mot_nong_mot_vien</t>
        </is>
      </c>
      <c r="D236" t="inlineStr">
        <is>
          <t>s</t>
        </is>
      </c>
      <c r="E236" t="n">
        <v>0.11</v>
      </c>
      <c r="F236">
        <f>60/INDEX(Vu_khi!$BB$2:$BB$360,MATCH($B$236,Vu_khi!$A$2:$A$360,0))/IF(INDEX(Vu_khi!$BD$2:$BD$360,MATCH($B$236,Vu_khi!$A$2:$A$360,0))="gun",0.7,1)</f>
        <v/>
      </c>
      <c r="G236">
        <f>$E$236/$F$236</f>
        <v/>
      </c>
      <c r="H236" t="n">
        <v>0.6</v>
      </c>
      <c r="I236" t="n">
        <v>2</v>
      </c>
      <c r="J236" t="b">
        <v>0</v>
      </c>
      <c r="K236" t="inlineStr"/>
      <c r="L236">
        <f>IF(ISNUMBER($H$236),AND(NOT($J$236),OR($G$236&lt;$H$236,$G$236&gt;$I$236)),FALSE)</f>
        <v/>
      </c>
      <c r="M236" t="inlineStr"/>
      <c r="N236" t="inlineStr">
        <is>
          <t>R_balance;R_full_weapon_audit;R_decisions;R_machine_brigade_can_bang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siege_gun_105/nhip</t>
        </is>
      </c>
      <c r="B237" t="inlineStr">
        <is>
          <t>siege_gun_105</t>
        </is>
      </c>
      <c r="C237" t="inlineStr">
        <is>
          <t>khe_mot_nong_mot_vien</t>
        </is>
      </c>
      <c r="D237" t="inlineStr">
        <is>
          <t>s</t>
        </is>
      </c>
      <c r="E237" t="n">
        <v>6.571002857</v>
      </c>
      <c r="F237">
        <f>60/INDEX(Vu_khi!$BB$2:$BB$360,MATCH($B$237,Vu_khi!$A$2:$A$360,0))/IF(INDEX(Vu_khi!$BD$2:$BD$360,MATCH($B$237,Vu_khi!$A$2:$A$360,0))="gun",0.7,1)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R_balance;R_full_weapon_audit;W_wikipedia_royal_ordnance_l7;R_machine_brigade_can_bang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siege_mortar_240/nhip</t>
        </is>
      </c>
      <c r="B238" t="inlineStr">
        <is>
          <t>siege_mortar_240</t>
        </is>
      </c>
      <c r="C238" t="inlineStr">
        <is>
          <t>khe_mot_nong_mot_vien</t>
        </is>
      </c>
      <c r="D238" t="inlineStr">
        <is>
          <t>s</t>
        </is>
      </c>
      <c r="E238" t="n">
        <v>13.741028571</v>
      </c>
      <c r="F238">
        <f>60/INDEX(Vu_khi!$BB$2:$BB$360,MATCH($B$238,Vu_khi!$A$2:$A$360,0))/IF(INDEX(Vu_khi!$BD$2:$BD$360,MATCH($B$238,Vu_khi!$A$2:$A$360,0))="gun",0.7,1)</f>
        <v/>
      </c>
      <c r="G238">
        <f>$E$238/$F$238</f>
        <v/>
      </c>
      <c r="H238" t="n">
        <v>0.6</v>
      </c>
      <c r="I238" t="n">
        <v>2</v>
      </c>
      <c r="J238" t="b">
        <v>0</v>
      </c>
      <c r="K238" t="inlineStr"/>
      <c r="L238">
        <f>IF(ISNUMBER($H$238),AND(NOT($J$238),OR($G$238&lt;$H$238,$G$238&gt;$I$238)),FALSE)</f>
        <v/>
      </c>
      <c r="M238" t="inlineStr">
        <is>
          <t>TC0065</t>
        </is>
      </c>
      <c r="N238" t="inlineStr">
        <is>
          <t>R_balance;R_full_weapon_audit;W_wikipedia_2s4_tyulpan;R_machine_brigade_can_bang</t>
        </is>
      </c>
      <c r="O2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8" t="inlineStr">
        <is>
          <t>Tools/balance/full_weapon_audit.py (bảng REAL) và 01_chien_dau/Vu_khi_suy_ra</t>
        </is>
      </c>
      <c r="Q238" t="inlineStr"/>
    </row>
    <row r="239">
      <c r="A239" t="inlineStr">
        <is>
          <t>spg9_73mm/nhip</t>
        </is>
      </c>
      <c r="B239" t="inlineStr">
        <is>
          <t>spg9_73mm</t>
        </is>
      </c>
      <c r="C239" t="inlineStr">
        <is>
          <t>khe_mot_nong_mot_vien</t>
        </is>
      </c>
      <c r="D239" t="inlineStr">
        <is>
          <t>s</t>
        </is>
      </c>
      <c r="E239" t="n">
        <v>9.529</v>
      </c>
      <c r="F239">
        <f>60/INDEX(Vu_khi!$BB$2:$BB$360,MATCH($B$239,Vu_khi!$A$2:$A$360,0))/IF(INDEX(Vu_khi!$BD$2:$BD$360,MATCH($B$239,Vu_khi!$A$2:$A$360,0))="gun",0.7,1)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R_balance;R_full_weapon_audit;W_wikipedia_spg_9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stealth_payload/nhip</t>
        </is>
      </c>
      <c r="B240" t="inlineStr">
        <is>
          <t>stealth_payload</t>
        </is>
      </c>
      <c r="C240" t="inlineStr">
        <is>
          <t>khe_mot_nong_mot_vien</t>
        </is>
      </c>
      <c r="D240" t="inlineStr">
        <is>
          <t>s</t>
        </is>
      </c>
      <c r="E240" t="n">
        <v>0.3</v>
      </c>
      <c r="F240">
        <f>60/INDEX(Vu_khi!$BB$2:$BB$360,MATCH($B$240,Vu_khi!$A$2:$A$360,0))/IF(INDEX(Vu_khi!$BD$2:$BD$360,MATCH($B$240,Vu_khi!$A$2:$A$360,0))="gun",0.7,1)</f>
        <v/>
      </c>
      <c r="G240">
        <f>$E$240/$F$240</f>
        <v/>
      </c>
      <c r="H240" t="n">
        <v>0.6</v>
      </c>
      <c r="I240" t="n">
        <v>2</v>
      </c>
      <c r="J240" t="b">
        <v>1</v>
      </c>
      <c r="K24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0">
        <f>IF(ISNUMBER($H$240),AND(NOT($J$240),OR($G$240&lt;$H$240,$G$240&gt;$I$240)),FALSE)</f>
        <v/>
      </c>
      <c r="M240" t="inlineStr"/>
      <c r="N240" t="inlineStr">
        <is>
          <t>R_balance;R_full_weapon_audit;R_machine_brigade_can_bang</t>
        </is>
      </c>
      <c r="O2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0" t="inlineStr">
        <is>
          <t>Tools/balance/full_weapon_audit.py (bảng REAL) và 01_chien_dau/Vu_khi_suy_ra</t>
        </is>
      </c>
      <c r="Q240" t="inlineStr"/>
    </row>
    <row r="241">
      <c r="A241" t="inlineStr">
        <is>
          <t>stinger_post/nhip</t>
        </is>
      </c>
      <c r="B241" t="inlineStr">
        <is>
          <t>stinger_post</t>
        </is>
      </c>
      <c r="C241" t="inlineStr">
        <is>
          <t>khe_mot_nong_mot_vien</t>
        </is>
      </c>
      <c r="D241" t="inlineStr">
        <is>
          <t>s</t>
        </is>
      </c>
      <c r="E241" t="n">
        <v>4.452</v>
      </c>
      <c r="F241">
        <f>60/INDEX(Vu_khi!$BB$2:$BB$360,MATCH($B$241,Vu_khi!$A$2:$A$360,0))/IF(INDEX(Vu_khi!$BD$2:$BD$360,MATCH($B$241,Vu_khi!$A$2:$A$360,0))="gun",0.7,1)</f>
        <v/>
      </c>
      <c r="G241">
        <f>$E$241/$F$241</f>
        <v/>
      </c>
      <c r="H241" t="n">
        <v>0.6</v>
      </c>
      <c r="I241" t="n">
        <v>2</v>
      </c>
      <c r="J241" t="b">
        <v>0</v>
      </c>
      <c r="K241" t="inlineStr"/>
      <c r="L241">
        <f>IF(ISNUMBER($H$241),AND(NOT($J$241),OR($G$241&lt;$H$241,$G$241&gt;$I$241)),FALSE)</f>
        <v/>
      </c>
      <c r="M241" t="inlineStr"/>
      <c r="N241" t="inlineStr">
        <is>
          <t>R_balance;R_full_weapon_audit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tamir/nhip</t>
        </is>
      </c>
      <c r="B242" t="inlineStr">
        <is>
          <t>tamir</t>
        </is>
      </c>
      <c r="C242" t="inlineStr">
        <is>
          <t>khe_mot_nong_mot_vien</t>
        </is>
      </c>
      <c r="D242" t="inlineStr">
        <is>
          <t>s</t>
        </is>
      </c>
      <c r="E242" t="n">
        <v>6.833333</v>
      </c>
      <c r="F242">
        <f>60/INDEX(Vu_khi!$BB$2:$BB$360,MATCH($B$242,Vu_khi!$A$2:$A$360,0))/IF(INDEX(Vu_khi!$BD$2:$BD$360,MATCH($B$242,Vu_khi!$A$2:$A$360,0))="gun",0.7,1)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>
        <is>
          <t>TC0066</t>
        </is>
      </c>
      <c r="N242" t="inlineStr">
        <is>
          <t>R_balance;R_full_weapon_audit;R_decisions;R_machine_brigade_can_bang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technical_rockets/nhip</t>
        </is>
      </c>
      <c r="B243" t="inlineStr">
        <is>
          <t>technical_rockets</t>
        </is>
      </c>
      <c r="C243" t="inlineStr">
        <is>
          <t>khe_mot_nong_mot_vien</t>
        </is>
      </c>
      <c r="D243" t="inlineStr">
        <is>
          <t>s</t>
        </is>
      </c>
      <c r="E243" t="n">
        <v>0.4999998</v>
      </c>
      <c r="F243">
        <f>60/INDEX(Vu_khi!$BB$2:$BB$360,MATCH($B$243,Vu_khi!$A$2:$A$360,0))/IF(INDEX(Vu_khi!$BD$2:$BD$360,MATCH($B$243,Vu_khi!$A$2:$A$360,0))="gun",0.7,1)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/>
      <c r="N243" t="inlineStr">
        <is>
          <t>R_balance;R_full_weapon_audit;W_wikipedia_type_63_mrl;R_machine_brigade_can_bang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thermobaric_rockets/nhip</t>
        </is>
      </c>
      <c r="B244" t="inlineStr">
        <is>
          <t>thermobaric_rockets</t>
        </is>
      </c>
      <c r="C244" t="inlineStr">
        <is>
          <t>khe_mot_nong_mot_vien</t>
        </is>
      </c>
      <c r="D244" t="inlineStr">
        <is>
          <t>s</t>
        </is>
      </c>
      <c r="E244" t="n">
        <v>0.3</v>
      </c>
      <c r="F244">
        <f>60/INDEX(Vu_khi!$BB$2:$BB$360,MATCH($B$244,Vu_khi!$A$2:$A$360,0))/IF(INDEX(Vu_khi!$BD$2:$BD$360,MATCH($B$244,Vu_khi!$A$2:$A$360,0))="gun",0.7,1)</f>
        <v/>
      </c>
      <c r="G244">
        <f>$E$244/$F$244</f>
        <v/>
      </c>
      <c r="H244" t="n">
        <v>0.6</v>
      </c>
      <c r="I244" t="n">
        <v>2</v>
      </c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R_balance;R_full_weapon_audit;W_wikipedia_tos_1;R_machine_brigade_can_bang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tower_ac25/nhip</t>
        </is>
      </c>
      <c r="B245" t="inlineStr">
        <is>
          <t>tower_ac25</t>
        </is>
      </c>
      <c r="C245" t="inlineStr">
        <is>
          <t>khe_mot_nong_mot_vien</t>
        </is>
      </c>
      <c r="D245" t="inlineStr">
        <is>
          <t>s</t>
        </is>
      </c>
      <c r="E245" t="n">
        <v>0.255</v>
      </c>
      <c r="F245">
        <f>60/INDEX(Vu_khi!$BB$2:$BB$360,MATCH($B$245,Vu_khi!$A$2:$A$360,0))/IF(INDEX(Vu_khi!$BD$2:$BD$360,MATCH($B$245,Vu_khi!$A$2:$A$360,0))="gun",0.7,1)</f>
        <v/>
      </c>
      <c r="G245">
        <f>$E$245/$F$245</f>
        <v/>
      </c>
      <c r="H245" t="n">
        <v>0.6</v>
      </c>
      <c r="I245" t="n">
        <v>2</v>
      </c>
      <c r="J245" t="b">
        <v>1</v>
      </c>
      <c r="K2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5">
        <f>IF(ISNUMBER($H$245),AND(NOT($J$245),OR($G$245&lt;$H$245,$G$245&gt;$I$245)),FALSE)</f>
        <v/>
      </c>
      <c r="M245" t="inlineStr"/>
      <c r="N245" t="inlineStr">
        <is>
          <t>R_balance;R_full_weapon_audit;W_wikipedia_m242_bushmaster;R_machine_brigade_can_bang</t>
        </is>
      </c>
      <c r="O2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5" t="inlineStr">
        <is>
          <t>Tools/balance/full_weapon_audit.py (bảng REAL) và 01_chien_dau/Vu_khi_suy_ra</t>
        </is>
      </c>
      <c r="Q245" t="inlineStr"/>
    </row>
    <row r="246">
      <c r="A246" t="inlineStr">
        <is>
          <t>tower_agl/nhip</t>
        </is>
      </c>
      <c r="B246" t="inlineStr">
        <is>
          <t>tower_agl</t>
        </is>
      </c>
      <c r="C246" t="inlineStr">
        <is>
          <t>khe_mot_nong_mot_vien</t>
        </is>
      </c>
      <c r="D246" t="inlineStr">
        <is>
          <t>s</t>
        </is>
      </c>
      <c r="E246" t="n">
        <v>0.88333328</v>
      </c>
      <c r="F246">
        <f>60/INDEX(Vu_khi!$BB$2:$BB$360,MATCH($B$246,Vu_khi!$A$2:$A$360,0))/IF(INDEX(Vu_khi!$BD$2:$BD$360,MATCH($B$246,Vu_khi!$A$2:$A$360,0))="gun",0.7,1)</f>
        <v/>
      </c>
      <c r="G246">
        <f>$E$246/$F$246</f>
        <v/>
      </c>
      <c r="H246" t="n">
        <v>0.6</v>
      </c>
      <c r="I246" t="n">
        <v>2</v>
      </c>
      <c r="J246" t="b">
        <v>1</v>
      </c>
      <c r="K2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6">
        <f>IF(ISNUMBER($H$246),AND(NOT($J$246),OR($G$246&lt;$H$246,$G$246&gt;$I$246)),FALSE)</f>
        <v/>
      </c>
      <c r="M246" t="inlineStr"/>
      <c r="N246" t="inlineStr">
        <is>
          <t>R_balance;R_full_weapon_audit;D_us_army_fm_3_22_27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tower_flak_30/nhip</t>
        </is>
      </c>
      <c r="B247" t="inlineStr">
        <is>
          <t>tower_flak_30</t>
        </is>
      </c>
      <c r="C247" t="inlineStr">
        <is>
          <t>khe_mot_nong_mot_vien</t>
        </is>
      </c>
      <c r="D247" t="inlineStr">
        <is>
          <t>s</t>
        </is>
      </c>
      <c r="E247" t="n">
        <v>0.107200008</v>
      </c>
      <c r="F247">
        <f>60/INDEX(Vu_khi!$BB$2:$BB$360,MATCH($B$247,Vu_khi!$A$2:$A$360,0))/IF(INDEX(Vu_khi!$BD$2:$BD$360,MATCH($B$247,Vu_khi!$A$2:$A$360,0))="gun",0.7,1)</f>
        <v/>
      </c>
      <c r="G247">
        <f>$E$247/$F$247</f>
        <v/>
      </c>
      <c r="H247" t="n">
        <v>0.6</v>
      </c>
      <c r="I247" t="n">
        <v>2</v>
      </c>
      <c r="J247" t="b">
        <v>1</v>
      </c>
      <c r="K24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7">
        <f>IF(ISNUMBER($H$247),AND(NOT($J$247),OR($G$247&lt;$H$247,$G$247&gt;$I$247)),FALSE)</f>
        <v/>
      </c>
      <c r="M247" t="inlineStr"/>
      <c r="N247" t="inlineStr">
        <is>
          <t>R_balance;R_full_weapon_audit;W_wikipedia_2a38;R_machine_brigade_can_bang</t>
        </is>
      </c>
      <c r="O2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7" t="inlineStr">
        <is>
          <t>Tools/balance/full_weapon_audit.py (bảng REAL) và 01_chien_dau/Vu_khi_suy_ra</t>
        </is>
      </c>
      <c r="Q247" t="inlineStr"/>
    </row>
    <row r="248">
      <c r="A248" t="inlineStr">
        <is>
          <t>tower_hmg/nhip</t>
        </is>
      </c>
      <c r="B248" t="inlineStr">
        <is>
          <t>tower_hmg</t>
        </is>
      </c>
      <c r="C248" t="inlineStr">
        <is>
          <t>khe_mot_nong_mot_vien</t>
        </is>
      </c>
      <c r="D248" t="inlineStr">
        <is>
          <t>s</t>
        </is>
      </c>
      <c r="E248" t="n">
        <v>0.125</v>
      </c>
      <c r="F248">
        <f>60/INDEX(Vu_khi!$BB$2:$BB$360,MATCH($B$248,Vu_khi!$A$2:$A$360,0))/IF(INDEX(Vu_khi!$BD$2:$BD$360,MATCH($B$248,Vu_khi!$A$2:$A$360,0))="gun",0.7,1)</f>
        <v/>
      </c>
      <c r="G248">
        <f>$E$248/$F$248</f>
        <v/>
      </c>
      <c r="H248" t="n">
        <v>0.6</v>
      </c>
      <c r="I248" t="n">
        <v>2</v>
      </c>
      <c r="J248" t="b">
        <v>0</v>
      </c>
      <c r="K248" t="inlineStr"/>
      <c r="L248">
        <f>IF(ISNUMBER($H$248),AND(NOT($J$248),OR($G$248&lt;$H$248,$G$248&gt;$I$248)),FALSE)</f>
        <v/>
      </c>
      <c r="M248" t="inlineStr"/>
      <c r="N248" t="inlineStr">
        <is>
          <t>R_balance;R_full_weapon_audit;D_us_army_fm_3_22_65;R_machine_brigade_can_bang</t>
        </is>
      </c>
      <c r="O2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8" t="inlineStr">
        <is>
          <t>Tools/balance/full_weapon_audit.py (bảng REAL) và 01_chien_dau/Vu_khi_suy_ra</t>
        </is>
      </c>
      <c r="Q248" t="inlineStr"/>
    </row>
    <row r="249">
      <c r="A249" t="inlineStr">
        <is>
          <t>tower_kornet/nhip</t>
        </is>
      </c>
      <c r="B249" t="inlineStr">
        <is>
          <t>tower_kornet</t>
        </is>
      </c>
      <c r="C249" t="inlineStr">
        <is>
          <t>khe_mot_nong_mot_vien</t>
        </is>
      </c>
      <c r="D249" t="inlineStr">
        <is>
          <t>s</t>
        </is>
      </c>
      <c r="E249" t="n">
        <v>5.55</v>
      </c>
      <c r="F249">
        <f>60/INDEX(Vu_khi!$BB$2:$BB$360,MATCH($B$249,Vu_khi!$A$2:$A$360,0))/IF(INDEX(Vu_khi!$BD$2:$BD$360,MATCH($B$249,Vu_khi!$A$2:$A$360,0))="gun",0.7,1)</f>
        <v/>
      </c>
      <c r="G249">
        <f>$E$249/$F$249</f>
        <v/>
      </c>
      <c r="H249" t="n">
        <v>0.6</v>
      </c>
      <c r="I249" t="n">
        <v>2</v>
      </c>
      <c r="J249" t="b">
        <v>0</v>
      </c>
      <c r="K249" t="inlineStr"/>
      <c r="L249">
        <f>IF(ISNUMBER($H$249),AND(NOT($J$249),OR($G$249&lt;$H$249,$G$249&gt;$I$249)),FALSE)</f>
        <v/>
      </c>
      <c r="M249" t="inlineStr">
        <is>
          <t>TC0067</t>
        </is>
      </c>
      <c r="N249" t="inlineStr">
        <is>
          <t>R_balance;R_full_weapon_audit;W_wikipedia_9m133_kornet;W_wikipedia_bai_cua_tung_ten_lua_bang_warhead;R_machine_brigade_can_bang</t>
        </is>
      </c>
      <c r="O2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9" t="inlineStr">
        <is>
          <t>Tools/balance/full_weapon_audit.py (bảng REAL) và 01_chien_dau/Vu_khi_suy_ra</t>
        </is>
      </c>
      <c r="Q249" t="inlineStr"/>
    </row>
    <row r="250">
      <c r="A250" t="inlineStr">
        <is>
          <t>tower_kornet/sat_thuong</t>
        </is>
      </c>
      <c r="B250" t="inlineStr">
        <is>
          <t>tower_kornet</t>
        </is>
      </c>
      <c r="C250" t="inlineStr">
        <is>
          <t>sat_thuong_tren_kg_dau_dan</t>
        </is>
      </c>
      <c r="D250" t="inlineStr">
        <is>
          <t>hp/kg</t>
        </is>
      </c>
      <c r="E250">
        <f>INDEX(Vu_khi!$W$2:$W$360,MATCH($B$250,Vu_khi!$A$2:$A$360,0))</f>
        <v/>
      </c>
      <c r="F250">
        <f>INDEX(Vu_khi_tham_chieu!$AB$2:$AB$360,MATCH($B$250,Vu_khi_tham_chieu!$A$2:$A$360,0))</f>
        <v/>
      </c>
      <c r="G250">
        <f>$E$250/$F$250</f>
        <v/>
      </c>
      <c r="H250" t="inlineStr"/>
      <c r="I250" t="inlineStr"/>
      <c r="J250" t="b">
        <v>0</v>
      </c>
      <c r="K250" t="inlineStr"/>
      <c r="L250">
        <f>IF(ISNUMBER($H$250),AND(NOT($J$250),OR($G$250&lt;$H$250,$G$250&gt;$I$250)),FALSE)</f>
        <v/>
      </c>
      <c r="M250" t="inlineStr"/>
      <c r="N250" t="inlineStr">
        <is>
          <t>R_full_weapon_audit</t>
        </is>
      </c>
      <c r="O250" t="inlineStr">
        <is>
          <t>sát thương một phát / khối lượng đầu đạn (không bắt buộc 1:1, chỉ ghi ty_le)</t>
        </is>
      </c>
      <c r="P250" t="inlineStr">
        <is>
          <t>Tools/balance/full_weapon_audit.py WARHEAD</t>
        </is>
      </c>
      <c r="Q250" t="inlineStr"/>
    </row>
    <row r="251">
      <c r="A251" t="inlineStr">
        <is>
          <t>train_gun/nhip</t>
        </is>
      </c>
      <c r="B251" t="inlineStr">
        <is>
          <t>train_gun</t>
        </is>
      </c>
      <c r="C251" t="inlineStr">
        <is>
          <t>khe_mot_nong_mot_vien</t>
        </is>
      </c>
      <c r="D251" t="inlineStr">
        <is>
          <t>s</t>
        </is>
      </c>
      <c r="E251" t="n">
        <v>8</v>
      </c>
      <c r="F251">
        <f>60/INDEX(Vu_khi!$BB$2:$BB$360,MATCH($B$251,Vu_khi!$A$2:$A$360,0))/IF(INDEX(Vu_khi!$BD$2:$BD$360,MATCH($B$251,Vu_khi!$A$2:$A$360,0))="gun",0.7,1)</f>
        <v/>
      </c>
      <c r="G251">
        <f>$E$251/$F$251</f>
        <v/>
      </c>
      <c r="H251" t="n">
        <v>0.6</v>
      </c>
      <c r="I251" t="n">
        <v>2</v>
      </c>
      <c r="J251" t="b">
        <v>0</v>
      </c>
      <c r="K251" t="inlineStr"/>
      <c r="L251">
        <f>IF(ISNUMBER($H$251),AND(NOT($J$251),OR($G$251&lt;$H$251,$G$251&gt;$I$251)),FALSE)</f>
        <v/>
      </c>
      <c r="M251" t="inlineStr"/>
      <c r="N251" t="inlineStr">
        <is>
          <t>R_balance;R_full_weapon_audit;W_wikipedia_15_2_cm_57_b_38</t>
        </is>
      </c>
      <c r="O2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1" t="inlineStr">
        <is>
          <t>Tools/balance/full_weapon_audit.py (bảng REAL) và 01_chien_dau/Vu_khi_suy_ra</t>
        </is>
      </c>
      <c r="Q251" t="inlineStr"/>
    </row>
    <row r="252">
      <c r="A252" t="inlineStr">
        <is>
          <t>train_mortar/nhip</t>
        </is>
      </c>
      <c r="B252" t="inlineStr">
        <is>
          <t>train_mortar</t>
        </is>
      </c>
      <c r="C252" t="inlineStr">
        <is>
          <t>khe_mot_nong_mot_vien</t>
        </is>
      </c>
      <c r="D252" t="inlineStr">
        <is>
          <t>s</t>
        </is>
      </c>
      <c r="E252" t="n">
        <v>8.300000000000001</v>
      </c>
      <c r="F252">
        <f>60/INDEX(Vu_khi!$BB$2:$BB$360,MATCH($B$252,Vu_khi!$A$2:$A$360,0))/IF(INDEX(Vu_khi!$BD$2:$BD$360,MATCH($B$252,Vu_khi!$A$2:$A$360,0))="gun",0.7,1)</f>
        <v/>
      </c>
      <c r="G252">
        <f>$E$252/$F$252</f>
        <v/>
      </c>
      <c r="H252" t="n">
        <v>0.6</v>
      </c>
      <c r="I252" t="n">
        <v>2</v>
      </c>
      <c r="J252" t="b">
        <v>0</v>
      </c>
      <c r="K252" t="inlineStr"/>
      <c r="L252">
        <f>IF(ISNUMBER($H$252),AND(NOT($J$252),OR($G$252&lt;$H$252,$G$252&gt;$I$252)),FALSE)</f>
        <v/>
      </c>
      <c r="M252" t="inlineStr"/>
      <c r="N252" t="inlineStr">
        <is>
          <t>R_balance;R_full_weapon_audit;W_wikipedia_2b11</t>
        </is>
      </c>
      <c r="O2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2" t="inlineStr">
        <is>
          <t>Tools/balance/full_weapon_audit.py (bảng REAL) và 01_chien_dau/Vu_khi_suy_ra</t>
        </is>
      </c>
      <c r="Q252" t="inlineStr"/>
    </row>
    <row r="253">
      <c r="A253" t="inlineStr">
        <is>
          <t>turret_gmlrs/nhip</t>
        </is>
      </c>
      <c r="B253" t="inlineStr">
        <is>
          <t>turret_gmlrs</t>
        </is>
      </c>
      <c r="C253" t="inlineStr">
        <is>
          <t>khe_mot_nong_mot_vien</t>
        </is>
      </c>
      <c r="D253" t="inlineStr">
        <is>
          <t>s</t>
        </is>
      </c>
      <c r="E253" t="n">
        <v>0.5</v>
      </c>
      <c r="F253">
        <f>60/INDEX(Vu_khi!$BB$2:$BB$360,MATCH($B$253,Vu_khi!$A$2:$A$360,0))/IF(INDEX(Vu_khi!$BD$2:$BD$360,MATCH($B$253,Vu_khi!$A$2:$A$360,0))="gun",0.7,1)</f>
        <v/>
      </c>
      <c r="G253">
        <f>$E$253/$F$253</f>
        <v/>
      </c>
      <c r="H253" t="n">
        <v>0.6</v>
      </c>
      <c r="I253" t="n">
        <v>2</v>
      </c>
      <c r="J253" t="b">
        <v>0</v>
      </c>
      <c r="K253" t="inlineStr"/>
      <c r="L253">
        <f>IF(ISNUMBER($H$253),AND(NOT($J$253),OR($G$253&lt;$H$253,$G$253&gt;$I$253)),FALSE)</f>
        <v/>
      </c>
      <c r="M253" t="inlineStr">
        <is>
          <t>TC0068</t>
        </is>
      </c>
      <c r="N253" t="inlineStr">
        <is>
          <t>R_balance;R_full_weapon_audit;W_wikipedia_m270_mlrs;R_machine_brigade_can_bang</t>
        </is>
      </c>
      <c r="O2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3" t="inlineStr">
        <is>
          <t>Tools/balance/full_weapon_audit.py (bảng REAL) và 01_chien_dau/Vu_khi_suy_ra</t>
        </is>
      </c>
      <c r="Q253" t="inlineStr"/>
    </row>
    <row r="254">
      <c r="A254" t="inlineStr">
        <is>
          <t>turret_gun_120/nhip</t>
        </is>
      </c>
      <c r="B254" t="inlineStr">
        <is>
          <t>turret_gun_120</t>
        </is>
      </c>
      <c r="C254" t="inlineStr">
        <is>
          <t>khe_mot_nong_mot_vien</t>
        </is>
      </c>
      <c r="D254" t="inlineStr">
        <is>
          <t>s</t>
        </is>
      </c>
      <c r="E254" t="n">
        <v>4.113996429</v>
      </c>
      <c r="F254">
        <f>60/INDEX(Vu_khi!$BB$2:$BB$360,MATCH($B$254,Vu_khi!$A$2:$A$360,0))/IF(INDEX(Vu_khi!$BD$2:$BD$360,MATCH($B$254,Vu_khi!$A$2:$A$360,0))="gun",0.7,1)</f>
        <v/>
      </c>
      <c r="G254">
        <f>$E$254/$F$254</f>
        <v/>
      </c>
      <c r="H254" t="n">
        <v>0.6</v>
      </c>
      <c r="I254" t="n">
        <v>2</v>
      </c>
      <c r="J254" t="b">
        <v>0</v>
      </c>
      <c r="K254" t="inlineStr"/>
      <c r="L254">
        <f>IF(ISNUMBER($H$254),AND(NOT($J$254),OR($G$254&lt;$H$254,$G$254&gt;$I$254)),FALSE)</f>
        <v/>
      </c>
      <c r="M254" t="inlineStr">
        <is>
          <t>TC0069</t>
        </is>
      </c>
      <c r="N254" t="inlineStr">
        <is>
          <t>R_balance;R_full_weapon_audit;W_wikipedia_rheinmetall_120_mm_gun;R_machine_brigade_can_bang</t>
        </is>
      </c>
      <c r="O2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4" t="inlineStr">
        <is>
          <t>Tools/balance/full_weapon_audit.py (bảng REAL) và 01_chien_dau/Vu_khi_suy_ra</t>
        </is>
      </c>
      <c r="Q254" t="inlineStr"/>
    </row>
    <row r="255">
      <c r="A255" t="inlineStr">
        <is>
          <t>turret_gun_120_auto/nhip</t>
        </is>
      </c>
      <c r="B255" t="inlineStr">
        <is>
          <t>turret_gun_120_auto</t>
        </is>
      </c>
      <c r="C255" t="inlineStr">
        <is>
          <t>khe_mot_nong_mot_vien</t>
        </is>
      </c>
      <c r="D255" t="inlineStr">
        <is>
          <t>s</t>
        </is>
      </c>
      <c r="E255" t="n">
        <v>3.614003571</v>
      </c>
      <c r="F255">
        <f>60/INDEX(Vu_khi!$BB$2:$BB$360,MATCH($B$255,Vu_khi!$A$2:$A$360,0))/IF(INDEX(Vu_khi!$BD$2:$BD$360,MATCH($B$255,Vu_khi!$A$2:$A$360,0))="gun",0.7,1)</f>
        <v/>
      </c>
      <c r="G255">
        <f>$E$255/$F$255</f>
        <v/>
      </c>
      <c r="H255" t="n">
        <v>0.6</v>
      </c>
      <c r="I255" t="n">
        <v>2</v>
      </c>
      <c r="J255" t="b">
        <v>0</v>
      </c>
      <c r="K255" t="inlineStr"/>
      <c r="L255">
        <f>IF(ISNUMBER($H$255),AND(NOT($J$255),OR($G$255&lt;$H$255,$G$255&gt;$I$255)),FALSE)</f>
        <v/>
      </c>
      <c r="M255" t="inlineStr">
        <is>
          <t>TC0070</t>
        </is>
      </c>
      <c r="N255" t="inlineStr">
        <is>
          <t>R_balance;R_full_weapon_audit;W_wikipedia_rheinmetall_120_mm_gun;R_machine_brigade_can_bang</t>
        </is>
      </c>
      <c r="O2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5" t="inlineStr">
        <is>
          <t>Tools/balance/full_weapon_audit.py (bảng REAL) và 01_chien_dau/Vu_khi_suy_ra</t>
        </is>
      </c>
      <c r="Q255" t="inlineStr"/>
    </row>
    <row r="256">
      <c r="A256" t="inlineStr">
        <is>
          <t>turret_gun_120_long/nhip</t>
        </is>
      </c>
      <c r="B256" t="inlineStr">
        <is>
          <t>turret_gun_120_long</t>
        </is>
      </c>
      <c r="C256" t="inlineStr">
        <is>
          <t>khe_mot_nong_mot_vien</t>
        </is>
      </c>
      <c r="D256" t="inlineStr">
        <is>
          <t>s</t>
        </is>
      </c>
      <c r="E256" t="n">
        <v>5.571</v>
      </c>
      <c r="F256">
        <f>60/INDEX(Vu_khi!$BB$2:$BB$360,MATCH($B$256,Vu_khi!$A$2:$A$360,0))/IF(INDEX(Vu_khi!$BD$2:$BD$360,MATCH($B$256,Vu_khi!$A$2:$A$360,0))="gun",0.7,1)</f>
        <v/>
      </c>
      <c r="G256">
        <f>$E$256/$F$256</f>
        <v/>
      </c>
      <c r="H256" t="n">
        <v>0.6</v>
      </c>
      <c r="I256" t="n">
        <v>2</v>
      </c>
      <c r="J256" t="b">
        <v>0</v>
      </c>
      <c r="K256" t="inlineStr"/>
      <c r="L256">
        <f>IF(ISNUMBER($H$256),AND(NOT($J$256),OR($G$256&lt;$H$256,$G$256&gt;$I$256)),FALSE)</f>
        <v/>
      </c>
      <c r="M256" t="inlineStr">
        <is>
          <t>TC0071</t>
        </is>
      </c>
      <c r="N256" t="inlineStr">
        <is>
          <t>R_balance;R_full_weapon_audit;W_wikipedia_rheinmetall_120_mm_gun;R_machine_brigade_can_bang</t>
        </is>
      </c>
      <c r="O2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6" t="inlineStr">
        <is>
          <t>Tools/balance/full_weapon_audit.py (bảng REAL) và 01_chien_dau/Vu_khi_suy_ra</t>
        </is>
      </c>
      <c r="Q256" t="inlineStr"/>
    </row>
    <row r="257">
      <c r="A257" t="inlineStr">
        <is>
          <t>turret_rockets/nhip</t>
        </is>
      </c>
      <c r="B257" t="inlineStr">
        <is>
          <t>turret_rockets</t>
        </is>
      </c>
      <c r="C257" t="inlineStr">
        <is>
          <t>khe_mot_nong_mot_vien</t>
        </is>
      </c>
      <c r="D257" t="inlineStr">
        <is>
          <t>s</t>
        </is>
      </c>
      <c r="E257" t="n">
        <v>0.5</v>
      </c>
      <c r="F257">
        <f>60/INDEX(Vu_khi!$BB$2:$BB$360,MATCH($B$257,Vu_khi!$A$2:$A$360,0))/IF(INDEX(Vu_khi!$BD$2:$BD$360,MATCH($B$257,Vu_khi!$A$2:$A$360,0))="gun",0.7,1)</f>
        <v/>
      </c>
      <c r="G257">
        <f>$E$257/$F$257</f>
        <v/>
      </c>
      <c r="H257" t="n">
        <v>0.6</v>
      </c>
      <c r="I257" t="n">
        <v>2</v>
      </c>
      <c r="J257" t="b">
        <v>0</v>
      </c>
      <c r="K257" t="inlineStr"/>
      <c r="L257">
        <f>IF(ISNUMBER($H$257),AND(NOT($J$257),OR($G$257&lt;$H$257,$G$257&gt;$I$257)),FALSE)</f>
        <v/>
      </c>
      <c r="M257" t="inlineStr"/>
      <c r="N257" t="inlineStr">
        <is>
          <t>R_balance;R_full_weapon_audit;W_wikipedia_bm_21_grad;R_machine_brigade_can_bang</t>
        </is>
      </c>
      <c r="O2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7" t="inlineStr">
        <is>
          <t>Tools/balance/full_weapon_audit.py (bảng REAL) và 01_chien_dau/Vu_khi_suy_ra</t>
        </is>
      </c>
      <c r="Q257" t="inlineStr"/>
    </row>
    <row r="258">
      <c r="A258" t="inlineStr">
        <is>
          <t>turret_rockets_cluster/nhip</t>
        </is>
      </c>
      <c r="B258" t="inlineStr">
        <is>
          <t>turret_rockets_cluster</t>
        </is>
      </c>
      <c r="C258" t="inlineStr">
        <is>
          <t>khe_mot_nong_mot_vien</t>
        </is>
      </c>
      <c r="D258" t="inlineStr">
        <is>
          <t>s</t>
        </is>
      </c>
      <c r="E258" t="n">
        <v>0.5</v>
      </c>
      <c r="F258">
        <f>60/INDEX(Vu_khi!$BB$2:$BB$360,MATCH($B$258,Vu_khi!$A$2:$A$360,0))/IF(INDEX(Vu_khi!$BD$2:$BD$360,MATCH($B$258,Vu_khi!$A$2:$A$360,0))="gun",0.7,1)</f>
        <v/>
      </c>
      <c r="G258">
        <f>$E$258/$F$258</f>
        <v/>
      </c>
      <c r="H258" t="n">
        <v>0.6</v>
      </c>
      <c r="I258" t="n">
        <v>2</v>
      </c>
      <c r="J258" t="b">
        <v>0</v>
      </c>
      <c r="K258" t="inlineStr"/>
      <c r="L258">
        <f>IF(ISNUMBER($H$258),AND(NOT($J$258),OR($G$258&lt;$H$258,$G$258&gt;$I$258)),FALSE)</f>
        <v/>
      </c>
      <c r="M258" t="inlineStr"/>
      <c r="N258" t="inlineStr">
        <is>
          <t>R_balance;R_full_weapon_audit;W_wikipedia_bm_21_grad;R_machine_brigade_can_bang</t>
        </is>
      </c>
      <c r="O2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8" t="inlineStr">
        <is>
          <t>Tools/balance/full_weapon_audit.py (bảng REAL) và 01_chien_dau/Vu_khi_suy_ra</t>
        </is>
      </c>
      <c r="Q258" t="inlineStr"/>
    </row>
    <row r="259">
      <c r="A259" t="inlineStr">
        <is>
          <t>turret_thermobaric/nhip</t>
        </is>
      </c>
      <c r="B259" t="inlineStr">
        <is>
          <t>turret_thermobaric</t>
        </is>
      </c>
      <c r="C259" t="inlineStr">
        <is>
          <t>khe_mot_nong_mot_vien</t>
        </is>
      </c>
      <c r="D259" t="inlineStr">
        <is>
          <t>s</t>
        </is>
      </c>
      <c r="E259" t="n">
        <v>0.12</v>
      </c>
      <c r="F259">
        <f>60/INDEX(Vu_khi!$BB$2:$BB$360,MATCH($B$259,Vu_khi!$A$2:$A$360,0))/IF(INDEX(Vu_khi!$BD$2:$BD$360,MATCH($B$259,Vu_khi!$A$2:$A$360,0))="gun",0.7,1)</f>
        <v/>
      </c>
      <c r="G259">
        <f>$E$259/$F$259</f>
        <v/>
      </c>
      <c r="H259" t="n">
        <v>0.6</v>
      </c>
      <c r="I259" t="n">
        <v>2</v>
      </c>
      <c r="J259" t="b">
        <v>0</v>
      </c>
      <c r="K259" t="inlineStr"/>
      <c r="L259">
        <f>IF(ISNUMBER($H$259),AND(NOT($J$259),OR($G$259&lt;$H$259,$G$259&gt;$I$259)),FALSE)</f>
        <v/>
      </c>
      <c r="M259" t="inlineStr">
        <is>
          <t>TC0072</t>
        </is>
      </c>
      <c r="N259" t="inlineStr">
        <is>
          <t>R_balance;R_full_weapon_audit;W_wikipedia_bm_21_grad</t>
        </is>
      </c>
      <c r="O2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9" t="inlineStr">
        <is>
          <t>Tools/balance/full_weapon_audit.py (bảng REAL) và 01_chien_dau/Vu_khi_suy_ra</t>
        </is>
      </c>
      <c r="Q259" t="inlineStr"/>
    </row>
    <row r="260">
      <c r="A260" t="inlineStr">
        <is>
          <t>twin_30_bmpt/nhip</t>
        </is>
      </c>
      <c r="B260" t="inlineStr">
        <is>
          <t>twin_30_bmpt</t>
        </is>
      </c>
      <c r="C260" t="inlineStr">
        <is>
          <t>khe_mot_nong_mot_vien</t>
        </is>
      </c>
      <c r="D260" t="inlineStr">
        <is>
          <t>s</t>
        </is>
      </c>
      <c r="E260" t="n">
        <v>0.416600025</v>
      </c>
      <c r="F260">
        <f>60/INDEX(Vu_khi!$BB$2:$BB$360,MATCH($B$260,Vu_khi!$A$2:$A$360,0))/IF(INDEX(Vu_khi!$BD$2:$BD$360,MATCH($B$260,Vu_khi!$A$2:$A$360,0))="gun",0.7,1)</f>
        <v/>
      </c>
      <c r="G260">
        <f>$E$260/$F$260</f>
        <v/>
      </c>
      <c r="H260" t="n">
        <v>0.6</v>
      </c>
      <c r="I260" t="n">
        <v>2</v>
      </c>
      <c r="J260" t="b">
        <v>0</v>
      </c>
      <c r="K260" t="inlineStr"/>
      <c r="L260">
        <f>IF(ISNUMBER($H$260),AND(NOT($J$260),OR($G$260&lt;$H$260,$G$260&gt;$I$260)),FALSE)</f>
        <v/>
      </c>
      <c r="M260" t="inlineStr">
        <is>
          <t>TC0073</t>
        </is>
      </c>
      <c r="N260" t="inlineStr">
        <is>
          <t>R_balance;R_full_weapon_audit;W_wikipedia_2a42;R_machine_brigade_can_bang</t>
        </is>
      </c>
      <c r="O2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0" t="inlineStr">
        <is>
          <t>Tools/balance/full_weapon_audit.py (bảng REAL) và 01_chien_dau/Vu_khi_suy_ra</t>
        </is>
      </c>
      <c r="Q260" t="inlineStr"/>
    </row>
    <row r="261">
      <c r="A261" t="inlineStr">
        <is>
          <t>twin_30_flak/nhip</t>
        </is>
      </c>
      <c r="B261" t="inlineStr">
        <is>
          <t>twin_30_flak</t>
        </is>
      </c>
      <c r="C261" t="inlineStr">
        <is>
          <t>khe_mot_nong_mot_vien</t>
        </is>
      </c>
      <c r="D261" t="inlineStr">
        <is>
          <t>s</t>
        </is>
      </c>
      <c r="E261" t="n">
        <v>0.087499992</v>
      </c>
      <c r="F261">
        <f>60/INDEX(Vu_khi!$BB$2:$BB$360,MATCH($B$261,Vu_khi!$A$2:$A$360,0))/IF(INDEX(Vu_khi!$BD$2:$BD$360,MATCH($B$261,Vu_khi!$A$2:$A$360,0))="gun",0.7,1)</f>
        <v/>
      </c>
      <c r="G261">
        <f>$E$261/$F$261</f>
        <v/>
      </c>
      <c r="H261" t="n">
        <v>0.6</v>
      </c>
      <c r="I261" t="n">
        <v>2</v>
      </c>
      <c r="J261" t="b">
        <v>1</v>
      </c>
      <c r="K26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1">
        <f>IF(ISNUMBER($H$261),AND(NOT($J$261),OR($G$261&lt;$H$261,$G$261&gt;$I$261)),FALSE)</f>
        <v/>
      </c>
      <c r="M261" t="inlineStr"/>
      <c r="N261" t="inlineStr">
        <is>
          <t>R_balance;R_full_weapon_audit;W_wikipedia_2a38;R_machine_brigade_can_bang</t>
        </is>
      </c>
      <c r="O2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1" t="inlineStr">
        <is>
          <t>Tools/balance/full_weapon_audit.py (bảng REAL) và 01_chien_dau/Vu_khi_suy_ra</t>
        </is>
      </c>
      <c r="Q261" t="inlineStr"/>
    </row>
    <row r="262">
      <c r="A262" t="inlineStr">
        <is>
          <t>twin_35_ahead/nhip</t>
        </is>
      </c>
      <c r="B262" t="inlineStr">
        <is>
          <t>twin_35_ahead</t>
        </is>
      </c>
      <c r="C262" t="inlineStr">
        <is>
          <t>khe_mot_nong_mot_vien</t>
        </is>
      </c>
      <c r="D262" t="inlineStr">
        <is>
          <t>s</t>
        </is>
      </c>
      <c r="E262" t="n">
        <v>0.25536666</v>
      </c>
      <c r="F262">
        <f>60/INDEX(Vu_khi!$BB$2:$BB$360,MATCH($B$262,Vu_khi!$A$2:$A$360,0))/IF(INDEX(Vu_khi!$BD$2:$BD$360,MATCH($B$262,Vu_khi!$A$2:$A$360,0))="gun",0.7,1)</f>
        <v/>
      </c>
      <c r="G262">
        <f>$E$262/$F$262</f>
        <v/>
      </c>
      <c r="H262" t="n">
        <v>0.6</v>
      </c>
      <c r="I262" t="n">
        <v>2</v>
      </c>
      <c r="J262" t="b">
        <v>1</v>
      </c>
      <c r="K26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2">
        <f>IF(ISNUMBER($H$262),AND(NOT($J$262),OR($G$262&lt;$H$262,$G$262&gt;$I$262)),FALSE)</f>
        <v/>
      </c>
      <c r="M262" t="inlineStr"/>
      <c r="N262" t="inlineStr">
        <is>
          <t>R_balance;R_full_weapon_audit;D_rheinmetall_skyranger_30_35;R_machine_brigade_can_bang</t>
        </is>
      </c>
      <c r="O2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2" t="inlineStr">
        <is>
          <t>Tools/balance/full_weapon_audit.py (bảng REAL) và 01_chien_dau/Vu_khi_suy_ra</t>
        </is>
      </c>
      <c r="Q262" t="inlineStr"/>
    </row>
    <row r="263">
      <c r="A263" t="inlineStr">
        <is>
          <t>vikhr/sat_thuong</t>
        </is>
      </c>
      <c r="B263" t="inlineStr">
        <is>
          <t>vikhr</t>
        </is>
      </c>
      <c r="C263" t="inlineStr">
        <is>
          <t>sat_thuong_tren_kg_dau_dan</t>
        </is>
      </c>
      <c r="D263" t="inlineStr">
        <is>
          <t>hp/kg</t>
        </is>
      </c>
      <c r="E263">
        <f>INDEX(Vu_khi!$W$2:$W$360,MATCH($B$263,Vu_khi!$A$2:$A$360,0))</f>
        <v/>
      </c>
      <c r="F263">
        <f>INDEX(Vu_khi_tham_chieu!$AB$2:$AB$360,MATCH($B$263,Vu_khi_tham_chieu!$A$2:$A$360,0))</f>
        <v/>
      </c>
      <c r="G263">
        <f>$E$263/$F$263</f>
        <v/>
      </c>
      <c r="H263" t="inlineStr"/>
      <c r="I263" t="inlineStr"/>
      <c r="J263" t="b">
        <v>0</v>
      </c>
      <c r="K263" t="inlineStr"/>
      <c r="L263">
        <f>IF(ISNUMBER($H$263),AND(NOT($J$263),OR($G$263&lt;$H$263,$G$263&gt;$I$263)),FALSE)</f>
        <v/>
      </c>
      <c r="M263" t="inlineStr"/>
      <c r="N263" t="inlineStr">
        <is>
          <t>R_full_weapon_audit</t>
        </is>
      </c>
      <c r="O263" t="inlineStr">
        <is>
          <t>sát thương một phát / khối lượng đầu đạn (không bắt buộc 1:1, chỉ ghi ty_le)</t>
        </is>
      </c>
      <c r="P263" t="inlineStr">
        <is>
          <t>Tools/balance/full_weapon_audit.py WARHEAD</t>
        </is>
      </c>
      <c r="Q263" t="inlineStr"/>
    </row>
    <row r="264">
      <c r="A264" t="inlineStr">
        <is>
          <t>zu23/nhip</t>
        </is>
      </c>
      <c r="B264" t="inlineStr">
        <is>
          <t>zu23</t>
        </is>
      </c>
      <c r="C264" t="inlineStr">
        <is>
          <t>khe_mot_nong_mot_vien</t>
        </is>
      </c>
      <c r="D264" t="inlineStr">
        <is>
          <t>s</t>
        </is>
      </c>
      <c r="E264" t="n">
        <v>0.10000002</v>
      </c>
      <c r="F264">
        <f>60/INDEX(Vu_khi!$BB$2:$BB$360,MATCH($B$264,Vu_khi!$A$2:$A$360,0))/IF(INDEX(Vu_khi!$BD$2:$BD$360,MATCH($B$264,Vu_khi!$A$2:$A$360,0))="gun",0.7,1)</f>
        <v/>
      </c>
      <c r="G264">
        <f>$E$264/$F$264</f>
        <v/>
      </c>
      <c r="H264" t="n">
        <v>0.6</v>
      </c>
      <c r="I264" t="n">
        <v>2</v>
      </c>
      <c r="J264" t="b">
        <v>0</v>
      </c>
      <c r="K264" t="inlineStr"/>
      <c r="L264">
        <f>IF(ISNUMBER($H$264),AND(NOT($J$264),OR($G$264&lt;$H$264,$G$264&gt;$I$264)),FALSE)</f>
        <v/>
      </c>
      <c r="M264" t="inlineStr"/>
      <c r="N264" t="inlineStr">
        <is>
          <t>R_balance;R_full_weapon_audit;W_wikipedia_zu_23_2;R_machine_brigade_can_bang</t>
        </is>
      </c>
      <c r="O2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4" t="inlineStr">
        <is>
          <t>Tools/balance/full_weapon_audit.py (bảng REAL) và 01_chien_dau/Vu_khi_suy_ra</t>
        </is>
      </c>
      <c r="Q264" t="inlineStr"/>
    </row>
  </sheetData>
  <autoFilter ref="A1:Q26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16" customWidth="1" min="65" max="65"/>
    <col width="52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9" customWidth="1" min="96" max="96"/>
    <col width="15" customWidth="1" min="97" max="97"/>
    <col width="17" customWidth="1" min="98" max="98"/>
    <col width="8" customWidth="1" min="99" max="99"/>
    <col width="14" customWidth="1" min="100" max="100"/>
    <col width="8" customWidth="1" min="101" max="101"/>
    <col width="18" customWidth="1" min="102" max="102"/>
    <col width="15" customWidth="1" min="103" max="103"/>
    <col width="20" customWidth="1" min="104" max="104"/>
    <col width="12" customWidth="1" min="105" max="105"/>
    <col width="8" customWidth="1" min="106" max="106"/>
    <col width="14" customWidth="1" min="107" max="107"/>
    <col width="8" customWidth="1" min="108" max="108"/>
    <col width="12" customWidth="1" min="109" max="109"/>
    <col width="13" customWidth="1" min="110" max="110"/>
    <col width="8" customWidth="1" min="111" max="111"/>
    <col width="10" customWidth="1" min="112" max="112"/>
    <col width="10" customWidth="1" min="113" max="113"/>
    <col width="18" customWidth="1" min="114" max="114"/>
    <col width="13" customWidth="1" min="115" max="115"/>
    <col width="17" customWidth="1" min="116" max="116"/>
    <col width="10" customWidth="1" min="117" max="117"/>
    <col width="11" customWidth="1" min="118" max="118"/>
    <col width="8" customWidth="1" min="119" max="119"/>
    <col width="15" customWidth="1" min="120" max="120"/>
    <col width="14" customWidth="1" min="121" max="121"/>
    <col width="12" customWidth="1" min="122" max="122"/>
    <col width="12" customWidth="1" min="123" max="123"/>
    <col width="14" customWidth="1" min="124" max="124"/>
    <col width="18" customWidth="1" min="125" max="125"/>
    <col width="11" customWidth="1" min="126" max="126"/>
    <col width="16" customWidth="1" min="127" max="127"/>
    <col width="12" customWidth="1" min="128" max="128"/>
    <col width="15" customWidth="1" min="129" max="129"/>
    <col width="30" customWidth="1" min="130" max="130"/>
    <col width="21" customWidth="1" min="131" max="131"/>
    <col width="21" customWidth="1" min="132" max="132"/>
    <col width="20" customWidth="1" min="133" max="133"/>
    <col width="18" customWidth="1" min="134" max="134"/>
    <col width="17" customWidth="1" min="135" max="135"/>
    <col width="14" customWidth="1" min="136" max="136"/>
    <col width="12" customWidth="1" min="137" max="137"/>
    <col width="15" customWidth="1" min="138" max="138"/>
    <col width="8" customWidth="1" min="139" max="139"/>
    <col width="16" customWidth="1" min="140" max="140"/>
    <col width="22" customWidth="1" min="141" max="141"/>
    <col width="10" customWidth="1" min="142" max="142"/>
    <col width="16" customWidth="1" min="143" max="143"/>
    <col width="12" customWidth="1" min="144" max="144"/>
    <col width="14" customWidth="1" min="145" max="145"/>
    <col width="17" customWidth="1" min="146" max="146"/>
    <col width="13" customWidth="1" min="147" max="147"/>
    <col width="8" customWidth="1" min="148" max="148"/>
    <col width="11" customWidth="1" min="149" max="149"/>
    <col width="11" customWidth="1" min="150" max="150"/>
    <col width="13" customWidth="1" min="151" max="151"/>
    <col width="8" customWidth="1" min="152" max="152"/>
    <col width="11" customWidth="1" min="153" max="153"/>
    <col width="20" customWidth="1" min="154" max="154"/>
    <col width="27" customWidth="1" min="155" max="155"/>
    <col width="11" customWidth="1" min="156" max="156"/>
    <col width="12" customWidth="1" min="157" max="157"/>
    <col width="9" customWidth="1" min="158" max="158"/>
    <col width="12" customWidth="1" min="159" max="159"/>
    <col width="12" customWidth="1" min="160" max="160"/>
    <col width="35" customWidth="1" min="161" max="161"/>
    <col width="14" customWidth="1" min="162" max="162"/>
    <col width="17" customWidth="1" min="163" max="163"/>
    <col width="24" customWidth="1" min="164" max="164"/>
    <col width="8" customWidth="1" min="165" max="165"/>
    <col width="10" customWidth="1" min="166" max="166"/>
    <col width="8" customWidth="1" min="167" max="167"/>
    <col width="22" customWidth="1" min="168" max="168"/>
    <col width="9" customWidth="1" min="169" max="169"/>
    <col width="60" customWidth="1" min="170" max="170"/>
    <col width="60" customWidth="1" min="171" max="171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dome_hp</t>
        </is>
      </c>
      <c r="CS1" s="1" t="inlineStr">
        <is>
          <t>dome_radius_m</t>
        </is>
      </c>
      <c r="CT1" s="1" t="inlineStr">
        <is>
          <t>dome_recharge_s</t>
        </is>
      </c>
      <c r="CU1" s="1" t="inlineStr">
        <is>
          <t>drone</t>
        </is>
      </c>
      <c r="CV1" s="1" t="inlineStr">
        <is>
          <t>drop_delay_s</t>
        </is>
      </c>
      <c r="CW1" s="1" t="inlineStr">
        <is>
          <t>elite</t>
        </is>
      </c>
      <c r="CX1" s="1" t="inlineStr">
        <is>
          <t>elite_of</t>
        </is>
      </c>
      <c r="CY1" s="1" t="inlineStr">
        <is>
          <t>erect_seconds</t>
        </is>
      </c>
      <c r="CZ1" s="1" t="inlineStr">
        <is>
          <t>fires_while_moving</t>
        </is>
      </c>
      <c r="DA1" s="1" t="inlineStr">
        <is>
          <t>fixed_wing</t>
        </is>
      </c>
      <c r="DB1" s="1" t="inlineStr">
        <is>
          <t>flying</t>
        </is>
      </c>
      <c r="DC1" s="1" t="inlineStr">
        <is>
          <t>forward_drop</t>
        </is>
      </c>
      <c r="DD1" s="1" t="inlineStr">
        <is>
          <t>hp</t>
        </is>
      </c>
      <c r="DE1" s="1" t="inlineStr">
        <is>
          <t>inherits</t>
        </is>
      </c>
      <c r="DF1" s="1" t="inlineStr">
        <is>
          <t>interceptor</t>
        </is>
      </c>
      <c r="DG1" s="1" t="inlineStr">
        <is>
          <t>jammer</t>
        </is>
      </c>
      <c r="DH1" s="1" t="inlineStr">
        <is>
          <t>kamikaze</t>
        </is>
      </c>
      <c r="DI1" s="1" t="inlineStr">
        <is>
          <t>length_m</t>
        </is>
      </c>
      <c r="DJ1" s="1" t="inlineStr">
        <is>
          <t>loads_air_to_air</t>
        </is>
      </c>
      <c r="DK1" s="1" t="inlineStr">
        <is>
          <t>loads_jassm</t>
        </is>
      </c>
      <c r="DL1" s="1" t="inlineStr">
        <is>
          <t>loads_jet_bombs</t>
        </is>
      </c>
      <c r="DM1" s="1" t="inlineStr">
        <is>
          <t>main_aim</t>
        </is>
      </c>
      <c r="DN1" s="1" t="inlineStr">
        <is>
          <t>main_slot</t>
        </is>
      </c>
      <c r="DO1" s="1" t="inlineStr">
        <is>
          <t>mark</t>
        </is>
      </c>
      <c r="DP1" s="1" t="inlineStr">
        <is>
          <t>marked_spread</t>
        </is>
      </c>
      <c r="DQ1" s="1" t="inlineStr">
        <is>
          <t>max_per_side</t>
        </is>
      </c>
      <c r="DR1" s="1" t="inlineStr">
        <is>
          <t>mine_armor</t>
        </is>
      </c>
      <c r="DS1" s="1" t="inlineStr">
        <is>
          <t>mine_proof</t>
        </is>
      </c>
      <c r="DT1" s="1" t="inlineStr">
        <is>
          <t>mines_damage</t>
        </is>
      </c>
      <c r="DU1" s="1" t="inlineStr">
        <is>
          <t>mines_interval_s</t>
        </is>
      </c>
      <c r="DV1" s="1" t="inlineStr">
        <is>
          <t>mines_max</t>
        </is>
      </c>
      <c r="DW1" s="1" t="inlineStr">
        <is>
          <t>mines_radius_m</t>
        </is>
      </c>
      <c r="DX1" s="1" t="inlineStr">
        <is>
          <t>mines_tier</t>
        </is>
      </c>
      <c r="DY1" s="1" t="inlineStr">
        <is>
          <t>mines_trigger</t>
        </is>
      </c>
      <c r="DZ1" s="1" t="inlineStr">
        <is>
          <t>model</t>
        </is>
      </c>
      <c r="EA1" s="1" t="inlineStr">
        <is>
          <t>model_size_height_m</t>
        </is>
      </c>
      <c r="EB1" s="1" t="inlineStr">
        <is>
          <t>model_size_length_m</t>
        </is>
      </c>
      <c r="EC1" s="1" t="inlineStr">
        <is>
          <t>model_size_width_m</t>
        </is>
      </c>
      <c r="ED1" s="1" t="inlineStr">
        <is>
          <t>naval_dash_every</t>
        </is>
      </c>
      <c r="EE1" s="1" t="inlineStr">
        <is>
          <t>naval_dash_hold</t>
        </is>
      </c>
      <c r="EF1" s="1" t="inlineStr">
        <is>
          <t>naval_dash_w</t>
        </is>
      </c>
      <c r="EG1" s="1" t="inlineStr">
        <is>
          <t>naval_role</t>
        </is>
      </c>
      <c r="EH1" s="1" t="inlineStr">
        <is>
          <t>naval_station</t>
        </is>
      </c>
      <c r="EI1" s="1" t="inlineStr">
        <is>
          <t>orbit</t>
        </is>
      </c>
      <c r="EJ1" s="1" t="inlineStr">
        <is>
          <t>orbit_radius_m</t>
        </is>
      </c>
      <c r="EK1" s="1" t="inlineStr">
        <is>
          <t>outgoing_damage_mult</t>
        </is>
      </c>
      <c r="EL1" s="1" t="inlineStr">
        <is>
          <t>radius_m</t>
        </is>
      </c>
      <c r="EM1" s="1" t="inlineStr">
        <is>
          <t>rearm_radius_m</t>
        </is>
      </c>
      <c r="EN1" s="1" t="inlineStr">
        <is>
          <t>rearm_rate</t>
        </is>
      </c>
      <c r="EO1" s="1" t="inlineStr">
        <is>
          <t>rearm_time_s</t>
        </is>
      </c>
      <c r="EP1" s="1" t="inlineStr">
        <is>
          <t>repair_radius_m</t>
        </is>
      </c>
      <c r="EQ1" s="1" t="inlineStr">
        <is>
          <t>repair_rate</t>
        </is>
      </c>
      <c r="ER1" s="1" t="inlineStr">
        <is>
          <t>scale</t>
        </is>
      </c>
      <c r="ES1" s="1" t="inlineStr">
        <is>
          <t>scoot_max</t>
        </is>
      </c>
      <c r="ET1" s="1" t="inlineStr">
        <is>
          <t>scoot_min</t>
        </is>
      </c>
      <c r="EU1" s="1" t="inlineStr">
        <is>
          <t>scoot_shots</t>
        </is>
      </c>
      <c r="EV1" s="1" t="inlineStr">
        <is>
          <t>sead</t>
        </is>
      </c>
      <c r="EW1" s="1" t="inlineStr">
        <is>
          <t>secondary</t>
        </is>
      </c>
      <c r="EX1" s="1" t="inlineStr">
        <is>
          <t>side_erect_seconds</t>
        </is>
      </c>
      <c r="EY1" s="1" t="inlineStr">
        <is>
          <t>skills</t>
        </is>
      </c>
      <c r="EZ1" s="1" t="inlineStr">
        <is>
          <t>speed_m_s</t>
        </is>
      </c>
      <c r="FA1" s="1" t="inlineStr">
        <is>
          <t>standoff_m</t>
        </is>
      </c>
      <c r="FB1" s="1" t="inlineStr">
        <is>
          <t>stealth</t>
        </is>
      </c>
      <c r="FC1" s="1" t="inlineStr">
        <is>
          <t>still_camo</t>
        </is>
      </c>
      <c r="FD1" s="1" t="inlineStr">
        <is>
          <t>story_only</t>
        </is>
      </c>
      <c r="FE1" s="1" t="inlineStr">
        <is>
          <t>strong_vs</t>
        </is>
      </c>
      <c r="FF1" s="1" t="inlineStr">
        <is>
          <t>tint</t>
        </is>
      </c>
      <c r="FG1" s="1" t="inlineStr">
        <is>
          <t>turn_rate_deg_s</t>
        </is>
      </c>
      <c r="FH1" s="1" t="inlineStr">
        <is>
          <t>turret_turn_rate_deg_s</t>
        </is>
      </c>
      <c r="FI1" s="1" t="inlineStr">
        <is>
          <t>value</t>
        </is>
      </c>
      <c r="FJ1" s="1" t="inlineStr">
        <is>
          <t>vision_m</t>
        </is>
      </c>
      <c r="FK1" s="1" t="inlineStr">
        <is>
          <t>vtol</t>
        </is>
      </c>
      <c r="FL1" s="1" t="inlineStr">
        <is>
          <t>weapon</t>
        </is>
      </c>
      <c r="FM1" s="1" t="inlineStr">
        <is>
          <t>width_m</t>
        </is>
      </c>
      <c r="FN1" s="1" t="inlineStr">
        <is>
          <t>nguon</t>
        </is>
      </c>
      <c r="FO1" s="1" t="inlineStr">
        <is>
          <t>raw_json</t>
        </is>
      </c>
    </row>
    <row r="2">
      <c r="A2" t="inlineStr">
        <is>
          <t>aa_gun_vehicle</t>
        </is>
      </c>
      <c r="B2" t="inlineStr">
        <is>
          <t>xe</t>
        </is>
      </c>
      <c r="C2" t="inlineStr">
        <is>
          <t>40 mm AA gun vehicle</t>
        </is>
      </c>
      <c r="D2" t="inlineStr">
        <is>
          <t>Xe cao xạ 40 mm</t>
        </is>
      </c>
      <c r="E2" t="inlineStr">
        <is>
          <t>Cao xạ 40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6</v>
      </c>
      <c r="J2" t="n">
        <v>559</v>
      </c>
      <c r="K2" t="n">
        <v>1229.8</v>
      </c>
      <c r="L2" t="n">
        <v>1</v>
      </c>
      <c r="M2" t="n">
        <v>0</v>
      </c>
      <c r="N2" t="n">
        <v>0</v>
      </c>
      <c r="O2" t="n">
        <v>0</v>
      </c>
      <c r="P2" t="b">
        <v>0</v>
      </c>
      <c r="Q2" t="n">
        <v>8</v>
      </c>
      <c r="R2" t="n">
        <v>90</v>
      </c>
      <c r="S2" t="n">
        <v>150</v>
      </c>
      <c r="T2" t="n">
        <v>45</v>
      </c>
      <c r="U2" t="n">
        <v>2</v>
      </c>
      <c r="V2" t="n">
        <v>5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1.2</v>
      </c>
      <c r="AE2" t="inlineStr">
        <is>
          <t>bofors_l70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aa_gun_vehicle</t>
        </is>
      </c>
      <c r="AL2" t="inlineStr">
        <is>
          <t>doi</t>
        </is>
      </c>
      <c r="AM2" t="n">
        <v>5</v>
      </c>
      <c r="AN2" t="n">
        <v>6</v>
      </c>
      <c r="AO2" t="n">
        <v>455</v>
      </c>
      <c r="AP2" t="n">
        <v>559</v>
      </c>
      <c r="BG2" t="n">
        <v>1</v>
      </c>
      <c r="BH2" t="n">
        <v>1.2</v>
      </c>
      <c r="BI2" t="n">
        <v>6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S2" t="n">
        <v>1</v>
      </c>
      <c r="CC2" t="inlineStr">
        <is>
          <t>AntiAir</t>
        </is>
      </c>
      <c r="CF2" t="n">
        <v>6</v>
      </c>
      <c r="CH2" t="n">
        <v>60</v>
      </c>
      <c r="CI2" t="n">
        <v>0.25</v>
      </c>
      <c r="CJ2" t="n">
        <v>5</v>
      </c>
      <c r="CK2" t="inlineStr">
        <is>
          <t>Large</t>
        </is>
      </c>
      <c r="CZ2" t="b">
        <v>1</v>
      </c>
      <c r="DD2" t="n">
        <v>559</v>
      </c>
      <c r="DI2" t="n">
        <v>5</v>
      </c>
      <c r="EA2" t="n">
        <v>2.7</v>
      </c>
      <c r="EB2" t="n">
        <v>5.9</v>
      </c>
      <c r="EC2" t="n">
        <v>2.5</v>
      </c>
      <c r="EK2" t="n">
        <v>1.2</v>
      </c>
      <c r="EL2" t="n">
        <v>2</v>
      </c>
      <c r="EZ2" t="n">
        <v>8</v>
      </c>
      <c r="FG2" t="n">
        <v>90</v>
      </c>
      <c r="FH2" t="n">
        <v>150</v>
      </c>
      <c r="FJ2" t="n">
        <v>45</v>
      </c>
      <c r="FL2" t="inlineStr">
        <is>
          <t>bofors_l70</t>
        </is>
      </c>
      <c r="FM2" t="n">
        <v>2.5</v>
      </c>
      <c r="FN2" t="inlineStr">
        <is>
          <t>Assets/MachineBrigade/Resources/Data/balance.json: vehicles[112]</t>
        </is>
      </c>
      <c r="FO2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3">
      <c r="A3" t="inlineStr">
        <is>
          <t>aa_vehicle</t>
        </is>
      </c>
      <c r="B3" t="inlineStr">
        <is>
          <t>xe</t>
        </is>
      </c>
      <c r="C3" t="inlineStr">
        <is>
          <t>Self-propelled AA gun</t>
        </is>
      </c>
      <c r="D3" t="inlineStr">
        <is>
          <t>Pháo cao xạ tự hành</t>
        </is>
      </c>
      <c r="E3" t="inlineStr">
        <is>
          <t>Cao xạ</t>
        </is>
      </c>
      <c r="F3" t="inlineStr"/>
      <c r="G3" t="inlineStr"/>
      <c r="H3" t="inlineStr"/>
      <c r="I3" t="n">
        <v>4</v>
      </c>
      <c r="J3" t="n">
        <v>350</v>
      </c>
      <c r="K3" t="n">
        <v>770</v>
      </c>
      <c r="L3" t="n">
        <v>2</v>
      </c>
      <c r="M3" t="n">
        <v>1</v>
      </c>
      <c r="N3" t="n">
        <v>1</v>
      </c>
      <c r="O3" t="n">
        <v>0</v>
      </c>
      <c r="P3" t="b">
        <v>0</v>
      </c>
      <c r="Q3" t="n">
        <v>8</v>
      </c>
      <c r="R3" t="n">
        <v>100</v>
      </c>
      <c r="S3" t="n">
        <v>200</v>
      </c>
      <c r="T3" t="n">
        <v>42</v>
      </c>
      <c r="U3" t="n">
        <v>1.8</v>
      </c>
      <c r="V3" t="n">
        <v>5.85</v>
      </c>
      <c r="W3" t="n">
        <v>3.06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2.5</v>
      </c>
      <c r="AD3" t="n">
        <v>1</v>
      </c>
      <c r="AE3" t="inlineStr">
        <is>
          <t>flak_35</t>
        </is>
      </c>
      <c r="AF3" t="inlineStr">
        <is>
          <t>sam</t>
        </is>
      </c>
      <c r="AG3" t="inlineStr"/>
      <c r="AH3" t="inlineStr">
        <is>
          <t>none</t>
        </is>
      </c>
      <c r="AI3" t="inlineStr"/>
      <c r="AJ3" t="inlineStr"/>
      <c r="AK3" t="inlineStr">
        <is>
          <t>aa_vehicle</t>
        </is>
      </c>
      <c r="AL3" t="inlineStr">
        <is>
          <t>giong</t>
        </is>
      </c>
      <c r="BI3" t="n">
        <v>4</v>
      </c>
      <c r="BJ3" t="n">
        <v>1</v>
      </c>
      <c r="BK3" t="inlineStr"/>
      <c r="BL3" t="inlineStr">
        <is>
          <t>elite_aa</t>
        </is>
      </c>
      <c r="BM3" t="inlineStr"/>
      <c r="BN3" t="inlineStr">
        <is>
          <t>Campaign; nhiệm vụ c2m01; mua sớm; 300 xu</t>
        </is>
      </c>
      <c r="BT3" t="n">
        <v>2</v>
      </c>
      <c r="BU3" t="n">
        <v>1</v>
      </c>
      <c r="BV3" t="n">
        <v>1</v>
      </c>
      <c r="BW3" t="n">
        <v>0</v>
      </c>
      <c r="CF3" t="n">
        <v>4</v>
      </c>
      <c r="CH3" t="n">
        <v>60</v>
      </c>
      <c r="CI3" t="n">
        <v>0.25</v>
      </c>
      <c r="CJ3" t="n">
        <v>5</v>
      </c>
      <c r="CK3" t="inlineStr">
        <is>
          <t>Large</t>
        </is>
      </c>
      <c r="CV3" t="n">
        <v>2.5</v>
      </c>
      <c r="CZ3" t="b">
        <v>1</v>
      </c>
      <c r="DD3" t="n">
        <v>350</v>
      </c>
      <c r="DI3" t="n">
        <v>5.85</v>
      </c>
      <c r="EA3" t="n">
        <v>2.92</v>
      </c>
      <c r="EB3" t="n">
        <v>6.44</v>
      </c>
      <c r="EC3" t="n">
        <v>3.06</v>
      </c>
      <c r="EL3" t="n">
        <v>1.8</v>
      </c>
      <c r="ER3" t="n">
        <v>1</v>
      </c>
      <c r="EZ3" t="n">
        <v>8</v>
      </c>
      <c r="FG3" t="n">
        <v>100</v>
      </c>
      <c r="FH3" t="n">
        <v>200</v>
      </c>
      <c r="FI3" t="n">
        <v>1.16</v>
      </c>
      <c r="FJ3" t="n">
        <v>42</v>
      </c>
      <c r="FL3" t="inlineStr">
        <is>
          <t>flak_35</t>
        </is>
      </c>
      <c r="FM3" t="n">
        <v>3.06</v>
      </c>
      <c r="FN3" t="inlineStr">
        <is>
          <t>Assets/MachineBrigade/Resources/Data/balance.json: vehicles[6]</t>
        </is>
      </c>
      <c r="FO3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4">
      <c r="A4" t="inlineStr">
        <is>
          <t>ammo_carrier</t>
        </is>
      </c>
      <c r="B4" t="inlineStr">
        <is>
          <t>xe</t>
        </is>
      </c>
      <c r="C4" t="inlineStr">
        <is>
          <t>Ammo carrier</t>
        </is>
      </c>
      <c r="D4" t="inlineStr">
        <is>
          <t>Xe tiếp đạn</t>
        </is>
      </c>
      <c r="E4" t="inlineStr">
        <is>
          <t>Tiếp đạn</t>
        </is>
      </c>
      <c r="F4" t="inlineStr">
        <is>
          <t>Support</t>
        </is>
      </c>
      <c r="G4" t="inlineStr">
        <is>
          <t>Light</t>
        </is>
      </c>
      <c r="H4" t="inlineStr"/>
      <c r="I4" t="n">
        <v>4</v>
      </c>
      <c r="J4" t="n">
        <v>520</v>
      </c>
      <c r="K4" t="n">
        <v>1144</v>
      </c>
      <c r="L4" t="n">
        <v>0</v>
      </c>
      <c r="M4" t="n">
        <v>0</v>
      </c>
      <c r="N4" t="n">
        <v>0</v>
      </c>
      <c r="O4" t="n">
        <v>0</v>
      </c>
      <c r="P4" t="b">
        <v>0</v>
      </c>
      <c r="Q4" t="n">
        <v>8.5</v>
      </c>
      <c r="R4" t="n">
        <v>90</v>
      </c>
      <c r="S4" t="n">
        <v>200</v>
      </c>
      <c r="T4" t="n">
        <v>30</v>
      </c>
      <c r="U4" t="n">
        <v>2</v>
      </c>
      <c r="V4" t="n">
        <v>8.359999999999999</v>
      </c>
      <c r="W4" t="n">
        <v>2.02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hmg_selfdef_15</t>
        </is>
      </c>
      <c r="AF4" t="inlineStr"/>
      <c r="AG4" t="inlineStr"/>
      <c r="AH4" t="inlineStr">
        <is>
          <t>none</t>
        </is>
      </c>
      <c r="AI4" t="inlineStr"/>
      <c r="AJ4" t="inlineStr"/>
      <c r="AK4" t="inlineStr">
        <is>
          <t>ammo_carrier</t>
        </is>
      </c>
      <c r="AL4" t="inlineStr">
        <is>
          <t>giong</t>
        </is>
      </c>
      <c r="BI4" t="n">
        <v>4</v>
      </c>
      <c r="BJ4" t="n">
        <v>1</v>
      </c>
      <c r="BK4" t="inlineStr"/>
      <c r="BL4" t="inlineStr"/>
      <c r="BM4" t="inlineStr">
        <is>
          <t>repair</t>
        </is>
      </c>
      <c r="BN4" t="inlineStr">
        <is>
          <t>Campaign; nhiệm vụ c2m05; mua sớm; 300 xu</t>
        </is>
      </c>
      <c r="BO4" t="n">
        <v>12</v>
      </c>
      <c r="BP4" t="n">
        <v>2</v>
      </c>
      <c r="BS4" t="n">
        <v>0</v>
      </c>
      <c r="BZ4" t="n">
        <v>1</v>
      </c>
      <c r="CC4" t="inlineStr">
        <is>
          <t>Support</t>
        </is>
      </c>
      <c r="CF4" t="n">
        <v>4</v>
      </c>
      <c r="CH4" t="n">
        <v>90</v>
      </c>
      <c r="CI4" t="n">
        <v>0.35</v>
      </c>
      <c r="CJ4" t="n">
        <v>7</v>
      </c>
      <c r="CK4" t="inlineStr">
        <is>
          <t>Huge</t>
        </is>
      </c>
      <c r="CV4" t="n">
        <v>2.5</v>
      </c>
      <c r="CZ4" t="b">
        <v>1</v>
      </c>
      <c r="DD4" t="n">
        <v>520</v>
      </c>
      <c r="DI4" t="n">
        <v>8.359999999999999</v>
      </c>
      <c r="EA4" t="n">
        <v>2.46</v>
      </c>
      <c r="EB4" t="n">
        <v>8.359999999999999</v>
      </c>
      <c r="EC4" t="n">
        <v>2.02</v>
      </c>
      <c r="EL4" t="n">
        <v>2</v>
      </c>
      <c r="EM4" t="n">
        <v>14</v>
      </c>
      <c r="EN4" t="n">
        <v>4</v>
      </c>
      <c r="ER4" t="n">
        <v>1</v>
      </c>
      <c r="EZ4" t="n">
        <v>8.5</v>
      </c>
      <c r="FG4" t="n">
        <v>90</v>
      </c>
      <c r="FH4" t="n">
        <v>200</v>
      </c>
      <c r="FI4" t="n">
        <v>1</v>
      </c>
      <c r="FJ4" t="n">
        <v>30</v>
      </c>
      <c r="FL4" t="inlineStr">
        <is>
          <t>hmg_selfdef_15</t>
        </is>
      </c>
      <c r="FM4" t="n">
        <v>2.02</v>
      </c>
      <c r="FN4" t="inlineStr">
        <is>
          <t>Assets/MachineBrigade/Resources/Data/balance.json: vehicles[29]</t>
        </is>
      </c>
      <c r="FO4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5">
      <c r="A5" t="inlineStr">
        <is>
          <t>armored_bulldozer</t>
        </is>
      </c>
      <c r="B5" t="inlineStr">
        <is>
          <t>xe</t>
        </is>
      </c>
      <c r="C5" t="inlineStr">
        <is>
          <t>Armoured bulldozer</t>
        </is>
      </c>
      <c r="D5" t="inlineStr">
        <is>
          <t>Xe ủi bọc thép</t>
        </is>
      </c>
      <c r="E5" t="inlineStr">
        <is>
          <t>Xe ủi</t>
        </is>
      </c>
      <c r="F5" t="inlineStr">
        <is>
          <t>Heavy</t>
        </is>
      </c>
      <c r="G5" t="inlineStr">
        <is>
          <t>Armor</t>
        </is>
      </c>
      <c r="H5" t="inlineStr"/>
      <c r="I5" t="n">
        <v>8</v>
      </c>
      <c r="J5" t="n">
        <v>1514</v>
      </c>
      <c r="K5" t="n">
        <v>3330.8</v>
      </c>
      <c r="L5" t="n">
        <v>3</v>
      </c>
      <c r="M5" t="n">
        <v>3</v>
      </c>
      <c r="N5" t="n">
        <v>2</v>
      </c>
      <c r="O5" t="n">
        <v>2</v>
      </c>
      <c r="P5" t="b">
        <v>0</v>
      </c>
      <c r="Q5" t="n">
        <v>4</v>
      </c>
      <c r="R5" t="n">
        <v>55</v>
      </c>
      <c r="S5" t="n">
        <v>200</v>
      </c>
      <c r="T5" t="n">
        <v>30</v>
      </c>
      <c r="U5" t="n">
        <v>3.4</v>
      </c>
      <c r="V5" t="n">
        <v>6.13</v>
      </c>
      <c r="W5" t="n">
        <v>3.7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1.1429</v>
      </c>
      <c r="AE5" t="inlineStr">
        <is>
          <t>dozer_blade</t>
        </is>
      </c>
      <c r="AF5" t="inlineStr">
        <is>
          <t>hmg_roof</t>
        </is>
      </c>
      <c r="AG5" t="inlineStr"/>
      <c r="AH5" t="inlineStr">
        <is>
          <t>none</t>
        </is>
      </c>
      <c r="AI5" t="inlineStr"/>
      <c r="AJ5" t="inlineStr"/>
      <c r="AK5" t="inlineStr">
        <is>
          <t>armored_bulldozer</t>
        </is>
      </c>
      <c r="AL5" t="inlineStr">
        <is>
          <t>doi</t>
        </is>
      </c>
      <c r="AM5" t="n">
        <v>7</v>
      </c>
      <c r="AN5" t="n">
        <v>8</v>
      </c>
      <c r="AO5" t="n">
        <v>1300</v>
      </c>
      <c r="AP5" t="n">
        <v>1514</v>
      </c>
      <c r="BG5" t="n">
        <v>1</v>
      </c>
      <c r="BH5" t="n">
        <v>1.1429</v>
      </c>
      <c r="BI5" t="n">
        <v>8</v>
      </c>
      <c r="BJ5" t="n">
        <v>2</v>
      </c>
      <c r="BK5" t="inlineStr"/>
      <c r="BL5" t="inlineStr"/>
      <c r="BM5" t="inlineStr">
        <is>
          <t>heavy</t>
        </is>
      </c>
      <c r="BN5" t="inlineStr">
        <is>
          <t>Campaign; nhiệm vụ c4m16; mua sớm; 800 xu</t>
        </is>
      </c>
      <c r="BT5" t="n">
        <v>3</v>
      </c>
      <c r="BU5" t="n">
        <v>2</v>
      </c>
      <c r="BV5" t="n">
        <v>3</v>
      </c>
      <c r="BW5" t="n">
        <v>2</v>
      </c>
      <c r="BY5" t="b">
        <v>1</v>
      </c>
      <c r="BZ5" t="n">
        <v>1</v>
      </c>
      <c r="CC5" t="inlineStr">
        <is>
          <t>Heavy</t>
        </is>
      </c>
      <c r="CF5" t="n">
        <v>8</v>
      </c>
      <c r="CH5" t="n">
        <v>90</v>
      </c>
      <c r="CI5" t="n">
        <v>0.4</v>
      </c>
      <c r="CJ5" t="n">
        <v>6</v>
      </c>
      <c r="CK5" t="inlineStr">
        <is>
          <t>Huge</t>
        </is>
      </c>
      <c r="CZ5" t="b">
        <v>1</v>
      </c>
      <c r="DD5" t="n">
        <v>1514</v>
      </c>
      <c r="DI5" t="n">
        <v>6.13</v>
      </c>
      <c r="DM5" t="inlineStr">
        <is>
          <t>Hull</t>
        </is>
      </c>
      <c r="DN5" t="inlineStr">
        <is>
          <t>blade</t>
        </is>
      </c>
      <c r="DR5" t="n">
        <v>0.5</v>
      </c>
      <c r="EA5" t="n">
        <v>3.53</v>
      </c>
      <c r="EB5" t="n">
        <v>6.13</v>
      </c>
      <c r="EC5" t="n">
        <v>3.7</v>
      </c>
      <c r="EK5" t="n">
        <v>1.1429</v>
      </c>
      <c r="EL5" t="n">
        <v>3.4</v>
      </c>
      <c r="ER5" t="n">
        <v>1</v>
      </c>
      <c r="EZ5" t="n">
        <v>4</v>
      </c>
      <c r="FG5" t="n">
        <v>55</v>
      </c>
      <c r="FH5" t="n">
        <v>200</v>
      </c>
      <c r="FI5" t="n">
        <v>1</v>
      </c>
      <c r="FJ5" t="n">
        <v>30</v>
      </c>
      <c r="FL5" t="inlineStr">
        <is>
          <t>dozer_blade</t>
        </is>
      </c>
      <c r="FM5" t="n">
        <v>3.7</v>
      </c>
      <c r="FN5" t="inlineStr">
        <is>
          <t>Assets/MachineBrigade/Resources/Data/balance.json: vehicles[40]</t>
        </is>
      </c>
      <c r="FO5" t="inlineStr">
        <is>
          <t>{"id":"armored_bulldozer","outgoingDamageMult":1.1429,"value":1,"scale":1,"modelSize":[6.13,3.7,3.53],"class":"Heavy","armour":[3,3,2,2],"hp":1514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6">
      <c r="A6" t="inlineStr">
        <is>
          <t>armored_car</t>
        </is>
      </c>
      <c r="B6" t="inlineStr">
        <is>
          <t>xe</t>
        </is>
      </c>
      <c r="C6" t="inlineStr">
        <is>
          <t>Armoured car</t>
        </is>
      </c>
      <c r="D6" t="inlineStr">
        <is>
          <t>Xe bọc thép bánh lốp</t>
        </is>
      </c>
      <c r="E6" t="inlineStr">
        <is>
          <t>Bánh lốp</t>
        </is>
      </c>
      <c r="F6" t="inlineStr">
        <is>
          <t>Light</t>
        </is>
      </c>
      <c r="G6" t="inlineStr">
        <is>
          <t>Light</t>
        </is>
      </c>
      <c r="H6" t="inlineStr"/>
      <c r="I6" t="n">
        <v>3</v>
      </c>
      <c r="J6" t="n">
        <v>300</v>
      </c>
      <c r="K6" t="n">
        <v>660</v>
      </c>
      <c r="L6" t="n">
        <v>1</v>
      </c>
      <c r="M6" t="n">
        <v>0</v>
      </c>
      <c r="N6" t="n">
        <v>0</v>
      </c>
      <c r="O6" t="n">
        <v>0</v>
      </c>
      <c r="P6" t="b">
        <v>0</v>
      </c>
      <c r="Q6" t="n">
        <v>11.5</v>
      </c>
      <c r="R6" t="n">
        <v>150</v>
      </c>
      <c r="S6" t="n">
        <v>220</v>
      </c>
      <c r="T6" t="n">
        <v>46</v>
      </c>
      <c r="U6" t="n">
        <v>2.1</v>
      </c>
      <c r="V6" t="n">
        <v>4.44</v>
      </c>
      <c r="W6" t="n">
        <v>2.08</v>
      </c>
      <c r="X6" t="b">
        <v>0</v>
      </c>
      <c r="Y6" t="n">
        <v>0</v>
      </c>
      <c r="Z6" t="b">
        <v>0</v>
      </c>
      <c r="AA6" t="b">
        <v>1</v>
      </c>
      <c r="AB6" t="n">
        <v>2</v>
      </c>
      <c r="AC6" t="n">
        <v>2.5</v>
      </c>
      <c r="AD6" t="n">
        <v>1</v>
      </c>
      <c r="AE6" t="inlineStr">
        <is>
          <t>autocannon_25</t>
        </is>
      </c>
      <c r="AF6" t="inlineStr">
        <is>
          <t>mg_coax_long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armored_car</t>
        </is>
      </c>
      <c r="AL6" t="inlineStr">
        <is>
          <t>doi</t>
        </is>
      </c>
      <c r="BE6" t="inlineStr">
        <is>
          <t>mg_coax</t>
        </is>
      </c>
      <c r="BF6" t="inlineStr">
        <is>
          <t>mg_coax_long</t>
        </is>
      </c>
      <c r="BI6" t="n">
        <v>3</v>
      </c>
      <c r="BJ6" t="n">
        <v>1</v>
      </c>
      <c r="BK6" t="inlineStr"/>
      <c r="BL6" t="inlineStr"/>
      <c r="BM6" t="inlineStr">
        <is>
          <t>light;wheeled</t>
        </is>
      </c>
      <c r="BN6" t="inlineStr">
        <is>
          <t>Starter; 750 xu</t>
        </is>
      </c>
      <c r="BS6" t="n">
        <v>1</v>
      </c>
      <c r="BZ6" t="n">
        <v>2</v>
      </c>
      <c r="CC6" t="inlineStr">
        <is>
          <t>Light</t>
        </is>
      </c>
      <c r="CF6" t="n">
        <v>3</v>
      </c>
      <c r="CH6" t="n">
        <v>50</v>
      </c>
      <c r="CI6" t="n">
        <v>0.2</v>
      </c>
      <c r="CJ6" t="n">
        <v>5</v>
      </c>
      <c r="CK6" t="inlineStr">
        <is>
          <t>Large</t>
        </is>
      </c>
      <c r="CV6" t="n">
        <v>2.5</v>
      </c>
      <c r="CZ6" t="b">
        <v>1</v>
      </c>
      <c r="DD6" t="n">
        <v>300</v>
      </c>
      <c r="DI6" t="n">
        <v>4.44</v>
      </c>
      <c r="EA6" t="n">
        <v>1.49</v>
      </c>
      <c r="EB6" t="n">
        <v>4.78</v>
      </c>
      <c r="EC6" t="n">
        <v>2.08</v>
      </c>
      <c r="EL6" t="n">
        <v>2.1</v>
      </c>
      <c r="ER6" t="n">
        <v>1</v>
      </c>
      <c r="EZ6" t="n">
        <v>11.5</v>
      </c>
      <c r="FG6" t="n">
        <v>150</v>
      </c>
      <c r="FH6" t="n">
        <v>220</v>
      </c>
      <c r="FI6" t="n">
        <v>0.9399999999999999</v>
      </c>
      <c r="FJ6" t="n">
        <v>46</v>
      </c>
      <c r="FL6" t="inlineStr">
        <is>
          <t>autocannon_25</t>
        </is>
      </c>
      <c r="FM6" t="n">
        <v>2.08</v>
      </c>
      <c r="FN6" t="inlineStr">
        <is>
          <t>Assets/MachineBrigade/Resources/Data/balance.json: vehicles[8]</t>
        </is>
      </c>
      <c r="FO6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_long","slot":"coax","aim":"Turret"}],"deathExplosion":{"damage":50,"radius":5,"delay":0.2,"tier":"Large"}}</t>
        </is>
      </c>
    </row>
    <row r="7">
      <c r="A7" t="inlineStr">
        <is>
          <t>artillery</t>
        </is>
      </c>
      <c r="B7" t="inlineStr">
        <is>
          <t>xe</t>
        </is>
      </c>
      <c r="C7" t="inlineStr">
        <is>
          <t>SP howitzer</t>
        </is>
      </c>
      <c r="D7" t="inlineStr">
        <is>
          <t>Lựu pháo tự hành</t>
        </is>
      </c>
      <c r="E7" t="inlineStr">
        <is>
          <t>Lựu pháo</t>
        </is>
      </c>
      <c r="F7" t="inlineStr"/>
      <c r="G7" t="inlineStr"/>
      <c r="H7" t="inlineStr"/>
      <c r="I7" t="n">
        <v>7</v>
      </c>
      <c r="J7" t="n">
        <v>359</v>
      </c>
      <c r="K7" t="n">
        <v>789.8</v>
      </c>
      <c r="L7" t="n">
        <v>2</v>
      </c>
      <c r="M7" t="n">
        <v>1</v>
      </c>
      <c r="N7" t="n">
        <v>1</v>
      </c>
      <c r="O7" t="n">
        <v>0</v>
      </c>
      <c r="P7" t="b">
        <v>0</v>
      </c>
      <c r="Q7" t="n">
        <v>6</v>
      </c>
      <c r="R7" t="n">
        <v>60</v>
      </c>
      <c r="S7" t="n">
        <v>45</v>
      </c>
      <c r="T7" t="n">
        <v>30</v>
      </c>
      <c r="U7" t="n">
        <v>2</v>
      </c>
      <c r="V7" t="n">
        <v>5.12</v>
      </c>
      <c r="W7" t="n">
        <v>3.13</v>
      </c>
      <c r="X7" t="b">
        <v>0</v>
      </c>
      <c r="Y7" t="n">
        <v>0</v>
      </c>
      <c r="Z7" t="b">
        <v>0</v>
      </c>
      <c r="AA7" t="b">
        <v>0</v>
      </c>
      <c r="AB7" t="n">
        <v>1</v>
      </c>
      <c r="AC7" t="n">
        <v>3.5</v>
      </c>
      <c r="AD7" t="n">
        <v>1.1667</v>
      </c>
      <c r="AE7" t="inlineStr">
        <is>
          <t>howitzer</t>
        </is>
      </c>
      <c r="AF7" t="inlineStr">
        <is>
          <t>hmg_selfdef_15</t>
        </is>
      </c>
      <c r="AG7" t="inlineStr"/>
      <c r="AH7" t="inlineStr">
        <is>
          <t>none</t>
        </is>
      </c>
      <c r="AI7" t="inlineStr"/>
      <c r="AJ7" t="inlineStr"/>
      <c r="AK7" t="inlineStr">
        <is>
          <t>artillery</t>
        </is>
      </c>
      <c r="AL7" t="inlineStr">
        <is>
          <t>doi</t>
        </is>
      </c>
      <c r="AM7" t="n">
        <v>6</v>
      </c>
      <c r="AN7" t="n">
        <v>7</v>
      </c>
      <c r="AO7" t="n">
        <v>300</v>
      </c>
      <c r="AP7" t="n">
        <v>359</v>
      </c>
      <c r="BG7" t="n">
        <v>1</v>
      </c>
      <c r="BH7" t="n">
        <v>1.1667</v>
      </c>
      <c r="BI7" t="n">
        <v>7</v>
      </c>
      <c r="BJ7" t="n">
        <v>2</v>
      </c>
      <c r="BK7" t="inlineStr"/>
      <c r="BL7" t="inlineStr">
        <is>
          <t>elite_artillery</t>
        </is>
      </c>
      <c r="BM7" t="inlineStr">
        <is>
          <t>artillery</t>
        </is>
      </c>
      <c r="BN7" t="inlineStr">
        <is>
          <t>Campaign; nhiệm vụ c2m02; mua sớm; 300 xu</t>
        </is>
      </c>
      <c r="BT7" t="n">
        <v>2</v>
      </c>
      <c r="BU7" t="n">
        <v>1</v>
      </c>
      <c r="BV7" t="n">
        <v>1</v>
      </c>
      <c r="BW7" t="n">
        <v>0</v>
      </c>
      <c r="CF7" t="n">
        <v>7</v>
      </c>
      <c r="CH7" t="n">
        <v>80</v>
      </c>
      <c r="CI7" t="n">
        <v>0.3</v>
      </c>
      <c r="CJ7" t="n">
        <v>10</v>
      </c>
      <c r="CK7" t="inlineStr">
        <is>
          <t>Large</t>
        </is>
      </c>
      <c r="CZ7" t="b">
        <v>0</v>
      </c>
      <c r="DD7" t="n">
        <v>359</v>
      </c>
      <c r="DI7" t="n">
        <v>5.12</v>
      </c>
      <c r="DP7" t="n">
        <v>0.15</v>
      </c>
      <c r="EA7" t="n">
        <v>2.88</v>
      </c>
      <c r="EB7" t="n">
        <v>7.86</v>
      </c>
      <c r="EC7" t="n">
        <v>3.14</v>
      </c>
      <c r="EK7" t="n">
        <v>1.1667</v>
      </c>
      <c r="EL7" t="n">
        <v>2</v>
      </c>
      <c r="ER7" t="n">
        <v>1</v>
      </c>
      <c r="ES7" t="n">
        <v>20</v>
      </c>
      <c r="ET7" t="n">
        <v>15</v>
      </c>
      <c r="EU7" t="n">
        <v>3</v>
      </c>
      <c r="EZ7" t="n">
        <v>6</v>
      </c>
      <c r="FG7" t="n">
        <v>60</v>
      </c>
      <c r="FH7" t="n">
        <v>45</v>
      </c>
      <c r="FI7" t="n">
        <v>0.82</v>
      </c>
      <c r="FJ7" t="n">
        <v>30</v>
      </c>
      <c r="FL7" t="inlineStr">
        <is>
          <t>howitzer</t>
        </is>
      </c>
      <c r="FM7" t="n">
        <v>3.13</v>
      </c>
      <c r="FN7" t="inlineStr">
        <is>
          <t>Assets/MachineBrigade/Resources/Data/balance.json: vehicles[4]</t>
        </is>
      </c>
      <c r="FO7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8">
      <c r="A8" t="inlineStr">
        <is>
          <t>attack_helicopter</t>
        </is>
      </c>
      <c r="B8" t="inlineStr">
        <is>
          <t>xe</t>
        </is>
      </c>
      <c r="C8" t="inlineStr">
        <is>
          <t>Attack helicopter</t>
        </is>
      </c>
      <c r="D8" t="inlineStr">
        <is>
          <t>Trực thăng tấn công</t>
        </is>
      </c>
      <c r="E8" t="inlineStr">
        <is>
          <t>TT tấn công</t>
        </is>
      </c>
      <c r="F8" t="inlineStr"/>
      <c r="G8" t="inlineStr"/>
      <c r="H8" t="inlineStr"/>
      <c r="I8" t="n">
        <v>11</v>
      </c>
      <c r="J8" t="n">
        <v>700</v>
      </c>
      <c r="K8" t="n">
        <v>1540</v>
      </c>
      <c r="L8" t="n">
        <v>1</v>
      </c>
      <c r="M8" t="n">
        <v>1</v>
      </c>
      <c r="N8" t="n">
        <v>1</v>
      </c>
      <c r="O8" t="n">
        <v>1</v>
      </c>
      <c r="P8" t="b">
        <v>0</v>
      </c>
      <c r="Q8" t="n">
        <v>13</v>
      </c>
      <c r="R8" t="n">
        <v>110</v>
      </c>
      <c r="S8" t="n">
        <v>360</v>
      </c>
      <c r="T8" t="n">
        <v>40</v>
      </c>
      <c r="U8" t="n">
        <v>3.2</v>
      </c>
      <c r="V8" t="inlineStr"/>
      <c r="W8" t="inlineStr"/>
      <c r="X8" t="b">
        <v>1</v>
      </c>
      <c r="Y8" t="n">
        <v>15</v>
      </c>
      <c r="Z8" t="b">
        <v>0</v>
      </c>
      <c r="AA8" t="b">
        <v>1</v>
      </c>
      <c r="AB8" t="n">
        <v>0</v>
      </c>
      <c r="AC8" t="n">
        <v>3.5</v>
      </c>
      <c r="AD8" t="n">
        <v>1.2681</v>
      </c>
      <c r="AE8" t="inlineStr">
        <is>
          <t>hellfire_standoff</t>
        </is>
      </c>
      <c r="AF8" t="inlineStr">
        <is>
          <t>heli_gun;heli_rockets;stinger_atas;apkws_rocket</t>
        </is>
      </c>
      <c r="AG8" t="inlineStr">
        <is>
          <t>heli_flares</t>
        </is>
      </c>
      <c r="AH8" t="inlineStr">
        <is>
          <t>flare</t>
        </is>
      </c>
      <c r="AI8" t="n">
        <v>2</v>
      </c>
      <c r="AJ8" t="n">
        <v>20</v>
      </c>
      <c r="AK8" t="inlineStr">
        <is>
          <t>attack_helicopter</t>
        </is>
      </c>
      <c r="AL8" t="inlineStr">
        <is>
          <t>doi</t>
        </is>
      </c>
      <c r="AM8" t="n">
        <v>9</v>
      </c>
      <c r="AN8" t="n">
        <v>11</v>
      </c>
      <c r="AO8" t="n">
        <v>800</v>
      </c>
      <c r="AP8" t="n">
        <v>700</v>
      </c>
      <c r="BG8" t="n">
        <v>1</v>
      </c>
      <c r="BH8" t="n">
        <v>1.2681</v>
      </c>
      <c r="BI8" t="n">
        <v>11</v>
      </c>
      <c r="BJ8" t="n">
        <v>3</v>
      </c>
      <c r="BK8" t="inlineStr"/>
      <c r="BL8" t="inlineStr">
        <is>
          <t>elite_attack_helicopter</t>
        </is>
      </c>
      <c r="BM8" t="inlineStr">
        <is>
          <t>heli</t>
        </is>
      </c>
      <c r="BN8" t="inlineStr">
        <is>
          <t>Campaign; nhiệm vụ c3m02; mua sớm; 300 xu</t>
        </is>
      </c>
      <c r="BQ8" t="inlineStr">
        <is>
          <t>heavy_attack_heli</t>
        </is>
      </c>
      <c r="BR8" t="n">
        <v>15</v>
      </c>
      <c r="BS8" t="n">
        <v>1</v>
      </c>
      <c r="BZ8" t="n">
        <v>0</v>
      </c>
      <c r="CF8" t="n">
        <v>11</v>
      </c>
      <c r="CH8" t="n">
        <v>80</v>
      </c>
      <c r="CI8" t="n">
        <v>0.6</v>
      </c>
      <c r="CJ8" t="n">
        <v>6</v>
      </c>
      <c r="CK8" t="inlineStr">
        <is>
          <t>Large</t>
        </is>
      </c>
      <c r="CZ8" t="b">
        <v>1</v>
      </c>
      <c r="DB8" t="b">
        <v>1</v>
      </c>
      <c r="DD8" t="n">
        <v>700</v>
      </c>
      <c r="DN8" t="inlineStr">
        <is>
          <t>missile</t>
        </is>
      </c>
      <c r="EA8" t="n">
        <v>2.02</v>
      </c>
      <c r="EB8" t="n">
        <v>6.35</v>
      </c>
      <c r="EC8" t="n">
        <v>4.44</v>
      </c>
      <c r="EK8" t="n">
        <v>1.2681</v>
      </c>
      <c r="EL8" t="n">
        <v>3.2</v>
      </c>
      <c r="EO8" t="n">
        <v>9</v>
      </c>
      <c r="ER8" t="n">
        <v>1.1765</v>
      </c>
      <c r="EY8" t="inlineStr">
        <is>
          <t>heli_flares</t>
        </is>
      </c>
      <c r="EZ8" t="n">
        <v>13</v>
      </c>
      <c r="FA8" t="b">
        <v>1</v>
      </c>
      <c r="FE8" t="inlineStr">
        <is>
          <t>Tank;Heavy;Artillery</t>
        </is>
      </c>
      <c r="FG8" t="n">
        <v>110</v>
      </c>
      <c r="FH8" t="n">
        <v>360</v>
      </c>
      <c r="FI8" t="n">
        <v>1.05</v>
      </c>
      <c r="FJ8" t="n">
        <v>40</v>
      </c>
      <c r="FL8" t="inlineStr">
        <is>
          <t>hellfire_standoff</t>
        </is>
      </c>
      <c r="FN8" t="inlineStr">
        <is>
          <t>Assets/MachineBrigade/Resources/Data/balance.json: vehicles[7]</t>
        </is>
      </c>
      <c r="FO8" t="inlineStr">
        <is>
          <t>{"id":"attack_helicopter","flareCharges":2,"outgoingDamageMult":1.2681,"value":1.05,"altModels":["heavy_attack_heli"],"rearmTime":9,"strongVs":["Tank","Heavy","Artillery"],"scale":1.1765,"modelSize":[6.35,4.44,2.02],"armour":1,"hp":700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9">
      <c r="A9" t="inlineStr">
        <is>
          <t>attack_jet</t>
        </is>
      </c>
      <c r="B9" t="inlineStr">
        <is>
          <t>xe</t>
        </is>
      </c>
      <c r="C9" t="inlineStr">
        <is>
          <t>Attack jet</t>
        </is>
      </c>
      <c r="D9" t="inlineStr">
        <is>
          <t>Máy bay cường kích</t>
        </is>
      </c>
      <c r="E9" t="inlineStr">
        <is>
          <t>Cường kích</t>
        </is>
      </c>
      <c r="F9" t="inlineStr"/>
      <c r="G9" t="inlineStr"/>
      <c r="H9" t="inlineStr"/>
      <c r="I9" t="n">
        <v>23</v>
      </c>
      <c r="J9" t="n">
        <v>650</v>
      </c>
      <c r="K9" t="n">
        <v>1430</v>
      </c>
      <c r="L9" t="n">
        <v>2</v>
      </c>
      <c r="M9" t="n">
        <v>2</v>
      </c>
      <c r="N9" t="n">
        <v>2</v>
      </c>
      <c r="O9" t="n">
        <v>2</v>
      </c>
      <c r="P9" t="b">
        <v>0</v>
      </c>
      <c r="Q9" t="n">
        <v>32</v>
      </c>
      <c r="R9" t="n">
        <v>104</v>
      </c>
      <c r="S9" t="n">
        <v>360</v>
      </c>
      <c r="T9" t="n">
        <v>50</v>
      </c>
      <c r="U9" t="n">
        <v>3.2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5</v>
      </c>
      <c r="AD9" t="n">
        <v>1.4694</v>
      </c>
      <c r="AE9" t="inlineStr">
        <is>
          <t>jet_cannon</t>
        </is>
      </c>
      <c r="AF9" t="inlineStr">
        <is>
          <t>s8_pods;jet_bombs;kh29;r60</t>
        </is>
      </c>
      <c r="AG9" t="inlineStr">
        <is>
          <t>jet_flares</t>
        </is>
      </c>
      <c r="AH9" t="inlineStr">
        <is>
          <t>flare</t>
        </is>
      </c>
      <c r="AI9" t="n">
        <v>2</v>
      </c>
      <c r="AJ9" t="n">
        <v>16</v>
      </c>
      <c r="AK9" t="inlineStr">
        <is>
          <t>attack_jet</t>
        </is>
      </c>
      <c r="AL9" t="inlineStr">
        <is>
          <t>doi</t>
        </is>
      </c>
      <c r="AM9" t="n">
        <v>18</v>
      </c>
      <c r="AN9" t="n">
        <v>23</v>
      </c>
      <c r="AO9" t="n">
        <v>850</v>
      </c>
      <c r="AP9" t="n">
        <v>650</v>
      </c>
      <c r="BG9" t="n">
        <v>1</v>
      </c>
      <c r="BH9" t="n">
        <v>1.4694</v>
      </c>
      <c r="BI9" t="n">
        <v>23</v>
      </c>
      <c r="BJ9" t="n">
        <v>4</v>
      </c>
      <c r="BK9" t="inlineStr"/>
      <c r="BL9" t="inlineStr">
        <is>
          <t>elite_attack_jet</t>
        </is>
      </c>
      <c r="BM9" t="inlineStr"/>
      <c r="BN9" t="inlineStr">
        <is>
          <t>Campaign; nhiệm vụ c7m01; mua sớm; 1500 xu</t>
        </is>
      </c>
      <c r="BQ9" t="inlineStr">
        <is>
          <t>tank_buster</t>
        </is>
      </c>
      <c r="BR9" t="n">
        <v>30</v>
      </c>
      <c r="BS9" t="n">
        <v>2</v>
      </c>
      <c r="BX9" t="n">
        <v>3.8</v>
      </c>
      <c r="BZ9" t="n">
        <v>0</v>
      </c>
      <c r="CF9" t="n">
        <v>23</v>
      </c>
      <c r="CH9" t="n">
        <v>95</v>
      </c>
      <c r="CI9" t="n">
        <v>0.6</v>
      </c>
      <c r="CJ9" t="n">
        <v>7</v>
      </c>
      <c r="CK9" t="inlineStr">
        <is>
          <t>Huge</t>
        </is>
      </c>
      <c r="CV9" t="n">
        <v>5</v>
      </c>
      <c r="CZ9" t="b">
        <v>1</v>
      </c>
      <c r="DA9" t="b">
        <v>1</v>
      </c>
      <c r="DB9" t="b">
        <v>1</v>
      </c>
      <c r="DD9" t="n">
        <v>650</v>
      </c>
      <c r="DL9" t="n">
        <v>1</v>
      </c>
      <c r="DN9" t="inlineStr">
        <is>
          <t>gun</t>
        </is>
      </c>
      <c r="EA9" t="n">
        <v>1.84</v>
      </c>
      <c r="EB9" t="n">
        <v>6.15</v>
      </c>
      <c r="EC9" t="n">
        <v>6.04</v>
      </c>
      <c r="EK9" t="n">
        <v>1.4694</v>
      </c>
      <c r="EL9" t="n">
        <v>3.2</v>
      </c>
      <c r="EO9" t="n">
        <v>14</v>
      </c>
      <c r="ER9" t="n">
        <v>1</v>
      </c>
      <c r="EY9" t="inlineStr">
        <is>
          <t>jet_flares</t>
        </is>
      </c>
      <c r="EZ9" t="n">
        <v>32</v>
      </c>
      <c r="FE9" t="inlineStr">
        <is>
          <t>Light;Tank;Heavy;Artillery;Defense</t>
        </is>
      </c>
      <c r="FG9" t="n">
        <v>104</v>
      </c>
      <c r="FH9" t="n">
        <v>360</v>
      </c>
      <c r="FI9" t="n">
        <v>1.11</v>
      </c>
      <c r="FJ9" t="n">
        <v>50</v>
      </c>
      <c r="FL9" t="inlineStr">
        <is>
          <t>jet_cannon</t>
        </is>
      </c>
      <c r="FN9" t="inlineStr">
        <is>
          <t>Assets/MachineBrigade/Resources/Data/balance.json: vehicles[15]</t>
        </is>
      </c>
      <c r="FO9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0">
      <c r="A10" t="inlineStr">
        <is>
          <t>ballistic_launcher</t>
        </is>
      </c>
      <c r="B10" t="inlineStr">
        <is>
          <t>xe</t>
        </is>
      </c>
      <c r="C10" t="inlineStr">
        <is>
          <t>Tactical ballistic launcher</t>
        </is>
      </c>
      <c r="D10" t="inlineStr">
        <is>
          <t>Xe phóng tên lửa chiến thuật</t>
        </is>
      </c>
      <c r="E10" t="inlineStr">
        <is>
          <t>TL chiến thuật</t>
        </is>
      </c>
      <c r="F10" t="inlineStr"/>
      <c r="G10" t="inlineStr"/>
      <c r="H10" t="inlineStr"/>
      <c r="I10" t="n">
        <v>14</v>
      </c>
      <c r="J10" t="n">
        <v>595</v>
      </c>
      <c r="K10" t="n">
        <v>1309</v>
      </c>
      <c r="L10" t="n">
        <v>1</v>
      </c>
      <c r="M10" t="n">
        <v>0</v>
      </c>
      <c r="N10" t="n">
        <v>0</v>
      </c>
      <c r="O10" t="n">
        <v>0</v>
      </c>
      <c r="P10" t="b">
        <v>0</v>
      </c>
      <c r="Q10" t="n">
        <v>6.5</v>
      </c>
      <c r="R10" t="n">
        <v>55</v>
      </c>
      <c r="S10" t="n">
        <v>35</v>
      </c>
      <c r="T10" t="n">
        <v>26</v>
      </c>
      <c r="U10" t="n">
        <v>2.6</v>
      </c>
      <c r="V10" t="n">
        <v>10.7</v>
      </c>
      <c r="W10" t="n">
        <v>2.53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1.2727</v>
      </c>
      <c r="AE10" t="inlineStr">
        <is>
          <t>ballistic_missile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ballistic_launcher</t>
        </is>
      </c>
      <c r="AL10" t="inlineStr">
        <is>
          <t>doi</t>
        </is>
      </c>
      <c r="AM10" t="n">
        <v>11</v>
      </c>
      <c r="AN10" t="n">
        <v>14</v>
      </c>
      <c r="AO10" t="n">
        <v>450</v>
      </c>
      <c r="AP10" t="n">
        <v>595</v>
      </c>
      <c r="BG10" t="n">
        <v>1</v>
      </c>
      <c r="BH10" t="n">
        <v>1.2727</v>
      </c>
      <c r="BI10" t="n">
        <v>14</v>
      </c>
      <c r="BJ10" t="n">
        <v>4</v>
      </c>
      <c r="BK10" t="inlineStr"/>
      <c r="BL10" t="inlineStr"/>
      <c r="BM10" t="inlineStr"/>
      <c r="BN10" t="inlineStr">
        <is>
          <t>Campaign; nhiệm vụ c8m11; mua sớm; 1500 xu</t>
        </is>
      </c>
      <c r="BS10" t="n">
        <v>1</v>
      </c>
      <c r="CF10" t="n">
        <v>14</v>
      </c>
      <c r="CH10" t="n">
        <v>260</v>
      </c>
      <c r="CI10" t="n">
        <v>0.4</v>
      </c>
      <c r="CJ10" t="n">
        <v>13</v>
      </c>
      <c r="CK10" t="inlineStr">
        <is>
          <t>Ultimate</t>
        </is>
      </c>
      <c r="CY10" t="n">
        <v>2.2</v>
      </c>
      <c r="CZ10" t="b">
        <v>0</v>
      </c>
      <c r="DD10" t="n">
        <v>595</v>
      </c>
      <c r="DI10" t="n">
        <v>10.7</v>
      </c>
      <c r="DM10" t="inlineStr">
        <is>
          <t>Hull</t>
        </is>
      </c>
      <c r="EA10" t="n">
        <v>4.18</v>
      </c>
      <c r="EB10" t="n">
        <v>10.7</v>
      </c>
      <c r="EC10" t="n">
        <v>2.53</v>
      </c>
      <c r="EK10" t="n">
        <v>1.2727</v>
      </c>
      <c r="EL10" t="n">
        <v>2.6</v>
      </c>
      <c r="ER10" t="n">
        <v>1</v>
      </c>
      <c r="EW10" t="inlineStr"/>
      <c r="EZ10" t="n">
        <v>6.5</v>
      </c>
      <c r="FG10" t="n">
        <v>55</v>
      </c>
      <c r="FH10" t="n">
        <v>35</v>
      </c>
      <c r="FI10" t="n">
        <v>1.18</v>
      </c>
      <c r="FJ10" t="n">
        <v>26</v>
      </c>
      <c r="FL10" t="inlineStr">
        <is>
          <t>ballistic_missile</t>
        </is>
      </c>
      <c r="FM10" t="n">
        <v>2.53</v>
      </c>
      <c r="FN10" t="inlineStr">
        <is>
          <t>Assets/MachineBrigade/Resources/Data/balance.json: vehicles[27]</t>
        </is>
      </c>
      <c r="FO10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1">
      <c r="A11" t="inlineStr">
        <is>
          <t>command_vehicle</t>
        </is>
      </c>
      <c r="B11" t="inlineStr">
        <is>
          <t>xe</t>
        </is>
      </c>
      <c r="C11" t="inlineStr">
        <is>
          <t>Command vehicle</t>
        </is>
      </c>
      <c r="D11" t="inlineStr">
        <is>
          <t>Xe chỉ huy</t>
        </is>
      </c>
      <c r="E11" t="inlineStr">
        <is>
          <t>Chỉ huy</t>
        </is>
      </c>
      <c r="F11" t="inlineStr">
        <is>
          <t>Support</t>
        </is>
      </c>
      <c r="G11" t="inlineStr">
        <is>
          <t>Light</t>
        </is>
      </c>
      <c r="H11" t="inlineStr"/>
      <c r="I11" t="n">
        <v>7</v>
      </c>
      <c r="J11" t="n">
        <v>668</v>
      </c>
      <c r="K11" t="n">
        <v>1469.6</v>
      </c>
      <c r="L11" t="n">
        <v>1</v>
      </c>
      <c r="M11" t="n">
        <v>1</v>
      </c>
      <c r="N11" t="n">
        <v>0</v>
      </c>
      <c r="O11" t="n">
        <v>0</v>
      </c>
      <c r="P11" t="b">
        <v>0</v>
      </c>
      <c r="Q11" t="n">
        <v>8</v>
      </c>
      <c r="R11" t="n">
        <v>90</v>
      </c>
      <c r="S11" t="n">
        <v>200</v>
      </c>
      <c r="T11" t="n">
        <v>44</v>
      </c>
      <c r="U11" t="n">
        <v>2.3</v>
      </c>
      <c r="V11" t="n">
        <v>5.64</v>
      </c>
      <c r="W11" t="n">
        <v>2.08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hmg_selfdef_15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command_vehicle</t>
        </is>
      </c>
      <c r="AL11" t="inlineStr">
        <is>
          <t>doi</t>
        </is>
      </c>
      <c r="AM11" t="n">
        <v>6</v>
      </c>
      <c r="AN11" t="n">
        <v>7</v>
      </c>
      <c r="AO11" t="n">
        <v>560</v>
      </c>
      <c r="AP11" t="n">
        <v>668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/>
      <c r="BN11" t="inlineStr">
        <is>
          <t>Campaign; nhiệm vụ c4m01; mua sớm; 800 xu</t>
        </is>
      </c>
      <c r="BT11" t="n">
        <v>1</v>
      </c>
      <c r="BU11" t="n">
        <v>0</v>
      </c>
      <c r="BV11" t="n">
        <v>1</v>
      </c>
      <c r="BW11" t="n">
        <v>0</v>
      </c>
      <c r="BZ11" t="n">
        <v>1</v>
      </c>
      <c r="CC11" t="inlineStr">
        <is>
          <t>Support</t>
        </is>
      </c>
      <c r="CD11" t="n">
        <v>0.1</v>
      </c>
      <c r="CE11" t="n">
        <v>25</v>
      </c>
      <c r="CF11" t="n">
        <v>7</v>
      </c>
      <c r="CH11" t="n">
        <v>70</v>
      </c>
      <c r="CI11" t="n">
        <v>0.3</v>
      </c>
      <c r="CJ11" t="n">
        <v>6</v>
      </c>
      <c r="CK11" t="inlineStr">
        <is>
          <t>Large</t>
        </is>
      </c>
      <c r="CZ11" t="b">
        <v>1</v>
      </c>
      <c r="DC11" t="n">
        <v>5</v>
      </c>
      <c r="DD11" t="n">
        <v>668</v>
      </c>
      <c r="DI11" t="n">
        <v>5.64</v>
      </c>
      <c r="DM11" t="inlineStr">
        <is>
          <t>Free</t>
        </is>
      </c>
      <c r="DN11" t="inlineStr">
        <is>
          <t>mg</t>
        </is>
      </c>
      <c r="DQ11" t="n">
        <v>1</v>
      </c>
      <c r="EA11" t="n">
        <v>2.14</v>
      </c>
      <c r="EB11" t="n">
        <v>5.64</v>
      </c>
      <c r="EC11" t="n">
        <v>2.08</v>
      </c>
      <c r="EK11" t="n">
        <v>1.1667</v>
      </c>
      <c r="EL11" t="n">
        <v>2.3</v>
      </c>
      <c r="ER11" t="n">
        <v>1</v>
      </c>
      <c r="EZ11" t="n">
        <v>8</v>
      </c>
      <c r="FG11" t="n">
        <v>90</v>
      </c>
      <c r="FH11" t="n">
        <v>200</v>
      </c>
      <c r="FI11" t="n">
        <v>1</v>
      </c>
      <c r="FJ11" t="n">
        <v>44</v>
      </c>
      <c r="FL11" t="inlineStr">
        <is>
          <t>hmg_selfdef_15</t>
        </is>
      </c>
      <c r="FM11" t="n">
        <v>2.08</v>
      </c>
      <c r="FN11" t="inlineStr">
        <is>
          <t>Assets/MachineBrigade/Resources/Data/balance.json: vehicles[41]</t>
        </is>
      </c>
      <c r="FO11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2">
      <c r="A12" t="inlineStr">
        <is>
          <t>demolition_line_vehicle</t>
        </is>
      </c>
      <c r="B12" t="inlineStr">
        <is>
          <t>xe</t>
        </is>
      </c>
      <c r="C12" t="inlineStr">
        <is>
          <t>Demolition-line vehicle</t>
        </is>
      </c>
      <c r="D12" t="inlineStr">
        <is>
          <t>Xe phá mìn bằng dây nổ</t>
        </is>
      </c>
      <c r="E12" t="inlineStr">
        <is>
          <t>Phá mìn</t>
        </is>
      </c>
      <c r="F12" t="inlineStr">
        <is>
          <t>Support</t>
        </is>
      </c>
      <c r="G12" t="inlineStr">
        <is>
          <t>Light</t>
        </is>
      </c>
      <c r="H12" t="inlineStr"/>
      <c r="I12" t="n">
        <v>4</v>
      </c>
      <c r="J12" t="n">
        <v>545</v>
      </c>
      <c r="K12" t="n">
        <v>1199</v>
      </c>
      <c r="L12" t="n">
        <v>2</v>
      </c>
      <c r="M12" t="n">
        <v>1</v>
      </c>
      <c r="N12" t="n">
        <v>0</v>
      </c>
      <c r="O12" t="n">
        <v>0</v>
      </c>
      <c r="P12" t="b">
        <v>0</v>
      </c>
      <c r="Q12" t="n">
        <v>4.4</v>
      </c>
      <c r="R12" t="n">
        <v>80</v>
      </c>
      <c r="S12" t="n">
        <v>200</v>
      </c>
      <c r="T12" t="n">
        <v>30</v>
      </c>
      <c r="U12" t="n">
        <v>2.2</v>
      </c>
      <c r="V12" t="n">
        <v>6.45</v>
      </c>
      <c r="W12" t="n">
        <v>3.02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2.5</v>
      </c>
      <c r="AD12" t="n">
        <v>1</v>
      </c>
      <c r="AE12" t="inlineStr">
        <is>
          <t>hmg_selfdef_15</t>
        </is>
      </c>
      <c r="AF12" t="inlineStr"/>
      <c r="AG12" t="inlineStr"/>
      <c r="AH12" t="inlineStr">
        <is>
          <t>none</t>
        </is>
      </c>
      <c r="AI12" t="inlineStr"/>
      <c r="AJ12" t="inlineStr"/>
      <c r="AK12" t="inlineStr">
        <is>
          <t>demolition_line_vehicle</t>
        </is>
      </c>
      <c r="AL12" t="inlineStr">
        <is>
          <t>giong</t>
        </is>
      </c>
      <c r="BI12" t="n">
        <v>4</v>
      </c>
      <c r="BJ12" t="n">
        <v>1</v>
      </c>
      <c r="BK12" t="inlineStr"/>
      <c r="BL12" t="inlineStr"/>
      <c r="BM12" t="inlineStr">
        <is>
          <t>engineer</t>
        </is>
      </c>
      <c r="BN12" t="inlineStr">
        <is>
          <t>Premium; 1500 xu</t>
        </is>
      </c>
      <c r="BS12" t="n">
        <v>2</v>
      </c>
      <c r="CC12" t="inlineStr">
        <is>
          <t>Support</t>
        </is>
      </c>
      <c r="CF12" t="n">
        <v>4</v>
      </c>
      <c r="CH12" t="n">
        <v>70</v>
      </c>
      <c r="CI12" t="n">
        <v>0.35</v>
      </c>
      <c r="CJ12" t="n">
        <v>6</v>
      </c>
      <c r="CK12" t="inlineStr">
        <is>
          <t>Large</t>
        </is>
      </c>
      <c r="CV12" t="n">
        <v>2.5</v>
      </c>
      <c r="CZ12" t="b">
        <v>1</v>
      </c>
      <c r="DD12" t="n">
        <v>545</v>
      </c>
      <c r="DI12" t="n">
        <v>6.45</v>
      </c>
      <c r="DS12" t="b">
        <v>1</v>
      </c>
      <c r="DZ12" t="inlineStr">
        <is>
          <t>demolition_line_vehicle</t>
        </is>
      </c>
      <c r="EA12" t="n">
        <v>2.02</v>
      </c>
      <c r="EB12" t="n">
        <v>6.45</v>
      </c>
      <c r="EC12" t="n">
        <v>3.02</v>
      </c>
      <c r="EL12" t="n">
        <v>2.2</v>
      </c>
      <c r="EZ12" t="n">
        <v>4.4</v>
      </c>
      <c r="FG12" t="n">
        <v>80</v>
      </c>
      <c r="FH12" t="n">
        <v>200</v>
      </c>
      <c r="FJ12" t="n">
        <v>30</v>
      </c>
      <c r="FL12" t="inlineStr">
        <is>
          <t>hmg_selfdef_15</t>
        </is>
      </c>
      <c r="FM12" t="n">
        <v>3.02</v>
      </c>
      <c r="FN12" t="inlineStr">
        <is>
          <t>Assets/MachineBrigade/Resources/Data/balance.json: vehicles[123]</t>
        </is>
      </c>
      <c r="FO12" t="inlineStr">
        <is>
          <t>{"id":"demolition_line_vehicle","dropDelay":2.5,"model":"demolition_line_vehicle","modelSize":[6.45,3.02,2.02],"class":"Support","armour":2,"hp":545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13">
      <c r="A13" t="inlineStr">
        <is>
          <t>drop_pod</t>
        </is>
      </c>
      <c r="B13" t="inlineStr">
        <is>
          <t>vat_pham</t>
        </is>
      </c>
      <c r="C13" t="inlineStr">
        <is>
          <t>Drop pod</t>
        </is>
      </c>
      <c r="D13" t="inlineStr">
        <is>
          <t>Khoang đổ bộ</t>
        </is>
      </c>
      <c r="E13" t="inlineStr">
        <is>
          <t>Khoang đổ bộ</t>
        </is>
      </c>
      <c r="F13" t="inlineStr"/>
      <c r="G13" t="inlineStr"/>
      <c r="H13" t="inlineStr"/>
      <c r="I13" t="n">
        <v>0</v>
      </c>
      <c r="J13" t="n">
        <v>160</v>
      </c>
      <c r="K13" t="n">
        <v>352</v>
      </c>
      <c r="L13" t="n">
        <v>1</v>
      </c>
      <c r="M13" t="n">
        <v>1</v>
      </c>
      <c r="N13" t="n">
        <v>1</v>
      </c>
      <c r="O13" t="n">
        <v>1</v>
      </c>
      <c r="P13" t="b">
        <v>0</v>
      </c>
      <c r="Q13" t="n">
        <v>1</v>
      </c>
      <c r="R13" t="n">
        <v>1</v>
      </c>
      <c r="S13" t="n">
        <v>1</v>
      </c>
      <c r="T13" t="n">
        <v>12</v>
      </c>
      <c r="U13" t="n">
        <v>1.8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3.5</v>
      </c>
      <c r="AD13" t="n">
        <v>1</v>
      </c>
      <c r="AE13" t="inlineStr">
        <is>
          <t>none</t>
        </is>
      </c>
      <c r="AF13" t="inlineStr"/>
      <c r="AG13" t="inlineStr"/>
      <c r="AH13" t="inlineStr">
        <is>
          <t>none</t>
        </is>
      </c>
      <c r="AI13" t="inlineStr"/>
      <c r="AJ13" t="inlineStr"/>
      <c r="AK13" t="inlineStr">
        <is>
          <t>drop_pod</t>
        </is>
      </c>
      <c r="AL13" t="inlineStr">
        <is>
          <t>giong</t>
        </is>
      </c>
      <c r="BI13" t="n">
        <v>0</v>
      </c>
      <c r="BJ13" t="n">
        <v>1</v>
      </c>
      <c r="BK13" t="inlineStr"/>
      <c r="BL13" t="inlineStr"/>
      <c r="BM13" t="inlineStr"/>
      <c r="BN13" t="inlineStr">
        <is>
          <t>Campaign; mua sớm; 300 xu</t>
        </is>
      </c>
      <c r="BR13" t="n">
        <v>30</v>
      </c>
      <c r="BS13" t="n">
        <v>1</v>
      </c>
      <c r="BZ13" t="n">
        <v>0</v>
      </c>
      <c r="CA13" t="b">
        <v>0</v>
      </c>
      <c r="CF13" t="n">
        <v>0</v>
      </c>
      <c r="CZ13" t="b">
        <v>1</v>
      </c>
      <c r="DB13" t="b">
        <v>1</v>
      </c>
      <c r="DD13" t="n">
        <v>160</v>
      </c>
      <c r="EL13" t="n">
        <v>1.8</v>
      </c>
      <c r="EZ13" t="n">
        <v>1</v>
      </c>
      <c r="FG13" t="n">
        <v>1</v>
      </c>
      <c r="FH13" t="n">
        <v>1</v>
      </c>
      <c r="FJ13" t="n">
        <v>12</v>
      </c>
      <c r="FL13" t="inlineStr">
        <is>
          <t>none</t>
        </is>
      </c>
      <c r="FN13" t="inlineStr">
        <is>
          <t>Assets/MachineBrigade/Resources/Data/balance.json: vehicles[145]</t>
        </is>
      </c>
      <c r="FO13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14">
      <c r="A14" t="inlineStr">
        <is>
          <t>elite_aa</t>
        </is>
      </c>
      <c r="B14" t="inlineStr">
        <is>
          <t>tinh_nhue</t>
        </is>
      </c>
      <c r="C14" t="inlineStr">
        <is>
          <t>Elite anti-air</t>
        </is>
      </c>
      <c r="D14" t="inlineStr">
        <is>
          <t>Phòng không tinh nhuệ</t>
        </is>
      </c>
      <c r="E14" t="inlineStr">
        <is>
          <t>Phòng không TN</t>
        </is>
      </c>
      <c r="F14" t="inlineStr">
        <is>
          <t>AntiAir</t>
        </is>
      </c>
      <c r="G14" t="inlineStr">
        <is>
          <t>Light</t>
        </is>
      </c>
      <c r="H14" t="inlineStr"/>
      <c r="I14" t="n">
        <v>0</v>
      </c>
      <c r="J14" t="n">
        <v>473</v>
      </c>
      <c r="K14" t="n">
        <v>1040.6</v>
      </c>
      <c r="L14" t="n">
        <v>2</v>
      </c>
      <c r="M14" t="n">
        <v>0</v>
      </c>
      <c r="N14" t="n">
        <v>0</v>
      </c>
      <c r="O14" t="n">
        <v>0</v>
      </c>
      <c r="P14" t="b">
        <v>0</v>
      </c>
      <c r="Q14" t="n">
        <v>8.5</v>
      </c>
      <c r="R14" t="n">
        <v>90</v>
      </c>
      <c r="S14" t="n">
        <v>240</v>
      </c>
      <c r="T14" t="n">
        <v>60</v>
      </c>
      <c r="U14" t="n">
        <v>2.3</v>
      </c>
      <c r="V14" t="n">
        <v>6.73</v>
      </c>
      <c r="W14" t="n">
        <v>3.52</v>
      </c>
      <c r="X14" t="b">
        <v>0</v>
      </c>
      <c r="Y14" t="n">
        <v>0</v>
      </c>
      <c r="Z14" t="b">
        <v>0</v>
      </c>
      <c r="AA14" t="b">
        <v>1</v>
      </c>
      <c r="AB14" t="n">
        <v>1</v>
      </c>
      <c r="AC14" t="n">
        <v>3.5</v>
      </c>
      <c r="AD14" t="n">
        <v>1</v>
      </c>
      <c r="AE14" t="inlineStr">
        <is>
          <t>twin_35_ahead</t>
        </is>
      </c>
      <c r="AF14" t="inlineStr">
        <is>
          <t>sam</t>
        </is>
      </c>
      <c r="AG14" t="inlineStr">
        <is>
          <t>elite_overdrive</t>
        </is>
      </c>
      <c r="AH14" t="inlineStr">
        <is>
          <t>none</t>
        </is>
      </c>
      <c r="AI14" t="inlineStr"/>
      <c r="AJ14" t="inlineStr"/>
      <c r="AK14" t="inlineStr">
        <is>
          <t>elite_aa</t>
        </is>
      </c>
      <c r="AL14" t="inlineStr">
        <is>
          <t>giong</t>
        </is>
      </c>
      <c r="BI14" t="n">
        <v>6</v>
      </c>
      <c r="BJ14" t="n">
        <v>1</v>
      </c>
      <c r="BK14" t="inlineStr">
        <is>
          <t>aa_vehicle</t>
        </is>
      </c>
      <c r="BL14" t="inlineStr"/>
      <c r="BM14" t="inlineStr"/>
      <c r="BN14" t="inlineStr">
        <is>
          <t>KHONG_AP_DUNG</t>
        </is>
      </c>
      <c r="BT14" t="n">
        <v>2</v>
      </c>
      <c r="BU14" t="n">
        <v>0</v>
      </c>
      <c r="BV14" t="n">
        <v>0</v>
      </c>
      <c r="BW14" t="n">
        <v>0</v>
      </c>
      <c r="CC14" t="inlineStr">
        <is>
          <t>AntiAir</t>
        </is>
      </c>
      <c r="CF14" t="n">
        <v>0</v>
      </c>
      <c r="CH14" t="n">
        <v>110</v>
      </c>
      <c r="CI14" t="n">
        <v>0.35</v>
      </c>
      <c r="CJ14" t="n">
        <v>7</v>
      </c>
      <c r="CK14" t="inlineStr">
        <is>
          <t>Huge</t>
        </is>
      </c>
      <c r="CW14" t="b">
        <v>1</v>
      </c>
      <c r="CX14" t="inlineStr">
        <is>
          <t>aa_vehicle</t>
        </is>
      </c>
      <c r="CZ14" t="b">
        <v>1</v>
      </c>
      <c r="DD14" t="n">
        <v>473</v>
      </c>
      <c r="DI14" t="n">
        <v>6.73</v>
      </c>
      <c r="EA14" t="n">
        <v>3.36</v>
      </c>
      <c r="EB14" t="n">
        <v>7.41</v>
      </c>
      <c r="EC14" t="n">
        <v>3.52</v>
      </c>
      <c r="EL14" t="n">
        <v>2.3</v>
      </c>
      <c r="ER14" t="n">
        <v>1</v>
      </c>
      <c r="EY14" t="inlineStr">
        <is>
          <t>elite_overdrive</t>
        </is>
      </c>
      <c r="EZ14" t="n">
        <v>8.5</v>
      </c>
      <c r="FG14" t="n">
        <v>90</v>
      </c>
      <c r="FH14" t="n">
        <v>240</v>
      </c>
      <c r="FJ14" t="n">
        <v>60</v>
      </c>
      <c r="FL14" t="inlineStr">
        <is>
          <t>twin_35_ahead</t>
        </is>
      </c>
      <c r="FM14" t="n">
        <v>3.52</v>
      </c>
      <c r="FN14" t="inlineStr">
        <is>
          <t>Assets/MachineBrigade/Resources/Data/balance.json: vehicles[53]</t>
        </is>
      </c>
      <c r="FO14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15">
      <c r="A15" t="inlineStr">
        <is>
          <t>elite_apc</t>
        </is>
      </c>
      <c r="B15" t="inlineStr">
        <is>
          <t>tinh_nhue</t>
        </is>
      </c>
      <c r="C15" t="inlineStr">
        <is>
          <t>Elite EW carrier</t>
        </is>
      </c>
      <c r="D15" t="inlineStr">
        <is>
          <t>Xe bọc thép tinh nhuệ</t>
        </is>
      </c>
      <c r="E15" t="inlineStr">
        <is>
          <t>Bọc thép TN</t>
        </is>
      </c>
      <c r="F15" t="inlineStr">
        <is>
          <t>Light</t>
        </is>
      </c>
      <c r="G15" t="inlineStr">
        <is>
          <t>Light</t>
        </is>
      </c>
      <c r="H15" t="inlineStr"/>
      <c r="I15" t="n">
        <v>0</v>
      </c>
      <c r="J15" t="n">
        <v>702</v>
      </c>
      <c r="K15" t="n">
        <v>1544.4</v>
      </c>
      <c r="L15" t="n">
        <v>3</v>
      </c>
      <c r="M15" t="n">
        <v>1</v>
      </c>
      <c r="N15" t="n">
        <v>0</v>
      </c>
      <c r="O15" t="n">
        <v>0</v>
      </c>
      <c r="P15" t="b">
        <v>0</v>
      </c>
      <c r="Q15" t="n">
        <v>9</v>
      </c>
      <c r="R15" t="n">
        <v>110</v>
      </c>
      <c r="S15" t="n">
        <v>160</v>
      </c>
      <c r="T15" t="n">
        <v>34</v>
      </c>
      <c r="U15" t="n">
        <v>2.5</v>
      </c>
      <c r="V15" t="n">
        <v>6.11</v>
      </c>
      <c r="W15" t="n">
        <v>3.47</v>
      </c>
      <c r="X15" t="b">
        <v>0</v>
      </c>
      <c r="Y15" t="n">
        <v>0</v>
      </c>
      <c r="Z15" t="b">
        <v>0</v>
      </c>
      <c r="AA15" t="b">
        <v>1</v>
      </c>
      <c r="AB15" t="n">
        <v>1</v>
      </c>
      <c r="AC15" t="n">
        <v>3.5</v>
      </c>
      <c r="AD15" t="n">
        <v>1</v>
      </c>
      <c r="AE15" t="inlineStr">
        <is>
          <t>autocannon_30</t>
        </is>
      </c>
      <c r="AF15" t="inlineStr">
        <is>
          <t>mg_coax;atgm</t>
        </is>
      </c>
      <c r="AG15" t="inlineStr">
        <is>
          <t>elite_emp</t>
        </is>
      </c>
      <c r="AH15" t="inlineStr">
        <is>
          <t>none</t>
        </is>
      </c>
      <c r="AI15" t="inlineStr"/>
      <c r="AJ15" t="inlineStr"/>
      <c r="AK15" t="inlineStr">
        <is>
          <t>elite_apc</t>
        </is>
      </c>
      <c r="AL15" t="inlineStr">
        <is>
          <t>giong</t>
        </is>
      </c>
      <c r="BI15" t="n">
        <v>11</v>
      </c>
      <c r="BJ15" t="n">
        <v>1</v>
      </c>
      <c r="BK15" t="inlineStr">
        <is>
          <t>ifv</t>
        </is>
      </c>
      <c r="BL15" t="inlineStr"/>
      <c r="BM15" t="inlineStr"/>
      <c r="BN15" t="inlineStr">
        <is>
          <t>KHONG_AP_DUNG</t>
        </is>
      </c>
      <c r="BT15" t="n">
        <v>3</v>
      </c>
      <c r="BU15" t="n">
        <v>0</v>
      </c>
      <c r="BV15" t="n">
        <v>1</v>
      </c>
      <c r="BW15" t="n">
        <v>0</v>
      </c>
      <c r="CC15" t="inlineStr">
        <is>
          <t>Light</t>
        </is>
      </c>
      <c r="CF15" t="n">
        <v>0</v>
      </c>
      <c r="CH15" t="n">
        <v>100</v>
      </c>
      <c r="CI15" t="n">
        <v>0.35</v>
      </c>
      <c r="CJ15" t="n">
        <v>7</v>
      </c>
      <c r="CK15" t="inlineStr">
        <is>
          <t>Huge</t>
        </is>
      </c>
      <c r="CW15" t="b">
        <v>1</v>
      </c>
      <c r="CX15" t="inlineStr">
        <is>
          <t>ifv</t>
        </is>
      </c>
      <c r="CZ15" t="b">
        <v>1</v>
      </c>
      <c r="DD15" t="n">
        <v>702</v>
      </c>
      <c r="DI15" t="n">
        <v>6.11</v>
      </c>
      <c r="EA15" t="n">
        <v>3.02</v>
      </c>
      <c r="EB15" t="n">
        <v>6.31</v>
      </c>
      <c r="EC15" t="n">
        <v>3.47</v>
      </c>
      <c r="EL15" t="n">
        <v>2.5</v>
      </c>
      <c r="ER15" t="n">
        <v>1</v>
      </c>
      <c r="EX15" t="n">
        <v>0.6</v>
      </c>
      <c r="EY15" t="inlineStr">
        <is>
          <t>elite_emp</t>
        </is>
      </c>
      <c r="EZ15" t="n">
        <v>9</v>
      </c>
      <c r="FG15" t="n">
        <v>110</v>
      </c>
      <c r="FH15" t="n">
        <v>160</v>
      </c>
      <c r="FJ15" t="n">
        <v>34</v>
      </c>
      <c r="FL15" t="inlineStr">
        <is>
          <t>autocannon_30</t>
        </is>
      </c>
      <c r="FM15" t="n">
        <v>3.47</v>
      </c>
      <c r="FN15" t="inlineStr">
        <is>
          <t>Assets/MachineBrigade/Resources/Data/balance.json: vehicles[54]</t>
        </is>
      </c>
      <c r="FO15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16">
      <c r="A16" t="inlineStr">
        <is>
          <t>elite_artillery</t>
        </is>
      </c>
      <c r="B16" t="inlineStr">
        <is>
          <t>tinh_nhue</t>
        </is>
      </c>
      <c r="C16" t="inlineStr">
        <is>
          <t>Elite SP howitzer</t>
        </is>
      </c>
      <c r="D16" t="inlineStr">
        <is>
          <t>Pháo tự hành tinh nhuệ</t>
        </is>
      </c>
      <c r="E16" t="inlineStr">
        <is>
          <t>Lựu pháo TN</t>
        </is>
      </c>
      <c r="F16" t="inlineStr"/>
      <c r="G16" t="inlineStr"/>
      <c r="H16" t="inlineStr">
        <is>
          <t>artillery</t>
        </is>
      </c>
      <c r="I16" t="n">
        <v>0</v>
      </c>
      <c r="J16" t="n">
        <v>405</v>
      </c>
      <c r="K16" t="n">
        <v>891</v>
      </c>
      <c r="L16" t="n">
        <v>2</v>
      </c>
      <c r="M16" t="n">
        <v>0</v>
      </c>
      <c r="N16" t="n">
        <v>0</v>
      </c>
      <c r="O16" t="n">
        <v>0</v>
      </c>
      <c r="P16" t="b">
        <v>0</v>
      </c>
      <c r="Q16" t="n">
        <v>6</v>
      </c>
      <c r="R16" t="n">
        <v>60</v>
      </c>
      <c r="S16" t="n">
        <v>45</v>
      </c>
      <c r="T16" t="n">
        <v>30</v>
      </c>
      <c r="U16" t="n">
        <v>2</v>
      </c>
      <c r="V16" t="n">
        <v>5.12</v>
      </c>
      <c r="W16" t="n">
        <v>3.13</v>
      </c>
      <c r="X16" t="b">
        <v>0</v>
      </c>
      <c r="Y16" t="n">
        <v>0</v>
      </c>
      <c r="Z16" t="b">
        <v>0</v>
      </c>
      <c r="AA16" t="b">
        <v>0</v>
      </c>
      <c r="AB16" t="n">
        <v>1</v>
      </c>
      <c r="AC16" t="n">
        <v>3.5</v>
      </c>
      <c r="AD16" t="n">
        <v>1.1667</v>
      </c>
      <c r="AE16" t="inlineStr">
        <is>
          <t>howitzer</t>
        </is>
      </c>
      <c r="AF16" t="inlineStr">
        <is>
          <t>hmg_selfdef_15</t>
        </is>
      </c>
      <c r="AG16" t="inlineStr">
        <is>
          <t>elite_barrage</t>
        </is>
      </c>
      <c r="AH16" t="inlineStr">
        <is>
          <t>none</t>
        </is>
      </c>
      <c r="AI16" t="inlineStr"/>
      <c r="AJ16" t="inlineStr"/>
      <c r="AK16" t="inlineStr">
        <is>
          <t>artillery</t>
        </is>
      </c>
      <c r="AL16" t="inlineStr">
        <is>
          <t>doi</t>
        </is>
      </c>
      <c r="BG16" t="n">
        <v>1</v>
      </c>
      <c r="BH16" t="n">
        <v>1.1667</v>
      </c>
      <c r="BI16" t="n">
        <v>11</v>
      </c>
      <c r="BJ16" t="n">
        <v>1</v>
      </c>
      <c r="BK16" t="inlineStr">
        <is>
          <t>artillery</t>
        </is>
      </c>
      <c r="BL16" t="inlineStr"/>
      <c r="BM16" t="inlineStr"/>
      <c r="BN16" t="inlineStr">
        <is>
          <t>KHONG_AP_DUNG</t>
        </is>
      </c>
      <c r="BT16" t="n">
        <v>2</v>
      </c>
      <c r="BU16" t="n">
        <v>0</v>
      </c>
      <c r="BV16" t="n">
        <v>0</v>
      </c>
      <c r="BW16" t="n">
        <v>0</v>
      </c>
      <c r="CF16" t="n">
        <v>0</v>
      </c>
      <c r="CG16" t="n">
        <v>1.15</v>
      </c>
      <c r="CW16" t="b">
        <v>1</v>
      </c>
      <c r="CX16" t="inlineStr">
        <is>
          <t>artillery</t>
        </is>
      </c>
      <c r="DD16" t="n">
        <v>405</v>
      </c>
      <c r="DE16" t="inlineStr">
        <is>
          <t>artillery</t>
        </is>
      </c>
      <c r="EY16" t="inlineStr">
        <is>
          <t>elite_barrage</t>
        </is>
      </c>
      <c r="FN16" t="inlineStr">
        <is>
          <t>Assets/MachineBrigade/Resources/Data/balance.json: vehicles[59]</t>
        </is>
      </c>
      <c r="FO16" t="inlineStr">
        <is>
          <t>{"id":"elite_artillery","armour":[2,0,0,0],"inherits":"artillery","elite":true,"eliteOf":"artillery","cp":0,"hp":405,"skills":["elite_barrage"],"damageScale":1.15}</t>
        </is>
      </c>
    </row>
    <row r="17">
      <c r="A17" t="inlineStr">
        <is>
          <t>elite_attack_helicopter</t>
        </is>
      </c>
      <c r="B17" t="inlineStr">
        <is>
          <t>tinh_nhue</t>
        </is>
      </c>
      <c r="C17" t="inlineStr">
        <is>
          <t>Elite attack helicopter</t>
        </is>
      </c>
      <c r="D17" t="inlineStr">
        <is>
          <t>Trực thăng tinh nhuệ</t>
        </is>
      </c>
      <c r="E17" t="inlineStr">
        <is>
          <t>Trực thăng TN</t>
        </is>
      </c>
      <c r="F17" t="inlineStr"/>
      <c r="G17" t="inlineStr"/>
      <c r="H17" t="inlineStr"/>
      <c r="I17" t="n">
        <v>0</v>
      </c>
      <c r="J17" t="n">
        <v>675</v>
      </c>
      <c r="K17" t="n">
        <v>1485</v>
      </c>
      <c r="L17" t="n">
        <v>2</v>
      </c>
      <c r="M17" t="n">
        <v>2</v>
      </c>
      <c r="N17" t="n">
        <v>2</v>
      </c>
      <c r="O17" t="n">
        <v>2</v>
      </c>
      <c r="P17" t="b">
        <v>0</v>
      </c>
      <c r="Q17" t="n">
        <v>15</v>
      </c>
      <c r="R17" t="n">
        <v>120</v>
      </c>
      <c r="S17" t="n">
        <v>360</v>
      </c>
      <c r="T17" t="n">
        <v>42</v>
      </c>
      <c r="U17" t="n">
        <v>3.5</v>
      </c>
      <c r="V17" t="inlineStr"/>
      <c r="W17" t="inlineStr"/>
      <c r="X17" t="b">
        <v>1</v>
      </c>
      <c r="Y17" t="n">
        <v>15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hellfire_volley</t>
        </is>
      </c>
      <c r="AF17" t="inlineStr">
        <is>
          <t>heli_gun;heli_rockets;stinger_atas</t>
        </is>
      </c>
      <c r="AG17" t="inlineStr">
        <is>
          <t>elite_flares;elite_barrage</t>
        </is>
      </c>
      <c r="AH17" t="inlineStr">
        <is>
          <t>none</t>
        </is>
      </c>
      <c r="AI17" t="inlineStr"/>
      <c r="AJ17" t="inlineStr"/>
      <c r="AK17" t="inlineStr">
        <is>
          <t>elite_attack_helicopter</t>
        </is>
      </c>
      <c r="AL17" t="inlineStr">
        <is>
          <t>giong</t>
        </is>
      </c>
      <c r="BI17" t="n">
        <v>18</v>
      </c>
      <c r="BJ17" t="n">
        <v>1</v>
      </c>
      <c r="BK17" t="inlineStr">
        <is>
          <t>attack_helicopter</t>
        </is>
      </c>
      <c r="BL17" t="inlineStr"/>
      <c r="BM17" t="inlineStr"/>
      <c r="BN17" t="inlineStr">
        <is>
          <t>KHONG_AP_DUNG</t>
        </is>
      </c>
      <c r="BR17" t="n">
        <v>15</v>
      </c>
      <c r="BS17" t="n">
        <v>2</v>
      </c>
      <c r="BZ17" t="n">
        <v>0</v>
      </c>
      <c r="CF17" t="n">
        <v>0</v>
      </c>
      <c r="CH17" t="n">
        <v>90</v>
      </c>
      <c r="CI17" t="n">
        <v>0.6</v>
      </c>
      <c r="CJ17" t="n">
        <v>7</v>
      </c>
      <c r="CK17" t="inlineStr">
        <is>
          <t>Huge</t>
        </is>
      </c>
      <c r="CW17" t="b">
        <v>1</v>
      </c>
      <c r="CX17" t="inlineStr">
        <is>
          <t>attack_helicopter</t>
        </is>
      </c>
      <c r="CZ17" t="b">
        <v>1</v>
      </c>
      <c r="DB17" t="b">
        <v>1</v>
      </c>
      <c r="DD17" t="n">
        <v>675</v>
      </c>
      <c r="DN17" t="inlineStr">
        <is>
          <t>missile</t>
        </is>
      </c>
      <c r="EA17" t="n">
        <v>2.22</v>
      </c>
      <c r="EB17" t="n">
        <v>6.98</v>
      </c>
      <c r="EC17" t="n">
        <v>4.88</v>
      </c>
      <c r="EL17" t="n">
        <v>3.5</v>
      </c>
      <c r="EO17" t="n">
        <v>8.5</v>
      </c>
      <c r="ER17" t="n">
        <v>1</v>
      </c>
      <c r="EY17" t="inlineStr">
        <is>
          <t>elite_flares;elite_barrage</t>
        </is>
      </c>
      <c r="EZ17" t="n">
        <v>15</v>
      </c>
      <c r="FG17" t="n">
        <v>120</v>
      </c>
      <c r="FH17" t="n">
        <v>360</v>
      </c>
      <c r="FJ17" t="n">
        <v>42</v>
      </c>
      <c r="FL17" t="inlineStr">
        <is>
          <t>hellfire_volley</t>
        </is>
      </c>
      <c r="FN17" t="inlineStr">
        <is>
          <t>Assets/MachineBrigade/Resources/Data/balance.json: vehicles[51]</t>
        </is>
      </c>
      <c r="FO17" t="inlineStr">
        <is>
          <t>{"id":"elite_attack_helicopter","modelSize":[6.98,4.88,2.22],"rearmTime":8.5,"scale":1,"elite":true,"eliteOf":"attack_helicopter","armour":2,"hp":675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18">
      <c r="A18" t="inlineStr">
        <is>
          <t>elite_attack_jet</t>
        </is>
      </c>
      <c r="B18" t="inlineStr">
        <is>
          <t>tinh_nhue</t>
        </is>
      </c>
      <c r="C18" t="inlineStr">
        <is>
          <t>Elite attack jet</t>
        </is>
      </c>
      <c r="D18" t="inlineStr">
        <is>
          <t>Cường kích tinh nhuệ</t>
        </is>
      </c>
      <c r="E18" t="inlineStr">
        <is>
          <t>Cường kích TN</t>
        </is>
      </c>
      <c r="F18" t="inlineStr"/>
      <c r="G18" t="inlineStr"/>
      <c r="H18" t="inlineStr">
        <is>
          <t>attack_jet</t>
        </is>
      </c>
      <c r="I18" t="n">
        <v>0</v>
      </c>
      <c r="J18" t="n">
        <v>621</v>
      </c>
      <c r="K18" t="n">
        <v>1366.2001</v>
      </c>
      <c r="L18" t="n">
        <v>2</v>
      </c>
      <c r="M18" t="n">
        <v>2</v>
      </c>
      <c r="N18" t="n">
        <v>2</v>
      </c>
      <c r="O18" t="n">
        <v>2</v>
      </c>
      <c r="P18" t="b">
        <v>0</v>
      </c>
      <c r="Q18" t="n">
        <v>32</v>
      </c>
      <c r="R18" t="n">
        <v>104</v>
      </c>
      <c r="S18" t="n">
        <v>360</v>
      </c>
      <c r="T18" t="n">
        <v>50</v>
      </c>
      <c r="U18" t="n">
        <v>3.2</v>
      </c>
      <c r="V18" t="inlineStr"/>
      <c r="W18" t="inlineStr"/>
      <c r="X18" t="b">
        <v>1</v>
      </c>
      <c r="Y18" t="n">
        <v>30</v>
      </c>
      <c r="Z18" t="b">
        <v>0</v>
      </c>
      <c r="AA18" t="b">
        <v>1</v>
      </c>
      <c r="AB18" t="n">
        <v>0</v>
      </c>
      <c r="AC18" t="n">
        <v>5</v>
      </c>
      <c r="AD18" t="n">
        <v>1.4694</v>
      </c>
      <c r="AE18" t="inlineStr">
        <is>
          <t>jet_cannon</t>
        </is>
      </c>
      <c r="AF18" t="inlineStr">
        <is>
          <t>s8_pods;jet_bombs;kh29;r60</t>
        </is>
      </c>
      <c r="AG18" t="inlineStr">
        <is>
          <t>elite_flares</t>
        </is>
      </c>
      <c r="AH18" t="inlineStr">
        <is>
          <t>flare</t>
        </is>
      </c>
      <c r="AI18" t="n">
        <v>2</v>
      </c>
      <c r="AJ18" t="n">
        <v>14</v>
      </c>
      <c r="AK18" t="inlineStr">
        <is>
          <t>attack_jet</t>
        </is>
      </c>
      <c r="AL18" t="inlineStr">
        <is>
          <t>doi</t>
        </is>
      </c>
      <c r="BG18" t="n">
        <v>1</v>
      </c>
      <c r="BH18" t="n">
        <v>1.4694</v>
      </c>
      <c r="BI18" t="n">
        <v>37</v>
      </c>
      <c r="BJ18" t="n">
        <v>1</v>
      </c>
      <c r="BK18" t="inlineStr">
        <is>
          <t>attack_jet</t>
        </is>
      </c>
      <c r="BL18" t="inlineStr"/>
      <c r="BM18" t="inlineStr"/>
      <c r="BN18" t="inlineStr">
        <is>
          <t>KHONG_AP_DUNG</t>
        </is>
      </c>
      <c r="BS18" t="n">
        <v>2</v>
      </c>
      <c r="CF18" t="n">
        <v>0</v>
      </c>
      <c r="CG18" t="n">
        <v>1</v>
      </c>
      <c r="CW18" t="b">
        <v>1</v>
      </c>
      <c r="CX18" t="inlineStr">
        <is>
          <t>attack_jet</t>
        </is>
      </c>
      <c r="DD18" t="n">
        <v>621</v>
      </c>
      <c r="DE18" t="inlineStr">
        <is>
          <t>attack_jet</t>
        </is>
      </c>
      <c r="EO18" t="n">
        <v>14</v>
      </c>
      <c r="EY18" t="inlineStr">
        <is>
          <t>elite_flares</t>
        </is>
      </c>
      <c r="FN18" t="inlineStr">
        <is>
          <t>Assets/MachineBrigade/Resources/Data/balance.json: vehicles[57]</t>
        </is>
      </c>
      <c r="FO18" t="inlineStr">
        <is>
          <t>{"id":"elite_attack_jet","armour":2,"rearmTime":14,"inherits":"attack_jet","elite":true,"eliteOf":"attack_jet","cp":0,"hp":621,"skills":["elite_flares"],"damageScale":1.0}</t>
        </is>
      </c>
    </row>
    <row r="19">
      <c r="A19" t="inlineStr">
        <is>
          <t>elite_fpv_carrier</t>
        </is>
      </c>
      <c r="B19" t="inlineStr">
        <is>
          <t>tinh_nhue</t>
        </is>
      </c>
      <c r="C19" t="inlineStr">
        <is>
          <t>Elite FPV carrier</t>
        </is>
      </c>
      <c r="D19" t="inlineStr">
        <is>
          <t>Xe phóng drone FPV tinh nhuệ</t>
        </is>
      </c>
      <c r="E19" t="inlineStr">
        <is>
          <t>Drone FPV TN</t>
        </is>
      </c>
      <c r="F19" t="inlineStr">
        <is>
          <t>TankHunter</t>
        </is>
      </c>
      <c r="G19" t="inlineStr">
        <is>
          <t>Armor</t>
        </is>
      </c>
      <c r="H19" t="inlineStr">
        <is>
          <t>fpv_carrier</t>
        </is>
      </c>
      <c r="I19" t="n">
        <v>0</v>
      </c>
      <c r="J19" t="n">
        <v>567</v>
      </c>
      <c r="K19" t="n">
        <v>1247.4</v>
      </c>
      <c r="L19" t="n">
        <v>2</v>
      </c>
      <c r="M19" t="n">
        <v>0</v>
      </c>
      <c r="N19" t="n">
        <v>0</v>
      </c>
      <c r="O19" t="n">
        <v>0</v>
      </c>
      <c r="P19" t="b">
        <v>0</v>
      </c>
      <c r="Q19" t="n">
        <v>9</v>
      </c>
      <c r="R19" t="n">
        <v>90</v>
      </c>
      <c r="S19" t="n">
        <v>90</v>
      </c>
      <c r="T19" t="n">
        <v>48</v>
      </c>
      <c r="U19" t="n">
        <v>2.3</v>
      </c>
      <c r="V19" t="n">
        <v>7.41</v>
      </c>
      <c r="W19" t="n">
        <v>2.04</v>
      </c>
      <c r="X19" t="b">
        <v>0</v>
      </c>
      <c r="Y19" t="n">
        <v>0</v>
      </c>
      <c r="Z19" t="b">
        <v>0</v>
      </c>
      <c r="AA19" t="b">
        <v>0</v>
      </c>
      <c r="AB19" t="n">
        <v>1</v>
      </c>
      <c r="AC19" t="n">
        <v>3.5</v>
      </c>
      <c r="AD19" t="n">
        <v>1.1667</v>
      </c>
      <c r="AE19" t="inlineStr">
        <is>
          <t>fpv_swarm</t>
        </is>
      </c>
      <c r="AF19" t="inlineStr">
        <is>
          <t>hmg_selfdef_18</t>
        </is>
      </c>
      <c r="AG19" t="inlineStr">
        <is>
          <t>elite_barrage</t>
        </is>
      </c>
      <c r="AH19" t="inlineStr">
        <is>
          <t>none</t>
        </is>
      </c>
      <c r="AI19" t="inlineStr"/>
      <c r="AJ19" t="inlineStr"/>
      <c r="AK19" t="inlineStr">
        <is>
          <t>fpv_carrier</t>
        </is>
      </c>
      <c r="AL19" t="inlineStr">
        <is>
          <t>doi</t>
        </is>
      </c>
      <c r="BG19" t="n">
        <v>1</v>
      </c>
      <c r="BH19" t="n">
        <v>1.1667</v>
      </c>
      <c r="BI19" t="n">
        <v>11</v>
      </c>
      <c r="BJ19" t="n">
        <v>1</v>
      </c>
      <c r="BK19" t="inlineStr">
        <is>
          <t>fpv_carrier</t>
        </is>
      </c>
      <c r="BL19" t="inlineStr"/>
      <c r="BM19" t="inlineStr"/>
      <c r="BN19" t="inlineStr">
        <is>
          <t>KHONG_AP_DUNG</t>
        </is>
      </c>
      <c r="BT19" t="n">
        <v>2</v>
      </c>
      <c r="BU19" t="n">
        <v>0</v>
      </c>
      <c r="BV19" t="n">
        <v>0</v>
      </c>
      <c r="BW19" t="n">
        <v>0</v>
      </c>
      <c r="CF19" t="n">
        <v>0</v>
      </c>
      <c r="CG19" t="n">
        <v>1.1</v>
      </c>
      <c r="CW19" t="b">
        <v>1</v>
      </c>
      <c r="CX19" t="inlineStr">
        <is>
          <t>fpv_carrier</t>
        </is>
      </c>
      <c r="DD19" t="n">
        <v>567</v>
      </c>
      <c r="DE19" t="inlineStr">
        <is>
          <t>fpv_carrier</t>
        </is>
      </c>
      <c r="EY19" t="inlineStr">
        <is>
          <t>elite_barrage</t>
        </is>
      </c>
      <c r="FN19" t="inlineStr">
        <is>
          <t>Assets/MachineBrigade/Resources/Data/balance.json: vehicles[56]</t>
        </is>
      </c>
      <c r="FO19" t="inlineStr">
        <is>
          <t>{"id":"elite_fpv_carrier","armour":[2,0,0,0],"inherits":"fpv_carrier","elite":true,"eliteOf":"fpv_carrier","cp":0,"hp":567,"skills":["elite_barrage"],"damageScale":1.1}</t>
        </is>
      </c>
    </row>
    <row r="20">
      <c r="A20" t="inlineStr">
        <is>
          <t>elite_grad</t>
        </is>
      </c>
      <c r="B20" t="inlineStr">
        <is>
          <t>tinh_nhue</t>
        </is>
      </c>
      <c r="C20" t="inlineStr">
        <is>
          <t>Elite Grad</t>
        </is>
      </c>
      <c r="D20" t="inlineStr">
        <is>
          <t>Grad tinh nhuệ</t>
        </is>
      </c>
      <c r="E20" t="inlineStr">
        <is>
          <t>Grad TN</t>
        </is>
      </c>
      <c r="F20" t="inlineStr">
        <is>
          <t>Artillery</t>
        </is>
      </c>
      <c r="G20" t="inlineStr">
        <is>
          <t>Artillery</t>
        </is>
      </c>
      <c r="H20" t="inlineStr"/>
      <c r="I20" t="n">
        <v>0</v>
      </c>
      <c r="J20" t="n">
        <v>432</v>
      </c>
      <c r="K20" t="n">
        <v>950.4</v>
      </c>
      <c r="L20" t="n">
        <v>2</v>
      </c>
      <c r="M20" t="n">
        <v>0</v>
      </c>
      <c r="N20" t="n">
        <v>0</v>
      </c>
      <c r="O20" t="n">
        <v>0</v>
      </c>
      <c r="P20" t="b">
        <v>0</v>
      </c>
      <c r="Q20" t="n">
        <v>8.5</v>
      </c>
      <c r="R20" t="n">
        <v>70</v>
      </c>
      <c r="S20" t="n">
        <v>60</v>
      </c>
      <c r="T20" t="n">
        <v>30</v>
      </c>
      <c r="U20" t="n">
        <v>2.4</v>
      </c>
      <c r="V20" t="n">
        <v>7.144</v>
      </c>
      <c r="W20" t="n">
        <v>2.4225</v>
      </c>
      <c r="X20" t="b">
        <v>0</v>
      </c>
      <c r="Y20" t="n">
        <v>0</v>
      </c>
      <c r="Z20" t="b">
        <v>0</v>
      </c>
      <c r="AA20" t="b">
        <v>0</v>
      </c>
      <c r="AB20" t="n">
        <v>1</v>
      </c>
      <c r="AC20" t="n">
        <v>3.5</v>
      </c>
      <c r="AD20" t="n">
        <v>1</v>
      </c>
      <c r="AE20" t="inlineStr">
        <is>
          <t>grad_cluster</t>
        </is>
      </c>
      <c r="AF20" t="inlineStr">
        <is>
          <t>hmg_selfdef_15</t>
        </is>
      </c>
      <c r="AG20" t="inlineStr">
        <is>
          <t>elite_barrage</t>
        </is>
      </c>
      <c r="AH20" t="inlineStr">
        <is>
          <t>none</t>
        </is>
      </c>
      <c r="AI20" t="inlineStr"/>
      <c r="AJ20" t="inlineStr"/>
      <c r="AK20" t="inlineStr">
        <is>
          <t>grad_truck</t>
        </is>
      </c>
      <c r="AL20" t="inlineStr">
        <is>
          <t>giong</t>
        </is>
      </c>
      <c r="BI20" t="n">
        <v>13</v>
      </c>
      <c r="BJ20" t="n">
        <v>1</v>
      </c>
      <c r="BK20" t="inlineStr">
        <is>
          <t>mlrs</t>
        </is>
      </c>
      <c r="BL20" t="inlineStr"/>
      <c r="BM20" t="inlineStr"/>
      <c r="BN20" t="inlineStr">
        <is>
          <t>KHONG_AP_DUNG</t>
        </is>
      </c>
      <c r="BT20" t="n">
        <v>2</v>
      </c>
      <c r="BU20" t="n">
        <v>0</v>
      </c>
      <c r="BV20" t="n">
        <v>0</v>
      </c>
      <c r="BW20" t="n">
        <v>0</v>
      </c>
      <c r="CC20" t="inlineStr">
        <is>
          <t>Artillery</t>
        </is>
      </c>
      <c r="CF20" t="n">
        <v>0</v>
      </c>
      <c r="CH20" t="n">
        <v>150</v>
      </c>
      <c r="CI20" t="n">
        <v>0.35</v>
      </c>
      <c r="CJ20" t="n">
        <v>10</v>
      </c>
      <c r="CK20" t="inlineStr">
        <is>
          <t>Ultimate</t>
        </is>
      </c>
      <c r="CW20" t="b">
        <v>1</v>
      </c>
      <c r="CX20" t="inlineStr">
        <is>
          <t>mlrs</t>
        </is>
      </c>
      <c r="CY20" t="n">
        <v>1</v>
      </c>
      <c r="CZ20" t="b">
        <v>0</v>
      </c>
      <c r="DD20" t="n">
        <v>432</v>
      </c>
      <c r="DI20" t="n">
        <v>7.52</v>
      </c>
      <c r="DZ20" t="inlineStr">
        <is>
          <t>grad_truck</t>
        </is>
      </c>
      <c r="EL20" t="n">
        <v>2.4</v>
      </c>
      <c r="ER20" t="n">
        <v>0.95</v>
      </c>
      <c r="EY20" t="inlineStr">
        <is>
          <t>elite_barrage</t>
        </is>
      </c>
      <c r="EZ20" t="n">
        <v>8.5</v>
      </c>
      <c r="FG20" t="n">
        <v>70</v>
      </c>
      <c r="FH20" t="n">
        <v>60</v>
      </c>
      <c r="FJ20" t="n">
        <v>30</v>
      </c>
      <c r="FL20" t="inlineStr">
        <is>
          <t>grad_cluster</t>
        </is>
      </c>
      <c r="FM20" t="n">
        <v>2.55</v>
      </c>
      <c r="FN20" t="inlineStr">
        <is>
          <t>Assets/MachineBrigade/Resources/Data/balance.json: vehicles[55]</t>
        </is>
      </c>
      <c r="FO20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1">
      <c r="A21" t="inlineStr">
        <is>
          <t>elite_heavy_tank</t>
        </is>
      </c>
      <c r="B21" t="inlineStr">
        <is>
          <t>tinh_nhue</t>
        </is>
      </c>
      <c r="C21" t="inlineStr">
        <is>
          <t>Elite heavy tank</t>
        </is>
      </c>
      <c r="D21" t="inlineStr">
        <is>
          <t>Tăng hạng nặng tinh nhuệ</t>
        </is>
      </c>
      <c r="E21" t="inlineStr">
        <is>
          <t>Tăng nặng TN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0</v>
      </c>
      <c r="J21" t="n">
        <v>2560</v>
      </c>
      <c r="K21" t="n">
        <v>5632</v>
      </c>
      <c r="L21" t="n">
        <v>5</v>
      </c>
      <c r="M21" t="n">
        <v>3</v>
      </c>
      <c r="N21" t="n">
        <v>2</v>
      </c>
      <c r="O21" t="n">
        <v>2</v>
      </c>
      <c r="P21" t="b">
        <v>0</v>
      </c>
      <c r="Q21" t="n">
        <v>4.6</v>
      </c>
      <c r="R21" t="n">
        <v>45</v>
      </c>
      <c r="S21" t="n">
        <v>45</v>
      </c>
      <c r="T21" t="n">
        <v>36</v>
      </c>
      <c r="U21" t="n">
        <v>2.9</v>
      </c>
      <c r="V21" t="n">
        <v>7.53</v>
      </c>
      <c r="W21" t="n">
        <v>3.46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</v>
      </c>
      <c r="AE21" t="inlineStr">
        <is>
          <t>gun_152_heat</t>
        </is>
      </c>
      <c r="AF21" t="inlineStr">
        <is>
          <t>autocannon_30;hmg_roof</t>
        </is>
      </c>
      <c r="AG21" t="inlineStr">
        <is>
          <t>elite_overdrive</t>
        </is>
      </c>
      <c r="AH21" t="inlineStr">
        <is>
          <t>none</t>
        </is>
      </c>
      <c r="AI21" t="inlineStr"/>
      <c r="AJ21" t="inlineStr"/>
      <c r="AK21" t="inlineStr">
        <is>
          <t>elite_heavy_tank</t>
        </is>
      </c>
      <c r="AL21" t="inlineStr">
        <is>
          <t>doi</t>
        </is>
      </c>
      <c r="AQ21" t="n">
        <v>4</v>
      </c>
      <c r="AR21" t="n">
        <v>5</v>
      </c>
      <c r="BI21" t="n">
        <v>26</v>
      </c>
      <c r="BJ21" t="n">
        <v>1</v>
      </c>
      <c r="BK21" t="inlineStr">
        <is>
          <t>heavy_tank</t>
        </is>
      </c>
      <c r="BL21" t="inlineStr"/>
      <c r="BM21" t="inlineStr"/>
      <c r="BN21" t="inlineStr">
        <is>
          <t>KHONG_AP_DUNG</t>
        </is>
      </c>
      <c r="BT21" t="n">
        <v>5</v>
      </c>
      <c r="BU21" t="n">
        <v>2</v>
      </c>
      <c r="BV21" t="n">
        <v>3</v>
      </c>
      <c r="BW21" t="n">
        <v>2</v>
      </c>
      <c r="CC21" t="inlineStr">
        <is>
          <t>Heavy</t>
        </is>
      </c>
      <c r="CF21" t="n">
        <v>0</v>
      </c>
      <c r="CH21" t="n">
        <v>200</v>
      </c>
      <c r="CI21" t="n">
        <v>0.5</v>
      </c>
      <c r="CJ21" t="n">
        <v>10</v>
      </c>
      <c r="CK21" t="inlineStr">
        <is>
          <t>Ultimate</t>
        </is>
      </c>
      <c r="CW21" t="b">
        <v>1</v>
      </c>
      <c r="CX21" t="inlineStr">
        <is>
          <t>heavy_tank</t>
        </is>
      </c>
      <c r="CZ21" t="b">
        <v>1</v>
      </c>
      <c r="DD21" t="n">
        <v>2560</v>
      </c>
      <c r="DI21" t="n">
        <v>7.53</v>
      </c>
      <c r="EA21" t="n">
        <v>2.53</v>
      </c>
      <c r="EB21" t="n">
        <v>9.640000000000001</v>
      </c>
      <c r="EC21" t="n">
        <v>3.46</v>
      </c>
      <c r="EL21" t="n">
        <v>2.9</v>
      </c>
      <c r="ER21" t="n">
        <v>1</v>
      </c>
      <c r="EY21" t="inlineStr">
        <is>
          <t>elite_overdrive</t>
        </is>
      </c>
      <c r="EZ21" t="n">
        <v>4.6</v>
      </c>
      <c r="FG21" t="n">
        <v>45</v>
      </c>
      <c r="FH21" t="n">
        <v>45</v>
      </c>
      <c r="FJ21" t="n">
        <v>36</v>
      </c>
      <c r="FL21" t="inlineStr">
        <is>
          <t>gun_152_heat</t>
        </is>
      </c>
      <c r="FM21" t="n">
        <v>3.46</v>
      </c>
      <c r="FN21" t="inlineStr">
        <is>
          <t>Assets/MachineBrigade/Resources/Data/balance.json: vehicles[49]</t>
        </is>
      </c>
      <c r="FO21" t="inlineStr">
        <is>
          <t>{"id":"elite_heavy_tank","modelSize":[9.64,3.46,2.53],"scale":1,"class":"Heavy","elite":true,"eliteOf":"heavy_tank","armour":[5,3,2,2],"hp":2560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22">
      <c r="A22" t="inlineStr">
        <is>
          <t>elite_long_sam</t>
        </is>
      </c>
      <c r="B22" t="inlineStr">
        <is>
          <t>tinh_nhue</t>
        </is>
      </c>
      <c r="C22" t="inlineStr">
        <is>
          <t>Elite long-range SAM</t>
        </is>
      </c>
      <c r="D22" t="inlineStr">
        <is>
          <t>Tên lửa phòng không tầm xa tinh nhuệ</t>
        </is>
      </c>
      <c r="E22" t="inlineStr">
        <is>
          <t>SAM tầm xa TN</t>
        </is>
      </c>
      <c r="F22" t="inlineStr">
        <is>
          <t>AntiAir</t>
        </is>
      </c>
      <c r="G22" t="inlineStr">
        <is>
          <t>Light</t>
        </is>
      </c>
      <c r="H22" t="inlineStr">
        <is>
          <t>long_sam</t>
        </is>
      </c>
      <c r="I22" t="n">
        <v>0</v>
      </c>
      <c r="J22" t="n">
        <v>594</v>
      </c>
      <c r="K22" t="n">
        <v>1306.8</v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6</v>
      </c>
      <c r="R22" t="n">
        <v>60</v>
      </c>
      <c r="S22" t="n">
        <v>60</v>
      </c>
      <c r="T22" t="n">
        <v>80</v>
      </c>
      <c r="U22" t="n">
        <v>2.8</v>
      </c>
      <c r="V22" t="n">
        <v>11.02</v>
      </c>
      <c r="W22" t="n">
        <v>2.44</v>
      </c>
      <c r="X22" t="b">
        <v>0</v>
      </c>
      <c r="Y22" t="n">
        <v>0</v>
      </c>
      <c r="Z22" t="b">
        <v>0</v>
      </c>
      <c r="AA22" t="b">
        <v>0</v>
      </c>
      <c r="AB22" t="n">
        <v>0</v>
      </c>
      <c r="AC22" t="n">
        <v>5</v>
      </c>
      <c r="AD22" t="n">
        <v>1.4464</v>
      </c>
      <c r="AE22" t="inlineStr">
        <is>
          <t>sam_48n6</t>
        </is>
      </c>
      <c r="AF22" t="inlineStr"/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long_sam</t>
        </is>
      </c>
      <c r="AL22" t="inlineStr">
        <is>
          <t>doi</t>
        </is>
      </c>
      <c r="BG22" t="n">
        <v>1</v>
      </c>
      <c r="BH22" t="n">
        <v>1.4464</v>
      </c>
      <c r="BI22" t="n">
        <v>29</v>
      </c>
      <c r="BJ22" t="n">
        <v>1</v>
      </c>
      <c r="BK22" t="inlineStr">
        <is>
          <t>long_sam</t>
        </is>
      </c>
      <c r="BL22" t="inlineStr"/>
      <c r="BM22" t="inlineStr"/>
      <c r="BN22" t="inlineStr">
        <is>
          <t>KHONG_AP_DUNG</t>
        </is>
      </c>
      <c r="BT22" t="n">
        <v>2</v>
      </c>
      <c r="BU22" t="n">
        <v>0</v>
      </c>
      <c r="BV22" t="n">
        <v>0</v>
      </c>
      <c r="BW22" t="n">
        <v>0</v>
      </c>
      <c r="CF22" t="n">
        <v>0</v>
      </c>
      <c r="CG22" t="n">
        <v>1.2</v>
      </c>
      <c r="CW22" t="b">
        <v>1</v>
      </c>
      <c r="CX22" t="inlineStr">
        <is>
          <t>long_sam</t>
        </is>
      </c>
      <c r="CY22" t="n">
        <v>1.6</v>
      </c>
      <c r="DD22" t="n">
        <v>594</v>
      </c>
      <c r="DE22" t="inlineStr">
        <is>
          <t>long_sam</t>
        </is>
      </c>
      <c r="EY22" t="inlineStr">
        <is>
          <t>elite_overdrive</t>
        </is>
      </c>
      <c r="FN22" t="inlineStr">
        <is>
          <t>Assets/MachineBrigade/Resources/Data/balance.json: vehicles[58]</t>
        </is>
      </c>
      <c r="FO22" t="inlineStr">
        <is>
          <t>{"id":"elite_long_sam","erectSeconds":1.6,"armour":[2,0,0,0],"inherits":"long_sam","elite":true,"eliteOf":"long_sam","cp":0,"hp":594,"skills":["elite_overdrive"],"damageScale":1.2}</t>
        </is>
      </c>
    </row>
    <row r="23">
      <c r="A23" t="inlineStr">
        <is>
          <t>elite_mbt</t>
        </is>
      </c>
      <c r="B23" t="inlineStr">
        <is>
          <t>tinh_nhue</t>
        </is>
      </c>
      <c r="C23" t="inlineStr">
        <is>
          <t>Elite battle tank</t>
        </is>
      </c>
      <c r="D23" t="inlineStr">
        <is>
          <t>Tăng chủ lực tinh nhuệ</t>
        </is>
      </c>
      <c r="E23" t="inlineStr">
        <is>
          <t>Tăng tinh nhuệ</t>
        </is>
      </c>
      <c r="F23" t="inlineStr">
        <is>
          <t>Tank</t>
        </is>
      </c>
      <c r="G23" t="inlineStr">
        <is>
          <t>Armor</t>
        </is>
      </c>
      <c r="H23" t="inlineStr"/>
      <c r="I23" t="n">
        <v>0</v>
      </c>
      <c r="J23" t="n">
        <v>1215</v>
      </c>
      <c r="K23" t="n">
        <v>2673</v>
      </c>
      <c r="L23" t="n">
        <v>4</v>
      </c>
      <c r="M23" t="n">
        <v>2</v>
      </c>
      <c r="N23" t="n">
        <v>1</v>
      </c>
      <c r="O23" t="n">
        <v>1</v>
      </c>
      <c r="P23" t="b">
        <v>0</v>
      </c>
      <c r="Q23" t="n">
        <v>6.2</v>
      </c>
      <c r="R23" t="n">
        <v>60</v>
      </c>
      <c r="S23" t="n">
        <v>75</v>
      </c>
      <c r="T23" t="n">
        <v>34</v>
      </c>
      <c r="U23" t="n">
        <v>2.5</v>
      </c>
      <c r="V23" t="n">
        <v>7.02</v>
      </c>
      <c r="W23" t="n">
        <v>3.53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gun_125_elite</t>
        </is>
      </c>
      <c r="AF23" t="inlineStr">
        <is>
          <t>mg_coax;hmg_roof</t>
        </is>
      </c>
      <c r="AG23" t="inlineStr">
        <is>
          <t>elite_shield</t>
        </is>
      </c>
      <c r="AH23" t="inlineStr">
        <is>
          <t>none</t>
        </is>
      </c>
      <c r="AI23" t="inlineStr"/>
      <c r="AJ23" t="inlineStr"/>
      <c r="AK23" t="inlineStr">
        <is>
          <t>elite_mbt</t>
        </is>
      </c>
      <c r="AL23" t="inlineStr">
        <is>
          <t>giong</t>
        </is>
      </c>
      <c r="BI23" t="n">
        <v>13</v>
      </c>
      <c r="BJ23" t="n">
        <v>1</v>
      </c>
      <c r="BK23" t="inlineStr">
        <is>
          <t>main_battle_tank</t>
        </is>
      </c>
      <c r="BL23" t="inlineStr"/>
      <c r="BM23" t="inlineStr"/>
      <c r="BN23" t="inlineStr">
        <is>
          <t>KHONG_AP_DUNG</t>
        </is>
      </c>
      <c r="BT23" t="n">
        <v>4</v>
      </c>
      <c r="BU23" t="n">
        <v>1</v>
      </c>
      <c r="BV23" t="n">
        <v>2</v>
      </c>
      <c r="BW23" t="n">
        <v>1</v>
      </c>
      <c r="CC23" t="inlineStr">
        <is>
          <t>Tank</t>
        </is>
      </c>
      <c r="CF23" t="n">
        <v>0</v>
      </c>
      <c r="CH23" t="n">
        <v>140</v>
      </c>
      <c r="CI23" t="n">
        <v>0.4</v>
      </c>
      <c r="CJ23" t="n">
        <v>8</v>
      </c>
      <c r="CK23" t="inlineStr">
        <is>
          <t>Huge</t>
        </is>
      </c>
      <c r="CW23" t="b">
        <v>1</v>
      </c>
      <c r="CX23" t="inlineStr">
        <is>
          <t>main_battle_tank</t>
        </is>
      </c>
      <c r="CZ23" t="b">
        <v>1</v>
      </c>
      <c r="DD23" t="n">
        <v>1215</v>
      </c>
      <c r="DI23" t="n">
        <v>7.02</v>
      </c>
      <c r="EA23" t="n">
        <v>2.64</v>
      </c>
      <c r="EB23" t="n">
        <v>8.960000000000001</v>
      </c>
      <c r="EC23" t="n">
        <v>3.53</v>
      </c>
      <c r="EL23" t="n">
        <v>2.5</v>
      </c>
      <c r="ER23" t="n">
        <v>1</v>
      </c>
      <c r="EY23" t="inlineStr">
        <is>
          <t>elite_shield</t>
        </is>
      </c>
      <c r="EZ23" t="n">
        <v>6.2</v>
      </c>
      <c r="FG23" t="n">
        <v>60</v>
      </c>
      <c r="FH23" t="n">
        <v>75</v>
      </c>
      <c r="FJ23" t="n">
        <v>34</v>
      </c>
      <c r="FL23" t="inlineStr">
        <is>
          <t>gun_125_elite</t>
        </is>
      </c>
      <c r="FM23" t="n">
        <v>3.53</v>
      </c>
      <c r="FN23" t="inlineStr">
        <is>
          <t>Assets/MachineBrigade/Resources/Data/balance.json: vehicles[48]</t>
        </is>
      </c>
      <c r="FO23" t="inlineStr">
        <is>
          <t>{"id":"elite_mbt","modelSize":[8.96,3.53,2.64],"scale":1,"class":"Tank","elite":true,"eliteOf":"main_battle_tank","armour":[4,2,1,1],"hp":1215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24">
      <c r="A24" t="inlineStr">
        <is>
          <t>elite_mlrs</t>
        </is>
      </c>
      <c r="B24" t="inlineStr">
        <is>
          <t>tinh_nhue</t>
        </is>
      </c>
      <c r="C24" t="inlineStr">
        <is>
          <t>Elite rocket launcher</t>
        </is>
      </c>
      <c r="D24" t="inlineStr">
        <is>
          <t>Pháo phản lực tinh nhuệ</t>
        </is>
      </c>
      <c r="E24" t="inlineStr">
        <is>
          <t>Phản lực TN</t>
        </is>
      </c>
      <c r="F24" t="inlineStr">
        <is>
          <t>Artillery</t>
        </is>
      </c>
      <c r="G24" t="inlineStr">
        <is>
          <t>Artillery</t>
        </is>
      </c>
      <c r="H24" t="inlineStr"/>
      <c r="I24" t="n">
        <v>0</v>
      </c>
      <c r="J24" t="n">
        <v>432</v>
      </c>
      <c r="K24" t="n">
        <v>950.4</v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6.5</v>
      </c>
      <c r="R24" t="n">
        <v>60</v>
      </c>
      <c r="S24" t="n">
        <v>40</v>
      </c>
      <c r="T24" t="n">
        <v>30</v>
      </c>
      <c r="U24" t="n">
        <v>2.5</v>
      </c>
      <c r="V24" t="n">
        <v>6.68</v>
      </c>
      <c r="W24" t="n">
        <v>2.3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</v>
      </c>
      <c r="AE24" t="inlineStr">
        <is>
          <t>mlrs_elite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elite_mlrs</t>
        </is>
      </c>
      <c r="AL24" t="inlineStr">
        <is>
          <t>giong</t>
        </is>
      </c>
      <c r="BI24" t="n">
        <v>13</v>
      </c>
      <c r="BJ24" t="n">
        <v>1</v>
      </c>
      <c r="BK24" t="inlineStr">
        <is>
          <t>mlrs</t>
        </is>
      </c>
      <c r="BL24" t="inlineStr"/>
      <c r="BM24" t="inlineStr"/>
      <c r="BN24" t="inlineStr">
        <is>
          <t>KHONG_AP_DUNG</t>
        </is>
      </c>
      <c r="BT24" t="n">
        <v>2</v>
      </c>
      <c r="BU24" t="n">
        <v>0</v>
      </c>
      <c r="BV24" t="n">
        <v>0</v>
      </c>
      <c r="BW24" t="n">
        <v>0</v>
      </c>
      <c r="CC24" t="inlineStr">
        <is>
          <t>Artillery</t>
        </is>
      </c>
      <c r="CF24" t="n">
        <v>0</v>
      </c>
      <c r="CH24" t="n">
        <v>160</v>
      </c>
      <c r="CI24" t="n">
        <v>0.4</v>
      </c>
      <c r="CJ24" t="n">
        <v>10</v>
      </c>
      <c r="CK24" t="inlineStr">
        <is>
          <t>Ultimate</t>
        </is>
      </c>
      <c r="CW24" t="b">
        <v>1</v>
      </c>
      <c r="CX24" t="inlineStr">
        <is>
          <t>mlrs</t>
        </is>
      </c>
      <c r="CY24" t="n">
        <v>1.1</v>
      </c>
      <c r="CZ24" t="b">
        <v>0</v>
      </c>
      <c r="DD24" t="n">
        <v>432</v>
      </c>
      <c r="DI24" t="n">
        <v>6.68</v>
      </c>
      <c r="EA24" t="n">
        <v>2.99</v>
      </c>
      <c r="EB24" t="n">
        <v>7.01</v>
      </c>
      <c r="EC24" t="n">
        <v>2.3</v>
      </c>
      <c r="EL24" t="n">
        <v>2.5</v>
      </c>
      <c r="ER24" t="n">
        <v>1</v>
      </c>
      <c r="EY24" t="inlineStr">
        <is>
          <t>elite_barrage</t>
        </is>
      </c>
      <c r="EZ24" t="n">
        <v>6.5</v>
      </c>
      <c r="FG24" t="n">
        <v>60</v>
      </c>
      <c r="FH24" t="n">
        <v>40</v>
      </c>
      <c r="FJ24" t="n">
        <v>30</v>
      </c>
      <c r="FL24" t="inlineStr">
        <is>
          <t>mlrs_elite</t>
        </is>
      </c>
      <c r="FM24" t="n">
        <v>2.3</v>
      </c>
      <c r="FN24" t="inlineStr">
        <is>
          <t>Assets/MachineBrigade/Resources/Data/balance.json: vehicles[52]</t>
        </is>
      </c>
      <c r="FO24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25">
      <c r="A25" t="inlineStr">
        <is>
          <t>elite_tank_destroyer</t>
        </is>
      </c>
      <c r="B25" t="inlineStr">
        <is>
          <t>tinh_nhue</t>
        </is>
      </c>
      <c r="C25" t="inlineStr">
        <is>
          <t>Elite tank destroyer</t>
        </is>
      </c>
      <c r="D25" t="inlineStr">
        <is>
          <t>Pháo chống tăng tinh nhuệ</t>
        </is>
      </c>
      <c r="E25" t="inlineStr">
        <is>
          <t>Chống tăng TN</t>
        </is>
      </c>
      <c r="F25" t="inlineStr">
        <is>
          <t>TankHunter</t>
        </is>
      </c>
      <c r="G25" t="inlineStr">
        <is>
          <t>Armor</t>
        </is>
      </c>
      <c r="H25" t="inlineStr"/>
      <c r="I25" t="n">
        <v>0</v>
      </c>
      <c r="J25" t="n">
        <v>837</v>
      </c>
      <c r="K25" t="n">
        <v>1841.4</v>
      </c>
      <c r="L25" t="n">
        <v>4</v>
      </c>
      <c r="M25" t="n">
        <v>2</v>
      </c>
      <c r="N25" t="n">
        <v>1</v>
      </c>
      <c r="O25" t="n">
        <v>1</v>
      </c>
      <c r="P25" t="b">
        <v>0</v>
      </c>
      <c r="Q25" t="n">
        <v>7.5</v>
      </c>
      <c r="R25" t="n">
        <v>70</v>
      </c>
      <c r="S25" t="n">
        <v>60</v>
      </c>
      <c r="T25" t="n">
        <v>40</v>
      </c>
      <c r="U25" t="n">
        <v>2.7</v>
      </c>
      <c r="V25" t="n">
        <v>6.58</v>
      </c>
      <c r="W25" t="n">
        <v>3.01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</v>
      </c>
      <c r="AE25" t="inlineStr">
        <is>
          <t>gun_105_apfsds</t>
        </is>
      </c>
      <c r="AF25" t="inlineStr">
        <is>
          <t>hmg_roof</t>
        </is>
      </c>
      <c r="AG25" t="inlineStr">
        <is>
          <t>elite_barrage</t>
        </is>
      </c>
      <c r="AH25" t="inlineStr">
        <is>
          <t>none</t>
        </is>
      </c>
      <c r="AI25" t="inlineStr"/>
      <c r="AJ25" t="inlineStr"/>
      <c r="AK25" t="inlineStr">
        <is>
          <t>elite_tank_destroyer</t>
        </is>
      </c>
      <c r="AL25" t="inlineStr">
        <is>
          <t>giong</t>
        </is>
      </c>
      <c r="BI25" t="n">
        <v>11</v>
      </c>
      <c r="BJ25" t="n">
        <v>1</v>
      </c>
      <c r="BK25" t="inlineStr">
        <is>
          <t>tank_destroyer</t>
        </is>
      </c>
      <c r="BL25" t="inlineStr"/>
      <c r="BM25" t="inlineStr"/>
      <c r="BN25" t="inlineStr">
        <is>
          <t>KHONG_AP_DUNG</t>
        </is>
      </c>
      <c r="BT25" t="n">
        <v>4</v>
      </c>
      <c r="BU25" t="n">
        <v>1</v>
      </c>
      <c r="BV25" t="n">
        <v>2</v>
      </c>
      <c r="BW25" t="n">
        <v>1</v>
      </c>
      <c r="CC25" t="inlineStr">
        <is>
          <t>TankHunter</t>
        </is>
      </c>
      <c r="CF25" t="n">
        <v>0</v>
      </c>
      <c r="CH25" t="n">
        <v>120</v>
      </c>
      <c r="CI25" t="n">
        <v>0.4</v>
      </c>
      <c r="CJ25" t="n">
        <v>8</v>
      </c>
      <c r="CK25" t="inlineStr">
        <is>
          <t>Huge</t>
        </is>
      </c>
      <c r="CW25" t="b">
        <v>1</v>
      </c>
      <c r="CX25" t="inlineStr">
        <is>
          <t>tank_destroyer</t>
        </is>
      </c>
      <c r="CZ25" t="b">
        <v>1</v>
      </c>
      <c r="DD25" t="n">
        <v>837</v>
      </c>
      <c r="DI25" t="n">
        <v>6.58</v>
      </c>
      <c r="EA25" t="n">
        <v>2.34</v>
      </c>
      <c r="EB25" t="n">
        <v>9.08</v>
      </c>
      <c r="EC25" t="n">
        <v>3.01</v>
      </c>
      <c r="EL25" t="n">
        <v>2.7</v>
      </c>
      <c r="ER25" t="n">
        <v>1</v>
      </c>
      <c r="EY25" t="inlineStr">
        <is>
          <t>elite_barrage</t>
        </is>
      </c>
      <c r="EZ25" t="n">
        <v>7.5</v>
      </c>
      <c r="FG25" t="n">
        <v>70</v>
      </c>
      <c r="FH25" t="n">
        <v>60</v>
      </c>
      <c r="FJ25" t="n">
        <v>40</v>
      </c>
      <c r="FL25" t="inlineStr">
        <is>
          <t>gun_105_apfsds</t>
        </is>
      </c>
      <c r="FM25" t="n">
        <v>3.01</v>
      </c>
      <c r="FN25" t="inlineStr">
        <is>
          <t>Assets/MachineBrigade/Resources/Data/balance.json: vehicles[50]</t>
        </is>
      </c>
      <c r="FO25" t="inlineStr">
        <is>
          <t>{"id":"elite_tank_destroyer","modelSize":[9.08,3.01,2.34],"scale":1,"class":"TankHunter","elite":true,"eliteOf":"tank_destroyer","armour":[4,2,1,1],"hp":837,"speed":7.5,"turnRate":70,"turretTurnRate":60,"radius":2.7,"length":6.58,"width":3.01,"cp":0,"vision":40,"firesWhileMoving":true,"weapon":"gun_105_apfsds","skills":["elite_barrage"],"secondary":[{"weapon":"hmg_roof","slot":"mg","aim":"Free"}],"deathExplosion":{"damage":120,"radius":8,"delay":0.4,"tier":"Huge"}}</t>
        </is>
      </c>
    </row>
    <row r="26">
      <c r="A26" t="inlineStr">
        <is>
          <t>engineer_vehicle</t>
        </is>
      </c>
      <c r="B26" t="inlineStr">
        <is>
          <t>xe</t>
        </is>
      </c>
      <c r="C26" t="inlineStr">
        <is>
          <t>Engineering vehicle</t>
        </is>
      </c>
      <c r="D26" t="inlineStr">
        <is>
          <t>Xe công binh</t>
        </is>
      </c>
      <c r="E26" t="inlineStr">
        <is>
          <t>Công binh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3</v>
      </c>
      <c r="J26" t="n">
        <v>800</v>
      </c>
      <c r="K26" t="n">
        <v>1760</v>
      </c>
      <c r="L26" t="n">
        <v>2</v>
      </c>
      <c r="M26" t="n">
        <v>1</v>
      </c>
      <c r="N26" t="n">
        <v>1</v>
      </c>
      <c r="O26" t="n">
        <v>0</v>
      </c>
      <c r="P26" t="b">
        <v>0</v>
      </c>
      <c r="Q26" t="n">
        <v>7</v>
      </c>
      <c r="R26" t="n">
        <v>80</v>
      </c>
      <c r="S26" t="n">
        <v>200</v>
      </c>
      <c r="T26" t="n">
        <v>30</v>
      </c>
      <c r="U26" t="n">
        <v>2.2</v>
      </c>
      <c r="V26" t="n">
        <v>6.45</v>
      </c>
      <c r="W26" t="n">
        <v>3.02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2.5</v>
      </c>
      <c r="AD26" t="n">
        <v>1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engineer_vehicle</t>
        </is>
      </c>
      <c r="AL26" t="inlineStr">
        <is>
          <t>doi</t>
        </is>
      </c>
      <c r="AY26" t="n">
        <v>4.4</v>
      </c>
      <c r="AZ26" t="n">
        <v>7</v>
      </c>
      <c r="BI26" t="n">
        <v>3</v>
      </c>
      <c r="BJ26" t="n">
        <v>1</v>
      </c>
      <c r="BK26" t="inlineStr"/>
      <c r="BL26" t="inlineStr"/>
      <c r="BM26" t="inlineStr">
        <is>
          <t>engineer</t>
        </is>
      </c>
      <c r="BN26" t="inlineStr">
        <is>
          <t>Campaign; nhiệm vụ c1m05; mua sớm; 300 xu</t>
        </is>
      </c>
      <c r="BQ26" t="inlineStr">
        <is>
          <t>sapper</t>
        </is>
      </c>
      <c r="BT26" t="n">
        <v>2</v>
      </c>
      <c r="BU26" t="n">
        <v>1</v>
      </c>
      <c r="BV26" t="n">
        <v>1</v>
      </c>
      <c r="BW26" t="n">
        <v>0</v>
      </c>
      <c r="CC26" t="inlineStr">
        <is>
          <t>Support</t>
        </is>
      </c>
      <c r="CF26" t="n">
        <v>3</v>
      </c>
      <c r="CH26" t="n">
        <v>70</v>
      </c>
      <c r="CI26" t="n">
        <v>0.35</v>
      </c>
      <c r="CJ26" t="n">
        <v>6</v>
      </c>
      <c r="CK26" t="inlineStr">
        <is>
          <t>Large</t>
        </is>
      </c>
      <c r="CV26" t="n">
        <v>2.5</v>
      </c>
      <c r="CZ26" t="b">
        <v>1</v>
      </c>
      <c r="DD26" t="n">
        <v>800</v>
      </c>
      <c r="DI26" t="n">
        <v>6.45</v>
      </c>
      <c r="EA26" t="n">
        <v>2.2</v>
      </c>
      <c r="EB26" t="n">
        <v>6.45</v>
      </c>
      <c r="EC26" t="n">
        <v>3.02</v>
      </c>
      <c r="EL26" t="n">
        <v>2.2</v>
      </c>
      <c r="EP26" t="n">
        <v>14</v>
      </c>
      <c r="EQ26" t="n">
        <v>0.025</v>
      </c>
      <c r="ER26" t="n">
        <v>1</v>
      </c>
      <c r="EZ26" t="n">
        <v>7</v>
      </c>
      <c r="FG26" t="n">
        <v>80</v>
      </c>
      <c r="FH26" t="n">
        <v>200</v>
      </c>
      <c r="FI26" t="n">
        <v>1</v>
      </c>
      <c r="FJ26" t="n">
        <v>30</v>
      </c>
      <c r="FL26" t="inlineStr">
        <is>
          <t>hmg_selfdef_15</t>
        </is>
      </c>
      <c r="FM26" t="n">
        <v>3.02</v>
      </c>
      <c r="FN26" t="inlineStr">
        <is>
          <t>Assets/MachineBrigade/Resources/Data/balance.json: vehicles[28]</t>
        </is>
      </c>
      <c r="FO26" t="inlineStr">
        <is>
          <t>{"id":"engineer_vehicle","dropDelay":2.5,"value":1,"altModels":["sapper"],"scale":1,"modelSize":[6.45,3.02,2.2],"class":"Support","armour":[2,1,1,0],"hp":800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27">
      <c r="A27" t="inlineStr">
        <is>
          <t>ew_jammer</t>
        </is>
      </c>
      <c r="B27" t="inlineStr">
        <is>
          <t>xe</t>
        </is>
      </c>
      <c r="C27" t="inlineStr">
        <is>
          <t>EW jammer</t>
        </is>
      </c>
      <c r="D27" t="inlineStr">
        <is>
          <t>Xe gây nhiễu điện tử</t>
        </is>
      </c>
      <c r="E27" t="inlineStr">
        <is>
          <t>Gây nhiễu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6</v>
      </c>
      <c r="J27" t="n">
        <v>468</v>
      </c>
      <c r="K27" t="n">
        <v>1029.6</v>
      </c>
      <c r="L27" t="n">
        <v>1</v>
      </c>
      <c r="M27" t="n">
        <v>0</v>
      </c>
      <c r="N27" t="n">
        <v>0</v>
      </c>
      <c r="O27" t="n">
        <v>0</v>
      </c>
      <c r="P27" t="b">
        <v>0</v>
      </c>
      <c r="Q27" t="n">
        <v>8</v>
      </c>
      <c r="R27" t="n">
        <v>90</v>
      </c>
      <c r="S27" t="n">
        <v>200</v>
      </c>
      <c r="T27" t="n">
        <v>40</v>
      </c>
      <c r="U27" t="n">
        <v>2.2</v>
      </c>
      <c r="V27" t="n">
        <v>9.01</v>
      </c>
      <c r="W27" t="n">
        <v>2.38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3.5</v>
      </c>
      <c r="AD27" t="n">
        <v>1.2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ew_jammer</t>
        </is>
      </c>
      <c r="AL27" t="inlineStr">
        <is>
          <t>doi</t>
        </is>
      </c>
      <c r="AM27" t="n">
        <v>5</v>
      </c>
      <c r="AN27" t="n">
        <v>6</v>
      </c>
      <c r="AO27" t="n">
        <v>380</v>
      </c>
      <c r="AP27" t="n">
        <v>468</v>
      </c>
      <c r="BG27" t="n">
        <v>1</v>
      </c>
      <c r="BH27" t="n">
        <v>1.2</v>
      </c>
      <c r="BI27" t="n">
        <v>6</v>
      </c>
      <c r="BJ27" t="n">
        <v>2</v>
      </c>
      <c r="BK27" t="inlineStr"/>
      <c r="BL27" t="inlineStr"/>
      <c r="BM27" t="inlineStr"/>
      <c r="BN27" t="inlineStr">
        <is>
          <t>Campaign; nhiệm vụ c5m08; mua sớm; 800 xu</t>
        </is>
      </c>
      <c r="BS27" t="n">
        <v>1</v>
      </c>
      <c r="CC27" t="inlineStr">
        <is>
          <t>Support</t>
        </is>
      </c>
      <c r="CF27" t="n">
        <v>6</v>
      </c>
      <c r="CH27" t="n">
        <v>80</v>
      </c>
      <c r="CI27" t="n">
        <v>0.35</v>
      </c>
      <c r="CJ27" t="n">
        <v>7</v>
      </c>
      <c r="CK27" t="inlineStr">
        <is>
          <t>Large</t>
        </is>
      </c>
      <c r="CZ27" t="b">
        <v>1</v>
      </c>
      <c r="DD27" t="n">
        <v>468</v>
      </c>
      <c r="DG27" t="n">
        <v>32</v>
      </c>
      <c r="DI27" t="n">
        <v>9.01</v>
      </c>
      <c r="EA27" t="n">
        <v>3.83</v>
      </c>
      <c r="EB27" t="n">
        <v>9.01</v>
      </c>
      <c r="EC27" t="n">
        <v>2.76</v>
      </c>
      <c r="EK27" t="n">
        <v>1.2</v>
      </c>
      <c r="EL27" t="n">
        <v>2.2</v>
      </c>
      <c r="ER27" t="n">
        <v>1</v>
      </c>
      <c r="EZ27" t="n">
        <v>8</v>
      </c>
      <c r="FG27" t="n">
        <v>90</v>
      </c>
      <c r="FH27" t="n">
        <v>200</v>
      </c>
      <c r="FI27" t="n">
        <v>1</v>
      </c>
      <c r="FJ27" t="n">
        <v>40</v>
      </c>
      <c r="FL27" t="inlineStr">
        <is>
          <t>hmg_selfdef_15</t>
        </is>
      </c>
      <c r="FM27" t="n">
        <v>2.38</v>
      </c>
      <c r="FN27" t="inlineStr">
        <is>
          <t>Assets/MachineBrigade/Resources/Data/balance.json: vehicles[30]</t>
        </is>
      </c>
      <c r="FO27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28">
      <c r="A28" t="inlineStr">
        <is>
          <t>fighter_jet</t>
        </is>
      </c>
      <c r="B28" t="inlineStr">
        <is>
          <t>xe</t>
        </is>
      </c>
      <c r="C28" t="inlineStr">
        <is>
          <t>Fighter</t>
        </is>
      </c>
      <c r="D28" t="inlineStr">
        <is>
          <t>Tiêm kích</t>
        </is>
      </c>
      <c r="E28" t="inlineStr">
        <is>
          <t>Tiêm kích</t>
        </is>
      </c>
      <c r="F28" t="inlineStr"/>
      <c r="G28" t="inlineStr"/>
      <c r="H28" t="inlineStr"/>
      <c r="I28" t="n">
        <v>15</v>
      </c>
      <c r="J28" t="n">
        <v>600</v>
      </c>
      <c r="K28" t="n">
        <v>1320</v>
      </c>
      <c r="L28" t="n">
        <v>0</v>
      </c>
      <c r="M28" t="n">
        <v>0</v>
      </c>
      <c r="N28" t="n">
        <v>0</v>
      </c>
      <c r="O28" t="n">
        <v>0</v>
      </c>
      <c r="P28" t="b">
        <v>0</v>
      </c>
      <c r="Q28" t="n">
        <v>40</v>
      </c>
      <c r="R28" t="n">
        <v>129</v>
      </c>
      <c r="S28" t="n">
        <v>360</v>
      </c>
      <c r="T28" t="n">
        <v>72</v>
      </c>
      <c r="U28" t="n">
        <v>3.4</v>
      </c>
      <c r="V28" t="inlineStr"/>
      <c r="W28" t="inlineStr"/>
      <c r="X28" t="b">
        <v>1</v>
      </c>
      <c r="Y28" t="n">
        <v>34</v>
      </c>
      <c r="Z28" t="b">
        <v>0</v>
      </c>
      <c r="AA28" t="b">
        <v>1</v>
      </c>
      <c r="AB28" t="n">
        <v>0</v>
      </c>
      <c r="AC28" t="n">
        <v>5</v>
      </c>
      <c r="AD28" t="n">
        <v>1.3594</v>
      </c>
      <c r="AE28" t="inlineStr">
        <is>
          <t>air_to_air</t>
        </is>
      </c>
      <c r="AF28" t="inlineStr">
        <is>
          <t>wvr_aam;fighter_cannon</t>
        </is>
      </c>
      <c r="AG28" t="inlineStr">
        <is>
          <t>jet_flares</t>
        </is>
      </c>
      <c r="AH28" t="inlineStr">
        <is>
          <t>flare</t>
        </is>
      </c>
      <c r="AI28" t="n">
        <v>2</v>
      </c>
      <c r="AJ28" t="n">
        <v>16</v>
      </c>
      <c r="AK28" t="inlineStr">
        <is>
          <t>fighter_jet</t>
        </is>
      </c>
      <c r="AL28" t="inlineStr">
        <is>
          <t>doi</t>
        </is>
      </c>
      <c r="AM28" t="n">
        <v>12</v>
      </c>
      <c r="AN28" t="n">
        <v>15</v>
      </c>
      <c r="AO28" t="n">
        <v>520</v>
      </c>
      <c r="AP28" t="n">
        <v>600</v>
      </c>
      <c r="BG28" t="n">
        <v>1</v>
      </c>
      <c r="BH28" t="n">
        <v>1.3594</v>
      </c>
      <c r="BI28" t="n">
        <v>15</v>
      </c>
      <c r="BJ28" t="n">
        <v>4</v>
      </c>
      <c r="BK28" t="inlineStr"/>
      <c r="BL28" t="inlineStr"/>
      <c r="BM28" t="inlineStr"/>
      <c r="BN28" t="inlineStr">
        <is>
          <t>Campaign; nhiệm vụ c3m11; mua sớm; 300 xu</t>
        </is>
      </c>
      <c r="BR28" t="n">
        <v>34</v>
      </c>
      <c r="BS28" t="n">
        <v>0</v>
      </c>
      <c r="BX28" t="n">
        <v>4</v>
      </c>
      <c r="BZ28" t="n">
        <v>0</v>
      </c>
      <c r="CB28" t="inlineStr">
        <is>
          <t>high</t>
        </is>
      </c>
      <c r="CF28" t="n">
        <v>15</v>
      </c>
      <c r="CH28" t="n">
        <v>80</v>
      </c>
      <c r="CI28" t="n">
        <v>0.6</v>
      </c>
      <c r="CJ28" t="n">
        <v>7</v>
      </c>
      <c r="CK28" t="inlineStr">
        <is>
          <t>Huge</t>
        </is>
      </c>
      <c r="CV28" t="n">
        <v>5</v>
      </c>
      <c r="CZ28" t="b">
        <v>1</v>
      </c>
      <c r="DA28" t="b">
        <v>1</v>
      </c>
      <c r="DB28" t="b">
        <v>1</v>
      </c>
      <c r="DD28" t="n">
        <v>600</v>
      </c>
      <c r="DF28" t="b">
        <v>1</v>
      </c>
      <c r="DN28" t="inlineStr">
        <is>
          <t>missile</t>
        </is>
      </c>
      <c r="EA28" t="n">
        <v>2.15</v>
      </c>
      <c r="EB28" t="n">
        <v>8.640000000000001</v>
      </c>
      <c r="EC28" t="n">
        <v>5.85</v>
      </c>
      <c r="EK28" t="n">
        <v>1.3594</v>
      </c>
      <c r="EL28" t="n">
        <v>3.4</v>
      </c>
      <c r="EO28" t="n">
        <v>11</v>
      </c>
      <c r="ER28" t="n">
        <v>1.1765</v>
      </c>
      <c r="EY28" t="inlineStr">
        <is>
          <t>jet_flares</t>
        </is>
      </c>
      <c r="EZ28" t="n">
        <v>40</v>
      </c>
      <c r="FE28" t="inlineStr">
        <is>
          <t>Plane;Helicopter</t>
        </is>
      </c>
      <c r="FG28" t="n">
        <v>129</v>
      </c>
      <c r="FH28" t="n">
        <v>360</v>
      </c>
      <c r="FI28" t="n">
        <v>1.5</v>
      </c>
      <c r="FJ28" t="n">
        <v>72</v>
      </c>
      <c r="FK28" t="b">
        <v>1</v>
      </c>
      <c r="FL28" t="inlineStr">
        <is>
          <t>air_to_air</t>
        </is>
      </c>
      <c r="FN28" t="inlineStr">
        <is>
          <t>Assets/MachineBrigade/Resources/Data/balance.json: vehicles[33]</t>
        </is>
      </c>
      <c r="FO28" t="inlineStr">
        <is>
          <t>{"id":"fighter_jet","flareCharges":2,"dropDelay":5,"outgoingDamageMult":1.3594,"ceiling":"high","value":1.5,"rearmTime":11,"strongVs":["Plane","Helicopter"],"scale":1.1765,"modelSize":[8.64,5.85,2.15],"armour":0,"hp":600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29">
      <c r="A29" t="inlineStr">
        <is>
          <t>flame_tank</t>
        </is>
      </c>
      <c r="B29" t="inlineStr">
        <is>
          <t>xe</t>
        </is>
      </c>
      <c r="C29" t="inlineStr">
        <is>
          <t>Flame tank</t>
        </is>
      </c>
      <c r="D29" t="inlineStr">
        <is>
          <t>Tăng phun lửa</t>
        </is>
      </c>
      <c r="E29" t="inlineStr">
        <is>
          <t>Phun lửa</t>
        </is>
      </c>
      <c r="F29" t="inlineStr"/>
      <c r="G29" t="inlineStr"/>
      <c r="H29" t="inlineStr"/>
      <c r="I29" t="n">
        <v>6</v>
      </c>
      <c r="J29" t="n">
        <v>741</v>
      </c>
      <c r="K29" t="n">
        <v>1630.2</v>
      </c>
      <c r="L29" t="n">
        <v>3</v>
      </c>
      <c r="M29" t="n">
        <v>2</v>
      </c>
      <c r="N29" t="n">
        <v>1</v>
      </c>
      <c r="O29" t="n">
        <v>1</v>
      </c>
      <c r="P29" t="b">
        <v>0</v>
      </c>
      <c r="Q29" t="n">
        <v>6.5</v>
      </c>
      <c r="R29" t="n">
        <v>80</v>
      </c>
      <c r="S29" t="n">
        <v>110</v>
      </c>
      <c r="T29" t="n">
        <v>26</v>
      </c>
      <c r="U29" t="n">
        <v>1.9</v>
      </c>
      <c r="V29" t="n">
        <v>5.75</v>
      </c>
      <c r="W29" t="n">
        <v>2.66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1.2</v>
      </c>
      <c r="AE29" t="inlineStr">
        <is>
          <t>flamethrower</t>
        </is>
      </c>
      <c r="AF29" t="inlineStr">
        <is>
          <t>mg_coax</t>
        </is>
      </c>
      <c r="AG29" t="inlineStr"/>
      <c r="AH29" t="inlineStr">
        <is>
          <t>none</t>
        </is>
      </c>
      <c r="AI29" t="inlineStr"/>
      <c r="AJ29" t="inlineStr"/>
      <c r="AK29" t="inlineStr">
        <is>
          <t>flame_tank</t>
        </is>
      </c>
      <c r="AL29" t="inlineStr">
        <is>
          <t>doi</t>
        </is>
      </c>
      <c r="AM29" t="n">
        <v>5</v>
      </c>
      <c r="AN29" t="n">
        <v>6</v>
      </c>
      <c r="AO29" t="n">
        <v>600</v>
      </c>
      <c r="AP29" t="n">
        <v>741</v>
      </c>
      <c r="AY29" t="n">
        <v>4.6</v>
      </c>
      <c r="AZ29" t="n">
        <v>6.5</v>
      </c>
      <c r="BG29" t="n">
        <v>1</v>
      </c>
      <c r="BH29" t="n">
        <v>1.2</v>
      </c>
      <c r="BI29" t="n">
        <v>6</v>
      </c>
      <c r="BJ29" t="n">
        <v>2</v>
      </c>
      <c r="BK29" t="inlineStr"/>
      <c r="BL29" t="inlineStr"/>
      <c r="BM29" t="inlineStr"/>
      <c r="BN29" t="inlineStr">
        <is>
          <t>Campaign; nhiệm vụ c2m03; mua sớm; 300 xu</t>
        </is>
      </c>
      <c r="BS29" t="n">
        <v>3</v>
      </c>
      <c r="CF29" t="n">
        <v>6</v>
      </c>
      <c r="CH29" t="n">
        <v>140</v>
      </c>
      <c r="CI29" t="n">
        <v>0.3</v>
      </c>
      <c r="CJ29" t="n">
        <v>5</v>
      </c>
      <c r="CK29" t="inlineStr">
        <is>
          <t>Huge</t>
        </is>
      </c>
      <c r="CZ29" t="b">
        <v>1</v>
      </c>
      <c r="DD29" t="n">
        <v>741</v>
      </c>
      <c r="DI29" t="n">
        <v>5.75</v>
      </c>
      <c r="EA29" t="n">
        <v>1.87</v>
      </c>
      <c r="EB29" t="n">
        <v>7.12</v>
      </c>
      <c r="EC29" t="n">
        <v>2.66</v>
      </c>
      <c r="EK29" t="n">
        <v>1.2</v>
      </c>
      <c r="EL29" t="n">
        <v>1.9</v>
      </c>
      <c r="ER29" t="n">
        <v>1</v>
      </c>
      <c r="EZ29" t="n">
        <v>6.5</v>
      </c>
      <c r="FG29" t="n">
        <v>80</v>
      </c>
      <c r="FH29" t="n">
        <v>110</v>
      </c>
      <c r="FI29" t="n">
        <v>0.73</v>
      </c>
      <c r="FJ29" t="n">
        <v>26</v>
      </c>
      <c r="FL29" t="inlineStr">
        <is>
          <t>flamethrower</t>
        </is>
      </c>
      <c r="FM29" t="n">
        <v>2.66</v>
      </c>
      <c r="FN29" t="inlineStr">
        <is>
          <t>Assets/MachineBrigade/Resources/Data/balance.json: vehicles[3]</t>
        </is>
      </c>
      <c r="FO29" t="inlineStr">
        <is>
          <t>{"id":"flame_tank","outgoingDamageMult":1.2,"value":0.73,"scale":1,"modelSize":[7.12,2.66,1.87],"armour":3,"hp":741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0">
      <c r="A30" t="inlineStr">
        <is>
          <t>fpv_carrier</t>
        </is>
      </c>
      <c r="B30" t="inlineStr">
        <is>
          <t>xe</t>
        </is>
      </c>
      <c r="C30" t="inlineStr">
        <is>
          <t>FPV drone carrier</t>
        </is>
      </c>
      <c r="D30" t="inlineStr">
        <is>
          <t>Xe phóng drone FPV</t>
        </is>
      </c>
      <c r="E30" t="inlineStr">
        <is>
          <t>Drone FPV</t>
        </is>
      </c>
      <c r="F30" t="inlineStr">
        <is>
          <t>TankHunter</t>
        </is>
      </c>
      <c r="G30" t="inlineStr">
        <is>
          <t>Armor</t>
        </is>
      </c>
      <c r="H30" t="inlineStr"/>
      <c r="I30" t="n">
        <v>7</v>
      </c>
      <c r="J30" t="n">
        <v>500</v>
      </c>
      <c r="K30" t="n">
        <v>1100</v>
      </c>
      <c r="L30" t="n">
        <v>1</v>
      </c>
      <c r="M30" t="n">
        <v>0</v>
      </c>
      <c r="N30" t="n">
        <v>0</v>
      </c>
      <c r="O30" t="n">
        <v>0</v>
      </c>
      <c r="P30" t="b">
        <v>0</v>
      </c>
      <c r="Q30" t="n">
        <v>9</v>
      </c>
      <c r="R30" t="n">
        <v>90</v>
      </c>
      <c r="S30" t="n">
        <v>90</v>
      </c>
      <c r="T30" t="n">
        <v>48</v>
      </c>
      <c r="U30" t="n">
        <v>2.3</v>
      </c>
      <c r="V30" t="n">
        <v>7.41</v>
      </c>
      <c r="W30" t="n">
        <v>2.04</v>
      </c>
      <c r="X30" t="b">
        <v>0</v>
      </c>
      <c r="Y30" t="n">
        <v>0</v>
      </c>
      <c r="Z30" t="b">
        <v>0</v>
      </c>
      <c r="AA30" t="b">
        <v>0</v>
      </c>
      <c r="AB30" t="n">
        <v>1</v>
      </c>
      <c r="AC30" t="n">
        <v>3.5</v>
      </c>
      <c r="AD30" t="n">
        <v>1.1667</v>
      </c>
      <c r="AE30" t="inlineStr">
        <is>
          <t>fpv_swarm</t>
        </is>
      </c>
      <c r="AF30" t="inlineStr">
        <is>
          <t>hmg_selfdef_18</t>
        </is>
      </c>
      <c r="AG30" t="inlineStr"/>
      <c r="AH30" t="inlineStr">
        <is>
          <t>none</t>
        </is>
      </c>
      <c r="AI30" t="inlineStr"/>
      <c r="AJ30" t="inlineStr"/>
      <c r="AK30" t="inlineStr">
        <is>
          <t>fpv_carrier</t>
        </is>
      </c>
      <c r="AL30" t="inlineStr">
        <is>
          <t>doi</t>
        </is>
      </c>
      <c r="AM30" t="n">
        <v>6</v>
      </c>
      <c r="AN30" t="n">
        <v>7</v>
      </c>
      <c r="AO30" t="n">
        <v>420</v>
      </c>
      <c r="AP30" t="n">
        <v>500</v>
      </c>
      <c r="BG30" t="n">
        <v>1</v>
      </c>
      <c r="BH30" t="n">
        <v>1.1667</v>
      </c>
      <c r="BI30" t="n">
        <v>7</v>
      </c>
      <c r="BJ30" t="n">
        <v>2</v>
      </c>
      <c r="BK30" t="inlineStr"/>
      <c r="BL30" t="inlineStr">
        <is>
          <t>elite_fpv_carrier</t>
        </is>
      </c>
      <c r="BM30" t="inlineStr">
        <is>
          <t>drone;fpv</t>
        </is>
      </c>
      <c r="BN30" t="inlineStr">
        <is>
          <t>Campaign; nhiệm vụ c5m02; mua sớm; 800 xu</t>
        </is>
      </c>
      <c r="BS30" t="n">
        <v>1</v>
      </c>
      <c r="CC30" t="inlineStr">
        <is>
          <t>TankHunter</t>
        </is>
      </c>
      <c r="CF30" t="n">
        <v>7</v>
      </c>
      <c r="CH30" t="n">
        <v>100</v>
      </c>
      <c r="CI30" t="n">
        <v>0.35</v>
      </c>
      <c r="CJ30" t="n">
        <v>7</v>
      </c>
      <c r="CK30" t="inlineStr">
        <is>
          <t>Huge</t>
        </is>
      </c>
      <c r="CZ30" t="b">
        <v>0</v>
      </c>
      <c r="DD30" t="n">
        <v>500</v>
      </c>
      <c r="DI30" t="n">
        <v>7.41</v>
      </c>
      <c r="EA30" t="n">
        <v>2.88</v>
      </c>
      <c r="EB30" t="n">
        <v>7.41</v>
      </c>
      <c r="EC30" t="n">
        <v>2.04</v>
      </c>
      <c r="EK30" t="n">
        <v>1.1667</v>
      </c>
      <c r="EL30" t="n">
        <v>2.3</v>
      </c>
      <c r="ER30" t="n">
        <v>1</v>
      </c>
      <c r="EZ30" t="n">
        <v>9</v>
      </c>
      <c r="FG30" t="n">
        <v>90</v>
      </c>
      <c r="FH30" t="n">
        <v>90</v>
      </c>
      <c r="FI30" t="n">
        <v>1.17</v>
      </c>
      <c r="FJ30" t="n">
        <v>48</v>
      </c>
      <c r="FL30" t="inlineStr">
        <is>
          <t>fpv_swarm</t>
        </is>
      </c>
      <c r="FM30" t="n">
        <v>2.04</v>
      </c>
      <c r="FN30" t="inlineStr">
        <is>
          <t>Assets/MachineBrigade/Resources/Data/balance.json: vehicles[31]</t>
        </is>
      </c>
      <c r="FO30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31">
      <c r="A31" t="inlineStr">
        <is>
          <t>gps_jammer_vehicle</t>
        </is>
      </c>
      <c r="B31" t="inlineStr">
        <is>
          <t>xe</t>
        </is>
      </c>
      <c r="C31" t="inlineStr">
        <is>
          <t>GPS jammer vehicle</t>
        </is>
      </c>
      <c r="D31" t="inlineStr">
        <is>
          <t>Xe gây nhiễu định vị</t>
        </is>
      </c>
      <c r="E31" t="inlineStr">
        <is>
          <t>Nhiễu định vị</t>
        </is>
      </c>
      <c r="F31" t="inlineStr">
        <is>
          <t>Support</t>
        </is>
      </c>
      <c r="G31" t="inlineStr">
        <is>
          <t>Light</t>
        </is>
      </c>
      <c r="H31" t="inlineStr"/>
      <c r="I31" t="n">
        <v>6</v>
      </c>
      <c r="J31" t="n">
        <v>450</v>
      </c>
      <c r="K31" t="n">
        <v>990</v>
      </c>
      <c r="L31" t="n">
        <v>1</v>
      </c>
      <c r="M31" t="n">
        <v>0</v>
      </c>
      <c r="N31" t="n">
        <v>0</v>
      </c>
      <c r="O31" t="n">
        <v>0</v>
      </c>
      <c r="P31" t="b">
        <v>0</v>
      </c>
      <c r="Q31" t="n">
        <v>8</v>
      </c>
      <c r="R31" t="n">
        <v>90</v>
      </c>
      <c r="S31" t="n">
        <v>200</v>
      </c>
      <c r="T31" t="n">
        <v>35</v>
      </c>
      <c r="U31" t="n">
        <v>2.2</v>
      </c>
      <c r="V31" t="n">
        <v>9.01</v>
      </c>
      <c r="W31" t="n">
        <v>2.38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1.2</v>
      </c>
      <c r="AE31" t="inlineStr">
        <is>
          <t>hmg_selfdef_15</t>
        </is>
      </c>
      <c r="AF31" t="inlineStr"/>
      <c r="AG31" t="inlineStr"/>
      <c r="AH31" t="inlineStr">
        <is>
          <t>none</t>
        </is>
      </c>
      <c r="AI31" t="inlineStr"/>
      <c r="AJ31" t="inlineStr"/>
      <c r="AK31" t="inlineStr">
        <is>
          <t>gps_jammer_vehicle</t>
        </is>
      </c>
      <c r="AL31" t="inlineStr">
        <is>
          <t>doi</t>
        </is>
      </c>
      <c r="AM31" t="n">
        <v>5</v>
      </c>
      <c r="AN31" t="n">
        <v>6</v>
      </c>
      <c r="AO31" t="n">
        <v>364</v>
      </c>
      <c r="AP31" t="n">
        <v>450</v>
      </c>
      <c r="BG31" t="n">
        <v>1</v>
      </c>
      <c r="BH31" t="n">
        <v>1.2</v>
      </c>
      <c r="BI31" t="n">
        <v>6</v>
      </c>
      <c r="BJ31" t="n">
        <v>2</v>
      </c>
      <c r="BK31" t="inlineStr"/>
      <c r="BL31" t="inlineStr"/>
      <c r="BM31" t="inlineStr"/>
      <c r="BN31" t="inlineStr">
        <is>
          <t>Premium; 1500 xu</t>
        </is>
      </c>
      <c r="BS31" t="n">
        <v>1</v>
      </c>
      <c r="CC31" t="inlineStr">
        <is>
          <t>Support</t>
        </is>
      </c>
      <c r="CF31" t="n">
        <v>6</v>
      </c>
      <c r="CH31" t="n">
        <v>60</v>
      </c>
      <c r="CI31" t="n">
        <v>0.3</v>
      </c>
      <c r="CJ31" t="n">
        <v>5</v>
      </c>
      <c r="CK31" t="inlineStr">
        <is>
          <t>Large</t>
        </is>
      </c>
      <c r="CZ31" t="b">
        <v>1</v>
      </c>
      <c r="DD31" t="n">
        <v>450</v>
      </c>
      <c r="DG31" t="n">
        <v>28</v>
      </c>
      <c r="DI31" t="n">
        <v>9.01</v>
      </c>
      <c r="DZ31" t="inlineStr">
        <is>
          <t>gps_jammer_vehicle</t>
        </is>
      </c>
      <c r="EA31" t="n">
        <v>3.83</v>
      </c>
      <c r="EB31" t="n">
        <v>9.01</v>
      </c>
      <c r="EC31" t="n">
        <v>2.76</v>
      </c>
      <c r="EK31" t="n">
        <v>1.2</v>
      </c>
      <c r="EL31" t="n">
        <v>2.2</v>
      </c>
      <c r="EZ31" t="n">
        <v>8</v>
      </c>
      <c r="FG31" t="n">
        <v>90</v>
      </c>
      <c r="FH31" t="n">
        <v>200</v>
      </c>
      <c r="FJ31" t="n">
        <v>35</v>
      </c>
      <c r="FL31" t="inlineStr">
        <is>
          <t>hmg_selfdef_15</t>
        </is>
      </c>
      <c r="FM31" t="n">
        <v>2.38</v>
      </c>
      <c r="FN31" t="inlineStr">
        <is>
          <t>Assets/MachineBrigade/Resources/Data/balance.json: vehicles[132]</t>
        </is>
      </c>
      <c r="FO3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32">
      <c r="A32" t="inlineStr">
        <is>
          <t>ground_cruise_missile_vehicle</t>
        </is>
      </c>
      <c r="B32" t="inlineStr">
        <is>
          <t>xe</t>
        </is>
      </c>
      <c r="C32" t="inlineStr">
        <is>
          <t>Ground cruise missile vehicle</t>
        </is>
      </c>
      <c r="D32" t="inlineStr">
        <is>
          <t>Xe phóng tên lửa hành trình</t>
        </is>
      </c>
      <c r="E32" t="inlineStr">
        <is>
          <t>Tên lửa HT</t>
        </is>
      </c>
      <c r="F32" t="inlineStr"/>
      <c r="G32" t="inlineStr"/>
      <c r="H32" t="inlineStr"/>
      <c r="I32" t="n">
        <v>15</v>
      </c>
      <c r="J32" t="n">
        <v>586</v>
      </c>
      <c r="K32" t="n">
        <v>1289.2</v>
      </c>
      <c r="L32" t="n">
        <v>1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80</v>
      </c>
      <c r="S32" t="n">
        <v>100</v>
      </c>
      <c r="T32" t="n">
        <v>35</v>
      </c>
      <c r="U32" t="n">
        <v>2.3</v>
      </c>
      <c r="V32" t="n">
        <v>7.18</v>
      </c>
      <c r="W32" t="n">
        <v>2.7</v>
      </c>
      <c r="X32" t="b">
        <v>0</v>
      </c>
      <c r="Y32" t="n">
        <v>0</v>
      </c>
      <c r="Z32" t="b">
        <v>0</v>
      </c>
      <c r="AA32" t="b">
        <v>1</v>
      </c>
      <c r="AB32" t="n">
        <v>1</v>
      </c>
      <c r="AC32" t="n">
        <v>5</v>
      </c>
      <c r="AD32" t="n">
        <v>1.25</v>
      </c>
      <c r="AE32" t="inlineStr">
        <is>
          <t>cruise_missile_ground</t>
        </is>
      </c>
      <c r="AF32" t="inlineStr"/>
      <c r="AG32" t="inlineStr"/>
      <c r="AH32" t="inlineStr">
        <is>
          <t>none</t>
        </is>
      </c>
      <c r="AI32" t="inlineStr"/>
      <c r="AJ32" t="inlineStr"/>
      <c r="AK32" t="inlineStr">
        <is>
          <t>ground_cruise_missile_vehicle</t>
        </is>
      </c>
      <c r="AL32" t="inlineStr">
        <is>
          <t>doi</t>
        </is>
      </c>
      <c r="AM32" t="n">
        <v>12</v>
      </c>
      <c r="AN32" t="n">
        <v>15</v>
      </c>
      <c r="AO32" t="n">
        <v>455</v>
      </c>
      <c r="AP32" t="n">
        <v>586</v>
      </c>
      <c r="BG32" t="n">
        <v>1</v>
      </c>
      <c r="BH32" t="n">
        <v>1.25</v>
      </c>
      <c r="BI32" t="n">
        <v>15</v>
      </c>
      <c r="BJ32" t="n">
        <v>4</v>
      </c>
      <c r="BK32" t="inlineStr"/>
      <c r="BL32" t="inlineStr"/>
      <c r="BM32" t="inlineStr"/>
      <c r="BN32" t="inlineStr">
        <is>
          <t>Premium; 5000 xu</t>
        </is>
      </c>
      <c r="BS32" t="n">
        <v>1</v>
      </c>
      <c r="CF32" t="n">
        <v>15</v>
      </c>
      <c r="CH32" t="n">
        <v>100</v>
      </c>
      <c r="CI32" t="n">
        <v>0.4</v>
      </c>
      <c r="CJ32" t="n">
        <v>7</v>
      </c>
      <c r="CK32" t="inlineStr">
        <is>
          <t>Huge</t>
        </is>
      </c>
      <c r="CV32" t="n">
        <v>5</v>
      </c>
      <c r="CY32" t="n">
        <v>2.2</v>
      </c>
      <c r="DD32" t="n">
        <v>586</v>
      </c>
      <c r="DI32" t="n">
        <v>7.18</v>
      </c>
      <c r="DM32" t="inlineStr">
        <is>
          <t>Hull</t>
        </is>
      </c>
      <c r="DZ32" t="inlineStr">
        <is>
          <t>ground_cruise_missile_vehicle</t>
        </is>
      </c>
      <c r="EA32" t="n">
        <v>2.97</v>
      </c>
      <c r="EB32" t="n">
        <v>7.18</v>
      </c>
      <c r="EC32" t="n">
        <v>2.7</v>
      </c>
      <c r="EK32" t="n">
        <v>1.25</v>
      </c>
      <c r="EL32" t="n">
        <v>2.3</v>
      </c>
      <c r="EZ32" t="n">
        <v>6.5</v>
      </c>
      <c r="FG32" t="n">
        <v>80</v>
      </c>
      <c r="FH32" t="n">
        <v>100</v>
      </c>
      <c r="FJ32" t="n">
        <v>35</v>
      </c>
      <c r="FL32" t="inlineStr">
        <is>
          <t>cruise_missile_ground</t>
        </is>
      </c>
      <c r="FM32" t="n">
        <v>2.7</v>
      </c>
      <c r="FN32" t="inlineStr">
        <is>
          <t>Assets/MachineBrigade/Resources/Data/balance.json: vehicles[131]</t>
        </is>
      </c>
      <c r="FO3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33">
      <c r="A33" t="inlineStr">
        <is>
          <t>heavy_aa</t>
        </is>
      </c>
      <c r="B33" t="inlineStr">
        <is>
          <t>xe</t>
        </is>
      </c>
      <c r="C33" t="inlineStr">
        <is>
          <t>Gun–missile AA</t>
        </is>
      </c>
      <c r="D33" t="inlineStr">
        <is>
          <t>Xe phòng không pháo – tên lửa</t>
        </is>
      </c>
      <c r="E33" t="inlineStr">
        <is>
          <t>PK hỗn hợp</t>
        </is>
      </c>
      <c r="F33" t="inlineStr"/>
      <c r="G33" t="inlineStr"/>
      <c r="H33" t="inlineStr"/>
      <c r="I33" t="n">
        <v>8</v>
      </c>
      <c r="J33" t="n">
        <v>632</v>
      </c>
      <c r="K33" t="n">
        <v>1390.4</v>
      </c>
      <c r="L33" t="n">
        <v>1</v>
      </c>
      <c r="M33" t="n">
        <v>0</v>
      </c>
      <c r="N33" t="n">
        <v>0</v>
      </c>
      <c r="O33" t="n">
        <v>0</v>
      </c>
      <c r="P33" t="b">
        <v>0</v>
      </c>
      <c r="Q33" t="n">
        <v>8.5</v>
      </c>
      <c r="R33" t="n">
        <v>90</v>
      </c>
      <c r="S33" t="n">
        <v>220</v>
      </c>
      <c r="T33" t="n">
        <v>60</v>
      </c>
      <c r="U33" t="n">
        <v>2.1</v>
      </c>
      <c r="V33" t="n">
        <v>9.800000000000001</v>
      </c>
      <c r="W33" t="n">
        <v>2.18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1.1429</v>
      </c>
      <c r="AE33" t="inlineStr">
        <is>
          <t>twin_30_flak</t>
        </is>
      </c>
      <c r="AF33" t="inlineStr">
        <is>
          <t>missile_57e6</t>
        </is>
      </c>
      <c r="AG33" t="inlineStr"/>
      <c r="AH33" t="inlineStr">
        <is>
          <t>none</t>
        </is>
      </c>
      <c r="AI33" t="inlineStr"/>
      <c r="AJ33" t="inlineStr"/>
      <c r="AK33" t="inlineStr">
        <is>
          <t>heavy_aa</t>
        </is>
      </c>
      <c r="AL33" t="inlineStr">
        <is>
          <t>doi</t>
        </is>
      </c>
      <c r="AM33" t="n">
        <v>7</v>
      </c>
      <c r="AN33" t="n">
        <v>8</v>
      </c>
      <c r="AO33" t="n">
        <v>540</v>
      </c>
      <c r="AP33" t="n">
        <v>632</v>
      </c>
      <c r="BG33" t="n">
        <v>1</v>
      </c>
      <c r="BH33" t="n">
        <v>1.1429</v>
      </c>
      <c r="BI33" t="n">
        <v>8</v>
      </c>
      <c r="BJ33" t="n">
        <v>2</v>
      </c>
      <c r="BK33" t="inlineStr"/>
      <c r="BL33" t="inlineStr"/>
      <c r="BM33" t="inlineStr"/>
      <c r="BN33" t="inlineStr">
        <is>
          <t>Campaign; nhiệm vụ c4m07; mua sớm; 800 xu</t>
        </is>
      </c>
      <c r="BS33" t="n">
        <v>1</v>
      </c>
      <c r="CF33" t="n">
        <v>8</v>
      </c>
      <c r="CH33" t="n">
        <v>100</v>
      </c>
      <c r="CI33" t="n">
        <v>0.35</v>
      </c>
      <c r="CJ33" t="n">
        <v>7</v>
      </c>
      <c r="CK33" t="inlineStr">
        <is>
          <t>Huge</t>
        </is>
      </c>
      <c r="CZ33" t="b">
        <v>1</v>
      </c>
      <c r="DD33" t="n">
        <v>632</v>
      </c>
      <c r="DI33" t="n">
        <v>9.800000000000001</v>
      </c>
      <c r="EA33" t="n">
        <v>2.83</v>
      </c>
      <c r="EB33" t="n">
        <v>9.800000000000001</v>
      </c>
      <c r="EC33" t="n">
        <v>2.68</v>
      </c>
      <c r="EK33" t="n">
        <v>1.1429</v>
      </c>
      <c r="EL33" t="n">
        <v>2.1</v>
      </c>
      <c r="ER33" t="n">
        <v>1</v>
      </c>
      <c r="EZ33" t="n">
        <v>8.5</v>
      </c>
      <c r="FG33" t="n">
        <v>90</v>
      </c>
      <c r="FH33" t="n">
        <v>220</v>
      </c>
      <c r="FI33" t="n">
        <v>1</v>
      </c>
      <c r="FJ33" t="n">
        <v>60</v>
      </c>
      <c r="FL33" t="inlineStr">
        <is>
          <t>twin_30_flak</t>
        </is>
      </c>
      <c r="FM33" t="n">
        <v>2.18</v>
      </c>
      <c r="FN33" t="inlineStr">
        <is>
          <t>Assets/MachineBrigade/Resources/Data/balance.json: vehicles[19]</t>
        </is>
      </c>
      <c r="FO3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34">
      <c r="A34" t="inlineStr">
        <is>
          <t>heavy_bomber</t>
        </is>
      </c>
      <c r="B34" t="inlineStr">
        <is>
          <t>xe</t>
        </is>
      </c>
      <c r="C34" t="inlineStr">
        <is>
          <t>Strategic bomber</t>
        </is>
      </c>
      <c r="D34" t="inlineStr">
        <is>
          <t>Oanh tạc cơ chiến lược</t>
        </is>
      </c>
      <c r="E34" t="inlineStr">
        <is>
          <t>Oanh tạc cơ</t>
        </is>
      </c>
      <c r="F34" t="inlineStr"/>
      <c r="G34" t="inlineStr"/>
      <c r="H34" t="inlineStr"/>
      <c r="I34" t="n">
        <v>29</v>
      </c>
      <c r="J34" t="n">
        <v>1400</v>
      </c>
      <c r="K34" t="n">
        <v>3080</v>
      </c>
      <c r="L34" t="n">
        <v>0</v>
      </c>
      <c r="M34" t="n">
        <v>0</v>
      </c>
      <c r="N34" t="n">
        <v>0</v>
      </c>
      <c r="O34" t="n">
        <v>0</v>
      </c>
      <c r="P34" t="b">
        <v>0</v>
      </c>
      <c r="Q34" t="n">
        <v>22</v>
      </c>
      <c r="R34" t="n">
        <v>68</v>
      </c>
      <c r="S34" t="n">
        <v>360</v>
      </c>
      <c r="T34" t="n">
        <v>50</v>
      </c>
      <c r="U34" t="n">
        <v>7.5</v>
      </c>
      <c r="V34" t="inlineStr"/>
      <c r="W34" t="inlineStr"/>
      <c r="X34" t="b">
        <v>1</v>
      </c>
      <c r="Y34" t="n">
        <v>42</v>
      </c>
      <c r="Z34" t="b">
        <v>0</v>
      </c>
      <c r="AA34" t="b">
        <v>1</v>
      </c>
      <c r="AB34" t="n">
        <v>0</v>
      </c>
      <c r="AC34" t="n">
        <v>5</v>
      </c>
      <c r="AD34" t="n">
        <v>1.3182</v>
      </c>
      <c r="AE34" t="inlineStr">
        <is>
          <t>bomber_payload</t>
        </is>
      </c>
      <c r="AF34" t="inlineStr">
        <is>
          <t>bomber_tail_guns;air_cruise_missile</t>
        </is>
      </c>
      <c r="AG34" t="inlineStr">
        <is>
          <t>bomber_flares</t>
        </is>
      </c>
      <c r="AH34" t="inlineStr">
        <is>
          <t>flare</t>
        </is>
      </c>
      <c r="AI34" t="n">
        <v>3</v>
      </c>
      <c r="AJ34" t="n">
        <v>11</v>
      </c>
      <c r="AK34" t="inlineStr">
        <is>
          <t>heavy_bomber</t>
        </is>
      </c>
      <c r="AL34" t="inlineStr">
        <is>
          <t>doi</t>
        </is>
      </c>
      <c r="AM34" t="n">
        <v>22</v>
      </c>
      <c r="AN34" t="n">
        <v>29</v>
      </c>
      <c r="AO34" t="n">
        <v>1500</v>
      </c>
      <c r="AP34" t="n">
        <v>1400</v>
      </c>
      <c r="BG34" t="n">
        <v>1</v>
      </c>
      <c r="BH34" t="n">
        <v>1.3182</v>
      </c>
      <c r="BI34" t="n">
        <v>29</v>
      </c>
      <c r="BJ34" t="n">
        <v>4</v>
      </c>
      <c r="BK34" t="inlineStr"/>
      <c r="BL34" t="inlineStr"/>
      <c r="BM34" t="inlineStr"/>
      <c r="BN34" t="inlineStr">
        <is>
          <t>Campaign; nhiệm vụ c9m03; mua sớm; 1500 xu</t>
        </is>
      </c>
      <c r="BR34" t="n">
        <v>42</v>
      </c>
      <c r="BS34" t="n">
        <v>0</v>
      </c>
      <c r="BZ34" t="n">
        <v>0</v>
      </c>
      <c r="CF34" t="n">
        <v>29</v>
      </c>
      <c r="CH34" t="n">
        <v>200</v>
      </c>
      <c r="CI34" t="n">
        <v>0.6</v>
      </c>
      <c r="CJ34" t="n">
        <v>10</v>
      </c>
      <c r="CK34" t="inlineStr">
        <is>
          <t>Ultimate</t>
        </is>
      </c>
      <c r="CV34" t="n">
        <v>5</v>
      </c>
      <c r="CZ34" t="b">
        <v>1</v>
      </c>
      <c r="DA34" t="b">
        <v>1</v>
      </c>
      <c r="DB34" t="b">
        <v>1</v>
      </c>
      <c r="DD34" t="n">
        <v>1400</v>
      </c>
      <c r="DN34" t="inlineStr">
        <is>
          <t>missile</t>
        </is>
      </c>
      <c r="EA34" t="n">
        <v>5.7</v>
      </c>
      <c r="EB34" t="n">
        <v>19.8</v>
      </c>
      <c r="EC34" t="n">
        <v>22.62</v>
      </c>
      <c r="EK34" t="n">
        <v>1.3182</v>
      </c>
      <c r="EL34" t="n">
        <v>7.5</v>
      </c>
      <c r="EO34" t="n">
        <v>16</v>
      </c>
      <c r="ER34" t="n">
        <v>1</v>
      </c>
      <c r="EY34" t="inlineStr">
        <is>
          <t>bomber_flares</t>
        </is>
      </c>
      <c r="EZ34" t="n">
        <v>22</v>
      </c>
      <c r="FE34" t="inlineStr">
        <is>
          <t>Defense;Artillery;Light</t>
        </is>
      </c>
      <c r="FG34" t="n">
        <v>68</v>
      </c>
      <c r="FH34" t="n">
        <v>360</v>
      </c>
      <c r="FI34" t="n">
        <v>1.03</v>
      </c>
      <c r="FJ34" t="n">
        <v>50</v>
      </c>
      <c r="FL34" t="inlineStr">
        <is>
          <t>bomber_payload</t>
        </is>
      </c>
      <c r="FN34" t="inlineStr">
        <is>
          <t>Assets/MachineBrigade/Resources/Data/balance.json: vehicles[21]</t>
        </is>
      </c>
      <c r="FO34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35">
      <c r="A35" t="inlineStr">
        <is>
          <t>heavy_rocket_artillery</t>
        </is>
      </c>
      <c r="B35" t="inlineStr">
        <is>
          <t>xe</t>
        </is>
      </c>
      <c r="C35" t="inlineStr">
        <is>
          <t>Heavy MLRS</t>
        </is>
      </c>
      <c r="D35" t="inlineStr">
        <is>
          <t>Pháo phản lực hạng nặng</t>
        </is>
      </c>
      <c r="E35" t="inlineStr">
        <is>
          <t>Phản lực nặng</t>
        </is>
      </c>
      <c r="F35" t="inlineStr"/>
      <c r="G35" t="inlineStr"/>
      <c r="H35" t="inlineStr"/>
      <c r="I35" t="n">
        <v>15</v>
      </c>
      <c r="J35" t="n">
        <v>541</v>
      </c>
      <c r="K35" t="n">
        <v>1190.2</v>
      </c>
      <c r="L35" t="n">
        <v>1</v>
      </c>
      <c r="M35" t="n">
        <v>0</v>
      </c>
      <c r="N35" t="n">
        <v>0</v>
      </c>
      <c r="O35" t="n">
        <v>0</v>
      </c>
      <c r="P35" t="b">
        <v>0</v>
      </c>
      <c r="Q35" t="n">
        <v>6.5</v>
      </c>
      <c r="R35" t="n">
        <v>55</v>
      </c>
      <c r="S35" t="n">
        <v>40</v>
      </c>
      <c r="T35" t="n">
        <v>30</v>
      </c>
      <c r="U35" t="n">
        <v>2.6</v>
      </c>
      <c r="V35" t="n">
        <v>10</v>
      </c>
      <c r="W35" t="n">
        <v>2.44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5</v>
      </c>
      <c r="AD35" t="n">
        <v>1.25</v>
      </c>
      <c r="AE35" t="inlineStr">
        <is>
          <t>rockets_300mm</t>
        </is>
      </c>
      <c r="AF35" t="inlineStr"/>
      <c r="AG35" t="inlineStr"/>
      <c r="AH35" t="inlineStr">
        <is>
          <t>none</t>
        </is>
      </c>
      <c r="AI35" t="inlineStr"/>
      <c r="AJ35" t="inlineStr"/>
      <c r="AK35" t="inlineStr">
        <is>
          <t>heavy_rocket_artillery</t>
        </is>
      </c>
      <c r="AL35" t="inlineStr">
        <is>
          <t>doi</t>
        </is>
      </c>
      <c r="AM35" t="n">
        <v>12</v>
      </c>
      <c r="AN35" t="n">
        <v>15</v>
      </c>
      <c r="AO35" t="n">
        <v>420</v>
      </c>
      <c r="AP35" t="n">
        <v>541</v>
      </c>
      <c r="BG35" t="n">
        <v>1</v>
      </c>
      <c r="BH35" t="n">
        <v>1.25</v>
      </c>
      <c r="BI35" t="n">
        <v>15</v>
      </c>
      <c r="BJ35" t="n">
        <v>4</v>
      </c>
      <c r="BK35" t="inlineStr"/>
      <c r="BL35" t="inlineStr"/>
      <c r="BM35" t="inlineStr"/>
      <c r="BN35" t="inlineStr">
        <is>
          <t>Campaign; nhiệm vụ c8m02; mua sớm; 1500 xu</t>
        </is>
      </c>
      <c r="BS35" t="n">
        <v>1</v>
      </c>
      <c r="CF35" t="n">
        <v>15</v>
      </c>
      <c r="CH35" t="n">
        <v>200</v>
      </c>
      <c r="CI35" t="n">
        <v>0.4</v>
      </c>
      <c r="CJ35" t="n">
        <v>11</v>
      </c>
      <c r="CK35" t="inlineStr">
        <is>
          <t>Ultimate</t>
        </is>
      </c>
      <c r="CV35" t="n">
        <v>5</v>
      </c>
      <c r="CY35" t="n">
        <v>1.3</v>
      </c>
      <c r="CZ35" t="b">
        <v>0</v>
      </c>
      <c r="DD35" t="n">
        <v>541</v>
      </c>
      <c r="DI35" t="n">
        <v>10</v>
      </c>
      <c r="EA35" t="n">
        <v>3.03</v>
      </c>
      <c r="EB35" t="n">
        <v>10</v>
      </c>
      <c r="EC35" t="n">
        <v>2.44</v>
      </c>
      <c r="EK35" t="n">
        <v>1.25</v>
      </c>
      <c r="EL35" t="n">
        <v>2.6</v>
      </c>
      <c r="ER35" t="n">
        <v>1</v>
      </c>
      <c r="EW35" t="inlineStr"/>
      <c r="EZ35" t="n">
        <v>6.5</v>
      </c>
      <c r="FG35" t="n">
        <v>55</v>
      </c>
      <c r="FH35" t="n">
        <v>40</v>
      </c>
      <c r="FI35" t="n">
        <v>1.26</v>
      </c>
      <c r="FJ35" t="n">
        <v>30</v>
      </c>
      <c r="FL35" t="inlineStr">
        <is>
          <t>rockets_300mm</t>
        </is>
      </c>
      <c r="FM35" t="n">
        <v>2.44</v>
      </c>
      <c r="FN35" t="inlineStr">
        <is>
          <t>Assets/MachineBrigade/Resources/Data/balance.json: vehicles[26]</t>
        </is>
      </c>
      <c r="FO35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36">
      <c r="A36" t="inlineStr">
        <is>
          <t>heavy_tank</t>
        </is>
      </c>
      <c r="B36" t="inlineStr">
        <is>
          <t>xe</t>
        </is>
      </c>
      <c r="C36" t="inlineStr">
        <is>
          <t>Heavy tank</t>
        </is>
      </c>
      <c r="D36" t="inlineStr">
        <is>
          <t>Tăng hạng nặng</t>
        </is>
      </c>
      <c r="E36" t="inlineStr">
        <is>
          <t>Tăng nặng</t>
        </is>
      </c>
      <c r="F36" t="inlineStr"/>
      <c r="G36" t="inlineStr"/>
      <c r="H36" t="inlineStr"/>
      <c r="I36" t="n">
        <v>16</v>
      </c>
      <c r="J36" t="n">
        <v>2032</v>
      </c>
      <c r="K36" t="n">
        <v>4470.4</v>
      </c>
      <c r="L36" t="n">
        <v>4</v>
      </c>
      <c r="M36" t="n">
        <v>3</v>
      </c>
      <c r="N36" t="n">
        <v>2</v>
      </c>
      <c r="O36" t="n">
        <v>2</v>
      </c>
      <c r="P36" t="b">
        <v>0</v>
      </c>
      <c r="Q36" t="n">
        <v>4.2</v>
      </c>
      <c r="R36" t="n">
        <v>45</v>
      </c>
      <c r="S36" t="n">
        <v>115</v>
      </c>
      <c r="T36" t="n">
        <v>30</v>
      </c>
      <c r="U36" t="n">
        <v>2.6</v>
      </c>
      <c r="V36" t="n">
        <v>6.55</v>
      </c>
      <c r="W36" t="n">
        <v>3.01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5</v>
      </c>
      <c r="AD36" t="n">
        <v>1.3538</v>
      </c>
      <c r="AE36" t="inlineStr">
        <is>
          <t>gun_152</t>
        </is>
      </c>
      <c r="AF36" t="inlineStr">
        <is>
          <t>autocannon_30;hmg_roof</t>
        </is>
      </c>
      <c r="AG36" t="inlineStr"/>
      <c r="AH36" t="inlineStr">
        <is>
          <t>none</t>
        </is>
      </c>
      <c r="AI36" t="inlineStr"/>
      <c r="AJ36" t="inlineStr"/>
      <c r="AK36" t="inlineStr">
        <is>
          <t>heavy_tank</t>
        </is>
      </c>
      <c r="AL36" t="inlineStr">
        <is>
          <t>doi</t>
        </is>
      </c>
      <c r="AM36" t="n">
        <v>13</v>
      </c>
      <c r="AN36" t="n">
        <v>16</v>
      </c>
      <c r="AO36" t="n">
        <v>1600</v>
      </c>
      <c r="AP36" t="n">
        <v>2032</v>
      </c>
      <c r="BG36" t="n">
        <v>1</v>
      </c>
      <c r="BH36" t="n">
        <v>1.3538</v>
      </c>
      <c r="BI36" t="n">
        <v>16</v>
      </c>
      <c r="BJ36" t="n">
        <v>4</v>
      </c>
      <c r="BK36" t="inlineStr"/>
      <c r="BL36" t="inlineStr">
        <is>
          <t>elite_heavy_tank</t>
        </is>
      </c>
      <c r="BM36" t="inlineStr">
        <is>
          <t>heavy;tank</t>
        </is>
      </c>
      <c r="BN36" t="inlineStr">
        <is>
          <t>Campaign; nhiệm vụ c6m01; mua sớm; 800 xu</t>
        </is>
      </c>
      <c r="BT36" t="n">
        <v>4</v>
      </c>
      <c r="BU36" t="n">
        <v>2</v>
      </c>
      <c r="BV36" t="n">
        <v>3</v>
      </c>
      <c r="BW36" t="n">
        <v>2</v>
      </c>
      <c r="CF36" t="n">
        <v>16</v>
      </c>
      <c r="CH36" t="n">
        <v>200</v>
      </c>
      <c r="CI36" t="n">
        <v>0.5</v>
      </c>
      <c r="CJ36" t="n">
        <v>9</v>
      </c>
      <c r="CK36" t="inlineStr">
        <is>
          <t>Huge</t>
        </is>
      </c>
      <c r="CV36" t="n">
        <v>5</v>
      </c>
      <c r="CZ36" t="b">
        <v>1</v>
      </c>
      <c r="DD36" t="n">
        <v>2032</v>
      </c>
      <c r="DI36" t="n">
        <v>6.55</v>
      </c>
      <c r="EA36" t="n">
        <v>2.2</v>
      </c>
      <c r="EB36" t="n">
        <v>8.390000000000001</v>
      </c>
      <c r="EC36" t="n">
        <v>3.01</v>
      </c>
      <c r="EK36" t="n">
        <v>1.3538</v>
      </c>
      <c r="EL36" t="n">
        <v>2.6</v>
      </c>
      <c r="ER36" t="n">
        <v>1</v>
      </c>
      <c r="EZ36" t="n">
        <v>4.2</v>
      </c>
      <c r="FG36" t="n">
        <v>45</v>
      </c>
      <c r="FH36" t="n">
        <v>115</v>
      </c>
      <c r="FI36" t="n">
        <v>1.18</v>
      </c>
      <c r="FJ36" t="n">
        <v>30</v>
      </c>
      <c r="FL36" t="inlineStr">
        <is>
          <t>gun_152</t>
        </is>
      </c>
      <c r="FM36" t="n">
        <v>3.01</v>
      </c>
      <c r="FN36" t="inlineStr">
        <is>
          <t>Assets/MachineBrigade/Resources/Data/balance.json: vehicles[10]</t>
        </is>
      </c>
      <c r="FO36" t="inlineStr">
        <is>
          <t>{"id":"heavy_tank","dropDelay":5,"outgoingDamageMult":1.3538,"value":1.18,"scale":1,"modelSize":[8.39,3.01,2.2],"armour":[4,3,2,2],"hp":2032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37">
      <c r="A37" t="inlineStr">
        <is>
          <t>hover_gunboat</t>
        </is>
      </c>
      <c r="B37" t="inlineStr">
        <is>
          <t>xe</t>
        </is>
      </c>
      <c r="C37" t="inlineStr">
        <is>
          <t>Escort hovercraft</t>
        </is>
      </c>
      <c r="D37" t="inlineStr">
        <is>
          <t>Xuồng đệm khí hộ tống</t>
        </is>
      </c>
      <c r="E37" t="inlineStr">
        <is>
          <t>Xuồng hộ tống</t>
        </is>
      </c>
      <c r="F37" t="inlineStr">
        <is>
          <t>Light</t>
        </is>
      </c>
      <c r="G37" t="inlineStr">
        <is>
          <t>Light</t>
        </is>
      </c>
      <c r="H37" t="inlineStr"/>
      <c r="I37" t="n">
        <v>0</v>
      </c>
      <c r="J37" t="n">
        <v>520</v>
      </c>
      <c r="K37" t="n">
        <v>1144</v>
      </c>
      <c r="L37" t="n">
        <v>1</v>
      </c>
      <c r="M37" t="n">
        <v>0</v>
      </c>
      <c r="N37" t="n">
        <v>0</v>
      </c>
      <c r="O37" t="n">
        <v>0</v>
      </c>
      <c r="P37" t="b">
        <v>0</v>
      </c>
      <c r="Q37" t="n">
        <v>8.5</v>
      </c>
      <c r="R37" t="n">
        <v>70</v>
      </c>
      <c r="S37" t="n">
        <v>160</v>
      </c>
      <c r="T37" t="n">
        <v>46</v>
      </c>
      <c r="U37" t="n">
        <v>3.2</v>
      </c>
      <c r="V37" t="n">
        <v>14</v>
      </c>
      <c r="W37" t="n">
        <v>3.92</v>
      </c>
      <c r="X37" t="b">
        <v>0</v>
      </c>
      <c r="Y37" t="n">
        <v>0</v>
      </c>
      <c r="Z37" t="b">
        <v>0</v>
      </c>
      <c r="AA37" t="b">
        <v>1</v>
      </c>
      <c r="AB37" t="n">
        <v>0</v>
      </c>
      <c r="AC37" t="n">
        <v>3.5</v>
      </c>
      <c r="AD37" t="n">
        <v>1</v>
      </c>
      <c r="AE37" t="inlineStr">
        <is>
          <t>hover_ciws</t>
        </is>
      </c>
      <c r="AF37" t="inlineStr"/>
      <c r="AG37" t="inlineStr"/>
      <c r="AH37" t="inlineStr">
        <is>
          <t>none</t>
        </is>
      </c>
      <c r="AI37" t="inlineStr"/>
      <c r="AJ37" t="inlineStr"/>
      <c r="AK37" t="inlineStr">
        <is>
          <t>hover_gunboat</t>
        </is>
      </c>
      <c r="AL37" t="inlineStr">
        <is>
          <t>giong</t>
        </is>
      </c>
      <c r="BI37" t="n">
        <v>0</v>
      </c>
      <c r="BJ37" t="n">
        <v>1</v>
      </c>
      <c r="BK37" t="inlineStr"/>
      <c r="BL37" t="inlineStr"/>
      <c r="BM37" t="inlineStr"/>
      <c r="BN37" t="inlineStr">
        <is>
          <t>Campaign; mua sớm; 300 xu</t>
        </is>
      </c>
      <c r="BS37" t="n">
        <v>1</v>
      </c>
      <c r="BZ37" t="n">
        <v>0</v>
      </c>
      <c r="CC37" t="inlineStr">
        <is>
          <t>Light</t>
        </is>
      </c>
      <c r="CF37" t="n">
        <v>0</v>
      </c>
      <c r="CH37" t="n">
        <v>70</v>
      </c>
      <c r="CI37" t="n">
        <v>0.4</v>
      </c>
      <c r="CJ37" t="n">
        <v>9</v>
      </c>
      <c r="CK37" t="inlineStr">
        <is>
          <t>Huge</t>
        </is>
      </c>
      <c r="CZ37" t="b">
        <v>1</v>
      </c>
      <c r="DD37" t="n">
        <v>520</v>
      </c>
      <c r="DI37" t="n">
        <v>14</v>
      </c>
      <c r="DM37" t="inlineStr">
        <is>
          <t>Free</t>
        </is>
      </c>
      <c r="DN37" t="inlineStr">
        <is>
          <t>mg</t>
        </is>
      </c>
      <c r="EA37" t="n">
        <v>3.67</v>
      </c>
      <c r="EB37" t="n">
        <v>14</v>
      </c>
      <c r="EC37" t="n">
        <v>3.92</v>
      </c>
      <c r="EL37" t="n">
        <v>3.2</v>
      </c>
      <c r="ER37" t="n">
        <v>1</v>
      </c>
      <c r="EZ37" t="n">
        <v>8.5</v>
      </c>
      <c r="FG37" t="n">
        <v>70</v>
      </c>
      <c r="FH37" t="n">
        <v>160</v>
      </c>
      <c r="FJ37" t="n">
        <v>46</v>
      </c>
      <c r="FL37" t="inlineStr">
        <is>
          <t>hover_ciws</t>
        </is>
      </c>
      <c r="FM37" t="n">
        <v>3.92</v>
      </c>
      <c r="FN37" t="inlineStr">
        <is>
          <t>Assets/MachineBrigade/Resources/Data/balance.json: vehicles[136]</t>
        </is>
      </c>
      <c r="FO37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38">
      <c r="A38" t="inlineStr">
        <is>
          <t>ifv</t>
        </is>
      </c>
      <c r="B38" t="inlineStr">
        <is>
          <t>xe</t>
        </is>
      </c>
      <c r="C38" t="inlineStr">
        <is>
          <t>Infantry fighting vehicle</t>
        </is>
      </c>
      <c r="D38" t="inlineStr">
        <is>
          <t>Xe chiến đấu bộ binh</t>
        </is>
      </c>
      <c r="E38" t="inlineStr">
        <is>
          <t>Xe bộ binh</t>
        </is>
      </c>
      <c r="F38" t="inlineStr"/>
      <c r="G38" t="inlineStr"/>
      <c r="H38" t="inlineStr"/>
      <c r="I38" t="n">
        <v>7</v>
      </c>
      <c r="J38" t="n">
        <v>623</v>
      </c>
      <c r="K38" t="n">
        <v>1370.6</v>
      </c>
      <c r="L38" t="n">
        <v>2</v>
      </c>
      <c r="M38" t="n">
        <v>1</v>
      </c>
      <c r="N38" t="n">
        <v>0</v>
      </c>
      <c r="O38" t="n">
        <v>0</v>
      </c>
      <c r="P38" t="b">
        <v>0</v>
      </c>
      <c r="Q38" t="n">
        <v>8</v>
      </c>
      <c r="R38" t="n">
        <v>110</v>
      </c>
      <c r="S38" t="n">
        <v>160</v>
      </c>
      <c r="T38" t="n">
        <v>34</v>
      </c>
      <c r="U38" t="n">
        <v>2.3</v>
      </c>
      <c r="V38" t="n">
        <v>5.31</v>
      </c>
      <c r="W38" t="n">
        <v>3.02</v>
      </c>
      <c r="X38" t="b">
        <v>0</v>
      </c>
      <c r="Y38" t="n">
        <v>0</v>
      </c>
      <c r="Z38" t="b">
        <v>0</v>
      </c>
      <c r="AA38" t="b">
        <v>1</v>
      </c>
      <c r="AB38" t="n">
        <v>3</v>
      </c>
      <c r="AC38" t="n">
        <v>3.5</v>
      </c>
      <c r="AD38" t="n">
        <v>1.1667</v>
      </c>
      <c r="AE38" t="inlineStr">
        <is>
          <t>ifv_30</t>
        </is>
      </c>
      <c r="AF38" t="inlineStr">
        <is>
          <t>mg_coax;atgm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ifv</t>
        </is>
      </c>
      <c r="AL38" t="inlineStr">
        <is>
          <t>doi</t>
        </is>
      </c>
      <c r="AM38" t="n">
        <v>6</v>
      </c>
      <c r="AN38" t="n">
        <v>7</v>
      </c>
      <c r="AO38" t="n">
        <v>520</v>
      </c>
      <c r="AP38" t="n">
        <v>623</v>
      </c>
      <c r="BG38" t="n">
        <v>1</v>
      </c>
      <c r="BH38" t="n">
        <v>1.1667</v>
      </c>
      <c r="BI38" t="n">
        <v>7</v>
      </c>
      <c r="BJ38" t="n">
        <v>2</v>
      </c>
      <c r="BK38" t="inlineStr"/>
      <c r="BL38" t="inlineStr">
        <is>
          <t>elite_apc</t>
        </is>
      </c>
      <c r="BM38" t="inlineStr">
        <is>
          <t>wheeled</t>
        </is>
      </c>
      <c r="BN38" t="inlineStr">
        <is>
          <t>Starter; 1350 xu</t>
        </is>
      </c>
      <c r="BS38" t="n">
        <v>2</v>
      </c>
      <c r="BZ38" t="n">
        <v>3</v>
      </c>
      <c r="CF38" t="n">
        <v>7</v>
      </c>
      <c r="CH38" t="n">
        <v>80</v>
      </c>
      <c r="CI38" t="n">
        <v>0.35</v>
      </c>
      <c r="CJ38" t="n">
        <v>6</v>
      </c>
      <c r="CK38" t="inlineStr">
        <is>
          <t>Large</t>
        </is>
      </c>
      <c r="CZ38" t="b">
        <v>1</v>
      </c>
      <c r="DD38" t="n">
        <v>623</v>
      </c>
      <c r="DI38" t="n">
        <v>5.31</v>
      </c>
      <c r="EA38" t="n">
        <v>2.5</v>
      </c>
      <c r="EB38" t="n">
        <v>5.48</v>
      </c>
      <c r="EC38" t="n">
        <v>3.02</v>
      </c>
      <c r="EK38" t="n">
        <v>1.1667</v>
      </c>
      <c r="EL38" t="n">
        <v>2.3</v>
      </c>
      <c r="ER38" t="n">
        <v>1</v>
      </c>
      <c r="EX38" t="n">
        <v>0.6</v>
      </c>
      <c r="EY38" t="inlineStr"/>
      <c r="EZ38" t="n">
        <v>8</v>
      </c>
      <c r="FG38" t="n">
        <v>110</v>
      </c>
      <c r="FH38" t="n">
        <v>160</v>
      </c>
      <c r="FI38" t="n">
        <v>1.06</v>
      </c>
      <c r="FJ38" t="n">
        <v>34</v>
      </c>
      <c r="FL38" t="inlineStr">
        <is>
          <t>ifv_30</t>
        </is>
      </c>
      <c r="FM38" t="n">
        <v>3.02</v>
      </c>
      <c r="FN38" t="inlineStr">
        <is>
          <t>Assets/MachineBrigade/Resources/Data/balance.json: vehicles[18]</t>
        </is>
      </c>
      <c r="FO38" t="inlineStr">
        <is>
          <t>{"id":"ifv","sideErectSeconds":0.6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39">
      <c r="A39" t="inlineStr">
        <is>
          <t>iron_beam</t>
        </is>
      </c>
      <c r="B39" t="inlineStr">
        <is>
          <t>xe</t>
        </is>
      </c>
      <c r="C39" t="inlineStr">
        <is>
          <t>Laser AA</t>
        </is>
      </c>
      <c r="D39" t="inlineStr">
        <is>
          <t>Xe la-de phòng không</t>
        </is>
      </c>
      <c r="E39" t="inlineStr">
        <is>
          <t>La-de PK</t>
        </is>
      </c>
      <c r="F39" t="inlineStr">
        <is>
          <t>AntiAir</t>
        </is>
      </c>
      <c r="G39" t="inlineStr">
        <is>
          <t>Light</t>
        </is>
      </c>
      <c r="H39" t="inlineStr"/>
      <c r="I39" t="n">
        <v>7</v>
      </c>
      <c r="J39" t="n">
        <v>536</v>
      </c>
      <c r="K39" t="n">
        <v>1179.2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7</v>
      </c>
      <c r="R39" t="n">
        <v>70</v>
      </c>
      <c r="S39" t="n">
        <v>180</v>
      </c>
      <c r="T39" t="n">
        <v>56</v>
      </c>
      <c r="U39" t="n">
        <v>2.5</v>
      </c>
      <c r="V39" t="n">
        <v>8.199999999999999</v>
      </c>
      <c r="W39" t="n">
        <v>2.05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1.1667</v>
      </c>
      <c r="AE39" t="inlineStr">
        <is>
          <t>hel_beam</t>
        </is>
      </c>
      <c r="AF39" t="inlineStr"/>
      <c r="AG39" t="inlineStr"/>
      <c r="AH39" t="inlineStr">
        <is>
          <t>aps</t>
        </is>
      </c>
      <c r="AI39" t="n">
        <v>1</v>
      </c>
      <c r="AJ39" t="n">
        <v>0.8</v>
      </c>
      <c r="AK39" t="inlineStr">
        <is>
          <t>iron_beam</t>
        </is>
      </c>
      <c r="AL39" t="inlineStr">
        <is>
          <t>doi</t>
        </is>
      </c>
      <c r="AM39" t="n">
        <v>6</v>
      </c>
      <c r="AN39" t="n">
        <v>7</v>
      </c>
      <c r="AO39" t="n">
        <v>450</v>
      </c>
      <c r="AP39" t="n">
        <v>536</v>
      </c>
      <c r="BG39" t="n">
        <v>1</v>
      </c>
      <c r="BH39" t="n">
        <v>1.1667</v>
      </c>
      <c r="BI39" t="n">
        <v>7</v>
      </c>
      <c r="BJ39" t="n">
        <v>2</v>
      </c>
      <c r="BK39" t="inlineStr"/>
      <c r="BL39" t="inlineStr"/>
      <c r="BM39" t="inlineStr"/>
      <c r="BN39" t="inlineStr">
        <is>
          <t>Campaign; nhiệm vụ c6m16; mua sớm; 800 xu</t>
        </is>
      </c>
      <c r="BS39" t="n">
        <v>1</v>
      </c>
      <c r="BZ39" t="n">
        <v>1</v>
      </c>
      <c r="CC39" t="inlineStr">
        <is>
          <t>AntiAir</t>
        </is>
      </c>
      <c r="CF39" t="n">
        <v>7</v>
      </c>
      <c r="CH39" t="n">
        <v>70</v>
      </c>
      <c r="CI39" t="n">
        <v>0.3</v>
      </c>
      <c r="CJ39" t="n">
        <v>6</v>
      </c>
      <c r="CK39" t="inlineStr">
        <is>
          <t>Large</t>
        </is>
      </c>
      <c r="CZ39" t="b">
        <v>1</v>
      </c>
      <c r="DD39" t="n">
        <v>536</v>
      </c>
      <c r="DI39" t="n">
        <v>8.199999999999999</v>
      </c>
      <c r="EA39" t="n">
        <v>2.86</v>
      </c>
      <c r="EB39" t="n">
        <v>8.199999999999999</v>
      </c>
      <c r="EC39" t="n">
        <v>2.05</v>
      </c>
      <c r="EK39" t="n">
        <v>1.1667</v>
      </c>
      <c r="EL39" t="n">
        <v>2.5</v>
      </c>
      <c r="ER39" t="n">
        <v>1</v>
      </c>
      <c r="EZ39" t="n">
        <v>7</v>
      </c>
      <c r="FG39" t="n">
        <v>70</v>
      </c>
      <c r="FH39" t="n">
        <v>180</v>
      </c>
      <c r="FI39" t="n">
        <v>0.5</v>
      </c>
      <c r="FJ39" t="n">
        <v>56</v>
      </c>
      <c r="FL39" t="inlineStr">
        <is>
          <t>hel_beam</t>
        </is>
      </c>
      <c r="FM39" t="n">
        <v>2.05</v>
      </c>
      <c r="FN39" t="inlineStr">
        <is>
          <t>Assets/MachineBrigade/Resources/Data/balance.json: vehicles[38]</t>
        </is>
      </c>
      <c r="FO39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40">
      <c r="A40" t="inlineStr">
        <is>
          <t>landing_craft</t>
        </is>
      </c>
      <c r="B40" t="inlineStr">
        <is>
          <t>vat_pham</t>
        </is>
      </c>
      <c r="C40" t="inlineStr">
        <is>
          <t>Landing Craft</t>
        </is>
      </c>
      <c r="D40" t="inlineStr">
        <is>
          <t>Tàu đổ bộ</t>
        </is>
      </c>
      <c r="E40" t="inlineStr">
        <is>
          <t>Tàu đổ bộ</t>
        </is>
      </c>
      <c r="F40" t="inlineStr">
        <is>
          <t>Support</t>
        </is>
      </c>
      <c r="G40" t="inlineStr">
        <is>
          <t>Light</t>
        </is>
      </c>
      <c r="H40" t="inlineStr"/>
      <c r="I40" t="n">
        <v>0</v>
      </c>
      <c r="J40" t="n">
        <v>1000</v>
      </c>
      <c r="K40" t="n">
        <v>2200</v>
      </c>
      <c r="L40" t="n">
        <v>2</v>
      </c>
      <c r="M40" t="n">
        <v>2</v>
      </c>
      <c r="N40" t="n">
        <v>2</v>
      </c>
      <c r="O40" t="n">
        <v>1</v>
      </c>
      <c r="P40" t="b">
        <v>0</v>
      </c>
      <c r="Q40" t="n">
        <v>5.5</v>
      </c>
      <c r="R40" t="n">
        <v>30</v>
      </c>
      <c r="S40" t="n">
        <v>120</v>
      </c>
      <c r="T40" t="n">
        <v>50</v>
      </c>
      <c r="U40" t="n">
        <v>4.5</v>
      </c>
      <c r="V40" t="n">
        <v>17</v>
      </c>
      <c r="W40" t="n">
        <v>7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hmg_roof</t>
        </is>
      </c>
      <c r="AF40" t="inlineStr"/>
      <c r="AG40" t="inlineStr"/>
      <c r="AH40" t="inlineStr">
        <is>
          <t>none</t>
        </is>
      </c>
      <c r="AI40" t="inlineStr"/>
      <c r="AJ40" t="inlineStr"/>
      <c r="AK40" t="inlineStr">
        <is>
          <t>landing_craft</t>
        </is>
      </c>
      <c r="AL40" t="inlineStr">
        <is>
          <t>giong</t>
        </is>
      </c>
      <c r="BI40" t="n">
        <v>0</v>
      </c>
      <c r="BJ40" t="n">
        <v>1</v>
      </c>
      <c r="BK40" t="inlineStr"/>
      <c r="BL40" t="inlineStr"/>
      <c r="BM40" t="inlineStr"/>
      <c r="BN40" t="inlineStr">
        <is>
          <t>Campaign; mua sớm; 300 xu</t>
        </is>
      </c>
      <c r="BT40" t="n">
        <v>2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Support</t>
        </is>
      </c>
      <c r="CF40" t="n">
        <v>0</v>
      </c>
      <c r="CH40" t="n">
        <v>120</v>
      </c>
      <c r="CI40" t="n">
        <v>0.5</v>
      </c>
      <c r="CJ40" t="n">
        <v>8</v>
      </c>
      <c r="CK40" t="inlineStr">
        <is>
          <t>Huge</t>
        </is>
      </c>
      <c r="CZ40" t="b">
        <v>1</v>
      </c>
      <c r="DD40" t="n">
        <v>1000</v>
      </c>
      <c r="DI40" t="n">
        <v>17</v>
      </c>
      <c r="DM40" t="inlineStr">
        <is>
          <t>Free</t>
        </is>
      </c>
      <c r="DN40" t="inlineStr">
        <is>
          <t>mg</t>
        </is>
      </c>
      <c r="EG40" t="inlineStr">
        <is>
          <t>Lander</t>
        </is>
      </c>
      <c r="EL40" t="n">
        <v>4.5</v>
      </c>
      <c r="EZ40" t="n">
        <v>5.5</v>
      </c>
      <c r="FG40" t="n">
        <v>30</v>
      </c>
      <c r="FH40" t="n">
        <v>120</v>
      </c>
      <c r="FJ40" t="n">
        <v>50</v>
      </c>
      <c r="FL40" t="inlineStr">
        <is>
          <t>hmg_roof</t>
        </is>
      </c>
      <c r="FM40" t="n">
        <v>7</v>
      </c>
      <c r="FN40" t="inlineStr">
        <is>
          <t>Assets/MachineBrigade/Resources/Data/balance.json: vehicles[157]</t>
        </is>
      </c>
      <c r="FO40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41">
      <c r="A41" t="inlineStr">
        <is>
          <t>laser_tank</t>
        </is>
      </c>
      <c r="B41" t="inlineStr">
        <is>
          <t>xe</t>
        </is>
      </c>
      <c r="C41" t="inlineStr">
        <is>
          <t>Laser tank destroyer</t>
        </is>
      </c>
      <c r="D41" t="inlineStr">
        <is>
          <t>Xe la-de diệt tăng</t>
        </is>
      </c>
      <c r="E41" t="inlineStr">
        <is>
          <t>La-de diệt tăng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11</v>
      </c>
      <c r="J41" t="n">
        <v>882</v>
      </c>
      <c r="K41" t="n">
        <v>1940.4</v>
      </c>
      <c r="L41" t="n">
        <v>2</v>
      </c>
      <c r="M41" t="n">
        <v>1</v>
      </c>
      <c r="N41" t="n">
        <v>1</v>
      </c>
      <c r="O41" t="n">
        <v>1</v>
      </c>
      <c r="P41" t="b">
        <v>0</v>
      </c>
      <c r="Q41" t="n">
        <v>6.5</v>
      </c>
      <c r="R41" t="n">
        <v>65</v>
      </c>
      <c r="S41" t="n">
        <v>55</v>
      </c>
      <c r="T41" t="n">
        <v>38</v>
      </c>
      <c r="U41" t="n">
        <v>2.4</v>
      </c>
      <c r="V41" t="n">
        <v>6.08</v>
      </c>
      <c r="W41" t="n">
        <v>2.82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1.2681</v>
      </c>
      <c r="AE41" t="inlineStr">
        <is>
          <t>focus_laser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laser_tank</t>
        </is>
      </c>
      <c r="AL41" t="inlineStr">
        <is>
          <t>doi</t>
        </is>
      </c>
      <c r="AM41" t="n">
        <v>9</v>
      </c>
      <c r="AN41" t="n">
        <v>11</v>
      </c>
      <c r="AO41" t="n">
        <v>700</v>
      </c>
      <c r="AP41" t="n">
        <v>882</v>
      </c>
      <c r="BG41" t="n">
        <v>1</v>
      </c>
      <c r="BH41" t="n">
        <v>1.2681</v>
      </c>
      <c r="BI41" t="n">
        <v>11</v>
      </c>
      <c r="BJ41" t="n">
        <v>3</v>
      </c>
      <c r="BK41" t="inlineStr"/>
      <c r="BL41" t="inlineStr"/>
      <c r="BM41" t="inlineStr"/>
      <c r="BN41" t="inlineStr">
        <is>
          <t>Campaign; nhiệm vụ c9m01; mua sớm; 1500 xu</t>
        </is>
      </c>
      <c r="BT41" t="n">
        <v>2</v>
      </c>
      <c r="BU41" t="n">
        <v>1</v>
      </c>
      <c r="BV41" t="n">
        <v>1</v>
      </c>
      <c r="BW41" t="n">
        <v>1</v>
      </c>
      <c r="CC41" t="inlineStr">
        <is>
          <t>TankHunter</t>
        </is>
      </c>
      <c r="CF41" t="n">
        <v>11</v>
      </c>
      <c r="CH41" t="n">
        <v>110</v>
      </c>
      <c r="CI41" t="n">
        <v>0.4</v>
      </c>
      <c r="CJ41" t="n">
        <v>7</v>
      </c>
      <c r="CK41" t="inlineStr">
        <is>
          <t>Huge</t>
        </is>
      </c>
      <c r="CZ41" t="b">
        <v>1</v>
      </c>
      <c r="DD41" t="n">
        <v>882</v>
      </c>
      <c r="DI41" t="n">
        <v>6.08</v>
      </c>
      <c r="EA41" t="n">
        <v>2.74</v>
      </c>
      <c r="EB41" t="n">
        <v>6.08</v>
      </c>
      <c r="EC41" t="n">
        <v>2.82</v>
      </c>
      <c r="EK41" t="n">
        <v>1.2681</v>
      </c>
      <c r="EL41" t="n">
        <v>2.4</v>
      </c>
      <c r="ER41" t="n">
        <v>1</v>
      </c>
      <c r="EZ41" t="n">
        <v>6.5</v>
      </c>
      <c r="FE41" t="inlineStr">
        <is>
          <t>Heavy;Tank;Boss</t>
        </is>
      </c>
      <c r="FG41" t="n">
        <v>65</v>
      </c>
      <c r="FH41" t="n">
        <v>55</v>
      </c>
      <c r="FI41" t="n">
        <v>1.01</v>
      </c>
      <c r="FJ41" t="n">
        <v>38</v>
      </c>
      <c r="FL41" t="inlineStr">
        <is>
          <t>focus_laser</t>
        </is>
      </c>
      <c r="FM41" t="n">
        <v>2.82</v>
      </c>
      <c r="FN41" t="inlineStr">
        <is>
          <t>Assets/MachineBrigade/Resources/Data/balance.json: vehicles[45]</t>
        </is>
      </c>
      <c r="FO41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42">
      <c r="A42" t="inlineStr">
        <is>
          <t>light_tank</t>
        </is>
      </c>
      <c r="B42" t="inlineStr">
        <is>
          <t>xe</t>
        </is>
      </c>
      <c r="C42" t="inlineStr">
        <is>
          <t>Amphibious light tank</t>
        </is>
      </c>
      <c r="D42" t="inlineStr">
        <is>
          <t>Tăng nhẹ lội nước</t>
        </is>
      </c>
      <c r="E42" t="inlineStr">
        <is>
          <t>Tăng nhẹ</t>
        </is>
      </c>
      <c r="F42" t="inlineStr">
        <is>
          <t>Tank</t>
        </is>
      </c>
      <c r="G42" t="inlineStr">
        <is>
          <t>Armor</t>
        </is>
      </c>
      <c r="H42" t="inlineStr"/>
      <c r="I42" t="n">
        <v>3</v>
      </c>
      <c r="J42" t="n">
        <v>460</v>
      </c>
      <c r="K42" t="n">
        <v>1012</v>
      </c>
      <c r="L42" t="n">
        <v>2</v>
      </c>
      <c r="M42" t="n">
        <v>1</v>
      </c>
      <c r="N42" t="n">
        <v>0</v>
      </c>
      <c r="O42" t="n">
        <v>0</v>
      </c>
      <c r="P42" t="b">
        <v>0</v>
      </c>
      <c r="Q42" t="n">
        <v>9</v>
      </c>
      <c r="R42" t="n">
        <v>90</v>
      </c>
      <c r="S42" t="n">
        <v>120</v>
      </c>
      <c r="T42" t="n">
        <v>40</v>
      </c>
      <c r="U42" t="n">
        <v>1.7</v>
      </c>
      <c r="V42" t="n">
        <v>5.72</v>
      </c>
      <c r="W42" t="n">
        <v>2.61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gun_57mm</t>
        </is>
      </c>
      <c r="AF42" t="inlineStr">
        <is>
          <t>mg_coax;gun_launched_atgm</t>
        </is>
      </c>
      <c r="AG42" t="inlineStr"/>
      <c r="AH42" t="inlineStr">
        <is>
          <t>none</t>
        </is>
      </c>
      <c r="AI42" t="inlineStr"/>
      <c r="AJ42" t="inlineStr"/>
      <c r="AK42" t="inlineStr">
        <is>
          <t>light_tank</t>
        </is>
      </c>
      <c r="AL42" t="inlineStr">
        <is>
          <t>doi</t>
        </is>
      </c>
      <c r="AY42" t="n">
        <v>4</v>
      </c>
      <c r="AZ42" t="n">
        <v>9</v>
      </c>
      <c r="BI42" t="n">
        <v>3</v>
      </c>
      <c r="BJ42" t="n">
        <v>1</v>
      </c>
      <c r="BK42" t="inlineStr"/>
      <c r="BL42" t="inlineStr"/>
      <c r="BM42" t="inlineStr">
        <is>
          <t>light_tank;tank</t>
        </is>
      </c>
      <c r="BN42" t="inlineStr">
        <is>
          <t>Campaign; nhiệm vụ c1m03; mua sớm; 300 xu</t>
        </is>
      </c>
      <c r="BS42" t="n">
        <v>2</v>
      </c>
      <c r="CC42" t="inlineStr">
        <is>
          <t>Tank</t>
        </is>
      </c>
      <c r="CF42" t="n">
        <v>3</v>
      </c>
      <c r="CH42" t="n">
        <v>60</v>
      </c>
      <c r="CI42" t="n">
        <v>0.25</v>
      </c>
      <c r="CJ42" t="n">
        <v>5</v>
      </c>
      <c r="CK42" t="inlineStr">
        <is>
          <t>Large</t>
        </is>
      </c>
      <c r="CV42" t="n">
        <v>2.5</v>
      </c>
      <c r="CZ42" t="b">
        <v>1</v>
      </c>
      <c r="DD42" t="n">
        <v>460</v>
      </c>
      <c r="DI42" t="n">
        <v>5.72</v>
      </c>
      <c r="EA42" t="n">
        <v>1.89</v>
      </c>
      <c r="EB42" t="n">
        <v>6.39</v>
      </c>
      <c r="EC42" t="n">
        <v>2.61</v>
      </c>
      <c r="EL42" t="n">
        <v>1.7</v>
      </c>
      <c r="ER42" t="n">
        <v>1</v>
      </c>
      <c r="EZ42" t="n">
        <v>9</v>
      </c>
      <c r="FG42" t="n">
        <v>90</v>
      </c>
      <c r="FH42" t="n">
        <v>120</v>
      </c>
      <c r="FI42" t="n">
        <v>0.5</v>
      </c>
      <c r="FJ42" t="n">
        <v>40</v>
      </c>
      <c r="FL42" t="inlineStr">
        <is>
          <t>gun_57mm</t>
        </is>
      </c>
      <c r="FM42" t="n">
        <v>2.61</v>
      </c>
      <c r="FN42" t="inlineStr">
        <is>
          <t>Assets/MachineBrigade/Resources/Data/balance.json: vehicles[1]</t>
        </is>
      </c>
      <c r="FO42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43">
      <c r="A43" t="inlineStr">
        <is>
          <t>long_sam</t>
        </is>
      </c>
      <c r="B43" t="inlineStr">
        <is>
          <t>xe</t>
        </is>
      </c>
      <c r="C43" t="inlineStr">
        <is>
          <t>Long-range SAM</t>
        </is>
      </c>
      <c r="D43" t="inlineStr">
        <is>
          <t>Xe tên lửa phòng không tầm xa</t>
        </is>
      </c>
      <c r="E43" t="inlineStr">
        <is>
          <t>PK tầm xa</t>
        </is>
      </c>
      <c r="F43" t="inlineStr">
        <is>
          <t>AntiAir</t>
        </is>
      </c>
      <c r="G43" t="inlineStr">
        <is>
          <t>Light</t>
        </is>
      </c>
      <c r="H43" t="inlineStr"/>
      <c r="I43" t="n">
        <v>18</v>
      </c>
      <c r="J43" t="n">
        <v>586</v>
      </c>
      <c r="K43" t="n">
        <v>1289.2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6</v>
      </c>
      <c r="R43" t="n">
        <v>60</v>
      </c>
      <c r="S43" t="n">
        <v>60</v>
      </c>
      <c r="T43" t="n">
        <v>80</v>
      </c>
      <c r="U43" t="n">
        <v>2.8</v>
      </c>
      <c r="V43" t="n">
        <v>11.02</v>
      </c>
      <c r="W43" t="n">
        <v>2.44</v>
      </c>
      <c r="X43" t="b">
        <v>0</v>
      </c>
      <c r="Y43" t="n">
        <v>0</v>
      </c>
      <c r="Z43" t="b">
        <v>0</v>
      </c>
      <c r="AA43" t="b">
        <v>0</v>
      </c>
      <c r="AB43" t="n">
        <v>0</v>
      </c>
      <c r="AC43" t="n">
        <v>5</v>
      </c>
      <c r="AD43" t="n">
        <v>1.4464</v>
      </c>
      <c r="AE43" t="inlineStr">
        <is>
          <t>sam_48n6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long_sam</t>
        </is>
      </c>
      <c r="AL43" t="inlineStr">
        <is>
          <t>doi</t>
        </is>
      </c>
      <c r="AM43" t="n">
        <v>14</v>
      </c>
      <c r="AN43" t="n">
        <v>18</v>
      </c>
      <c r="AO43" t="n">
        <v>440</v>
      </c>
      <c r="AP43" t="n">
        <v>586</v>
      </c>
      <c r="BG43" t="n">
        <v>1</v>
      </c>
      <c r="BH43" t="n">
        <v>1.4464</v>
      </c>
      <c r="BI43" t="n">
        <v>18</v>
      </c>
      <c r="BJ43" t="n">
        <v>4</v>
      </c>
      <c r="BK43" t="inlineStr"/>
      <c r="BL43" t="inlineStr">
        <is>
          <t>elite_long_sam</t>
        </is>
      </c>
      <c r="BM43" t="inlineStr"/>
      <c r="BN43" t="inlineStr">
        <is>
          <t>Campaign; nhiệm vụ c8m01; mua sớm; 1500 xu</t>
        </is>
      </c>
      <c r="BS43" t="n">
        <v>1</v>
      </c>
      <c r="BZ43" t="n">
        <v>0</v>
      </c>
      <c r="CC43" t="inlineStr">
        <is>
          <t>AntiAir</t>
        </is>
      </c>
      <c r="CF43" t="n">
        <v>18</v>
      </c>
      <c r="CH43" t="n">
        <v>160</v>
      </c>
      <c r="CI43" t="n">
        <v>0.4</v>
      </c>
      <c r="CJ43" t="n">
        <v>10</v>
      </c>
      <c r="CK43" t="inlineStr">
        <is>
          <t>Huge</t>
        </is>
      </c>
      <c r="CV43" t="n">
        <v>5</v>
      </c>
      <c r="CY43" t="n">
        <v>1.6</v>
      </c>
      <c r="CZ43" t="b">
        <v>0</v>
      </c>
      <c r="DD43" t="n">
        <v>586</v>
      </c>
      <c r="DI43" t="n">
        <v>11.02</v>
      </c>
      <c r="DN43" t="inlineStr">
        <is>
          <t>missile</t>
        </is>
      </c>
      <c r="EA43" t="n">
        <v>2.59</v>
      </c>
      <c r="EB43" t="n">
        <v>11.02</v>
      </c>
      <c r="EC43" t="n">
        <v>2.46</v>
      </c>
      <c r="EK43" t="n">
        <v>1.4464</v>
      </c>
      <c r="EL43" t="n">
        <v>2.8</v>
      </c>
      <c r="ER43" t="n">
        <v>1</v>
      </c>
      <c r="EZ43" t="n">
        <v>6</v>
      </c>
      <c r="FG43" t="n">
        <v>60</v>
      </c>
      <c r="FH43" t="n">
        <v>60</v>
      </c>
      <c r="FI43" t="n">
        <v>1.5</v>
      </c>
      <c r="FJ43" t="n">
        <v>80</v>
      </c>
      <c r="FL43" t="inlineStr">
        <is>
          <t>sam_48n6</t>
        </is>
      </c>
      <c r="FM43" t="n">
        <v>2.44</v>
      </c>
      <c r="FN43" t="inlineStr">
        <is>
          <t>Assets/MachineBrigade/Resources/Data/balance.json: vehicles[43]</t>
        </is>
      </c>
      <c r="FO43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44">
      <c r="A44" t="inlineStr">
        <is>
          <t>main_battle_tank</t>
        </is>
      </c>
      <c r="B44" t="inlineStr">
        <is>
          <t>xe</t>
        </is>
      </c>
      <c r="C44" t="inlineStr">
        <is>
          <t>Main battle tank</t>
        </is>
      </c>
      <c r="D44" t="inlineStr">
        <is>
          <t>Tăng chủ lực</t>
        </is>
      </c>
      <c r="E44" t="inlineStr">
        <is>
          <t>Tăng chủ lực</t>
        </is>
      </c>
      <c r="F44" t="inlineStr"/>
      <c r="G44" t="inlineStr"/>
      <c r="H44" t="inlineStr"/>
      <c r="I44" t="n">
        <v>8</v>
      </c>
      <c r="J44" t="n">
        <v>1050</v>
      </c>
      <c r="K44" t="n">
        <v>2310</v>
      </c>
      <c r="L44" t="n">
        <v>4</v>
      </c>
      <c r="M44" t="n">
        <v>2</v>
      </c>
      <c r="N44" t="n">
        <v>1</v>
      </c>
      <c r="O44" t="n">
        <v>1</v>
      </c>
      <c r="P44" t="b">
        <v>0</v>
      </c>
      <c r="Q44" t="n">
        <v>6.5</v>
      </c>
      <c r="R44" t="n">
        <v>60</v>
      </c>
      <c r="S44" t="n">
        <v>115</v>
      </c>
      <c r="T44" t="n">
        <v>30</v>
      </c>
      <c r="U44" t="n">
        <v>2.2</v>
      </c>
      <c r="V44" t="n">
        <v>6.1</v>
      </c>
      <c r="W44" t="n">
        <v>3.07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gun_120mm</t>
        </is>
      </c>
      <c r="AF44" t="inlineStr">
        <is>
          <t>mg_coax;hmg_roof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main_battle_tank</t>
        </is>
      </c>
      <c r="AL44" t="inlineStr">
        <is>
          <t>doi</t>
        </is>
      </c>
      <c r="AM44" t="n">
        <v>7</v>
      </c>
      <c r="AN44" t="n">
        <v>8</v>
      </c>
      <c r="AO44" t="n">
        <v>900</v>
      </c>
      <c r="AP44" t="n">
        <v>1050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>
        <is>
          <t>elite_mbt</t>
        </is>
      </c>
      <c r="BM44" t="inlineStr">
        <is>
          <t>mbt;tank</t>
        </is>
      </c>
      <c r="BN44" t="inlineStr">
        <is>
          <t>Starter; 1500 xu</t>
        </is>
      </c>
      <c r="BT44" t="n">
        <v>4</v>
      </c>
      <c r="BU44" t="n">
        <v>1</v>
      </c>
      <c r="BV44" t="n">
        <v>2</v>
      </c>
      <c r="BW44" t="n">
        <v>1</v>
      </c>
      <c r="CF44" t="n">
        <v>8</v>
      </c>
      <c r="CH44" t="n">
        <v>150</v>
      </c>
      <c r="CI44" t="n">
        <v>0.45</v>
      </c>
      <c r="CJ44" t="n">
        <v>7</v>
      </c>
      <c r="CK44" t="inlineStr">
        <is>
          <t>Huge</t>
        </is>
      </c>
      <c r="CZ44" t="b">
        <v>1</v>
      </c>
      <c r="DD44" t="n">
        <v>1050</v>
      </c>
      <c r="DI44" t="n">
        <v>6.1</v>
      </c>
      <c r="EA44" t="n">
        <v>2.3</v>
      </c>
      <c r="EB44" t="n">
        <v>7.79</v>
      </c>
      <c r="EC44" t="n">
        <v>3.07</v>
      </c>
      <c r="EK44" t="n">
        <v>1.1429</v>
      </c>
      <c r="EL44" t="n">
        <v>2.2</v>
      </c>
      <c r="ER44" t="n">
        <v>1</v>
      </c>
      <c r="EZ44" t="n">
        <v>6.5</v>
      </c>
      <c r="FG44" t="n">
        <v>60</v>
      </c>
      <c r="FH44" t="n">
        <v>115</v>
      </c>
      <c r="FI44" t="n">
        <v>0.92</v>
      </c>
      <c r="FJ44" t="n">
        <v>30</v>
      </c>
      <c r="FL44" t="inlineStr">
        <is>
          <t>gun_120mm</t>
        </is>
      </c>
      <c r="FM44" t="n">
        <v>3.07</v>
      </c>
      <c r="FN44" t="inlineStr">
        <is>
          <t>Assets/MachineBrigade/Resources/Data/balance.json: vehicles[2]</t>
        </is>
      </c>
      <c r="FO44" t="inlineStr">
        <is>
          <t>{"id":"main_battle_tank","apsCapability":"RetrofitEligible","outgoingDamageMult":1.1429,"value":0.92,"scale":1,"modelSize":[7.79,3.07,2.3],"armour":[4,2,1,1],"hp":1050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45">
      <c r="A45" t="inlineStr">
        <is>
          <t>mara_behemoth</t>
        </is>
      </c>
      <c r="B45" t="inlineStr">
        <is>
          <t>vat_pham</t>
        </is>
      </c>
      <c r="C45" t="inlineStr">
        <is>
          <t>{@mai}'s Behemoth · Allied Behemoth</t>
        </is>
      </c>
      <c r="D45" t="inlineStr">
        <is>
          <t>{@mai}'s Behemoth · Behemoth đồng minh</t>
        </is>
      </c>
      <c r="E45" t="inlineStr">
        <is>
          <t>Behemoth của {@mai}</t>
        </is>
      </c>
      <c r="F45" t="inlineStr">
        <is>
          <t>Heavy</t>
        </is>
      </c>
      <c r="G45" t="inlineStr">
        <is>
          <t>Armor</t>
        </is>
      </c>
      <c r="H45" t="inlineStr"/>
      <c r="I45" t="n">
        <v>0</v>
      </c>
      <c r="J45" t="n">
        <v>6000</v>
      </c>
      <c r="K45" t="n">
        <v>13200</v>
      </c>
      <c r="L45" t="n">
        <v>5</v>
      </c>
      <c r="M45" t="n">
        <v>3</v>
      </c>
      <c r="N45" t="n">
        <v>3</v>
      </c>
      <c r="O45" t="n">
        <v>2</v>
      </c>
      <c r="P45" t="b">
        <v>0</v>
      </c>
      <c r="Q45" t="n">
        <v>2.6</v>
      </c>
      <c r="R45" t="n">
        <v>25</v>
      </c>
      <c r="S45" t="n">
        <v>30</v>
      </c>
      <c r="T45" t="n">
        <v>55</v>
      </c>
      <c r="U45" t="n">
        <v>6.9</v>
      </c>
      <c r="V45" t="n">
        <v>16.367</v>
      </c>
      <c r="W45" t="n">
        <v>8.449999999999999</v>
      </c>
      <c r="X45" t="b">
        <v>0</v>
      </c>
      <c r="Y45" t="n">
        <v>0</v>
      </c>
      <c r="Z45" t="b">
        <v>0</v>
      </c>
      <c r="AA45" t="b">
        <v>1</v>
      </c>
      <c r="AB45" t="n">
        <v>1</v>
      </c>
      <c r="AC45" t="n">
        <v>3.5</v>
      </c>
      <c r="AD45" t="n">
        <v>1</v>
      </c>
      <c r="AE45" t="inlineStr">
        <is>
          <t>gun_behemoth</t>
        </is>
      </c>
      <c r="AF45" t="inlineStr">
        <is>
          <t>gun_120mm;boss_flak;boss_flak;boss_missiles;boss_missiles</t>
        </is>
      </c>
      <c r="AG45" t="inlineStr"/>
      <c r="AH45" t="inlineStr">
        <is>
          <t>aps</t>
        </is>
      </c>
      <c r="AI45" t="n">
        <v>2</v>
      </c>
      <c r="AJ45" t="n">
        <v>10</v>
      </c>
      <c r="AK45" t="inlineStr">
        <is>
          <t>behemoth</t>
        </is>
      </c>
      <c r="AL45" t="inlineStr">
        <is>
          <t>doi</t>
        </is>
      </c>
      <c r="AQ45" t="n">
        <v>4</v>
      </c>
      <c r="AR45" t="n">
        <v>5</v>
      </c>
      <c r="BI45" t="n">
        <v>0</v>
      </c>
      <c r="BJ45" t="n">
        <v>1</v>
      </c>
      <c r="BK45" t="inlineStr"/>
      <c r="BL45" t="inlineStr"/>
      <c r="BM45" t="inlineStr"/>
      <c r="BN45" t="inlineStr">
        <is>
          <t>Campaign; mua sớm; 300 xu</t>
        </is>
      </c>
      <c r="BT45" t="n">
        <v>5</v>
      </c>
      <c r="BU45" t="n">
        <v>3</v>
      </c>
      <c r="BV45" t="n">
        <v>3</v>
      </c>
      <c r="BW45" t="n">
        <v>2</v>
      </c>
      <c r="BZ45" t="n">
        <v>1</v>
      </c>
      <c r="CA45" t="b">
        <v>0</v>
      </c>
      <c r="CC45" t="inlineStr">
        <is>
          <t>Heavy</t>
        </is>
      </c>
      <c r="CF45" t="n">
        <v>0</v>
      </c>
      <c r="CH45" t="n">
        <v>300</v>
      </c>
      <c r="CI45" t="n">
        <v>2.6</v>
      </c>
      <c r="CJ45" t="n">
        <v>16</v>
      </c>
      <c r="CK45" t="inlineStr">
        <is>
          <t>Ultimate</t>
        </is>
      </c>
      <c r="CZ45" t="b">
        <v>1</v>
      </c>
      <c r="DD45" t="n">
        <v>6000</v>
      </c>
      <c r="DI45" t="n">
        <v>12.59</v>
      </c>
      <c r="DO45" t="inlineStr">
        <is>
          <t>accord</t>
        </is>
      </c>
      <c r="DZ45" t="inlineStr">
        <is>
          <t>behemoth</t>
        </is>
      </c>
      <c r="EL45" t="n">
        <v>6.9</v>
      </c>
      <c r="ER45" t="n">
        <v>1.3</v>
      </c>
      <c r="EZ45" t="n">
        <v>2.6</v>
      </c>
      <c r="FD45" t="b">
        <v>1</v>
      </c>
      <c r="FF45" t="inlineStr">
        <is>
          <t>0.74;0.86;1.0</t>
        </is>
      </c>
      <c r="FG45" t="n">
        <v>25</v>
      </c>
      <c r="FH45" t="n">
        <v>30</v>
      </c>
      <c r="FJ45" t="n">
        <v>55</v>
      </c>
      <c r="FL45" t="inlineStr">
        <is>
          <t>gun_behemoth</t>
        </is>
      </c>
      <c r="FM45" t="n">
        <v>6.5</v>
      </c>
      <c r="FN45" t="inlineStr">
        <is>
          <t>Assets/MachineBrigade/Resources/Data/balance.json: vehicles[178]</t>
        </is>
      </c>
      <c r="FO45" t="inlineStr">
        <is>
          <t>{"id":"mara_behemoth","storyOnly":true,"card":false,"class":"Heavy","model":"behemoth","tint":[0.74,0.86,1.0],"mark":"accord","scale":1.3,"armour":[5,3,3,2]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10},"deathExplosion":{"damage":300,"radius":16,"delay":2.6,"tier":"Ultimate"}}</t>
        </is>
      </c>
    </row>
    <row r="46">
      <c r="A46" t="inlineStr">
        <is>
          <t>mine_layer</t>
        </is>
      </c>
      <c r="B46" t="inlineStr">
        <is>
          <t>xe</t>
        </is>
      </c>
      <c r="C46" t="inlineStr">
        <is>
          <t>Minelayer</t>
        </is>
      </c>
      <c r="D46" t="inlineStr">
        <is>
          <t>Xe rải mìn</t>
        </is>
      </c>
      <c r="E46" t="inlineStr">
        <is>
          <t>Rải mìn</t>
        </is>
      </c>
      <c r="F46" t="inlineStr">
        <is>
          <t>Support</t>
        </is>
      </c>
      <c r="G46" t="inlineStr">
        <is>
          <t>Light</t>
        </is>
      </c>
      <c r="H46" t="inlineStr"/>
      <c r="I46" t="n">
        <v>6</v>
      </c>
      <c r="J46" t="n">
        <v>518</v>
      </c>
      <c r="K46" t="n">
        <v>1139.6</v>
      </c>
      <c r="L46" t="n">
        <v>1</v>
      </c>
      <c r="M46" t="n">
        <v>1</v>
      </c>
      <c r="N46" t="n">
        <v>0</v>
      </c>
      <c r="O46" t="n">
        <v>0</v>
      </c>
      <c r="P46" t="b">
        <v>0</v>
      </c>
      <c r="Q46" t="n">
        <v>5.5</v>
      </c>
      <c r="R46" t="n">
        <v>90</v>
      </c>
      <c r="S46" t="n">
        <v>200</v>
      </c>
      <c r="T46" t="n">
        <v>30</v>
      </c>
      <c r="U46" t="n">
        <v>2.2</v>
      </c>
      <c r="V46" t="n">
        <v>7.62</v>
      </c>
      <c r="W46" t="n">
        <v>2.7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hmg_selfdef_15</t>
        </is>
      </c>
      <c r="AF46" t="inlineStr"/>
      <c r="AG46" t="inlineStr"/>
      <c r="AH46" t="inlineStr">
        <is>
          <t>none</t>
        </is>
      </c>
      <c r="AI46" t="inlineStr"/>
      <c r="AJ46" t="inlineStr"/>
      <c r="AK46" t="inlineStr">
        <is>
          <t>mine_layer</t>
        </is>
      </c>
      <c r="AL46" t="inlineStr">
        <is>
          <t>doi</t>
        </is>
      </c>
      <c r="AM46" t="n">
        <v>5</v>
      </c>
      <c r="AN46" t="n">
        <v>6</v>
      </c>
      <c r="AO46" t="n">
        <v>420</v>
      </c>
      <c r="AP46" t="n">
        <v>518</v>
      </c>
      <c r="BG46" t="n">
        <v>1</v>
      </c>
      <c r="BH46" t="n">
        <v>1.2</v>
      </c>
      <c r="BI46" t="n">
        <v>6</v>
      </c>
      <c r="BJ46" t="n">
        <v>2</v>
      </c>
      <c r="BK46" t="inlineStr"/>
      <c r="BL46" t="inlineStr"/>
      <c r="BM46" t="inlineStr">
        <is>
          <t>mine_layer</t>
        </is>
      </c>
      <c r="BN46" t="inlineStr">
        <is>
          <t>Campaign; nhiệm vụ c3m06; mua sớm; 300 xu</t>
        </is>
      </c>
      <c r="BT46" t="n">
        <v>1</v>
      </c>
      <c r="BU46" t="n">
        <v>0</v>
      </c>
      <c r="BV46" t="n">
        <v>1</v>
      </c>
      <c r="BW46" t="n">
        <v>0</v>
      </c>
      <c r="CC46" t="inlineStr">
        <is>
          <t>Support</t>
        </is>
      </c>
      <c r="CF46" t="n">
        <v>6</v>
      </c>
      <c r="CH46" t="n">
        <v>140</v>
      </c>
      <c r="CI46" t="n">
        <v>0.35</v>
      </c>
      <c r="CJ46" t="n">
        <v>8</v>
      </c>
      <c r="CK46" t="inlineStr">
        <is>
          <t>Huge</t>
        </is>
      </c>
      <c r="CZ46" t="b">
        <v>1</v>
      </c>
      <c r="DD46" t="n">
        <v>518</v>
      </c>
      <c r="DI46" t="n">
        <v>7.62</v>
      </c>
      <c r="DT46" t="n">
        <v>484</v>
      </c>
      <c r="DU46" t="n">
        <v>6</v>
      </c>
      <c r="DV46" t="n">
        <v>8</v>
      </c>
      <c r="DW46" t="n">
        <v>5</v>
      </c>
      <c r="DX46" t="inlineStr">
        <is>
          <t>Large</t>
        </is>
      </c>
      <c r="DY46" t="n">
        <v>2.2</v>
      </c>
      <c r="EA46" t="n">
        <v>1.97</v>
      </c>
      <c r="EB46" t="n">
        <v>7.62</v>
      </c>
      <c r="EC46" t="n">
        <v>2.7</v>
      </c>
      <c r="EK46" t="n">
        <v>1.2</v>
      </c>
      <c r="EL46" t="n">
        <v>2.2</v>
      </c>
      <c r="ER46" t="n">
        <v>1</v>
      </c>
      <c r="EZ46" t="n">
        <v>5.5</v>
      </c>
      <c r="FG46" t="n">
        <v>90</v>
      </c>
      <c r="FH46" t="n">
        <v>200</v>
      </c>
      <c r="FI46" t="n">
        <v>1</v>
      </c>
      <c r="FJ46" t="n">
        <v>30</v>
      </c>
      <c r="FL46" t="inlineStr">
        <is>
          <t>hmg_selfdef_15</t>
        </is>
      </c>
      <c r="FM46" t="n">
        <v>2.7</v>
      </c>
      <c r="FN46" t="inlineStr">
        <is>
          <t>Assets/MachineBrigade/Resources/Data/balance.json: vehicles[32]</t>
        </is>
      </c>
      <c r="FO46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47">
      <c r="A47" t="inlineStr">
        <is>
          <t>missile_boat</t>
        </is>
      </c>
      <c r="B47" t="inlineStr">
        <is>
          <t>vat_pham</t>
        </is>
      </c>
      <c r="C47" t="inlineStr">
        <is>
          <t>Missile Boat</t>
        </is>
      </c>
      <c r="D47" t="inlineStr">
        <is>
          <t>Xuồng tên lửa cao tốc</t>
        </is>
      </c>
      <c r="E47" t="inlineStr">
        <is>
          <t>Xuồng tên lửa</t>
        </is>
      </c>
      <c r="F47" t="inlineStr">
        <is>
          <t>Light</t>
        </is>
      </c>
      <c r="G47" t="inlineStr">
        <is>
          <t>Light</t>
        </is>
      </c>
      <c r="H47" t="inlineStr"/>
      <c r="I47" t="n">
        <v>0</v>
      </c>
      <c r="J47" t="n">
        <v>420</v>
      </c>
      <c r="K47" t="n">
        <v>924</v>
      </c>
      <c r="L47" t="n">
        <v>1</v>
      </c>
      <c r="M47" t="n">
        <v>1</v>
      </c>
      <c r="N47" t="n">
        <v>1</v>
      </c>
      <c r="O47" t="n">
        <v>0</v>
      </c>
      <c r="P47" t="b">
        <v>0</v>
      </c>
      <c r="Q47" t="n">
        <v>12</v>
      </c>
      <c r="R47" t="n">
        <v>70</v>
      </c>
      <c r="S47" t="n">
        <v>120</v>
      </c>
      <c r="T47" t="n">
        <v>70</v>
      </c>
      <c r="U47" t="n">
        <v>3.2</v>
      </c>
      <c r="V47" t="n">
        <v>14</v>
      </c>
      <c r="W47" t="n">
        <v>3.8</v>
      </c>
      <c r="X47" t="b">
        <v>0</v>
      </c>
      <c r="Y47" t="n">
        <v>0</v>
      </c>
      <c r="Z47" t="b">
        <v>0</v>
      </c>
      <c r="AA47" t="b">
        <v>1</v>
      </c>
      <c r="AB47" t="n">
        <v>0</v>
      </c>
      <c r="AC47" t="n">
        <v>3.5</v>
      </c>
      <c r="AD47" t="n">
        <v>1</v>
      </c>
      <c r="AE47" t="inlineStr">
        <is>
          <t>boat_rockets</t>
        </is>
      </c>
      <c r="AF47" t="inlineStr">
        <is>
          <t>hmg_roof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missile_boat</t>
        </is>
      </c>
      <c r="AL47" t="inlineStr">
        <is>
          <t>giong</t>
        </is>
      </c>
      <c r="BI47" t="n">
        <v>0</v>
      </c>
      <c r="BJ47" t="n">
        <v>1</v>
      </c>
      <c r="BK47" t="inlineStr"/>
      <c r="BL47" t="inlineStr"/>
      <c r="BM47" t="inlineStr"/>
      <c r="BN47" t="inlineStr">
        <is>
          <t>Campaign; mua sớm; 300 xu</t>
        </is>
      </c>
      <c r="BT47" t="n">
        <v>1</v>
      </c>
      <c r="BU47" t="n">
        <v>1</v>
      </c>
      <c r="BV47" t="n">
        <v>1</v>
      </c>
      <c r="BW47" t="n">
        <v>0</v>
      </c>
      <c r="BZ47" t="n">
        <v>0</v>
      </c>
      <c r="CA47" t="b">
        <v>0</v>
      </c>
      <c r="CC47" t="inlineStr">
        <is>
          <t>Light</t>
        </is>
      </c>
      <c r="CF47" t="n">
        <v>0</v>
      </c>
      <c r="CH47" t="n">
        <v>90</v>
      </c>
      <c r="CI47" t="n">
        <v>0.4</v>
      </c>
      <c r="CJ47" t="n">
        <v>7</v>
      </c>
      <c r="CK47" t="inlineStr">
        <is>
          <t>Huge</t>
        </is>
      </c>
      <c r="CZ47" t="b">
        <v>1</v>
      </c>
      <c r="DD47" t="n">
        <v>420</v>
      </c>
      <c r="DI47" t="n">
        <v>14</v>
      </c>
      <c r="DM47" t="inlineStr">
        <is>
          <t>Free</t>
        </is>
      </c>
      <c r="DN47" t="inlineStr">
        <is>
          <t>rocket</t>
        </is>
      </c>
      <c r="ED47" t="n">
        <v>26</v>
      </c>
      <c r="EE47" t="n">
        <v>8</v>
      </c>
      <c r="EF47" t="n">
        <v>20</v>
      </c>
      <c r="EG47" t="inlineStr">
        <is>
          <t>Raider</t>
        </is>
      </c>
      <c r="EL47" t="n">
        <v>3.2</v>
      </c>
      <c r="EZ47" t="n">
        <v>12</v>
      </c>
      <c r="FG47" t="n">
        <v>70</v>
      </c>
      <c r="FH47" t="n">
        <v>120</v>
      </c>
      <c r="FJ47" t="n">
        <v>70</v>
      </c>
      <c r="FL47" t="inlineStr">
        <is>
          <t>boat_rockets</t>
        </is>
      </c>
      <c r="FM47" t="n">
        <v>3.8</v>
      </c>
      <c r="FN47" t="inlineStr">
        <is>
          <t>Assets/MachineBrigade/Resources/Data/balance.json: vehicles[156]</t>
        </is>
      </c>
      <c r="FO47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48">
      <c r="A48" t="inlineStr">
        <is>
          <t>mlrs</t>
        </is>
      </c>
      <c r="B48" t="inlineStr">
        <is>
          <t>xe</t>
        </is>
      </c>
      <c r="C48" t="inlineStr">
        <is>
          <t>Guided MLRS</t>
        </is>
      </c>
      <c r="D48" t="inlineStr">
        <is>
          <t>Pháo phản lực dẫn đường</t>
        </is>
      </c>
      <c r="E48" t="inlineStr">
        <is>
          <t>Phản lực</t>
        </is>
      </c>
      <c r="F48" t="inlineStr"/>
      <c r="G48" t="inlineStr"/>
      <c r="H48" t="inlineStr"/>
      <c r="I48" t="n">
        <v>8</v>
      </c>
      <c r="J48" t="n">
        <v>373</v>
      </c>
      <c r="K48" t="n">
        <v>820.6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9.4</v>
      </c>
      <c r="R48" t="n">
        <v>70</v>
      </c>
      <c r="S48" t="n">
        <v>60</v>
      </c>
      <c r="T48" t="n">
        <v>30</v>
      </c>
      <c r="U48" t="n">
        <v>2.4</v>
      </c>
      <c r="V48" t="n">
        <v>5.8</v>
      </c>
      <c r="W48" t="n">
        <v>2</v>
      </c>
      <c r="X48" t="b">
        <v>0</v>
      </c>
      <c r="Y48" t="n">
        <v>0</v>
      </c>
      <c r="Z48" t="b">
        <v>0</v>
      </c>
      <c r="AA48" t="b">
        <v>0</v>
      </c>
      <c r="AB48" t="n">
        <v>1</v>
      </c>
      <c r="AC48" t="n">
        <v>3.5</v>
      </c>
      <c r="AD48" t="n">
        <v>1.1429</v>
      </c>
      <c r="AE48" t="inlineStr">
        <is>
          <t>mlrs_rockets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mlrs</t>
        </is>
      </c>
      <c r="AL48" t="inlineStr">
        <is>
          <t>doi</t>
        </is>
      </c>
      <c r="AM48" t="n">
        <v>7</v>
      </c>
      <c r="AN48" t="n">
        <v>8</v>
      </c>
      <c r="AO48" t="n">
        <v>320</v>
      </c>
      <c r="AP48" t="n">
        <v>373</v>
      </c>
      <c r="BG48" t="n">
        <v>1</v>
      </c>
      <c r="BH48" t="n">
        <v>1.1429</v>
      </c>
      <c r="BI48" t="n">
        <v>8</v>
      </c>
      <c r="BJ48" t="n">
        <v>2</v>
      </c>
      <c r="BK48" t="inlineStr"/>
      <c r="BL48" t="inlineStr">
        <is>
          <t>elite_grad</t>
        </is>
      </c>
      <c r="BM48" t="inlineStr"/>
      <c r="BN48" t="inlineStr">
        <is>
          <t>Campaign; nhiệm vụ c4m12; mua sớm; 800 xu</t>
        </is>
      </c>
      <c r="BS48" t="n">
        <v>1</v>
      </c>
      <c r="CF48" t="n">
        <v>8</v>
      </c>
      <c r="CH48" t="n">
        <v>110</v>
      </c>
      <c r="CI48" t="n">
        <v>0.3</v>
      </c>
      <c r="CJ48" t="n">
        <v>8</v>
      </c>
      <c r="CK48" t="inlineStr">
        <is>
          <t>Huge</t>
        </is>
      </c>
      <c r="CY48" t="n">
        <v>1.1</v>
      </c>
      <c r="CZ48" t="b">
        <v>0</v>
      </c>
      <c r="DD48" t="n">
        <v>373</v>
      </c>
      <c r="DI48" t="n">
        <v>5.8</v>
      </c>
      <c r="EA48" t="n">
        <v>2.6</v>
      </c>
      <c r="EB48" t="n">
        <v>6.09</v>
      </c>
      <c r="EC48" t="n">
        <v>2</v>
      </c>
      <c r="EK48" t="n">
        <v>1.1429</v>
      </c>
      <c r="EL48" t="n">
        <v>2.4</v>
      </c>
      <c r="ER48" t="n">
        <v>1</v>
      </c>
      <c r="ES48" t="n">
        <v>20</v>
      </c>
      <c r="ET48" t="n">
        <v>15</v>
      </c>
      <c r="EU48" t="n">
        <v>1</v>
      </c>
      <c r="EW48" t="inlineStr"/>
      <c r="EZ48" t="n">
        <v>9.4</v>
      </c>
      <c r="FG48" t="n">
        <v>70</v>
      </c>
      <c r="FH48" t="n">
        <v>60</v>
      </c>
      <c r="FI48" t="n">
        <v>1.31</v>
      </c>
      <c r="FJ48" t="n">
        <v>30</v>
      </c>
      <c r="FL48" t="inlineStr">
        <is>
          <t>mlrs_rockets</t>
        </is>
      </c>
      <c r="FM48" t="n">
        <v>2</v>
      </c>
      <c r="FN48" t="inlineStr">
        <is>
          <t>Assets/MachineBrigade/Resources/Data/balance.json: vehicles[5]</t>
        </is>
      </c>
      <c r="FO48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49">
      <c r="A49" t="inlineStr">
        <is>
          <t>mortar_carrier</t>
        </is>
      </c>
      <c r="B49" t="inlineStr">
        <is>
          <t>xe</t>
        </is>
      </c>
      <c r="C49" t="inlineStr">
        <is>
          <t>Mortar carrier</t>
        </is>
      </c>
      <c r="D49" t="inlineStr">
        <is>
          <t>Xe cối tự hành</t>
        </is>
      </c>
      <c r="E49" t="inlineStr">
        <is>
          <t>Xe cối</t>
        </is>
      </c>
      <c r="F49" t="inlineStr"/>
      <c r="G49" t="inlineStr"/>
      <c r="H49" t="inlineStr"/>
      <c r="I49" t="n">
        <v>4</v>
      </c>
      <c r="J49" t="n">
        <v>320</v>
      </c>
      <c r="K49" t="n">
        <v>704</v>
      </c>
      <c r="L49" t="n">
        <v>1</v>
      </c>
      <c r="M49" t="n">
        <v>1</v>
      </c>
      <c r="N49" t="n">
        <v>0</v>
      </c>
      <c r="O49" t="n">
        <v>0</v>
      </c>
      <c r="P49" t="b">
        <v>0</v>
      </c>
      <c r="Q49" t="n">
        <v>5.9</v>
      </c>
      <c r="R49" t="n">
        <v>100</v>
      </c>
      <c r="S49" t="n">
        <v>90</v>
      </c>
      <c r="T49" t="n">
        <v>26</v>
      </c>
      <c r="U49" t="n">
        <v>1.7</v>
      </c>
      <c r="V49" t="n">
        <v>4.21</v>
      </c>
      <c r="W49" t="n">
        <v>2.3</v>
      </c>
      <c r="X49" t="b">
        <v>0</v>
      </c>
      <c r="Y49" t="n">
        <v>0</v>
      </c>
      <c r="Z49" t="b">
        <v>0</v>
      </c>
      <c r="AA49" t="b">
        <v>0</v>
      </c>
      <c r="AB49" t="n">
        <v>1</v>
      </c>
      <c r="AC49" t="n">
        <v>2.5</v>
      </c>
      <c r="AD49" t="n">
        <v>1</v>
      </c>
      <c r="AE49" t="inlineStr">
        <is>
          <t>mortar_120</t>
        </is>
      </c>
      <c r="AF49" t="inlineStr">
        <is>
          <t>hmg_selfdef_18</t>
        </is>
      </c>
      <c r="AG49" t="inlineStr"/>
      <c r="AH49" t="inlineStr">
        <is>
          <t>none</t>
        </is>
      </c>
      <c r="AI49" t="inlineStr"/>
      <c r="AJ49" t="inlineStr"/>
      <c r="AK49" t="inlineStr">
        <is>
          <t>mortar_carrier</t>
        </is>
      </c>
      <c r="AL49" t="inlineStr">
        <is>
          <t>giong</t>
        </is>
      </c>
      <c r="BI49" t="n">
        <v>4</v>
      </c>
      <c r="BJ49" t="n">
        <v>1</v>
      </c>
      <c r="BK49" t="inlineStr"/>
      <c r="BL49" t="inlineStr"/>
      <c r="BM49" t="inlineStr">
        <is>
          <t>artillery</t>
        </is>
      </c>
      <c r="BN49" t="inlineStr">
        <is>
          <t>Campaign; nhiệm vụ c1m02; mua sớm; 300 xu</t>
        </is>
      </c>
      <c r="BT49" t="n">
        <v>1</v>
      </c>
      <c r="BU49" t="n">
        <v>0</v>
      </c>
      <c r="BV49" t="n">
        <v>1</v>
      </c>
      <c r="BW49" t="n">
        <v>0</v>
      </c>
      <c r="CF49" t="n">
        <v>4</v>
      </c>
      <c r="CH49" t="n">
        <v>60</v>
      </c>
      <c r="CI49" t="n">
        <v>0.25</v>
      </c>
      <c r="CJ49" t="n">
        <v>8</v>
      </c>
      <c r="CK49" t="inlineStr">
        <is>
          <t>Large</t>
        </is>
      </c>
      <c r="CV49" t="n">
        <v>2.5</v>
      </c>
      <c r="CZ49" t="b">
        <v>0</v>
      </c>
      <c r="DD49" t="n">
        <v>320</v>
      </c>
      <c r="DI49" t="n">
        <v>4.21</v>
      </c>
      <c r="EA49" t="n">
        <v>3.2</v>
      </c>
      <c r="EB49" t="n">
        <v>4.21</v>
      </c>
      <c r="EC49" t="n">
        <v>2.3</v>
      </c>
      <c r="EL49" t="n">
        <v>1.7</v>
      </c>
      <c r="ER49" t="n">
        <v>1</v>
      </c>
      <c r="EZ49" t="n">
        <v>5.9</v>
      </c>
      <c r="FG49" t="n">
        <v>100</v>
      </c>
      <c r="FH49" t="n">
        <v>90</v>
      </c>
      <c r="FI49" t="n">
        <v>0.88</v>
      </c>
      <c r="FJ49" t="n">
        <v>26</v>
      </c>
      <c r="FL49" t="inlineStr">
        <is>
          <t>mortar_120</t>
        </is>
      </c>
      <c r="FM49" t="n">
        <v>2.3</v>
      </c>
      <c r="FN49" t="inlineStr">
        <is>
          <t>Assets/MachineBrigade/Resources/Data/balance.json: vehicles[12]</t>
        </is>
      </c>
      <c r="FO49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50">
      <c r="A50" t="inlineStr">
        <is>
          <t>next_gen_tank</t>
        </is>
      </c>
      <c r="B50" t="inlineStr">
        <is>
          <t>xe</t>
        </is>
      </c>
      <c r="C50" t="inlineStr">
        <is>
          <t>Next-generation tank</t>
        </is>
      </c>
      <c r="D50" t="inlineStr">
        <is>
          <t>Tăng thế hệ mới</t>
        </is>
      </c>
      <c r="E50" t="inlineStr">
        <is>
          <t>Tăng thế hệ mới</t>
        </is>
      </c>
      <c r="F50" t="inlineStr"/>
      <c r="G50" t="inlineStr"/>
      <c r="H50" t="inlineStr"/>
      <c r="I50" t="n">
        <v>11</v>
      </c>
      <c r="J50" t="n">
        <v>1318</v>
      </c>
      <c r="K50" t="n">
        <v>2899.6</v>
      </c>
      <c r="L50" t="n">
        <v>4</v>
      </c>
      <c r="M50" t="n">
        <v>2</v>
      </c>
      <c r="N50" t="n">
        <v>1</v>
      </c>
      <c r="O50" t="n">
        <v>1</v>
      </c>
      <c r="P50" t="b">
        <v>0</v>
      </c>
      <c r="Q50" t="n">
        <v>6.5</v>
      </c>
      <c r="R50" t="n">
        <v>60</v>
      </c>
      <c r="S50" t="n">
        <v>115</v>
      </c>
      <c r="T50" t="n">
        <v>34</v>
      </c>
      <c r="U50" t="n">
        <v>2.2</v>
      </c>
      <c r="V50" t="n">
        <v>7.79</v>
      </c>
      <c r="W50" t="n">
        <v>3.07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1.2681</v>
      </c>
      <c r="AE50" t="inlineStr">
        <is>
          <t>gun_125_armata_ke</t>
        </is>
      </c>
      <c r="AF50" t="inlineStr"/>
      <c r="AG50" t="inlineStr"/>
      <c r="AH50" t="inlineStr">
        <is>
          <t>aps</t>
        </is>
      </c>
      <c r="AI50" t="n">
        <v>2</v>
      </c>
      <c r="AJ50" t="n">
        <v>10</v>
      </c>
      <c r="AK50" t="inlineStr">
        <is>
          <t>next_gen_tank</t>
        </is>
      </c>
      <c r="AL50" t="inlineStr">
        <is>
          <t>doi</t>
        </is>
      </c>
      <c r="AM50" t="n">
        <v>9</v>
      </c>
      <c r="AN50" t="n">
        <v>11</v>
      </c>
      <c r="AO50" t="n">
        <v>1045</v>
      </c>
      <c r="AP50" t="n">
        <v>1318</v>
      </c>
      <c r="BG50" t="n">
        <v>1</v>
      </c>
      <c r="BH50" t="n">
        <v>1.2681</v>
      </c>
      <c r="BI50" t="n">
        <v>11</v>
      </c>
      <c r="BJ50" t="n">
        <v>3</v>
      </c>
      <c r="BK50" t="inlineStr"/>
      <c r="BL50" t="inlineStr"/>
      <c r="BM50" t="inlineStr">
        <is>
          <t>mbt;tank</t>
        </is>
      </c>
      <c r="BN50" t="inlineStr">
        <is>
          <t>Premium; 3000 xu</t>
        </is>
      </c>
      <c r="BT50" t="n">
        <v>4</v>
      </c>
      <c r="BU50" t="n">
        <v>1</v>
      </c>
      <c r="BV50" t="n">
        <v>2</v>
      </c>
      <c r="BW50" t="n">
        <v>1</v>
      </c>
      <c r="CF50" t="n">
        <v>11</v>
      </c>
      <c r="CH50" t="n">
        <v>110</v>
      </c>
      <c r="CI50" t="n">
        <v>0.4</v>
      </c>
      <c r="CJ50" t="n">
        <v>7</v>
      </c>
      <c r="CK50" t="inlineStr">
        <is>
          <t>Huge</t>
        </is>
      </c>
      <c r="DD50" t="n">
        <v>1318</v>
      </c>
      <c r="DI50" t="n">
        <v>7.79</v>
      </c>
      <c r="DZ50" t="inlineStr">
        <is>
          <t>next_gen_tank</t>
        </is>
      </c>
      <c r="EA50" t="n">
        <v>2.3</v>
      </c>
      <c r="EB50" t="n">
        <v>7.79</v>
      </c>
      <c r="EC50" t="n">
        <v>3.07</v>
      </c>
      <c r="EK50" t="n">
        <v>1.2681</v>
      </c>
      <c r="EL50" t="n">
        <v>2.2</v>
      </c>
      <c r="EZ50" t="n">
        <v>6.5</v>
      </c>
      <c r="FG50" t="n">
        <v>60</v>
      </c>
      <c r="FH50" t="n">
        <v>115</v>
      </c>
      <c r="FJ50" t="n">
        <v>34</v>
      </c>
      <c r="FL50" t="inlineStr">
        <is>
          <t>gun_125_armata_ke</t>
        </is>
      </c>
      <c r="FM50" t="n">
        <v>3.07</v>
      </c>
      <c r="FN50" t="inlineStr">
        <is>
          <t>Assets/MachineBrigade/Resources/Data/balance.json: vehicles[122]</t>
        </is>
      </c>
      <c r="FO50" t="inlineStr">
        <is>
          <t>{"id":"next_gen_tank","apsCapability":"BuiltIn","interceptionMode":"SelfAps","outgoingDamageMult":1.2681,"model":"next_gen_tank","modelSize":[7.79,3.07,2.3],"armour":[4,2,1,1],"hp":1318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51">
      <c r="A51" t="inlineStr">
        <is>
          <t>railgun_truck</t>
        </is>
      </c>
      <c r="B51" t="inlineStr">
        <is>
          <t>xe</t>
        </is>
      </c>
      <c r="C51" t="inlineStr">
        <is>
          <t>Railgun truck</t>
        </is>
      </c>
      <c r="D51" t="inlineStr">
        <is>
          <t>Xe pháo điện từ</t>
        </is>
      </c>
      <c r="E51" t="inlineStr">
        <is>
          <t>Pháo điện từ</t>
        </is>
      </c>
      <c r="F51" t="inlineStr">
        <is>
          <t>TankHunter</t>
        </is>
      </c>
      <c r="G51" t="inlineStr">
        <is>
          <t>Armor</t>
        </is>
      </c>
      <c r="H51" t="inlineStr"/>
      <c r="I51" t="n">
        <v>13</v>
      </c>
      <c r="J51" t="n">
        <v>568</v>
      </c>
      <c r="K51" t="n">
        <v>1249.6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6.5</v>
      </c>
      <c r="R51" t="n">
        <v>60</v>
      </c>
      <c r="S51" t="n">
        <v>45</v>
      </c>
      <c r="T51" t="n">
        <v>40</v>
      </c>
      <c r="U51" t="n">
        <v>2.7</v>
      </c>
      <c r="V51" t="n">
        <v>9.9</v>
      </c>
      <c r="W51" t="n">
        <v>2.48</v>
      </c>
      <c r="X51" t="b">
        <v>0</v>
      </c>
      <c r="Y51" t="n">
        <v>0</v>
      </c>
      <c r="Z51" t="b">
        <v>0</v>
      </c>
      <c r="AA51" t="b">
        <v>0</v>
      </c>
      <c r="AB51" t="n">
        <v>1</v>
      </c>
      <c r="AC51" t="n">
        <v>3.5</v>
      </c>
      <c r="AD51" t="n">
        <v>1.3813</v>
      </c>
      <c r="AE51" t="inlineStr">
        <is>
          <t>railgun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railgun_truck</t>
        </is>
      </c>
      <c r="AL51" t="inlineStr">
        <is>
          <t>doi</t>
        </is>
      </c>
      <c r="AM51" t="n">
        <v>10</v>
      </c>
      <c r="AN51" t="n">
        <v>13</v>
      </c>
      <c r="AO51" t="n">
        <v>420</v>
      </c>
      <c r="AP51" t="n">
        <v>568</v>
      </c>
      <c r="BG51" t="n">
        <v>1</v>
      </c>
      <c r="BH51" t="n">
        <v>1.3813</v>
      </c>
      <c r="BI51" t="n">
        <v>13</v>
      </c>
      <c r="BJ51" t="n">
        <v>3</v>
      </c>
      <c r="BK51" t="inlineStr"/>
      <c r="BL51" t="inlineStr"/>
      <c r="BM51" t="inlineStr"/>
      <c r="BN51" t="inlineStr">
        <is>
          <t>Campaign; nhiệm vụ c4m10; chiến lợi phẩm cốt truyện</t>
        </is>
      </c>
      <c r="BS51" t="n">
        <v>1</v>
      </c>
      <c r="BZ51" t="n">
        <v>1</v>
      </c>
      <c r="CC51" t="inlineStr">
        <is>
          <t>TankHunter</t>
        </is>
      </c>
      <c r="CF51" t="n">
        <v>13</v>
      </c>
      <c r="CH51" t="n">
        <v>120</v>
      </c>
      <c r="CI51" t="n">
        <v>0.3</v>
      </c>
      <c r="CJ51" t="n">
        <v>7</v>
      </c>
      <c r="CK51" t="inlineStr">
        <is>
          <t>Huge</t>
        </is>
      </c>
      <c r="CZ51" t="b">
        <v>0</v>
      </c>
      <c r="DD51" t="n">
        <v>568</v>
      </c>
      <c r="DI51" t="n">
        <v>9.9</v>
      </c>
      <c r="EA51" t="n">
        <v>2.89</v>
      </c>
      <c r="EB51" t="n">
        <v>9.9</v>
      </c>
      <c r="EC51" t="n">
        <v>2.48</v>
      </c>
      <c r="EK51" t="n">
        <v>1.3813</v>
      </c>
      <c r="EL51" t="n">
        <v>2.7</v>
      </c>
      <c r="ER51" t="n">
        <v>1</v>
      </c>
      <c r="EZ51" t="n">
        <v>6.5</v>
      </c>
      <c r="FG51" t="n">
        <v>60</v>
      </c>
      <c r="FH51" t="n">
        <v>45</v>
      </c>
      <c r="FI51" t="n">
        <v>1.26</v>
      </c>
      <c r="FJ51" t="n">
        <v>40</v>
      </c>
      <c r="FL51" t="inlineStr">
        <is>
          <t>railgun</t>
        </is>
      </c>
      <c r="FM51" t="n">
        <v>2.48</v>
      </c>
      <c r="FN51" t="inlineStr">
        <is>
          <t>Assets/MachineBrigade/Resources/Data/balance.json: vehicles[39]</t>
        </is>
      </c>
      <c r="FO51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52">
      <c r="A52" t="inlineStr">
        <is>
          <t>recoilless_jeep</t>
        </is>
      </c>
      <c r="B52" t="inlineStr">
        <is>
          <t>xe</t>
        </is>
      </c>
      <c r="C52" t="inlineStr">
        <is>
          <t>Recoilless rifle jeep</t>
        </is>
      </c>
      <c r="D52" t="inlineStr">
        <is>
          <t>Xe jeep súng không giật</t>
        </is>
      </c>
      <c r="E52" t="inlineStr">
        <is>
          <t>Súng không giật</t>
        </is>
      </c>
      <c r="F52" t="inlineStr">
        <is>
          <t>TankHunter</t>
        </is>
      </c>
      <c r="G52" t="inlineStr">
        <is>
          <t>Armor</t>
        </is>
      </c>
      <c r="H52" t="inlineStr"/>
      <c r="I52" t="n">
        <v>3</v>
      </c>
      <c r="J52" t="n">
        <v>159</v>
      </c>
      <c r="K52" t="n">
        <v>349.8</v>
      </c>
      <c r="L52" t="n">
        <v>0</v>
      </c>
      <c r="M52" t="n">
        <v>0</v>
      </c>
      <c r="N52" t="n">
        <v>0</v>
      </c>
      <c r="O52" t="n">
        <v>0</v>
      </c>
      <c r="P52" t="b">
        <v>0</v>
      </c>
      <c r="Q52" t="n">
        <v>12</v>
      </c>
      <c r="R52" t="n">
        <v>200</v>
      </c>
      <c r="S52" t="n">
        <v>120</v>
      </c>
      <c r="T52" t="n">
        <v>36</v>
      </c>
      <c r="U52" t="n">
        <v>1.3</v>
      </c>
      <c r="V52" t="n">
        <v>3.3</v>
      </c>
      <c r="W52" t="n">
        <v>1.4</v>
      </c>
      <c r="X52" t="b">
        <v>0</v>
      </c>
      <c r="Y52" t="n">
        <v>0</v>
      </c>
      <c r="Z52" t="b">
        <v>0</v>
      </c>
      <c r="AA52" t="b">
        <v>0</v>
      </c>
      <c r="AB52" t="n">
        <v>2</v>
      </c>
      <c r="AC52" t="n">
        <v>2.5</v>
      </c>
      <c r="AD52" t="n">
        <v>1</v>
      </c>
      <c r="AE52" t="inlineStr">
        <is>
          <t>recoilless_106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recoilless_jeep</t>
        </is>
      </c>
      <c r="AL52" t="inlineStr">
        <is>
          <t>giong</t>
        </is>
      </c>
      <c r="BI52" t="n">
        <v>3</v>
      </c>
      <c r="BJ52" t="n">
        <v>1</v>
      </c>
      <c r="BK52" t="inlineStr"/>
      <c r="BL52" t="inlineStr"/>
      <c r="BM52" t="inlineStr">
        <is>
          <t>light</t>
        </is>
      </c>
      <c r="BN52" t="inlineStr">
        <is>
          <t>Premium; 1500 xu</t>
        </is>
      </c>
      <c r="BS52" t="n">
        <v>0</v>
      </c>
      <c r="BZ52" t="n">
        <v>2</v>
      </c>
      <c r="CC52" t="inlineStr">
        <is>
          <t>TankHunter</t>
        </is>
      </c>
      <c r="CF52" t="n">
        <v>3</v>
      </c>
      <c r="CH52" t="n">
        <v>40</v>
      </c>
      <c r="CI52" t="n">
        <v>0.1</v>
      </c>
      <c r="CJ52" t="n">
        <v>4</v>
      </c>
      <c r="CK52" t="inlineStr">
        <is>
          <t>Large</t>
        </is>
      </c>
      <c r="CV52" t="n">
        <v>2.5</v>
      </c>
      <c r="CZ52" t="b">
        <v>0</v>
      </c>
      <c r="DD52" t="n">
        <v>159</v>
      </c>
      <c r="DI52" t="n">
        <v>3.3</v>
      </c>
      <c r="EA52" t="n">
        <v>1.6</v>
      </c>
      <c r="EB52" t="n">
        <v>3.5</v>
      </c>
      <c r="EC52" t="n">
        <v>1.4</v>
      </c>
      <c r="EL52" t="n">
        <v>1.3</v>
      </c>
      <c r="EZ52" t="n">
        <v>12</v>
      </c>
      <c r="FC52" t="n">
        <v>0.3</v>
      </c>
      <c r="FG52" t="n">
        <v>200</v>
      </c>
      <c r="FH52" t="n">
        <v>120</v>
      </c>
      <c r="FJ52" t="n">
        <v>36</v>
      </c>
      <c r="FL52" t="inlineStr">
        <is>
          <t>recoilless_106</t>
        </is>
      </c>
      <c r="FM52" t="n">
        <v>1.4</v>
      </c>
      <c r="FN52" t="inlineStr">
        <is>
          <t>Assets/MachineBrigade/Resources/Data/balance.json: vehicles[113]</t>
        </is>
      </c>
      <c r="FO52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53">
      <c r="A53" t="inlineStr">
        <is>
          <t>recon_drone</t>
        </is>
      </c>
      <c r="B53" t="inlineStr">
        <is>
          <t>xe</t>
        </is>
      </c>
      <c r="C53" t="inlineStr">
        <is>
          <t>Recon UAV</t>
        </is>
      </c>
      <c r="D53" t="inlineStr">
        <is>
          <t>UAV trinh sát</t>
        </is>
      </c>
      <c r="E53" t="inlineStr">
        <is>
          <t>UAV trinh sát</t>
        </is>
      </c>
      <c r="F53" t="inlineStr"/>
      <c r="G53" t="inlineStr"/>
      <c r="H53" t="inlineStr"/>
      <c r="I53" t="n">
        <v>7</v>
      </c>
      <c r="J53" t="n">
        <v>382</v>
      </c>
      <c r="K53" t="n">
        <v>840.4</v>
      </c>
      <c r="L53" t="n">
        <v>0</v>
      </c>
      <c r="M53" t="n">
        <v>0</v>
      </c>
      <c r="N53" t="n">
        <v>0</v>
      </c>
      <c r="O53" t="n">
        <v>0</v>
      </c>
      <c r="P53" t="b">
        <v>0</v>
      </c>
      <c r="Q53" t="n">
        <v>13</v>
      </c>
      <c r="R53" t="n">
        <v>83</v>
      </c>
      <c r="S53" t="n">
        <v>360</v>
      </c>
      <c r="T53" t="n">
        <v>90</v>
      </c>
      <c r="U53" t="n">
        <v>2.8</v>
      </c>
      <c r="V53" t="inlineStr"/>
      <c r="W53" t="inlineStr"/>
      <c r="X53" t="b">
        <v>1</v>
      </c>
      <c r="Y53" t="n">
        <v>34</v>
      </c>
      <c r="Z53" t="b">
        <v>0</v>
      </c>
      <c r="AA53" t="b">
        <v>1</v>
      </c>
      <c r="AB53" t="n">
        <v>0</v>
      </c>
      <c r="AC53" t="n">
        <v>3.5</v>
      </c>
      <c r="AD53" t="n">
        <v>1.1667</v>
      </c>
      <c r="AE53" t="inlineStr">
        <is>
          <t>recon_missile</t>
        </is>
      </c>
      <c r="AF53" t="inlineStr"/>
      <c r="AG53" t="inlineStr"/>
      <c r="AH53" t="inlineStr">
        <is>
          <t>none</t>
        </is>
      </c>
      <c r="AI53" t="inlineStr"/>
      <c r="AJ53" t="inlineStr"/>
      <c r="AK53" t="inlineStr">
        <is>
          <t>recon_drone</t>
        </is>
      </c>
      <c r="AL53" t="inlineStr">
        <is>
          <t>doi</t>
        </is>
      </c>
      <c r="AM53" t="n">
        <v>6</v>
      </c>
      <c r="AN53" t="n">
        <v>7</v>
      </c>
      <c r="AO53" t="n">
        <v>320</v>
      </c>
      <c r="AP53" t="n">
        <v>382</v>
      </c>
      <c r="BG53" t="n">
        <v>1</v>
      </c>
      <c r="BH53" t="n">
        <v>1.1667</v>
      </c>
      <c r="BI53" t="n">
        <v>7</v>
      </c>
      <c r="BJ53" t="n">
        <v>2</v>
      </c>
      <c r="BK53" t="inlineStr"/>
      <c r="BL53" t="inlineStr"/>
      <c r="BM53" t="inlineStr"/>
      <c r="BN53" t="inlineStr">
        <is>
          <t>Campaign; nhiệm vụ c3m05; mua sớm; 300 xu</t>
        </is>
      </c>
      <c r="BR53" t="n">
        <v>34</v>
      </c>
      <c r="BS53" t="n">
        <v>0</v>
      </c>
      <c r="BZ53" t="n">
        <v>0</v>
      </c>
      <c r="CF53" t="n">
        <v>7</v>
      </c>
      <c r="CH53" t="n">
        <v>40</v>
      </c>
      <c r="CI53" t="n">
        <v>0.5</v>
      </c>
      <c r="CJ53" t="n">
        <v>5</v>
      </c>
      <c r="CK53" t="inlineStr">
        <is>
          <t>Large</t>
        </is>
      </c>
      <c r="CU53" t="b">
        <v>1</v>
      </c>
      <c r="CZ53" t="b">
        <v>1</v>
      </c>
      <c r="DA53" t="b">
        <v>1</v>
      </c>
      <c r="DB53" t="b">
        <v>1</v>
      </c>
      <c r="DD53" t="n">
        <v>382</v>
      </c>
      <c r="DN53" t="inlineStr">
        <is>
          <t>missile</t>
        </is>
      </c>
      <c r="EA53" t="n">
        <v>0.48</v>
      </c>
      <c r="EB53" t="n">
        <v>2.67</v>
      </c>
      <c r="EC53" t="n">
        <v>4.83</v>
      </c>
      <c r="EK53" t="n">
        <v>1.1667</v>
      </c>
      <c r="EL53" t="n">
        <v>2.8</v>
      </c>
      <c r="EO53" t="n">
        <v>8.5</v>
      </c>
      <c r="ER53" t="n">
        <v>1</v>
      </c>
      <c r="EZ53" t="n">
        <v>13</v>
      </c>
      <c r="FE53" t="inlineStr">
        <is>
          <t>Scout;Artillery</t>
        </is>
      </c>
      <c r="FG53" t="n">
        <v>83</v>
      </c>
      <c r="FH53" t="n">
        <v>360</v>
      </c>
      <c r="FI53" t="n">
        <v>0.5</v>
      </c>
      <c r="FJ53" t="n">
        <v>90</v>
      </c>
      <c r="FL53" t="inlineStr">
        <is>
          <t>recon_missile</t>
        </is>
      </c>
      <c r="FN53" t="inlineStr">
        <is>
          <t>Assets/MachineBrigade/Resources/Data/balance.json: vehicles[34]</t>
        </is>
      </c>
      <c r="FO53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54">
      <c r="A54" t="inlineStr">
        <is>
          <t>river_gunboat</t>
        </is>
      </c>
      <c r="B54" t="inlineStr">
        <is>
          <t>xe</t>
        </is>
      </c>
      <c r="C54" t="inlineStr">
        <is>
          <t>River gunboat</t>
        </is>
      </c>
      <c r="D54" t="inlineStr">
        <is>
          <t>Pháo hạm sông</t>
        </is>
      </c>
      <c r="E54" t="inlineStr">
        <is>
          <t>Pháo hạm sông</t>
        </is>
      </c>
      <c r="F54" t="inlineStr"/>
      <c r="G54" t="inlineStr"/>
      <c r="H54" t="inlineStr"/>
      <c r="I54" t="n">
        <v>11</v>
      </c>
      <c r="J54" t="n">
        <v>1432</v>
      </c>
      <c r="K54" t="n">
        <v>3150.4</v>
      </c>
      <c r="L54" t="n">
        <v>2</v>
      </c>
      <c r="M54" t="n">
        <v>1</v>
      </c>
      <c r="N54" t="n">
        <v>1</v>
      </c>
      <c r="O54" t="n">
        <v>0</v>
      </c>
      <c r="P54" t="b">
        <v>0</v>
      </c>
      <c r="Q54" t="n">
        <v>6</v>
      </c>
      <c r="R54" t="n">
        <v>50</v>
      </c>
      <c r="S54" t="n">
        <v>45</v>
      </c>
      <c r="T54" t="n">
        <v>34</v>
      </c>
      <c r="U54" t="n">
        <v>2.7</v>
      </c>
      <c r="V54" t="n">
        <v>7.86</v>
      </c>
      <c r="W54" t="n">
        <v>3.14</v>
      </c>
      <c r="X54" t="b">
        <v>0</v>
      </c>
      <c r="Y54" t="n">
        <v>0</v>
      </c>
      <c r="Z54" t="b">
        <v>0</v>
      </c>
      <c r="AA54" t="b">
        <v>1</v>
      </c>
      <c r="AB54" t="n">
        <v>1</v>
      </c>
      <c r="AC54" t="n">
        <v>3.5</v>
      </c>
      <c r="AD54" t="n">
        <v>1.2681</v>
      </c>
      <c r="AE54" t="inlineStr">
        <is>
          <t>gun_100_river</t>
        </is>
      </c>
      <c r="AF54" t="inlineStr"/>
      <c r="AG54" t="inlineStr"/>
      <c r="AH54" t="inlineStr">
        <is>
          <t>none</t>
        </is>
      </c>
      <c r="AI54" t="inlineStr"/>
      <c r="AJ54" t="inlineStr"/>
      <c r="AK54" t="inlineStr">
        <is>
          <t>river_gunboat</t>
        </is>
      </c>
      <c r="AL54" t="inlineStr">
        <is>
          <t>doi</t>
        </is>
      </c>
      <c r="AM54" t="n">
        <v>9</v>
      </c>
      <c r="AN54" t="n">
        <v>11</v>
      </c>
      <c r="AO54" t="n">
        <v>1136</v>
      </c>
      <c r="AP54" t="n">
        <v>1432</v>
      </c>
      <c r="BG54" t="n">
        <v>1</v>
      </c>
      <c r="BH54" t="n">
        <v>1.2681</v>
      </c>
      <c r="BI54" t="n">
        <v>11</v>
      </c>
      <c r="BJ54" t="n">
        <v>3</v>
      </c>
      <c r="BK54" t="inlineStr"/>
      <c r="BL54" t="inlineStr"/>
      <c r="BM54" t="inlineStr"/>
      <c r="BN54" t="inlineStr">
        <is>
          <t>Premium; 3000 xu</t>
        </is>
      </c>
      <c r="BT54" t="n">
        <v>2</v>
      </c>
      <c r="BU54" t="n">
        <v>1</v>
      </c>
      <c r="BV54" t="n">
        <v>1</v>
      </c>
      <c r="BW54" t="n">
        <v>0</v>
      </c>
      <c r="CF54" t="n">
        <v>11</v>
      </c>
      <c r="CH54" t="n">
        <v>130</v>
      </c>
      <c r="CI54" t="n">
        <v>0.4</v>
      </c>
      <c r="CJ54" t="n">
        <v>8</v>
      </c>
      <c r="CK54" t="inlineStr">
        <is>
          <t>Huge</t>
        </is>
      </c>
      <c r="DD54" t="n">
        <v>1432</v>
      </c>
      <c r="DI54" t="n">
        <v>7.86</v>
      </c>
      <c r="DZ54" t="inlineStr">
        <is>
          <t>river_gunboat</t>
        </is>
      </c>
      <c r="EA54" t="n">
        <v>2.88</v>
      </c>
      <c r="EB54" t="n">
        <v>7.86</v>
      </c>
      <c r="EC54" t="n">
        <v>3.14</v>
      </c>
      <c r="EK54" t="n">
        <v>1.2681</v>
      </c>
      <c r="EL54" t="n">
        <v>2.7</v>
      </c>
      <c r="EZ54" t="n">
        <v>6</v>
      </c>
      <c r="FG54" t="n">
        <v>50</v>
      </c>
      <c r="FH54" t="n">
        <v>45</v>
      </c>
      <c r="FJ54" t="n">
        <v>34</v>
      </c>
      <c r="FL54" t="inlineStr">
        <is>
          <t>gun_100_river</t>
        </is>
      </c>
      <c r="FM54" t="n">
        <v>3.14</v>
      </c>
      <c r="FN54" t="inlineStr">
        <is>
          <t>Assets/MachineBrigade/Resources/Data/balance.json: vehicles[125]</t>
        </is>
      </c>
      <c r="FO54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55">
      <c r="A55" t="inlineStr">
        <is>
          <t>river_patrol_boat</t>
        </is>
      </c>
      <c r="B55" t="inlineStr">
        <is>
          <t>xe</t>
        </is>
      </c>
      <c r="C55" t="inlineStr">
        <is>
          <t>River patrol boat</t>
        </is>
      </c>
      <c r="D55" t="inlineStr">
        <is>
          <t>Tàu tuần tra sông</t>
        </is>
      </c>
      <c r="E55" t="inlineStr">
        <is>
          <t>Tàu tuần tra</t>
        </is>
      </c>
      <c r="F55" t="inlineStr">
        <is>
          <t>Light</t>
        </is>
      </c>
      <c r="G55" t="inlineStr">
        <is>
          <t>Light</t>
        </is>
      </c>
      <c r="H55" t="inlineStr"/>
      <c r="I55" t="n">
        <v>6</v>
      </c>
      <c r="J55" t="n">
        <v>450</v>
      </c>
      <c r="K55" t="n">
        <v>990</v>
      </c>
      <c r="L55" t="n">
        <v>0</v>
      </c>
      <c r="M55" t="n">
        <v>0</v>
      </c>
      <c r="N55" t="n">
        <v>0</v>
      </c>
      <c r="O55" t="n">
        <v>0</v>
      </c>
      <c r="P55" t="b">
        <v>0</v>
      </c>
      <c r="Q55" t="n">
        <v>14</v>
      </c>
      <c r="R55" t="n">
        <v>160</v>
      </c>
      <c r="S55" t="n">
        <v>220</v>
      </c>
      <c r="T55" t="n">
        <v>40</v>
      </c>
      <c r="U55" t="n">
        <v>2</v>
      </c>
      <c r="V55" t="n">
        <v>4.44</v>
      </c>
      <c r="W55" t="n">
        <v>2.08</v>
      </c>
      <c r="X55" t="b">
        <v>0</v>
      </c>
      <c r="Y55" t="n">
        <v>0</v>
      </c>
      <c r="Z55" t="b">
        <v>0</v>
      </c>
      <c r="AA55" t="b">
        <v>1</v>
      </c>
      <c r="AB55" t="n">
        <v>1</v>
      </c>
      <c r="AC55" t="n">
        <v>3.5</v>
      </c>
      <c r="AD55" t="n">
        <v>1.2</v>
      </c>
      <c r="AE55" t="inlineStr">
        <is>
          <t>mg_jeep</t>
        </is>
      </c>
      <c r="AF55" t="inlineStr">
        <is>
          <t>agl_40</t>
        </is>
      </c>
      <c r="AG55" t="inlineStr"/>
      <c r="AH55" t="inlineStr">
        <is>
          <t>none</t>
        </is>
      </c>
      <c r="AI55" t="inlineStr"/>
      <c r="AJ55" t="inlineStr"/>
      <c r="AK55" t="inlineStr">
        <is>
          <t>river_patrol_boat</t>
        </is>
      </c>
      <c r="AL55" t="inlineStr">
        <is>
          <t>doi</t>
        </is>
      </c>
      <c r="AM55" t="n">
        <v>5</v>
      </c>
      <c r="AN55" t="n">
        <v>6</v>
      </c>
      <c r="AO55" t="n">
        <v>364</v>
      </c>
      <c r="AP55" t="n">
        <v>450</v>
      </c>
      <c r="BG55" t="n">
        <v>1</v>
      </c>
      <c r="BH55" t="n">
        <v>1.2</v>
      </c>
      <c r="BI55" t="n">
        <v>6</v>
      </c>
      <c r="BJ55" t="n">
        <v>2</v>
      </c>
      <c r="BK55" t="inlineStr"/>
      <c r="BL55" t="inlineStr"/>
      <c r="BM55" t="inlineStr"/>
      <c r="BN55" t="inlineStr">
        <is>
          <t>Premium; 1500 xu</t>
        </is>
      </c>
      <c r="BS55" t="n">
        <v>0</v>
      </c>
      <c r="CC55" t="inlineStr">
        <is>
          <t>Light</t>
        </is>
      </c>
      <c r="CF55" t="n">
        <v>6</v>
      </c>
      <c r="CH55" t="n">
        <v>60</v>
      </c>
      <c r="CI55" t="n">
        <v>0.3</v>
      </c>
      <c r="CJ55" t="n">
        <v>5</v>
      </c>
      <c r="CK55" t="inlineStr">
        <is>
          <t>Large</t>
        </is>
      </c>
      <c r="CZ55" t="b">
        <v>1</v>
      </c>
      <c r="DD55" t="n">
        <v>450</v>
      </c>
      <c r="DI55" t="n">
        <v>4.44</v>
      </c>
      <c r="DZ55" t="inlineStr">
        <is>
          <t>river_patrol_boat</t>
        </is>
      </c>
      <c r="EA55" t="n">
        <v>1.49</v>
      </c>
      <c r="EB55" t="n">
        <v>4.78</v>
      </c>
      <c r="EC55" t="n">
        <v>2.08</v>
      </c>
      <c r="EK55" t="n">
        <v>1.2</v>
      </c>
      <c r="EL55" t="n">
        <v>2</v>
      </c>
      <c r="EZ55" t="n">
        <v>14</v>
      </c>
      <c r="FG55" t="n">
        <v>160</v>
      </c>
      <c r="FH55" t="n">
        <v>220</v>
      </c>
      <c r="FJ55" t="n">
        <v>40</v>
      </c>
      <c r="FL55" t="inlineStr">
        <is>
          <t>mg_jeep</t>
        </is>
      </c>
      <c r="FM55" t="n">
        <v>2.08</v>
      </c>
      <c r="FN55" t="inlineStr">
        <is>
          <t>Assets/MachineBrigade/Resources/Data/balance.json: vehicles[124]</t>
        </is>
      </c>
      <c r="FO55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56">
      <c r="A56" t="inlineStr">
        <is>
          <t>rocket_technical</t>
        </is>
      </c>
      <c r="B56" t="inlineStr">
        <is>
          <t>xe</t>
        </is>
      </c>
      <c r="C56" t="inlineStr">
        <is>
          <t>Rocket technical</t>
        </is>
      </c>
      <c r="D56" t="inlineStr">
        <is>
          <t>Bán tải rốc-két</t>
        </is>
      </c>
      <c r="E56" t="inlineStr">
        <is>
          <t>Bán tải rốc-két</t>
        </is>
      </c>
      <c r="F56" t="inlineStr"/>
      <c r="G56" t="inlineStr"/>
      <c r="H56" t="inlineStr"/>
      <c r="I56" t="n">
        <v>3</v>
      </c>
      <c r="J56" t="n">
        <v>230</v>
      </c>
      <c r="K56" t="n">
        <v>506</v>
      </c>
      <c r="L56" t="n">
        <v>0</v>
      </c>
      <c r="M56" t="n">
        <v>0</v>
      </c>
      <c r="N56" t="n">
        <v>0</v>
      </c>
      <c r="O56" t="n">
        <v>0</v>
      </c>
      <c r="P56" t="b">
        <v>0</v>
      </c>
      <c r="Q56" t="n">
        <v>13</v>
      </c>
      <c r="R56" t="n">
        <v>180</v>
      </c>
      <c r="S56" t="n">
        <v>200</v>
      </c>
      <c r="T56" t="n">
        <v>30</v>
      </c>
      <c r="U56" t="n">
        <v>1.7</v>
      </c>
      <c r="V56" t="n">
        <v>4.39</v>
      </c>
      <c r="W56" t="n">
        <v>1.5</v>
      </c>
      <c r="X56" t="b">
        <v>0</v>
      </c>
      <c r="Y56" t="n">
        <v>0</v>
      </c>
      <c r="Z56" t="b">
        <v>0</v>
      </c>
      <c r="AA56" t="b">
        <v>0</v>
      </c>
      <c r="AB56" t="n">
        <v>2</v>
      </c>
      <c r="AC56" t="n">
        <v>2.5</v>
      </c>
      <c r="AD56" t="n">
        <v>1</v>
      </c>
      <c r="AE56" t="inlineStr">
        <is>
          <t>technical_rockets</t>
        </is>
      </c>
      <c r="AF56" t="inlineStr">
        <is>
          <t>mg_jeep_selfdef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rocket_technical</t>
        </is>
      </c>
      <c r="AL56" t="inlineStr">
        <is>
          <t>giong</t>
        </is>
      </c>
      <c r="BI56" t="n">
        <v>3</v>
      </c>
      <c r="BJ56" t="n">
        <v>1</v>
      </c>
      <c r="BK56" t="inlineStr"/>
      <c r="BL56" t="inlineStr"/>
      <c r="BM56" t="inlineStr">
        <is>
          <t>light</t>
        </is>
      </c>
      <c r="BN56" t="inlineStr">
        <is>
          <t>Campaign; nhiệm vụ c1m01; mua sớm; 300 xu</t>
        </is>
      </c>
      <c r="BS56" t="n">
        <v>0</v>
      </c>
      <c r="BZ56" t="n">
        <v>2</v>
      </c>
      <c r="CF56" t="n">
        <v>3</v>
      </c>
      <c r="CH56" t="n">
        <v>60</v>
      </c>
      <c r="CI56" t="n">
        <v>0.15</v>
      </c>
      <c r="CJ56" t="n">
        <v>6</v>
      </c>
      <c r="CK56" t="inlineStr">
        <is>
          <t>Large</t>
        </is>
      </c>
      <c r="CV56" t="n">
        <v>2.5</v>
      </c>
      <c r="CY56" t="n">
        <v>0.7</v>
      </c>
      <c r="CZ56" t="b">
        <v>0</v>
      </c>
      <c r="DD56" t="n">
        <v>230</v>
      </c>
      <c r="DI56" t="n">
        <v>4.39</v>
      </c>
      <c r="EA56" t="n">
        <v>1.86</v>
      </c>
      <c r="EB56" t="n">
        <v>4.39</v>
      </c>
      <c r="EC56" t="n">
        <v>1.5</v>
      </c>
      <c r="EL56" t="n">
        <v>1.7</v>
      </c>
      <c r="ER56" t="n">
        <v>1</v>
      </c>
      <c r="EZ56" t="n">
        <v>13</v>
      </c>
      <c r="FG56" t="n">
        <v>180</v>
      </c>
      <c r="FH56" t="n">
        <v>200</v>
      </c>
      <c r="FI56" t="n">
        <v>0.61</v>
      </c>
      <c r="FJ56" t="n">
        <v>30</v>
      </c>
      <c r="FL56" t="inlineStr">
        <is>
          <t>technical_rockets</t>
        </is>
      </c>
      <c r="FM56" t="n">
        <v>1.5</v>
      </c>
      <c r="FN56" t="inlineStr">
        <is>
          <t>Assets/MachineBrigade/Resources/Data/balance.json: vehicles[13]</t>
        </is>
      </c>
      <c r="FO56" t="inlineStr">
        <is>
          <t>{"id":"rocket_technical","erectSeconds":0.7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57">
      <c r="A57" t="inlineStr">
        <is>
          <t>sam_launcher</t>
        </is>
      </c>
      <c r="B57" t="inlineStr">
        <is>
          <t>xe</t>
        </is>
      </c>
      <c r="C57" t="inlineStr">
        <is>
          <t>Medium-range SAM</t>
        </is>
      </c>
      <c r="D57" t="inlineStr">
        <is>
          <t>Xe tên lửa phòng không tầm trung</t>
        </is>
      </c>
      <c r="E57" t="inlineStr">
        <is>
          <t>PK tầm trung</t>
        </is>
      </c>
      <c r="F57" t="inlineStr"/>
      <c r="G57" t="inlineStr"/>
      <c r="H57" t="inlineStr"/>
      <c r="I57" t="n">
        <v>8</v>
      </c>
      <c r="J57" t="n">
        <v>691</v>
      </c>
      <c r="K57" t="n">
        <v>1520.2</v>
      </c>
      <c r="L57" t="n">
        <v>1</v>
      </c>
      <c r="M57" t="n">
        <v>1</v>
      </c>
      <c r="N57" t="n">
        <v>0</v>
      </c>
      <c r="O57" t="n">
        <v>0</v>
      </c>
      <c r="P57" t="b">
        <v>0</v>
      </c>
      <c r="Q57" t="n">
        <v>6.5</v>
      </c>
      <c r="R57" t="n">
        <v>80</v>
      </c>
      <c r="S57" t="n">
        <v>100</v>
      </c>
      <c r="T57" t="n">
        <v>60</v>
      </c>
      <c r="U57" t="n">
        <v>2</v>
      </c>
      <c r="V57" t="n">
        <v>7.18</v>
      </c>
      <c r="W57" t="n">
        <v>2.7</v>
      </c>
      <c r="X57" t="b">
        <v>0</v>
      </c>
      <c r="Y57" t="n">
        <v>0</v>
      </c>
      <c r="Z57" t="b">
        <v>0</v>
      </c>
      <c r="AA57" t="b">
        <v>0</v>
      </c>
      <c r="AB57" t="n">
        <v>1</v>
      </c>
      <c r="AC57" t="n">
        <v>3.5</v>
      </c>
      <c r="AD57" t="n">
        <v>1.1429</v>
      </c>
      <c r="AE57" t="inlineStr">
        <is>
          <t>buk_launcher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sam_launcher</t>
        </is>
      </c>
      <c r="AL57" t="inlineStr">
        <is>
          <t>doi</t>
        </is>
      </c>
      <c r="AM57" t="n">
        <v>7</v>
      </c>
      <c r="AN57" t="n">
        <v>8</v>
      </c>
      <c r="AO57" t="n">
        <v>591</v>
      </c>
      <c r="AP57" t="n">
        <v>691</v>
      </c>
      <c r="BG57" t="n">
        <v>1</v>
      </c>
      <c r="BH57" t="n">
        <v>1.1429</v>
      </c>
      <c r="BI57" t="n">
        <v>8</v>
      </c>
      <c r="BJ57" t="n">
        <v>2</v>
      </c>
      <c r="BK57" t="inlineStr"/>
      <c r="BL57" t="inlineStr"/>
      <c r="BM57" t="inlineStr"/>
      <c r="BN57" t="inlineStr">
        <is>
          <t>Campaign; nhiệm vụ c3m01; mua sớm; 300 xu</t>
        </is>
      </c>
      <c r="BT57" t="n">
        <v>1</v>
      </c>
      <c r="BU57" t="n">
        <v>0</v>
      </c>
      <c r="BV57" t="n">
        <v>1</v>
      </c>
      <c r="BW57" t="n">
        <v>0</v>
      </c>
      <c r="CF57" t="n">
        <v>8</v>
      </c>
      <c r="CH57" t="n">
        <v>120</v>
      </c>
      <c r="CI57" t="n">
        <v>0.3</v>
      </c>
      <c r="CJ57" t="n">
        <v>8</v>
      </c>
      <c r="CK57" t="inlineStr">
        <is>
          <t>Huge</t>
        </is>
      </c>
      <c r="CY57" t="n">
        <v>0.9</v>
      </c>
      <c r="CZ57" t="b">
        <v>0</v>
      </c>
      <c r="DD57" t="n">
        <v>691</v>
      </c>
      <c r="DI57" t="n">
        <v>7.18</v>
      </c>
      <c r="EA57" t="n">
        <v>2.97</v>
      </c>
      <c r="EB57" t="n">
        <v>7.18</v>
      </c>
      <c r="EC57" t="n">
        <v>2.7</v>
      </c>
      <c r="EK57" t="n">
        <v>1.1429</v>
      </c>
      <c r="EL57" t="n">
        <v>2</v>
      </c>
      <c r="ER57" t="n">
        <v>1</v>
      </c>
      <c r="EW57" t="inlineStr"/>
      <c r="EZ57" t="n">
        <v>6.5</v>
      </c>
      <c r="FG57" t="n">
        <v>80</v>
      </c>
      <c r="FH57" t="n">
        <v>100</v>
      </c>
      <c r="FI57" t="n">
        <v>0.72</v>
      </c>
      <c r="FJ57" t="n">
        <v>60</v>
      </c>
      <c r="FL57" t="inlineStr">
        <is>
          <t>buk_launcher</t>
        </is>
      </c>
      <c r="FM57" t="n">
        <v>2.7</v>
      </c>
      <c r="FN57" t="inlineStr">
        <is>
          <t>Assets/MachineBrigade/Resources/Data/balance.json: vehicles[11]</t>
        </is>
      </c>
      <c r="FO57" t="inlineStr">
        <is>
          <t>{"id":"sam_launcher","erectSeconds":0.9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58">
      <c r="A58" t="inlineStr">
        <is>
          <t>scout_heli</t>
        </is>
      </c>
      <c r="B58" t="inlineStr">
        <is>
          <t>xe</t>
        </is>
      </c>
      <c r="C58" t="inlineStr">
        <is>
          <t>Armed scout helicopter</t>
        </is>
      </c>
      <c r="D58" t="inlineStr">
        <is>
          <t>Trực thăng trinh sát vũ trang</t>
        </is>
      </c>
      <c r="E58" t="inlineStr">
        <is>
          <t>TT trinh sát</t>
        </is>
      </c>
      <c r="F58" t="inlineStr"/>
      <c r="G58" t="inlineStr"/>
      <c r="H58" t="inlineStr"/>
      <c r="I58" t="n">
        <v>6</v>
      </c>
      <c r="J58" t="n">
        <v>518</v>
      </c>
      <c r="K58" t="n">
        <v>1139.6</v>
      </c>
      <c r="L58" t="n">
        <v>0</v>
      </c>
      <c r="M58" t="n">
        <v>0</v>
      </c>
      <c r="N58" t="n">
        <v>0</v>
      </c>
      <c r="O58" t="n">
        <v>0</v>
      </c>
      <c r="P58" t="b">
        <v>0</v>
      </c>
      <c r="Q58" t="n">
        <v>17</v>
      </c>
      <c r="R58" t="n">
        <v>170</v>
      </c>
      <c r="S58" t="n">
        <v>360</v>
      </c>
      <c r="T58" t="n">
        <v>46</v>
      </c>
      <c r="U58" t="n">
        <v>2.8</v>
      </c>
      <c r="V58" t="inlineStr"/>
      <c r="W58" t="inlineStr"/>
      <c r="X58" t="b">
        <v>1</v>
      </c>
      <c r="Y58" t="n">
        <v>13</v>
      </c>
      <c r="Z58" t="b">
        <v>0</v>
      </c>
      <c r="AA58" t="b">
        <v>1</v>
      </c>
      <c r="AB58" t="n">
        <v>0</v>
      </c>
      <c r="AC58" t="n">
        <v>3.5</v>
      </c>
      <c r="AD58" t="n">
        <v>1.2</v>
      </c>
      <c r="AE58" t="inlineStr">
        <is>
          <t>minigun</t>
        </is>
      </c>
      <c r="AF58" t="inlineStr">
        <is>
          <t>scout_rockets</t>
        </is>
      </c>
      <c r="AG58" t="inlineStr"/>
      <c r="AH58" t="inlineStr">
        <is>
          <t>flare</t>
        </is>
      </c>
      <c r="AI58" t="n">
        <v>2</v>
      </c>
      <c r="AJ58" t="n">
        <v>20</v>
      </c>
      <c r="AK58" t="inlineStr">
        <is>
          <t>scout_heli</t>
        </is>
      </c>
      <c r="AL58" t="inlineStr">
        <is>
          <t>doi</t>
        </is>
      </c>
      <c r="AM58" t="n">
        <v>5</v>
      </c>
      <c r="AN58" t="n">
        <v>6</v>
      </c>
      <c r="AO58" t="n">
        <v>420</v>
      </c>
      <c r="AP58" t="n">
        <v>518</v>
      </c>
      <c r="BG58" t="n">
        <v>1</v>
      </c>
      <c r="BH58" t="n">
        <v>1.2</v>
      </c>
      <c r="BI58" t="n">
        <v>6</v>
      </c>
      <c r="BJ58" t="n">
        <v>2</v>
      </c>
      <c r="BK58" t="inlineStr"/>
      <c r="BL58" t="inlineStr"/>
      <c r="BM58" t="inlineStr">
        <is>
          <t>heli;scout_heli</t>
        </is>
      </c>
      <c r="BN58" t="inlineStr">
        <is>
          <t>Campaign; nhiệm vụ c3m03; mua sớm; 300 xu</t>
        </is>
      </c>
      <c r="BR58" t="n">
        <v>13</v>
      </c>
      <c r="BS58" t="n">
        <v>0</v>
      </c>
      <c r="BZ58" t="n">
        <v>0</v>
      </c>
      <c r="CF58" t="n">
        <v>6</v>
      </c>
      <c r="CH58" t="n">
        <v>40</v>
      </c>
      <c r="CI58" t="n">
        <v>0.5</v>
      </c>
      <c r="CJ58" t="n">
        <v>5</v>
      </c>
      <c r="CK58" t="inlineStr">
        <is>
          <t>Large</t>
        </is>
      </c>
      <c r="CZ58" t="b">
        <v>1</v>
      </c>
      <c r="DB58" t="b">
        <v>1</v>
      </c>
      <c r="DD58" t="n">
        <v>518</v>
      </c>
      <c r="DN58" t="inlineStr">
        <is>
          <t>gun</t>
        </is>
      </c>
      <c r="EA58" t="n">
        <v>1.56</v>
      </c>
      <c r="EB58" t="n">
        <v>3.88</v>
      </c>
      <c r="EC58" t="n">
        <v>3.16</v>
      </c>
      <c r="EK58" t="n">
        <v>1.2</v>
      </c>
      <c r="EL58" t="n">
        <v>2.8</v>
      </c>
      <c r="EO58" t="n">
        <v>8</v>
      </c>
      <c r="ER58" t="n">
        <v>1</v>
      </c>
      <c r="EZ58" t="n">
        <v>17</v>
      </c>
      <c r="FE58" t="inlineStr">
        <is>
          <t>Scout;Light;Support</t>
        </is>
      </c>
      <c r="FG58" t="n">
        <v>170</v>
      </c>
      <c r="FH58" t="n">
        <v>360</v>
      </c>
      <c r="FI58" t="n">
        <v>0.85</v>
      </c>
      <c r="FJ58" t="n">
        <v>46</v>
      </c>
      <c r="FL58" t="inlineStr">
        <is>
          <t>minigun</t>
        </is>
      </c>
      <c r="FN58" t="inlineStr">
        <is>
          <t>Assets/MachineBrigade/Resources/Data/balance.json: vehicles[14]</t>
        </is>
      </c>
      <c r="FO58" t="inlineStr">
        <is>
          <t>{"id":"scout_heli","flareRecharge":20,"flareCharges":2,"outgoingDamageMult":1.2,"value":0.85,"rearmTime":8,"strongVs":["Scout","Light","Support"],"scale":1,"modelSize":[3.88,3.16,1.56],"armour":0,"hp":518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59">
      <c r="A59" t="inlineStr">
        <is>
          <t>scout_jeep</t>
        </is>
      </c>
      <c r="B59" t="inlineStr">
        <is>
          <t>xe</t>
        </is>
      </c>
      <c r="C59" t="inlineStr">
        <is>
          <t>Scout jeep</t>
        </is>
      </c>
      <c r="D59" t="inlineStr">
        <is>
          <t>Xe trinh sát hạng nhẹ</t>
        </is>
      </c>
      <c r="E59" t="inlineStr">
        <is>
          <t>Trinh sát</t>
        </is>
      </c>
      <c r="F59" t="inlineStr"/>
      <c r="G59" t="inlineStr"/>
      <c r="H59" t="inlineStr"/>
      <c r="I59" t="n">
        <v>2</v>
      </c>
      <c r="J59" t="n">
        <v>120</v>
      </c>
      <c r="K59" t="n">
        <v>264</v>
      </c>
      <c r="L59" t="n">
        <v>0</v>
      </c>
      <c r="M59" t="n">
        <v>0</v>
      </c>
      <c r="N59" t="n">
        <v>0</v>
      </c>
      <c r="O59" t="n">
        <v>0</v>
      </c>
      <c r="P59" t="b">
        <v>0</v>
      </c>
      <c r="Q59" t="n">
        <v>12</v>
      </c>
      <c r="R59" t="n">
        <v>200</v>
      </c>
      <c r="S59" t="n">
        <v>360</v>
      </c>
      <c r="T59" t="n">
        <v>60</v>
      </c>
      <c r="U59" t="n">
        <v>1.3</v>
      </c>
      <c r="V59" t="n">
        <v>2.64</v>
      </c>
      <c r="W59" t="n">
        <v>1.4</v>
      </c>
      <c r="X59" t="b">
        <v>0</v>
      </c>
      <c r="Y59" t="n">
        <v>0</v>
      </c>
      <c r="Z59" t="b">
        <v>0</v>
      </c>
      <c r="AA59" t="b">
        <v>1</v>
      </c>
      <c r="AB59" t="n">
        <v>2</v>
      </c>
      <c r="AC59" t="n">
        <v>2.5</v>
      </c>
      <c r="AD59" t="n">
        <v>1</v>
      </c>
      <c r="AE59" t="inlineStr">
        <is>
          <t>mg_jeep</t>
        </is>
      </c>
      <c r="AF59" t="inlineStr"/>
      <c r="AG59" t="inlineStr"/>
      <c r="AH59" t="inlineStr">
        <is>
          <t>none</t>
        </is>
      </c>
      <c r="AI59" t="inlineStr"/>
      <c r="AJ59" t="inlineStr"/>
      <c r="AK59" t="inlineStr">
        <is>
          <t>scout_jeep</t>
        </is>
      </c>
      <c r="AL59" t="inlineStr">
        <is>
          <t>giong</t>
        </is>
      </c>
      <c r="BI59" t="n">
        <v>2</v>
      </c>
      <c r="BJ59" t="n">
        <v>1</v>
      </c>
      <c r="BK59" t="inlineStr"/>
      <c r="BL59" t="inlineStr"/>
      <c r="BM59" t="inlineStr">
        <is>
          <t>scout</t>
        </is>
      </c>
      <c r="BN59" t="inlineStr">
        <is>
          <t>Starter; 600 xu</t>
        </is>
      </c>
      <c r="BS59" t="n">
        <v>0</v>
      </c>
      <c r="BZ59" t="n">
        <v>2</v>
      </c>
      <c r="CF59" t="n">
        <v>2</v>
      </c>
      <c r="CH59" t="n">
        <v>30</v>
      </c>
      <c r="CI59" t="n">
        <v>0.1</v>
      </c>
      <c r="CJ59" t="n">
        <v>4</v>
      </c>
      <c r="CK59" t="inlineStr">
        <is>
          <t>Large</t>
        </is>
      </c>
      <c r="CV59" t="n">
        <v>2.5</v>
      </c>
      <c r="CZ59" t="b">
        <v>1</v>
      </c>
      <c r="DD59" t="n">
        <v>120</v>
      </c>
      <c r="DI59" t="n">
        <v>2.64</v>
      </c>
      <c r="EA59" t="n">
        <v>1.41</v>
      </c>
      <c r="EB59" t="n">
        <v>2.64</v>
      </c>
      <c r="EC59" t="n">
        <v>1.4</v>
      </c>
      <c r="EL59" t="n">
        <v>1.3</v>
      </c>
      <c r="ER59" t="n">
        <v>1</v>
      </c>
      <c r="EZ59" t="n">
        <v>12</v>
      </c>
      <c r="FC59" t="n">
        <v>0.4</v>
      </c>
      <c r="FG59" t="n">
        <v>200</v>
      </c>
      <c r="FH59" t="n">
        <v>360</v>
      </c>
      <c r="FI59" t="n">
        <v>0.5</v>
      </c>
      <c r="FJ59" t="n">
        <v>60</v>
      </c>
      <c r="FL59" t="inlineStr">
        <is>
          <t>mg_jeep</t>
        </is>
      </c>
      <c r="FM59" t="n">
        <v>1.4</v>
      </c>
      <c r="FN59" t="inlineStr">
        <is>
          <t>Assets/MachineBrigade/Resources/Data/balance.json: vehicles[0]</t>
        </is>
      </c>
      <c r="FO59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60">
      <c r="A60" t="inlineStr">
        <is>
          <t>sea_corvette</t>
        </is>
      </c>
      <c r="B60" t="inlineStr">
        <is>
          <t>vat_pham</t>
        </is>
      </c>
      <c r="C60" t="inlineStr">
        <is>
          <t>Escort Corvette</t>
        </is>
      </c>
      <c r="D60" t="inlineStr">
        <is>
          <t>Tàu hộ vệ</t>
        </is>
      </c>
      <c r="E60" t="inlineStr">
        <is>
          <t>Tàu hộ vệ</t>
        </is>
      </c>
      <c r="F60" t="inlineStr">
        <is>
          <t>Heavy</t>
        </is>
      </c>
      <c r="G60" t="inlineStr">
        <is>
          <t>Armor</t>
        </is>
      </c>
      <c r="H60" t="inlineStr"/>
      <c r="I60" t="n">
        <v>0</v>
      </c>
      <c r="J60" t="n">
        <v>1600</v>
      </c>
      <c r="K60" t="n">
        <v>3520</v>
      </c>
      <c r="L60" t="n">
        <v>3</v>
      </c>
      <c r="M60" t="n">
        <v>3</v>
      </c>
      <c r="N60" t="n">
        <v>3</v>
      </c>
      <c r="O60" t="n">
        <v>1</v>
      </c>
      <c r="P60" t="b">
        <v>0</v>
      </c>
      <c r="Q60" t="n">
        <v>3.4</v>
      </c>
      <c r="R60" t="n">
        <v>14</v>
      </c>
      <c r="S60" t="n">
        <v>60</v>
      </c>
      <c r="T60" t="n">
        <v>90</v>
      </c>
      <c r="U60" t="n">
        <v>5.5</v>
      </c>
      <c r="V60" t="n">
        <v>30</v>
      </c>
      <c r="W60" t="n">
        <v>5.6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naval_76</t>
        </is>
      </c>
      <c r="AF60" t="inlineStr">
        <is>
          <t>hover_ciws</t>
        </is>
      </c>
      <c r="AG60" t="inlineStr"/>
      <c r="AH60" t="inlineStr">
        <is>
          <t>aps</t>
        </is>
      </c>
      <c r="AI60" t="n">
        <v>2</v>
      </c>
      <c r="AJ60" t="n">
        <v>2.5</v>
      </c>
      <c r="AK60" t="inlineStr">
        <is>
          <t>sea_corvette</t>
        </is>
      </c>
      <c r="AL60" t="inlineStr">
        <is>
          <t>giong</t>
        </is>
      </c>
      <c r="BI60" t="n">
        <v>0</v>
      </c>
      <c r="BJ60" t="n">
        <v>1</v>
      </c>
      <c r="BK60" t="inlineStr"/>
      <c r="BL60" t="inlineStr"/>
      <c r="BM60" t="inlineStr"/>
      <c r="BN60" t="inlineStr">
        <is>
          <t>Campaign; mua sớm; 300 xu</t>
        </is>
      </c>
      <c r="BT60" t="n">
        <v>3</v>
      </c>
      <c r="BU60" t="n">
        <v>3</v>
      </c>
      <c r="BV60" t="n">
        <v>3</v>
      </c>
      <c r="BW60" t="n">
        <v>1</v>
      </c>
      <c r="BZ60" t="n">
        <v>0</v>
      </c>
      <c r="CA60" t="b">
        <v>0</v>
      </c>
      <c r="CC60" t="inlineStr">
        <is>
          <t>Heavy</t>
        </is>
      </c>
      <c r="CF60" t="n">
        <v>0</v>
      </c>
      <c r="CH60" t="n">
        <v>200</v>
      </c>
      <c r="CI60" t="n">
        <v>1.2</v>
      </c>
      <c r="CJ60" t="n">
        <v>12</v>
      </c>
      <c r="CK60" t="inlineStr">
        <is>
          <t>Ultimate</t>
        </is>
      </c>
      <c r="CZ60" t="b">
        <v>1</v>
      </c>
      <c r="DD60" t="n">
        <v>1600</v>
      </c>
      <c r="DI60" t="n">
        <v>30</v>
      </c>
      <c r="DM60" t="inlineStr">
        <is>
          <t>Free</t>
        </is>
      </c>
      <c r="DN60" t="inlineStr">
        <is>
          <t>gun</t>
        </is>
      </c>
      <c r="EG60" t="inlineStr">
        <is>
          <t>Escort</t>
        </is>
      </c>
      <c r="EH60" t="n">
        <v>26</v>
      </c>
      <c r="EL60" t="n">
        <v>5.5</v>
      </c>
      <c r="EZ60" t="n">
        <v>3.4</v>
      </c>
      <c r="FG60" t="n">
        <v>14</v>
      </c>
      <c r="FH60" t="n">
        <v>60</v>
      </c>
      <c r="FJ60" t="n">
        <v>90</v>
      </c>
      <c r="FL60" t="inlineStr">
        <is>
          <t>naval_76</t>
        </is>
      </c>
      <c r="FM60" t="n">
        <v>5.6</v>
      </c>
      <c r="FN60" t="inlineStr">
        <is>
          <t>Assets/MachineBrigade/Resources/Data/balance.json: vehicles[154]</t>
        </is>
      </c>
      <c r="FO60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61">
      <c r="A61" t="inlineStr">
        <is>
          <t>sea_cruiser</t>
        </is>
      </c>
      <c r="B61" t="inlineStr">
        <is>
          <t>vat_pham</t>
        </is>
      </c>
      <c r="C61" t="inlineStr">
        <is>
          <t>Missile Cruiser</t>
        </is>
      </c>
      <c r="D61" t="inlineStr">
        <is>
          <t>Tuần dương hạm tên lửa</t>
        </is>
      </c>
      <c r="E61" t="inlineStr">
        <is>
          <t>Tuần dương hạm</t>
        </is>
      </c>
      <c r="F61" t="inlineStr">
        <is>
          <t>Heavy</t>
        </is>
      </c>
      <c r="G61" t="inlineStr">
        <is>
          <t>Armor</t>
        </is>
      </c>
      <c r="H61" t="inlineStr"/>
      <c r="I61" t="n">
        <v>0</v>
      </c>
      <c r="J61" t="n">
        <v>2600</v>
      </c>
      <c r="K61" t="n">
        <v>5720</v>
      </c>
      <c r="L61" t="n">
        <v>3</v>
      </c>
      <c r="M61" t="n">
        <v>3</v>
      </c>
      <c r="N61" t="n">
        <v>3</v>
      </c>
      <c r="O61" t="n">
        <v>2</v>
      </c>
      <c r="P61" t="b">
        <v>0</v>
      </c>
      <c r="Q61" t="n">
        <v>3.2</v>
      </c>
      <c r="R61" t="n">
        <v>12</v>
      </c>
      <c r="S61" t="n">
        <v>45</v>
      </c>
      <c r="T61" t="n">
        <v>100</v>
      </c>
      <c r="U61" t="n">
        <v>6.5</v>
      </c>
      <c r="V61" t="n">
        <v>46.08</v>
      </c>
      <c r="W61" t="n">
        <v>7.92</v>
      </c>
      <c r="X61" t="b">
        <v>0</v>
      </c>
      <c r="Y61" t="n">
        <v>0</v>
      </c>
      <c r="Z61" t="b">
        <v>0</v>
      </c>
      <c r="AA61" t="b">
        <v>1</v>
      </c>
      <c r="AB61" t="n">
        <v>0</v>
      </c>
      <c r="AC61" t="n">
        <v>3.5</v>
      </c>
      <c r="AD61" t="n">
        <v>1</v>
      </c>
      <c r="AE61" t="inlineStr">
        <is>
          <t>cruiser_203</t>
        </is>
      </c>
      <c r="AF61" t="inlineStr">
        <is>
          <t>cruiser_203;hover_ciws;hover_ciws</t>
        </is>
      </c>
      <c r="AG61" t="inlineStr"/>
      <c r="AH61" t="inlineStr">
        <is>
          <t>aps</t>
        </is>
      </c>
      <c r="AI61" t="n">
        <v>2</v>
      </c>
      <c r="AJ61" t="n">
        <v>2.4</v>
      </c>
      <c r="AK61" t="inlineStr">
        <is>
          <t>sea_cruiser</t>
        </is>
      </c>
      <c r="AL61" t="inlineStr">
        <is>
          <t>giong</t>
        </is>
      </c>
      <c r="BI61" t="n">
        <v>0</v>
      </c>
      <c r="BJ61" t="n">
        <v>1</v>
      </c>
      <c r="BK61" t="inlineStr"/>
      <c r="BL61" t="inlineStr"/>
      <c r="BM61" t="inlineStr"/>
      <c r="BN61" t="inlineStr">
        <is>
          <t>Campaign; mua sớm; 300 xu</t>
        </is>
      </c>
      <c r="BT61" t="n">
        <v>3</v>
      </c>
      <c r="BU61" t="n">
        <v>3</v>
      </c>
      <c r="BV61" t="n">
        <v>3</v>
      </c>
      <c r="BW61" t="n">
        <v>2</v>
      </c>
      <c r="BZ61" t="n">
        <v>0</v>
      </c>
      <c r="CA61" t="b">
        <v>0</v>
      </c>
      <c r="CC61" t="inlineStr">
        <is>
          <t>Heavy</t>
        </is>
      </c>
      <c r="CF61" t="n">
        <v>0</v>
      </c>
      <c r="CH61" t="n">
        <v>260</v>
      </c>
      <c r="CI61" t="n">
        <v>1.6</v>
      </c>
      <c r="CJ61" t="n">
        <v>14</v>
      </c>
      <c r="CK61" t="inlineStr">
        <is>
          <t>Ultimate</t>
        </is>
      </c>
      <c r="CZ61" t="b">
        <v>1</v>
      </c>
      <c r="DD61" t="n">
        <v>2600</v>
      </c>
      <c r="DI61" t="n">
        <v>64</v>
      </c>
      <c r="DM61" t="inlineStr">
        <is>
          <t>Free</t>
        </is>
      </c>
      <c r="DN61" t="inlineStr">
        <is>
          <t>gun</t>
        </is>
      </c>
      <c r="EG61" t="inlineStr">
        <is>
          <t>Escort</t>
        </is>
      </c>
      <c r="EH61" t="n">
        <v>22</v>
      </c>
      <c r="EL61" t="n">
        <v>6.5</v>
      </c>
      <c r="ER61" t="n">
        <v>0.72</v>
      </c>
      <c r="EZ61" t="n">
        <v>3.2</v>
      </c>
      <c r="FG61" t="n">
        <v>12</v>
      </c>
      <c r="FH61" t="n">
        <v>45</v>
      </c>
      <c r="FJ61" t="n">
        <v>100</v>
      </c>
      <c r="FL61" t="inlineStr">
        <is>
          <t>cruiser_203</t>
        </is>
      </c>
      <c r="FM61" t="n">
        <v>11</v>
      </c>
      <c r="FN61" t="inlineStr">
        <is>
          <t>Assets/MachineBrigade/Resources/Data/balance.json: vehicles[155]</t>
        </is>
      </c>
      <c r="FO61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62">
      <c r="A62" t="inlineStr">
        <is>
          <t>shahed_truck</t>
        </is>
      </c>
      <c r="B62" t="inlineStr">
        <is>
          <t>xe</t>
        </is>
      </c>
      <c r="C62" t="inlineStr">
        <is>
          <t>Long-range drone launcher</t>
        </is>
      </c>
      <c r="D62" t="inlineStr">
        <is>
          <t>Xe phóng drone cảm tử tầm xa</t>
        </is>
      </c>
      <c r="E62" t="inlineStr">
        <is>
          <t>Drone cảm tử</t>
        </is>
      </c>
      <c r="F62" t="inlineStr">
        <is>
          <t>Artillery</t>
        </is>
      </c>
      <c r="G62" t="inlineStr">
        <is>
          <t>Artillery</t>
        </is>
      </c>
      <c r="H62" t="inlineStr"/>
      <c r="I62" t="n">
        <v>9</v>
      </c>
      <c r="J62" t="n">
        <v>459</v>
      </c>
      <c r="K62" t="n">
        <v>1009.8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8</v>
      </c>
      <c r="R62" t="n">
        <v>80</v>
      </c>
      <c r="S62" t="n">
        <v>60</v>
      </c>
      <c r="T62" t="n">
        <v>30</v>
      </c>
      <c r="U62" t="n">
        <v>2.4</v>
      </c>
      <c r="V62" t="n">
        <v>6.6</v>
      </c>
      <c r="W62" t="n">
        <v>2.04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3.5</v>
      </c>
      <c r="AD62" t="n">
        <v>1.125</v>
      </c>
      <c r="AE62" t="inlineStr">
        <is>
          <t>shahed</t>
        </is>
      </c>
      <c r="AF62" t="inlineStr">
        <is>
          <t>hmg_selfdef_15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shahed_truck</t>
        </is>
      </c>
      <c r="AL62" t="inlineStr">
        <is>
          <t>doi</t>
        </is>
      </c>
      <c r="AM62" t="n">
        <v>8</v>
      </c>
      <c r="AN62" t="n">
        <v>9</v>
      </c>
      <c r="AO62" t="n">
        <v>400</v>
      </c>
      <c r="AP62" t="n">
        <v>459</v>
      </c>
      <c r="BG62" t="n">
        <v>1</v>
      </c>
      <c r="BH62" t="n">
        <v>1.125</v>
      </c>
      <c r="BI62" t="n">
        <v>9</v>
      </c>
      <c r="BJ62" t="n">
        <v>3</v>
      </c>
      <c r="BK62" t="inlineStr"/>
      <c r="BL62" t="inlineStr"/>
      <c r="BM62" t="inlineStr"/>
      <c r="BN62" t="inlineStr">
        <is>
          <t>Campaign; nhiệm vụ c5m03; mua sớm; 800 xu</t>
        </is>
      </c>
      <c r="BS62" t="n">
        <v>1</v>
      </c>
      <c r="BZ62" t="n">
        <v>1</v>
      </c>
      <c r="CC62" t="inlineStr">
        <is>
          <t>Artillery</t>
        </is>
      </c>
      <c r="CF62" t="n">
        <v>9</v>
      </c>
      <c r="CH62" t="n">
        <v>90</v>
      </c>
      <c r="CI62" t="n">
        <v>0.3</v>
      </c>
      <c r="CJ62" t="n">
        <v>7</v>
      </c>
      <c r="CK62" t="inlineStr">
        <is>
          <t>Huge</t>
        </is>
      </c>
      <c r="CY62" t="n">
        <v>1</v>
      </c>
      <c r="CZ62" t="b">
        <v>0</v>
      </c>
      <c r="DD62" t="n">
        <v>459</v>
      </c>
      <c r="DI62" t="n">
        <v>6.6</v>
      </c>
      <c r="EA62" t="n">
        <v>2.87</v>
      </c>
      <c r="EB62" t="n">
        <v>6.65</v>
      </c>
      <c r="EC62" t="n">
        <v>2.3</v>
      </c>
      <c r="EK62" t="n">
        <v>1.125</v>
      </c>
      <c r="EL62" t="n">
        <v>2.4</v>
      </c>
      <c r="ER62" t="n">
        <v>1</v>
      </c>
      <c r="EZ62" t="n">
        <v>8</v>
      </c>
      <c r="FG62" t="n">
        <v>80</v>
      </c>
      <c r="FH62" t="n">
        <v>60</v>
      </c>
      <c r="FI62" t="n">
        <v>1.12</v>
      </c>
      <c r="FJ62" t="n">
        <v>30</v>
      </c>
      <c r="FL62" t="inlineStr">
        <is>
          <t>shahed</t>
        </is>
      </c>
      <c r="FM62" t="n">
        <v>2.04</v>
      </c>
      <c r="FN62" t="inlineStr">
        <is>
          <t>Assets/MachineBrigade/Resources/Data/balance.json: vehicles[37]</t>
        </is>
      </c>
      <c r="FO62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63">
      <c r="A63" t="inlineStr">
        <is>
          <t>shield_carrier</t>
        </is>
      </c>
      <c r="B63" t="inlineStr">
        <is>
          <t>xe</t>
        </is>
      </c>
      <c r="C63" t="inlineStr">
        <is>
          <t>Shield carrier</t>
        </is>
      </c>
      <c r="D63" t="inlineStr">
        <is>
          <t>Xe phát khiên</t>
        </is>
      </c>
      <c r="E63" t="inlineStr">
        <is>
          <t>Phát khiên</t>
        </is>
      </c>
      <c r="F63" t="inlineStr">
        <is>
          <t>Support</t>
        </is>
      </c>
      <c r="G63" t="inlineStr">
        <is>
          <t>Light</t>
        </is>
      </c>
      <c r="H63" t="inlineStr"/>
      <c r="I63" t="n">
        <v>8</v>
      </c>
      <c r="J63" t="n">
        <v>559</v>
      </c>
      <c r="K63" t="n">
        <v>1229.8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8.5</v>
      </c>
      <c r="R63" t="n">
        <v>90</v>
      </c>
      <c r="S63" t="n">
        <v>200</v>
      </c>
      <c r="T63" t="n">
        <v>36</v>
      </c>
      <c r="U63" t="n">
        <v>2.3</v>
      </c>
      <c r="V63" t="n">
        <v>6.29</v>
      </c>
      <c r="W63" t="n">
        <v>2.46</v>
      </c>
      <c r="X63" t="b">
        <v>0</v>
      </c>
      <c r="Y63" t="n">
        <v>0</v>
      </c>
      <c r="Z63" t="b">
        <v>0</v>
      </c>
      <c r="AA63" t="b">
        <v>1</v>
      </c>
      <c r="AB63" t="n">
        <v>1</v>
      </c>
      <c r="AC63" t="n">
        <v>3.5</v>
      </c>
      <c r="AD63" t="n">
        <v>1.1429</v>
      </c>
      <c r="AE63" t="inlineStr">
        <is>
          <t>hmg_selfdef_15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shield_carrier</t>
        </is>
      </c>
      <c r="AL63" t="inlineStr">
        <is>
          <t>doi</t>
        </is>
      </c>
      <c r="AM63" t="n">
        <v>7</v>
      </c>
      <c r="AN63" t="n">
        <v>8</v>
      </c>
      <c r="AO63" t="n">
        <v>480</v>
      </c>
      <c r="AP63" t="n">
        <v>559</v>
      </c>
      <c r="BG63" t="n">
        <v>1</v>
      </c>
      <c r="BH63" t="n">
        <v>1.1429</v>
      </c>
      <c r="BI63" t="n">
        <v>8</v>
      </c>
      <c r="BJ63" t="n">
        <v>2</v>
      </c>
      <c r="BK63" t="inlineStr"/>
      <c r="BL63" t="inlineStr"/>
      <c r="BM63" t="inlineStr"/>
      <c r="BN63" t="inlineStr">
        <is>
          <t>Campaign; nhiệm vụ i2m01; mua sớm; 1500 xu</t>
        </is>
      </c>
      <c r="BS63" t="n">
        <v>1</v>
      </c>
      <c r="BZ63" t="n">
        <v>1</v>
      </c>
      <c r="CC63" t="inlineStr">
        <is>
          <t>Support</t>
        </is>
      </c>
      <c r="CF63" t="n">
        <v>8</v>
      </c>
      <c r="CH63" t="n">
        <v>90</v>
      </c>
      <c r="CI63" t="n">
        <v>0.35</v>
      </c>
      <c r="CJ63" t="n">
        <v>7</v>
      </c>
      <c r="CK63" t="inlineStr">
        <is>
          <t>Huge</t>
        </is>
      </c>
      <c r="CR63" t="n">
        <v>1000</v>
      </c>
      <c r="CS63" t="n">
        <v>12</v>
      </c>
      <c r="CT63" t="n">
        <v>20</v>
      </c>
      <c r="CZ63" t="b">
        <v>1</v>
      </c>
      <c r="DD63" t="n">
        <v>559</v>
      </c>
      <c r="DI63" t="n">
        <v>6.29</v>
      </c>
      <c r="EA63" t="n">
        <v>2.84</v>
      </c>
      <c r="EB63" t="n">
        <v>6.29</v>
      </c>
      <c r="EC63" t="n">
        <v>2.46</v>
      </c>
      <c r="EK63" t="n">
        <v>1.1429</v>
      </c>
      <c r="EL63" t="n">
        <v>2.3</v>
      </c>
      <c r="ER63" t="n">
        <v>1</v>
      </c>
      <c r="EZ63" t="n">
        <v>8.5</v>
      </c>
      <c r="FG63" t="n">
        <v>90</v>
      </c>
      <c r="FH63" t="n">
        <v>200</v>
      </c>
      <c r="FI63" t="n">
        <v>1</v>
      </c>
      <c r="FJ63" t="n">
        <v>36</v>
      </c>
      <c r="FL63" t="inlineStr">
        <is>
          <t>hmg_selfdef_15</t>
        </is>
      </c>
      <c r="FM63" t="n">
        <v>2.46</v>
      </c>
      <c r="FN63" t="inlineStr">
        <is>
          <t>Assets/MachineBrigade/Resources/Data/balance.json: vehicles[46]</t>
        </is>
      </c>
      <c r="FO63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64">
      <c r="A64" t="inlineStr">
        <is>
          <t>siege_tank</t>
        </is>
      </c>
      <c r="B64" t="inlineStr">
        <is>
          <t>xe</t>
        </is>
      </c>
      <c r="C64" t="inlineStr">
        <is>
          <t>Siege mortar</t>
        </is>
      </c>
      <c r="D64" t="inlineStr">
        <is>
          <t>Pháo cối công thành</t>
        </is>
      </c>
      <c r="E64" t="inlineStr">
        <is>
          <t>Công thành</t>
        </is>
      </c>
      <c r="F64" t="inlineStr">
        <is>
          <t>Artillery</t>
        </is>
      </c>
      <c r="G64" t="inlineStr">
        <is>
          <t>Artillery</t>
        </is>
      </c>
      <c r="H64" t="inlineStr"/>
      <c r="I64" t="n">
        <v>15</v>
      </c>
      <c r="J64" t="n">
        <v>1941</v>
      </c>
      <c r="K64" t="n">
        <v>4270.2</v>
      </c>
      <c r="L64" t="n">
        <v>2</v>
      </c>
      <c r="M64" t="n">
        <v>1</v>
      </c>
      <c r="N64" t="n">
        <v>1</v>
      </c>
      <c r="O64" t="n">
        <v>0</v>
      </c>
      <c r="P64" t="b">
        <v>0</v>
      </c>
      <c r="Q64" t="n">
        <v>5.5</v>
      </c>
      <c r="R64" t="n">
        <v>45</v>
      </c>
      <c r="S64" t="n">
        <v>40</v>
      </c>
      <c r="T64" t="n">
        <v>30</v>
      </c>
      <c r="U64" t="n">
        <v>2.7</v>
      </c>
      <c r="V64" t="n">
        <v>8.25</v>
      </c>
      <c r="W64" t="n">
        <v>3.34</v>
      </c>
      <c r="X64" t="b">
        <v>0</v>
      </c>
      <c r="Y64" t="n">
        <v>0</v>
      </c>
      <c r="Z64" t="b">
        <v>0</v>
      </c>
      <c r="AA64" t="b">
        <v>0</v>
      </c>
      <c r="AB64" t="n">
        <v>1</v>
      </c>
      <c r="AC64" t="n">
        <v>5</v>
      </c>
      <c r="AD64" t="n">
        <v>1.25</v>
      </c>
      <c r="AE64" t="inlineStr">
        <is>
          <t>siege_mortar_240</t>
        </is>
      </c>
      <c r="AF64" t="inlineStr">
        <is>
          <t>siege_gun_105;hmg_selfdef_21</t>
        </is>
      </c>
      <c r="AG64" t="inlineStr"/>
      <c r="AH64" t="inlineStr">
        <is>
          <t>none</t>
        </is>
      </c>
      <c r="AI64" t="inlineStr"/>
      <c r="AJ64" t="inlineStr"/>
      <c r="AK64" t="inlineStr">
        <is>
          <t>siege_tank</t>
        </is>
      </c>
      <c r="AL64" t="inlineStr">
        <is>
          <t>doi</t>
        </is>
      </c>
      <c r="AM64" t="n">
        <v>12</v>
      </c>
      <c r="AN64" t="n">
        <v>15</v>
      </c>
      <c r="AO64" t="n">
        <v>600</v>
      </c>
      <c r="AP64" t="n">
        <v>1941</v>
      </c>
      <c r="BG64" t="n">
        <v>1</v>
      </c>
      <c r="BH64" t="n">
        <v>1.25</v>
      </c>
      <c r="BI64" t="n">
        <v>15</v>
      </c>
      <c r="BJ64" t="n">
        <v>4</v>
      </c>
      <c r="BK64" t="inlineStr"/>
      <c r="BL64" t="inlineStr"/>
      <c r="BM64" t="inlineStr">
        <is>
          <t>bunker;fortify</t>
        </is>
      </c>
      <c r="BN64" t="inlineStr">
        <is>
          <t>Campaign; nhiệm vụ c7m04; mua sớm; 1500 xu</t>
        </is>
      </c>
      <c r="BT64" t="n">
        <v>2</v>
      </c>
      <c r="BU64" t="n">
        <v>1</v>
      </c>
      <c r="BV64" t="n">
        <v>1</v>
      </c>
      <c r="BW64" t="n">
        <v>0</v>
      </c>
      <c r="CC64" t="inlineStr">
        <is>
          <t>Artillery</t>
        </is>
      </c>
      <c r="CF64" t="n">
        <v>15</v>
      </c>
      <c r="CH64" t="n">
        <v>220</v>
      </c>
      <c r="CI64" t="n">
        <v>0.5</v>
      </c>
      <c r="CJ64" t="n">
        <v>11</v>
      </c>
      <c r="CK64" t="inlineStr">
        <is>
          <t>Ultimate</t>
        </is>
      </c>
      <c r="CL64" t="n">
        <v>180</v>
      </c>
      <c r="CM64" t="n">
        <v>0</v>
      </c>
      <c r="CN64" t="n">
        <v>1</v>
      </c>
      <c r="CO64" t="n">
        <v>2.5</v>
      </c>
      <c r="CP64" t="b">
        <v>1</v>
      </c>
      <c r="CQ64" t="n">
        <v>1</v>
      </c>
      <c r="CV64" t="n">
        <v>5</v>
      </c>
      <c r="CZ64" t="b">
        <v>0</v>
      </c>
      <c r="DD64" t="n">
        <v>1941</v>
      </c>
      <c r="DI64" t="n">
        <v>8.25</v>
      </c>
      <c r="EA64" t="n">
        <v>3.44</v>
      </c>
      <c r="EB64" t="n">
        <v>9.130000000000001</v>
      </c>
      <c r="EC64" t="n">
        <v>3.34</v>
      </c>
      <c r="EK64" t="n">
        <v>1.25</v>
      </c>
      <c r="EL64" t="n">
        <v>2.7</v>
      </c>
      <c r="ER64" t="n">
        <v>1</v>
      </c>
      <c r="EZ64" t="n">
        <v>5.5</v>
      </c>
      <c r="FE64" t="inlineStr">
        <is>
          <t>Defense;Heavy;Tank</t>
        </is>
      </c>
      <c r="FG64" t="n">
        <v>45</v>
      </c>
      <c r="FH64" t="n">
        <v>40</v>
      </c>
      <c r="FI64" t="n">
        <v>1.04</v>
      </c>
      <c r="FJ64" t="n">
        <v>30</v>
      </c>
      <c r="FL64" t="inlineStr">
        <is>
          <t>siege_mortar_240</t>
        </is>
      </c>
      <c r="FM64" t="n">
        <v>3.34</v>
      </c>
      <c r="FN64" t="inlineStr">
        <is>
          <t>Assets/MachineBrigade/Resources/Data/balance.json: vehicles[25]</t>
        </is>
      </c>
      <c r="FO64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65">
      <c r="A65" t="inlineStr">
        <is>
          <t>sky_gunship</t>
        </is>
      </c>
      <c r="B65" t="inlineStr">
        <is>
          <t>xe</t>
        </is>
      </c>
      <c r="C65" t="inlineStr">
        <is>
          <t>Airborne gunship</t>
        </is>
      </c>
      <c r="D65" t="inlineStr">
        <is>
          <t>Pháo hạm bay</t>
        </is>
      </c>
      <c r="E65" t="inlineStr">
        <is>
          <t>Pháo hạm</t>
        </is>
      </c>
      <c r="F65" t="inlineStr"/>
      <c r="G65" t="inlineStr"/>
      <c r="H65" t="inlineStr"/>
      <c r="I65" t="n">
        <v>29</v>
      </c>
      <c r="J65" t="n">
        <v>1400</v>
      </c>
      <c r="K65" t="n">
        <v>3080</v>
      </c>
      <c r="L65" t="n">
        <v>0</v>
      </c>
      <c r="M65" t="n">
        <v>0</v>
      </c>
      <c r="N65" t="n">
        <v>0</v>
      </c>
      <c r="O65" t="n">
        <v>0</v>
      </c>
      <c r="P65" t="b">
        <v>0</v>
      </c>
      <c r="Q65" t="n">
        <v>16</v>
      </c>
      <c r="R65" t="n">
        <v>65</v>
      </c>
      <c r="S65" t="n">
        <v>360</v>
      </c>
      <c r="T65" t="n">
        <v>64</v>
      </c>
      <c r="U65" t="n">
        <v>7.5</v>
      </c>
      <c r="V65" t="inlineStr"/>
      <c r="W65" t="inlineStr"/>
      <c r="X65" t="b">
        <v>1</v>
      </c>
      <c r="Y65" t="n">
        <v>26</v>
      </c>
      <c r="Z65" t="b">
        <v>0</v>
      </c>
      <c r="AA65" t="b">
        <v>1</v>
      </c>
      <c r="AB65" t="n">
        <v>0</v>
      </c>
      <c r="AC65" t="n">
        <v>5</v>
      </c>
      <c r="AD65" t="n">
        <v>1.5159</v>
      </c>
      <c r="AE65" t="inlineStr">
        <is>
          <t>gunship_105</t>
        </is>
      </c>
      <c r="AF65" t="inlineStr">
        <is>
          <t>gunship_40mm;gunship_25mm</t>
        </is>
      </c>
      <c r="AG65" t="inlineStr">
        <is>
          <t>bomber_flares</t>
        </is>
      </c>
      <c r="AH65" t="inlineStr">
        <is>
          <t>flare</t>
        </is>
      </c>
      <c r="AI65" t="n">
        <v>3</v>
      </c>
      <c r="AJ65" t="n">
        <v>11</v>
      </c>
      <c r="AK65" t="inlineStr">
        <is>
          <t>sky_gunship</t>
        </is>
      </c>
      <c r="AL65" t="inlineStr">
        <is>
          <t>doi</t>
        </is>
      </c>
      <c r="AM65" t="n">
        <v>22</v>
      </c>
      <c r="AN65" t="n">
        <v>29</v>
      </c>
      <c r="AO65" t="n">
        <v>1069</v>
      </c>
      <c r="AP65" t="n">
        <v>1400</v>
      </c>
      <c r="BG65" t="n">
        <v>1</v>
      </c>
      <c r="BH65" t="n">
        <v>1.5159</v>
      </c>
      <c r="BI65" t="n">
        <v>29</v>
      </c>
      <c r="BJ65" t="n">
        <v>4</v>
      </c>
      <c r="BK65" t="inlineStr"/>
      <c r="BL65" t="inlineStr"/>
      <c r="BM65" t="inlineStr"/>
      <c r="BN65" t="inlineStr">
        <is>
          <t>Campaign; nhiệm vụ c10m02; mua sớm; 2500 xu</t>
        </is>
      </c>
      <c r="BR65" t="n">
        <v>26</v>
      </c>
      <c r="BS65" t="n">
        <v>0</v>
      </c>
      <c r="BZ65" t="n">
        <v>0</v>
      </c>
      <c r="CF65" t="n">
        <v>29</v>
      </c>
      <c r="CH65" t="n">
        <v>220</v>
      </c>
      <c r="CI65" t="n">
        <v>0.6</v>
      </c>
      <c r="CJ65" t="n">
        <v>11</v>
      </c>
      <c r="CK65" t="inlineStr">
        <is>
          <t>Ultimate</t>
        </is>
      </c>
      <c r="CV65" t="n">
        <v>5</v>
      </c>
      <c r="CZ65" t="b">
        <v>1</v>
      </c>
      <c r="DA65" t="b">
        <v>1</v>
      </c>
      <c r="DB65" t="b">
        <v>1</v>
      </c>
      <c r="DD65" t="n">
        <v>1400</v>
      </c>
      <c r="DM65" t="inlineStr">
        <is>
          <t>Left</t>
        </is>
      </c>
      <c r="EA65" t="n">
        <v>4.82</v>
      </c>
      <c r="EB65" t="n">
        <v>11.93</v>
      </c>
      <c r="EC65" t="n">
        <v>16.3</v>
      </c>
      <c r="EI65" t="b">
        <v>1</v>
      </c>
      <c r="EJ65" t="n">
        <v>22</v>
      </c>
      <c r="EK65" t="n">
        <v>1.5159</v>
      </c>
      <c r="EL65" t="n">
        <v>7.5</v>
      </c>
      <c r="EO65" t="n">
        <v>18</v>
      </c>
      <c r="ER65" t="n">
        <v>1.1765</v>
      </c>
      <c r="EY65" t="inlineStr">
        <is>
          <t>bomber_flares</t>
        </is>
      </c>
      <c r="EZ65" t="n">
        <v>16</v>
      </c>
      <c r="FE65" t="inlineStr">
        <is>
          <t>Light;Tank;Artillery</t>
        </is>
      </c>
      <c r="FG65" t="n">
        <v>65</v>
      </c>
      <c r="FH65" t="n">
        <v>360</v>
      </c>
      <c r="FJ65" t="n">
        <v>64</v>
      </c>
      <c r="FL65" t="inlineStr">
        <is>
          <t>gunship_105</t>
        </is>
      </c>
      <c r="FN65" t="inlineStr">
        <is>
          <t>Assets/MachineBrigade/Resources/Data/balance.json: vehicles[23]</t>
        </is>
      </c>
      <c r="FO65" t="inlineStr">
        <is>
          <t>{"id":"sky_gunship","dropDelay":5,"outgoingDamageMult":1.5159,"flareCharges":3,"rearmTime":18,"strongVs":["Light","Tank","Artillery"],"scale":1.1765,"modelSize":[11.93,16.3,4.82],"armour":0,"hp":1400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66">
      <c r="A66" t="inlineStr">
        <is>
          <t>sp_mortar</t>
        </is>
      </c>
      <c r="B66" t="inlineStr">
        <is>
          <t>xe</t>
        </is>
      </c>
      <c r="C66" t="inlineStr">
        <is>
          <t>Turreted SP mortar</t>
        </is>
      </c>
      <c r="D66" t="inlineStr">
        <is>
          <t>Cối tự hành tháp kín</t>
        </is>
      </c>
      <c r="E66" t="inlineStr">
        <is>
          <t>Cối tháp kín</t>
        </is>
      </c>
      <c r="F66" t="inlineStr">
        <is>
          <t>Artillery</t>
        </is>
      </c>
      <c r="G66" t="inlineStr">
        <is>
          <t>Artillery</t>
        </is>
      </c>
      <c r="H66" t="inlineStr"/>
      <c r="I66" t="n">
        <v>6</v>
      </c>
      <c r="J66" t="n">
        <v>673</v>
      </c>
      <c r="K66" t="n">
        <v>1480.6</v>
      </c>
      <c r="L66" t="n">
        <v>2</v>
      </c>
      <c r="M66" t="n">
        <v>1</v>
      </c>
      <c r="N66" t="n">
        <v>0</v>
      </c>
      <c r="O66" t="n">
        <v>0</v>
      </c>
      <c r="P66" t="b">
        <v>0</v>
      </c>
      <c r="Q66" t="n">
        <v>8</v>
      </c>
      <c r="R66" t="n">
        <v>80</v>
      </c>
      <c r="S66" t="n">
        <v>60</v>
      </c>
      <c r="T66" t="n">
        <v>26</v>
      </c>
      <c r="U66" t="n">
        <v>2.1</v>
      </c>
      <c r="V66" t="n">
        <v>6.3</v>
      </c>
      <c r="W66" t="n">
        <v>2.3</v>
      </c>
      <c r="X66" t="b">
        <v>0</v>
      </c>
      <c r="Y66" t="n">
        <v>0</v>
      </c>
      <c r="Z66" t="b">
        <v>0</v>
      </c>
      <c r="AA66" t="b">
        <v>0</v>
      </c>
      <c r="AB66" t="n">
        <v>1</v>
      </c>
      <c r="AC66" t="n">
        <v>3.5</v>
      </c>
      <c r="AD66" t="n">
        <v>1.2</v>
      </c>
      <c r="AE66" t="inlineStr">
        <is>
          <t>amos_120</t>
        </is>
      </c>
      <c r="AF66" t="inlineStr">
        <is>
          <t>hmg_selfdef_18</t>
        </is>
      </c>
      <c r="AG66" t="inlineStr"/>
      <c r="AH66" t="inlineStr">
        <is>
          <t>none</t>
        </is>
      </c>
      <c r="AI66" t="inlineStr"/>
      <c r="AJ66" t="inlineStr"/>
      <c r="AK66" t="inlineStr">
        <is>
          <t>sp_mortar</t>
        </is>
      </c>
      <c r="AL66" t="inlineStr">
        <is>
          <t>doi</t>
        </is>
      </c>
      <c r="AM66" t="n">
        <v>5</v>
      </c>
      <c r="AN66" t="n">
        <v>6</v>
      </c>
      <c r="AO66" t="n">
        <v>545</v>
      </c>
      <c r="AP66" t="n">
        <v>673</v>
      </c>
      <c r="BG66" t="n">
        <v>1</v>
      </c>
      <c r="BH66" t="n">
        <v>1.2</v>
      </c>
      <c r="BI66" t="n">
        <v>6</v>
      </c>
      <c r="BJ66" t="n">
        <v>2</v>
      </c>
      <c r="BK66" t="inlineStr"/>
      <c r="BL66" t="inlineStr"/>
      <c r="BM66" t="inlineStr">
        <is>
          <t>artillery</t>
        </is>
      </c>
      <c r="BN66" t="inlineStr">
        <is>
          <t>Premium; 1500 xu</t>
        </is>
      </c>
      <c r="BS66" t="n">
        <v>2</v>
      </c>
      <c r="CC66" t="inlineStr">
        <is>
          <t>Artillery</t>
        </is>
      </c>
      <c r="CF66" t="n">
        <v>6</v>
      </c>
      <c r="CH66" t="n">
        <v>70</v>
      </c>
      <c r="CI66" t="n">
        <v>0.25</v>
      </c>
      <c r="CJ66" t="n">
        <v>8</v>
      </c>
      <c r="CK66" t="inlineStr">
        <is>
          <t>Large</t>
        </is>
      </c>
      <c r="CZ66" t="b">
        <v>0</v>
      </c>
      <c r="DD66" t="n">
        <v>673</v>
      </c>
      <c r="DI66" t="n">
        <v>6.3</v>
      </c>
      <c r="EA66" t="n">
        <v>2.5</v>
      </c>
      <c r="EB66" t="n">
        <v>6.3</v>
      </c>
      <c r="EC66" t="n">
        <v>2.3</v>
      </c>
      <c r="EK66" t="n">
        <v>1.2</v>
      </c>
      <c r="EL66" t="n">
        <v>2.1</v>
      </c>
      <c r="EZ66" t="n">
        <v>8</v>
      </c>
      <c r="FG66" t="n">
        <v>80</v>
      </c>
      <c r="FH66" t="n">
        <v>60</v>
      </c>
      <c r="FJ66" t="n">
        <v>26</v>
      </c>
      <c r="FL66" t="inlineStr">
        <is>
          <t>amos_120</t>
        </is>
      </c>
      <c r="FM66" t="n">
        <v>2.3</v>
      </c>
      <c r="FN66" t="inlineStr">
        <is>
          <t>Assets/MachineBrigade/Resources/Data/balance.json: vehicles[114]</t>
        </is>
      </c>
      <c r="FO66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67">
      <c r="A67" t="inlineStr">
        <is>
          <t>stealth_bomber</t>
        </is>
      </c>
      <c r="B67" t="inlineStr">
        <is>
          <t>xe</t>
        </is>
      </c>
      <c r="C67" t="inlineStr">
        <is>
          <t>Stealth bomber</t>
        </is>
      </c>
      <c r="D67" t="inlineStr">
        <is>
          <t>Oanh tạc cơ tàng hình</t>
        </is>
      </c>
      <c r="E67" t="inlineStr">
        <is>
          <t>OTC tàng hình</t>
        </is>
      </c>
      <c r="F67" t="inlineStr"/>
      <c r="G67" t="inlineStr"/>
      <c r="H67" t="inlineStr"/>
      <c r="I67" t="n">
        <v>27</v>
      </c>
      <c r="J67" t="n">
        <v>1200</v>
      </c>
      <c r="K67" t="n">
        <v>2640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28</v>
      </c>
      <c r="R67" t="n">
        <v>86</v>
      </c>
      <c r="S67" t="n">
        <v>360</v>
      </c>
      <c r="T67" t="n">
        <v>60</v>
      </c>
      <c r="U67" t="n">
        <v>5</v>
      </c>
      <c r="V67" t="inlineStr"/>
      <c r="W67" t="inlineStr"/>
      <c r="X67" t="b">
        <v>1</v>
      </c>
      <c r="Y67" t="n">
        <v>46</v>
      </c>
      <c r="Z67" t="b">
        <v>0</v>
      </c>
      <c r="AA67" t="b">
        <v>1</v>
      </c>
      <c r="AB67" t="n">
        <v>0</v>
      </c>
      <c r="AC67" t="n">
        <v>5</v>
      </c>
      <c r="AD67" t="n">
        <v>1.2857</v>
      </c>
      <c r="AE67" t="inlineStr">
        <is>
          <t>stealth_payload</t>
        </is>
      </c>
      <c r="AF67" t="inlineStr">
        <is>
          <t>jassm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stealth_bomber</t>
        </is>
      </c>
      <c r="AL67" t="inlineStr">
        <is>
          <t>doi</t>
        </is>
      </c>
      <c r="AM67" t="n">
        <v>21</v>
      </c>
      <c r="AN67" t="n">
        <v>27</v>
      </c>
      <c r="AO67" t="n">
        <v>900</v>
      </c>
      <c r="AP67" t="n">
        <v>1200</v>
      </c>
      <c r="BG67" t="n">
        <v>1</v>
      </c>
      <c r="BH67" t="n">
        <v>1.2857</v>
      </c>
      <c r="BI67" t="n">
        <v>27</v>
      </c>
      <c r="BJ67" t="n">
        <v>4</v>
      </c>
      <c r="BK67" t="inlineStr"/>
      <c r="BL67" t="inlineStr"/>
      <c r="BM67" t="inlineStr"/>
      <c r="BN67" t="inlineStr">
        <is>
          <t>Campaign; nhiệm vụ c10m01; mua sớm; 2500 xu</t>
        </is>
      </c>
      <c r="BR67" t="n">
        <v>46</v>
      </c>
      <c r="BS67" t="n">
        <v>0</v>
      </c>
      <c r="BZ67" t="n">
        <v>0</v>
      </c>
      <c r="CF67" t="n">
        <v>27</v>
      </c>
      <c r="CH67" t="n">
        <v>150</v>
      </c>
      <c r="CI67" t="n">
        <v>0.6</v>
      </c>
      <c r="CJ67" t="n">
        <v>9</v>
      </c>
      <c r="CK67" t="inlineStr">
        <is>
          <t>Huge</t>
        </is>
      </c>
      <c r="CV67" t="n">
        <v>5</v>
      </c>
      <c r="CZ67" t="b">
        <v>1</v>
      </c>
      <c r="DA67" t="b">
        <v>1</v>
      </c>
      <c r="DB67" t="b">
        <v>1</v>
      </c>
      <c r="DD67" t="n">
        <v>1200</v>
      </c>
      <c r="DN67" t="inlineStr">
        <is>
          <t>missile</t>
        </is>
      </c>
      <c r="EA67" t="n">
        <v>1.5</v>
      </c>
      <c r="EB67" t="n">
        <v>8.4</v>
      </c>
      <c r="EC67" t="n">
        <v>21</v>
      </c>
      <c r="EK67" t="n">
        <v>1.2857</v>
      </c>
      <c r="EL67" t="n">
        <v>5</v>
      </c>
      <c r="EO67" t="n">
        <v>16</v>
      </c>
      <c r="ER67" t="n">
        <v>1</v>
      </c>
      <c r="EY67" t="inlineStr"/>
      <c r="EZ67" t="n">
        <v>28</v>
      </c>
      <c r="FB67" t="b">
        <v>1</v>
      </c>
      <c r="FE67" t="inlineStr">
        <is>
          <t>Defense;Heavy;Artillery</t>
        </is>
      </c>
      <c r="FG67" t="n">
        <v>86</v>
      </c>
      <c r="FH67" t="n">
        <v>360</v>
      </c>
      <c r="FI67" t="n">
        <v>1</v>
      </c>
      <c r="FJ67" t="n">
        <v>60</v>
      </c>
      <c r="FL67" t="inlineStr">
        <is>
          <t>stealth_payload</t>
        </is>
      </c>
      <c r="FN67" t="inlineStr">
        <is>
          <t>Assets/MachineBrigade/Resources/Data/balance.json: vehicles[22]</t>
        </is>
      </c>
      <c r="FO67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68">
      <c r="A68" t="inlineStr">
        <is>
          <t>stealth_fighter</t>
        </is>
      </c>
      <c r="B68" t="inlineStr">
        <is>
          <t>xe</t>
        </is>
      </c>
      <c r="C68" t="inlineStr">
        <is>
          <t>Stealth fighter</t>
        </is>
      </c>
      <c r="D68" t="inlineStr">
        <is>
          <t>Tiêm kích tàng hình</t>
        </is>
      </c>
      <c r="E68" t="inlineStr">
        <is>
          <t>TK tàng hình</t>
        </is>
      </c>
      <c r="F68" t="inlineStr"/>
      <c r="G68" t="inlineStr"/>
      <c r="H68" t="inlineStr"/>
      <c r="I68" t="n">
        <v>16</v>
      </c>
      <c r="J68" t="n">
        <v>600</v>
      </c>
      <c r="K68" t="n">
        <v>1320</v>
      </c>
      <c r="L68" t="n">
        <v>0</v>
      </c>
      <c r="M68" t="n">
        <v>0</v>
      </c>
      <c r="N68" t="n">
        <v>0</v>
      </c>
      <c r="O68" t="n">
        <v>0</v>
      </c>
      <c r="P68" t="b">
        <v>0</v>
      </c>
      <c r="Q68" t="n">
        <v>44</v>
      </c>
      <c r="R68" t="n">
        <v>125</v>
      </c>
      <c r="S68" t="n">
        <v>360</v>
      </c>
      <c r="T68" t="n">
        <v>76</v>
      </c>
      <c r="U68" t="n">
        <v>3.4</v>
      </c>
      <c r="V68" t="inlineStr"/>
      <c r="W68" t="inlineStr"/>
      <c r="X68" t="b">
        <v>1</v>
      </c>
      <c r="Y68" t="n">
        <v>36</v>
      </c>
      <c r="Z68" t="b">
        <v>0</v>
      </c>
      <c r="AA68" t="b">
        <v>1</v>
      </c>
      <c r="AB68" t="n">
        <v>0</v>
      </c>
      <c r="AC68" t="n">
        <v>5</v>
      </c>
      <c r="AD68" t="n">
        <v>1.3538</v>
      </c>
      <c r="AE68" t="inlineStr">
        <is>
          <t>air_to_air</t>
        </is>
      </c>
      <c r="AF68" t="inlineStr">
        <is>
          <t>guided_bomb;fighter_cannon</t>
        </is>
      </c>
      <c r="AG68" t="inlineStr">
        <is>
          <t>jet_flares</t>
        </is>
      </c>
      <c r="AH68" t="inlineStr">
        <is>
          <t>flare</t>
        </is>
      </c>
      <c r="AI68" t="n">
        <v>2</v>
      </c>
      <c r="AJ68" t="n">
        <v>16</v>
      </c>
      <c r="AK68" t="inlineStr">
        <is>
          <t>stealth_fighter</t>
        </is>
      </c>
      <c r="AL68" t="inlineStr">
        <is>
          <t>doi</t>
        </is>
      </c>
      <c r="AM68" t="n">
        <v>13</v>
      </c>
      <c r="AN68" t="n">
        <v>16</v>
      </c>
      <c r="AO68" t="n">
        <v>480</v>
      </c>
      <c r="AP68" t="n">
        <v>600</v>
      </c>
      <c r="BG68" t="n">
        <v>1</v>
      </c>
      <c r="BH68" t="n">
        <v>1.3538</v>
      </c>
      <c r="BI68" t="n">
        <v>16</v>
      </c>
      <c r="BJ68" t="n">
        <v>4</v>
      </c>
      <c r="BK68" t="inlineStr"/>
      <c r="BL68" t="inlineStr"/>
      <c r="BM68" t="inlineStr"/>
      <c r="BN68" t="inlineStr">
        <is>
          <t>Campaign; nhiệm vụ c7m16; mua sớm; 1500 xu</t>
        </is>
      </c>
      <c r="BR68" t="n">
        <v>36</v>
      </c>
      <c r="BS68" t="n">
        <v>0</v>
      </c>
      <c r="BX68" t="n">
        <v>4</v>
      </c>
      <c r="BZ68" t="n">
        <v>0</v>
      </c>
      <c r="CB68" t="inlineStr">
        <is>
          <t>high</t>
        </is>
      </c>
      <c r="CF68" t="n">
        <v>16</v>
      </c>
      <c r="CH68" t="n">
        <v>80</v>
      </c>
      <c r="CI68" t="n">
        <v>0.6</v>
      </c>
      <c r="CJ68" t="n">
        <v>5</v>
      </c>
      <c r="CK68" t="inlineStr">
        <is>
          <t>Huge</t>
        </is>
      </c>
      <c r="CV68" t="n">
        <v>5</v>
      </c>
      <c r="CZ68" t="b">
        <v>1</v>
      </c>
      <c r="DA68" t="b">
        <v>1</v>
      </c>
      <c r="DB68" t="b">
        <v>1</v>
      </c>
      <c r="DD68" t="n">
        <v>600</v>
      </c>
      <c r="DF68" t="b">
        <v>1</v>
      </c>
      <c r="DJ68" t="n">
        <v>5</v>
      </c>
      <c r="DN68" t="inlineStr">
        <is>
          <t>missile</t>
        </is>
      </c>
      <c r="EA68" t="n">
        <v>1.28</v>
      </c>
      <c r="EB68" t="n">
        <v>7.6</v>
      </c>
      <c r="EC68" t="n">
        <v>5.5</v>
      </c>
      <c r="EK68" t="n">
        <v>1.3538</v>
      </c>
      <c r="EL68" t="n">
        <v>3.4</v>
      </c>
      <c r="EO68" t="n">
        <v>11</v>
      </c>
      <c r="ER68" t="n">
        <v>1</v>
      </c>
      <c r="EV68" t="b">
        <v>1</v>
      </c>
      <c r="EY68" t="inlineStr">
        <is>
          <t>jet_flares</t>
        </is>
      </c>
      <c r="EZ68" t="n">
        <v>44</v>
      </c>
      <c r="FB68" t="b">
        <v>1</v>
      </c>
      <c r="FE68" t="inlineStr">
        <is>
          <t>Plane;Helicopter;AntiAir</t>
        </is>
      </c>
      <c r="FG68" t="n">
        <v>125</v>
      </c>
      <c r="FH68" t="n">
        <v>360</v>
      </c>
      <c r="FI68" t="n">
        <v>0.88</v>
      </c>
      <c r="FJ68" t="n">
        <v>76</v>
      </c>
      <c r="FL68" t="inlineStr">
        <is>
          <t>air_to_air</t>
        </is>
      </c>
      <c r="FN68" t="inlineStr">
        <is>
          <t>Assets/MachineBrigade/Resources/Data/balance.json: vehicles[44]</t>
        </is>
      </c>
      <c r="FO68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69">
      <c r="A69" t="inlineStr">
        <is>
          <t>stealth_naval_strike</t>
        </is>
      </c>
      <c r="B69" t="inlineStr">
        <is>
          <t>xe</t>
        </is>
      </c>
      <c r="C69" t="inlineStr">
        <is>
          <t>Stealth carrier strike jet</t>
        </is>
      </c>
      <c r="D69" t="inlineStr">
        <is>
          <t>Cường kích tàng hình trên hạm</t>
        </is>
      </c>
      <c r="E69" t="inlineStr">
        <is>
          <t>Tàng hình hạm</t>
        </is>
      </c>
      <c r="F69" t="inlineStr"/>
      <c r="G69" t="inlineStr"/>
      <c r="H69" t="inlineStr"/>
      <c r="I69" t="n">
        <v>22</v>
      </c>
      <c r="J69" t="n">
        <v>750</v>
      </c>
      <c r="K69" t="n">
        <v>1650</v>
      </c>
      <c r="L69" t="n">
        <v>0</v>
      </c>
      <c r="M69" t="n">
        <v>0</v>
      </c>
      <c r="N69" t="n">
        <v>0</v>
      </c>
      <c r="O69" t="n">
        <v>0</v>
      </c>
      <c r="P69" t="b">
        <v>0</v>
      </c>
      <c r="Q69" t="n">
        <v>30</v>
      </c>
      <c r="R69" t="n">
        <v>86</v>
      </c>
      <c r="S69" t="n">
        <v>360</v>
      </c>
      <c r="T69" t="n">
        <v>50</v>
      </c>
      <c r="U69" t="n">
        <v>5</v>
      </c>
      <c r="V69" t="inlineStr"/>
      <c r="W69" t="inlineStr"/>
      <c r="X69" t="b">
        <v>1</v>
      </c>
      <c r="Y69" t="n">
        <v>46</v>
      </c>
      <c r="Z69" t="b">
        <v>0</v>
      </c>
      <c r="AA69" t="b">
        <v>1</v>
      </c>
      <c r="AB69" t="n">
        <v>0</v>
      </c>
      <c r="AC69" t="n">
        <v>5</v>
      </c>
      <c r="AD69" t="n">
        <v>1.4882</v>
      </c>
      <c r="AE69" t="inlineStr">
        <is>
          <t>none</t>
        </is>
      </c>
      <c r="AF69" t="inlineStr">
        <is>
          <t>jet_bombs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stealth_naval_strike</t>
        </is>
      </c>
      <c r="AL69" t="inlineStr">
        <is>
          <t>doi</t>
        </is>
      </c>
      <c r="AM69" t="n">
        <v>17</v>
      </c>
      <c r="AN69" t="n">
        <v>22</v>
      </c>
      <c r="AO69" t="n">
        <v>682</v>
      </c>
      <c r="AP69" t="n">
        <v>750</v>
      </c>
      <c r="BG69" t="n">
        <v>1</v>
      </c>
      <c r="BH69" t="n">
        <v>1.4882</v>
      </c>
      <c r="BI69" t="n">
        <v>22</v>
      </c>
      <c r="BJ69" t="n">
        <v>4</v>
      </c>
      <c r="BK69" t="inlineStr"/>
      <c r="BL69" t="inlineStr"/>
      <c r="BM69" t="inlineStr"/>
      <c r="BN69" t="inlineStr">
        <is>
          <t>Premium; 5000 xu</t>
        </is>
      </c>
      <c r="BR69" t="n">
        <v>46</v>
      </c>
      <c r="BS69" t="n">
        <v>0</v>
      </c>
      <c r="BZ69" t="n">
        <v>0</v>
      </c>
      <c r="CF69" t="n">
        <v>22</v>
      </c>
      <c r="CH69" t="n">
        <v>120</v>
      </c>
      <c r="CI69" t="n">
        <v>0.5</v>
      </c>
      <c r="CJ69" t="n">
        <v>8</v>
      </c>
      <c r="CK69" t="inlineStr">
        <is>
          <t>Huge</t>
        </is>
      </c>
      <c r="CV69" t="n">
        <v>5</v>
      </c>
      <c r="CZ69" t="b">
        <v>1</v>
      </c>
      <c r="DA69" t="b">
        <v>1</v>
      </c>
      <c r="DB69" t="b">
        <v>1</v>
      </c>
      <c r="DD69" t="n">
        <v>750</v>
      </c>
      <c r="DN69" t="inlineStr">
        <is>
          <t>missile</t>
        </is>
      </c>
      <c r="DZ69" t="inlineStr">
        <is>
          <t>stealth_naval_strike</t>
        </is>
      </c>
      <c r="EA69" t="n">
        <v>1.5</v>
      </c>
      <c r="EB69" t="n">
        <v>8.4</v>
      </c>
      <c r="EC69" t="n">
        <v>21</v>
      </c>
      <c r="EK69" t="n">
        <v>1.4882</v>
      </c>
      <c r="EL69" t="n">
        <v>5</v>
      </c>
      <c r="EO69" t="n">
        <v>16</v>
      </c>
      <c r="EZ69" t="n">
        <v>30</v>
      </c>
      <c r="FB69" t="b">
        <v>1</v>
      </c>
      <c r="FE69" t="inlineStr">
        <is>
          <t>Defense;Heavy</t>
        </is>
      </c>
      <c r="FG69" t="n">
        <v>86</v>
      </c>
      <c r="FH69" t="n">
        <v>360</v>
      </c>
      <c r="FI69" t="n">
        <v>1</v>
      </c>
      <c r="FJ69" t="n">
        <v>50</v>
      </c>
      <c r="FL69" t="inlineStr">
        <is>
          <t>none</t>
        </is>
      </c>
      <c r="FN69" t="inlineStr">
        <is>
          <t>Assets/MachineBrigade/Resources/Data/balance.json: vehicles[126]</t>
        </is>
      </c>
      <c r="FO69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70">
      <c r="A70" t="inlineStr">
        <is>
          <t>strike_drone</t>
        </is>
      </c>
      <c r="B70" t="inlineStr">
        <is>
          <t>xe</t>
        </is>
      </c>
      <c r="C70" t="inlineStr">
        <is>
          <t>Strike UAV</t>
        </is>
      </c>
      <c r="D70" t="inlineStr">
        <is>
          <t>UAV tấn công</t>
        </is>
      </c>
      <c r="E70" t="inlineStr">
        <is>
          <t>UAV tấn công</t>
        </is>
      </c>
      <c r="F70" t="inlineStr"/>
      <c r="G70" t="inlineStr"/>
      <c r="H70" t="inlineStr"/>
      <c r="I70" t="n">
        <v>11</v>
      </c>
      <c r="J70" t="n">
        <v>400</v>
      </c>
      <c r="K70" t="n">
        <v>880</v>
      </c>
      <c r="L70" t="n">
        <v>0</v>
      </c>
      <c r="M70" t="n">
        <v>0</v>
      </c>
      <c r="N70" t="n">
        <v>0</v>
      </c>
      <c r="O70" t="n">
        <v>0</v>
      </c>
      <c r="P70" t="b">
        <v>0</v>
      </c>
      <c r="Q70" t="n">
        <v>13.9</v>
      </c>
      <c r="R70" t="n">
        <v>81</v>
      </c>
      <c r="S70" t="n">
        <v>360</v>
      </c>
      <c r="T70" t="n">
        <v>62</v>
      </c>
      <c r="U70" t="n">
        <v>2.8</v>
      </c>
      <c r="V70" t="inlineStr"/>
      <c r="W70" t="inlineStr"/>
      <c r="X70" t="b">
        <v>1</v>
      </c>
      <c r="Y70" t="n">
        <v>30</v>
      </c>
      <c r="Z70" t="b">
        <v>0</v>
      </c>
      <c r="AA70" t="b">
        <v>1</v>
      </c>
      <c r="AB70" t="n">
        <v>0</v>
      </c>
      <c r="AC70" t="n">
        <v>3.5</v>
      </c>
      <c r="AD70" t="n">
        <v>1.2681</v>
      </c>
      <c r="AE70" t="inlineStr">
        <is>
          <t>drone_missile</t>
        </is>
      </c>
      <c r="AF70" t="inlineStr">
        <is>
          <t>guided_bomb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strike_drone</t>
        </is>
      </c>
      <c r="AL70" t="inlineStr">
        <is>
          <t>doi</t>
        </is>
      </c>
      <c r="AM70" t="n">
        <v>9</v>
      </c>
      <c r="AN70" t="n">
        <v>11</v>
      </c>
      <c r="AO70" t="n">
        <v>480</v>
      </c>
      <c r="AP70" t="n">
        <v>400</v>
      </c>
      <c r="BG70" t="n">
        <v>1</v>
      </c>
      <c r="BH70" t="n">
        <v>1.2681</v>
      </c>
      <c r="BI70" t="n">
        <v>11</v>
      </c>
      <c r="BJ70" t="n">
        <v>3</v>
      </c>
      <c r="BK70" t="inlineStr"/>
      <c r="BL70" t="inlineStr"/>
      <c r="BM70" t="inlineStr"/>
      <c r="BN70" t="inlineStr">
        <is>
          <t>Campaign; nhiệm vụ c5m01; mua sớm; 800 xu</t>
        </is>
      </c>
      <c r="BR70" t="n">
        <v>30</v>
      </c>
      <c r="BS70" t="n">
        <v>0</v>
      </c>
      <c r="BX70" t="n">
        <v>3.5</v>
      </c>
      <c r="BZ70" t="n">
        <v>0</v>
      </c>
      <c r="CF70" t="n">
        <v>11</v>
      </c>
      <c r="CH70" t="n">
        <v>50</v>
      </c>
      <c r="CI70" t="n">
        <v>0.5</v>
      </c>
      <c r="CJ70" t="n">
        <v>5</v>
      </c>
      <c r="CK70" t="inlineStr">
        <is>
          <t>Large</t>
        </is>
      </c>
      <c r="CU70" t="b">
        <v>1</v>
      </c>
      <c r="CZ70" t="b">
        <v>1</v>
      </c>
      <c r="DA70" t="b">
        <v>1</v>
      </c>
      <c r="DB70" t="b">
        <v>1</v>
      </c>
      <c r="DD70" t="n">
        <v>400</v>
      </c>
      <c r="DN70" t="inlineStr">
        <is>
          <t>missile</t>
        </is>
      </c>
      <c r="EA70" t="n">
        <v>1.24</v>
      </c>
      <c r="EB70" t="n">
        <v>4.25</v>
      </c>
      <c r="EC70" t="n">
        <v>8.039999999999999</v>
      </c>
      <c r="EK70" t="n">
        <v>1.2681</v>
      </c>
      <c r="EL70" t="n">
        <v>2.8</v>
      </c>
      <c r="EO70" t="n">
        <v>8.5</v>
      </c>
      <c r="ER70" t="n">
        <v>1</v>
      </c>
      <c r="EZ70" t="n">
        <v>13.9</v>
      </c>
      <c r="FE70" t="inlineStr">
        <is>
          <t>Tank;Heavy;Artillery</t>
        </is>
      </c>
      <c r="FG70" t="n">
        <v>81</v>
      </c>
      <c r="FH70" t="n">
        <v>360</v>
      </c>
      <c r="FI70" t="n">
        <v>0.8100000000000001</v>
      </c>
      <c r="FJ70" t="n">
        <v>62</v>
      </c>
      <c r="FL70" t="inlineStr">
        <is>
          <t>drone_missile</t>
        </is>
      </c>
      <c r="FN70" t="inlineStr">
        <is>
          <t>Assets/MachineBrigade/Resources/Data/balance.json: vehicles[16]</t>
        </is>
      </c>
      <c r="FO70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71">
      <c r="A71" t="inlineStr">
        <is>
          <t>supply_truck</t>
        </is>
      </c>
      <c r="B71" t="inlineStr">
        <is>
          <t>xe</t>
        </is>
      </c>
      <c r="C71" t="inlineStr">
        <is>
          <t>Supply truck</t>
        </is>
      </c>
      <c r="D71" t="inlineStr">
        <is>
          <t>Xe tải tiếp tế</t>
        </is>
      </c>
      <c r="E71" t="inlineStr">
        <is>
          <t>Tiếp tế</t>
        </is>
      </c>
      <c r="F71" t="inlineStr">
        <is>
          <t>Support</t>
        </is>
      </c>
      <c r="G71" t="inlineStr">
        <is>
          <t>Light</t>
        </is>
      </c>
      <c r="H71" t="inlineStr"/>
      <c r="I71" t="n">
        <v>0</v>
      </c>
      <c r="J71" t="n">
        <v>700</v>
      </c>
      <c r="K71" t="n">
        <v>1540</v>
      </c>
      <c r="L71" t="n">
        <v>0</v>
      </c>
      <c r="M71" t="n">
        <v>0</v>
      </c>
      <c r="N71" t="n">
        <v>0</v>
      </c>
      <c r="O71" t="n">
        <v>0</v>
      </c>
      <c r="P71" t="b">
        <v>0</v>
      </c>
      <c r="Q71" t="n">
        <v>6</v>
      </c>
      <c r="R71" t="n">
        <v>90</v>
      </c>
      <c r="S71" t="n">
        <v>180</v>
      </c>
      <c r="T71" t="n">
        <v>26</v>
      </c>
      <c r="U71" t="n">
        <v>1.9</v>
      </c>
      <c r="V71" t="n">
        <v>8.369999999999999</v>
      </c>
      <c r="W71" t="n">
        <v>2.02</v>
      </c>
      <c r="X71" t="b">
        <v>0</v>
      </c>
      <c r="Y71" t="n">
        <v>0</v>
      </c>
      <c r="Z71" t="b">
        <v>0</v>
      </c>
      <c r="AA71" t="b">
        <v>1</v>
      </c>
      <c r="AB71" t="n">
        <v>0</v>
      </c>
      <c r="AC71" t="n">
        <v>3.5</v>
      </c>
      <c r="AD71" t="n">
        <v>1</v>
      </c>
      <c r="AE71" t="inlineStr">
        <is>
          <t>mg_jeep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supply_truck</t>
        </is>
      </c>
      <c r="AL71" t="inlineStr">
        <is>
          <t>giong</t>
        </is>
      </c>
      <c r="BI71" t="n">
        <v>0</v>
      </c>
      <c r="BJ71" t="n">
        <v>1</v>
      </c>
      <c r="BK71" t="inlineStr"/>
      <c r="BL71" t="inlineStr"/>
      <c r="BM71" t="inlineStr"/>
      <c r="BN71" t="inlineStr">
        <is>
          <t>Campaign; mua sớm; 300 xu</t>
        </is>
      </c>
      <c r="BS71" t="n">
        <v>0</v>
      </c>
      <c r="BZ71" t="n">
        <v>0</v>
      </c>
      <c r="CC71" t="inlineStr">
        <is>
          <t>Support</t>
        </is>
      </c>
      <c r="CF71" t="n">
        <v>0</v>
      </c>
      <c r="CH71" t="n">
        <v>60</v>
      </c>
      <c r="CI71" t="n">
        <v>0.4</v>
      </c>
      <c r="CJ71" t="n">
        <v>6</v>
      </c>
      <c r="CK71" t="inlineStr">
        <is>
          <t>Huge</t>
        </is>
      </c>
      <c r="CZ71" t="b">
        <v>1</v>
      </c>
      <c r="DD71" t="n">
        <v>700</v>
      </c>
      <c r="DI71" t="n">
        <v>8.369999999999999</v>
      </c>
      <c r="EA71" t="n">
        <v>2.42</v>
      </c>
      <c r="EB71" t="n">
        <v>8.369999999999999</v>
      </c>
      <c r="EC71" t="n">
        <v>2.02</v>
      </c>
      <c r="EL71" t="n">
        <v>1.9</v>
      </c>
      <c r="ER71" t="n">
        <v>1</v>
      </c>
      <c r="EZ71" t="n">
        <v>6</v>
      </c>
      <c r="FG71" t="n">
        <v>90</v>
      </c>
      <c r="FH71" t="n">
        <v>180</v>
      </c>
      <c r="FJ71" t="n">
        <v>26</v>
      </c>
      <c r="FL71" t="inlineStr">
        <is>
          <t>mg_jeep</t>
        </is>
      </c>
      <c r="FM71" t="n">
        <v>2.02</v>
      </c>
      <c r="FN71" t="inlineStr">
        <is>
          <t>Assets/MachineBrigade/Resources/Data/balance.json: vehicles[137]</t>
        </is>
      </c>
      <c r="FO71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72">
      <c r="A72" t="inlineStr">
        <is>
          <t>swarm_carrier</t>
        </is>
      </c>
      <c r="B72" t="inlineStr">
        <is>
          <t>xe</t>
        </is>
      </c>
      <c r="C72" t="inlineStr">
        <is>
          <t>Drone mothership aircraft</t>
        </is>
      </c>
      <c r="D72" t="inlineStr">
        <is>
          <t>Máy bay mẹ thả drone</t>
        </is>
      </c>
      <c r="E72" t="inlineStr">
        <is>
          <t>Máy bay mẹ</t>
        </is>
      </c>
      <c r="F72" t="inlineStr"/>
      <c r="G72" t="inlineStr"/>
      <c r="H72" t="inlineStr"/>
      <c r="I72" t="n">
        <v>16</v>
      </c>
      <c r="J72" t="n">
        <v>1091</v>
      </c>
      <c r="K72" t="n">
        <v>2400.2</v>
      </c>
      <c r="L72" t="n">
        <v>1</v>
      </c>
      <c r="M72" t="n">
        <v>1</v>
      </c>
      <c r="N72" t="n">
        <v>1</v>
      </c>
      <c r="O72" t="n">
        <v>1</v>
      </c>
      <c r="P72" t="b">
        <v>0</v>
      </c>
      <c r="Q72" t="n">
        <v>18</v>
      </c>
      <c r="R72" t="n">
        <v>60</v>
      </c>
      <c r="S72" t="n">
        <v>360</v>
      </c>
      <c r="T72" t="n">
        <v>56</v>
      </c>
      <c r="U72" t="n">
        <v>7</v>
      </c>
      <c r="V72" t="inlineStr"/>
      <c r="W72" t="inlineStr"/>
      <c r="X72" t="b">
        <v>1</v>
      </c>
      <c r="Y72" t="n">
        <v>44</v>
      </c>
      <c r="Z72" t="b">
        <v>0</v>
      </c>
      <c r="AA72" t="b">
        <v>1</v>
      </c>
      <c r="AB72" t="n">
        <v>0</v>
      </c>
      <c r="AC72" t="n">
        <v>5</v>
      </c>
      <c r="AD72" t="n">
        <v>1.2308</v>
      </c>
      <c r="AE72" t="inlineStr">
        <is>
          <t>swarm_drones</t>
        </is>
      </c>
      <c r="AF72" t="inlineStr">
        <is>
          <t>jassm</t>
        </is>
      </c>
      <c r="AG72" t="inlineStr">
        <is>
          <t>bomber_flares</t>
        </is>
      </c>
      <c r="AH72" t="inlineStr">
        <is>
          <t>flare</t>
        </is>
      </c>
      <c r="AI72" t="n">
        <v>3</v>
      </c>
      <c r="AJ72" t="n">
        <v>11</v>
      </c>
      <c r="AK72" t="inlineStr">
        <is>
          <t>swarm_carrier</t>
        </is>
      </c>
      <c r="AL72" t="inlineStr">
        <is>
          <t>doi</t>
        </is>
      </c>
      <c r="AM72" t="n">
        <v>13</v>
      </c>
      <c r="AN72" t="n">
        <v>16</v>
      </c>
      <c r="AO72" t="n">
        <v>632</v>
      </c>
      <c r="AP72" t="n">
        <v>1091</v>
      </c>
      <c r="BG72" t="n">
        <v>1</v>
      </c>
      <c r="BH72" t="n">
        <v>1.2308</v>
      </c>
      <c r="BI72" t="n">
        <v>16</v>
      </c>
      <c r="BJ72" t="n">
        <v>4</v>
      </c>
      <c r="BK72" t="inlineStr"/>
      <c r="BL72" t="inlineStr"/>
      <c r="BM72" t="inlineStr"/>
      <c r="BN72" t="inlineStr">
        <is>
          <t>Campaign; nhiệm vụ c5m10; chiến lợi phẩm cốt truyện</t>
        </is>
      </c>
      <c r="BR72" t="n">
        <v>44</v>
      </c>
      <c r="BS72" t="n">
        <v>1</v>
      </c>
      <c r="BZ72" t="n">
        <v>0</v>
      </c>
      <c r="CF72" t="n">
        <v>16</v>
      </c>
      <c r="CH72" t="n">
        <v>140</v>
      </c>
      <c r="CI72" t="n">
        <v>0.6</v>
      </c>
      <c r="CJ72" t="n">
        <v>9</v>
      </c>
      <c r="CK72" t="inlineStr">
        <is>
          <t>Huge</t>
        </is>
      </c>
      <c r="CV72" t="n">
        <v>5</v>
      </c>
      <c r="CZ72" t="b">
        <v>1</v>
      </c>
      <c r="DA72" t="b">
        <v>1</v>
      </c>
      <c r="DB72" t="b">
        <v>1</v>
      </c>
      <c r="DD72" t="n">
        <v>1091</v>
      </c>
      <c r="DK72" t="n">
        <v>2</v>
      </c>
      <c r="DN72" t="inlineStr">
        <is>
          <t>drone</t>
        </is>
      </c>
      <c r="EA72" t="n">
        <v>4.79</v>
      </c>
      <c r="EB72" t="n">
        <v>11.93</v>
      </c>
      <c r="EC72" t="n">
        <v>16.3</v>
      </c>
      <c r="EK72" t="n">
        <v>1.2308</v>
      </c>
      <c r="EL72" t="n">
        <v>7</v>
      </c>
      <c r="EO72" t="n">
        <v>16</v>
      </c>
      <c r="ER72" t="n">
        <v>1.1765</v>
      </c>
      <c r="EY72" t="inlineStr">
        <is>
          <t>bomber_flares</t>
        </is>
      </c>
      <c r="EZ72" t="n">
        <v>18</v>
      </c>
      <c r="FE72" t="inlineStr">
        <is>
          <t>Tank;Heavy;Artillery;Light</t>
        </is>
      </c>
      <c r="FG72" t="n">
        <v>60</v>
      </c>
      <c r="FH72" t="n">
        <v>360</v>
      </c>
      <c r="FI72" t="n">
        <v>0.8100000000000001</v>
      </c>
      <c r="FJ72" t="n">
        <v>56</v>
      </c>
      <c r="FL72" t="inlineStr">
        <is>
          <t>swarm_drones</t>
        </is>
      </c>
      <c r="FN72" t="inlineStr">
        <is>
          <t>Assets/MachineBrigade/Resources/Data/balance.json: vehicles[47]</t>
        </is>
      </c>
      <c r="FO72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1091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73">
      <c r="A73" t="inlineStr">
        <is>
          <t>tank_destroyer</t>
        </is>
      </c>
      <c r="B73" t="inlineStr">
        <is>
          <t>xe</t>
        </is>
      </c>
      <c r="C73" t="inlineStr">
        <is>
          <t>Tank destroyer</t>
        </is>
      </c>
      <c r="D73" t="inlineStr">
        <is>
          <t>Pháo chống tăng tự hành</t>
        </is>
      </c>
      <c r="E73" t="inlineStr">
        <is>
          <t>Chống tăng</t>
        </is>
      </c>
      <c r="F73" t="inlineStr">
        <is>
          <t>TankHunter</t>
        </is>
      </c>
      <c r="G73" t="inlineStr">
        <is>
          <t>Armor</t>
        </is>
      </c>
      <c r="H73" t="inlineStr"/>
      <c r="I73" t="n">
        <v>7</v>
      </c>
      <c r="J73" t="n">
        <v>741</v>
      </c>
      <c r="K73" t="n">
        <v>1630.2</v>
      </c>
      <c r="L73" t="n">
        <v>2</v>
      </c>
      <c r="M73" t="n">
        <v>1</v>
      </c>
      <c r="N73" t="n">
        <v>1</v>
      </c>
      <c r="O73" t="n">
        <v>0</v>
      </c>
      <c r="P73" t="b">
        <v>0</v>
      </c>
      <c r="Q73" t="n">
        <v>7</v>
      </c>
      <c r="R73" t="n">
        <v>70</v>
      </c>
      <c r="S73" t="n">
        <v>55</v>
      </c>
      <c r="T73" t="n">
        <v>34</v>
      </c>
      <c r="U73" t="n">
        <v>2.4</v>
      </c>
      <c r="V73" t="n">
        <v>5.72</v>
      </c>
      <c r="W73" t="n">
        <v>2.62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1.1667</v>
      </c>
      <c r="AE73" t="inlineStr">
        <is>
          <t>gun_105_long</t>
        </is>
      </c>
      <c r="AF73" t="inlineStr">
        <is>
          <t>hmg_roof</t>
        </is>
      </c>
      <c r="AG73" t="inlineStr"/>
      <c r="AH73" t="inlineStr">
        <is>
          <t>none</t>
        </is>
      </c>
      <c r="AI73" t="inlineStr"/>
      <c r="AJ73" t="inlineStr"/>
      <c r="AK73" t="inlineStr">
        <is>
          <t>tank_destroyer</t>
        </is>
      </c>
      <c r="AL73" t="inlineStr">
        <is>
          <t>doi</t>
        </is>
      </c>
      <c r="AM73" t="n">
        <v>6</v>
      </c>
      <c r="AN73" t="n">
        <v>7</v>
      </c>
      <c r="AO73" t="n">
        <v>620</v>
      </c>
      <c r="AP73" t="n">
        <v>741</v>
      </c>
      <c r="BG73" t="n">
        <v>1</v>
      </c>
      <c r="BH73" t="n">
        <v>1.1667</v>
      </c>
      <c r="BI73" t="n">
        <v>7</v>
      </c>
      <c r="BJ73" t="n">
        <v>2</v>
      </c>
      <c r="BK73" t="inlineStr"/>
      <c r="BL73" t="inlineStr">
        <is>
          <t>elite_tank_destroyer</t>
        </is>
      </c>
      <c r="BM73" t="inlineStr"/>
      <c r="BN73" t="inlineStr">
        <is>
          <t>Campaign; nhiệm vụ c4m02; mua sớm; 800 xu</t>
        </is>
      </c>
      <c r="BT73" t="n">
        <v>2</v>
      </c>
      <c r="BU73" t="n">
        <v>1</v>
      </c>
      <c r="BV73" t="n">
        <v>1</v>
      </c>
      <c r="BW73" t="n">
        <v>0</v>
      </c>
      <c r="CC73" t="inlineStr">
        <is>
          <t>TankHunter</t>
        </is>
      </c>
      <c r="CF73" t="n">
        <v>7</v>
      </c>
      <c r="CH73" t="n">
        <v>70</v>
      </c>
      <c r="CI73" t="n">
        <v>0.3</v>
      </c>
      <c r="CJ73" t="n">
        <v>6</v>
      </c>
      <c r="CK73" t="inlineStr">
        <is>
          <t>Large</t>
        </is>
      </c>
      <c r="CZ73" t="b">
        <v>1</v>
      </c>
      <c r="DD73" t="n">
        <v>741</v>
      </c>
      <c r="DI73" t="n">
        <v>5.72</v>
      </c>
      <c r="EA73" t="n">
        <v>2.15</v>
      </c>
      <c r="EB73" t="n">
        <v>7.89</v>
      </c>
      <c r="EC73" t="n">
        <v>2.62</v>
      </c>
      <c r="EK73" t="n">
        <v>1.1667</v>
      </c>
      <c r="EL73" t="n">
        <v>2.4</v>
      </c>
      <c r="ER73" t="n">
        <v>1</v>
      </c>
      <c r="EZ73" t="n">
        <v>7</v>
      </c>
      <c r="FG73" t="n">
        <v>70</v>
      </c>
      <c r="FH73" t="n">
        <v>55</v>
      </c>
      <c r="FI73" t="n">
        <v>1.17</v>
      </c>
      <c r="FJ73" t="n">
        <v>34</v>
      </c>
      <c r="FL73" t="inlineStr">
        <is>
          <t>gun_105_long</t>
        </is>
      </c>
      <c r="FM73" t="n">
        <v>2.62</v>
      </c>
      <c r="FN73" t="inlineStr">
        <is>
          <t>Assets/MachineBrigade/Resources/Data/balance.json: vehicles[9]</t>
        </is>
      </c>
      <c r="FO73" t="inlineStr">
        <is>
          <t>{"id":"tank_destroyer","outgoingDamageMult":1.1667,"value":1.17,"scale":1,"modelSize":[7.89,2.62,2.15],"class":"TankHunter","armour":[2,1,1,0],"hp":741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74">
      <c r="A74" t="inlineStr">
        <is>
          <t>thermobaric_launcher</t>
        </is>
      </c>
      <c r="B74" t="inlineStr">
        <is>
          <t>xe</t>
        </is>
      </c>
      <c r="C74" t="inlineStr">
        <is>
          <t>Thermobaric launcher</t>
        </is>
      </c>
      <c r="D74" t="inlineStr">
        <is>
          <t>Pháo phản lực nhiệt áp</t>
        </is>
      </c>
      <c r="E74" t="inlineStr">
        <is>
          <t>Nhiệt áp</t>
        </is>
      </c>
      <c r="F74" t="inlineStr"/>
      <c r="G74" t="inlineStr"/>
      <c r="H74" t="inlineStr"/>
      <c r="I74" t="n">
        <v>11</v>
      </c>
      <c r="J74" t="n">
        <v>1132</v>
      </c>
      <c r="K74" t="n">
        <v>2490.4</v>
      </c>
      <c r="L74" t="n">
        <v>3</v>
      </c>
      <c r="M74" t="n">
        <v>2</v>
      </c>
      <c r="N74" t="n">
        <v>1</v>
      </c>
      <c r="O74" t="n">
        <v>1</v>
      </c>
      <c r="P74" t="b">
        <v>0</v>
      </c>
      <c r="Q74" t="n">
        <v>5.5</v>
      </c>
      <c r="R74" t="n">
        <v>55</v>
      </c>
      <c r="S74" t="n">
        <v>50</v>
      </c>
      <c r="T74" t="n">
        <v>30</v>
      </c>
      <c r="U74" t="n">
        <v>2.5</v>
      </c>
      <c r="V74" t="n">
        <v>6.02</v>
      </c>
      <c r="W74" t="n">
        <v>2.85</v>
      </c>
      <c r="X74" t="b">
        <v>0</v>
      </c>
      <c r="Y74" t="n">
        <v>0</v>
      </c>
      <c r="Z74" t="b">
        <v>0</v>
      </c>
      <c r="AA74" t="b">
        <v>0</v>
      </c>
      <c r="AB74" t="n">
        <v>1</v>
      </c>
      <c r="AC74" t="n">
        <v>3.5</v>
      </c>
      <c r="AD74" t="n">
        <v>1.2222</v>
      </c>
      <c r="AE74" t="inlineStr">
        <is>
          <t>thermobaric_rockets</t>
        </is>
      </c>
      <c r="AF74" t="inlineStr">
        <is>
          <t>hmg_selfdef_18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thermobaric_launcher</t>
        </is>
      </c>
      <c r="AL74" t="inlineStr">
        <is>
          <t>doi</t>
        </is>
      </c>
      <c r="AM74" t="n">
        <v>9</v>
      </c>
      <c r="AN74" t="n">
        <v>11</v>
      </c>
      <c r="AO74" t="n">
        <v>450</v>
      </c>
      <c r="AP74" t="n">
        <v>1132</v>
      </c>
      <c r="BG74" t="n">
        <v>1</v>
      </c>
      <c r="BH74" t="n">
        <v>1.2222</v>
      </c>
      <c r="BI74" t="n">
        <v>11</v>
      </c>
      <c r="BJ74" t="n">
        <v>3</v>
      </c>
      <c r="BK74" t="inlineStr"/>
      <c r="BL74" t="inlineStr"/>
      <c r="BM74" t="inlineStr"/>
      <c r="BN74" t="inlineStr">
        <is>
          <t>Campaign; nhiệm vụ c7m03; mua sớm; 1500 xu</t>
        </is>
      </c>
      <c r="BS74" t="n">
        <v>3</v>
      </c>
      <c r="CF74" t="n">
        <v>11</v>
      </c>
      <c r="CH74" t="n">
        <v>180</v>
      </c>
      <c r="CI74" t="n">
        <v>0.4</v>
      </c>
      <c r="CJ74" t="n">
        <v>9</v>
      </c>
      <c r="CK74" t="inlineStr">
        <is>
          <t>Ultimate</t>
        </is>
      </c>
      <c r="CY74" t="n">
        <v>1.2</v>
      </c>
      <c r="CZ74" t="b">
        <v>0</v>
      </c>
      <c r="DD74" t="n">
        <v>1132</v>
      </c>
      <c r="DI74" t="n">
        <v>6.02</v>
      </c>
      <c r="DN74" t="inlineStr">
        <is>
          <t>rocket</t>
        </is>
      </c>
      <c r="EA74" t="n">
        <v>2.79</v>
      </c>
      <c r="EB74" t="n">
        <v>6.7</v>
      </c>
      <c r="EC74" t="n">
        <v>2.85</v>
      </c>
      <c r="EK74" t="n">
        <v>1.2222</v>
      </c>
      <c r="EL74" t="n">
        <v>2.5</v>
      </c>
      <c r="ER74" t="n">
        <v>1</v>
      </c>
      <c r="EZ74" t="n">
        <v>5.5</v>
      </c>
      <c r="FG74" t="n">
        <v>55</v>
      </c>
      <c r="FH74" t="n">
        <v>50</v>
      </c>
      <c r="FI74" t="n">
        <v>0.78</v>
      </c>
      <c r="FJ74" t="n">
        <v>30</v>
      </c>
      <c r="FL74" t="inlineStr">
        <is>
          <t>thermobaric_rockets</t>
        </is>
      </c>
      <c r="FM74" t="n">
        <v>2.85</v>
      </c>
      <c r="FN74" t="inlineStr">
        <is>
          <t>Assets/MachineBrigade/Resources/Data/balance.json: vehicles[17]</t>
        </is>
      </c>
      <c r="FO74" t="inlineStr">
        <is>
          <t>{"id":"thermobaric_launcher","erectSeconds":1.2,"outgoingDamageMult":1.2222,"value":0.78,"scale":1,"modelSize":[6.7,2.85,2.79]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75">
      <c r="A75" t="inlineStr">
        <is>
          <t>titan_tank</t>
        </is>
      </c>
      <c r="B75" t="inlineStr">
        <is>
          <t>xe</t>
        </is>
      </c>
      <c r="C75" t="inlineStr">
        <is>
          <t>Super-heavy tank</t>
        </is>
      </c>
      <c r="D75" t="inlineStr">
        <is>
          <t>Siêu tăng</t>
        </is>
      </c>
      <c r="E75" t="inlineStr">
        <is>
          <t>Siêu tăng</t>
        </is>
      </c>
      <c r="F75" t="inlineStr"/>
      <c r="G75" t="inlineStr"/>
      <c r="H75" t="inlineStr"/>
      <c r="I75" t="n">
        <v>23</v>
      </c>
      <c r="J75" t="n">
        <v>3445</v>
      </c>
      <c r="K75" t="n">
        <v>7579</v>
      </c>
      <c r="L75" t="n">
        <v>5</v>
      </c>
      <c r="M75" t="n">
        <v>3</v>
      </c>
      <c r="N75" t="n">
        <v>2</v>
      </c>
      <c r="O75" t="n">
        <v>2</v>
      </c>
      <c r="P75" t="b">
        <v>0</v>
      </c>
      <c r="Q75" t="n">
        <v>4</v>
      </c>
      <c r="R75" t="n">
        <v>45</v>
      </c>
      <c r="S75" t="n">
        <v>115</v>
      </c>
      <c r="T75" t="n">
        <v>34</v>
      </c>
      <c r="U75" t="n">
        <v>2.9</v>
      </c>
      <c r="V75" t="n">
        <v>8.140000000000001</v>
      </c>
      <c r="W75" t="n">
        <v>5.3</v>
      </c>
      <c r="X75" t="b">
        <v>0</v>
      </c>
      <c r="Y75" t="n">
        <v>0</v>
      </c>
      <c r="Z75" t="b">
        <v>0</v>
      </c>
      <c r="AA75" t="b">
        <v>1</v>
      </c>
      <c r="AB75" t="n">
        <v>1</v>
      </c>
      <c r="AC75" t="n">
        <v>5</v>
      </c>
      <c r="AD75" t="n">
        <v>1.4694</v>
      </c>
      <c r="AE75" t="inlineStr">
        <is>
          <t>gun_140_twin</t>
        </is>
      </c>
      <c r="AF75" t="inlineStr">
        <is>
          <t>mg_coax;hmg_roof;atgm</t>
        </is>
      </c>
      <c r="AG75" t="inlineStr"/>
      <c r="AH75" t="inlineStr">
        <is>
          <t>aps</t>
        </is>
      </c>
      <c r="AI75" t="n">
        <v>3</v>
      </c>
      <c r="AJ75" t="n">
        <v>10</v>
      </c>
      <c r="AK75" t="inlineStr">
        <is>
          <t>titan_tank</t>
        </is>
      </c>
      <c r="AL75" t="inlineStr">
        <is>
          <t>doi</t>
        </is>
      </c>
      <c r="AM75" t="n">
        <v>18</v>
      </c>
      <c r="AN75" t="n">
        <v>23</v>
      </c>
      <c r="AO75" t="n">
        <v>2600</v>
      </c>
      <c r="AP75" t="n">
        <v>3445</v>
      </c>
      <c r="AQ75" t="n">
        <v>4</v>
      </c>
      <c r="AR75" t="n">
        <v>5</v>
      </c>
      <c r="BG75" t="n">
        <v>1</v>
      </c>
      <c r="BH75" t="n">
        <v>1.4694</v>
      </c>
      <c r="BI75" t="n">
        <v>23</v>
      </c>
      <c r="BJ75" t="n">
        <v>4</v>
      </c>
      <c r="BK75" t="inlineStr"/>
      <c r="BL75" t="inlineStr"/>
      <c r="BM75" t="inlineStr">
        <is>
          <t>heavy</t>
        </is>
      </c>
      <c r="BN75" t="inlineStr">
        <is>
          <t>Campaign; nhiệm vụ c11m01; mua sớm; 2500 xu</t>
        </is>
      </c>
      <c r="BT75" t="n">
        <v>5</v>
      </c>
      <c r="BU75" t="n">
        <v>2</v>
      </c>
      <c r="BV75" t="n">
        <v>3</v>
      </c>
      <c r="BW75" t="n">
        <v>2</v>
      </c>
      <c r="CF75" t="n">
        <v>23</v>
      </c>
      <c r="CH75" t="n">
        <v>260</v>
      </c>
      <c r="CI75" t="n">
        <v>0.5</v>
      </c>
      <c r="CJ75" t="n">
        <v>8</v>
      </c>
      <c r="CK75" t="inlineStr">
        <is>
          <t>Ultimate</t>
        </is>
      </c>
      <c r="CV75" t="n">
        <v>5</v>
      </c>
      <c r="CZ75" t="b">
        <v>1</v>
      </c>
      <c r="DD75" t="n">
        <v>3445</v>
      </c>
      <c r="DI75" t="n">
        <v>8.140000000000001</v>
      </c>
      <c r="EA75" t="n">
        <v>2.84</v>
      </c>
      <c r="EB75" t="n">
        <v>11.3</v>
      </c>
      <c r="EC75" t="n">
        <v>5.3</v>
      </c>
      <c r="EK75" t="n">
        <v>1.4694</v>
      </c>
      <c r="EL75" t="n">
        <v>2.9</v>
      </c>
      <c r="ER75" t="n">
        <v>1</v>
      </c>
      <c r="EZ75" t="n">
        <v>4</v>
      </c>
      <c r="FG75" t="n">
        <v>45</v>
      </c>
      <c r="FH75" t="n">
        <v>115</v>
      </c>
      <c r="FI75" t="n">
        <v>1.33</v>
      </c>
      <c r="FJ75" t="n">
        <v>34</v>
      </c>
      <c r="FL75" t="inlineStr">
        <is>
          <t>gun_140_twin</t>
        </is>
      </c>
      <c r="FM75" t="n">
        <v>5.3</v>
      </c>
      <c r="FN75" t="inlineStr">
        <is>
          <t>Assets/MachineBrigade/Resources/Data/balance.json: vehicles[20]</t>
        </is>
      </c>
      <c r="FO75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[5,3,2,2]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76">
      <c r="A76" t="inlineStr">
        <is>
          <t>twin_rotor_gunship</t>
        </is>
      </c>
      <c r="B76" t="inlineStr">
        <is>
          <t>xe</t>
        </is>
      </c>
      <c r="C76" t="inlineStr">
        <is>
          <t>Twin-rotor gunship</t>
        </is>
      </c>
      <c r="D76" t="inlineStr">
        <is>
          <t>Pháo hạm trực thăng hai rô-to</t>
        </is>
      </c>
      <c r="E76" t="inlineStr">
        <is>
          <t>TT hai rô-to</t>
        </is>
      </c>
      <c r="F76" t="inlineStr"/>
      <c r="G76" t="inlineStr"/>
      <c r="H76" t="inlineStr"/>
      <c r="I76" t="n">
        <v>18</v>
      </c>
      <c r="J76" t="n">
        <v>1400</v>
      </c>
      <c r="K76" t="n">
        <v>3080</v>
      </c>
      <c r="L76" t="n">
        <v>1</v>
      </c>
      <c r="M76" t="n">
        <v>1</v>
      </c>
      <c r="N76" t="n">
        <v>1</v>
      </c>
      <c r="O76" t="n">
        <v>1</v>
      </c>
      <c r="P76" t="b">
        <v>0</v>
      </c>
      <c r="Q76" t="n">
        <v>9</v>
      </c>
      <c r="R76" t="n">
        <v>70</v>
      </c>
      <c r="S76" t="n">
        <v>360</v>
      </c>
      <c r="T76" t="n">
        <v>50</v>
      </c>
      <c r="U76" t="n">
        <v>6</v>
      </c>
      <c r="V76" t="inlineStr"/>
      <c r="W76" t="inlineStr"/>
      <c r="X76" t="b">
        <v>1</v>
      </c>
      <c r="Y76" t="n">
        <v>15</v>
      </c>
      <c r="Z76" t="b">
        <v>0</v>
      </c>
      <c r="AA76" t="b">
        <v>1</v>
      </c>
      <c r="AB76" t="n">
        <v>0</v>
      </c>
      <c r="AC76" t="n">
        <v>5</v>
      </c>
      <c r="AD76" t="n">
        <v>1.4464</v>
      </c>
      <c r="AE76" t="inlineStr">
        <is>
          <t>heli_gun</t>
        </is>
      </c>
      <c r="AF76" t="inlineStr">
        <is>
          <t>agl_40</t>
        </is>
      </c>
      <c r="AG76" t="inlineStr"/>
      <c r="AH76" t="inlineStr">
        <is>
          <t>flare</t>
        </is>
      </c>
      <c r="AI76" t="n">
        <v>3</v>
      </c>
      <c r="AJ76" t="n">
        <v>20</v>
      </c>
      <c r="AK76" t="inlineStr">
        <is>
          <t>twin_rotor_gunship</t>
        </is>
      </c>
      <c r="AL76" t="inlineStr">
        <is>
          <t>doi</t>
        </is>
      </c>
      <c r="AM76" t="n">
        <v>14</v>
      </c>
      <c r="AN76" t="n">
        <v>18</v>
      </c>
      <c r="AO76" t="n">
        <v>1591</v>
      </c>
      <c r="AP76" t="n">
        <v>1400</v>
      </c>
      <c r="BG76" t="n">
        <v>1</v>
      </c>
      <c r="BH76" t="n">
        <v>1.4464</v>
      </c>
      <c r="BI76" t="n">
        <v>18</v>
      </c>
      <c r="BJ76" t="n">
        <v>4</v>
      </c>
      <c r="BK76" t="inlineStr"/>
      <c r="BL76" t="inlineStr"/>
      <c r="BM76" t="inlineStr"/>
      <c r="BN76" t="inlineStr">
        <is>
          <t>Premium; 5000 xu</t>
        </is>
      </c>
      <c r="BR76" t="n">
        <v>15</v>
      </c>
      <c r="BS76" t="n">
        <v>1</v>
      </c>
      <c r="BZ76" t="n">
        <v>0</v>
      </c>
      <c r="CF76" t="n">
        <v>18</v>
      </c>
      <c r="CH76" t="n">
        <v>100</v>
      </c>
      <c r="CI76" t="n">
        <v>0.5</v>
      </c>
      <c r="CJ76" t="n">
        <v>7</v>
      </c>
      <c r="CK76" t="inlineStr">
        <is>
          <t>Huge</t>
        </is>
      </c>
      <c r="CV76" t="n">
        <v>5</v>
      </c>
      <c r="CZ76" t="b">
        <v>1</v>
      </c>
      <c r="DB76" t="b">
        <v>1</v>
      </c>
      <c r="DD76" t="n">
        <v>1400</v>
      </c>
      <c r="DN76" t="inlineStr">
        <is>
          <t>gun</t>
        </is>
      </c>
      <c r="DZ76" t="inlineStr">
        <is>
          <t>twin_rotor_gunship</t>
        </is>
      </c>
      <c r="EA76" t="n">
        <v>4.82</v>
      </c>
      <c r="EB76" t="n">
        <v>11.93</v>
      </c>
      <c r="EC76" t="n">
        <v>5.7</v>
      </c>
      <c r="EK76" t="n">
        <v>1.4464</v>
      </c>
      <c r="EL76" t="n">
        <v>6</v>
      </c>
      <c r="EO76" t="n">
        <v>12</v>
      </c>
      <c r="EZ76" t="n">
        <v>9</v>
      </c>
      <c r="FE76" t="inlineStr">
        <is>
          <t>Light;Support</t>
        </is>
      </c>
      <c r="FG76" t="n">
        <v>70</v>
      </c>
      <c r="FH76" t="n">
        <v>360</v>
      </c>
      <c r="FJ76" t="n">
        <v>50</v>
      </c>
      <c r="FL76" t="inlineStr">
        <is>
          <t>heli_gun</t>
        </is>
      </c>
      <c r="FN76" t="inlineStr">
        <is>
          <t>Assets/MachineBrigade/Resources/Data/balance.json: vehicles[127]</t>
        </is>
      </c>
      <c r="FO76" t="inlineStr">
        <is>
          <t>{"id":"twin_rotor_gunship","flareRecharge":20,"flareCharges":3,"dropDelay":5,"outgoingDamageMult":1.4464,"model":"twin_rotor_gunship","rearmTime":12,"strongVs":["Light","Support"],"modelSize":[11.93,5.7,4.82],"armour":1,"hp":1400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77">
      <c r="A77" t="inlineStr">
        <is>
          <t>twin_tank</t>
        </is>
      </c>
      <c r="B77" t="inlineStr">
        <is>
          <t>xe</t>
        </is>
      </c>
      <c r="C77" t="inlineStr">
        <is>
          <t>Twin-gun tank</t>
        </is>
      </c>
      <c r="D77" t="inlineStr">
        <is>
          <t>Tăng hai nòng</t>
        </is>
      </c>
      <c r="E77" t="inlineStr">
        <is>
          <t>Hai nòng</t>
        </is>
      </c>
      <c r="F77" t="inlineStr"/>
      <c r="G77" t="inlineStr"/>
      <c r="H77" t="inlineStr"/>
      <c r="I77" t="n">
        <v>11</v>
      </c>
      <c r="J77" t="n">
        <v>1450</v>
      </c>
      <c r="K77" t="n">
        <v>3190</v>
      </c>
      <c r="L77" t="n">
        <v>3</v>
      </c>
      <c r="M77" t="n">
        <v>2</v>
      </c>
      <c r="N77" t="n">
        <v>1</v>
      </c>
      <c r="O77" t="n">
        <v>1</v>
      </c>
      <c r="P77" t="b">
        <v>0</v>
      </c>
      <c r="Q77" t="n">
        <v>6</v>
      </c>
      <c r="R77" t="n">
        <v>58</v>
      </c>
      <c r="S77" t="n">
        <v>115</v>
      </c>
      <c r="T77" t="n">
        <v>32</v>
      </c>
      <c r="U77" t="n">
        <v>2.5</v>
      </c>
      <c r="V77" t="n">
        <v>7.02</v>
      </c>
      <c r="W77" t="n">
        <v>3.53</v>
      </c>
      <c r="X77" t="b">
        <v>0</v>
      </c>
      <c r="Y77" t="n">
        <v>0</v>
      </c>
      <c r="Z77" t="b">
        <v>0</v>
      </c>
      <c r="AA77" t="b">
        <v>1</v>
      </c>
      <c r="AB77" t="n">
        <v>1</v>
      </c>
      <c r="AC77" t="n">
        <v>3.5</v>
      </c>
      <c r="AD77" t="n">
        <v>1.2681</v>
      </c>
      <c r="AE77" t="inlineStr">
        <is>
          <t>gun_120_twin</t>
        </is>
      </c>
      <c r="AF77" t="inlineStr">
        <is>
          <t>mg_coax;hmg_roof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twin_tank</t>
        </is>
      </c>
      <c r="AL77" t="inlineStr">
        <is>
          <t>doi</t>
        </is>
      </c>
      <c r="AM77" t="n">
        <v>9</v>
      </c>
      <c r="AN77" t="n">
        <v>11</v>
      </c>
      <c r="AO77" t="n">
        <v>1150</v>
      </c>
      <c r="AP77" t="n">
        <v>1450</v>
      </c>
      <c r="BG77" t="n">
        <v>1</v>
      </c>
      <c r="BH77" t="n">
        <v>1.2681</v>
      </c>
      <c r="BI77" t="n">
        <v>11</v>
      </c>
      <c r="BJ77" t="n">
        <v>3</v>
      </c>
      <c r="BK77" t="inlineStr"/>
      <c r="BL77" t="inlineStr"/>
      <c r="BM77" t="inlineStr">
        <is>
          <t>heavy;mbt;tank</t>
        </is>
      </c>
      <c r="BN77" t="inlineStr">
        <is>
          <t>Campaign; nhiệm vụ c6m13; mua sớm; 800 xu</t>
        </is>
      </c>
      <c r="BT77" t="n">
        <v>3</v>
      </c>
      <c r="BU77" t="n">
        <v>1</v>
      </c>
      <c r="BV77" t="n">
        <v>2</v>
      </c>
      <c r="BW77" t="n">
        <v>1</v>
      </c>
      <c r="CF77" t="n">
        <v>11</v>
      </c>
      <c r="CH77" t="n">
        <v>130</v>
      </c>
      <c r="CI77" t="n">
        <v>0.4</v>
      </c>
      <c r="CJ77" t="n">
        <v>8</v>
      </c>
      <c r="CK77" t="inlineStr">
        <is>
          <t>Huge</t>
        </is>
      </c>
      <c r="CZ77" t="b">
        <v>1</v>
      </c>
      <c r="DD77" t="n">
        <v>1450</v>
      </c>
      <c r="DI77" t="n">
        <v>7.02</v>
      </c>
      <c r="EA77" t="n">
        <v>2.64</v>
      </c>
      <c r="EB77" t="n">
        <v>8.960000000000001</v>
      </c>
      <c r="EC77" t="n">
        <v>3.53</v>
      </c>
      <c r="EK77" t="n">
        <v>1.2681</v>
      </c>
      <c r="EL77" t="n">
        <v>2.5</v>
      </c>
      <c r="ER77" t="n">
        <v>1</v>
      </c>
      <c r="EZ77" t="n">
        <v>6</v>
      </c>
      <c r="FG77" t="n">
        <v>58</v>
      </c>
      <c r="FH77" t="n">
        <v>115</v>
      </c>
      <c r="FI77" t="n">
        <v>1.09</v>
      </c>
      <c r="FJ77" t="n">
        <v>32</v>
      </c>
      <c r="FL77" t="inlineStr">
        <is>
          <t>gun_120_twin</t>
        </is>
      </c>
      <c r="FM77" t="n">
        <v>3.53</v>
      </c>
      <c r="FN77" t="inlineStr">
        <is>
          <t>Assets/MachineBrigade/Resources/Data/balance.json: vehicles[24]</t>
        </is>
      </c>
      <c r="FO77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78">
      <c r="A78" t="inlineStr">
        <is>
          <t>vbied</t>
        </is>
      </c>
      <c r="B78" t="inlineStr">
        <is>
          <t>xe</t>
        </is>
      </c>
      <c r="C78" t="inlineStr">
        <is>
          <t>Armoured car bomb</t>
        </is>
      </c>
      <c r="D78" t="inlineStr">
        <is>
          <t>Xe bom bọc thép</t>
        </is>
      </c>
      <c r="E78" t="inlineStr">
        <is>
          <t>Xe bom</t>
        </is>
      </c>
      <c r="F78" t="inlineStr">
        <is>
          <t>Scout</t>
        </is>
      </c>
      <c r="G78" t="inlineStr">
        <is>
          <t>Light</t>
        </is>
      </c>
      <c r="H78" t="inlineStr"/>
      <c r="I78" t="n">
        <v>3</v>
      </c>
      <c r="J78" t="n">
        <v>364</v>
      </c>
      <c r="K78" t="n">
        <v>800.8</v>
      </c>
      <c r="L78" t="n">
        <v>2</v>
      </c>
      <c r="M78" t="n">
        <v>1</v>
      </c>
      <c r="N78" t="n">
        <v>0</v>
      </c>
      <c r="O78" t="n">
        <v>0</v>
      </c>
      <c r="P78" t="b">
        <v>0</v>
      </c>
      <c r="Q78" t="n">
        <v>13</v>
      </c>
      <c r="R78" t="n">
        <v>150</v>
      </c>
      <c r="S78" t="n">
        <v>360</v>
      </c>
      <c r="T78" t="n">
        <v>30</v>
      </c>
      <c r="U78" t="n">
        <v>1.8</v>
      </c>
      <c r="V78" t="n">
        <v>4.58</v>
      </c>
      <c r="W78" t="n">
        <v>1.68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2.5</v>
      </c>
      <c r="AD78" t="n">
        <v>1</v>
      </c>
      <c r="AE78" t="inlineStr">
        <is>
          <t>detonator</t>
        </is>
      </c>
      <c r="AF78" t="inlineStr"/>
      <c r="AG78" t="inlineStr"/>
      <c r="AH78" t="inlineStr">
        <is>
          <t>none</t>
        </is>
      </c>
      <c r="AI78" t="inlineStr"/>
      <c r="AJ78" t="inlineStr"/>
      <c r="AK78" t="inlineStr">
        <is>
          <t>vbied</t>
        </is>
      </c>
      <c r="AL78" t="inlineStr">
        <is>
          <t>doi</t>
        </is>
      </c>
      <c r="AY78" t="n">
        <v>6.7</v>
      </c>
      <c r="AZ78" t="n">
        <v>13</v>
      </c>
      <c r="BI78" t="n">
        <v>3</v>
      </c>
      <c r="BJ78" t="n">
        <v>1</v>
      </c>
      <c r="BK78" t="inlineStr"/>
      <c r="BL78" t="inlineStr"/>
      <c r="BM78" t="inlineStr"/>
      <c r="BN78" t="inlineStr">
        <is>
          <t>Campaign; nhiệm vụ c2m07; mua sớm; 300 xu</t>
        </is>
      </c>
      <c r="BT78" t="n">
        <v>2</v>
      </c>
      <c r="BU78" t="n">
        <v>0</v>
      </c>
      <c r="BV78" t="n">
        <v>1</v>
      </c>
      <c r="BW78" t="n">
        <v>0</v>
      </c>
      <c r="BZ78" t="n">
        <v>1</v>
      </c>
      <c r="CC78" t="inlineStr">
        <is>
          <t>Scout</t>
        </is>
      </c>
      <c r="CF78" t="n">
        <v>3</v>
      </c>
      <c r="CH78" t="n">
        <v>300</v>
      </c>
      <c r="CI78" t="n">
        <v>0.1</v>
      </c>
      <c r="CJ78" t="n">
        <v>6</v>
      </c>
      <c r="CK78" t="inlineStr">
        <is>
          <t>Huge</t>
        </is>
      </c>
      <c r="CV78" t="n">
        <v>2.5</v>
      </c>
      <c r="CZ78" t="b">
        <v>1</v>
      </c>
      <c r="DD78" t="n">
        <v>364</v>
      </c>
      <c r="DH78" t="b">
        <v>1</v>
      </c>
      <c r="DI78" t="n">
        <v>4.58</v>
      </c>
      <c r="DM78" t="inlineStr">
        <is>
          <t>Hull</t>
        </is>
      </c>
      <c r="EA78" t="n">
        <v>1.6</v>
      </c>
      <c r="EB78" t="n">
        <v>4.58</v>
      </c>
      <c r="EC78" t="n">
        <v>1.68</v>
      </c>
      <c r="EL78" t="n">
        <v>1.8</v>
      </c>
      <c r="ER78" t="n">
        <v>1</v>
      </c>
      <c r="EZ78" t="n">
        <v>13</v>
      </c>
      <c r="FG78" t="n">
        <v>150</v>
      </c>
      <c r="FH78" t="n">
        <v>360</v>
      </c>
      <c r="FI78" t="n">
        <v>1.5</v>
      </c>
      <c r="FJ78" t="n">
        <v>30</v>
      </c>
      <c r="FL78" t="inlineStr">
        <is>
          <t>detonator</t>
        </is>
      </c>
      <c r="FM78" t="n">
        <v>1.68</v>
      </c>
      <c r="FN78" t="inlineStr">
        <is>
          <t>Assets/MachineBrigade/Resources/Data/balance.json: vehicles[35]</t>
        </is>
      </c>
      <c r="FO78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79">
      <c r="A79" t="inlineStr">
        <is>
          <t>wheeled_gun</t>
        </is>
      </c>
      <c r="B79" t="inlineStr">
        <is>
          <t>xe</t>
        </is>
      </c>
      <c r="C79" t="inlineStr">
        <is>
          <t>Wheeled tank destroyer</t>
        </is>
      </c>
      <c r="D79" t="inlineStr">
        <is>
          <t>Pháo xung kích bánh lốp</t>
        </is>
      </c>
      <c r="E79" t="inlineStr">
        <is>
          <t>Pháo xung kích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7</v>
      </c>
      <c r="J79" t="n">
        <v>814</v>
      </c>
      <c r="K79" t="n">
        <v>1790.8</v>
      </c>
      <c r="L79" t="n">
        <v>2</v>
      </c>
      <c r="M79" t="n">
        <v>1</v>
      </c>
      <c r="N79" t="n">
        <v>0</v>
      </c>
      <c r="O79" t="n">
        <v>0</v>
      </c>
      <c r="P79" t="b">
        <v>0</v>
      </c>
      <c r="Q79" t="n">
        <v>12</v>
      </c>
      <c r="R79" t="n">
        <v>100</v>
      </c>
      <c r="S79" t="n">
        <v>90</v>
      </c>
      <c r="T79" t="n">
        <v>38</v>
      </c>
      <c r="U79" t="n">
        <v>2.3</v>
      </c>
      <c r="V79" t="n">
        <v>5.97</v>
      </c>
      <c r="W79" t="n">
        <v>2.36</v>
      </c>
      <c r="X79" t="b">
        <v>0</v>
      </c>
      <c r="Y79" t="n">
        <v>0</v>
      </c>
      <c r="Z79" t="b">
        <v>0</v>
      </c>
      <c r="AA79" t="b">
        <v>1</v>
      </c>
      <c r="AB79" t="n">
        <v>1</v>
      </c>
      <c r="AC79" t="n">
        <v>3.5</v>
      </c>
      <c r="AD79" t="n">
        <v>1.1667</v>
      </c>
      <c r="AE79" t="inlineStr">
        <is>
          <t>gun_105_wheeled</t>
        </is>
      </c>
      <c r="AF79" t="inlineStr">
        <is>
          <t>mg_coax;hmg_roof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wheeled_gun</t>
        </is>
      </c>
      <c r="AL79" t="inlineStr">
        <is>
          <t>doi</t>
        </is>
      </c>
      <c r="AM79" t="n">
        <v>6</v>
      </c>
      <c r="AN79" t="n">
        <v>7</v>
      </c>
      <c r="AO79" t="n">
        <v>682</v>
      </c>
      <c r="AP79" t="n">
        <v>814</v>
      </c>
      <c r="BG79" t="n">
        <v>1</v>
      </c>
      <c r="BH79" t="n">
        <v>1.1667</v>
      </c>
      <c r="BI79" t="n">
        <v>7</v>
      </c>
      <c r="BJ79" t="n">
        <v>2</v>
      </c>
      <c r="BK79" t="inlineStr"/>
      <c r="BL79" t="inlineStr"/>
      <c r="BM79" t="inlineStr">
        <is>
          <t>wheeled</t>
        </is>
      </c>
      <c r="BN79" t="inlineStr">
        <is>
          <t>Campaign; nhiệm vụ c4m03; mua sớm; 800 xu</t>
        </is>
      </c>
      <c r="BS79" t="n">
        <v>2</v>
      </c>
      <c r="BZ79" t="n">
        <v>1</v>
      </c>
      <c r="CC79" t="inlineStr">
        <is>
          <t>TankHunter</t>
        </is>
      </c>
      <c r="CF79" t="n">
        <v>7</v>
      </c>
      <c r="CH79" t="n">
        <v>100</v>
      </c>
      <c r="CI79" t="n">
        <v>0.35</v>
      </c>
      <c r="CJ79" t="n">
        <v>7</v>
      </c>
      <c r="CK79" t="inlineStr">
        <is>
          <t>Large</t>
        </is>
      </c>
      <c r="CZ79" t="b">
        <v>1</v>
      </c>
      <c r="DD79" t="n">
        <v>814</v>
      </c>
      <c r="DI79" t="n">
        <v>5.97</v>
      </c>
      <c r="EA79" t="n">
        <v>2.31</v>
      </c>
      <c r="EB79" t="n">
        <v>8.970000000000001</v>
      </c>
      <c r="EC79" t="n">
        <v>2.39</v>
      </c>
      <c r="EK79" t="n">
        <v>1.1667</v>
      </c>
      <c r="EL79" t="n">
        <v>2.3</v>
      </c>
      <c r="ER79" t="n">
        <v>1</v>
      </c>
      <c r="EZ79" t="n">
        <v>12</v>
      </c>
      <c r="FG79" t="n">
        <v>100</v>
      </c>
      <c r="FH79" t="n">
        <v>90</v>
      </c>
      <c r="FI79" t="n">
        <v>0.8100000000000001</v>
      </c>
      <c r="FJ79" t="n">
        <v>38</v>
      </c>
      <c r="FL79" t="inlineStr">
        <is>
          <t>gun_105_wheeled</t>
        </is>
      </c>
      <c r="FM79" t="n">
        <v>2.36</v>
      </c>
      <c r="FN79" t="inlineStr">
        <is>
          <t>Assets/MachineBrigade/Resources/Data/balance.json: vehicles[42]</t>
        </is>
      </c>
      <c r="FO79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80">
      <c r="A80" t="inlineStr">
        <is>
          <t>zu23_technical</t>
        </is>
      </c>
      <c r="B80" t="inlineStr">
        <is>
          <t>xe</t>
        </is>
      </c>
      <c r="C80" t="inlineStr">
        <is>
          <t>Flak technical</t>
        </is>
      </c>
      <c r="D80" t="inlineStr">
        <is>
          <t>Bán tải cao xạ</t>
        </is>
      </c>
      <c r="E80" t="inlineStr">
        <is>
          <t>Cao xạ bán tải</t>
        </is>
      </c>
      <c r="F80" t="inlineStr">
        <is>
          <t>AntiAir</t>
        </is>
      </c>
      <c r="G80" t="inlineStr">
        <is>
          <t>Light</t>
        </is>
      </c>
      <c r="H80" t="inlineStr"/>
      <c r="I80" t="n">
        <v>3</v>
      </c>
      <c r="J80" t="n">
        <v>210</v>
      </c>
      <c r="K80" t="n">
        <v>462</v>
      </c>
      <c r="L80" t="n">
        <v>0</v>
      </c>
      <c r="M80" t="n">
        <v>0</v>
      </c>
      <c r="N80" t="n">
        <v>0</v>
      </c>
      <c r="O80" t="n">
        <v>0</v>
      </c>
      <c r="P80" t="b">
        <v>0</v>
      </c>
      <c r="Q80" t="n">
        <v>12</v>
      </c>
      <c r="R80" t="n">
        <v>180</v>
      </c>
      <c r="S80" t="n">
        <v>240</v>
      </c>
      <c r="T80" t="n">
        <v>40</v>
      </c>
      <c r="U80" t="n">
        <v>1.5</v>
      </c>
      <c r="V80" t="n">
        <v>4.39</v>
      </c>
      <c r="W80" t="n">
        <v>1.5</v>
      </c>
      <c r="X80" t="b">
        <v>0</v>
      </c>
      <c r="Y80" t="n">
        <v>0</v>
      </c>
      <c r="Z80" t="b">
        <v>0</v>
      </c>
      <c r="AA80" t="b">
        <v>1</v>
      </c>
      <c r="AB80" t="n">
        <v>2</v>
      </c>
      <c r="AC80" t="n">
        <v>2.5</v>
      </c>
      <c r="AD80" t="n">
        <v>1</v>
      </c>
      <c r="AE80" t="inlineStr">
        <is>
          <t>zu23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zu23_technical</t>
        </is>
      </c>
      <c r="AL80" t="inlineStr">
        <is>
          <t>giong</t>
        </is>
      </c>
      <c r="BI80" t="n">
        <v>3</v>
      </c>
      <c r="BJ80" t="n">
        <v>1</v>
      </c>
      <c r="BK80" t="inlineStr"/>
      <c r="BL80" t="inlineStr"/>
      <c r="BM80" t="inlineStr">
        <is>
          <t>light</t>
        </is>
      </c>
      <c r="BN80" t="inlineStr">
        <is>
          <t>Campaign; nhiệm vụ c1m06; mua sớm; 300 xu</t>
        </is>
      </c>
      <c r="BS80" t="n">
        <v>0</v>
      </c>
      <c r="BZ80" t="n">
        <v>2</v>
      </c>
      <c r="CC80" t="inlineStr">
        <is>
          <t>AntiAir</t>
        </is>
      </c>
      <c r="CF80" t="n">
        <v>3</v>
      </c>
      <c r="CH80" t="n">
        <v>30</v>
      </c>
      <c r="CI80" t="n">
        <v>0.1</v>
      </c>
      <c r="CJ80" t="n">
        <v>4</v>
      </c>
      <c r="CK80" t="inlineStr">
        <is>
          <t>Large</t>
        </is>
      </c>
      <c r="CV80" t="n">
        <v>2.5</v>
      </c>
      <c r="CZ80" t="b">
        <v>1</v>
      </c>
      <c r="DD80" t="n">
        <v>210</v>
      </c>
      <c r="DI80" t="n">
        <v>4.39</v>
      </c>
      <c r="EA80" t="n">
        <v>1.56</v>
      </c>
      <c r="EB80" t="n">
        <v>4.39</v>
      </c>
      <c r="EC80" t="n">
        <v>1.5</v>
      </c>
      <c r="EL80" t="n">
        <v>1.5</v>
      </c>
      <c r="ER80" t="n">
        <v>1</v>
      </c>
      <c r="EZ80" t="n">
        <v>12</v>
      </c>
      <c r="FG80" t="n">
        <v>180</v>
      </c>
      <c r="FH80" t="n">
        <v>240</v>
      </c>
      <c r="FI80" t="n">
        <v>0.5</v>
      </c>
      <c r="FJ80" t="n">
        <v>40</v>
      </c>
      <c r="FL80" t="inlineStr">
        <is>
          <t>zu23</t>
        </is>
      </c>
      <c r="FM80" t="n">
        <v>1.5</v>
      </c>
      <c r="FN80" t="inlineStr">
        <is>
          <t>Assets/MachineBrigade/Resources/Data/balance.json: vehicles[36]</t>
        </is>
      </c>
      <c r="FO80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FO8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armored_bulldozer/0</t>
        </is>
      </c>
      <c r="B3" t="inlineStr">
        <is>
          <t>armored_bulldozer</t>
        </is>
      </c>
      <c r="C3" t="n">
        <v>0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vehicles[40].secondary[0]</t>
        </is>
      </c>
      <c r="K3" t="inlineStr">
        <is>
          <t>{"weapon":"hmg_roof","slot":"mg","aim":"Free"}</t>
        </is>
      </c>
    </row>
    <row r="4">
      <c r="A4" t="inlineStr">
        <is>
          <t>armored_car/0</t>
        </is>
      </c>
      <c r="B4" t="inlineStr">
        <is>
          <t>armored_car</t>
        </is>
      </c>
      <c r="C4" t="n">
        <v>0</v>
      </c>
      <c r="D4" t="inlineStr">
        <is>
          <t>mg_coax_long</t>
        </is>
      </c>
      <c r="E4" t="inlineStr">
        <is>
          <t>Turret</t>
        </is>
      </c>
      <c r="I4" t="inlineStr">
        <is>
          <t>coax</t>
        </is>
      </c>
      <c r="J4" t="inlineStr">
        <is>
          <t>Assets/MachineBrigade/Resources/Data/balance.json: vehicles[8].secondary[0]</t>
        </is>
      </c>
      <c r="K4" t="inlineStr">
        <is>
          <t>{"weapon":"mg_coax_long","slot":"coax","aim":"Turret"}</t>
        </is>
      </c>
    </row>
    <row r="5">
      <c r="A5" t="inlineStr">
        <is>
          <t>artillery/0</t>
        </is>
      </c>
      <c r="B5" t="inlineStr">
        <is>
          <t>artillery</t>
        </is>
      </c>
      <c r="C5" t="n">
        <v>0</v>
      </c>
      <c r="D5" t="inlineStr">
        <is>
          <t>hmg_selfdef_15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vehicles[4].secondary[0]</t>
        </is>
      </c>
      <c r="K5" t="inlineStr">
        <is>
          <t>{"weapon":"hmg_selfdef_15","slot":"mg","aim":"Free"}</t>
        </is>
      </c>
    </row>
    <row r="6">
      <c r="A6" t="inlineStr">
        <is>
          <t>attack_helicopter/0</t>
        </is>
      </c>
      <c r="B6" t="inlineStr">
        <is>
          <t>attack_helicopter</t>
        </is>
      </c>
      <c r="C6" t="n">
        <v>0</v>
      </c>
      <c r="D6" t="inlineStr">
        <is>
          <t>heli_gun</t>
        </is>
      </c>
      <c r="E6" t="inlineStr">
        <is>
          <t>Free</t>
        </is>
      </c>
      <c r="I6" t="inlineStr">
        <is>
          <t>gun</t>
        </is>
      </c>
      <c r="J6" t="inlineStr">
        <is>
          <t>Assets/MachineBrigade/Resources/Data/balance.json: vehicles[7].secondary[0]</t>
        </is>
      </c>
      <c r="K6" t="inlineStr">
        <is>
          <t>{"weapon":"heli_gun","slot":"gun","aim":"Free"}</t>
        </is>
      </c>
    </row>
    <row r="7">
      <c r="A7" t="inlineStr">
        <is>
          <t>attack_helicopter/1</t>
        </is>
      </c>
      <c r="B7" t="inlineStr">
        <is>
          <t>attack_helicopter</t>
        </is>
      </c>
      <c r="C7" t="n">
        <v>1</v>
      </c>
      <c r="D7" t="inlineStr">
        <is>
          <t>heli_rockets</t>
        </is>
      </c>
      <c r="E7" t="inlineStr">
        <is>
          <t>Hull</t>
        </is>
      </c>
      <c r="I7" t="inlineStr">
        <is>
          <t>rocket</t>
        </is>
      </c>
      <c r="J7" t="inlineStr">
        <is>
          <t>Assets/MachineBrigade/Resources/Data/balance.json: vehicles[7].secondary[1]</t>
        </is>
      </c>
      <c r="K7" t="inlineStr">
        <is>
          <t>{"weapon":"heli_rockets","slot":"rocket","aim":"Hull"}</t>
        </is>
      </c>
    </row>
    <row r="8">
      <c r="A8" t="inlineStr">
        <is>
          <t>attack_helicopter/2</t>
        </is>
      </c>
      <c r="B8" t="inlineStr">
        <is>
          <t>attack_helicopter</t>
        </is>
      </c>
      <c r="C8" t="n">
        <v>2</v>
      </c>
      <c r="D8" t="inlineStr">
        <is>
          <t>stinger_atas</t>
        </is>
      </c>
      <c r="E8" t="inlineStr">
        <is>
          <t>Free</t>
        </is>
      </c>
      <c r="I8" t="inlineStr">
        <is>
          <t>aam</t>
        </is>
      </c>
      <c r="J8" t="inlineStr">
        <is>
          <t>Assets/MachineBrigade/Resources/Data/balance.json: vehicles[7].secondary[2]</t>
        </is>
      </c>
      <c r="K8" t="inlineStr">
        <is>
          <t>{"weapon":"stinger_atas","slot":"aam","aim":"Free"}</t>
        </is>
      </c>
    </row>
    <row r="9">
      <c r="A9" t="inlineStr">
        <is>
          <t>attack_helicopter/3</t>
        </is>
      </c>
      <c r="B9" t="inlineStr">
        <is>
          <t>attack_helicopter</t>
        </is>
      </c>
      <c r="C9" t="n">
        <v>3</v>
      </c>
      <c r="D9" t="inlineStr">
        <is>
          <t>apkws_rocket</t>
        </is>
      </c>
      <c r="E9" t="inlineStr">
        <is>
          <t>Free</t>
        </is>
      </c>
      <c r="I9" t="inlineStr">
        <is>
          <t>rocket2</t>
        </is>
      </c>
      <c r="J9" t="inlineStr">
        <is>
          <t>Assets/MachineBrigade/Resources/Data/balance.json: vehicles[7].secondary[3]</t>
        </is>
      </c>
      <c r="K9" t="inlineStr">
        <is>
          <t>{"weapon":"apkws_rocket","slot":"rocket2","aim":"Free"}</t>
        </is>
      </c>
    </row>
    <row r="10">
      <c r="A10" t="inlineStr">
        <is>
          <t>attack_jet/0</t>
        </is>
      </c>
      <c r="B10" t="inlineStr">
        <is>
          <t>attack_jet</t>
        </is>
      </c>
      <c r="C10" t="n">
        <v>0</v>
      </c>
      <c r="D10" t="inlineStr">
        <is>
          <t>s8_pods</t>
        </is>
      </c>
      <c r="E10" t="inlineStr">
        <is>
          <t>Hull</t>
        </is>
      </c>
      <c r="I10" t="inlineStr">
        <is>
          <t>rocket</t>
        </is>
      </c>
      <c r="J10" t="inlineStr">
        <is>
          <t>Assets/MachineBrigade/Resources/Data/balance.json: vehicles[15].secondary[0]</t>
        </is>
      </c>
      <c r="K10" t="inlineStr">
        <is>
          <t>{"weapon":"s8_pods","slot":"rocket","aim":"Hull"}</t>
        </is>
      </c>
    </row>
    <row r="11">
      <c r="A11" t="inlineStr">
        <is>
          <t>attack_jet/1</t>
        </is>
      </c>
      <c r="B11" t="inlineStr">
        <is>
          <t>attack_jet</t>
        </is>
      </c>
      <c r="C11" t="n">
        <v>1</v>
      </c>
      <c r="D11" t="inlineStr">
        <is>
          <t>jet_bombs</t>
        </is>
      </c>
      <c r="E11" t="inlineStr">
        <is>
          <t>Hull</t>
        </is>
      </c>
      <c r="I11" t="inlineStr">
        <is>
          <t>missile</t>
        </is>
      </c>
      <c r="J11" t="inlineStr">
        <is>
          <t>Assets/MachineBrigade/Resources/Data/balance.json: vehicles[15].secondary[1]</t>
        </is>
      </c>
      <c r="K11" t="inlineStr">
        <is>
          <t>{"weapon":"jet_bombs","slot":"missile","aim":"Hull"}</t>
        </is>
      </c>
    </row>
    <row r="12">
      <c r="A12" t="inlineStr">
        <is>
          <t>attack_jet/2</t>
        </is>
      </c>
      <c r="B12" t="inlineStr">
        <is>
          <t>attack_jet</t>
        </is>
      </c>
      <c r="C12" t="n">
        <v>2</v>
      </c>
      <c r="D12" t="inlineStr">
        <is>
          <t>kh29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vehicles[15].secondary[2]</t>
        </is>
      </c>
      <c r="K12" t="inlineStr">
        <is>
          <t>{"weapon":"kh29","slot":"missile","aim":"Hull"}</t>
        </is>
      </c>
    </row>
    <row r="13">
      <c r="A13" t="inlineStr">
        <is>
          <t>attack_jet/3</t>
        </is>
      </c>
      <c r="B13" t="inlineStr">
        <is>
          <t>attack_jet</t>
        </is>
      </c>
      <c r="C13" t="n">
        <v>3</v>
      </c>
      <c r="D13" t="inlineStr">
        <is>
          <t>r60</t>
        </is>
      </c>
      <c r="E13" t="inlineStr">
        <is>
          <t>Free</t>
        </is>
      </c>
      <c r="I13" t="inlineStr">
        <is>
          <t>aam</t>
        </is>
      </c>
      <c r="J13" t="inlineStr">
        <is>
          <t>Assets/MachineBrigade/Resources/Data/balance.json: vehicles[15].secondary[3]</t>
        </is>
      </c>
      <c r="K13" t="inlineStr">
        <is>
          <t>{"weapon":"r60","slot":"aam","aim":"Free"}</t>
        </is>
      </c>
    </row>
    <row r="14">
      <c r="A14" t="inlineStr">
        <is>
          <t>elite_aa/0</t>
        </is>
      </c>
      <c r="B14" t="inlineStr">
        <is>
          <t>elite_aa</t>
        </is>
      </c>
      <c r="C14" t="n">
        <v>0</v>
      </c>
      <c r="D14" t="inlineStr">
        <is>
          <t>sam</t>
        </is>
      </c>
      <c r="E14" t="inlineStr">
        <is>
          <t>Turret</t>
        </is>
      </c>
      <c r="I14" t="inlineStr">
        <is>
          <t>missile</t>
        </is>
      </c>
      <c r="J14" t="inlineStr">
        <is>
          <t>Assets/MachineBrigade/Resources/Data/balance.json: vehicles[53].secondary[0]</t>
        </is>
      </c>
      <c r="K14" t="inlineStr">
        <is>
          <t>{"weapon":"sam","slot":"missile","aim":"Turret"}</t>
        </is>
      </c>
    </row>
    <row r="15">
      <c r="A15" t="inlineStr">
        <is>
          <t>elite_apc/0</t>
        </is>
      </c>
      <c r="B15" t="inlineStr">
        <is>
          <t>elite_apc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vehicles[54].secondary[0]</t>
        </is>
      </c>
      <c r="K15" t="inlineStr">
        <is>
          <t>{"weapon":"mg_coax","slot":"coax","aim":"Turret"}</t>
        </is>
      </c>
    </row>
    <row r="16">
      <c r="A16" t="inlineStr">
        <is>
          <t>elite_apc/1</t>
        </is>
      </c>
      <c r="B16" t="inlineStr">
        <is>
          <t>elite_apc</t>
        </is>
      </c>
      <c r="C16" t="n">
        <v>1</v>
      </c>
      <c r="D16" t="inlineStr">
        <is>
          <t>atgm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vehicles[54].secondary[1]</t>
        </is>
      </c>
      <c r="K16" t="inlineStr">
        <is>
          <t>{"weapon":"atgm","slot":"missile","aim":"Turret"}</t>
        </is>
      </c>
    </row>
    <row r="17">
      <c r="A17" t="inlineStr">
        <is>
          <t>elite_attack_helicopter/0</t>
        </is>
      </c>
      <c r="B17" t="inlineStr">
        <is>
          <t>elite_attack_helicopter</t>
        </is>
      </c>
      <c r="C17" t="n">
        <v>0</v>
      </c>
      <c r="D17" t="inlineStr">
        <is>
          <t>heli_gun</t>
        </is>
      </c>
      <c r="E17" t="inlineStr">
        <is>
          <t>Free</t>
        </is>
      </c>
      <c r="I17" t="inlineStr">
        <is>
          <t>gun</t>
        </is>
      </c>
      <c r="J17" t="inlineStr">
        <is>
          <t>Assets/MachineBrigade/Resources/Data/balance.json: vehicles[51].secondary[0]</t>
        </is>
      </c>
      <c r="K17" t="inlineStr">
        <is>
          <t>{"weapon":"heli_gun","slot":"gun","aim":"Free"}</t>
        </is>
      </c>
    </row>
    <row r="18">
      <c r="A18" t="inlineStr">
        <is>
          <t>elite_attack_helicopter/1</t>
        </is>
      </c>
      <c r="B18" t="inlineStr">
        <is>
          <t>elite_attack_helicopter</t>
        </is>
      </c>
      <c r="C18" t="n">
        <v>1</v>
      </c>
      <c r="D18" t="inlineStr">
        <is>
          <t>heli_rockets</t>
        </is>
      </c>
      <c r="E18" t="inlineStr">
        <is>
          <t>Hull</t>
        </is>
      </c>
      <c r="I18" t="inlineStr">
        <is>
          <t>rocket</t>
        </is>
      </c>
      <c r="J18" t="inlineStr">
        <is>
          <t>Assets/MachineBrigade/Resources/Data/balance.json: vehicles[51].secondary[1]</t>
        </is>
      </c>
      <c r="K18" t="inlineStr">
        <is>
          <t>{"weapon":"heli_rockets","slot":"rocket","aim":"Hull"}</t>
        </is>
      </c>
    </row>
    <row r="19">
      <c r="A19" t="inlineStr">
        <is>
          <t>elite_attack_helicopter/2</t>
        </is>
      </c>
      <c r="B19" t="inlineStr">
        <is>
          <t>elite_attack_helicopter</t>
        </is>
      </c>
      <c r="C19" t="n">
        <v>2</v>
      </c>
      <c r="D19" t="inlineStr">
        <is>
          <t>stinger_atas</t>
        </is>
      </c>
      <c r="E19" t="inlineStr">
        <is>
          <t>Free</t>
        </is>
      </c>
      <c r="I19" t="inlineStr">
        <is>
          <t>aam</t>
        </is>
      </c>
      <c r="J19" t="inlineStr">
        <is>
          <t>Assets/MachineBrigade/Resources/Data/balance.json: vehicles[51].secondary[2]</t>
        </is>
      </c>
      <c r="K19" t="inlineStr">
        <is>
          <t>{"weapon":"stinger_atas","slot":"aam","aim":"Free"}</t>
        </is>
      </c>
    </row>
    <row r="20">
      <c r="A20" t="inlineStr">
        <is>
          <t>elite_grad/0</t>
        </is>
      </c>
      <c r="B20" t="inlineStr">
        <is>
          <t>elite_grad</t>
        </is>
      </c>
      <c r="C20" t="n">
        <v>0</v>
      </c>
      <c r="D20" t="inlineStr">
        <is>
          <t>hmg_selfdef_15</t>
        </is>
      </c>
      <c r="E20" t="inlineStr">
        <is>
          <t>Free</t>
        </is>
      </c>
      <c r="I20" t="inlineStr">
        <is>
          <t>mg</t>
        </is>
      </c>
      <c r="J20" t="inlineStr">
        <is>
          <t>Assets/MachineBrigade/Resources/Data/balance.json: vehicles[55].secondary[0]</t>
        </is>
      </c>
      <c r="K20" t="inlineStr">
        <is>
          <t>{"weapon":"hmg_selfdef_15","slot":"mg","aim":"Free"}</t>
        </is>
      </c>
    </row>
    <row r="21">
      <c r="A21" t="inlineStr">
        <is>
          <t>elite_heavy_tank/0</t>
        </is>
      </c>
      <c r="B21" t="inlineStr">
        <is>
          <t>elite_heavy_tank</t>
        </is>
      </c>
      <c r="C21" t="n">
        <v>0</v>
      </c>
      <c r="D21" t="inlineStr">
        <is>
          <t>autocannon_30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vehicles[49].secondary[0]</t>
        </is>
      </c>
      <c r="K21" t="inlineStr">
        <is>
          <t>{"weapon":"autocannon_30","slot":"coax","aim":"Turret"}</t>
        </is>
      </c>
    </row>
    <row r="22">
      <c r="A22" t="inlineStr">
        <is>
          <t>elite_heavy_tank/1</t>
        </is>
      </c>
      <c r="B22" t="inlineStr">
        <is>
          <t>elite_heavy_tank</t>
        </is>
      </c>
      <c r="C22" t="n">
        <v>1</v>
      </c>
      <c r="D22" t="inlineStr">
        <is>
          <t>hmg_roof</t>
        </is>
      </c>
      <c r="E22" t="inlineStr">
        <is>
          <t>Free</t>
        </is>
      </c>
      <c r="I22" t="inlineStr">
        <is>
          <t>mg</t>
        </is>
      </c>
      <c r="J22" t="inlineStr">
        <is>
          <t>Assets/MachineBrigade/Resources/Data/balance.json: vehicles[49].secondary[1]</t>
        </is>
      </c>
      <c r="K22" t="inlineStr">
        <is>
          <t>{"weapon":"hmg_roof","slot":"mg","aim":"Free"}</t>
        </is>
      </c>
    </row>
    <row r="23">
      <c r="A23" t="inlineStr">
        <is>
          <t>elite_mbt/0</t>
        </is>
      </c>
      <c r="B23" t="inlineStr">
        <is>
          <t>elite_mbt</t>
        </is>
      </c>
      <c r="C23" t="n">
        <v>0</v>
      </c>
      <c r="D23" t="inlineStr">
        <is>
          <t>mg_coax</t>
        </is>
      </c>
      <c r="E23" t="inlineStr">
        <is>
          <t>Turret</t>
        </is>
      </c>
      <c r="I23" t="inlineStr">
        <is>
          <t>coax</t>
        </is>
      </c>
      <c r="J23" t="inlineStr">
        <is>
          <t>Assets/MachineBrigade/Resources/Data/balance.json: vehicles[48].secondary[0]</t>
        </is>
      </c>
      <c r="K23" t="inlineStr">
        <is>
          <t>{"weapon":"mg_coax","slot":"coax","aim":"Turret"}</t>
        </is>
      </c>
    </row>
    <row r="24">
      <c r="A24" t="inlineStr">
        <is>
          <t>elite_mbt/1</t>
        </is>
      </c>
      <c r="B24" t="inlineStr">
        <is>
          <t>elite_mbt</t>
        </is>
      </c>
      <c r="C24" t="n">
        <v>1</v>
      </c>
      <c r="D24" t="inlineStr">
        <is>
          <t>hmg_roof</t>
        </is>
      </c>
      <c r="E24" t="inlineStr">
        <is>
          <t>Free</t>
        </is>
      </c>
      <c r="I24" t="inlineStr">
        <is>
          <t>mg</t>
        </is>
      </c>
      <c r="J24" t="inlineStr">
        <is>
          <t>Assets/MachineBrigade/Resources/Data/balance.json: vehicles[48].secondary[1]</t>
        </is>
      </c>
      <c r="K24" t="inlineStr">
        <is>
          <t>{"weapon":"hmg_roof","slot":"mg","aim":"Free"}</t>
        </is>
      </c>
    </row>
    <row r="25">
      <c r="A25" t="inlineStr">
        <is>
          <t>elite_mlrs/0</t>
        </is>
      </c>
      <c r="B25" t="inlineStr">
        <is>
          <t>elite_mlrs</t>
        </is>
      </c>
      <c r="C25" t="n">
        <v>0</v>
      </c>
      <c r="D25" t="inlineStr">
        <is>
          <t>hmg_selfdef_15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vehicles[52].secondary[0]</t>
        </is>
      </c>
      <c r="K25" t="inlineStr">
        <is>
          <t>{"weapon":"hmg_selfdef_15","slot":"mg","aim":"Free"}</t>
        </is>
      </c>
    </row>
    <row r="26">
      <c r="A26" t="inlineStr">
        <is>
          <t>elite_tank_destroyer/0</t>
        </is>
      </c>
      <c r="B26" t="inlineStr">
        <is>
          <t>elite_tank_destroyer</t>
        </is>
      </c>
      <c r="C26" t="n">
        <v>0</v>
      </c>
      <c r="D26" t="inlineStr">
        <is>
          <t>hmg_roof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vehicles[50].secondary[0]</t>
        </is>
      </c>
      <c r="K26" t="inlineStr">
        <is>
          <t>{"weapon":"hmg_roof","slot":"mg","aim":"Free"}</t>
        </is>
      </c>
    </row>
    <row r="27">
      <c r="A27" t="inlineStr">
        <is>
          <t>fighter_jet/0</t>
        </is>
      </c>
      <c r="B27" t="inlineStr">
        <is>
          <t>fighter_jet</t>
        </is>
      </c>
      <c r="C27" t="n">
        <v>0</v>
      </c>
      <c r="D27" t="inlineStr">
        <is>
          <t>wvr_aam</t>
        </is>
      </c>
      <c r="E27" t="inlineStr">
        <is>
          <t>Free</t>
        </is>
      </c>
      <c r="I27" t="inlineStr">
        <is>
          <t>aam</t>
        </is>
      </c>
      <c r="J27" t="inlineStr">
        <is>
          <t>Assets/MachineBrigade/Resources/Data/balance.json: vehicles[33].secondary[0]</t>
        </is>
      </c>
      <c r="K27" t="inlineStr">
        <is>
          <t>{"weapon":"wvr_aam","slot":"aam","aim":"Free"}</t>
        </is>
      </c>
    </row>
    <row r="28">
      <c r="A28" t="inlineStr">
        <is>
          <t>fighter_jet/1</t>
        </is>
      </c>
      <c r="B28" t="inlineStr">
        <is>
          <t>fighter_jet</t>
        </is>
      </c>
      <c r="C28" t="n">
        <v>1</v>
      </c>
      <c r="D28" t="inlineStr">
        <is>
          <t>fighter_cannon</t>
        </is>
      </c>
      <c r="E28" t="inlineStr">
        <is>
          <t>Hull</t>
        </is>
      </c>
      <c r="I28" t="inlineStr">
        <is>
          <t>gun</t>
        </is>
      </c>
      <c r="J28" t="inlineStr">
        <is>
          <t>Assets/MachineBrigade/Resources/Data/balance.json: vehicles[33].secondary[1]</t>
        </is>
      </c>
      <c r="K28" t="inlineStr">
        <is>
          <t>{"weapon":"fighter_cannon","slot":"gun","aim":"Hull"}</t>
        </is>
      </c>
    </row>
    <row r="29">
      <c r="A29" t="inlineStr">
        <is>
          <t>flame_tank/0</t>
        </is>
      </c>
      <c r="B29" t="inlineStr">
        <is>
          <t>flame_tank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vehicles[3].secondary[0]</t>
        </is>
      </c>
      <c r="K29" t="inlineStr">
        <is>
          <t>{"weapon":"mg_coax","slot":"coax","aim":"Turret"}</t>
        </is>
      </c>
    </row>
    <row r="30">
      <c r="A30" t="inlineStr">
        <is>
          <t>fpv_carrier/0</t>
        </is>
      </c>
      <c r="B30" t="inlineStr">
        <is>
          <t>fpv_carrier</t>
        </is>
      </c>
      <c r="C30" t="n">
        <v>0</v>
      </c>
      <c r="D30" t="inlineStr">
        <is>
          <t>hmg_selfdef_18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vehicles[31].secondary[0]</t>
        </is>
      </c>
      <c r="K30" t="inlineStr">
        <is>
          <t>{"weapon":"hmg_selfdef_18","slot":"mg","aim":"Free"}</t>
        </is>
      </c>
    </row>
    <row r="31">
      <c r="A31" t="inlineStr">
        <is>
          <t>heavy_aa/0</t>
        </is>
      </c>
      <c r="B31" t="inlineStr">
        <is>
          <t>heavy_aa</t>
        </is>
      </c>
      <c r="C31" t="n">
        <v>0</v>
      </c>
      <c r="D31" t="inlineStr">
        <is>
          <t>missile_57e6</t>
        </is>
      </c>
      <c r="E31" t="inlineStr">
        <is>
          <t>Turret</t>
        </is>
      </c>
      <c r="I31" t="inlineStr">
        <is>
          <t>missile</t>
        </is>
      </c>
      <c r="J31" t="inlineStr">
        <is>
          <t>Assets/MachineBrigade/Resources/Data/balance.json: vehicles[19].secondary[0]</t>
        </is>
      </c>
      <c r="K31" t="inlineStr">
        <is>
          <t>{"weapon":"missile_57e6","slot":"missile","aim":"Turret"}</t>
        </is>
      </c>
    </row>
    <row r="32">
      <c r="A32" t="inlineStr">
        <is>
          <t>heavy_bomber/0</t>
        </is>
      </c>
      <c r="B32" t="inlineStr">
        <is>
          <t>heavy_bomber</t>
        </is>
      </c>
      <c r="C32" t="n">
        <v>0</v>
      </c>
      <c r="D32" t="inlineStr">
        <is>
          <t>bomber_tail_guns</t>
        </is>
      </c>
      <c r="E32" t="inlineStr">
        <is>
          <t>Free</t>
        </is>
      </c>
      <c r="I32" t="inlineStr">
        <is>
          <t>gun</t>
        </is>
      </c>
      <c r="J32" t="inlineStr">
        <is>
          <t>Assets/MachineBrigade/Resources/Data/balance.json: vehicles[21].secondary[0]</t>
        </is>
      </c>
      <c r="K32" t="inlineStr">
        <is>
          <t>{"weapon":"bomber_tail_guns","slot":"gun","aim":"Free"}</t>
        </is>
      </c>
    </row>
    <row r="33">
      <c r="A33" t="inlineStr">
        <is>
          <t>heavy_bomber/1</t>
        </is>
      </c>
      <c r="B33" t="inlineStr">
        <is>
          <t>heavy_bomber</t>
        </is>
      </c>
      <c r="C33" t="n">
        <v>1</v>
      </c>
      <c r="D33" t="inlineStr">
        <is>
          <t>air_cruise_missile</t>
        </is>
      </c>
      <c r="E33" t="inlineStr">
        <is>
          <t>Hull</t>
        </is>
      </c>
      <c r="I33" t="inlineStr">
        <is>
          <t>rocket</t>
        </is>
      </c>
      <c r="J33" t="inlineStr">
        <is>
          <t>Assets/MachineBrigade/Resources/Data/balance.json: vehicles[21].secondary[1]</t>
        </is>
      </c>
      <c r="K33" t="inlineStr">
        <is>
          <t>{"weapon":"air_cruise_missile","slot":"rocket","aim":"Hull"}</t>
        </is>
      </c>
    </row>
    <row r="34">
      <c r="A34" t="inlineStr">
        <is>
          <t>heavy_tank/0</t>
        </is>
      </c>
      <c r="B34" t="inlineStr">
        <is>
          <t>heavy_tank</t>
        </is>
      </c>
      <c r="C34" t="n">
        <v>0</v>
      </c>
      <c r="D34" t="inlineStr">
        <is>
          <t>autocannon_30</t>
        </is>
      </c>
      <c r="E34" t="inlineStr">
        <is>
          <t>Turret</t>
        </is>
      </c>
      <c r="I34" t="inlineStr">
        <is>
          <t>coax</t>
        </is>
      </c>
      <c r="J34" t="inlineStr">
        <is>
          <t>Assets/MachineBrigade/Resources/Data/balance.json: vehicles[10].secondary[0]</t>
        </is>
      </c>
      <c r="K34" t="inlineStr">
        <is>
          <t>{"weapon":"autocannon_30","slot":"coax","aim":"Turret"}</t>
        </is>
      </c>
    </row>
    <row r="35">
      <c r="A35" t="inlineStr">
        <is>
          <t>heavy_tank/1</t>
        </is>
      </c>
      <c r="B35" t="inlineStr">
        <is>
          <t>heavy_tank</t>
        </is>
      </c>
      <c r="C35" t="n">
        <v>1</v>
      </c>
      <c r="D35" t="inlineStr">
        <is>
          <t>hmg_roof</t>
        </is>
      </c>
      <c r="E35" t="inlineStr">
        <is>
          <t>Free</t>
        </is>
      </c>
      <c r="I35" t="inlineStr">
        <is>
          <t>mg</t>
        </is>
      </c>
      <c r="J35" t="inlineStr">
        <is>
          <t>Assets/MachineBrigade/Resources/Data/balance.json: vehicles[10].secondary[1]</t>
        </is>
      </c>
      <c r="K35" t="inlineStr">
        <is>
          <t>{"weapon":"hmg_roof","slot":"mg","aim":"Free"}</t>
        </is>
      </c>
    </row>
    <row r="36">
      <c r="A36" t="inlineStr">
        <is>
          <t>ifv/0</t>
        </is>
      </c>
      <c r="B36" t="inlineStr">
        <is>
          <t>ifv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vehicles[18].secondary[0]</t>
        </is>
      </c>
      <c r="K36" t="inlineStr">
        <is>
          <t>{"weapon":"mg_coax","slot":"coax","aim":"Turret"}</t>
        </is>
      </c>
    </row>
    <row r="37">
      <c r="A37" t="inlineStr">
        <is>
          <t>ifv/1</t>
        </is>
      </c>
      <c r="B37" t="inlineStr">
        <is>
          <t>ifv</t>
        </is>
      </c>
      <c r="C37" t="n">
        <v>1</v>
      </c>
      <c r="D37" t="inlineStr">
        <is>
          <t>atgm</t>
        </is>
      </c>
      <c r="E37" t="inlineStr">
        <is>
          <t>Turret</t>
        </is>
      </c>
      <c r="I37" t="inlineStr">
        <is>
          <t>missile</t>
        </is>
      </c>
      <c r="J37" t="inlineStr">
        <is>
          <t>Assets/MachineBrigade/Resources/Data/balance.json: vehicles[18].secondary[1]</t>
        </is>
      </c>
      <c r="K37" t="inlineStr">
        <is>
          <t>{"weapon":"atgm","slot":"missile","aim":"Turret"}</t>
        </is>
      </c>
    </row>
    <row r="38">
      <c r="A38" t="inlineStr">
        <is>
          <t>light_tank/0</t>
        </is>
      </c>
      <c r="B38" t="inlineStr">
        <is>
          <t>light_tank</t>
        </is>
      </c>
      <c r="C38" t="n">
        <v>0</v>
      </c>
      <c r="D38" t="inlineStr">
        <is>
          <t>mg_coax</t>
        </is>
      </c>
      <c r="E38" t="inlineStr">
        <is>
          <t>Turret</t>
        </is>
      </c>
      <c r="I38" t="inlineStr">
        <is>
          <t>coax</t>
        </is>
      </c>
      <c r="J38" t="inlineStr">
        <is>
          <t>Assets/MachineBrigade/Resources/Data/balance.json: vehicles[1].secondary[0]</t>
        </is>
      </c>
      <c r="K38" t="inlineStr">
        <is>
          <t>{"weapon":"mg_coax","slot":"coax","aim":"Turret"}</t>
        </is>
      </c>
    </row>
    <row r="39">
      <c r="A39" t="inlineStr">
        <is>
          <t>light_tank/1</t>
        </is>
      </c>
      <c r="B39" t="inlineStr">
        <is>
          <t>light_tank</t>
        </is>
      </c>
      <c r="C39" t="n">
        <v>1</v>
      </c>
      <c r="D39" t="inlineStr">
        <is>
          <t>gun_launched_atgm</t>
        </is>
      </c>
      <c r="E39" t="inlineStr">
        <is>
          <t>Turret</t>
        </is>
      </c>
      <c r="I39" t="inlineStr">
        <is>
          <t>main</t>
        </is>
      </c>
      <c r="J39" t="inlineStr">
        <is>
          <t>Assets/MachineBrigade/Resources/Data/balance.json: vehicles[1].secondary[1]</t>
        </is>
      </c>
      <c r="K39" t="inlineStr">
        <is>
          <t>{"weapon":"gun_launched_atgm","slot":"main","aim":"Turret"}</t>
        </is>
      </c>
    </row>
    <row r="40">
      <c r="A40" t="inlineStr">
        <is>
          <t>main_battle_tank/0</t>
        </is>
      </c>
      <c r="B40" t="inlineStr">
        <is>
          <t>main_battle_tank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vehicles[2].secondary[0]</t>
        </is>
      </c>
      <c r="K40" t="inlineStr">
        <is>
          <t>{"weapon":"mg_coax","slot":"coax","aim":"Turret"}</t>
        </is>
      </c>
    </row>
    <row r="41">
      <c r="A41" t="inlineStr">
        <is>
          <t>main_battle_tank/1</t>
        </is>
      </c>
      <c r="B41" t="inlineStr">
        <is>
          <t>main_battle_tank</t>
        </is>
      </c>
      <c r="C41" t="n">
        <v>1</v>
      </c>
      <c r="D41" t="inlineStr">
        <is>
          <t>hmg_roof</t>
        </is>
      </c>
      <c r="E41" t="inlineStr">
        <is>
          <t>Free</t>
        </is>
      </c>
      <c r="I41" t="inlineStr">
        <is>
          <t>mg</t>
        </is>
      </c>
      <c r="J41" t="inlineStr">
        <is>
          <t>Assets/MachineBrigade/Resources/Data/balance.json: vehicles[2].secondary[1]</t>
        </is>
      </c>
      <c r="K41" t="inlineStr">
        <is>
          <t>{"weapon":"hmg_roof","slot":"mg","aim":"Free"}</t>
        </is>
      </c>
    </row>
    <row r="42">
      <c r="A42" t="inlineStr">
        <is>
          <t>mara_behemoth/0</t>
        </is>
      </c>
      <c r="B42" t="inlineStr">
        <is>
          <t>mara_behemoth</t>
        </is>
      </c>
      <c r="C42" t="n">
        <v>0</v>
      </c>
      <c r="D42" t="inlineStr">
        <is>
          <t>gun_120mm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vehicles[178].secondary[0]</t>
        </is>
      </c>
      <c r="K42" t="inlineStr">
        <is>
          <t>{"weapon":"gun_120mm","slot":"gun","aim":"Free"}</t>
        </is>
      </c>
    </row>
    <row r="43">
      <c r="A43" t="inlineStr">
        <is>
          <t>mara_behemoth/1</t>
        </is>
      </c>
      <c r="B43" t="inlineStr">
        <is>
          <t>mara_behemoth</t>
        </is>
      </c>
      <c r="C43" t="n">
        <v>1</v>
      </c>
      <c r="D43" t="inlineStr">
        <is>
          <t>boss_flak</t>
        </is>
      </c>
      <c r="E43" t="inlineStr">
        <is>
          <t>Free</t>
        </is>
      </c>
      <c r="I43" t="inlineStr">
        <is>
          <t>mg</t>
        </is>
      </c>
      <c r="J43" t="inlineStr">
        <is>
          <t>Assets/MachineBrigade/Resources/Data/balance.json: vehicles[178].secondary[1]</t>
        </is>
      </c>
      <c r="K43" t="inlineStr">
        <is>
          <t>{"weapon":"boss_flak","slot":"mg","aim":"Free"}</t>
        </is>
      </c>
    </row>
    <row r="44">
      <c r="A44" t="inlineStr">
        <is>
          <t>mara_behemoth/2</t>
        </is>
      </c>
      <c r="B44" t="inlineStr">
        <is>
          <t>mara_behemoth</t>
        </is>
      </c>
      <c r="C44" t="n">
        <v>2</v>
      </c>
      <c r="D44" t="inlineStr">
        <is>
          <t>boss_flak</t>
        </is>
      </c>
      <c r="E44" t="inlineStr">
        <is>
          <t>Free</t>
        </is>
      </c>
      <c r="I44" t="inlineStr">
        <is>
          <t>mg</t>
        </is>
      </c>
      <c r="J44" t="inlineStr">
        <is>
          <t>Assets/MachineBrigade/Resources/Data/balance.json: vehicles[178].secondary[2]</t>
        </is>
      </c>
      <c r="K44" t="inlineStr">
        <is>
          <t>{"weapon":"boss_flak","slot":"mg","aim":"Free"}</t>
        </is>
      </c>
    </row>
    <row r="45">
      <c r="A45" t="inlineStr">
        <is>
          <t>mara_behemoth/3</t>
        </is>
      </c>
      <c r="B45" t="inlineStr">
        <is>
          <t>mara_behemoth</t>
        </is>
      </c>
      <c r="C45" t="n">
        <v>3</v>
      </c>
      <c r="D45" t="inlineStr">
        <is>
          <t>boss_missiles</t>
        </is>
      </c>
      <c r="E45" t="inlineStr">
        <is>
          <t>Hull</t>
        </is>
      </c>
      <c r="I45" t="inlineStr">
        <is>
          <t>missile</t>
        </is>
      </c>
      <c r="J45" t="inlineStr">
        <is>
          <t>Assets/MachineBrigade/Resources/Data/balance.json: vehicles[178].secondary[3]</t>
        </is>
      </c>
      <c r="K45" t="inlineStr">
        <is>
          <t>{"weapon":"boss_missiles","slot":"missile","aim":"Hull"}</t>
        </is>
      </c>
    </row>
    <row r="46">
      <c r="A46" t="inlineStr">
        <is>
          <t>mara_behemoth/4</t>
        </is>
      </c>
      <c r="B46" t="inlineStr">
        <is>
          <t>mara_behemoth</t>
        </is>
      </c>
      <c r="C46" t="n">
        <v>4</v>
      </c>
      <c r="D46" t="inlineStr">
        <is>
          <t>boss_missiles</t>
        </is>
      </c>
      <c r="E46" t="inlineStr">
        <is>
          <t>Hull</t>
        </is>
      </c>
      <c r="I46" t="inlineStr">
        <is>
          <t>missile</t>
        </is>
      </c>
      <c r="J46" t="inlineStr">
        <is>
          <t>Assets/MachineBrigade/Resources/Data/balance.json: vehicles[178].secondary[4]</t>
        </is>
      </c>
      <c r="K46" t="inlineStr">
        <is>
          <t>{"weapon":"boss_missiles","slot":"missile","aim":"Hull"}</t>
        </is>
      </c>
    </row>
    <row r="47">
      <c r="A47" t="inlineStr">
        <is>
          <t>missile_boat/0</t>
        </is>
      </c>
      <c r="B47" t="inlineStr">
        <is>
          <t>missile_boat</t>
        </is>
      </c>
      <c r="C47" t="n">
        <v>0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vehicles[156].secondary[0]</t>
        </is>
      </c>
      <c r="K47" t="inlineStr">
        <is>
          <t>{"weapon":"hmg_roof","slot":"mg","aim":"Free"}</t>
        </is>
      </c>
    </row>
    <row r="48">
      <c r="A48" t="inlineStr">
        <is>
          <t>mortar_carrier/0</t>
        </is>
      </c>
      <c r="B48" t="inlineStr">
        <is>
          <t>mortar_carrier</t>
        </is>
      </c>
      <c r="C48" t="n">
        <v>0</v>
      </c>
      <c r="D48" t="inlineStr">
        <is>
          <t>hmg_selfdef_18</t>
        </is>
      </c>
      <c r="E48" t="inlineStr">
        <is>
          <t>Free</t>
        </is>
      </c>
      <c r="I48" t="inlineStr">
        <is>
          <t>mg</t>
        </is>
      </c>
      <c r="J48" t="inlineStr">
        <is>
          <t>Assets/MachineBrigade/Resources/Data/balance.json: vehicles[12].secondary[0]</t>
        </is>
      </c>
      <c r="K48" t="inlineStr">
        <is>
          <t>{"weapon":"hmg_selfdef_18","slot":"mg","aim":"Free"}</t>
        </is>
      </c>
    </row>
    <row r="49">
      <c r="A49" t="inlineStr">
        <is>
          <t>river_patrol_boat/0</t>
        </is>
      </c>
      <c r="B49" t="inlineStr">
        <is>
          <t>river_patrol_boat</t>
        </is>
      </c>
      <c r="C49" t="n">
        <v>0</v>
      </c>
      <c r="D49" t="inlineStr">
        <is>
          <t>agl_40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vehicles[124].secondary[0]</t>
        </is>
      </c>
      <c r="K49" t="inlineStr">
        <is>
          <t>{"weapon":"agl_40","slot":"mg","aim":"Free"}</t>
        </is>
      </c>
    </row>
    <row r="50">
      <c r="A50" t="inlineStr">
        <is>
          <t>rocket_technical/0</t>
        </is>
      </c>
      <c r="B50" t="inlineStr">
        <is>
          <t>rocket_technical</t>
        </is>
      </c>
      <c r="C50" t="n">
        <v>0</v>
      </c>
      <c r="D50" t="inlineStr">
        <is>
          <t>mg_jeep_selfdef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vehicles[13].secondary[0]</t>
        </is>
      </c>
      <c r="K50" t="inlineStr">
        <is>
          <t>{"weapon":"mg_jeep_selfdef","slot":"mg","aim":"Free"}</t>
        </is>
      </c>
    </row>
    <row r="51">
      <c r="A51" t="inlineStr">
        <is>
          <t>scout_heli/0</t>
        </is>
      </c>
      <c r="B51" t="inlineStr">
        <is>
          <t>scout_heli</t>
        </is>
      </c>
      <c r="C51" t="n">
        <v>0</v>
      </c>
      <c r="D51" t="inlineStr">
        <is>
          <t>scout_rockets</t>
        </is>
      </c>
      <c r="E51" t="inlineStr">
        <is>
          <t>Hull</t>
        </is>
      </c>
      <c r="I51" t="inlineStr">
        <is>
          <t>rocket</t>
        </is>
      </c>
      <c r="J51" t="inlineStr">
        <is>
          <t>Assets/MachineBrigade/Resources/Data/balance.json: vehicles[14].secondary[0]</t>
        </is>
      </c>
      <c r="K51" t="inlineStr">
        <is>
          <t>{"weapon":"scout_rockets","slot":"rocket","aim":"Hull"}</t>
        </is>
      </c>
    </row>
    <row r="52">
      <c r="A52" t="inlineStr">
        <is>
          <t>sea_corvette/0</t>
        </is>
      </c>
      <c r="B52" t="inlineStr">
        <is>
          <t>sea_corvette</t>
        </is>
      </c>
      <c r="C52" t="n">
        <v>0</v>
      </c>
      <c r="D52" t="inlineStr">
        <is>
          <t>hover_ciws</t>
        </is>
      </c>
      <c r="E52" t="inlineStr">
        <is>
          <t>Free</t>
        </is>
      </c>
      <c r="I52" t="inlineStr">
        <is>
          <t>mg</t>
        </is>
      </c>
      <c r="J52" t="inlineStr">
        <is>
          <t>Assets/MachineBrigade/Resources/Data/balance.json: vehicles[154].secondary[0]</t>
        </is>
      </c>
      <c r="K52" t="inlineStr">
        <is>
          <t>{"weapon":"hover_ciws","slot":"mg","aim":"Free"}</t>
        </is>
      </c>
    </row>
    <row r="53">
      <c r="A53" t="inlineStr">
        <is>
          <t>sea_cruiser/0</t>
        </is>
      </c>
      <c r="B53" t="inlineStr">
        <is>
          <t>sea_cruiser</t>
        </is>
      </c>
      <c r="C53" t="n">
        <v>0</v>
      </c>
      <c r="D53" t="inlineStr">
        <is>
          <t>cruiser_203</t>
        </is>
      </c>
      <c r="E53" t="inlineStr">
        <is>
          <t>Free</t>
        </is>
      </c>
      <c r="F53" t="n">
        <v>180</v>
      </c>
      <c r="G53" t="n">
        <v>150</v>
      </c>
      <c r="I53" t="inlineStr">
        <is>
          <t>gun</t>
        </is>
      </c>
      <c r="J53" t="inlineStr">
        <is>
          <t>Assets/MachineBrigade/Resources/Data/balance.json: vehicles[155].secondary[0]</t>
        </is>
      </c>
      <c r="K53" t="inlineStr">
        <is>
          <t>{"weapon":"cruiser_203","slot":"gun","aim":"Free","arc":[180,150]}</t>
        </is>
      </c>
    </row>
    <row r="54">
      <c r="A54" t="inlineStr">
        <is>
          <t>sea_cruiser/1</t>
        </is>
      </c>
      <c r="B54" t="inlineStr">
        <is>
          <t>sea_cruiser</t>
        </is>
      </c>
      <c r="C54" t="n">
        <v>1</v>
      </c>
      <c r="D54" t="inlineStr">
        <is>
          <t>hover_ciws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vehicles[155].secondary[1]</t>
        </is>
      </c>
      <c r="K54" t="inlineStr">
        <is>
          <t>{"weapon":"hover_ciws","slot":"mg","aim":"Free"}</t>
        </is>
      </c>
    </row>
    <row r="55">
      <c r="A55" t="inlineStr">
        <is>
          <t>sea_cruiser/2</t>
        </is>
      </c>
      <c r="B55" t="inlineStr">
        <is>
          <t>sea_cruiser</t>
        </is>
      </c>
      <c r="C55" t="n">
        <v>2</v>
      </c>
      <c r="D55" t="inlineStr">
        <is>
          <t>hover_ciws</t>
        </is>
      </c>
      <c r="E55" t="inlineStr">
        <is>
          <t>Free</t>
        </is>
      </c>
      <c r="I55" t="inlineStr">
        <is>
          <t>mg</t>
        </is>
      </c>
      <c r="J55" t="inlineStr">
        <is>
          <t>Assets/MachineBrigade/Resources/Data/balance.json: vehicles[155].secondary[2]</t>
        </is>
      </c>
      <c r="K55" t="inlineStr">
        <is>
          <t>{"weapon":"hover_ciws","slot":"mg","aim":"Free"}</t>
        </is>
      </c>
    </row>
    <row r="56">
      <c r="A56" t="inlineStr">
        <is>
          <t>shahed_truck/0</t>
        </is>
      </c>
      <c r="B56" t="inlineStr">
        <is>
          <t>shahed_truck</t>
        </is>
      </c>
      <c r="C56" t="n">
        <v>0</v>
      </c>
      <c r="D56" t="inlineStr">
        <is>
          <t>hmg_selfdef_15</t>
        </is>
      </c>
      <c r="E56" t="inlineStr">
        <is>
          <t>Free</t>
        </is>
      </c>
      <c r="I56" t="inlineStr">
        <is>
          <t>mg</t>
        </is>
      </c>
      <c r="J56" t="inlineStr">
        <is>
          <t>Assets/MachineBrigade/Resources/Data/balance.json: vehicles[37].secondary[0]</t>
        </is>
      </c>
      <c r="K56" t="inlineStr">
        <is>
          <t>{"weapon":"hmg_selfdef_15","slot":"mg","aim":"Free"}</t>
        </is>
      </c>
    </row>
    <row r="57">
      <c r="A57" t="inlineStr">
        <is>
          <t>siege_tank/0</t>
        </is>
      </c>
      <c r="B57" t="inlineStr">
        <is>
          <t>siege_tank</t>
        </is>
      </c>
      <c r="C57" t="n">
        <v>0</v>
      </c>
      <c r="D57" t="inlineStr">
        <is>
          <t>siege_gun_105</t>
        </is>
      </c>
      <c r="E57" t="inlineStr">
        <is>
          <t>Turret</t>
        </is>
      </c>
      <c r="I57" t="inlineStr">
        <is>
          <t>gun</t>
        </is>
      </c>
      <c r="J57" t="inlineStr">
        <is>
          <t>Assets/MachineBrigade/Resources/Data/balance.json: vehicles[25].secondary[0]</t>
        </is>
      </c>
      <c r="K57" t="inlineStr">
        <is>
          <t>{"weapon":"siege_gun_105","slot":"gun","aim":"Turret"}</t>
        </is>
      </c>
    </row>
    <row r="58">
      <c r="A58" t="inlineStr">
        <is>
          <t>siege_tank/1</t>
        </is>
      </c>
      <c r="B58" t="inlineStr">
        <is>
          <t>siege_tank</t>
        </is>
      </c>
      <c r="C58" t="n">
        <v>1</v>
      </c>
      <c r="D58" t="inlineStr">
        <is>
          <t>hmg_selfdef_21</t>
        </is>
      </c>
      <c r="E58" t="inlineStr">
        <is>
          <t>Free</t>
        </is>
      </c>
      <c r="I58" t="inlineStr">
        <is>
          <t>mg</t>
        </is>
      </c>
      <c r="J58" t="inlineStr">
        <is>
          <t>Assets/MachineBrigade/Resources/Data/balance.json: vehicles[25].secondary[1]</t>
        </is>
      </c>
      <c r="K58" t="inlineStr">
        <is>
          <t>{"weapon":"hmg_selfdef_21","slot":"mg","aim":"Free"}</t>
        </is>
      </c>
    </row>
    <row r="59">
      <c r="A59" t="inlineStr">
        <is>
          <t>sky_gunship/0</t>
        </is>
      </c>
      <c r="B59" t="inlineStr">
        <is>
          <t>sky_gunship</t>
        </is>
      </c>
      <c r="C59" t="n">
        <v>0</v>
      </c>
      <c r="D59" t="inlineStr">
        <is>
          <t>gunship_40mm</t>
        </is>
      </c>
      <c r="E59" t="inlineStr">
        <is>
          <t>Left</t>
        </is>
      </c>
      <c r="I59" t="inlineStr">
        <is>
          <t>gun</t>
        </is>
      </c>
      <c r="J59" t="inlineStr">
        <is>
          <t>Assets/MachineBrigade/Resources/Data/balance.json: vehicles[23].secondary[0]</t>
        </is>
      </c>
      <c r="K59" t="inlineStr">
        <is>
          <t>{"weapon":"gunship_40mm","slot":"gun","aim":"Left"}</t>
        </is>
      </c>
    </row>
    <row r="60">
      <c r="A60" t="inlineStr">
        <is>
          <t>sky_gunship/1</t>
        </is>
      </c>
      <c r="B60" t="inlineStr">
        <is>
          <t>sky_gunship</t>
        </is>
      </c>
      <c r="C60" t="n">
        <v>1</v>
      </c>
      <c r="D60" t="inlineStr">
        <is>
          <t>gunship_25mm</t>
        </is>
      </c>
      <c r="E60" t="inlineStr">
        <is>
          <t>Left</t>
        </is>
      </c>
      <c r="I60" t="inlineStr">
        <is>
          <t>mg</t>
        </is>
      </c>
      <c r="J60" t="inlineStr">
        <is>
          <t>Assets/MachineBrigade/Resources/Data/balance.json: vehicles[23].secondary[1]</t>
        </is>
      </c>
      <c r="K60" t="inlineStr">
        <is>
          <t>{"weapon":"gunship_25mm","slot":"mg","aim":"Left"}</t>
        </is>
      </c>
    </row>
    <row r="61">
      <c r="A61" t="inlineStr">
        <is>
          <t>sp_mortar/0</t>
        </is>
      </c>
      <c r="B61" t="inlineStr">
        <is>
          <t>sp_mortar</t>
        </is>
      </c>
      <c r="C61" t="n">
        <v>0</v>
      </c>
      <c r="D61" t="inlineStr">
        <is>
          <t>hmg_selfdef_18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vehicles[114].secondary[0]</t>
        </is>
      </c>
      <c r="K61" t="inlineStr">
        <is>
          <t>{"weapon":"hmg_selfdef_18","slot":"mg","aim":"Free"}</t>
        </is>
      </c>
    </row>
    <row r="62">
      <c r="A62" t="inlineStr">
        <is>
          <t>stealth_bomber/0</t>
        </is>
      </c>
      <c r="B62" t="inlineStr">
        <is>
          <t>stealth_bomber</t>
        </is>
      </c>
      <c r="C62" t="n">
        <v>0</v>
      </c>
      <c r="D62" t="inlineStr">
        <is>
          <t>jassm</t>
        </is>
      </c>
      <c r="E62" t="inlineStr">
        <is>
          <t>Hull</t>
        </is>
      </c>
      <c r="I62" t="inlineStr">
        <is>
          <t>rocket</t>
        </is>
      </c>
      <c r="J62" t="inlineStr">
        <is>
          <t>Assets/MachineBrigade/Resources/Data/balance.json: vehicles[22].secondary[0]</t>
        </is>
      </c>
      <c r="K62" t="inlineStr">
        <is>
          <t>{"weapon":"jassm","slot":"rocket","aim":"Hull"}</t>
        </is>
      </c>
    </row>
    <row r="63">
      <c r="A63" t="inlineStr">
        <is>
          <t>stealth_fighter/0</t>
        </is>
      </c>
      <c r="B63" t="inlineStr">
        <is>
          <t>stealth_fighter</t>
        </is>
      </c>
      <c r="C63" t="n">
        <v>0</v>
      </c>
      <c r="D63" t="inlineStr">
        <is>
          <t>guided_bomb</t>
        </is>
      </c>
      <c r="E63" t="inlineStr">
        <is>
          <t>Free</t>
        </is>
      </c>
      <c r="I63" t="inlineStr">
        <is>
          <t>bomb</t>
        </is>
      </c>
      <c r="J63" t="inlineStr">
        <is>
          <t>Assets/MachineBrigade/Resources/Data/balance.json: vehicles[44].secondary[0]</t>
        </is>
      </c>
      <c r="K63" t="inlineStr">
        <is>
          <t>{"weapon":"guided_bomb","slot":"bomb","aim":"Free"}</t>
        </is>
      </c>
    </row>
    <row r="64">
      <c r="A64" t="inlineStr">
        <is>
          <t>stealth_fighter/1</t>
        </is>
      </c>
      <c r="B64" t="inlineStr">
        <is>
          <t>stealth_fighter</t>
        </is>
      </c>
      <c r="C64" t="n">
        <v>1</v>
      </c>
      <c r="D64" t="inlineStr">
        <is>
          <t>fighter_cannon</t>
        </is>
      </c>
      <c r="E64" t="inlineStr">
        <is>
          <t>Hull</t>
        </is>
      </c>
      <c r="I64" t="inlineStr">
        <is>
          <t>gun</t>
        </is>
      </c>
      <c r="J64" t="inlineStr">
        <is>
          <t>Assets/MachineBrigade/Resources/Data/balance.json: vehicles[44].secondary[1]</t>
        </is>
      </c>
      <c r="K64" t="inlineStr">
        <is>
          <t>{"weapon":"fighter_cannon","slot":"gun","aim":"Hull"}</t>
        </is>
      </c>
    </row>
    <row r="65">
      <c r="A65" t="inlineStr">
        <is>
          <t>stealth_naval_strike/0</t>
        </is>
      </c>
      <c r="B65" t="inlineStr">
        <is>
          <t>stealth_naval_strike</t>
        </is>
      </c>
      <c r="C65" t="n">
        <v>0</v>
      </c>
      <c r="D65" t="inlineStr">
        <is>
          <t>jet_bombs</t>
        </is>
      </c>
      <c r="E65" t="inlineStr">
        <is>
          <t>Hull</t>
        </is>
      </c>
      <c r="I65" t="inlineStr">
        <is>
          <t>missile</t>
        </is>
      </c>
      <c r="J65" t="inlineStr">
        <is>
          <t>Assets/MachineBrigade/Resources/Data/balance.json: vehicles[126].secondary[0]</t>
        </is>
      </c>
      <c r="K65" t="inlineStr">
        <is>
          <t>{"weapon":"jet_bombs","slot":"missile","aim":"Hull"}</t>
        </is>
      </c>
    </row>
    <row r="66">
      <c r="A66" t="inlineStr">
        <is>
          <t>strike_drone/0</t>
        </is>
      </c>
      <c r="B66" t="inlineStr">
        <is>
          <t>strike_drone</t>
        </is>
      </c>
      <c r="C66" t="n">
        <v>0</v>
      </c>
      <c r="D66" t="inlineStr">
        <is>
          <t>guided_bomb</t>
        </is>
      </c>
      <c r="E66" t="inlineStr">
        <is>
          <t>Hull</t>
        </is>
      </c>
      <c r="I66" t="inlineStr">
        <is>
          <t>rocket</t>
        </is>
      </c>
      <c r="J66" t="inlineStr">
        <is>
          <t>Assets/MachineBrigade/Resources/Data/balance.json: vehicles[16].secondary[0]</t>
        </is>
      </c>
      <c r="K66" t="inlineStr">
        <is>
          <t>{"weapon":"guided_bomb","slot":"rocket","aim":"Hull"}</t>
        </is>
      </c>
    </row>
    <row r="67">
      <c r="A67" t="inlineStr">
        <is>
          <t>swarm_carrier/0</t>
        </is>
      </c>
      <c r="B67" t="inlineStr">
        <is>
          <t>swarm_carrier</t>
        </is>
      </c>
      <c r="C67" t="n">
        <v>0</v>
      </c>
      <c r="D67" t="inlineStr">
        <is>
          <t>jassm</t>
        </is>
      </c>
      <c r="E67" t="inlineStr">
        <is>
          <t>Free</t>
        </is>
      </c>
      <c r="I67" t="inlineStr">
        <is>
          <t>drone</t>
        </is>
      </c>
      <c r="J67" t="inlineStr">
        <is>
          <t>Assets/MachineBrigade/Resources/Data/balance.json: vehicles[47].secondary[0]</t>
        </is>
      </c>
      <c r="K67" t="inlineStr">
        <is>
          <t>{"weapon":"jassm","slot":"drone","aim":"Free"}</t>
        </is>
      </c>
    </row>
    <row r="68">
      <c r="A68" t="inlineStr">
        <is>
          <t>tank_destroyer/0</t>
        </is>
      </c>
      <c r="B68" t="inlineStr">
        <is>
          <t>tank_destroyer</t>
        </is>
      </c>
      <c r="C68" t="n">
        <v>0</v>
      </c>
      <c r="D68" t="inlineStr">
        <is>
          <t>hmg_roof</t>
        </is>
      </c>
      <c r="E68" t="inlineStr">
        <is>
          <t>Free</t>
        </is>
      </c>
      <c r="I68" t="inlineStr">
        <is>
          <t>mg</t>
        </is>
      </c>
      <c r="J68" t="inlineStr">
        <is>
          <t>Assets/MachineBrigade/Resources/Data/balance.json: vehicles[9].secondary[0]</t>
        </is>
      </c>
      <c r="K68" t="inlineStr">
        <is>
          <t>{"weapon":"hmg_roof","slot":"mg","aim":"Free"}</t>
        </is>
      </c>
    </row>
    <row r="69">
      <c r="A69" t="inlineStr">
        <is>
          <t>thermobaric_launcher/0</t>
        </is>
      </c>
      <c r="B69" t="inlineStr">
        <is>
          <t>thermobaric_launcher</t>
        </is>
      </c>
      <c r="C69" t="n">
        <v>0</v>
      </c>
      <c r="D69" t="inlineStr">
        <is>
          <t>hmg_selfdef_18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vehicles[17].secondary[0]</t>
        </is>
      </c>
      <c r="K69" t="inlineStr">
        <is>
          <t>{"weapon":"hmg_selfdef_18","slot":"mg","aim":"Free"}</t>
        </is>
      </c>
    </row>
    <row r="70">
      <c r="A70" t="inlineStr">
        <is>
          <t>titan_tank/0</t>
        </is>
      </c>
      <c r="B70" t="inlineStr">
        <is>
          <t>titan_tank</t>
        </is>
      </c>
      <c r="C70" t="n">
        <v>0</v>
      </c>
      <c r="D70" t="inlineStr">
        <is>
          <t>mg_coax</t>
        </is>
      </c>
      <c r="E70" t="inlineStr">
        <is>
          <t>Turret</t>
        </is>
      </c>
      <c r="I70" t="inlineStr">
        <is>
          <t>coax</t>
        </is>
      </c>
      <c r="J70" t="inlineStr">
        <is>
          <t>Assets/MachineBrigade/Resources/Data/balance.json: vehicles[20].secondary[0]</t>
        </is>
      </c>
      <c r="K70" t="inlineStr">
        <is>
          <t>{"weapon":"mg_coax","slot":"coax","aim":"Turret"}</t>
        </is>
      </c>
    </row>
    <row r="71">
      <c r="A71" t="inlineStr">
        <is>
          <t>titan_tank/1</t>
        </is>
      </c>
      <c r="B71" t="inlineStr">
        <is>
          <t>titan_tank</t>
        </is>
      </c>
      <c r="C71" t="n">
        <v>1</v>
      </c>
      <c r="D71" t="inlineStr">
        <is>
          <t>hmg_roof</t>
        </is>
      </c>
      <c r="E71" t="inlineStr">
        <is>
          <t>Free</t>
        </is>
      </c>
      <c r="I71" t="inlineStr">
        <is>
          <t>mg</t>
        </is>
      </c>
      <c r="J71" t="inlineStr">
        <is>
          <t>Assets/MachineBrigade/Resources/Data/balance.json: vehicles[20].secondary[1]</t>
        </is>
      </c>
      <c r="K71" t="inlineStr">
        <is>
          <t>{"weapon":"hmg_roof","slot":"mg","aim":"Free"}</t>
        </is>
      </c>
    </row>
    <row r="72">
      <c r="A72" t="inlineStr">
        <is>
          <t>titan_tank/2</t>
        </is>
      </c>
      <c r="B72" t="inlineStr">
        <is>
          <t>titan_tank</t>
        </is>
      </c>
      <c r="C72" t="n">
        <v>2</v>
      </c>
      <c r="D72" t="inlineStr">
        <is>
          <t>atgm</t>
        </is>
      </c>
      <c r="E72" t="inlineStr">
        <is>
          <t>Turret</t>
        </is>
      </c>
      <c r="I72" t="inlineStr">
        <is>
          <t>missile</t>
        </is>
      </c>
      <c r="J72" t="inlineStr">
        <is>
          <t>Assets/MachineBrigade/Resources/Data/balance.json: vehicles[20].secondary[2]</t>
        </is>
      </c>
      <c r="K72" t="inlineStr">
        <is>
          <t>{"weapon":"atgm","slot":"missile","aim":"Turret"}</t>
        </is>
      </c>
    </row>
    <row r="73">
      <c r="A73" t="inlineStr">
        <is>
          <t>twin_rotor_gunship/0</t>
        </is>
      </c>
      <c r="B73" t="inlineStr">
        <is>
          <t>twin_rotor_gunship</t>
        </is>
      </c>
      <c r="C73" t="n">
        <v>0</v>
      </c>
      <c r="D73" t="inlineStr">
        <is>
          <t>agl_40</t>
        </is>
      </c>
      <c r="E73" t="inlineStr">
        <is>
          <t>Free</t>
        </is>
      </c>
      <c r="I73" t="inlineStr">
        <is>
          <t>mg</t>
        </is>
      </c>
      <c r="J73" t="inlineStr">
        <is>
          <t>Assets/MachineBrigade/Resources/Data/balance.json: vehicles[127].secondary[0]</t>
        </is>
      </c>
      <c r="K73" t="inlineStr">
        <is>
          <t>{"weapon":"agl_40","slot":"mg","aim":"Free"}</t>
        </is>
      </c>
    </row>
    <row r="74">
      <c r="A74" t="inlineStr">
        <is>
          <t>twin_tank/0</t>
        </is>
      </c>
      <c r="B74" t="inlineStr">
        <is>
          <t>twin_tank</t>
        </is>
      </c>
      <c r="C74" t="n">
        <v>0</v>
      </c>
      <c r="D74" t="inlineStr">
        <is>
          <t>mg_coax</t>
        </is>
      </c>
      <c r="E74" t="inlineStr">
        <is>
          <t>Turret</t>
        </is>
      </c>
      <c r="I74" t="inlineStr">
        <is>
          <t>coax</t>
        </is>
      </c>
      <c r="J74" t="inlineStr">
        <is>
          <t>Assets/MachineBrigade/Resources/Data/balance.json: vehicles[24].secondary[0]</t>
        </is>
      </c>
      <c r="K74" t="inlineStr">
        <is>
          <t>{"weapon":"mg_coax","slot":"coax","aim":"Turret"}</t>
        </is>
      </c>
    </row>
    <row r="75">
      <c r="A75" t="inlineStr">
        <is>
          <t>twin_tank/1</t>
        </is>
      </c>
      <c r="B75" t="inlineStr">
        <is>
          <t>twin_tank</t>
        </is>
      </c>
      <c r="C75" t="n">
        <v>1</v>
      </c>
      <c r="D75" t="inlineStr">
        <is>
          <t>hmg_roof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vehicles[24].secondary[1]</t>
        </is>
      </c>
      <c r="K75" t="inlineStr">
        <is>
          <t>{"weapon":"hmg_roof","slot":"mg","aim":"Free"}</t>
        </is>
      </c>
    </row>
    <row r="76">
      <c r="A76" t="inlineStr">
        <is>
          <t>wheeled_gun/0</t>
        </is>
      </c>
      <c r="B76" t="inlineStr">
        <is>
          <t>wheeled_gun</t>
        </is>
      </c>
      <c r="C76" t="n">
        <v>0</v>
      </c>
      <c r="D76" t="inlineStr">
        <is>
          <t>mg_coax</t>
        </is>
      </c>
      <c r="E76" t="inlineStr">
        <is>
          <t>Turret</t>
        </is>
      </c>
      <c r="I76" t="inlineStr">
        <is>
          <t>coax</t>
        </is>
      </c>
      <c r="J76" t="inlineStr">
        <is>
          <t>Assets/MachineBrigade/Resources/Data/balance.json: vehicles[42].secondary[0]</t>
        </is>
      </c>
      <c r="K76" t="inlineStr">
        <is>
          <t>{"weapon":"mg_coax","slot":"coax","aim":"Turret"}</t>
        </is>
      </c>
    </row>
    <row r="77">
      <c r="A77" t="inlineStr">
        <is>
          <t>wheeled_gun/1</t>
        </is>
      </c>
      <c r="B77" t="inlineStr">
        <is>
          <t>wheeled_gun</t>
        </is>
      </c>
      <c r="C77" t="n">
        <v>1</v>
      </c>
      <c r="D77" t="inlineStr">
        <is>
          <t>hmg_roof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vehicles[42].secondary[1]</t>
        </is>
      </c>
      <c r="K77" t="inlineStr">
        <is>
          <t>{"weapon":"hmg_roof","slot":"mg","aim":"Free"}</t>
        </is>
      </c>
    </row>
  </sheetData>
  <autoFilter ref="A1:K77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supports[12]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supports[10]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supports[17]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supports[20]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supports[19]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supports[23]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supports[24]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kalibr_cruise_mark</t>
        </is>
      </c>
      <c r="B16" t="inlineStr">
        <is>
          <t>Ship's cruise missile</t>
        </is>
      </c>
      <c r="C16" t="inlineStr">
        <is>
          <t>Tên lửa hành trình của tàu</t>
        </is>
      </c>
      <c r="E16" t="inlineStr">
        <is>
          <t>moi</t>
        </is>
      </c>
      <c r="P16" t="n">
        <v>6.5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13</v>
      </c>
      <c r="AI16" t="inlineStr">
        <is>
          <t>Large</t>
        </is>
      </c>
      <c r="AK16" t="inlineStr">
        <is>
          <t>Assets/MachineBrigade/Resources/Data/balance.json: supports[15]</t>
        </is>
      </c>
      <c r="AL16" t="inlineStr">
        <is>
          <t>{"id":"kalibr_cruise_mark","kind":"Barrage","pen":3,"event":true,"cooldown":0,"delay":5.0,"radius":13,"count":1,"duration":0,"damage":0,"blast":6.5,"tier":"Large"}</t>
        </is>
      </c>
    </row>
    <row r="17">
      <c r="A17" t="inlineStr">
        <is>
          <t>leviathan_cruise_mark</t>
        </is>
      </c>
      <c r="B17" t="inlineStr">
        <is>
          <t>Leviathan's cruise missile</t>
        </is>
      </c>
      <c r="C17" t="inlineStr">
        <is>
          <t>Tên lửa hành trình Leviathan</t>
        </is>
      </c>
      <c r="E17" t="inlineStr">
        <is>
          <t>doi</t>
        </is>
      </c>
      <c r="L17" t="n">
        <v>12</v>
      </c>
      <c r="M17" t="n">
        <v>20</v>
      </c>
      <c r="P17" t="n">
        <v>10</v>
      </c>
      <c r="U17" t="n">
        <v>0</v>
      </c>
      <c r="V17" t="n">
        <v>1</v>
      </c>
      <c r="X17" t="n">
        <v>0</v>
      </c>
      <c r="Z17" t="n">
        <v>5</v>
      </c>
      <c r="AA17" t="n">
        <v>0</v>
      </c>
      <c r="AB17" t="b">
        <v>1</v>
      </c>
      <c r="AC17" t="inlineStr">
        <is>
          <t>Barrage</t>
        </is>
      </c>
      <c r="AE17" t="n">
        <v>3</v>
      </c>
      <c r="AF17" t="n">
        <v>20</v>
      </c>
      <c r="AI17" t="inlineStr">
        <is>
          <t>Ultimate</t>
        </is>
      </c>
      <c r="AK17" t="inlineStr">
        <is>
          <t>Assets/MachineBrigade/Resources/Data/balance.json: supports[14]</t>
        </is>
      </c>
      <c r="AL17" t="inlineStr">
        <is>
          <t>{"id":"leviathan_cruise_mark","kind":"Barrage","pen":3,"event":true,"cooldown":0,"delay":5.0,"radius":20,"count":1,"duration":0,"damage":0,"blast":10,"tier":"Ultimate"}</t>
        </is>
      </c>
    </row>
    <row r="18">
      <c r="A18" t="inlineStr">
        <is>
          <t>leviathan_shell</t>
        </is>
      </c>
      <c r="B18" t="inlineStr">
        <is>
          <t>Leviathan's shell</t>
        </is>
      </c>
      <c r="C18" t="inlineStr">
        <is>
          <t>Đạn pháo Leviathan</t>
        </is>
      </c>
      <c r="E18" t="inlineStr">
        <is>
          <t>doi</t>
        </is>
      </c>
      <c r="L18" t="n">
        <v>8</v>
      </c>
      <c r="M18" t="n">
        <v>24</v>
      </c>
      <c r="P18" t="n">
        <v>14</v>
      </c>
      <c r="U18" t="n">
        <v>0</v>
      </c>
      <c r="V18" t="n">
        <v>1</v>
      </c>
      <c r="X18" t="n">
        <v>0</v>
      </c>
      <c r="Z18" t="n">
        <v>2.8</v>
      </c>
      <c r="AA18" t="n">
        <v>0</v>
      </c>
      <c r="AB18" t="b">
        <v>1</v>
      </c>
      <c r="AC18" t="inlineStr">
        <is>
          <t>Barrage</t>
        </is>
      </c>
      <c r="AE18" t="n">
        <v>4</v>
      </c>
      <c r="AF18" t="n">
        <v>24</v>
      </c>
      <c r="AI18" t="inlineStr">
        <is>
          <t>Huge</t>
        </is>
      </c>
      <c r="AK18" t="inlineStr">
        <is>
          <t>Assets/MachineBrigade/Resources/Data/balance.json: supports[13]</t>
        </is>
      </c>
      <c r="AL18" t="inlineStr">
        <is>
          <t>{"id":"leviathan_shell","kind":"Barrage","pen":4,"event":true,"cooldown":0,"delay":2.8,"radius":24,"count":1,"duration":0,"damage":0,"blast":14,"tier":"Huge"}</t>
        </is>
      </c>
    </row>
    <row r="19">
      <c r="A19" t="inlineStr">
        <is>
          <t>moab</t>
        </is>
      </c>
      <c r="B19" t="inlineStr">
        <is>
          <t>MOAB</t>
        </is>
      </c>
      <c r="C19" t="inlineStr">
        <is>
          <t>Bom MOAB</t>
        </is>
      </c>
      <c r="E19" t="inlineStr">
        <is>
          <t>giong</t>
        </is>
      </c>
      <c r="P19" t="n">
        <v>27</v>
      </c>
      <c r="T19" t="b">
        <v>1</v>
      </c>
      <c r="U19" t="n">
        <v>20</v>
      </c>
      <c r="V19" t="n">
        <v>1</v>
      </c>
      <c r="X19" t="n">
        <v>4000</v>
      </c>
      <c r="Z19" t="n">
        <v>4</v>
      </c>
      <c r="AC19" t="inlineStr">
        <is>
          <t>CruiseMissile</t>
        </is>
      </c>
      <c r="AE19" t="n">
        <v>4</v>
      </c>
      <c r="AF19" t="n">
        <v>24</v>
      </c>
      <c r="AI19" t="inlineStr">
        <is>
          <t>Ultimate</t>
        </is>
      </c>
      <c r="AK19" t="inlineStr">
        <is>
          <t>Assets/MachineBrigade/Resources/Data/balance.json: supports[16]</t>
        </is>
      </c>
      <c r="AL19" t="inlineStr">
        <is>
          <t>{"id":"moab","kind":"CruiseMissile","pen":4,"consumable":true,"cooldown":20,"delay":4.0,"radius":24,"count":1,"damage":4000,"blast":27,"tier":"Ultimate"}</t>
        </is>
      </c>
    </row>
    <row r="20">
      <c r="A20" t="inlineStr">
        <is>
          <t>napalm_strike</t>
        </is>
      </c>
      <c r="B20" t="inlineStr">
        <is>
          <t>Napalm strike</t>
        </is>
      </c>
      <c r="C20" t="inlineStr">
        <is>
          <t>Bom napalm</t>
        </is>
      </c>
      <c r="E20" t="inlineStr">
        <is>
          <t>giong</t>
        </is>
      </c>
      <c r="P20" t="n">
        <v>9</v>
      </c>
      <c r="U20" t="n">
        <v>90</v>
      </c>
      <c r="V20" t="n">
        <v>8</v>
      </c>
      <c r="W20" t="n">
        <v>9</v>
      </c>
      <c r="X20" t="n">
        <v>150</v>
      </c>
      <c r="Y20" t="inlineStr">
        <is>
          <t>Fire</t>
        </is>
      </c>
      <c r="Z20" t="n">
        <v>2</v>
      </c>
      <c r="AA20" t="n">
        <v>1.4</v>
      </c>
      <c r="AC20" t="inlineStr">
        <is>
          <t>Airstrike</t>
        </is>
      </c>
      <c r="AD20" t="n">
        <v>55</v>
      </c>
      <c r="AE20" t="n">
        <v>1</v>
      </c>
      <c r="AF20" t="n">
        <v>5</v>
      </c>
      <c r="AI20" t="inlineStr">
        <is>
          <t>Huge</t>
        </is>
      </c>
      <c r="AK20" t="inlineStr">
        <is>
          <t>Assets/MachineBrigade/Resources/Data/balance.json: supports[4]</t>
        </is>
      </c>
      <c r="AL20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1">
      <c r="A21" t="inlineStr">
        <is>
          <t>pod_drop</t>
        </is>
      </c>
      <c r="B21" t="inlineStr">
        <is>
          <t>Drop pod</t>
        </is>
      </c>
      <c r="C21" t="inlineStr">
        <is>
          <t>Khoang đổ bộ</t>
        </is>
      </c>
      <c r="E21" t="inlineStr">
        <is>
          <t>giong</t>
        </is>
      </c>
      <c r="P21" t="n">
        <v>4</v>
      </c>
      <c r="U21" t="n">
        <v>0</v>
      </c>
      <c r="V21" t="n">
        <v>1</v>
      </c>
      <c r="X21" t="n">
        <v>0</v>
      </c>
      <c r="Z21" t="n">
        <v>6</v>
      </c>
      <c r="AA21" t="n">
        <v>0</v>
      </c>
      <c r="AB21" t="b">
        <v>1</v>
      </c>
      <c r="AC21" t="inlineStr">
        <is>
          <t>Barrage</t>
        </is>
      </c>
      <c r="AE21" t="n">
        <v>0</v>
      </c>
      <c r="AF21" t="n">
        <v>5</v>
      </c>
      <c r="AI21" t="inlineStr">
        <is>
          <t>Large</t>
        </is>
      </c>
      <c r="AK21" t="inlineStr">
        <is>
          <t>Assets/MachineBrigade/Resources/Data/balance.json: supports[9]</t>
        </is>
      </c>
      <c r="AL21" t="inlineStr">
        <is>
          <t>{"id":"pod_drop","kind":"Barrage","pen":0,"event":true,"cooldown":0,"delay":6.0,"radius":5,"count":1,"duration":0,"damage":0,"blast":4,"tier":"Large"}</t>
        </is>
      </c>
    </row>
    <row r="22">
      <c r="A22" t="inlineStr">
        <is>
          <t>reinforcements</t>
        </is>
      </c>
      <c r="B22" t="inlineStr">
        <is>
          <t>Airdropped armour</t>
        </is>
      </c>
      <c r="C22" t="inlineStr">
        <is>
          <t>Tiếp viện thả dù</t>
        </is>
      </c>
      <c r="D22" t="inlineStr">
        <is>
          <t>main_battle_tank;main_battle_tank;ifv</t>
        </is>
      </c>
      <c r="E22" t="inlineStr">
        <is>
          <t>giong</t>
        </is>
      </c>
      <c r="Q22" t="inlineStr">
        <is>
          <t>scout_jeep;armored_car;ifv;light_tank;main_battle_tank;tank_destroyer;aa_vehicle;heavy_tank</t>
        </is>
      </c>
      <c r="R22" t="n">
        <v>20</v>
      </c>
      <c r="S22" t="n">
        <v>1.5</v>
      </c>
      <c r="U22" t="n">
        <v>30</v>
      </c>
      <c r="V22" t="n">
        <v>3</v>
      </c>
      <c r="Z22" t="n">
        <v>3</v>
      </c>
      <c r="AC22" t="inlineStr">
        <is>
          <t>Reinforce</t>
        </is>
      </c>
      <c r="AF22" t="n">
        <v>8</v>
      </c>
      <c r="AI22" t="inlineStr">
        <is>
          <t>Large</t>
        </is>
      </c>
      <c r="AK22" t="inlineStr">
        <is>
          <t>Assets/MachineBrigade/Resources/Data/balance.json: supports[18]</t>
        </is>
      </c>
      <c r="AL22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3">
      <c r="A23" t="inlineStr">
        <is>
          <t>remote_mines</t>
        </is>
      </c>
      <c r="B23" t="inlineStr">
        <is>
          <t>Remote mines</t>
        </is>
      </c>
      <c r="C23" t="inlineStr">
        <is>
          <t>Mìn rải từ xa</t>
        </is>
      </c>
      <c r="E23" t="inlineStr">
        <is>
          <t>giong</t>
        </is>
      </c>
      <c r="P23" t="n">
        <v>4</v>
      </c>
      <c r="U23" t="n">
        <v>60</v>
      </c>
      <c r="V23" t="n">
        <v>8</v>
      </c>
      <c r="W23" t="n">
        <v>5</v>
      </c>
      <c r="X23" t="n">
        <v>300</v>
      </c>
      <c r="Y23" t="inlineStr">
        <is>
          <t>ShapedCharge</t>
        </is>
      </c>
      <c r="Z23" t="n">
        <v>2</v>
      </c>
      <c r="AA23" t="n">
        <v>60</v>
      </c>
      <c r="AC23" t="inlineStr">
        <is>
          <t>Minefield</t>
        </is>
      </c>
      <c r="AE23" t="n">
        <v>4</v>
      </c>
      <c r="AF23" t="n">
        <v>12</v>
      </c>
      <c r="AI23" t="inlineStr">
        <is>
          <t>Large</t>
        </is>
      </c>
      <c r="AK23" t="inlineStr">
        <is>
          <t>Assets/MachineBrigade/Resources/Data/balance.json: supports[22]</t>
        </is>
      </c>
      <c r="AL23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4">
      <c r="A24" t="inlineStr">
        <is>
          <t>repair_drop</t>
        </is>
      </c>
      <c r="B24" t="inlineStr">
        <is>
          <t>Repair</t>
        </is>
      </c>
      <c r="C24" t="inlineStr">
        <is>
          <t>Sửa chữa</t>
        </is>
      </c>
      <c r="E24" t="inlineStr">
        <is>
          <t>giong</t>
        </is>
      </c>
      <c r="U24" t="n">
        <v>60</v>
      </c>
      <c r="V24" t="n">
        <v>6</v>
      </c>
      <c r="W24" t="n">
        <v>4</v>
      </c>
      <c r="X24" t="n">
        <v>0.4</v>
      </c>
      <c r="Z24" t="n">
        <v>1.5</v>
      </c>
      <c r="AA24" t="n">
        <v>6</v>
      </c>
      <c r="AC24" t="inlineStr">
        <is>
          <t>Repair</t>
        </is>
      </c>
      <c r="AF24" t="n">
        <v>12</v>
      </c>
      <c r="AI24" t="inlineStr">
        <is>
          <t>Small</t>
        </is>
      </c>
      <c r="AK24" t="inlineStr">
        <is>
          <t>Assets/MachineBrigade/Resources/Data/balance.json: supports[3]</t>
        </is>
      </c>
      <c r="AL24" t="inlineStr">
        <is>
          <t>{"id":"repair_drop","kind":"Repair","cp":4,"cooldown":60,"delay":1.5,"radius":12,"count":6,"duration":6,"damage":0.4,"tier":"Small"}</t>
        </is>
      </c>
    </row>
    <row r="25">
      <c r="A25" t="inlineStr">
        <is>
          <t>shield_dome</t>
        </is>
      </c>
      <c r="B25" t="inlineStr">
        <is>
          <t>Shield dome</t>
        </is>
      </c>
      <c r="C25" t="inlineStr">
        <is>
          <t>Khiên vòm</t>
        </is>
      </c>
      <c r="E25" t="inlineStr">
        <is>
          <t>giong</t>
        </is>
      </c>
      <c r="T25" t="b">
        <v>1</v>
      </c>
      <c r="U25" t="n">
        <v>20</v>
      </c>
      <c r="V25" t="n">
        <v>1</v>
      </c>
      <c r="X25" t="n">
        <v>0.7</v>
      </c>
      <c r="Z25" t="n">
        <v>0.5</v>
      </c>
      <c r="AA25" t="n">
        <v>10</v>
      </c>
      <c r="AC25" t="inlineStr">
        <is>
          <t>ShieldDome</t>
        </is>
      </c>
      <c r="AF25" t="n">
        <v>16</v>
      </c>
      <c r="AI25" t="inlineStr">
        <is>
          <t>Medium</t>
        </is>
      </c>
      <c r="AK25" t="inlineStr">
        <is>
          <t>Assets/MachineBrigade/Resources/Data/balance.json: supports[21]</t>
        </is>
      </c>
      <c r="AL25" t="inlineStr">
        <is>
          <t>{"id":"shield_dome","kind":"ShieldDome","consumable":true,"cooldown":20,"delay":0.5,"radius":16,"count":1,"duration":10,"damage":0.7,"tier":"Medium"}</t>
        </is>
      </c>
    </row>
    <row r="26">
      <c r="A26" t="inlineStr">
        <is>
          <t>super_gun_shell</t>
        </is>
      </c>
      <c r="B26" t="inlineStr">
        <is>
          <t>Super-gun shell</t>
        </is>
      </c>
      <c r="C26" t="inlineStr">
        <is>
          <t>Đạn siêu pháo</t>
        </is>
      </c>
      <c r="E26" t="inlineStr">
        <is>
          <t>giong</t>
        </is>
      </c>
      <c r="P26" t="n">
        <v>15</v>
      </c>
      <c r="U26" t="n">
        <v>0</v>
      </c>
      <c r="V26" t="n">
        <v>1</v>
      </c>
      <c r="X26" t="n">
        <v>450</v>
      </c>
      <c r="Z26" t="n">
        <v>4</v>
      </c>
      <c r="AA26" t="n">
        <v>0.1</v>
      </c>
      <c r="AB26" t="b">
        <v>1</v>
      </c>
      <c r="AC26" t="inlineStr">
        <is>
          <t>Barrage</t>
        </is>
      </c>
      <c r="AE26" t="n">
        <v>4</v>
      </c>
      <c r="AF26" t="n">
        <v>4</v>
      </c>
      <c r="AI26" t="inlineStr">
        <is>
          <t>Ultimate</t>
        </is>
      </c>
      <c r="AK26" t="inlineStr">
        <is>
          <t>Assets/MachineBrigade/Resources/Data/balance.json: supports[11]</t>
        </is>
      </c>
      <c r="AL26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6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8" customWidth="1" min="9" max="9"/>
    <col width="10" customWidth="1" min="10" max="10"/>
    <col width="11" customWidth="1" min="11" max="11"/>
    <col width="16" customWidth="1" min="12" max="12"/>
    <col width="21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max</t>
        </is>
      </c>
      <c r="I1" s="1" t="inlineStr">
        <is>
          <t>once</t>
        </is>
      </c>
      <c r="J1" s="1" t="inlineStr">
        <is>
          <t>radius_m</t>
        </is>
      </c>
      <c r="K1" s="1" t="inlineStr">
        <is>
          <t>threshold</t>
        </is>
      </c>
      <c r="L1" s="1" t="inlineStr">
        <is>
          <t>trigger</t>
        </is>
      </c>
      <c r="M1" s="1" t="inlineStr">
        <is>
          <t>unit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30</v>
      </c>
      <c r="E2" t="n">
        <v>1</v>
      </c>
      <c r="G2" t="inlineStr">
        <is>
          <t>Summon</t>
        </is>
      </c>
      <c r="J2" t="n">
        <v>80</v>
      </c>
      <c r="L2" t="inlineStr">
        <is>
          <t>EnemyInRange</t>
        </is>
      </c>
      <c r="M2" t="inlineStr">
        <is>
          <t>strike_drone</t>
        </is>
      </c>
      <c r="N2" t="inlineStr">
        <is>
          <t>Assets/MachineBrigade/Resources/Data/balance.json: skills[17]</t>
        </is>
      </c>
      <c r="O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30</v>
      </c>
      <c r="E3" t="n">
        <v>1</v>
      </c>
      <c r="G3" t="inlineStr">
        <is>
          <t>Summon</t>
        </is>
      </c>
      <c r="J3" t="n">
        <v>80</v>
      </c>
      <c r="L3" t="inlineStr">
        <is>
          <t>EnemyInRange</t>
        </is>
      </c>
      <c r="M3" t="inlineStr">
        <is>
          <t>strike_drone</t>
        </is>
      </c>
      <c r="N3" t="inlineStr">
        <is>
          <t>Assets/MachineBrigade/Resources/Data/balance.json: skills[18]</t>
        </is>
      </c>
      <c r="O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bomber_flares</t>
        </is>
      </c>
      <c r="B4" t="inlineStr">
        <is>
          <t>heavy_bomber;sky_gunship;swarm_carrier</t>
        </is>
      </c>
      <c r="D4" t="n">
        <v>11</v>
      </c>
      <c r="F4" t="n">
        <v>3</v>
      </c>
      <c r="G4" t="inlineStr">
        <is>
          <t>Flares</t>
        </is>
      </c>
      <c r="L4" t="inlineStr">
        <is>
          <t>MissileIncoming</t>
        </is>
      </c>
      <c r="N4" t="inlineStr">
        <is>
          <t>Assets/MachineBrigade/Resources/Data/balance.json: skills[7]</t>
        </is>
      </c>
      <c r="O4" t="inlineStr">
        <is>
          <t>{"id":"bomber_flares","kind":"Flares","trigger":"MissileIncoming","cooldown":11,"duration":3}</t>
        </is>
      </c>
    </row>
    <row r="5">
      <c r="A5" t="inlineStr">
        <is>
          <t>boss_bulwark</t>
        </is>
      </c>
      <c r="B5" t="inlineStr">
        <is>
          <t>bastion_mk0;behemoth;behemoth_mk0;behemoth_mk2;behemoth_tempest;fortress_bastion;moloch;monster</t>
        </is>
      </c>
      <c r="C5" t="n">
        <v>0.5</v>
      </c>
      <c r="D5" t="n">
        <v>30</v>
      </c>
      <c r="F5" t="n">
        <v>6</v>
      </c>
      <c r="G5" t="inlineStr">
        <is>
          <t>Shield</t>
        </is>
      </c>
      <c r="K5" t="n">
        <v>0.35</v>
      </c>
      <c r="L5" t="inlineStr">
        <is>
          <t>HpBelow</t>
        </is>
      </c>
      <c r="N5" t="inlineStr">
        <is>
          <t>Assets/MachineBrigade/Resources/Data/balance.json: skills[10]</t>
        </is>
      </c>
      <c r="O5" t="inlineStr">
        <is>
          <t>{"id":"boss_bulwark","kind":"Shield","trigger":"HpBelow","threshold":0.35,"cooldown":30,"duration":6,"amount":0.5}</t>
        </is>
      </c>
    </row>
    <row r="6">
      <c r="A6" t="inlineStr">
        <is>
          <t>boss_emp</t>
        </is>
      </c>
      <c r="B6" t="inlineStr">
        <is>
          <t>behemoth_tempest;fenrir;mobile_fortress</t>
        </is>
      </c>
      <c r="D6" t="n">
        <v>35</v>
      </c>
      <c r="F6" t="n">
        <v>4</v>
      </c>
      <c r="G6" t="inlineStr">
        <is>
          <t>Emp</t>
        </is>
      </c>
      <c r="J6" t="n">
        <v>22</v>
      </c>
      <c r="L6" t="inlineStr">
        <is>
          <t>EnemyInRange</t>
        </is>
      </c>
      <c r="N6" t="inlineStr">
        <is>
          <t>Assets/MachineBrigade/Resources/Data/balance.json: skills[12]</t>
        </is>
      </c>
      <c r="O6" t="inlineStr">
        <is>
          <t>{"id":"boss_emp","kind":"Emp","trigger":"EnemyInRange","radius":22,"cooldown":35,"duration":4}</t>
        </is>
      </c>
    </row>
    <row r="7">
      <c r="A7" t="inlineStr">
        <is>
          <t>boss_flares</t>
        </is>
      </c>
      <c r="B7" t="inlineStr">
        <is>
          <t>drone_mothership;locust;mega_gunship</t>
        </is>
      </c>
      <c r="D7" t="n">
        <v>10</v>
      </c>
      <c r="F7" t="n">
        <v>3</v>
      </c>
      <c r="G7" t="inlineStr">
        <is>
          <t>Flares</t>
        </is>
      </c>
      <c r="L7" t="inlineStr">
        <is>
          <t>MissileIncoming</t>
        </is>
      </c>
      <c r="N7" t="inlineStr">
        <is>
          <t>Assets/MachineBrigade/Resources/Data/balance.json: skills[11]</t>
        </is>
      </c>
      <c r="O7" t="inlineStr">
        <is>
          <t>{"id":"boss_flares","kind":"Flares","trigger":"MissileIncoming","cooldown":10,"duration":3}</t>
        </is>
      </c>
    </row>
    <row r="8">
      <c r="A8" t="inlineStr">
        <is>
          <t>boss_rage</t>
        </is>
      </c>
      <c r="B8" t="inlineStr">
        <is>
          <t>behemoth;behemoth_inferno;behemoth_mk2;coeus;daedalus;earth_borer;hyperion;icarus_mk0;mega_gunship;silver_bug;theia</t>
        </is>
      </c>
      <c r="C8" t="n">
        <v>1.2</v>
      </c>
      <c r="F8" t="n">
        <v>9999</v>
      </c>
      <c r="G8" t="inlineStr">
        <is>
          <t>Overdrive</t>
        </is>
      </c>
      <c r="I8" t="b">
        <v>1</v>
      </c>
      <c r="K8" t="n">
        <v>0.5</v>
      </c>
      <c r="L8" t="inlineStr">
        <is>
          <t>HpBelow</t>
        </is>
      </c>
      <c r="N8" t="inlineStr">
        <is>
          <t>Assets/MachineBrigade/Resources/Data/balance.json: skills[9]</t>
        </is>
      </c>
      <c r="O8" t="inlineStr">
        <is>
          <t>{"id":"boss_rage","kind":"Overdrive","trigger":"HpBelow","threshold":0.5,"once":true,"duration":9999,"amount":1.2}</t>
        </is>
      </c>
    </row>
    <row r="9">
      <c r="A9" t="inlineStr">
        <is>
          <t>elite_barrage</t>
        </is>
      </c>
      <c r="B9" t="inlineStr">
        <is>
          <t>elite_artillery;elite_attack_helicopter;elite_fpv_carrier;elite_grad;elite_mlrs;elite_tank_destroyer</t>
        </is>
      </c>
      <c r="C9" t="n">
        <v>2.2</v>
      </c>
      <c r="D9" t="n">
        <v>28</v>
      </c>
      <c r="F9" t="n">
        <v>6</v>
      </c>
      <c r="G9" t="inlineStr">
        <is>
          <t>Barrage</t>
        </is>
      </c>
      <c r="L9" t="inlineStr">
        <is>
          <t>EnemyInRange</t>
        </is>
      </c>
      <c r="N9" t="inlineStr">
        <is>
          <t>Assets/MachineBrigade/Resources/Data/balance.json: skills[3]</t>
        </is>
      </c>
      <c r="O9" t="inlineStr">
        <is>
          <t>{"id":"elite_barrage","kind":"Barrage","trigger":"EnemyInRange","cooldown":28,"duration":6,"amount":2.2}</t>
        </is>
      </c>
    </row>
    <row r="10">
      <c r="A10" t="inlineStr">
        <is>
          <t>elite_emp</t>
        </is>
      </c>
      <c r="B10" t="inlineStr">
        <is>
          <t>elite_apc</t>
        </is>
      </c>
      <c r="D10" t="n">
        <v>30</v>
      </c>
      <c r="F10" t="n">
        <v>3.5</v>
      </c>
      <c r="G10" t="inlineStr">
        <is>
          <t>Emp</t>
        </is>
      </c>
      <c r="J10" t="n">
        <v>14</v>
      </c>
      <c r="L10" t="inlineStr">
        <is>
          <t>EnemyInRange</t>
        </is>
      </c>
      <c r="N10" t="inlineStr">
        <is>
          <t>Assets/MachineBrigade/Resources/Data/balance.json: skills[8]</t>
        </is>
      </c>
      <c r="O10" t="inlineStr">
        <is>
          <t>{"id":"elite_emp","kind":"Emp","trigger":"EnemyInRange","radius":14,"cooldown":30,"duration":3.5}</t>
        </is>
      </c>
    </row>
    <row r="11">
      <c r="A11" t="inlineStr">
        <is>
          <t>elite_flares</t>
        </is>
      </c>
      <c r="B11" t="inlineStr">
        <is>
          <t>elite_attack_helicopter;elite_attack_jet</t>
        </is>
      </c>
      <c r="D11" t="n">
        <v>14</v>
      </c>
      <c r="F11" t="n">
        <v>3</v>
      </c>
      <c r="G11" t="inlineStr">
        <is>
          <t>Flares</t>
        </is>
      </c>
      <c r="L11" t="inlineStr">
        <is>
          <t>MissileIncoming</t>
        </is>
      </c>
      <c r="N11" t="inlineStr">
        <is>
          <t>Assets/MachineBrigade/Resources/Data/balance.json: skills[4]</t>
        </is>
      </c>
      <c r="O11" t="inlineStr">
        <is>
          <t>{"id":"elite_flares","kind":"Flares","trigger":"MissileIncoming","cooldown":14,"duration":3}</t>
        </is>
      </c>
    </row>
    <row r="12">
      <c r="A12" t="inlineStr">
        <is>
          <t>elite_overdrive</t>
        </is>
      </c>
      <c r="B12" t="inlineStr">
        <is>
          <t>elite_aa;elite_heavy_tank;elite_long_sam</t>
        </is>
      </c>
      <c r="C12" t="n">
        <v>1.5</v>
      </c>
      <c r="D12" t="n">
        <v>25</v>
      </c>
      <c r="F12" t="n">
        <v>6</v>
      </c>
      <c r="G12" t="inlineStr">
        <is>
          <t>Overdrive</t>
        </is>
      </c>
      <c r="L12" t="inlineStr">
        <is>
          <t>EnemyInRange</t>
        </is>
      </c>
      <c r="N12" t="inlineStr">
        <is>
          <t>Assets/MachineBrigade/Resources/Data/balance.json: skills[2]</t>
        </is>
      </c>
      <c r="O12" t="inlineStr">
        <is>
          <t>{"id":"elite_overdrive","kind":"Overdrive","trigger":"EnemyInRange","cooldown":25,"duration":6,"amount":1.5}</t>
        </is>
      </c>
    </row>
    <row r="13">
      <c r="A13" t="inlineStr">
        <is>
          <t>elite_repair</t>
        </is>
      </c>
      <c r="B13" t="inlineStr"/>
      <c r="C13" t="n">
        <v>0.3</v>
      </c>
      <c r="D13" t="n">
        <v>30</v>
      </c>
      <c r="F13" t="n">
        <v>8</v>
      </c>
      <c r="G13" t="inlineStr">
        <is>
          <t>Repair</t>
        </is>
      </c>
      <c r="K13" t="n">
        <v>0.5</v>
      </c>
      <c r="L13" t="inlineStr">
        <is>
          <t>HpBelow</t>
        </is>
      </c>
      <c r="N13" t="inlineStr">
        <is>
          <t>Assets/MachineBrigade/Resources/Data/balance.json: skills[1]</t>
        </is>
      </c>
      <c r="O13" t="inlineStr">
        <is>
          <t>{"id":"elite_repair","kind":"Repair","trigger":"HpBelow","threshold":0.5,"cooldown":30,"duration":8,"amount":0.3}</t>
        </is>
      </c>
    </row>
    <row r="14">
      <c r="A14" t="inlineStr">
        <is>
          <t>elite_shield</t>
        </is>
      </c>
      <c r="B14" t="inlineStr">
        <is>
          <t>elite_mbt</t>
        </is>
      </c>
      <c r="C14" t="n">
        <v>0.3</v>
      </c>
      <c r="D14" t="n">
        <v>20</v>
      </c>
      <c r="F14" t="n">
        <v>5</v>
      </c>
      <c r="G14" t="inlineStr">
        <is>
          <t>Shield</t>
        </is>
      </c>
      <c r="L14" t="inlineStr">
        <is>
          <t>UnderFire</t>
        </is>
      </c>
      <c r="N14" t="inlineStr">
        <is>
          <t>Assets/MachineBrigade/Resources/Data/balance.json: skills[0]</t>
        </is>
      </c>
      <c r="O14" t="inlineStr">
        <is>
          <t>{"id":"elite_shield","kind":"Shield","trigger":"UnderFire","cooldown":20,"duration":5,"amount":0.3}</t>
        </is>
      </c>
    </row>
    <row r="15">
      <c r="A15" t="inlineStr">
        <is>
          <t>fortress_barrage</t>
        </is>
      </c>
      <c r="B15" t="inlineStr">
        <is>
          <t>bastion_mk0;fenrir;fortress_bastion;mobile_fortress;monster</t>
        </is>
      </c>
      <c r="C15" t="n">
        <v>2</v>
      </c>
      <c r="D15" t="n">
        <v>25</v>
      </c>
      <c r="F15" t="n">
        <v>8</v>
      </c>
      <c r="G15" t="inlineStr">
        <is>
          <t>Barrage</t>
        </is>
      </c>
      <c r="K15" t="n">
        <v>0.4</v>
      </c>
      <c r="L15" t="inlineStr">
        <is>
          <t>HpBelow</t>
        </is>
      </c>
      <c r="N15" t="inlineStr">
        <is>
          <t>Assets/MachineBrigade/Resources/Data/balance.json: skills[13]</t>
        </is>
      </c>
      <c r="O15" t="inlineStr">
        <is>
          <t>{"id":"fortress_barrage","kind":"Barrage","trigger":"HpBelow","threshold":0.4,"cooldown":25,"duration":8,"amount":2}</t>
        </is>
      </c>
    </row>
    <row r="16">
      <c r="A16" t="inlineStr">
        <is>
          <t>heli_flares</t>
        </is>
      </c>
      <c r="B16" t="inlineStr">
        <is>
          <t>attack_helicopter</t>
        </is>
      </c>
      <c r="D16" t="n">
        <v>20</v>
      </c>
      <c r="F16" t="n">
        <v>1.5</v>
      </c>
      <c r="G16" t="inlineStr">
        <is>
          <t>Flares</t>
        </is>
      </c>
      <c r="L16" t="inlineStr">
        <is>
          <t>MissileIncoming</t>
        </is>
      </c>
      <c r="N16" t="inlineStr">
        <is>
          <t>Assets/MachineBrigade/Resources/Data/balance.json: skills[5]</t>
        </is>
      </c>
      <c r="O16" t="inlineStr">
        <is>
          <t>{"id":"heli_flares","kind":"Flares","trigger":"MissileIncoming","cooldown":20,"duration":1.5}</t>
        </is>
      </c>
    </row>
    <row r="17">
      <c r="A17" t="inlineStr">
        <is>
          <t>jet_flares</t>
        </is>
      </c>
      <c r="B17" t="inlineStr">
        <is>
          <t>attack_jet;fighter_jet;stealth_fighter</t>
        </is>
      </c>
      <c r="D17" t="n">
        <v>16</v>
      </c>
      <c r="F17" t="n">
        <v>1.5</v>
      </c>
      <c r="G17" t="inlineStr">
        <is>
          <t>Flares</t>
        </is>
      </c>
      <c r="L17" t="inlineStr">
        <is>
          <t>MissileIncoming</t>
        </is>
      </c>
      <c r="N17" t="inlineStr">
        <is>
          <t>Assets/MachineBrigade/Resources/Data/balance.json: skills[6]</t>
        </is>
      </c>
      <c r="O17" t="inlineStr">
        <is>
          <t>{"id":"jet_flares","kind":"Flares","trigger":"MissileIncoming","cooldown":16,"duration":1.5}</t>
        </is>
      </c>
    </row>
    <row r="18">
      <c r="A18" t="inlineStr">
        <is>
          <t>kraken_jets</t>
        </is>
      </c>
      <c r="B18" t="inlineStr">
        <is>
          <t>kraken</t>
        </is>
      </c>
      <c r="D18" t="n">
        <v>40</v>
      </c>
      <c r="E18" t="n">
        <v>2</v>
      </c>
      <c r="G18" t="inlineStr">
        <is>
          <t>Summon</t>
        </is>
      </c>
      <c r="H18" t="n">
        <v>4</v>
      </c>
      <c r="J18" t="n">
        <v>110</v>
      </c>
      <c r="L18" t="inlineStr">
        <is>
          <t>EnemyInRange</t>
        </is>
      </c>
      <c r="M18" t="inlineStr">
        <is>
          <t>stealth_naval_strike</t>
        </is>
      </c>
      <c r="N18" t="inlineStr">
        <is>
          <t>Assets/MachineBrigade/Resources/Data/balance.json: skills[20]</t>
        </is>
      </c>
      <c r="O18" t="inlineStr">
        <is>
          <t>{"id":"kraken_jets","kind":"Summon","trigger":"EnemyInRange","radius":110,"cooldown":40,"count":2,"max":4,"unit":"stealth_naval_strike"}</t>
        </is>
      </c>
    </row>
    <row r="19">
      <c r="A19" t="inlineStr">
        <is>
          <t>leviathan_helos</t>
        </is>
      </c>
      <c r="B19" t="inlineStr">
        <is>
          <t>kraken;leviathan;nyx;scylla</t>
        </is>
      </c>
      <c r="D19" t="n">
        <v>55</v>
      </c>
      <c r="E19" t="n">
        <v>1</v>
      </c>
      <c r="G19" t="inlineStr">
        <is>
          <t>Summon</t>
        </is>
      </c>
      <c r="K19" t="n">
        <v>0.7</v>
      </c>
      <c r="L19" t="inlineStr">
        <is>
          <t>HpBelow</t>
        </is>
      </c>
      <c r="M19" t="inlineStr">
        <is>
          <t>attack_helicopter</t>
        </is>
      </c>
      <c r="N19" t="inlineStr">
        <is>
          <t>Assets/MachineBrigade/Resources/Data/balance.json: skills[19]</t>
        </is>
      </c>
      <c r="O19" t="inlineStr">
        <is>
          <t>{"id":"leviathan_helos","kind":"Summon","trigger":"HpBelow","threshold":0.7,"cooldown":55,"count":1,"unit":"attack_helicopter"}</t>
        </is>
      </c>
    </row>
    <row r="20">
      <c r="A20" t="inlineStr">
        <is>
          <t>mothership_launch</t>
        </is>
      </c>
      <c r="B20" t="inlineStr">
        <is>
          <t>drone_mothership;locust</t>
        </is>
      </c>
      <c r="D20" t="n">
        <v>30</v>
      </c>
      <c r="E20" t="n">
        <v>3</v>
      </c>
      <c r="G20" t="inlineStr">
        <is>
          <t>Summon</t>
        </is>
      </c>
      <c r="J20" t="n">
        <v>70</v>
      </c>
      <c r="L20" t="inlineStr">
        <is>
          <t>EnemyInRange</t>
        </is>
      </c>
      <c r="M20" t="inlineStr">
        <is>
          <t>strike_drone</t>
        </is>
      </c>
      <c r="N20" t="inlineStr">
        <is>
          <t>Assets/MachineBrigade/Resources/Data/balance.json: skills[15]</t>
        </is>
      </c>
      <c r="O20" t="inlineStr">
        <is>
          <t>{"id":"mothership_launch","kind":"Summon","trigger":"EnemyInRange","radius":70,"cooldown":30,"count":3,"unit":"strike_drone"}</t>
        </is>
      </c>
    </row>
    <row r="21">
      <c r="A21" t="inlineStr">
        <is>
          <t>mothership_shield</t>
        </is>
      </c>
      <c r="B21" t="inlineStr">
        <is>
          <t>behemoth_tempest;drone_mothership;locust</t>
        </is>
      </c>
      <c r="C21" t="n">
        <v>0.5</v>
      </c>
      <c r="D21" t="n">
        <v>30</v>
      </c>
      <c r="F21" t="n">
        <v>8</v>
      </c>
      <c r="G21" t="inlineStr">
        <is>
          <t>Shield</t>
        </is>
      </c>
      <c r="K21" t="n">
        <v>0.5</v>
      </c>
      <c r="L21" t="inlineStr">
        <is>
          <t>HpBelow</t>
        </is>
      </c>
      <c r="N21" t="inlineStr">
        <is>
          <t>Assets/MachineBrigade/Resources/Data/balance.json: skills[16]</t>
        </is>
      </c>
      <c r="O21" t="inlineStr">
        <is>
          <t>{"id":"mothership_shield","kind":"Shield","trigger":"HpBelow","threshold":0.5,"cooldown":30,"duration":8,"amount":0.5}</t>
        </is>
      </c>
    </row>
    <row r="22">
      <c r="A22" t="inlineStr">
        <is>
          <t>train_patch</t>
        </is>
      </c>
      <c r="B22" t="inlineStr">
        <is>
          <t>armored_train;bastion_mk0;fortress_bastion;monster</t>
        </is>
      </c>
      <c r="C22" t="n">
        <v>0.5</v>
      </c>
      <c r="G22" t="inlineStr">
        <is>
          <t>Patch</t>
        </is>
      </c>
      <c r="I22" t="b">
        <v>1</v>
      </c>
      <c r="L22" t="inlineStr">
        <is>
          <t>PartBroken</t>
        </is>
      </c>
      <c r="N22" t="inlineStr">
        <is>
          <t>Assets/MachineBrigade/Resources/Data/balance.json: skills[14]</t>
        </is>
      </c>
      <c r="O22" t="inlineStr">
        <is>
          <t>{"id":"train_patch","kind":"Patch","trigger":"PartBroken","once":true,"amount":0.5}</t>
        </is>
      </c>
    </row>
  </sheetData>
  <autoFilter ref="A1:O2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7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20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6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2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6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3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3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3960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4470.4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2310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10" customWidth="1" min="8" max="8"/>
    <col width="47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danh_noc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b">
        <v>0</v>
      </c>
      <c r="I2" t="inlineStr">
        <is>
          <t>01_chien_dau/Vu_khi (id air_to_air)</t>
        </is>
      </c>
      <c r="J2" t="inlineStr"/>
    </row>
    <row r="3">
      <c r="A3" t="inlineStr">
        <is>
          <t>amos_120</t>
        </is>
      </c>
      <c r="B3" t="n">
        <v>214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b">
        <v>0</v>
      </c>
      <c r="I3" t="inlineStr">
        <is>
          <t>01_chien_dau/Vu_khi (id amos_120)</t>
        </is>
      </c>
      <c r="J3" t="inlineStr"/>
    </row>
    <row r="4">
      <c r="A4" t="inlineStr">
        <is>
          <t>autocannon_25</t>
        </is>
      </c>
      <c r="B4" t="n">
        <v>17</v>
      </c>
      <c r="C4" t="n">
        <v>8</v>
      </c>
      <c r="D4" t="n">
        <v>0</v>
      </c>
      <c r="E4" t="b">
        <v>0</v>
      </c>
      <c r="F4" t="n">
        <v>2</v>
      </c>
      <c r="G4" t="inlineStr">
        <is>
          <t>Kinetic</t>
        </is>
      </c>
      <c r="H4" t="b">
        <v>0</v>
      </c>
      <c r="I4" t="inlineStr">
        <is>
          <t>01_chien_dau/Vu_khi (id autocannon_25)</t>
        </is>
      </c>
      <c r="J4" t="inlineStr"/>
    </row>
    <row r="5">
      <c r="A5" t="inlineStr">
        <is>
          <t>autocannon_30</t>
        </is>
      </c>
      <c r="B5" t="n">
        <v>22</v>
      </c>
      <c r="C5" t="n">
        <v>10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b">
        <v>0</v>
      </c>
      <c r="I5" t="inlineStr">
        <is>
          <t>01_chien_dau/Vu_khi (id autocannon_30)</t>
        </is>
      </c>
      <c r="J5" t="inlineStr"/>
    </row>
    <row r="6">
      <c r="A6" t="inlineStr">
        <is>
          <t>ballistic_missile</t>
        </is>
      </c>
      <c r="B6" t="n">
        <v>630</v>
      </c>
      <c r="C6" t="n">
        <v>2</v>
      </c>
      <c r="D6" t="n">
        <v>2</v>
      </c>
      <c r="E6" t="b">
        <v>0</v>
      </c>
      <c r="F6" t="n">
        <v>4</v>
      </c>
      <c r="G6" t="inlineStr">
        <is>
          <t>HighExplosive</t>
        </is>
      </c>
      <c r="H6" t="b">
        <v>0</v>
      </c>
      <c r="I6" t="inlineStr">
        <is>
          <t>01_chien_dau/Vu_khi (id ballistic_missile)</t>
        </is>
      </c>
      <c r="J6" t="inlineStr"/>
    </row>
    <row r="7">
      <c r="A7" t="inlineStr">
        <is>
          <t>boat_rockets</t>
        </is>
      </c>
      <c r="B7" t="n">
        <v>32</v>
      </c>
      <c r="C7" t="n">
        <v>10</v>
      </c>
      <c r="D7" t="n">
        <v>0</v>
      </c>
      <c r="E7" t="b">
        <v>0</v>
      </c>
      <c r="F7" t="n">
        <v>2</v>
      </c>
      <c r="G7" t="inlineStr">
        <is>
          <t>HighExplosive</t>
        </is>
      </c>
      <c r="H7" t="b">
        <v>0</v>
      </c>
      <c r="I7" t="inlineStr">
        <is>
          <t>01_chien_dau/Vu_khi (id boat_rockets)</t>
        </is>
      </c>
      <c r="J7" t="inlineStr"/>
    </row>
    <row r="8">
      <c r="A8" t="inlineStr">
        <is>
          <t>bofors_l70</t>
        </is>
      </c>
      <c r="B8" t="n">
        <v>30</v>
      </c>
      <c r="C8" t="n">
        <v>1</v>
      </c>
      <c r="D8" t="n">
        <v>0</v>
      </c>
      <c r="E8" t="b">
        <v>0</v>
      </c>
      <c r="F8" t="n">
        <v>2</v>
      </c>
      <c r="G8" t="inlineStr">
        <is>
          <t>Fragmentation</t>
        </is>
      </c>
      <c r="H8" t="b">
        <v>0</v>
      </c>
      <c r="I8" t="inlineStr">
        <is>
          <t>01_chien_dau/Vu_khi (id bofors_l70)</t>
        </is>
      </c>
      <c r="J8" t="inlineStr"/>
    </row>
    <row r="9">
      <c r="A9" t="inlineStr">
        <is>
          <t>bomber_payload</t>
        </is>
      </c>
      <c r="B9" t="n">
        <v>420</v>
      </c>
      <c r="C9" t="n">
        <v>7</v>
      </c>
      <c r="D9" t="n">
        <v>0</v>
      </c>
      <c r="E9" t="b">
        <v>0</v>
      </c>
      <c r="F9" t="n">
        <v>3</v>
      </c>
      <c r="G9" t="inlineStr">
        <is>
          <t>HighExplosive</t>
        </is>
      </c>
      <c r="H9" t="b">
        <v>1</v>
      </c>
      <c r="I9" t="inlineStr">
        <is>
          <t>01_chien_dau/Vu_khi (id bomber_payload)</t>
        </is>
      </c>
      <c r="J9" t="inlineStr"/>
    </row>
    <row r="10">
      <c r="A10" t="inlineStr">
        <is>
          <t>buk_launcher</t>
        </is>
      </c>
      <c r="B10" t="n">
        <v>320</v>
      </c>
      <c r="C10" t="n">
        <v>2</v>
      </c>
      <c r="D10" t="n">
        <v>0</v>
      </c>
      <c r="E10" t="b">
        <v>0</v>
      </c>
      <c r="F10" t="n">
        <v>3</v>
      </c>
      <c r="G10" t="inlineStr">
        <is>
          <t>Fragmentation</t>
        </is>
      </c>
      <c r="H10" t="b">
        <v>0</v>
      </c>
      <c r="I10" t="inlineStr">
        <is>
          <t>01_chien_dau/Vu_khi (id buk_launcher)</t>
        </is>
      </c>
      <c r="J10" t="inlineStr"/>
    </row>
    <row r="11">
      <c r="A11" t="inlineStr">
        <is>
          <t>cruise_missile_ground</t>
        </is>
      </c>
      <c r="B11" t="n">
        <v>450</v>
      </c>
      <c r="C11" t="n">
        <v>1</v>
      </c>
      <c r="D11" t="n">
        <v>0</v>
      </c>
      <c r="E11" t="b">
        <v>0</v>
      </c>
      <c r="F11" t="n">
        <v>4</v>
      </c>
      <c r="G11" t="inlineStr">
        <is>
          <t>ShapedCharge</t>
        </is>
      </c>
      <c r="H11" t="b">
        <v>0</v>
      </c>
      <c r="I11" t="inlineStr">
        <is>
          <t>01_chien_dau/Vu_khi (id cruise_missile_ground)</t>
        </is>
      </c>
      <c r="J11" t="inlineStr"/>
    </row>
    <row r="12">
      <c r="A12" t="inlineStr">
        <is>
          <t>cruiser_203</t>
        </is>
      </c>
      <c r="B12" t="n">
        <v>600</v>
      </c>
      <c r="C12" t="n">
        <v>1</v>
      </c>
      <c r="D12" t="n">
        <v>0</v>
      </c>
      <c r="E12" t="b">
        <v>0</v>
      </c>
      <c r="F12" t="n">
        <v>4</v>
      </c>
      <c r="G12" t="inlineStr">
        <is>
          <t>HighExplosive</t>
        </is>
      </c>
      <c r="H12" t="b">
        <v>0</v>
      </c>
      <c r="I12" t="inlineStr">
        <is>
          <t>01_chien_dau/Vu_khi (id cruiser_203)</t>
        </is>
      </c>
      <c r="J12" t="inlineStr"/>
    </row>
    <row r="13">
      <c r="A13" t="inlineStr">
        <is>
          <t>detonator</t>
        </is>
      </c>
      <c r="B13" t="n">
        <v>770</v>
      </c>
      <c r="C13" t="n">
        <v>1</v>
      </c>
      <c r="D13" t="n">
        <v>0</v>
      </c>
      <c r="E13" t="b">
        <v>0</v>
      </c>
      <c r="F13" t="n">
        <v>4</v>
      </c>
      <c r="G13" t="inlineStr">
        <is>
          <t>HighExplosive</t>
        </is>
      </c>
      <c r="H13" t="b">
        <v>0</v>
      </c>
      <c r="I13" t="inlineStr">
        <is>
          <t>01_chien_dau/Vu_khi (id detonator)</t>
        </is>
      </c>
      <c r="J13" t="inlineStr"/>
    </row>
    <row r="14">
      <c r="A14" t="inlineStr">
        <is>
          <t>dozer_blade</t>
        </is>
      </c>
      <c r="B14" t="n">
        <v>110</v>
      </c>
      <c r="C14" t="n">
        <v>1</v>
      </c>
      <c r="D14" t="n">
        <v>0</v>
      </c>
      <c r="E14" t="b">
        <v>0</v>
      </c>
      <c r="F14" t="n">
        <v>3</v>
      </c>
      <c r="G14" t="inlineStr">
        <is>
          <t>Kinetic</t>
        </is>
      </c>
      <c r="H14" t="b">
        <v>0</v>
      </c>
      <c r="I14" t="inlineStr">
        <is>
          <t>01_chien_dau/Vu_khi (id dozer_blade)</t>
        </is>
      </c>
      <c r="J14" t="inlineStr"/>
    </row>
    <row r="15">
      <c r="A15" t="inlineStr">
        <is>
          <t>drone_missile</t>
        </is>
      </c>
      <c r="B15" t="n">
        <v>260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ShapedCharge</t>
        </is>
      </c>
      <c r="H15" t="b">
        <v>0</v>
      </c>
      <c r="I15" t="inlineStr">
        <is>
          <t>01_chien_dau/Vu_khi (id drone_missile)</t>
        </is>
      </c>
      <c r="J15" t="inlineStr"/>
    </row>
    <row r="16">
      <c r="A16" t="inlineStr">
        <is>
          <t>flak_35</t>
        </is>
      </c>
      <c r="B16" t="n">
        <v>26</v>
      </c>
      <c r="C16" t="n">
        <v>1</v>
      </c>
      <c r="D16" t="n">
        <v>0</v>
      </c>
      <c r="E16" t="b">
        <v>0</v>
      </c>
      <c r="F16" t="n">
        <v>2</v>
      </c>
      <c r="G16" t="inlineStr">
        <is>
          <t>Fragmentation</t>
        </is>
      </c>
      <c r="H16" t="b">
        <v>0</v>
      </c>
      <c r="I16" t="inlineStr">
        <is>
          <t>01_chien_dau/Vu_khi (id flak_35)</t>
        </is>
      </c>
      <c r="J16" t="inlineStr"/>
    </row>
    <row r="17">
      <c r="A17" t="inlineStr">
        <is>
          <t>flamethrower</t>
        </is>
      </c>
      <c r="B17" t="n">
        <v>21</v>
      </c>
      <c r="C17" t="n">
        <v>1</v>
      </c>
      <c r="D17" t="n">
        <v>0</v>
      </c>
      <c r="E17" t="b">
        <v>0</v>
      </c>
      <c r="F17" t="n">
        <v>1</v>
      </c>
      <c r="G17" t="inlineStr">
        <is>
          <t>Fire</t>
        </is>
      </c>
      <c r="H17" t="b">
        <v>0</v>
      </c>
      <c r="I17" t="inlineStr">
        <is>
          <t>01_chien_dau/Vu_khi (id flamethrower)</t>
        </is>
      </c>
      <c r="J17" t="inlineStr"/>
    </row>
    <row r="18">
      <c r="A18" t="inlineStr">
        <is>
          <t>focus_laser</t>
        </is>
      </c>
      <c r="B18" t="n">
        <v>12.5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Energy</t>
        </is>
      </c>
      <c r="H18" t="b">
        <v>0</v>
      </c>
      <c r="I18" t="inlineStr">
        <is>
          <t>01_chien_dau/Vu_khi (id focus_laser)</t>
        </is>
      </c>
      <c r="J18" t="inlineStr"/>
    </row>
    <row r="19">
      <c r="A19" t="inlineStr">
        <is>
          <t>fpv_swarm</t>
        </is>
      </c>
      <c r="B19" t="n">
        <v>140</v>
      </c>
      <c r="C19" t="n">
        <v>1</v>
      </c>
      <c r="D19" t="n">
        <v>16</v>
      </c>
      <c r="E19" t="b">
        <v>0</v>
      </c>
      <c r="F19" t="n">
        <v>3</v>
      </c>
      <c r="G19" t="inlineStr">
        <is>
          <t>ShapedCharge</t>
        </is>
      </c>
      <c r="H19" t="b">
        <v>1</v>
      </c>
      <c r="I19" t="inlineStr">
        <is>
          <t>01_chien_dau/Vu_khi (id fpv_swarm)</t>
        </is>
      </c>
      <c r="J19" t="inlineStr"/>
    </row>
    <row r="20">
      <c r="A20" t="inlineStr">
        <is>
          <t>grad_cluster</t>
        </is>
      </c>
      <c r="B20" t="n">
        <v>57</v>
      </c>
      <c r="C20" t="n">
        <v>11</v>
      </c>
      <c r="D20" t="n">
        <v>3</v>
      </c>
      <c r="E20" t="b">
        <v>0</v>
      </c>
      <c r="F20" t="n">
        <v>2</v>
      </c>
      <c r="G20" t="inlineStr">
        <is>
          <t>HighExplosive</t>
        </is>
      </c>
      <c r="H20" t="b">
        <v>0</v>
      </c>
      <c r="I20" t="inlineStr">
        <is>
          <t>01_chien_dau/Vu_khi (id grad_cluster)</t>
        </is>
      </c>
      <c r="J20" t="inlineStr"/>
    </row>
    <row r="21">
      <c r="A21" t="inlineStr">
        <is>
          <t>gun_57mm</t>
        </is>
      </c>
      <c r="B21" t="n">
        <v>110</v>
      </c>
      <c r="C21" t="n">
        <v>2</v>
      </c>
      <c r="D21" t="n">
        <v>0</v>
      </c>
      <c r="E21" t="b">
        <v>0</v>
      </c>
      <c r="F21" t="n">
        <v>2</v>
      </c>
      <c r="G21" t="inlineStr">
        <is>
          <t>Kinetic</t>
        </is>
      </c>
      <c r="H21" t="b">
        <v>0</v>
      </c>
      <c r="I21" t="inlineStr">
        <is>
          <t>01_chien_dau/Vu_khi (id gun_57mm)</t>
        </is>
      </c>
      <c r="J21" t="inlineStr"/>
    </row>
    <row r="22">
      <c r="A22" t="inlineStr">
        <is>
          <t>gun_100_river</t>
        </is>
      </c>
      <c r="B22" t="n">
        <v>229</v>
      </c>
      <c r="C22" t="n">
        <v>1</v>
      </c>
      <c r="D22" t="n">
        <v>0</v>
      </c>
      <c r="E22" t="b">
        <v>0</v>
      </c>
      <c r="F22" t="n">
        <v>2</v>
      </c>
      <c r="G22" t="inlineStr">
        <is>
          <t>HighExplosive</t>
        </is>
      </c>
      <c r="H22" t="b">
        <v>0</v>
      </c>
      <c r="I22" t="inlineStr">
        <is>
          <t>01_chien_dau/Vu_khi (id gun_100_river)</t>
        </is>
      </c>
      <c r="J22" t="inlineStr"/>
    </row>
    <row r="23">
      <c r="A23" t="inlineStr">
        <is>
          <t>gun_105_apfsds</t>
        </is>
      </c>
      <c r="B23" t="n">
        <v>371</v>
      </c>
      <c r="C23" t="n">
        <v>1</v>
      </c>
      <c r="D23" t="n">
        <v>0</v>
      </c>
      <c r="E23" t="b">
        <v>0</v>
      </c>
      <c r="F23" t="n">
        <v>5</v>
      </c>
      <c r="G23" t="inlineStr">
        <is>
          <t>Kinetic</t>
        </is>
      </c>
      <c r="H23" t="b">
        <v>0</v>
      </c>
      <c r="I23" t="inlineStr">
        <is>
          <t>01_chien_dau/Vu_khi (id gun_105_apfsds)</t>
        </is>
      </c>
      <c r="J23" t="inlineStr"/>
    </row>
    <row r="24">
      <c r="A24" t="inlineStr">
        <is>
          <t>gun_105_long</t>
        </is>
      </c>
      <c r="B24" t="n">
        <v>371</v>
      </c>
      <c r="C24" t="n">
        <v>1</v>
      </c>
      <c r="D24" t="n">
        <v>0</v>
      </c>
      <c r="E24" t="b">
        <v>0</v>
      </c>
      <c r="F24" t="n">
        <v>4</v>
      </c>
      <c r="G24" t="inlineStr">
        <is>
          <t>Kinetic</t>
        </is>
      </c>
      <c r="H24" t="b">
        <v>0</v>
      </c>
      <c r="I24" t="inlineStr">
        <is>
          <t>01_chien_dau/Vu_khi (id gun_105_long)</t>
        </is>
      </c>
      <c r="J24" t="inlineStr"/>
    </row>
    <row r="25">
      <c r="A25" t="inlineStr">
        <is>
          <t>gun_105_wheeled</t>
        </is>
      </c>
      <c r="B25" t="n">
        <v>369</v>
      </c>
      <c r="C25" t="n">
        <v>1</v>
      </c>
      <c r="D25" t="n">
        <v>0</v>
      </c>
      <c r="E25" t="b">
        <v>0</v>
      </c>
      <c r="F25" t="n">
        <v>4</v>
      </c>
      <c r="G25" t="inlineStr">
        <is>
          <t>Kinetic</t>
        </is>
      </c>
      <c r="H25" t="b">
        <v>0</v>
      </c>
      <c r="I25" t="inlineStr">
        <is>
          <t>01_chien_dau/Vu_khi (id gun_105_wheeled)</t>
        </is>
      </c>
      <c r="J25" t="inlineStr"/>
    </row>
    <row r="26">
      <c r="A26" t="inlineStr">
        <is>
          <t>gun_120_twin</t>
        </is>
      </c>
      <c r="B26" t="n">
        <v>343</v>
      </c>
      <c r="C26" t="n">
        <v>2</v>
      </c>
      <c r="D26" t="n">
        <v>0</v>
      </c>
      <c r="E26" t="b">
        <v>0</v>
      </c>
      <c r="F26" t="n">
        <v>4</v>
      </c>
      <c r="G26" t="inlineStr">
        <is>
          <t>Kinetic</t>
        </is>
      </c>
      <c r="H26" t="b">
        <v>0</v>
      </c>
      <c r="I26" t="inlineStr">
        <is>
          <t>01_chien_dau/Vu_khi (id gun_120_twin)</t>
        </is>
      </c>
      <c r="J26" t="inlineStr"/>
    </row>
    <row r="27">
      <c r="A27" t="inlineStr">
        <is>
          <t>gun_120mm</t>
        </is>
      </c>
      <c r="B27" t="n">
        <v>343</v>
      </c>
      <c r="C27" t="n">
        <v>1</v>
      </c>
      <c r="D27" t="n">
        <v>0</v>
      </c>
      <c r="E27" t="b">
        <v>0</v>
      </c>
      <c r="F27" t="n">
        <v>4</v>
      </c>
      <c r="G27" t="inlineStr">
        <is>
          <t>Kinetic</t>
        </is>
      </c>
      <c r="H27" t="b">
        <v>0</v>
      </c>
      <c r="I27" t="inlineStr">
        <is>
          <t>01_chien_dau/Vu_khi (id gun_120mm)</t>
        </is>
      </c>
      <c r="J27" t="inlineStr"/>
    </row>
    <row r="28">
      <c r="A28" t="inlineStr">
        <is>
          <t>gun_125_armata_ke</t>
        </is>
      </c>
      <c r="B28" t="n">
        <v>371</v>
      </c>
      <c r="C28" t="n">
        <v>1</v>
      </c>
      <c r="D28" t="n">
        <v>0</v>
      </c>
      <c r="E28" t="b">
        <v>0</v>
      </c>
      <c r="F28" t="n">
        <v>5</v>
      </c>
      <c r="G28" t="inlineStr">
        <is>
          <t>Kinetic</t>
        </is>
      </c>
      <c r="H28" t="b">
        <v>0</v>
      </c>
      <c r="I28" t="inlineStr">
        <is>
          <t>01_chien_dau/Vu_khi (id gun_125_armata_ke)</t>
        </is>
      </c>
      <c r="J28" t="inlineStr"/>
    </row>
    <row r="29">
      <c r="A29" t="inlineStr">
        <is>
          <t>gun_125_elite</t>
        </is>
      </c>
      <c r="B29" t="n">
        <v>371</v>
      </c>
      <c r="C29" t="n">
        <v>1</v>
      </c>
      <c r="D29" t="n">
        <v>0</v>
      </c>
      <c r="E29" t="b">
        <v>0</v>
      </c>
      <c r="F29" t="n">
        <v>5</v>
      </c>
      <c r="G29" t="inlineStr">
        <is>
          <t>Kinetic</t>
        </is>
      </c>
      <c r="H29" t="b">
        <v>0</v>
      </c>
      <c r="I29" t="inlineStr">
        <is>
          <t>01_chien_dau/Vu_khi (id gun_125_elite)</t>
        </is>
      </c>
      <c r="J29" t="inlineStr"/>
    </row>
    <row r="30">
      <c r="A30" t="inlineStr">
        <is>
          <t>gun_140_twin</t>
        </is>
      </c>
      <c r="B30" t="n">
        <v>414</v>
      </c>
      <c r="C30" t="n">
        <v>1</v>
      </c>
      <c r="D30" t="n">
        <v>0</v>
      </c>
      <c r="E30" t="b">
        <v>0</v>
      </c>
      <c r="F30" t="n">
        <v>5</v>
      </c>
      <c r="G30" t="inlineStr">
        <is>
          <t>Kinetic</t>
        </is>
      </c>
      <c r="H30" t="b">
        <v>0</v>
      </c>
      <c r="I30" t="inlineStr">
        <is>
          <t>01_chien_dau/Vu_khi (id gun_140_twin)</t>
        </is>
      </c>
      <c r="J30" t="inlineStr"/>
    </row>
    <row r="31">
      <c r="A31" t="inlineStr">
        <is>
          <t>gun_152</t>
        </is>
      </c>
      <c r="B31" t="n">
        <v>457</v>
      </c>
      <c r="C31" t="n">
        <v>1</v>
      </c>
      <c r="D31" t="n">
        <v>0</v>
      </c>
      <c r="E31" t="b">
        <v>0</v>
      </c>
      <c r="F31" t="n">
        <v>5</v>
      </c>
      <c r="G31" t="inlineStr">
        <is>
          <t>Kinetic</t>
        </is>
      </c>
      <c r="H31" t="b">
        <v>0</v>
      </c>
      <c r="I31" t="inlineStr">
        <is>
          <t>01_chien_dau/Vu_khi (id gun_152)</t>
        </is>
      </c>
      <c r="J31" t="inlineStr"/>
    </row>
    <row r="32">
      <c r="A32" t="inlineStr">
        <is>
          <t>gun_152_heat</t>
        </is>
      </c>
      <c r="B32" t="n">
        <v>480</v>
      </c>
      <c r="C32" t="n">
        <v>1</v>
      </c>
      <c r="D32" t="n">
        <v>0</v>
      </c>
      <c r="E32" t="b">
        <v>0</v>
      </c>
      <c r="F32" t="n">
        <v>5</v>
      </c>
      <c r="G32" t="inlineStr">
        <is>
          <t>ShapedCharge</t>
        </is>
      </c>
      <c r="H32" t="b">
        <v>0</v>
      </c>
      <c r="I32" t="inlineStr">
        <is>
          <t>01_chien_dau/Vu_khi (id gun_152_heat)</t>
        </is>
      </c>
      <c r="J32" t="inlineStr"/>
    </row>
    <row r="33">
      <c r="A33" t="inlineStr">
        <is>
          <t>gun_behemoth</t>
        </is>
      </c>
      <c r="B33" t="n">
        <v>320</v>
      </c>
      <c r="C33" t="n">
        <v>2</v>
      </c>
      <c r="D33" t="n">
        <v>0</v>
      </c>
      <c r="E33" t="b">
        <v>0</v>
      </c>
      <c r="F33" t="n">
        <v>3</v>
      </c>
      <c r="G33" t="inlineStr">
        <is>
          <t>HighExplosive</t>
        </is>
      </c>
      <c r="H33" t="b">
        <v>0</v>
      </c>
      <c r="I33" t="inlineStr">
        <is>
          <t>01_chien_dau/Vu_khi (id gun_behemoth)</t>
        </is>
      </c>
      <c r="J33" t="inlineStr"/>
    </row>
    <row r="34">
      <c r="A34" t="inlineStr">
        <is>
          <t>gunship_105</t>
        </is>
      </c>
      <c r="B34" t="n">
        <v>286</v>
      </c>
      <c r="C34" t="n">
        <v>1</v>
      </c>
      <c r="D34" t="n">
        <v>0</v>
      </c>
      <c r="E34" t="b">
        <v>0</v>
      </c>
      <c r="F34" t="n">
        <v>2</v>
      </c>
      <c r="G34" t="inlineStr">
        <is>
          <t>HighExplosive</t>
        </is>
      </c>
      <c r="H34" t="b">
        <v>0</v>
      </c>
      <c r="I34" t="inlineStr">
        <is>
          <t>01_chien_dau/Vu_khi (id gunship_105)</t>
        </is>
      </c>
      <c r="J34" t="inlineStr"/>
    </row>
    <row r="35">
      <c r="A35" t="inlineStr">
        <is>
          <t>hel_beam</t>
        </is>
      </c>
      <c r="B35" t="n">
        <v>10</v>
      </c>
      <c r="C35" t="n">
        <v>1</v>
      </c>
      <c r="D35" t="n">
        <v>0</v>
      </c>
      <c r="E35" t="b">
        <v>0</v>
      </c>
      <c r="F35" t="n">
        <v>2</v>
      </c>
      <c r="G35" t="inlineStr">
        <is>
          <t>Energy</t>
        </is>
      </c>
      <c r="H35" t="b">
        <v>0</v>
      </c>
      <c r="I35" t="inlineStr">
        <is>
          <t>01_chien_dau/Vu_khi (id hel_beam)</t>
        </is>
      </c>
      <c r="J35" t="inlineStr"/>
    </row>
    <row r="36">
      <c r="A36" t="inlineStr">
        <is>
          <t>heli_gun</t>
        </is>
      </c>
      <c r="B36" t="n">
        <v>22</v>
      </c>
      <c r="C36" t="n">
        <v>1</v>
      </c>
      <c r="D36" t="n">
        <v>0</v>
      </c>
      <c r="E36" t="b">
        <v>0</v>
      </c>
      <c r="F36" t="n">
        <v>2</v>
      </c>
      <c r="G36" t="inlineStr">
        <is>
          <t>Kinetic</t>
        </is>
      </c>
      <c r="H36" t="b">
        <v>0</v>
      </c>
      <c r="I36" t="inlineStr">
        <is>
          <t>01_chien_dau/Vu_khi (id heli_gun)</t>
        </is>
      </c>
      <c r="J36" t="inlineStr"/>
    </row>
    <row r="37">
      <c r="A37" t="inlineStr">
        <is>
          <t>hellfire_standoff</t>
        </is>
      </c>
      <c r="B37" t="n">
        <v>260</v>
      </c>
      <c r="C37" t="n">
        <v>2</v>
      </c>
      <c r="D37" t="n">
        <v>0</v>
      </c>
      <c r="E37" t="b">
        <v>0</v>
      </c>
      <c r="F37" t="n">
        <v>4</v>
      </c>
      <c r="G37" t="inlineStr">
        <is>
          <t>ShapedCharge</t>
        </is>
      </c>
      <c r="H37" t="b">
        <v>1</v>
      </c>
      <c r="I37" t="inlineStr">
        <is>
          <t>01_chien_dau/Vu_khi (id hellfire_standoff)</t>
        </is>
      </c>
      <c r="J37" t="inlineStr"/>
    </row>
    <row r="38">
      <c r="A38" t="inlineStr">
        <is>
          <t>hellfire_volley</t>
        </is>
      </c>
      <c r="B38" t="n">
        <v>260</v>
      </c>
      <c r="C38" t="n">
        <v>2</v>
      </c>
      <c r="D38" t="n">
        <v>0</v>
      </c>
      <c r="E38" t="b">
        <v>0</v>
      </c>
      <c r="F38" t="n">
        <v>4</v>
      </c>
      <c r="G38" t="inlineStr">
        <is>
          <t>ShapedCharge</t>
        </is>
      </c>
      <c r="H38" t="b">
        <v>0</v>
      </c>
      <c r="I38" t="inlineStr">
        <is>
          <t>01_chien_dau/Vu_khi (id hellfire_volley)</t>
        </is>
      </c>
      <c r="J38" t="inlineStr"/>
    </row>
    <row r="39">
      <c r="A39" t="inlineStr">
        <is>
          <t>hmg_roof</t>
        </is>
      </c>
      <c r="B39" t="n">
        <v>9.5</v>
      </c>
      <c r="C39" t="n">
        <v>1</v>
      </c>
      <c r="D39" t="n">
        <v>0</v>
      </c>
      <c r="E39" t="b">
        <v>0</v>
      </c>
      <c r="F39" t="n">
        <v>1</v>
      </c>
      <c r="G39" t="inlineStr">
        <is>
          <t>Kinetic</t>
        </is>
      </c>
      <c r="H39" t="b">
        <v>0</v>
      </c>
      <c r="I39" t="inlineStr">
        <is>
          <t>01_chien_dau/Vu_khi (id hmg_roof)</t>
        </is>
      </c>
      <c r="J39" t="inlineStr"/>
    </row>
    <row r="40">
      <c r="A40" t="inlineStr">
        <is>
          <t>hmg_selfdef_15</t>
        </is>
      </c>
      <c r="B40" t="n">
        <v>9.5</v>
      </c>
      <c r="C40" t="n">
        <v>1</v>
      </c>
      <c r="D40" t="n">
        <v>0</v>
      </c>
      <c r="E40" t="b">
        <v>0</v>
      </c>
      <c r="F40" t="n">
        <v>1</v>
      </c>
      <c r="G40" t="inlineStr">
        <is>
          <t>Kinetic</t>
        </is>
      </c>
      <c r="H40" t="b">
        <v>0</v>
      </c>
      <c r="I40" t="inlineStr">
        <is>
          <t>01_chien_dau/Vu_khi (id hmg_selfdef_15)</t>
        </is>
      </c>
      <c r="J40" t="inlineStr"/>
    </row>
    <row r="41">
      <c r="A41" t="inlineStr">
        <is>
          <t>hover_ciws</t>
        </is>
      </c>
      <c r="B41" t="n">
        <v>12</v>
      </c>
      <c r="C41" t="n">
        <v>1</v>
      </c>
      <c r="D41" t="n">
        <v>0</v>
      </c>
      <c r="E41" t="b">
        <v>0</v>
      </c>
      <c r="F41" t="n">
        <v>2</v>
      </c>
      <c r="G41" t="inlineStr">
        <is>
          <t>Kinetic</t>
        </is>
      </c>
      <c r="H41" t="b">
        <v>0</v>
      </c>
      <c r="I41" t="inlineStr">
        <is>
          <t>01_chien_dau/Vu_khi (id hover_ciws)</t>
        </is>
      </c>
      <c r="J41" t="inlineStr"/>
    </row>
    <row r="42">
      <c r="A42" t="inlineStr">
        <is>
          <t>howitzer</t>
        </is>
      </c>
      <c r="B42" t="n">
        <v>457</v>
      </c>
      <c r="C42" t="n">
        <v>1</v>
      </c>
      <c r="D42" t="n">
        <v>20</v>
      </c>
      <c r="E42" t="b">
        <v>0</v>
      </c>
      <c r="F42" t="n">
        <v>3</v>
      </c>
      <c r="G42" t="inlineStr">
        <is>
          <t>HighExplosive</t>
        </is>
      </c>
      <c r="H42" t="b">
        <v>0</v>
      </c>
      <c r="I42" t="inlineStr">
        <is>
          <t>01_chien_dau/Vu_khi (id howitzer)</t>
        </is>
      </c>
      <c r="J42" t="inlineStr"/>
    </row>
    <row r="43">
      <c r="A43" t="inlineStr">
        <is>
          <t>ifv_30</t>
        </is>
      </c>
      <c r="B43" t="n">
        <v>22</v>
      </c>
      <c r="C43" t="n">
        <v>10</v>
      </c>
      <c r="D43" t="n">
        <v>0</v>
      </c>
      <c r="E43" t="b">
        <v>0</v>
      </c>
      <c r="F43" t="n">
        <v>2</v>
      </c>
      <c r="G43" t="inlineStr">
        <is>
          <t>Kinetic</t>
        </is>
      </c>
      <c r="H43" t="b">
        <v>0</v>
      </c>
      <c r="I43" t="inlineStr">
        <is>
          <t>01_chien_dau/Vu_khi (id ifv_30)</t>
        </is>
      </c>
      <c r="J43" t="inlineStr"/>
    </row>
    <row r="44">
      <c r="A44" t="inlineStr">
        <is>
          <t>jet_cannon</t>
        </is>
      </c>
      <c r="B44" t="n">
        <v>23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Kinetic</t>
        </is>
      </c>
      <c r="H44" t="b">
        <v>0</v>
      </c>
      <c r="I44" t="inlineStr">
        <is>
          <t>01_chien_dau/Vu_khi (id jet_cannon)</t>
        </is>
      </c>
      <c r="J44" t="inlineStr"/>
    </row>
    <row r="45">
      <c r="A45" t="inlineStr">
        <is>
          <t>mg_jeep</t>
        </is>
      </c>
      <c r="B45" t="n">
        <v>9.5</v>
      </c>
      <c r="C45" t="n">
        <v>1</v>
      </c>
      <c r="D45" t="n">
        <v>0</v>
      </c>
      <c r="E45" t="b">
        <v>0</v>
      </c>
      <c r="F45" t="n">
        <v>1</v>
      </c>
      <c r="G45" t="inlineStr">
        <is>
          <t>Kinetic</t>
        </is>
      </c>
      <c r="H45" t="b">
        <v>0</v>
      </c>
      <c r="I45" t="inlineStr">
        <is>
          <t>01_chien_dau/Vu_khi (id mg_jeep)</t>
        </is>
      </c>
      <c r="J45" t="inlineStr"/>
    </row>
    <row r="46">
      <c r="A46" t="inlineStr">
        <is>
          <t>minigun</t>
        </is>
      </c>
      <c r="B46" t="n">
        <v>5.5</v>
      </c>
      <c r="C46" t="n">
        <v>1</v>
      </c>
      <c r="D46" t="n">
        <v>0</v>
      </c>
      <c r="E46" t="b">
        <v>0</v>
      </c>
      <c r="F46" t="n">
        <v>0</v>
      </c>
      <c r="G46" t="inlineStr">
        <is>
          <t>Kinetic</t>
        </is>
      </c>
      <c r="H46" t="b">
        <v>0</v>
      </c>
      <c r="I46" t="inlineStr">
        <is>
          <t>01_chien_dau/Vu_khi (id minigun)</t>
        </is>
      </c>
      <c r="J46" t="inlineStr"/>
    </row>
    <row r="47">
      <c r="A47" t="inlineStr">
        <is>
          <t>mlrs_elite</t>
        </is>
      </c>
      <c r="B47" t="n">
        <v>105</v>
      </c>
      <c r="C47" t="n">
        <v>5</v>
      </c>
      <c r="D47" t="n">
        <v>6</v>
      </c>
      <c r="E47" t="b">
        <v>0</v>
      </c>
      <c r="F47" t="n">
        <v>3</v>
      </c>
      <c r="G47" t="inlineStr">
        <is>
          <t>HighExplosive</t>
        </is>
      </c>
      <c r="H47" t="b">
        <v>0</v>
      </c>
      <c r="I47" t="inlineStr">
        <is>
          <t>01_chien_dau/Vu_khi (id mlrs_elite)</t>
        </is>
      </c>
      <c r="J47" t="inlineStr"/>
    </row>
    <row r="48">
      <c r="A48" t="inlineStr">
        <is>
          <t>mlrs_rockets</t>
        </is>
      </c>
      <c r="B48" t="n">
        <v>100</v>
      </c>
      <c r="C48" t="n">
        <v>5</v>
      </c>
      <c r="D48" t="n">
        <v>4</v>
      </c>
      <c r="E48" t="b">
        <v>0</v>
      </c>
      <c r="F48" t="n">
        <v>3</v>
      </c>
      <c r="G48" t="inlineStr">
        <is>
          <t>HighExplosive</t>
        </is>
      </c>
      <c r="H48" t="b">
        <v>0</v>
      </c>
      <c r="I48" t="inlineStr">
        <is>
          <t>01_chien_dau/Vu_khi (id mlrs_rockets)</t>
        </is>
      </c>
      <c r="J48" t="inlineStr"/>
    </row>
    <row r="49">
      <c r="A49" t="inlineStr">
        <is>
          <t>mortar_120</t>
        </is>
      </c>
      <c r="B49" t="n">
        <v>214</v>
      </c>
      <c r="C49" t="n">
        <v>1</v>
      </c>
      <c r="D49" t="n">
        <v>18</v>
      </c>
      <c r="E49" t="b">
        <v>0</v>
      </c>
      <c r="F49" t="n">
        <v>2</v>
      </c>
      <c r="G49" t="inlineStr">
        <is>
          <t>HighExplosive</t>
        </is>
      </c>
      <c r="H49" t="b">
        <v>0</v>
      </c>
      <c r="I49" t="inlineStr">
        <is>
          <t>01_chien_dau/Vu_khi (id mortar_120)</t>
        </is>
      </c>
      <c r="J49" t="inlineStr"/>
    </row>
    <row r="50">
      <c r="A50" t="inlineStr">
        <is>
          <t>naval_76</t>
        </is>
      </c>
      <c r="B50" t="n">
        <v>171</v>
      </c>
      <c r="C50" t="n">
        <v>2</v>
      </c>
      <c r="D50" t="n">
        <v>0</v>
      </c>
      <c r="E50" t="b">
        <v>0</v>
      </c>
      <c r="F50" t="n">
        <v>3</v>
      </c>
      <c r="G50" t="inlineStr">
        <is>
          <t>HighExplosive</t>
        </is>
      </c>
      <c r="H50" t="b">
        <v>0</v>
      </c>
      <c r="I50" t="inlineStr">
        <is>
          <t>01_chien_dau/Vu_khi (id naval_76)</t>
        </is>
      </c>
      <c r="J50" t="inlineStr"/>
    </row>
    <row r="51">
      <c r="A51" t="inlineStr">
        <is>
          <t>none</t>
        </is>
      </c>
      <c r="B51" t="n">
        <v>0</v>
      </c>
      <c r="C51" t="n">
        <v>1</v>
      </c>
      <c r="D51" t="n">
        <v>0</v>
      </c>
      <c r="E51" t="b">
        <v>0</v>
      </c>
      <c r="F51" t="n">
        <v>0</v>
      </c>
      <c r="G51" t="inlineStr">
        <is>
          <t>Kinetic</t>
        </is>
      </c>
      <c r="H51" t="b">
        <v>0</v>
      </c>
      <c r="I51" t="inlineStr">
        <is>
          <t>01_chien_dau/Vu_khi (id none)</t>
        </is>
      </c>
      <c r="J51" t="inlineStr"/>
    </row>
    <row r="52">
      <c r="A52" t="inlineStr">
        <is>
          <t>railgun</t>
        </is>
      </c>
      <c r="B52" t="n">
        <v>510</v>
      </c>
      <c r="C52" t="n">
        <v>1</v>
      </c>
      <c r="D52" t="n">
        <v>0</v>
      </c>
      <c r="E52" t="b">
        <v>0</v>
      </c>
      <c r="F52" t="n">
        <v>5</v>
      </c>
      <c r="G52" t="inlineStr">
        <is>
          <t>Kinetic</t>
        </is>
      </c>
      <c r="H52" t="b">
        <v>0</v>
      </c>
      <c r="I52" t="inlineStr">
        <is>
          <t>01_chien_dau/Vu_khi (id railgun)</t>
        </is>
      </c>
      <c r="J52" t="inlineStr"/>
    </row>
    <row r="53">
      <c r="A53" t="inlineStr">
        <is>
          <t>recoilless_106</t>
        </is>
      </c>
      <c r="B53" t="n">
        <v>314</v>
      </c>
      <c r="C53" t="n">
        <v>1</v>
      </c>
      <c r="D53" t="n">
        <v>0</v>
      </c>
      <c r="E53" t="b">
        <v>0</v>
      </c>
      <c r="F53" t="n">
        <v>3</v>
      </c>
      <c r="G53" t="inlineStr">
        <is>
          <t>ShapedCharge</t>
        </is>
      </c>
      <c r="H53" t="b">
        <v>0</v>
      </c>
      <c r="I53" t="inlineStr">
        <is>
          <t>01_chien_dau/Vu_khi (id recoilless_106)</t>
        </is>
      </c>
      <c r="J53" t="inlineStr"/>
    </row>
    <row r="54">
      <c r="A54" t="inlineStr">
        <is>
          <t>recon_missile</t>
        </is>
      </c>
      <c r="B54" t="n">
        <v>190</v>
      </c>
      <c r="C54" t="n">
        <v>1</v>
      </c>
      <c r="D54" t="n">
        <v>0</v>
      </c>
      <c r="E54" t="b">
        <v>0</v>
      </c>
      <c r="F54" t="n">
        <v>3</v>
      </c>
      <c r="G54" t="inlineStr">
        <is>
          <t>ShapedCharge</t>
        </is>
      </c>
      <c r="H54" t="b">
        <v>0</v>
      </c>
      <c r="I54" t="inlineStr">
        <is>
          <t>01_chien_dau/Vu_khi (id recon_missile)</t>
        </is>
      </c>
      <c r="J54" t="inlineStr"/>
    </row>
    <row r="55">
      <c r="A55" t="inlineStr">
        <is>
          <t>rockets_300mm</t>
        </is>
      </c>
      <c r="B55" t="n">
        <v>145</v>
      </c>
      <c r="C55" t="n">
        <v>11</v>
      </c>
      <c r="D55" t="n">
        <v>3</v>
      </c>
      <c r="E55" t="b">
        <v>0</v>
      </c>
      <c r="F55" t="n">
        <v>3</v>
      </c>
      <c r="G55" t="inlineStr">
        <is>
          <t>HighExplosive</t>
        </is>
      </c>
      <c r="H55" t="b">
        <v>0</v>
      </c>
      <c r="I55" t="inlineStr">
        <is>
          <t>01_chien_dau/Vu_khi (id rockets_300mm)</t>
        </is>
      </c>
      <c r="J55" t="inlineStr"/>
    </row>
    <row r="56">
      <c r="A56" t="inlineStr">
        <is>
          <t>sam_48n6</t>
        </is>
      </c>
      <c r="B56" t="n">
        <v>630</v>
      </c>
      <c r="C56" t="n">
        <v>1</v>
      </c>
      <c r="D56" t="n">
        <v>0</v>
      </c>
      <c r="E56" t="b">
        <v>0</v>
      </c>
      <c r="F56" t="n">
        <v>3</v>
      </c>
      <c r="G56" t="inlineStr">
        <is>
          <t>Fragmentation</t>
        </is>
      </c>
      <c r="H56" t="b">
        <v>0</v>
      </c>
      <c r="I56" t="inlineStr">
        <is>
          <t>01_chien_dau/Vu_khi (id sam_48n6)</t>
        </is>
      </c>
      <c r="J56" t="inlineStr"/>
    </row>
    <row r="57">
      <c r="A57" t="inlineStr">
        <is>
          <t>shahed</t>
        </is>
      </c>
      <c r="B57" t="n">
        <v>344</v>
      </c>
      <c r="C57" t="n">
        <v>1</v>
      </c>
      <c r="D57" t="n">
        <v>5</v>
      </c>
      <c r="E57" t="b">
        <v>0</v>
      </c>
      <c r="F57" t="n">
        <v>3</v>
      </c>
      <c r="G57" t="inlineStr">
        <is>
          <t>HighExplosive</t>
        </is>
      </c>
      <c r="H57" t="b">
        <v>1</v>
      </c>
      <c r="I57" t="inlineStr">
        <is>
          <t>01_chien_dau/Vu_khi (id shahed)</t>
        </is>
      </c>
      <c r="J57" t="inlineStr"/>
    </row>
    <row r="58">
      <c r="A58" t="inlineStr">
        <is>
          <t>siege_mortar_240</t>
        </is>
      </c>
      <c r="B58" t="n">
        <v>643</v>
      </c>
      <c r="C58" t="n">
        <v>1</v>
      </c>
      <c r="D58" t="n">
        <v>10</v>
      </c>
      <c r="E58" t="b">
        <v>0</v>
      </c>
      <c r="F58" t="n">
        <v>4</v>
      </c>
      <c r="G58" t="inlineStr">
        <is>
          <t>HighExplosive</t>
        </is>
      </c>
      <c r="H58" t="b">
        <v>0</v>
      </c>
      <c r="I58" t="inlineStr">
        <is>
          <t>01_chien_dau/Vu_khi (id siege_mortar_240)</t>
        </is>
      </c>
      <c r="J58" t="inlineStr"/>
    </row>
    <row r="59">
      <c r="A59" t="inlineStr">
        <is>
          <t>stealth_payload</t>
        </is>
      </c>
      <c r="B59" t="n">
        <v>892</v>
      </c>
      <c r="C59" t="n">
        <v>2</v>
      </c>
      <c r="D59" t="n">
        <v>0</v>
      </c>
      <c r="E59" t="b">
        <v>0</v>
      </c>
      <c r="F59" t="n">
        <v>4</v>
      </c>
      <c r="G59" t="inlineStr">
        <is>
          <t>HighExplosive</t>
        </is>
      </c>
      <c r="H59" t="b">
        <v>1</v>
      </c>
      <c r="I59" t="inlineStr">
        <is>
          <t>01_chien_dau/Vu_khi (id stealth_payload)</t>
        </is>
      </c>
      <c r="J59" t="inlineStr"/>
    </row>
    <row r="60">
      <c r="A60" t="inlineStr">
        <is>
          <t>stinger_post</t>
        </is>
      </c>
      <c r="B60" t="n">
        <v>170</v>
      </c>
      <c r="C60" t="n">
        <v>1</v>
      </c>
      <c r="D60" t="n">
        <v>0</v>
      </c>
      <c r="E60" t="b">
        <v>0</v>
      </c>
      <c r="F60" t="n">
        <v>2</v>
      </c>
      <c r="G60" t="inlineStr">
        <is>
          <t>Fragmentation</t>
        </is>
      </c>
      <c r="H60" t="b">
        <v>0</v>
      </c>
      <c r="I60" t="inlineStr">
        <is>
          <t>01_chien_dau/Vu_khi (id stinger_post)</t>
        </is>
      </c>
      <c r="J60" t="inlineStr"/>
    </row>
    <row r="61">
      <c r="A61" t="inlineStr">
        <is>
          <t>swarm_drones</t>
        </is>
      </c>
      <c r="B61" t="n">
        <v>140</v>
      </c>
      <c r="C61" t="n">
        <v>1</v>
      </c>
      <c r="D61" t="n">
        <v>0</v>
      </c>
      <c r="E61" t="b">
        <v>0</v>
      </c>
      <c r="F61" t="n">
        <v>3</v>
      </c>
      <c r="G61" t="inlineStr">
        <is>
          <t>ShapedCharge</t>
        </is>
      </c>
      <c r="H61" t="b">
        <v>1</v>
      </c>
      <c r="I61" t="inlineStr">
        <is>
          <t>01_chien_dau/Vu_khi (id swarm_drones)</t>
        </is>
      </c>
      <c r="J61" t="inlineStr"/>
    </row>
    <row r="62">
      <c r="A62" t="inlineStr">
        <is>
          <t>technical_rockets</t>
        </is>
      </c>
      <c r="B62" t="n">
        <v>49.5</v>
      </c>
      <c r="C62" t="n">
        <v>5</v>
      </c>
      <c r="D62" t="n">
        <v>6</v>
      </c>
      <c r="E62" t="b">
        <v>0</v>
      </c>
      <c r="F62" t="n">
        <v>2</v>
      </c>
      <c r="G62" t="inlineStr">
        <is>
          <t>HighExplosive</t>
        </is>
      </c>
      <c r="H62" t="b">
        <v>0</v>
      </c>
      <c r="I62" t="inlineStr">
        <is>
          <t>01_chien_dau/Vu_khi (id technical_rockets)</t>
        </is>
      </c>
      <c r="J62" t="inlineStr"/>
    </row>
    <row r="63">
      <c r="A63" t="inlineStr">
        <is>
          <t>thermobaric_rockets</t>
        </is>
      </c>
      <c r="B63" t="n">
        <v>97</v>
      </c>
      <c r="C63" t="n">
        <v>9</v>
      </c>
      <c r="D63" t="n">
        <v>4</v>
      </c>
      <c r="E63" t="b">
        <v>0</v>
      </c>
      <c r="F63" t="n">
        <v>3</v>
      </c>
      <c r="G63" t="inlineStr">
        <is>
          <t>HighExplosive</t>
        </is>
      </c>
      <c r="H63" t="b">
        <v>0</v>
      </c>
      <c r="I63" t="inlineStr">
        <is>
          <t>01_chien_dau/Vu_khi (id thermobaric_rockets)</t>
        </is>
      </c>
      <c r="J63" t="inlineStr"/>
    </row>
    <row r="64">
      <c r="A64" t="inlineStr">
        <is>
          <t>twin_30_flak</t>
        </is>
      </c>
      <c r="B64" t="n">
        <v>7.5</v>
      </c>
      <c r="C64" t="n">
        <v>1</v>
      </c>
      <c r="D64" t="n">
        <v>0</v>
      </c>
      <c r="E64" t="b">
        <v>0</v>
      </c>
      <c r="F64" t="n">
        <v>2</v>
      </c>
      <c r="G64" t="inlineStr">
        <is>
          <t>Fragmentation</t>
        </is>
      </c>
      <c r="H64" t="b">
        <v>0</v>
      </c>
      <c r="I64" t="inlineStr">
        <is>
          <t>01_chien_dau/Vu_khi (id twin_30_flak)</t>
        </is>
      </c>
      <c r="J64" t="inlineStr"/>
    </row>
    <row r="65">
      <c r="A65" t="inlineStr">
        <is>
          <t>twin_35_ahead</t>
        </is>
      </c>
      <c r="B65" t="n">
        <v>26</v>
      </c>
      <c r="C65" t="n">
        <v>1</v>
      </c>
      <c r="D65" t="n">
        <v>0</v>
      </c>
      <c r="E65" t="b">
        <v>0</v>
      </c>
      <c r="F65" t="n">
        <v>2</v>
      </c>
      <c r="G65" t="inlineStr">
        <is>
          <t>Fragmentation</t>
        </is>
      </c>
      <c r="H65" t="b">
        <v>0</v>
      </c>
      <c r="I65" t="inlineStr">
        <is>
          <t>01_chien_dau/Vu_khi (id twin_35_ahead)</t>
        </is>
      </c>
      <c r="J65" t="inlineStr"/>
    </row>
    <row r="66">
      <c r="A66" t="inlineStr">
        <is>
          <t>zu23</t>
        </is>
      </c>
      <c r="B66" t="n">
        <v>3.5</v>
      </c>
      <c r="C66" t="n">
        <v>1</v>
      </c>
      <c r="D66" t="n">
        <v>0</v>
      </c>
      <c r="E66" t="b">
        <v>0</v>
      </c>
      <c r="F66" t="n">
        <v>1</v>
      </c>
      <c r="G66" t="inlineStr">
        <is>
          <t>Fragmentation</t>
        </is>
      </c>
      <c r="H66" t="b">
        <v>0</v>
      </c>
      <c r="I66" t="inlineStr">
        <is>
          <t>01_chien_dau/Vu_khi (id zu23)</t>
        </is>
      </c>
      <c r="J66" t="inlineStr"/>
    </row>
  </sheetData>
  <autoFilter ref="A1:J66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11" customWidth="1" min="10" max="10"/>
    <col width="54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xuyen_qua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0.45</v>
      </c>
      <c r="I2" t="n">
        <v>1.35</v>
      </c>
      <c r="J2" t="b">
        <v>0</v>
      </c>
      <c r="K2" t="inlineStr">
        <is>
          <t>01_chien_dau/Vu_khi_suy_ra (id air_to_air)</t>
        </is>
      </c>
      <c r="L2" t="inlineStr"/>
    </row>
    <row r="3">
      <c r="A3" t="inlineStr">
        <is>
          <t>amos_120</t>
        </is>
      </c>
      <c r="B3" t="n">
        <v>15.357</v>
      </c>
      <c r="C3" t="n">
        <v>856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b">
        <v>0</v>
      </c>
      <c r="K3" t="inlineStr">
        <is>
          <t>01_chien_dau/Vu_khi_suy_ra (id amos_120)</t>
        </is>
      </c>
      <c r="L3" t="inlineStr"/>
    </row>
    <row r="4">
      <c r="A4" t="inlineStr">
        <is>
          <t>autocannon_25</t>
        </is>
      </c>
      <c r="B4" t="n">
        <v>2.633599999999999</v>
      </c>
      <c r="C4" t="n">
        <v>136</v>
      </c>
      <c r="D4" t="n">
        <v>10</v>
      </c>
      <c r="E4" t="b">
        <v>0</v>
      </c>
      <c r="F4" t="b">
        <v>1</v>
      </c>
      <c r="G4" t="b">
        <v>0</v>
      </c>
      <c r="H4" t="n">
        <v>1.2</v>
      </c>
      <c r="I4" t="n">
        <v>0.3</v>
      </c>
      <c r="J4" t="b">
        <v>1</v>
      </c>
      <c r="K4" t="inlineStr">
        <is>
          <t>01_chien_dau/Vu_khi_suy_ra (id autocannon_25)</t>
        </is>
      </c>
      <c r="L4" t="inlineStr"/>
    </row>
    <row r="5">
      <c r="A5" t="inlineStr">
        <is>
          <t>autocannon_30</t>
        </is>
      </c>
      <c r="B5" t="n">
        <v>2.611</v>
      </c>
      <c r="C5" t="n">
        <v>220</v>
      </c>
      <c r="D5" t="n">
        <v>10</v>
      </c>
      <c r="E5" t="b">
        <v>0</v>
      </c>
      <c r="F5" t="b">
        <v>1</v>
      </c>
      <c r="G5" t="b">
        <v>0</v>
      </c>
      <c r="H5" t="n">
        <v>1.2</v>
      </c>
      <c r="I5" t="n">
        <v>0.3</v>
      </c>
      <c r="J5" t="b">
        <v>1</v>
      </c>
      <c r="K5" t="inlineStr">
        <is>
          <t>01_chien_dau/Vu_khi_suy_ra (id autocannon_30)</t>
        </is>
      </c>
      <c r="L5" t="inlineStr"/>
    </row>
    <row r="6">
      <c r="A6" t="inlineStr">
        <is>
          <t>ballistic_missile</t>
        </is>
      </c>
      <c r="B6" t="n">
        <v>24.21</v>
      </c>
      <c r="C6" t="n">
        <v>1260</v>
      </c>
      <c r="D6" t="n">
        <v>18.168</v>
      </c>
      <c r="E6" t="b">
        <v>1</v>
      </c>
      <c r="F6" t="b">
        <v>1</v>
      </c>
      <c r="G6" t="b">
        <v>0</v>
      </c>
      <c r="H6" t="n">
        <v>1</v>
      </c>
      <c r="I6" t="n">
        <v>0</v>
      </c>
      <c r="J6" t="b">
        <v>0</v>
      </c>
      <c r="K6" t="inlineStr">
        <is>
          <t>01_chien_dau/Vu_khi_suy_ra (id ballistic_missile)</t>
        </is>
      </c>
      <c r="L6" t="inlineStr"/>
    </row>
    <row r="7">
      <c r="A7" t="inlineStr">
        <is>
          <t>boat_rockets</t>
        </is>
      </c>
      <c r="B7" t="n">
        <v>8.08</v>
      </c>
      <c r="C7" t="n">
        <v>320</v>
      </c>
      <c r="D7" t="n">
        <v>10</v>
      </c>
      <c r="E7" t="b">
        <v>0</v>
      </c>
      <c r="F7" t="b">
        <v>1</v>
      </c>
      <c r="G7" t="b">
        <v>0</v>
      </c>
      <c r="H7" t="n">
        <v>1</v>
      </c>
      <c r="I7" t="n">
        <v>0</v>
      </c>
      <c r="J7" t="b">
        <v>0</v>
      </c>
      <c r="K7" t="inlineStr">
        <is>
          <t>01_chien_dau/Vu_khi_suy_ra (id boat_rockets)</t>
        </is>
      </c>
      <c r="L7" t="inlineStr"/>
    </row>
    <row r="8">
      <c r="A8" t="inlineStr">
        <is>
          <t>bofors_l70</t>
        </is>
      </c>
      <c r="B8" t="n">
        <v>7.75</v>
      </c>
      <c r="C8" t="n">
        <v>600</v>
      </c>
      <c r="D8" t="n">
        <v>10</v>
      </c>
      <c r="E8" t="b">
        <v>0</v>
      </c>
      <c r="F8" t="b">
        <v>1</v>
      </c>
      <c r="G8" t="b">
        <v>1</v>
      </c>
      <c r="H8" t="n">
        <v>0.45</v>
      </c>
      <c r="I8" t="n">
        <v>1.35</v>
      </c>
      <c r="J8" t="b">
        <v>0</v>
      </c>
      <c r="K8" t="inlineStr">
        <is>
          <t>01_chien_dau/Vu_khi_suy_ra (id bofors_l70)</t>
        </is>
      </c>
      <c r="L8" t="inlineStr"/>
    </row>
    <row r="9">
      <c r="A9" t="inlineStr">
        <is>
          <t>bomber_payload</t>
        </is>
      </c>
      <c r="B9" t="n">
        <v>12.4</v>
      </c>
      <c r="C9" t="n">
        <v>2940</v>
      </c>
      <c r="D9" t="n">
        <v>10</v>
      </c>
      <c r="E9" t="b">
        <v>1</v>
      </c>
      <c r="F9" t="b">
        <v>1</v>
      </c>
      <c r="G9" t="b">
        <v>0</v>
      </c>
      <c r="H9" t="n">
        <v>1</v>
      </c>
      <c r="I9" t="n">
        <v>0</v>
      </c>
      <c r="J9" t="b">
        <v>0</v>
      </c>
      <c r="K9" t="inlineStr">
        <is>
          <t>01_chien_dau/Vu_khi_suy_ra (id bomber_payload)</t>
        </is>
      </c>
      <c r="L9" t="inlineStr"/>
    </row>
    <row r="10">
      <c r="A10" t="inlineStr">
        <is>
          <t>buk_launcher</t>
        </is>
      </c>
      <c r="B10" t="n">
        <v>3.3</v>
      </c>
      <c r="C10" t="n">
        <v>640</v>
      </c>
      <c r="D10" t="n">
        <v>10</v>
      </c>
      <c r="E10" t="b">
        <v>0</v>
      </c>
      <c r="F10" t="b">
        <v>0</v>
      </c>
      <c r="G10" t="b">
        <v>1</v>
      </c>
      <c r="H10" t="n">
        <v>0.45</v>
      </c>
      <c r="I10" t="n">
        <v>1.35</v>
      </c>
      <c r="J10" t="b">
        <v>0</v>
      </c>
      <c r="K10" t="inlineStr">
        <is>
          <t>01_chien_dau/Vu_khi_suy_ra (id buk_launcher)</t>
        </is>
      </c>
      <c r="L10" t="inlineStr"/>
    </row>
    <row r="11">
      <c r="A11" t="inlineStr">
        <is>
          <t>cruise_missile_ground</t>
        </is>
      </c>
      <c r="B11" t="n">
        <v>45</v>
      </c>
      <c r="C11" t="n">
        <v>900</v>
      </c>
      <c r="D11" t="n">
        <v>10</v>
      </c>
      <c r="E11" t="b">
        <v>0</v>
      </c>
      <c r="F11" t="b">
        <v>1</v>
      </c>
      <c r="G11" t="b">
        <v>1</v>
      </c>
      <c r="H11" t="n">
        <v>1.3</v>
      </c>
      <c r="I11" t="n">
        <v>0.2</v>
      </c>
      <c r="J11" t="b">
        <v>0</v>
      </c>
      <c r="K11" t="inlineStr">
        <is>
          <t>01_chien_dau/Vu_khi_suy_ra (id cruise_missile_ground)</t>
        </is>
      </c>
      <c r="L11" t="inlineStr"/>
    </row>
    <row r="12">
      <c r="A12" t="inlineStr">
        <is>
          <t>cruiser_203</t>
        </is>
      </c>
      <c r="B12" t="n">
        <v>16.857</v>
      </c>
      <c r="C12" t="n">
        <v>1200</v>
      </c>
      <c r="D12" t="n">
        <v>10</v>
      </c>
      <c r="E12" t="b">
        <v>0</v>
      </c>
      <c r="F12" t="b">
        <v>1</v>
      </c>
      <c r="G12" t="b">
        <v>0</v>
      </c>
      <c r="H12" t="n">
        <v>1</v>
      </c>
      <c r="I12" t="n">
        <v>0</v>
      </c>
      <c r="J12" t="b">
        <v>0</v>
      </c>
      <c r="K12" t="inlineStr">
        <is>
          <t>01_chien_dau/Vu_khi_suy_ra (id cruiser_203)</t>
        </is>
      </c>
      <c r="L12" t="inlineStr"/>
    </row>
    <row r="13">
      <c r="A13" t="inlineStr">
        <is>
          <t>detonator</t>
        </is>
      </c>
      <c r="B13" t="n">
        <v>1</v>
      </c>
      <c r="C13" t="n">
        <v>770</v>
      </c>
      <c r="D13" t="n">
        <v>10</v>
      </c>
      <c r="E13" t="b">
        <v>0</v>
      </c>
      <c r="F13" t="b">
        <v>1</v>
      </c>
      <c r="G13" t="b">
        <v>0</v>
      </c>
      <c r="H13" t="n">
        <v>1</v>
      </c>
      <c r="I13" t="n">
        <v>0</v>
      </c>
      <c r="J13" t="b">
        <v>0</v>
      </c>
      <c r="K13" t="inlineStr">
        <is>
          <t>01_chien_dau/Vu_khi_suy_ra (id detonator)</t>
        </is>
      </c>
      <c r="L13" t="inlineStr"/>
    </row>
    <row r="14">
      <c r="A14" t="inlineStr">
        <is>
          <t>dozer_blade</t>
        </is>
      </c>
      <c r="B14" t="n">
        <v>1.6</v>
      </c>
      <c r="C14" t="n">
        <v>110</v>
      </c>
      <c r="D14" t="n">
        <v>10</v>
      </c>
      <c r="E14" t="b">
        <v>0</v>
      </c>
      <c r="F14" t="b">
        <v>1</v>
      </c>
      <c r="G14" t="b">
        <v>0</v>
      </c>
      <c r="H14" t="n">
        <v>1.2</v>
      </c>
      <c r="I14" t="n">
        <v>0.3</v>
      </c>
      <c r="J14" t="b">
        <v>1</v>
      </c>
      <c r="K14" t="inlineStr">
        <is>
          <t>01_chien_dau/Vu_khi_suy_ra (id dozer_blade)</t>
        </is>
      </c>
      <c r="L14" t="inlineStr"/>
    </row>
    <row r="15">
      <c r="A15" t="inlineStr">
        <is>
          <t>drone_missile</t>
        </is>
      </c>
      <c r="B15" t="n">
        <v>3.58</v>
      </c>
      <c r="C15" t="n">
        <v>260</v>
      </c>
      <c r="D15" t="n">
        <v>10</v>
      </c>
      <c r="E15" t="b">
        <v>0</v>
      </c>
      <c r="F15" t="b">
        <v>1</v>
      </c>
      <c r="G15" t="b">
        <v>0</v>
      </c>
      <c r="H15" t="n">
        <v>1.3</v>
      </c>
      <c r="I15" t="n">
        <v>0.2</v>
      </c>
      <c r="J15" t="b">
        <v>0</v>
      </c>
      <c r="K15" t="inlineStr">
        <is>
          <t>01_chien_dau/Vu_khi_suy_ra (id drone_missile)</t>
        </is>
      </c>
      <c r="L15" t="inlineStr"/>
    </row>
    <row r="16">
      <c r="A16" t="inlineStr">
        <is>
          <t>flak_35</t>
        </is>
      </c>
      <c r="B16" t="n">
        <v>6.5</v>
      </c>
      <c r="C16" t="n">
        <v>572</v>
      </c>
      <c r="D16" t="n">
        <v>10</v>
      </c>
      <c r="E16" t="b">
        <v>0</v>
      </c>
      <c r="F16" t="b">
        <v>1</v>
      </c>
      <c r="G16" t="b">
        <v>1</v>
      </c>
      <c r="H16" t="n">
        <v>0.45</v>
      </c>
      <c r="I16" t="n">
        <v>1.35</v>
      </c>
      <c r="J16" t="b">
        <v>0</v>
      </c>
      <c r="K16" t="inlineStr">
        <is>
          <t>01_chien_dau/Vu_khi_suy_ra (id flak_35)</t>
        </is>
      </c>
      <c r="L16" t="inlineStr"/>
    </row>
    <row r="17">
      <c r="A17" t="inlineStr">
        <is>
          <t>flamethrower</t>
        </is>
      </c>
      <c r="B17" t="n">
        <v>0.25</v>
      </c>
      <c r="C17" t="n">
        <v>21</v>
      </c>
      <c r="D17" t="n">
        <v>10</v>
      </c>
      <c r="E17" t="b">
        <v>0</v>
      </c>
      <c r="F17" t="b">
        <v>1</v>
      </c>
      <c r="G17" t="b">
        <v>0</v>
      </c>
      <c r="H17" t="n">
        <v>1.35</v>
      </c>
      <c r="I17" t="n">
        <v>0</v>
      </c>
      <c r="J17" t="b">
        <v>0</v>
      </c>
      <c r="K17" t="inlineStr">
        <is>
          <t>01_chien_dau/Vu_khi_suy_ra (id flamethrower)</t>
        </is>
      </c>
      <c r="L17" t="inlineStr"/>
    </row>
    <row r="18">
      <c r="A18" t="inlineStr">
        <is>
          <t>focus_laser</t>
        </is>
      </c>
      <c r="B18" t="n">
        <v>9.4</v>
      </c>
      <c r="C18" t="n">
        <v>1000</v>
      </c>
      <c r="D18" t="n">
        <v>10</v>
      </c>
      <c r="E18" t="b">
        <v>0</v>
      </c>
      <c r="F18" t="b">
        <v>1</v>
      </c>
      <c r="G18" t="b">
        <v>0</v>
      </c>
      <c r="H18" t="n">
        <v>0.9</v>
      </c>
      <c r="I18" t="n">
        <v>1.5</v>
      </c>
      <c r="J18" t="b">
        <v>0</v>
      </c>
      <c r="K18" t="inlineStr">
        <is>
          <t>01_chien_dau/Vu_khi_suy_ra (id focus_laser)</t>
        </is>
      </c>
      <c r="L18" t="inlineStr"/>
    </row>
    <row r="19">
      <c r="A19" t="inlineStr">
        <is>
          <t>fpv_swarm</t>
        </is>
      </c>
      <c r="B19" t="n">
        <v>2.8</v>
      </c>
      <c r="C19" t="n">
        <v>140</v>
      </c>
      <c r="D19" t="n">
        <v>9</v>
      </c>
      <c r="E19" t="b">
        <v>1</v>
      </c>
      <c r="F19" t="b">
        <v>1</v>
      </c>
      <c r="G19" t="b">
        <v>0</v>
      </c>
      <c r="H19" t="n">
        <v>1.3</v>
      </c>
      <c r="I19" t="n">
        <v>0.2</v>
      </c>
      <c r="J19" t="b">
        <v>0</v>
      </c>
      <c r="K19" t="inlineStr">
        <is>
          <t>01_chien_dau/Vu_khi_suy_ra (id fpv_swarm)</t>
        </is>
      </c>
      <c r="L19" t="inlineStr"/>
    </row>
    <row r="20">
      <c r="A20" t="inlineStr">
        <is>
          <t>grad_cluster</t>
        </is>
      </c>
      <c r="B20" t="n">
        <v>13</v>
      </c>
      <c r="C20" t="n">
        <v>627</v>
      </c>
      <c r="D20" t="n">
        <v>13.67</v>
      </c>
      <c r="E20" t="b">
        <v>1</v>
      </c>
      <c r="F20" t="b">
        <v>1</v>
      </c>
      <c r="G20" t="b">
        <v>0</v>
      </c>
      <c r="H20" t="n">
        <v>1</v>
      </c>
      <c r="I20" t="n">
        <v>0</v>
      </c>
      <c r="J20" t="b">
        <v>0</v>
      </c>
      <c r="K20" t="inlineStr">
        <is>
          <t>01_chien_dau/Vu_khi_suy_ra (id grad_cluster)</t>
        </is>
      </c>
      <c r="L20" t="inlineStr"/>
    </row>
    <row r="21">
      <c r="A21" t="inlineStr">
        <is>
          <t>gun_57mm</t>
        </is>
      </c>
      <c r="B21" t="n">
        <v>6.429</v>
      </c>
      <c r="C21" t="n">
        <v>220</v>
      </c>
      <c r="D21" t="n">
        <v>10</v>
      </c>
      <c r="E21" t="b">
        <v>0</v>
      </c>
      <c r="F21" t="b">
        <v>1</v>
      </c>
      <c r="G21" t="b">
        <v>0</v>
      </c>
      <c r="H21" t="n">
        <v>1.2</v>
      </c>
      <c r="I21" t="n">
        <v>0.3</v>
      </c>
      <c r="J21" t="b">
        <v>1</v>
      </c>
      <c r="K21" t="inlineStr">
        <is>
          <t>01_chien_dau/Vu_khi_suy_ra (id gun_57mm)</t>
        </is>
      </c>
      <c r="L21" t="inlineStr"/>
    </row>
    <row r="22">
      <c r="A22" t="inlineStr">
        <is>
          <t>gun_100_river</t>
        </is>
      </c>
      <c r="B22" t="n">
        <v>4.286</v>
      </c>
      <c r="C22" t="n">
        <v>229</v>
      </c>
      <c r="D22" t="n">
        <v>10</v>
      </c>
      <c r="E22" t="b">
        <v>0</v>
      </c>
      <c r="F22" t="b">
        <v>1</v>
      </c>
      <c r="G22" t="b">
        <v>0</v>
      </c>
      <c r="H22" t="n">
        <v>1</v>
      </c>
      <c r="I22" t="n">
        <v>0</v>
      </c>
      <c r="J22" t="b">
        <v>0</v>
      </c>
      <c r="K22" t="inlineStr">
        <is>
          <t>01_chien_dau/Vu_khi_suy_ra (id gun_100_river)</t>
        </is>
      </c>
      <c r="L22" t="inlineStr"/>
    </row>
    <row r="23">
      <c r="A23" t="inlineStr">
        <is>
          <t>gun_105_apfsds</t>
        </is>
      </c>
      <c r="B23" t="n">
        <v>5.583</v>
      </c>
      <c r="C23" t="n">
        <v>371</v>
      </c>
      <c r="D23" t="n">
        <v>10</v>
      </c>
      <c r="E23" t="b">
        <v>0</v>
      </c>
      <c r="F23" t="b">
        <v>1</v>
      </c>
      <c r="G23" t="b">
        <v>0</v>
      </c>
      <c r="H23" t="n">
        <v>1.2</v>
      </c>
      <c r="I23" t="n">
        <v>0.3</v>
      </c>
      <c r="J23" t="b">
        <v>1</v>
      </c>
      <c r="K23" t="inlineStr">
        <is>
          <t>01_chien_dau/Vu_khi_suy_ra (id gun_105_apfsds)</t>
        </is>
      </c>
      <c r="L23" t="inlineStr"/>
    </row>
    <row r="24">
      <c r="A24" t="inlineStr">
        <is>
          <t>gun_105_long</t>
        </is>
      </c>
      <c r="B24" t="n">
        <v>4.762</v>
      </c>
      <c r="C24" t="n">
        <v>371</v>
      </c>
      <c r="D24" t="n">
        <v>10</v>
      </c>
      <c r="E24" t="b">
        <v>0</v>
      </c>
      <c r="F24" t="b">
        <v>1</v>
      </c>
      <c r="G24" t="b">
        <v>0</v>
      </c>
      <c r="H24" t="n">
        <v>1.2</v>
      </c>
      <c r="I24" t="n">
        <v>0.3</v>
      </c>
      <c r="J24" t="b">
        <v>1</v>
      </c>
      <c r="K24" t="inlineStr">
        <is>
          <t>01_chien_dau/Vu_khi_suy_ra (id gun_105_long)</t>
        </is>
      </c>
      <c r="L24" t="inlineStr"/>
    </row>
    <row r="25">
      <c r="A25" t="inlineStr">
        <is>
          <t>gun_105_wheeled</t>
        </is>
      </c>
      <c r="B25" t="n">
        <v>5.291</v>
      </c>
      <c r="C25" t="n">
        <v>369</v>
      </c>
      <c r="D25" t="n">
        <v>10</v>
      </c>
      <c r="E25" t="b">
        <v>0</v>
      </c>
      <c r="F25" t="b">
        <v>1</v>
      </c>
      <c r="G25" t="b">
        <v>0</v>
      </c>
      <c r="H25" t="n">
        <v>1.2</v>
      </c>
      <c r="I25" t="n">
        <v>0.3</v>
      </c>
      <c r="J25" t="b">
        <v>1</v>
      </c>
      <c r="K25" t="inlineStr">
        <is>
          <t>01_chien_dau/Vu_khi_suy_ra (id gun_105_wheeled)</t>
        </is>
      </c>
      <c r="L25" t="inlineStr"/>
    </row>
    <row r="26">
      <c r="A26" t="inlineStr">
        <is>
          <t>gun_120_twin</t>
        </is>
      </c>
      <c r="B26" t="n">
        <v>7.375999999999999</v>
      </c>
      <c r="C26" t="n">
        <v>686</v>
      </c>
      <c r="D26" t="n">
        <v>10</v>
      </c>
      <c r="E26" t="b">
        <v>0</v>
      </c>
      <c r="F26" t="b">
        <v>1</v>
      </c>
      <c r="G26" t="b">
        <v>0</v>
      </c>
      <c r="H26" t="n">
        <v>1.2</v>
      </c>
      <c r="I26" t="n">
        <v>0.3</v>
      </c>
      <c r="J26" t="b">
        <v>1</v>
      </c>
      <c r="K26" t="inlineStr">
        <is>
          <t>01_chien_dau/Vu_khi_suy_ra (id gun_120_twin)</t>
        </is>
      </c>
      <c r="L26" t="inlineStr"/>
    </row>
    <row r="27">
      <c r="A27" t="inlineStr">
        <is>
          <t>gun_120mm</t>
        </is>
      </c>
      <c r="B27" t="n">
        <v>7.283</v>
      </c>
      <c r="C27" t="n">
        <v>343</v>
      </c>
      <c r="D27" t="n">
        <v>10</v>
      </c>
      <c r="E27" t="b">
        <v>0</v>
      </c>
      <c r="F27" t="b">
        <v>1</v>
      </c>
      <c r="G27" t="b">
        <v>0</v>
      </c>
      <c r="H27" t="n">
        <v>1.2</v>
      </c>
      <c r="I27" t="n">
        <v>0.3</v>
      </c>
      <c r="J27" t="b">
        <v>1</v>
      </c>
      <c r="K27" t="inlineStr">
        <is>
          <t>01_chien_dau/Vu_khi_suy_ra (id gun_120mm)</t>
        </is>
      </c>
      <c r="L27" t="inlineStr"/>
    </row>
    <row r="28">
      <c r="A28" t="inlineStr">
        <is>
          <t>gun_125_armata_ke</t>
        </is>
      </c>
      <c r="B28" t="n">
        <v>7.143</v>
      </c>
      <c r="C28" t="n">
        <v>371</v>
      </c>
      <c r="D28" t="n">
        <v>10</v>
      </c>
      <c r="E28" t="b">
        <v>0</v>
      </c>
      <c r="F28" t="b">
        <v>1</v>
      </c>
      <c r="G28" t="b">
        <v>1</v>
      </c>
      <c r="H28" t="n">
        <v>1.2</v>
      </c>
      <c r="I28" t="n">
        <v>0.3</v>
      </c>
      <c r="J28" t="b">
        <v>1</v>
      </c>
      <c r="K28" t="inlineStr">
        <is>
          <t>01_chien_dau/Vu_khi_suy_ra (id gun_125_armata_ke)</t>
        </is>
      </c>
      <c r="L28" t="inlineStr"/>
    </row>
    <row r="29">
      <c r="A29" t="inlineStr">
        <is>
          <t>gun_125_elite</t>
        </is>
      </c>
      <c r="B29" t="n">
        <v>8.086</v>
      </c>
      <c r="C29" t="n">
        <v>371</v>
      </c>
      <c r="D29" t="n">
        <v>10</v>
      </c>
      <c r="E29" t="b">
        <v>0</v>
      </c>
      <c r="F29" t="b">
        <v>1</v>
      </c>
      <c r="G29" t="b">
        <v>0</v>
      </c>
      <c r="H29" t="n">
        <v>1.2</v>
      </c>
      <c r="I29" t="n">
        <v>0.3</v>
      </c>
      <c r="J29" t="b">
        <v>1</v>
      </c>
      <c r="K29" t="inlineStr">
        <is>
          <t>01_chien_dau/Vu_khi_suy_ra (id gun_125_elite)</t>
        </is>
      </c>
      <c r="L29" t="inlineStr"/>
    </row>
    <row r="30">
      <c r="A30" t="inlineStr">
        <is>
          <t>gun_140_twin</t>
        </is>
      </c>
      <c r="B30" t="n">
        <v>6.481</v>
      </c>
      <c r="C30" t="n">
        <v>828</v>
      </c>
      <c r="D30" t="n">
        <v>10</v>
      </c>
      <c r="E30" t="b">
        <v>0</v>
      </c>
      <c r="F30" t="b">
        <v>1</v>
      </c>
      <c r="G30" t="b">
        <v>0</v>
      </c>
      <c r="H30" t="n">
        <v>1.2</v>
      </c>
      <c r="I30" t="n">
        <v>0.3</v>
      </c>
      <c r="J30" t="b">
        <v>1</v>
      </c>
      <c r="K30" t="inlineStr">
        <is>
          <t>01_chien_dau/Vu_khi_suy_ra (id gun_140_twin)</t>
        </is>
      </c>
      <c r="L30" t="inlineStr"/>
    </row>
    <row r="31">
      <c r="A31" t="inlineStr">
        <is>
          <t>gun_152</t>
        </is>
      </c>
      <c r="B31" t="n">
        <v>8.163</v>
      </c>
      <c r="C31" t="n">
        <v>457</v>
      </c>
      <c r="D31" t="n">
        <v>10</v>
      </c>
      <c r="E31" t="b">
        <v>0</v>
      </c>
      <c r="F31" t="b">
        <v>1</v>
      </c>
      <c r="G31" t="b">
        <v>0</v>
      </c>
      <c r="H31" t="n">
        <v>1.2</v>
      </c>
      <c r="I31" t="n">
        <v>0.3</v>
      </c>
      <c r="J31" t="b">
        <v>1</v>
      </c>
      <c r="K31" t="inlineStr">
        <is>
          <t>01_chien_dau/Vu_khi_suy_ra (id gun_152)</t>
        </is>
      </c>
      <c r="L31" t="inlineStr"/>
    </row>
    <row r="32">
      <c r="A32" t="inlineStr">
        <is>
          <t>gun_152_heat</t>
        </is>
      </c>
      <c r="B32" t="n">
        <v>9.042999999999999</v>
      </c>
      <c r="C32" t="n">
        <v>480</v>
      </c>
      <c r="D32" t="n">
        <v>10</v>
      </c>
      <c r="E32" t="b">
        <v>0</v>
      </c>
      <c r="F32" t="b">
        <v>1</v>
      </c>
      <c r="G32" t="b">
        <v>0</v>
      </c>
      <c r="H32" t="n">
        <v>1.3</v>
      </c>
      <c r="I32" t="n">
        <v>0.2</v>
      </c>
      <c r="J32" t="b">
        <v>0</v>
      </c>
      <c r="K32" t="inlineStr">
        <is>
          <t>01_chien_dau/Vu_khi_suy_ra (id gun_152_heat)</t>
        </is>
      </c>
      <c r="L32" t="inlineStr"/>
    </row>
    <row r="33">
      <c r="A33" t="inlineStr">
        <is>
          <t>gun_behemoth</t>
        </is>
      </c>
      <c r="B33" t="n">
        <v>8.98</v>
      </c>
      <c r="C33" t="n">
        <v>640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</v>
      </c>
      <c r="J33" t="b">
        <v>0</v>
      </c>
      <c r="K33" t="inlineStr">
        <is>
          <t>01_chien_dau/Vu_khi_suy_ra (id gun_behemoth)</t>
        </is>
      </c>
      <c r="L33" t="inlineStr"/>
    </row>
    <row r="34">
      <c r="A34" t="inlineStr">
        <is>
          <t>gunship_105</t>
        </is>
      </c>
      <c r="B34" t="n">
        <v>3.919</v>
      </c>
      <c r="C34" t="n">
        <v>286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</v>
      </c>
      <c r="J34" t="b">
        <v>0</v>
      </c>
      <c r="K34" t="inlineStr">
        <is>
          <t>01_chien_dau/Vu_khi_suy_ra (id gunship_105)</t>
        </is>
      </c>
      <c r="L34" t="inlineStr"/>
    </row>
    <row r="35">
      <c r="A35" t="inlineStr">
        <is>
          <t>hel_beam</t>
        </is>
      </c>
      <c r="B35" t="n">
        <v>0.0525</v>
      </c>
      <c r="C35" t="n">
        <v>10</v>
      </c>
      <c r="D35" t="n">
        <v>10</v>
      </c>
      <c r="E35" t="b">
        <v>0</v>
      </c>
      <c r="F35" t="b">
        <v>0</v>
      </c>
      <c r="G35" t="b">
        <v>1</v>
      </c>
      <c r="H35" t="n">
        <v>0.9</v>
      </c>
      <c r="I35" t="n">
        <v>1.5</v>
      </c>
      <c r="J35" t="b">
        <v>0</v>
      </c>
      <c r="K35" t="inlineStr">
        <is>
          <t>01_chien_dau/Vu_khi_suy_ra (id hel_beam)</t>
        </is>
      </c>
      <c r="L35" t="inlineStr"/>
    </row>
    <row r="36">
      <c r="A36" t="inlineStr">
        <is>
          <t>heli_gun</t>
        </is>
      </c>
      <c r="B36" t="n">
        <v>9.667999999999999</v>
      </c>
      <c r="C36" t="n">
        <v>880</v>
      </c>
      <c r="D36" t="n">
        <v>10</v>
      </c>
      <c r="E36" t="b">
        <v>0</v>
      </c>
      <c r="F36" t="b">
        <v>1</v>
      </c>
      <c r="G36" t="b">
        <v>1</v>
      </c>
      <c r="H36" t="n">
        <v>1.2</v>
      </c>
      <c r="I36" t="n">
        <v>0.3</v>
      </c>
      <c r="J36" t="b">
        <v>1</v>
      </c>
      <c r="K36" t="inlineStr">
        <is>
          <t>01_chien_dau/Vu_khi_suy_ra (id heli_gun)</t>
        </is>
      </c>
      <c r="L36" t="inlineStr"/>
    </row>
    <row r="37">
      <c r="A37" t="inlineStr">
        <is>
          <t>hellfire_standoff</t>
        </is>
      </c>
      <c r="B37" t="n">
        <v>8</v>
      </c>
      <c r="C37" t="n">
        <v>520</v>
      </c>
      <c r="D37" t="n">
        <v>10</v>
      </c>
      <c r="E37" t="b">
        <v>1</v>
      </c>
      <c r="F37" t="b">
        <v>1</v>
      </c>
      <c r="G37" t="b">
        <v>0</v>
      </c>
      <c r="H37" t="n">
        <v>1.3</v>
      </c>
      <c r="I37" t="n">
        <v>0.2</v>
      </c>
      <c r="J37" t="b">
        <v>0</v>
      </c>
      <c r="K37" t="inlineStr">
        <is>
          <t>01_chien_dau/Vu_khi_suy_ra (id hellfire_standoff)</t>
        </is>
      </c>
      <c r="L37" t="inlineStr"/>
    </row>
    <row r="38">
      <c r="A38" t="inlineStr">
        <is>
          <t>hellfire_volley</t>
        </is>
      </c>
      <c r="B38" t="n">
        <v>11.09</v>
      </c>
      <c r="C38" t="n">
        <v>520</v>
      </c>
      <c r="D38" t="n">
        <v>10</v>
      </c>
      <c r="E38" t="b">
        <v>0</v>
      </c>
      <c r="F38" t="b">
        <v>1</v>
      </c>
      <c r="G38" t="b">
        <v>0</v>
      </c>
      <c r="H38" t="n">
        <v>1.3</v>
      </c>
      <c r="I38" t="n">
        <v>0.2</v>
      </c>
      <c r="J38" t="b">
        <v>0</v>
      </c>
      <c r="K38" t="inlineStr">
        <is>
          <t>01_chien_dau/Vu_khi_suy_ra (id hellfire_volley)</t>
        </is>
      </c>
      <c r="L38" t="inlineStr"/>
    </row>
    <row r="39">
      <c r="A39" t="inlineStr">
        <is>
          <t>hmg_roof</t>
        </is>
      </c>
      <c r="B39" t="n">
        <v>16.11</v>
      </c>
      <c r="C39" t="n">
        <v>950</v>
      </c>
      <c r="D39" t="n">
        <v>10</v>
      </c>
      <c r="E39" t="b">
        <v>0</v>
      </c>
      <c r="F39" t="b">
        <v>1</v>
      </c>
      <c r="G39" t="b">
        <v>1</v>
      </c>
      <c r="H39" t="n">
        <v>1.2</v>
      </c>
      <c r="I39" t="n">
        <v>0.3</v>
      </c>
      <c r="J39" t="b">
        <v>1</v>
      </c>
      <c r="K39" t="inlineStr">
        <is>
          <t>01_chien_dau/Vu_khi_suy_ra (id hmg_roof)</t>
        </is>
      </c>
      <c r="L39" t="inlineStr"/>
    </row>
    <row r="40">
      <c r="A40" t="inlineStr">
        <is>
          <t>hmg_selfdef_15</t>
        </is>
      </c>
      <c r="B40" t="n">
        <v>16.11</v>
      </c>
      <c r="C40" t="n">
        <v>950</v>
      </c>
      <c r="D40" t="n">
        <v>10</v>
      </c>
      <c r="E40" t="b">
        <v>0</v>
      </c>
      <c r="F40" t="b">
        <v>1</v>
      </c>
      <c r="G40" t="b">
        <v>1</v>
      </c>
      <c r="H40" t="n">
        <v>1.2</v>
      </c>
      <c r="I40" t="n">
        <v>0.3</v>
      </c>
      <c r="J40" t="b">
        <v>1</v>
      </c>
      <c r="K40" t="inlineStr">
        <is>
          <t>01_chien_dau/Vu_khi_suy_ra (id hmg_selfdef_15)</t>
        </is>
      </c>
      <c r="L40" t="inlineStr"/>
    </row>
    <row r="41">
      <c r="A41" t="inlineStr">
        <is>
          <t>hover_ciws</t>
        </is>
      </c>
      <c r="B41" t="n">
        <v>6.002</v>
      </c>
      <c r="C41" t="n">
        <v>720</v>
      </c>
      <c r="D41" t="n">
        <v>10</v>
      </c>
      <c r="E41" t="b">
        <v>0</v>
      </c>
      <c r="F41" t="b">
        <v>1</v>
      </c>
      <c r="G41" t="b">
        <v>1</v>
      </c>
      <c r="H41" t="n">
        <v>1.2</v>
      </c>
      <c r="I41" t="n">
        <v>0.3</v>
      </c>
      <c r="J41" t="b">
        <v>1</v>
      </c>
      <c r="K41" t="inlineStr">
        <is>
          <t>01_chien_dau/Vu_khi_suy_ra (id hover_ciws)</t>
        </is>
      </c>
      <c r="L41" t="inlineStr"/>
    </row>
    <row r="42">
      <c r="A42" t="inlineStr">
        <is>
          <t>howitzer</t>
        </is>
      </c>
      <c r="B42" t="n">
        <v>10.204</v>
      </c>
      <c r="C42" t="n">
        <v>457</v>
      </c>
      <c r="D42" t="n">
        <v>33.49</v>
      </c>
      <c r="E42" t="b">
        <v>1</v>
      </c>
      <c r="F42" t="b">
        <v>1</v>
      </c>
      <c r="G42" t="b">
        <v>0</v>
      </c>
      <c r="H42" t="n">
        <v>1</v>
      </c>
      <c r="I42" t="n">
        <v>0</v>
      </c>
      <c r="J42" t="b">
        <v>0</v>
      </c>
      <c r="K42" t="inlineStr">
        <is>
          <t>01_chien_dau/Vu_khi_suy_ra (id howitzer)</t>
        </is>
      </c>
      <c r="L42" t="inlineStr"/>
    </row>
    <row r="43">
      <c r="A43" t="inlineStr">
        <is>
          <t>ifv_30</t>
        </is>
      </c>
      <c r="B43" t="n">
        <v>2.611</v>
      </c>
      <c r="C43" t="n">
        <v>220</v>
      </c>
      <c r="D43" t="n">
        <v>10</v>
      </c>
      <c r="E43" t="b">
        <v>0</v>
      </c>
      <c r="F43" t="b">
        <v>1</v>
      </c>
      <c r="G43" t="b">
        <v>0</v>
      </c>
      <c r="H43" t="n">
        <v>1.2</v>
      </c>
      <c r="I43" t="n">
        <v>0.3</v>
      </c>
      <c r="J43" t="b">
        <v>1</v>
      </c>
      <c r="K43" t="inlineStr">
        <is>
          <t>01_chien_dau/Vu_khi_suy_ra (id ifv_30)</t>
        </is>
      </c>
      <c r="L43" t="inlineStr"/>
    </row>
    <row r="44">
      <c r="A44" t="inlineStr">
        <is>
          <t>jet_cannon</t>
        </is>
      </c>
      <c r="B44" t="n">
        <v>5.182</v>
      </c>
      <c r="C44" t="n">
        <v>1610</v>
      </c>
      <c r="D44" t="n">
        <v>10</v>
      </c>
      <c r="E44" t="b">
        <v>0</v>
      </c>
      <c r="F44" t="b">
        <v>1</v>
      </c>
      <c r="G44" t="b">
        <v>0</v>
      </c>
      <c r="H44" t="n">
        <v>1.2</v>
      </c>
      <c r="I44" t="n">
        <v>0.3</v>
      </c>
      <c r="J44" t="b">
        <v>1</v>
      </c>
      <c r="K44" t="inlineStr">
        <is>
          <t>01_chien_dau/Vu_khi_suy_ra (id jet_cannon)</t>
        </is>
      </c>
      <c r="L44" t="inlineStr"/>
    </row>
    <row r="45">
      <c r="A45" t="inlineStr">
        <is>
          <t>mg_jeep</t>
        </is>
      </c>
      <c r="B45" t="n">
        <v>16.11</v>
      </c>
      <c r="C45" t="n">
        <v>950</v>
      </c>
      <c r="D45" t="n">
        <v>10</v>
      </c>
      <c r="E45" t="b">
        <v>0</v>
      </c>
      <c r="F45" t="b">
        <v>1</v>
      </c>
      <c r="G45" t="b">
        <v>1</v>
      </c>
      <c r="H45" t="n">
        <v>1.2</v>
      </c>
      <c r="I45" t="n">
        <v>0.3</v>
      </c>
      <c r="J45" t="b">
        <v>1</v>
      </c>
      <c r="K45" t="inlineStr">
        <is>
          <t>01_chien_dau/Vu_khi_suy_ra (id mg_jeep)</t>
        </is>
      </c>
      <c r="L45" t="inlineStr"/>
    </row>
    <row r="46">
      <c r="A46" t="inlineStr">
        <is>
          <t>minigun</t>
        </is>
      </c>
      <c r="B46" t="n">
        <v>8</v>
      </c>
      <c r="C46" t="n">
        <v>1100</v>
      </c>
      <c r="D46" t="n">
        <v>10</v>
      </c>
      <c r="E46" t="b">
        <v>0</v>
      </c>
      <c r="F46" t="b">
        <v>1</v>
      </c>
      <c r="G46" t="b">
        <v>1</v>
      </c>
      <c r="H46" t="n">
        <v>1.2</v>
      </c>
      <c r="I46" t="n">
        <v>0.3</v>
      </c>
      <c r="J46" t="b">
        <v>1</v>
      </c>
      <c r="K46" t="inlineStr">
        <is>
          <t>01_chien_dau/Vu_khi_suy_ra (id minigun)</t>
        </is>
      </c>
      <c r="L46" t="inlineStr"/>
    </row>
    <row r="47">
      <c r="A47" t="inlineStr">
        <is>
          <t>mlrs_elite</t>
        </is>
      </c>
      <c r="B47" t="n">
        <v>10.246</v>
      </c>
      <c r="C47" t="n">
        <v>525</v>
      </c>
      <c r="D47" t="n">
        <v>19.93</v>
      </c>
      <c r="E47" t="b">
        <v>1</v>
      </c>
      <c r="F47" t="b">
        <v>1</v>
      </c>
      <c r="G47" t="b">
        <v>0</v>
      </c>
      <c r="H47" t="n">
        <v>1</v>
      </c>
      <c r="I47" t="n">
        <v>0</v>
      </c>
      <c r="J47" t="b">
        <v>0</v>
      </c>
      <c r="K47" t="inlineStr">
        <is>
          <t>01_chien_dau/Vu_khi_suy_ra (id mlrs_elite)</t>
        </is>
      </c>
      <c r="L47" t="inlineStr"/>
    </row>
    <row r="48">
      <c r="A48" t="inlineStr">
        <is>
          <t>mlrs_rockets</t>
        </is>
      </c>
      <c r="B48" t="n">
        <v>11.144</v>
      </c>
      <c r="C48" t="n">
        <v>500</v>
      </c>
      <c r="D48" t="n">
        <v>15.53</v>
      </c>
      <c r="E48" t="b">
        <v>1</v>
      </c>
      <c r="F48" t="b">
        <v>1</v>
      </c>
      <c r="G48" t="b">
        <v>0</v>
      </c>
      <c r="H48" t="n">
        <v>1</v>
      </c>
      <c r="I48" t="n">
        <v>0</v>
      </c>
      <c r="J48" t="b">
        <v>0</v>
      </c>
      <c r="K48" t="inlineStr">
        <is>
          <t>01_chien_dau/Vu_khi_suy_ra (id mlrs_rockets)</t>
        </is>
      </c>
      <c r="L48" t="inlineStr"/>
    </row>
    <row r="49">
      <c r="A49" t="inlineStr">
        <is>
          <t>mortar_120</t>
        </is>
      </c>
      <c r="B49" t="n">
        <v>7.143</v>
      </c>
      <c r="C49" t="n">
        <v>214</v>
      </c>
      <c r="D49" t="n">
        <v>35.73</v>
      </c>
      <c r="E49" t="b">
        <v>1</v>
      </c>
      <c r="F49" t="b">
        <v>1</v>
      </c>
      <c r="G49" t="b">
        <v>0</v>
      </c>
      <c r="H49" t="n">
        <v>1</v>
      </c>
      <c r="I49" t="n">
        <v>0</v>
      </c>
      <c r="J49" t="b">
        <v>0</v>
      </c>
      <c r="K49" t="inlineStr">
        <is>
          <t>01_chien_dau/Vu_khi_suy_ra (id mortar_120)</t>
        </is>
      </c>
      <c r="L49" t="inlineStr"/>
    </row>
    <row r="50">
      <c r="A50" t="inlineStr">
        <is>
          <t>naval_76</t>
        </is>
      </c>
      <c r="B50" t="n">
        <v>5.143</v>
      </c>
      <c r="C50" t="n">
        <v>342</v>
      </c>
      <c r="D50" t="n">
        <v>10</v>
      </c>
      <c r="E50" t="b">
        <v>0</v>
      </c>
      <c r="F50" t="b">
        <v>1</v>
      </c>
      <c r="G50" t="b">
        <v>0</v>
      </c>
      <c r="H50" t="n">
        <v>1</v>
      </c>
      <c r="I50" t="n">
        <v>0</v>
      </c>
      <c r="J50" t="b">
        <v>0</v>
      </c>
      <c r="K50" t="inlineStr">
        <is>
          <t>01_chien_dau/Vu_khi_suy_ra (id naval_76)</t>
        </is>
      </c>
      <c r="L50" t="inlineStr"/>
    </row>
    <row r="51">
      <c r="A51" t="inlineStr">
        <is>
          <t>none</t>
        </is>
      </c>
      <c r="B51" t="n">
        <v>1</v>
      </c>
      <c r="C51" t="n">
        <v>0</v>
      </c>
      <c r="D51" t="n">
        <v>10</v>
      </c>
      <c r="E51" t="b">
        <v>0</v>
      </c>
      <c r="F51" t="b">
        <v>1</v>
      </c>
      <c r="G51" t="b">
        <v>0</v>
      </c>
      <c r="H51" t="n">
        <v>1.2</v>
      </c>
      <c r="I51" t="n">
        <v>0.3</v>
      </c>
      <c r="J51" t="b">
        <v>1</v>
      </c>
      <c r="K51" t="inlineStr">
        <is>
          <t>01_chien_dau/Vu_khi_suy_ra (id none)</t>
        </is>
      </c>
      <c r="L51" t="inlineStr"/>
    </row>
    <row r="52">
      <c r="A52" t="inlineStr">
        <is>
          <t>railgun</t>
        </is>
      </c>
      <c r="B52" t="n">
        <v>7</v>
      </c>
      <c r="C52" t="n">
        <v>510</v>
      </c>
      <c r="D52" t="n">
        <v>10</v>
      </c>
      <c r="E52" t="b">
        <v>0</v>
      </c>
      <c r="F52" t="b">
        <v>1</v>
      </c>
      <c r="G52" t="b">
        <v>0</v>
      </c>
      <c r="H52" t="n">
        <v>1.2</v>
      </c>
      <c r="I52" t="n">
        <v>0.3</v>
      </c>
      <c r="J52" t="b">
        <v>1</v>
      </c>
      <c r="K52" t="inlineStr">
        <is>
          <t>01_chien_dau/Vu_khi_suy_ra (id railgun)</t>
        </is>
      </c>
      <c r="L52" t="inlineStr"/>
    </row>
    <row r="53">
      <c r="A53" t="inlineStr">
        <is>
          <t>recoilless_106</t>
        </is>
      </c>
      <c r="B53" t="n">
        <v>9.523999999999999</v>
      </c>
      <c r="C53" t="n">
        <v>314</v>
      </c>
      <c r="D53" t="n">
        <v>10</v>
      </c>
      <c r="E53" t="b">
        <v>0</v>
      </c>
      <c r="F53" t="b">
        <v>1</v>
      </c>
      <c r="G53" t="b">
        <v>0</v>
      </c>
      <c r="H53" t="n">
        <v>1.3</v>
      </c>
      <c r="I53" t="n">
        <v>0.2</v>
      </c>
      <c r="J53" t="b">
        <v>0</v>
      </c>
      <c r="K53" t="inlineStr">
        <is>
          <t>01_chien_dau/Vu_khi_suy_ra (id recoilless_106)</t>
        </is>
      </c>
      <c r="L53" t="inlineStr"/>
    </row>
    <row r="54">
      <c r="A54" t="inlineStr">
        <is>
          <t>recon_missile</t>
        </is>
      </c>
      <c r="B54" t="n">
        <v>11.59</v>
      </c>
      <c r="C54" t="n">
        <v>190</v>
      </c>
      <c r="D54" t="n">
        <v>10</v>
      </c>
      <c r="E54" t="b">
        <v>0</v>
      </c>
      <c r="F54" t="b">
        <v>1</v>
      </c>
      <c r="G54" t="b">
        <v>0</v>
      </c>
      <c r="H54" t="n">
        <v>1.3</v>
      </c>
      <c r="I54" t="n">
        <v>0.2</v>
      </c>
      <c r="J54" t="b">
        <v>0</v>
      </c>
      <c r="K54" t="inlineStr">
        <is>
          <t>01_chien_dau/Vu_khi_suy_ra (id recon_missile)</t>
        </is>
      </c>
      <c r="L54" t="inlineStr"/>
    </row>
    <row r="55">
      <c r="A55" t="inlineStr">
        <is>
          <t>rockets_300mm</t>
        </is>
      </c>
      <c r="B55" t="n">
        <v>18.26</v>
      </c>
      <c r="C55" t="n">
        <v>1595</v>
      </c>
      <c r="D55" t="n">
        <v>18.912</v>
      </c>
      <c r="E55" t="b">
        <v>1</v>
      </c>
      <c r="F55" t="b">
        <v>1</v>
      </c>
      <c r="G55" t="b">
        <v>0</v>
      </c>
      <c r="H55" t="n">
        <v>1</v>
      </c>
      <c r="I55" t="n">
        <v>0</v>
      </c>
      <c r="J55" t="b">
        <v>0</v>
      </c>
      <c r="K55" t="inlineStr">
        <is>
          <t>01_chien_dau/Vu_khi_suy_ra (id rockets_300mm)</t>
        </is>
      </c>
      <c r="L55" t="inlineStr"/>
    </row>
    <row r="56">
      <c r="A56" t="inlineStr">
        <is>
          <t>sam_48n6</t>
        </is>
      </c>
      <c r="B56" t="n">
        <v>7.2</v>
      </c>
      <c r="C56" t="n">
        <v>630</v>
      </c>
      <c r="D56" t="n">
        <v>10</v>
      </c>
      <c r="E56" t="b">
        <v>1</v>
      </c>
      <c r="F56" t="b">
        <v>0</v>
      </c>
      <c r="G56" t="b">
        <v>1</v>
      </c>
      <c r="H56" t="n">
        <v>0.45</v>
      </c>
      <c r="I56" t="n">
        <v>1.35</v>
      </c>
      <c r="J56" t="b">
        <v>0</v>
      </c>
      <c r="K56" t="inlineStr">
        <is>
          <t>01_chien_dau/Vu_khi_suy_ra (id sam_48n6)</t>
        </is>
      </c>
      <c r="L56" t="inlineStr"/>
    </row>
    <row r="57">
      <c r="A57" t="inlineStr">
        <is>
          <t>shahed</t>
        </is>
      </c>
      <c r="B57" t="n">
        <v>8.5</v>
      </c>
      <c r="C57" t="n">
        <v>344</v>
      </c>
      <c r="D57" t="n">
        <v>8.5</v>
      </c>
      <c r="E57" t="b">
        <v>1</v>
      </c>
      <c r="F57" t="b">
        <v>1</v>
      </c>
      <c r="G57" t="b">
        <v>0</v>
      </c>
      <c r="H57" t="n">
        <v>1</v>
      </c>
      <c r="I57" t="n">
        <v>0</v>
      </c>
      <c r="J57" t="b">
        <v>0</v>
      </c>
      <c r="K57" t="inlineStr">
        <is>
          <t>01_chien_dau/Vu_khi_suy_ra (id shahed)</t>
        </is>
      </c>
      <c r="L57" t="inlineStr"/>
    </row>
    <row r="58">
      <c r="A58" t="inlineStr">
        <is>
          <t>siege_mortar_240</t>
        </is>
      </c>
      <c r="B58" t="n">
        <v>10.884</v>
      </c>
      <c r="C58" t="n">
        <v>643</v>
      </c>
      <c r="D58" t="n">
        <v>28.57</v>
      </c>
      <c r="E58" t="b">
        <v>1</v>
      </c>
      <c r="F58" t="b">
        <v>1</v>
      </c>
      <c r="G58" t="b">
        <v>0</v>
      </c>
      <c r="H58" t="n">
        <v>1</v>
      </c>
      <c r="I58" t="n">
        <v>0</v>
      </c>
      <c r="J58" t="b">
        <v>0</v>
      </c>
      <c r="K58" t="inlineStr">
        <is>
          <t>01_chien_dau/Vu_khi_suy_ra (id siege_mortar_240)</t>
        </is>
      </c>
      <c r="L58" t="inlineStr"/>
    </row>
    <row r="59">
      <c r="A59" t="inlineStr">
        <is>
          <t>stealth_payload</t>
        </is>
      </c>
      <c r="B59" t="n">
        <v>14.3</v>
      </c>
      <c r="C59" t="n">
        <v>1784</v>
      </c>
      <c r="D59" t="n">
        <v>10</v>
      </c>
      <c r="E59" t="b">
        <v>1</v>
      </c>
      <c r="F59" t="b">
        <v>1</v>
      </c>
      <c r="G59" t="b">
        <v>0</v>
      </c>
      <c r="H59" t="n">
        <v>1</v>
      </c>
      <c r="I59" t="n">
        <v>0</v>
      </c>
      <c r="J59" t="b">
        <v>0</v>
      </c>
      <c r="K59" t="inlineStr">
        <is>
          <t>01_chien_dau/Vu_khi_suy_ra (id stealth_payload)</t>
        </is>
      </c>
      <c r="L59" t="inlineStr"/>
    </row>
    <row r="60">
      <c r="A60" t="inlineStr">
        <is>
          <t>stinger_post</t>
        </is>
      </c>
      <c r="B60" t="n">
        <v>4.452</v>
      </c>
      <c r="C60" t="n">
        <v>170</v>
      </c>
      <c r="D60" t="n">
        <v>10</v>
      </c>
      <c r="E60" t="b">
        <v>0</v>
      </c>
      <c r="F60" t="b">
        <v>0</v>
      </c>
      <c r="G60" t="b">
        <v>1</v>
      </c>
      <c r="H60" t="n">
        <v>0.45</v>
      </c>
      <c r="I60" t="n">
        <v>1.35</v>
      </c>
      <c r="J60" t="b">
        <v>0</v>
      </c>
      <c r="K60" t="inlineStr">
        <is>
          <t>01_chien_dau/Vu_khi_suy_ra (id stinger_post)</t>
        </is>
      </c>
      <c r="L60" t="inlineStr"/>
    </row>
    <row r="61">
      <c r="A61" t="inlineStr">
        <is>
          <t>swarm_drones</t>
        </is>
      </c>
      <c r="B61" t="n">
        <v>3.3</v>
      </c>
      <c r="C61" t="n">
        <v>140</v>
      </c>
      <c r="D61" t="n">
        <v>10</v>
      </c>
      <c r="E61" t="b">
        <v>1</v>
      </c>
      <c r="F61" t="b">
        <v>1</v>
      </c>
      <c r="G61" t="b">
        <v>0</v>
      </c>
      <c r="H61" t="n">
        <v>1.3</v>
      </c>
      <c r="I61" t="n">
        <v>0.2</v>
      </c>
      <c r="J61" t="b">
        <v>0</v>
      </c>
      <c r="K61" t="inlineStr">
        <is>
          <t>01_chien_dau/Vu_khi_suy_ra (id swarm_drones)</t>
        </is>
      </c>
      <c r="L61" t="inlineStr"/>
    </row>
    <row r="62">
      <c r="A62" t="inlineStr">
        <is>
          <t>technical_rockets</t>
        </is>
      </c>
      <c r="B62" t="n">
        <v>7.6</v>
      </c>
      <c r="C62" t="n">
        <v>247.5</v>
      </c>
      <c r="D62" t="n">
        <v>18</v>
      </c>
      <c r="E62" t="b">
        <v>1</v>
      </c>
      <c r="F62" t="b">
        <v>1</v>
      </c>
      <c r="G62" t="b">
        <v>0</v>
      </c>
      <c r="H62" t="n">
        <v>1</v>
      </c>
      <c r="I62" t="n">
        <v>0</v>
      </c>
      <c r="J62" t="b">
        <v>0</v>
      </c>
      <c r="K62" t="inlineStr">
        <is>
          <t>01_chien_dau/Vu_khi_suy_ra (id technical_rockets)</t>
        </is>
      </c>
      <c r="L62" t="inlineStr"/>
    </row>
    <row r="63">
      <c r="A63" t="inlineStr">
        <is>
          <t>thermobaric_rockets</t>
        </is>
      </c>
      <c r="B63" t="n">
        <v>12.95</v>
      </c>
      <c r="C63" t="n">
        <v>873</v>
      </c>
      <c r="D63" t="n">
        <v>21.67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b">
        <v>0</v>
      </c>
      <c r="K63" t="inlineStr">
        <is>
          <t>01_chien_dau/Vu_khi_suy_ra (id thermobaric_rockets)</t>
        </is>
      </c>
      <c r="L63" t="inlineStr"/>
    </row>
    <row r="64">
      <c r="A64" t="inlineStr">
        <is>
          <t>twin_30_flak</t>
        </is>
      </c>
      <c r="B64" t="n">
        <v>7</v>
      </c>
      <c r="C64" t="n">
        <v>1200</v>
      </c>
      <c r="D64" t="n">
        <v>10</v>
      </c>
      <c r="E64" t="b">
        <v>0</v>
      </c>
      <c r="F64" t="b">
        <v>1</v>
      </c>
      <c r="G64" t="b">
        <v>1</v>
      </c>
      <c r="H64" t="n">
        <v>0.45</v>
      </c>
      <c r="I64" t="n">
        <v>1.35</v>
      </c>
      <c r="J64" t="b">
        <v>0</v>
      </c>
      <c r="K64" t="inlineStr">
        <is>
          <t>01_chien_dau/Vu_khi_suy_ra (id twin_30_flak)</t>
        </is>
      </c>
      <c r="L64" t="inlineStr"/>
    </row>
    <row r="65">
      <c r="A65" t="inlineStr">
        <is>
          <t>twin_35_ahead</t>
        </is>
      </c>
      <c r="B65" t="n">
        <v>6.1288</v>
      </c>
      <c r="C65" t="n">
        <v>624</v>
      </c>
      <c r="D65" t="n">
        <v>10</v>
      </c>
      <c r="E65" t="b">
        <v>0</v>
      </c>
      <c r="F65" t="b">
        <v>1</v>
      </c>
      <c r="G65" t="b">
        <v>1</v>
      </c>
      <c r="H65" t="n">
        <v>0.45</v>
      </c>
      <c r="I65" t="n">
        <v>1.35</v>
      </c>
      <c r="J65" t="b">
        <v>0</v>
      </c>
      <c r="K65" t="inlineStr">
        <is>
          <t>01_chien_dau/Vu_khi_suy_ra (id twin_35_ahead)</t>
        </is>
      </c>
      <c r="L65" t="inlineStr"/>
    </row>
    <row r="66">
      <c r="A66" t="inlineStr">
        <is>
          <t>zu23</t>
        </is>
      </c>
      <c r="B66" t="n">
        <v>5</v>
      </c>
      <c r="C66" t="n">
        <v>350</v>
      </c>
      <c r="D66" t="n">
        <v>10</v>
      </c>
      <c r="E66" t="b">
        <v>0</v>
      </c>
      <c r="F66" t="b">
        <v>1</v>
      </c>
      <c r="G66" t="b">
        <v>1</v>
      </c>
      <c r="H66" t="n">
        <v>0.45</v>
      </c>
      <c r="I66" t="n">
        <v>1.35</v>
      </c>
      <c r="J66" t="b">
        <v>0</v>
      </c>
      <c r="K66" t="inlineStr">
        <is>
          <t>01_chien_dau/Vu_khi_suy_ra (id zu23)</t>
        </is>
      </c>
      <c r="L66" t="inlineStr"/>
    </row>
  </sheetData>
  <autoFilter ref="A1:L66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</v>
      </c>
      <c r="C2" t="inlineStr">
        <is>
          <t>01_chien_dau/Bang_xuyen_qua (id buoc_0)</t>
        </is>
      </c>
      <c r="D2" t="inlineStr"/>
    </row>
    <row r="3">
      <c r="A3" t="inlineStr">
        <is>
          <t>buoc_1</t>
        </is>
      </c>
      <c r="B3" t="n">
        <v>0.95</v>
      </c>
      <c r="C3" t="inlineStr">
        <is>
          <t>01_chien_dau/Bang_xuyen_qua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01_chien_dau/Bang_xuyen_qua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01_chien_dau/Bang_xuyen_qua (id buoc_3)</t>
        </is>
      </c>
      <c r="D5" t="inlineStr"/>
    </row>
  </sheetData>
  <autoFilter ref="A1:D5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aa_gun_vehicle</t>
        </is>
      </c>
      <c r="B2" t="n">
        <v>0</v>
      </c>
      <c r="C2" t="n">
        <v>0</v>
      </c>
      <c r="D2" t="n">
        <v>1</v>
      </c>
      <c r="E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IF(INDEX(xe_input_vu_khi!$E$2:$E$66,MATCH(Xe!$AE$2,xe_input_vu_khi!$A$2:$A$66,0)),1,$D$2)*Xe!$AD$2</f>
        <v/>
      </c>
      <c r="F2" t="n">
        <v>92.90322580645162</v>
      </c>
      <c r="G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Xe!$AD$2</f>
        <v/>
      </c>
      <c r="H2" t="n">
        <v>92.90322580645162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vehicles[id=aa_gun_vehicle] (lớp B trên 01_chien_dau/Xe)</t>
        </is>
      </c>
      <c r="Q2" t="inlineStr"/>
    </row>
    <row r="3">
      <c r="A3" t="inlineStr">
        <is>
          <t>aa_vehicle</t>
        </is>
      </c>
      <c r="B3" t="n">
        <v>0</v>
      </c>
      <c r="C3" t="n">
        <v>0</v>
      </c>
      <c r="D3" t="n">
        <v>1</v>
      </c>
      <c r="E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IF(INDEX(xe_input_vu_khi!$E$2:$E$66,MATCH(Xe!$AE$3,xe_input_vu_khi!$A$2:$A$66,0)),1,$D$3)*Xe!$AD$3</f>
        <v/>
      </c>
      <c r="F3" t="n">
        <v>88</v>
      </c>
      <c r="G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Xe!$AD$3</f>
        <v/>
      </c>
      <c r="H3" t="n">
        <v>88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1</v>
      </c>
      <c r="M3" t="n">
        <v>1</v>
      </c>
      <c r="N3" t="n">
        <v>0</v>
      </c>
      <c r="O3" t="n">
        <v>2.5</v>
      </c>
      <c r="P3" t="inlineStr">
        <is>
          <t>Assets/MachineBrigade/Resources/Data/balance.json: vehicles[id=aa_vehicle] (lớp B trên 01_chien_dau/Xe)</t>
        </is>
      </c>
      <c r="Q3" t="inlineStr"/>
    </row>
    <row r="4">
      <c r="A4" t="inlineStr">
        <is>
          <t>ammo_carrier</t>
        </is>
      </c>
      <c r="B4" t="n">
        <v>0</v>
      </c>
      <c r="C4" t="n">
        <v>0</v>
      </c>
      <c r="D4" t="n">
        <v>1</v>
      </c>
      <c r="E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IF(INDEX(xe_input_vu_khi!$E$2:$E$66,MATCH(Xe!$AE$4,xe_input_vu_khi!$A$2:$A$66,0)),1,$D$4)*Xe!$AD$4</f>
        <v/>
      </c>
      <c r="F4" t="n">
        <v>58.96958410924891</v>
      </c>
      <c r="G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Xe!$AD$4</f>
        <v/>
      </c>
      <c r="H4" t="n">
        <v>58.96958410924891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vehicles[id=ammo_carrier] (lớp B trên 01_chien_dau/Xe)</t>
        </is>
      </c>
      <c r="Q4" t="inlineStr"/>
    </row>
    <row r="5">
      <c r="A5" t="inlineStr">
        <is>
          <t>armored_bulldozer</t>
        </is>
      </c>
      <c r="B5" t="n">
        <v>0</v>
      </c>
      <c r="C5" t="n">
        <v>0</v>
      </c>
      <c r="D5" t="n">
        <v>1</v>
      </c>
      <c r="E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IF(INDEX(xe_input_vu_khi!$E$2:$E$66,MATCH(Xe!$AE$5,xe_input_vu_khi!$A$2:$A$66,0)),1,$D$5)*Xe!$AD$5</f>
        <v/>
      </c>
      <c r="F5" t="n">
        <v>78.574375</v>
      </c>
      <c r="G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Xe!$AD$5</f>
        <v/>
      </c>
      <c r="H5" t="n">
        <v>78.574375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2</v>
      </c>
      <c r="M5" t="n">
        <v>1.15</v>
      </c>
      <c r="N5" t="n">
        <v>0</v>
      </c>
      <c r="O5" t="n">
        <v>3.5</v>
      </c>
      <c r="P5" t="inlineStr">
        <is>
          <t>Assets/MachineBrigade/Resources/Data/balance.json: vehicles[id=armored_bulldozer] (lớp B trên 01_chien_dau/Xe)</t>
        </is>
      </c>
      <c r="Q5" t="inlineStr"/>
    </row>
    <row r="6">
      <c r="A6" t="inlineStr">
        <is>
          <t>armored_car</t>
        </is>
      </c>
      <c r="B6" t="n">
        <v>0</v>
      </c>
      <c r="C6" t="n">
        <v>0</v>
      </c>
      <c r="D6" t="n">
        <v>1</v>
      </c>
      <c r="E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IF(INDEX(xe_input_vu_khi!$E$2:$E$66,MATCH(Xe!$AE$6,xe_input_vu_khi!$A$2:$A$66,0)),1,$D$6)*Xe!$AD$6</f>
        <v/>
      </c>
      <c r="F6" t="n">
        <v>51.64034021871204</v>
      </c>
      <c r="G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Xe!$AD$6</f>
        <v/>
      </c>
      <c r="H6" t="n">
        <v>51.64034021871204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1</v>
      </c>
      <c r="M6" t="n">
        <v>1</v>
      </c>
      <c r="N6" t="n">
        <v>0</v>
      </c>
      <c r="O6" t="n">
        <v>2.5</v>
      </c>
      <c r="P6" t="inlineStr">
        <is>
          <t>Assets/MachineBrigade/Resources/Data/balance.json: vehicles[id=armored_car] (lớp B trên 01_chien_dau/Xe)</t>
        </is>
      </c>
      <c r="Q6" t="inlineStr"/>
    </row>
    <row r="7">
      <c r="A7" t="inlineStr">
        <is>
          <t>artillery</t>
        </is>
      </c>
      <c r="B7" t="n">
        <v>0</v>
      </c>
      <c r="C7" t="n">
        <v>0</v>
      </c>
      <c r="D7" t="n">
        <v>1</v>
      </c>
      <c r="E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IF(INDEX(xe_input_vu_khi!$E$2:$E$66,MATCH(Xe!$AE$7,xe_input_vu_khi!$A$2:$A$66,0)),1,$D$7)*Xe!$AD$7</f>
        <v/>
      </c>
      <c r="F7" t="n">
        <v>44.88629877509787</v>
      </c>
      <c r="G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Xe!$AD$7</f>
        <v/>
      </c>
      <c r="H7" t="n">
        <v>44.88629877509787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2</v>
      </c>
      <c r="M7" t="n">
        <v>1.15</v>
      </c>
      <c r="N7" t="n">
        <v>0</v>
      </c>
      <c r="O7" t="n">
        <v>3.5</v>
      </c>
      <c r="P7" t="inlineStr">
        <is>
          <t>Assets/MachineBrigade/Resources/Data/balance.json: vehicles[id=artillery] (lớp B trên 01_chien_dau/Xe)</t>
        </is>
      </c>
      <c r="Q7" t="inlineStr"/>
    </row>
    <row r="8">
      <c r="A8" t="inlineStr">
        <is>
          <t>attack_helicopter</t>
        </is>
      </c>
      <c r="B8" t="n">
        <v>8</v>
      </c>
      <c r="C8" t="n">
        <v>9</v>
      </c>
      <c r="D8" t="n">
        <v>1</v>
      </c>
      <c r="E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IF(INDEX(xe_input_vu_khi!$E$2:$E$66,MATCH(Xe!$AE$8,xe_input_vu_khi!$A$2:$A$66,0)),1,$D$8)*Xe!$AD$8</f>
        <v/>
      </c>
      <c r="F8" t="n">
        <v>64.33287804878049</v>
      </c>
      <c r="G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Xe!$AD$8</f>
        <v/>
      </c>
      <c r="H8" t="n">
        <v>64.33287804878049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3</v>
      </c>
      <c r="M8" t="n">
        <v>1.25</v>
      </c>
      <c r="N8" t="n">
        <v>0.0375</v>
      </c>
      <c r="O8" t="n">
        <v>3.5</v>
      </c>
      <c r="P8" t="inlineStr">
        <is>
          <t>Assets/MachineBrigade/Resources/Data/balance.json: vehicles[id=attack_helicopter] (lớp B trên 01_chien_dau/Xe)</t>
        </is>
      </c>
      <c r="Q8" t="inlineStr"/>
    </row>
    <row r="9">
      <c r="A9" t="inlineStr">
        <is>
          <t>attack_jet</t>
        </is>
      </c>
      <c r="B9" t="n">
        <v>0</v>
      </c>
      <c r="C9" t="n">
        <v>14</v>
      </c>
      <c r="D9" t="n">
        <v>1</v>
      </c>
      <c r="E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IF(INDEX(xe_input_vu_khi!$E$2:$E$66,MATCH(Xe!$AE$9,xe_input_vu_khi!$A$2:$A$66,0)),1,$D$9)*Xe!$AD$9</f>
        <v/>
      </c>
      <c r="F9" t="n">
        <v>456.5291393284446</v>
      </c>
      <c r="G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Xe!$AD$9</f>
        <v/>
      </c>
      <c r="H9" t="n">
        <v>456.5291393284446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4</v>
      </c>
      <c r="M9" t="n">
        <v>1.3</v>
      </c>
      <c r="N9" t="n">
        <v>0.15</v>
      </c>
      <c r="O9" t="n">
        <v>5</v>
      </c>
      <c r="P9" t="inlineStr">
        <is>
          <t>Assets/MachineBrigade/Resources/Data/balance.json: vehicles[id=attack_jet] (lớp B trên 01_chien_dau/Xe)</t>
        </is>
      </c>
      <c r="Q9" t="inlineStr"/>
    </row>
    <row r="10">
      <c r="A10" t="inlineStr">
        <is>
          <t>ballistic_launcher</t>
        </is>
      </c>
      <c r="B10" t="n">
        <v>0</v>
      </c>
      <c r="C10" t="n">
        <v>0</v>
      </c>
      <c r="D10" t="n">
        <v>1</v>
      </c>
      <c r="E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IF(INDEX(xe_input_vu_khi!$E$2:$E$66,MATCH(Xe!$AE$10,xe_input_vu_khi!$A$2:$A$66,0)),1,$D$10)*Xe!$AD$10</f>
        <v/>
      </c>
      <c r="F10" t="n">
        <v>48.1648945755992</v>
      </c>
      <c r="G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Xe!$AD$10</f>
        <v/>
      </c>
      <c r="H10" t="n">
        <v>48.1648945755992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4</v>
      </c>
      <c r="M10" t="n">
        <v>1.3</v>
      </c>
      <c r="N10" t="n">
        <v>0</v>
      </c>
      <c r="O10" t="n">
        <v>3.5</v>
      </c>
      <c r="P10" t="inlineStr">
        <is>
          <t>Assets/MachineBrigade/Resources/Data/balance.json: vehicles[id=ballistic_launcher] (lớp B trên 01_chien_dau/Xe)</t>
        </is>
      </c>
      <c r="Q10" t="inlineStr"/>
    </row>
    <row r="11">
      <c r="A11" t="inlineStr">
        <is>
          <t>command_vehicle</t>
        </is>
      </c>
      <c r="B11" t="n">
        <v>0</v>
      </c>
      <c r="C11" t="n">
        <v>0</v>
      </c>
      <c r="D11" t="n">
        <v>1</v>
      </c>
      <c r="E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IF(INDEX(xe_input_vu_khi!$E$2:$E$66,MATCH(Xe!$AE$11,xe_input_vu_khi!$A$2:$A$66,0)),1,$D$11)*Xe!$AD$11</f>
        <v/>
      </c>
      <c r="F11" t="n">
        <v>68.79981378026071</v>
      </c>
      <c r="G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Xe!$AD$11</f>
        <v/>
      </c>
      <c r="H11" t="n">
        <v>68.79981378026071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vehicles[id=command_vehicle] (lớp B trên 01_chien_dau/Xe)</t>
        </is>
      </c>
      <c r="Q11" t="inlineStr"/>
    </row>
    <row r="12">
      <c r="A12" t="inlineStr">
        <is>
          <t>demolition_line_vehicle</t>
        </is>
      </c>
      <c r="B12" t="n">
        <v>0</v>
      </c>
      <c r="C12" t="n">
        <v>0</v>
      </c>
      <c r="D12" t="n">
        <v>1</v>
      </c>
      <c r="E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IF(INDEX(xe_input_vu_khi!$E$2:$E$66,MATCH(Xe!$AE$12,xe_input_vu_khi!$A$2:$A$66,0)),1,$D$12)*Xe!$AD$12</f>
        <v/>
      </c>
      <c r="F12" t="n">
        <v>58.96958410924891</v>
      </c>
      <c r="G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Xe!$AD$12</f>
        <v/>
      </c>
      <c r="H12" t="n">
        <v>58.96958410924891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1</v>
      </c>
      <c r="M12" t="n">
        <v>1</v>
      </c>
      <c r="N12" t="n">
        <v>0</v>
      </c>
      <c r="O12" t="n">
        <v>2.5</v>
      </c>
      <c r="P12" t="inlineStr">
        <is>
          <t>Assets/MachineBrigade/Resources/Data/balance.json: vehicles[id=demolition_line_vehicle] (lớp B trên 01_chien_dau/Xe)</t>
        </is>
      </c>
      <c r="Q12" t="inlineStr"/>
    </row>
    <row r="13">
      <c r="A13" t="inlineStr">
        <is>
          <t>drop_pod</t>
        </is>
      </c>
      <c r="B13" t="n">
        <v>0</v>
      </c>
      <c r="C13" t="n">
        <v>8.5</v>
      </c>
      <c r="D13" t="n">
        <v>1</v>
      </c>
      <c r="E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IF(INDEX(xe_input_vu_khi!$E$2:$E$66,MATCH(Xe!$AE$13,xe_input_vu_khi!$A$2:$A$66,0)),1,$D$13)*Xe!$AD$13</f>
        <v/>
      </c>
      <c r="F13" t="n">
        <v>0</v>
      </c>
      <c r="G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Xe!$AD$13</f>
        <v/>
      </c>
      <c r="H13" t="n">
        <v>0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vehicles[id=drop_pod] (lớp B trên 01_chien_dau/Xe)</t>
        </is>
      </c>
      <c r="Q13" t="inlineStr"/>
    </row>
    <row r="14">
      <c r="A14" t="inlineStr">
        <is>
          <t>elite_aa</t>
        </is>
      </c>
      <c r="B14" t="n">
        <v>0</v>
      </c>
      <c r="C14" t="n">
        <v>0</v>
      </c>
      <c r="D14" t="n">
        <v>1</v>
      </c>
      <c r="E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IF(INDEX(xe_input_vu_khi!$E$2:$E$66,MATCH(Xe!$AE$14,xe_input_vu_khi!$A$2:$A$66,0)),1,$D$14)*Xe!$AD$14</f>
        <v/>
      </c>
      <c r="F14" t="n">
        <v>101.8143845450985</v>
      </c>
      <c r="G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Xe!$AD$14</f>
        <v/>
      </c>
      <c r="H14" t="n">
        <v>101.8143845450985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1</v>
      </c>
      <c r="M14" t="n">
        <v>1</v>
      </c>
      <c r="N14" t="n">
        <v>0</v>
      </c>
      <c r="O14" t="n">
        <v>2.5</v>
      </c>
      <c r="P14" t="inlineStr">
        <is>
          <t>Assets/MachineBrigade/Resources/Data/balance.json: vehicles[id=elite_aa] (lớp B trên 01_chien_dau/Xe)</t>
        </is>
      </c>
      <c r="Q14" t="inlineStr"/>
    </row>
    <row r="15">
      <c r="A15" t="inlineStr">
        <is>
          <t>elite_apc</t>
        </is>
      </c>
      <c r="B15" t="n">
        <v>0</v>
      </c>
      <c r="C15" t="n">
        <v>0</v>
      </c>
      <c r="D15" t="n">
        <v>1</v>
      </c>
      <c r="E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IF(INDEX(xe_input_vu_khi!$E$2:$E$66,MATCH(Xe!$AE$15,xe_input_vu_khi!$A$2:$A$66,0)),1,$D$15)*Xe!$AD$15</f>
        <v/>
      </c>
      <c r="F15" t="n">
        <v>84.25890463423977</v>
      </c>
      <c r="G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Xe!$AD$15</f>
        <v/>
      </c>
      <c r="H15" t="n">
        <v>84.25890463423977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1</v>
      </c>
      <c r="M15" t="n">
        <v>1</v>
      </c>
      <c r="N15" t="n">
        <v>0</v>
      </c>
      <c r="O15" t="n">
        <v>2.5</v>
      </c>
      <c r="P15" t="inlineStr">
        <is>
          <t>Assets/MachineBrigade/Resources/Data/balance.json: vehicles[id=elite_apc] (lớp B trên 01_chien_dau/Xe)</t>
        </is>
      </c>
      <c r="Q15" t="inlineStr"/>
    </row>
    <row r="16">
      <c r="A16" t="inlineStr">
        <is>
          <t>elite_artillery</t>
        </is>
      </c>
      <c r="B16" t="n">
        <v>0</v>
      </c>
      <c r="C16" t="n">
        <v>0</v>
      </c>
      <c r="D16" t="n">
        <v>1</v>
      </c>
      <c r="E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IF(INDEX(xe_input_vu_khi!$E$2:$E$66,MATCH(Xe!$AE$16,xe_input_vu_khi!$A$2:$A$66,0)),1,$D$16)*Xe!$AD$16</f>
        <v/>
      </c>
      <c r="F16" t="n">
        <v>44.88629877509787</v>
      </c>
      <c r="G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Xe!$AD$16</f>
        <v/>
      </c>
      <c r="H16" t="n">
        <v>44.88629877509787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1</v>
      </c>
      <c r="M16" t="n">
        <v>1</v>
      </c>
      <c r="N16" t="n">
        <v>0</v>
      </c>
      <c r="O16" t="n">
        <v>2.5</v>
      </c>
      <c r="P16" t="inlineStr">
        <is>
          <t>Assets/MachineBrigade/Resources/Data/balance.json: vehicles[id=elite_artillery] (lớp B trên 01_chien_dau/Xe)</t>
        </is>
      </c>
      <c r="Q16" t="inlineStr"/>
    </row>
    <row r="17">
      <c r="A17" t="inlineStr">
        <is>
          <t>elite_attack_helicopter</t>
        </is>
      </c>
      <c r="B17" t="n">
        <v>8</v>
      </c>
      <c r="C17" t="n">
        <v>8.5</v>
      </c>
      <c r="D17" t="n">
        <v>1</v>
      </c>
      <c r="E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IF(INDEX(xe_input_vu_khi!$E$2:$E$66,MATCH(Xe!$AE$17,xe_input_vu_khi!$A$2:$A$66,0)),1,$D$17)*Xe!$AD$17</f>
        <v/>
      </c>
      <c r="F17" t="n">
        <v>39.34922436625047</v>
      </c>
      <c r="G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Xe!$AD$17</f>
        <v/>
      </c>
      <c r="H17" t="n">
        <v>39.34922436625047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1</v>
      </c>
      <c r="M17" t="n">
        <v>1</v>
      </c>
      <c r="N17" t="n">
        <v>0</v>
      </c>
      <c r="O17" t="n">
        <v>2.5</v>
      </c>
      <c r="P17" t="inlineStr">
        <is>
          <t>Assets/MachineBrigade/Resources/Data/balance.json: vehicles[id=elite_attack_helicopter] (lớp B trên 01_chien_dau/Xe)</t>
        </is>
      </c>
      <c r="Q17" t="inlineStr"/>
    </row>
    <row r="18">
      <c r="A18" t="inlineStr">
        <is>
          <t>elite_attack_jet</t>
        </is>
      </c>
      <c r="B18" t="n">
        <v>0</v>
      </c>
      <c r="C18" t="n">
        <v>14</v>
      </c>
      <c r="D18" t="n">
        <v>1</v>
      </c>
      <c r="E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IF(INDEX(xe_input_vu_khi!$E$2:$E$66,MATCH(Xe!$AE$18,xe_input_vu_khi!$A$2:$A$66,0)),1,$D$18)*Xe!$AD$18</f>
        <v/>
      </c>
      <c r="F18" t="n">
        <v>456.5291393284446</v>
      </c>
      <c r="G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Xe!$AD$18</f>
        <v/>
      </c>
      <c r="H18" t="n">
        <v>456.5291393284446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1</v>
      </c>
      <c r="M18" t="n">
        <v>1</v>
      </c>
      <c r="N18" t="n">
        <v>0</v>
      </c>
      <c r="O18" t="n">
        <v>2.5</v>
      </c>
      <c r="P18" t="inlineStr">
        <is>
          <t>Assets/MachineBrigade/Resources/Data/balance.json: vehicles[id=elite_attack_jet] (lớp B trên 01_chien_dau/Xe)</t>
        </is>
      </c>
      <c r="Q18" t="inlineStr"/>
    </row>
    <row r="19">
      <c r="A19" t="inlineStr">
        <is>
          <t>elite_fpv_carrier</t>
        </is>
      </c>
      <c r="B19" t="n">
        <v>0</v>
      </c>
      <c r="C19" t="n">
        <v>0</v>
      </c>
      <c r="D19" t="n">
        <v>1</v>
      </c>
      <c r="E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IF(INDEX(xe_input_vu_khi!$E$2:$E$66,MATCH(Xe!$AE$19,xe_input_vu_khi!$A$2:$A$66,0)),1,$D$19)*Xe!$AD$19</f>
        <v/>
      </c>
      <c r="F19" t="n">
        <v>48.57635687732342</v>
      </c>
      <c r="G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Xe!$AD$19</f>
        <v/>
      </c>
      <c r="H19" t="n">
        <v>48.57635687732342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1</v>
      </c>
      <c r="M19" t="n">
        <v>1</v>
      </c>
      <c r="N19" t="n">
        <v>0</v>
      </c>
      <c r="O19" t="n">
        <v>2.5</v>
      </c>
      <c r="P19" t="inlineStr">
        <is>
          <t>Assets/MachineBrigade/Resources/Data/balance.json: vehicles[id=elite_fpv_carrier] (lớp B trên 01_chien_dau/Xe)</t>
        </is>
      </c>
      <c r="Q19" t="inlineStr"/>
    </row>
    <row r="20">
      <c r="A20" t="inlineStr">
        <is>
          <t>elite_grad</t>
        </is>
      </c>
      <c r="B20" t="n">
        <v>0</v>
      </c>
      <c r="C20" t="n">
        <v>0</v>
      </c>
      <c r="D20" t="n">
        <v>1</v>
      </c>
      <c r="E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IF(INDEX(xe_input_vu_khi!$E$2:$E$66,MATCH(Xe!$AE$20,xe_input_vu_khi!$A$2:$A$66,0)),1,$D$20)*Xe!$AD$20</f>
        <v/>
      </c>
      <c r="F20" t="n">
        <v>35.71292956142016</v>
      </c>
      <c r="G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Xe!$AD$20</f>
        <v/>
      </c>
      <c r="H20" t="n">
        <v>35.71292956142016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1</v>
      </c>
      <c r="M20" t="n">
        <v>1</v>
      </c>
      <c r="N20" t="n">
        <v>0</v>
      </c>
      <c r="O20" t="n">
        <v>2.5</v>
      </c>
      <c r="P20" t="inlineStr">
        <is>
          <t>Assets/MachineBrigade/Resources/Data/balance.json: vehicles[id=elite_grad] (lớp B trên 01_chien_dau/Xe)</t>
        </is>
      </c>
      <c r="Q20" t="inlineStr"/>
    </row>
    <row r="21">
      <c r="A21" t="inlineStr">
        <is>
          <t>elite_heavy_tank</t>
        </is>
      </c>
      <c r="B21" t="n">
        <v>0</v>
      </c>
      <c r="C21" t="n">
        <v>0</v>
      </c>
      <c r="D21" t="n">
        <v>1</v>
      </c>
      <c r="E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IF(INDEX(xe_input_vu_khi!$E$2:$E$66,MATCH(Xe!$AE$21,xe_input_vu_khi!$A$2:$A$66,0)),1,$D$21)*Xe!$AD$21</f>
        <v/>
      </c>
      <c r="F21" t="n">
        <v>53.07973017803827</v>
      </c>
      <c r="G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Xe!$AD$21</f>
        <v/>
      </c>
      <c r="H21" t="n">
        <v>53.07973017803827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1</v>
      </c>
      <c r="M21" t="n">
        <v>1</v>
      </c>
      <c r="N21" t="n">
        <v>0</v>
      </c>
      <c r="O21" t="n">
        <v>2.5</v>
      </c>
      <c r="P21" t="inlineStr">
        <is>
          <t>Assets/MachineBrigade/Resources/Data/balance.json: vehicles[id=elite_heavy_tank] (lớp B trên 01_chien_dau/Xe)</t>
        </is>
      </c>
      <c r="Q21" t="inlineStr"/>
    </row>
    <row r="22">
      <c r="A22" t="inlineStr">
        <is>
          <t>elite_long_sam</t>
        </is>
      </c>
      <c r="B22" t="n">
        <v>0</v>
      </c>
      <c r="C22" t="n">
        <v>0</v>
      </c>
      <c r="D22" t="n">
        <v>1</v>
      </c>
      <c r="E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IF(INDEX(xe_input_vu_khi!$E$2:$E$66,MATCH(Xe!$AE$22,xe_input_vu_khi!$A$2:$A$66,0)),1,$D$22)*Xe!$AD$22</f>
        <v/>
      </c>
      <c r="F22" t="n">
        <v>126.56</v>
      </c>
      <c r="G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Xe!$AD$22</f>
        <v/>
      </c>
      <c r="H22" t="n">
        <v>126.56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vehicles[id=elite_long_sam] (lớp B trên 01_chien_dau/Xe)</t>
        </is>
      </c>
      <c r="Q22" t="inlineStr"/>
    </row>
    <row r="23">
      <c r="A23" t="inlineStr">
        <is>
          <t>elite_mbt</t>
        </is>
      </c>
      <c r="B23" t="n">
        <v>0</v>
      </c>
      <c r="C23" t="n">
        <v>0</v>
      </c>
      <c r="D23" t="n">
        <v>1</v>
      </c>
      <c r="E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IF(INDEX(xe_input_vu_khi!$E$2:$E$66,MATCH(Xe!$AE$23,xe_input_vu_khi!$A$2:$A$66,0)),1,$D$23)*Xe!$AD$23</f>
        <v/>
      </c>
      <c r="F23" t="n">
        <v>45.88177096215681</v>
      </c>
      <c r="G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Xe!$AD$23</f>
        <v/>
      </c>
      <c r="H23" t="n">
        <v>45.88177096215681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vehicles[id=elite_mbt] (lớp B trên 01_chien_dau/Xe)</t>
        </is>
      </c>
      <c r="Q23" t="inlineStr"/>
    </row>
    <row r="24">
      <c r="A24" t="inlineStr">
        <is>
          <t>elite_mlrs</t>
        </is>
      </c>
      <c r="B24" t="n">
        <v>0</v>
      </c>
      <c r="C24" t="n">
        <v>0</v>
      </c>
      <c r="D24" t="n">
        <v>1</v>
      </c>
      <c r="E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IF(INDEX(xe_input_vu_khi!$E$2:$E$66,MATCH(Xe!$AE$24,xe_input_vu_khi!$A$2:$A$66,0)),1,$D$24)*Xe!$AD$24</f>
        <v/>
      </c>
      <c r="F24" t="n">
        <v>38.69493649116772</v>
      </c>
      <c r="G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Xe!$AD$24</f>
        <v/>
      </c>
      <c r="H24" t="n">
        <v>38.69493649116772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1</v>
      </c>
      <c r="M24" t="n">
        <v>1</v>
      </c>
      <c r="N24" t="n">
        <v>0</v>
      </c>
      <c r="O24" t="n">
        <v>2.5</v>
      </c>
      <c r="P24" t="inlineStr">
        <is>
          <t>Assets/MachineBrigade/Resources/Data/balance.json: vehicles[id=elite_mlrs] (lớp B trên 01_chien_dau/Xe)</t>
        </is>
      </c>
      <c r="Q24" t="inlineStr"/>
    </row>
    <row r="25">
      <c r="A25" t="inlineStr">
        <is>
          <t>elite_tank_destroyer</t>
        </is>
      </c>
      <c r="B25" t="n">
        <v>0</v>
      </c>
      <c r="C25" t="n">
        <v>0</v>
      </c>
      <c r="D25" t="n">
        <v>1</v>
      </c>
      <c r="E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IF(INDEX(xe_input_vu_khi!$E$2:$E$66,MATCH(Xe!$AE$25,xe_input_vu_khi!$A$2:$A$66,0)),1,$D$25)*Xe!$AD$25</f>
        <v/>
      </c>
      <c r="F25" t="n">
        <v>66.45172846140068</v>
      </c>
      <c r="G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Xe!$AD$25</f>
        <v/>
      </c>
      <c r="H25" t="n">
        <v>66.45172846140068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1</v>
      </c>
      <c r="M25" t="n">
        <v>1</v>
      </c>
      <c r="N25" t="n">
        <v>0</v>
      </c>
      <c r="O25" t="n">
        <v>2.5</v>
      </c>
      <c r="P25" t="inlineStr">
        <is>
          <t>Assets/MachineBrigade/Resources/Data/balance.json: vehicles[id=elite_tank_destroyer] (lớp B trên 01_chien_dau/Xe)</t>
        </is>
      </c>
      <c r="Q25" t="inlineStr"/>
    </row>
    <row r="26">
      <c r="A26" t="inlineStr">
        <is>
          <t>engineer_vehicle</t>
        </is>
      </c>
      <c r="B26" t="n">
        <v>0</v>
      </c>
      <c r="C26" t="n">
        <v>0</v>
      </c>
      <c r="D26" t="n">
        <v>1</v>
      </c>
      <c r="E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IF(INDEX(xe_input_vu_khi!$E$2:$E$66,MATCH(Xe!$AE$26,xe_input_vu_khi!$A$2:$A$66,0)),1,$D$26)*Xe!$AD$26</f>
        <v/>
      </c>
      <c r="F26" t="n">
        <v>58.96958410924891</v>
      </c>
      <c r="G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Xe!$AD$26</f>
        <v/>
      </c>
      <c r="H26" t="n">
        <v>58.96958410924891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vehicles[id=engineer_vehicle] (lớp B trên 01_chien_dau/Xe)</t>
        </is>
      </c>
      <c r="Q26" t="inlineStr"/>
    </row>
    <row r="27">
      <c r="A27" t="inlineStr">
        <is>
          <t>ew_jammer</t>
        </is>
      </c>
      <c r="B27" t="n">
        <v>0</v>
      </c>
      <c r="C27" t="n">
        <v>0</v>
      </c>
      <c r="D27" t="n">
        <v>1</v>
      </c>
      <c r="E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IF(INDEX(xe_input_vu_khi!$E$2:$E$66,MATCH(Xe!$AE$27,xe_input_vu_khi!$A$2:$A$66,0)),1,$D$27)*Xe!$AD$27</f>
        <v/>
      </c>
      <c r="F27" t="n">
        <v>70.76350093109869</v>
      </c>
      <c r="G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Xe!$AD$27</f>
        <v/>
      </c>
      <c r="H27" t="n">
        <v>70.76350093109869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2</v>
      </c>
      <c r="M27" t="n">
        <v>1.15</v>
      </c>
      <c r="N27" t="n">
        <v>0</v>
      </c>
      <c r="O27" t="n">
        <v>3.5</v>
      </c>
      <c r="P27" t="inlineStr">
        <is>
          <t>Assets/MachineBrigade/Resources/Data/balance.json: vehicles[id=ew_jammer] (lớp B trên 01_chien_dau/Xe)</t>
        </is>
      </c>
      <c r="Q27" t="inlineStr"/>
    </row>
    <row r="28">
      <c r="A28" t="inlineStr">
        <is>
          <t>fighter_jet</t>
        </is>
      </c>
      <c r="B28" t="n">
        <v>4</v>
      </c>
      <c r="C28" t="n">
        <v>11</v>
      </c>
      <c r="D28" t="n">
        <v>1</v>
      </c>
      <c r="E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IF(INDEX(xe_input_vu_khi!$E$2:$E$66,MATCH(Xe!$AE$28,xe_input_vu_khi!$A$2:$A$66,0)),1,$D$28)*Xe!$AD$28</f>
        <v/>
      </c>
      <c r="F28" t="n">
        <v>59.29727002967359</v>
      </c>
      <c r="G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Xe!$AD$28</f>
        <v/>
      </c>
      <c r="H28" t="n">
        <v>59.29727002967359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4</v>
      </c>
      <c r="M28" t="n">
        <v>1.3</v>
      </c>
      <c r="N28" t="n">
        <v>0.08749999999999999</v>
      </c>
      <c r="O28" t="n">
        <v>5</v>
      </c>
      <c r="P28" t="inlineStr">
        <is>
          <t>Assets/MachineBrigade/Resources/Data/balance.json: vehicles[id=fighter_jet] (lớp B trên 01_chien_dau/Xe)</t>
        </is>
      </c>
      <c r="Q28" t="inlineStr"/>
    </row>
    <row r="29">
      <c r="A29" t="inlineStr">
        <is>
          <t>flame_tank</t>
        </is>
      </c>
      <c r="B29" t="n">
        <v>0</v>
      </c>
      <c r="C29" t="n">
        <v>0</v>
      </c>
      <c r="D29" t="n">
        <v>1</v>
      </c>
      <c r="E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IF(INDEX(xe_input_vu_khi!$E$2:$E$66,MATCH(Xe!$AE$29,xe_input_vu_khi!$A$2:$A$66,0)),1,$D$29)*Xe!$AD$29</f>
        <v/>
      </c>
      <c r="F29" t="n">
        <v>100.8</v>
      </c>
      <c r="G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Xe!$AD$29</f>
        <v/>
      </c>
      <c r="H29" t="n">
        <v>100.8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2</v>
      </c>
      <c r="M29" t="n">
        <v>1.15</v>
      </c>
      <c r="N29" t="n">
        <v>0</v>
      </c>
      <c r="O29" t="n">
        <v>3.5</v>
      </c>
      <c r="P29" t="inlineStr">
        <is>
          <t>Assets/MachineBrigade/Resources/Data/balance.json: vehicles[id=flame_tank] (lớp B trên 01_chien_dau/Xe)</t>
        </is>
      </c>
      <c r="Q29" t="inlineStr"/>
    </row>
    <row r="30">
      <c r="A30" t="inlineStr">
        <is>
          <t>fpv_carrier</t>
        </is>
      </c>
      <c r="B30" t="n">
        <v>0</v>
      </c>
      <c r="C30" t="n">
        <v>0</v>
      </c>
      <c r="D30" t="n">
        <v>1</v>
      </c>
      <c r="E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IF(INDEX(xe_input_vu_khi!$E$2:$E$66,MATCH(Xe!$AE$30,xe_input_vu_khi!$A$2:$A$66,0)),1,$D$30)*Xe!$AD$30</f>
        <v/>
      </c>
      <c r="F30" t="n">
        <v>48.57635687732342</v>
      </c>
      <c r="G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Xe!$AD$30</f>
        <v/>
      </c>
      <c r="H30" t="n">
        <v>48.57635687732342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2</v>
      </c>
      <c r="M30" t="n">
        <v>1.15</v>
      </c>
      <c r="N30" t="n">
        <v>0</v>
      </c>
      <c r="O30" t="n">
        <v>3.5</v>
      </c>
      <c r="P30" t="inlineStr">
        <is>
          <t>Assets/MachineBrigade/Resources/Data/balance.json: vehicles[id=fpv_carrier] (lớp B trên 01_chien_dau/Xe)</t>
        </is>
      </c>
      <c r="Q30" t="inlineStr"/>
    </row>
    <row r="31">
      <c r="A31" t="inlineStr">
        <is>
          <t>gps_jammer_vehicle</t>
        </is>
      </c>
      <c r="B31" t="n">
        <v>0</v>
      </c>
      <c r="C31" t="n">
        <v>0</v>
      </c>
      <c r="D31" t="n">
        <v>1</v>
      </c>
      <c r="E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IF(INDEX(xe_input_vu_khi!$E$2:$E$66,MATCH(Xe!$AE$31,xe_input_vu_khi!$A$2:$A$66,0)),1,$D$31)*Xe!$AD$31</f>
        <v/>
      </c>
      <c r="F31" t="n">
        <v>70.76350093109869</v>
      </c>
      <c r="G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Xe!$AD$31</f>
        <v/>
      </c>
      <c r="H31" t="n">
        <v>70.76350093109869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2</v>
      </c>
      <c r="M31" t="n">
        <v>1.15</v>
      </c>
      <c r="N31" t="n">
        <v>0</v>
      </c>
      <c r="O31" t="n">
        <v>3.5</v>
      </c>
      <c r="P31" t="inlineStr">
        <is>
          <t>Assets/MachineBrigade/Resources/Data/balance.json: vehicles[id=gps_jammer_vehicle] (lớp B trên 01_chien_dau/Xe)</t>
        </is>
      </c>
      <c r="Q31" t="inlineStr"/>
    </row>
    <row r="32">
      <c r="A32" t="inlineStr">
        <is>
          <t>ground_cruise_missile_vehicle</t>
        </is>
      </c>
      <c r="B32" t="n">
        <v>0</v>
      </c>
      <c r="C32" t="n">
        <v>0</v>
      </c>
      <c r="D32" t="n">
        <v>1</v>
      </c>
      <c r="E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IF(INDEX(xe_input_vu_khi!$E$2:$E$66,MATCH(Xe!$AE$32,xe_input_vu_khi!$A$2:$A$66,0)),1,$D$32)*Xe!$AD$32</f>
        <v/>
      </c>
      <c r="F32" t="n">
        <v>25</v>
      </c>
      <c r="G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Xe!$AD$32</f>
        <v/>
      </c>
      <c r="H32" t="n">
        <v>25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4</v>
      </c>
      <c r="M32" t="n">
        <v>1.3</v>
      </c>
      <c r="N32" t="n">
        <v>0.08749999999999999</v>
      </c>
      <c r="O32" t="n">
        <v>5</v>
      </c>
      <c r="P32" t="inlineStr">
        <is>
          <t>Assets/MachineBrigade/Resources/Data/balance.json: vehicles[id=ground_cruise_missile_vehicle] (lớp B trên 01_chien_dau/Xe)</t>
        </is>
      </c>
      <c r="Q32" t="inlineStr"/>
    </row>
    <row r="33">
      <c r="A33" t="inlineStr">
        <is>
          <t>heavy_aa</t>
        </is>
      </c>
      <c r="B33" t="n">
        <v>0</v>
      </c>
      <c r="C33" t="n">
        <v>0</v>
      </c>
      <c r="D33" t="n">
        <v>1</v>
      </c>
      <c r="E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IF(INDEX(xe_input_vu_khi!$E$2:$E$66,MATCH(Xe!$AE$33,xe_input_vu_khi!$A$2:$A$66,0)),1,$D$33)*Xe!$AD$33</f>
        <v/>
      </c>
      <c r="F33" t="n">
        <v>195.9257142857143</v>
      </c>
      <c r="G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Xe!$AD$33</f>
        <v/>
      </c>
      <c r="H33" t="n">
        <v>195.9257142857143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2</v>
      </c>
      <c r="M33" t="n">
        <v>1.15</v>
      </c>
      <c r="N33" t="n">
        <v>0</v>
      </c>
      <c r="O33" t="n">
        <v>3.5</v>
      </c>
      <c r="P33" t="inlineStr">
        <is>
          <t>Assets/MachineBrigade/Resources/Data/balance.json: vehicles[id=heavy_aa] (lớp B trên 01_chien_dau/Xe)</t>
        </is>
      </c>
      <c r="Q33" t="inlineStr"/>
    </row>
    <row r="34">
      <c r="A34" t="inlineStr">
        <is>
          <t>heavy_bomber</t>
        </is>
      </c>
      <c r="B34" t="n">
        <v>7</v>
      </c>
      <c r="C34" t="n">
        <v>16</v>
      </c>
      <c r="D34" t="n">
        <v>1</v>
      </c>
      <c r="E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IF(INDEX(xe_input_vu_khi!$E$2:$E$66,MATCH(Xe!$AE$34,xe_input_vu_khi!$A$2:$A$66,0)),1,$D$34)*Xe!$AD$34</f>
        <v/>
      </c>
      <c r="F34" t="n">
        <v>136.4615492957747</v>
      </c>
      <c r="G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Xe!$AD$34</f>
        <v/>
      </c>
      <c r="H34" t="n">
        <v>136.4615492957747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4</v>
      </c>
      <c r="M34" t="n">
        <v>1.3</v>
      </c>
      <c r="N34" t="n">
        <v>0</v>
      </c>
      <c r="O34" t="n">
        <v>5</v>
      </c>
      <c r="P34" t="inlineStr">
        <is>
          <t>Assets/MachineBrigade/Resources/Data/balance.json: vehicles[id=heavy_bomber] (lớp B trên 01_chien_dau/Xe)</t>
        </is>
      </c>
      <c r="Q34" t="inlineStr"/>
    </row>
    <row r="35">
      <c r="A35" t="inlineStr">
        <is>
          <t>heavy_rocket_artillery</t>
        </is>
      </c>
      <c r="B35" t="n">
        <v>0</v>
      </c>
      <c r="C35" t="n">
        <v>0</v>
      </c>
      <c r="D35" t="n">
        <v>1</v>
      </c>
      <c r="E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IF(INDEX(xe_input_vu_khi!$E$2:$E$66,MATCH(Xe!$AE$35,xe_input_vu_khi!$A$2:$A$66,0)),1,$D$35)*Xe!$AD$35</f>
        <v/>
      </c>
      <c r="F35" t="n">
        <v>81.16552678716822</v>
      </c>
      <c r="G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Xe!$AD$35</f>
        <v/>
      </c>
      <c r="H35" t="n">
        <v>81.16552678716822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4</v>
      </c>
      <c r="M35" t="n">
        <v>1.3</v>
      </c>
      <c r="N35" t="n">
        <v>0</v>
      </c>
      <c r="O35" t="n">
        <v>5</v>
      </c>
      <c r="P35" t="inlineStr">
        <is>
          <t>Assets/MachineBrigade/Resources/Data/balance.json: vehicles[id=heavy_rocket_artillery] (lớp B trên 01_chien_dau/Xe)</t>
        </is>
      </c>
      <c r="Q35" t="inlineStr"/>
    </row>
    <row r="36">
      <c r="A36" t="inlineStr">
        <is>
          <t>heavy_tank</t>
        </is>
      </c>
      <c r="B36" t="n">
        <v>0</v>
      </c>
      <c r="C36" t="n">
        <v>0</v>
      </c>
      <c r="D36" t="n">
        <v>1</v>
      </c>
      <c r="E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IF(INDEX(xe_input_vu_khi!$E$2:$E$66,MATCH(Xe!$AE$36,xe_input_vu_khi!$A$2:$A$66,0)),1,$D$36)*Xe!$AD$36</f>
        <v/>
      </c>
      <c r="F36" t="n">
        <v>75.79157172608109</v>
      </c>
      <c r="G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Xe!$AD$36</f>
        <v/>
      </c>
      <c r="H36" t="n">
        <v>75.79157172608109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4</v>
      </c>
      <c r="M36" t="n">
        <v>1.3</v>
      </c>
      <c r="N36" t="n">
        <v>0.1</v>
      </c>
      <c r="O36" t="n">
        <v>5</v>
      </c>
      <c r="P36" t="inlineStr">
        <is>
          <t>Assets/MachineBrigade/Resources/Data/balance.json: vehicles[id=heavy_tank] (lớp B trên 01_chien_dau/Xe)</t>
        </is>
      </c>
      <c r="Q36" t="inlineStr"/>
    </row>
    <row r="37">
      <c r="A37" t="inlineStr">
        <is>
          <t>hover_gunboat</t>
        </is>
      </c>
      <c r="B37" t="n">
        <v>0</v>
      </c>
      <c r="C37" t="n">
        <v>0</v>
      </c>
      <c r="D37" t="n">
        <v>1</v>
      </c>
      <c r="E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IF(INDEX(xe_input_vu_khi!$E$2:$E$66,MATCH(Xe!$AE$37,xe_input_vu_khi!$A$2:$A$66,0)),1,$D$37)*Xe!$AD$37</f>
        <v/>
      </c>
      <c r="F37" t="n">
        <v>119.9600133288904</v>
      </c>
      <c r="G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Xe!$AD$37</f>
        <v/>
      </c>
      <c r="H37" t="n">
        <v>119.9600133288904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vehicles[id=hover_gunboat] (lớp B trên 01_chien_dau/Xe)</t>
        </is>
      </c>
      <c r="Q37" t="inlineStr"/>
    </row>
    <row r="38">
      <c r="A38" t="inlineStr">
        <is>
          <t>ifv</t>
        </is>
      </c>
      <c r="B38" t="n">
        <v>0</v>
      </c>
      <c r="C38" t="n">
        <v>0</v>
      </c>
      <c r="D38" t="n">
        <v>1</v>
      </c>
      <c r="E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IF(INDEX(xe_input_vu_khi!$E$2:$E$66,MATCH(Xe!$AE$38,xe_input_vu_khi!$A$2:$A$66,0)),1,$D$38)*Xe!$AD$38</f>
        <v/>
      </c>
      <c r="F38" t="n">
        <v>98.30486403676754</v>
      </c>
      <c r="G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Xe!$AD$38</f>
        <v/>
      </c>
      <c r="H38" t="n">
        <v>98.30486403676754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2</v>
      </c>
      <c r="M38" t="n">
        <v>1.15</v>
      </c>
      <c r="N38" t="n">
        <v>0</v>
      </c>
      <c r="O38" t="n">
        <v>3.5</v>
      </c>
      <c r="P38" t="inlineStr">
        <is>
          <t>Assets/MachineBrigade/Resources/Data/balance.json: vehicles[id=ifv] (lớp B trên 01_chien_dau/Xe)</t>
        </is>
      </c>
      <c r="Q38" t="inlineStr"/>
    </row>
    <row r="39">
      <c r="A39" t="inlineStr">
        <is>
          <t>iron_beam</t>
        </is>
      </c>
      <c r="B39" t="n">
        <v>0</v>
      </c>
      <c r="C39" t="n">
        <v>0</v>
      </c>
      <c r="D39" t="n">
        <v>1</v>
      </c>
      <c r="E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IF(INDEX(xe_input_vu_khi!$E$2:$E$66,MATCH(Xe!$AE$39,xe_input_vu_khi!$A$2:$A$66,0)),1,$D$39)*Xe!$AD$39</f>
        <v/>
      </c>
      <c r="F39" t="n">
        <v>222.2285714285715</v>
      </c>
      <c r="G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Xe!$AD$39</f>
        <v/>
      </c>
      <c r="H39" t="n">
        <v>222.2285714285715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2</v>
      </c>
      <c r="M39" t="n">
        <v>1.15</v>
      </c>
      <c r="N39" t="n">
        <v>0</v>
      </c>
      <c r="O39" t="n">
        <v>3.5</v>
      </c>
      <c r="P39" t="inlineStr">
        <is>
          <t>Assets/MachineBrigade/Resources/Data/balance.json: vehicles[id=iron_beam] (lớp B trên 01_chien_dau/Xe)</t>
        </is>
      </c>
      <c r="Q39" t="inlineStr"/>
    </row>
    <row r="40">
      <c r="A40" t="inlineStr">
        <is>
          <t>landing_craft</t>
        </is>
      </c>
      <c r="B40" t="n">
        <v>0</v>
      </c>
      <c r="C40" t="n">
        <v>0</v>
      </c>
      <c r="D40" t="n">
        <v>1</v>
      </c>
      <c r="E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IF(INDEX(xe_input_vu_khi!$E$2:$E$66,MATCH(Xe!$AE$40,xe_input_vu_khi!$A$2:$A$66,0)),1,$D$40)*Xe!$AD$40</f>
        <v/>
      </c>
      <c r="F40" t="n">
        <v>58.96958410924891</v>
      </c>
      <c r="G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Xe!$AD$40</f>
        <v/>
      </c>
      <c r="H40" t="n">
        <v>58.96958410924891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vehicles[id=landing_craft] (lớp B trên 01_chien_dau/Xe)</t>
        </is>
      </c>
      <c r="Q40" t="inlineStr"/>
    </row>
    <row r="41">
      <c r="A41" t="inlineStr">
        <is>
          <t>laser_tank</t>
        </is>
      </c>
      <c r="B41" t="n">
        <v>0</v>
      </c>
      <c r="C41" t="n">
        <v>0</v>
      </c>
      <c r="D41" t="n">
        <v>1</v>
      </c>
      <c r="E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IF(INDEX(xe_input_vu_khi!$E$2:$E$66,MATCH(Xe!$AE$41,xe_input_vu_khi!$A$2:$A$66,0)),1,$D$41)*Xe!$AD$41</f>
        <v/>
      </c>
      <c r="F41" t="n">
        <v>134.9042553191489</v>
      </c>
      <c r="G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Xe!$AD$41</f>
        <v/>
      </c>
      <c r="H41" t="n">
        <v>134.9042553191489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3</v>
      </c>
      <c r="M41" t="n">
        <v>1.25</v>
      </c>
      <c r="N41" t="n">
        <v>0.0375</v>
      </c>
      <c r="O41" t="n">
        <v>3.5</v>
      </c>
      <c r="P41" t="inlineStr">
        <is>
          <t>Assets/MachineBrigade/Resources/Data/balance.json: vehicles[id=laser_tank] (lớp B trên 01_chien_dau/Xe)</t>
        </is>
      </c>
      <c r="Q41" t="inlineStr"/>
    </row>
    <row r="42">
      <c r="A42" t="inlineStr">
        <is>
          <t>light_tank</t>
        </is>
      </c>
      <c r="B42" t="n">
        <v>0</v>
      </c>
      <c r="C42" t="n">
        <v>0</v>
      </c>
      <c r="D42" t="n">
        <v>1</v>
      </c>
      <c r="E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IF(INDEX(xe_input_vu_khi!$E$2:$E$66,MATCH(Xe!$AE$42,xe_input_vu_khi!$A$2:$A$66,0)),1,$D$42)*Xe!$AD$42</f>
        <v/>
      </c>
      <c r="F42" t="n">
        <v>34.21994089282936</v>
      </c>
      <c r="G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Xe!$AD$42</f>
        <v/>
      </c>
      <c r="H42" t="n">
        <v>34.21994089282936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1</v>
      </c>
      <c r="M42" t="n">
        <v>1</v>
      </c>
      <c r="N42" t="n">
        <v>0</v>
      </c>
      <c r="O42" t="n">
        <v>2.5</v>
      </c>
      <c r="P42" t="inlineStr">
        <is>
          <t>Assets/MachineBrigade/Resources/Data/balance.json: vehicles[id=light_tank] (lớp B trên 01_chien_dau/Xe)</t>
        </is>
      </c>
      <c r="Q42" t="inlineStr"/>
    </row>
    <row r="43">
      <c r="A43" t="inlineStr">
        <is>
          <t>long_sam</t>
        </is>
      </c>
      <c r="B43" t="n">
        <v>0</v>
      </c>
      <c r="C43" t="n">
        <v>0</v>
      </c>
      <c r="D43" t="n">
        <v>1</v>
      </c>
      <c r="E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IF(INDEX(xe_input_vu_khi!$E$2:$E$66,MATCH(Xe!$AE$43,xe_input_vu_khi!$A$2:$A$66,0)),1,$D$43)*Xe!$AD$43</f>
        <v/>
      </c>
      <c r="F43" t="n">
        <v>126.56</v>
      </c>
      <c r="G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Xe!$AD$43</f>
        <v/>
      </c>
      <c r="H43" t="n">
        <v>126.56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4</v>
      </c>
      <c r="M43" t="n">
        <v>1.3</v>
      </c>
      <c r="N43" t="n">
        <v>0</v>
      </c>
      <c r="O43" t="n">
        <v>5</v>
      </c>
      <c r="P43" t="inlineStr">
        <is>
          <t>Assets/MachineBrigade/Resources/Data/balance.json: vehicles[id=long_sam] (lớp B trên 01_chien_dau/Xe)</t>
        </is>
      </c>
      <c r="Q43" t="inlineStr"/>
    </row>
    <row r="44">
      <c r="A44" t="inlineStr">
        <is>
          <t>main_battle_tank</t>
        </is>
      </c>
      <c r="B44" t="n">
        <v>0</v>
      </c>
      <c r="C44" t="n">
        <v>0</v>
      </c>
      <c r="D44" t="n">
        <v>1</v>
      </c>
      <c r="E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IF(INDEX(xe_input_vu_khi!$E$2:$E$66,MATCH(Xe!$AE$44,xe_input_vu_khi!$A$2:$A$66,0)),1,$D$44)*Xe!$AD$44</f>
        <v/>
      </c>
      <c r="F44" t="n">
        <v>53.82599203624879</v>
      </c>
      <c r="G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Xe!$AD$44</f>
        <v/>
      </c>
      <c r="H44" t="n">
        <v>53.82599203624879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vehicles[id=main_battle_tank] (lớp B trên 01_chien_dau/Xe)</t>
        </is>
      </c>
      <c r="Q44" t="inlineStr"/>
    </row>
    <row r="45">
      <c r="A45" t="inlineStr">
        <is>
          <t>mara_behemoth</t>
        </is>
      </c>
      <c r="B45" t="n">
        <v>0</v>
      </c>
      <c r="C45" t="n">
        <v>0</v>
      </c>
      <c r="D45" t="n">
        <v>1</v>
      </c>
      <c r="E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IF(INDEX(xe_input_vu_khi!$E$2:$E$66,MATCH(Xe!$AE$45,xe_input_vu_khi!$A$2:$A$66,0)),1,$D$45)*Xe!$AD$45</f>
        <v/>
      </c>
      <c r="F45" t="n">
        <v>71.26948775055679</v>
      </c>
      <c r="G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Xe!$AD$45</f>
        <v/>
      </c>
      <c r="H45" t="n">
        <v>71.26948775055679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1</v>
      </c>
      <c r="M45" t="n">
        <v>1</v>
      </c>
      <c r="N45" t="n">
        <v>0</v>
      </c>
      <c r="O45" t="n">
        <v>2.5</v>
      </c>
      <c r="P45" t="inlineStr">
        <is>
          <t>Assets/MachineBrigade/Resources/Data/balance.json: vehicles[id=mara_behemoth] (lớp B trên 01_chien_dau/Xe)</t>
        </is>
      </c>
      <c r="Q45" t="inlineStr"/>
    </row>
    <row r="46">
      <c r="A46" t="inlineStr">
        <is>
          <t>mine_layer</t>
        </is>
      </c>
      <c r="B46" t="n">
        <v>0</v>
      </c>
      <c r="C46" t="n">
        <v>0</v>
      </c>
      <c r="D46" t="n">
        <v>1</v>
      </c>
      <c r="E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IF(INDEX(xe_input_vu_khi!$E$2:$E$66,MATCH(Xe!$AE$46,xe_input_vu_khi!$A$2:$A$66,0)),1,$D$46)*Xe!$AD$46</f>
        <v/>
      </c>
      <c r="F46" t="n">
        <v>70.76350093109869</v>
      </c>
      <c r="G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Xe!$AD$46</f>
        <v/>
      </c>
      <c r="H46" t="n">
        <v>70.76350093109869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vehicles[id=mine_layer] (lớp B trên 01_chien_dau/Xe)</t>
        </is>
      </c>
      <c r="Q46" t="inlineStr"/>
    </row>
    <row r="47">
      <c r="A47" t="inlineStr">
        <is>
          <t>missile_boat</t>
        </is>
      </c>
      <c r="B47" t="n">
        <v>0</v>
      </c>
      <c r="C47" t="n">
        <v>0</v>
      </c>
      <c r="D47" t="n">
        <v>1</v>
      </c>
      <c r="E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IF(INDEX(xe_input_vu_khi!$E$2:$E$66,MATCH(Xe!$AE$47,xe_input_vu_khi!$A$2:$A$66,0)),1,$D$47)*Xe!$AD$47</f>
        <v/>
      </c>
      <c r="F47" t="n">
        <v>39.6039603960396</v>
      </c>
      <c r="G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Xe!$AD$47</f>
        <v/>
      </c>
      <c r="H47" t="n">
        <v>39.6039603960396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1</v>
      </c>
      <c r="M47" t="n">
        <v>1</v>
      </c>
      <c r="N47" t="n">
        <v>0</v>
      </c>
      <c r="O47" t="n">
        <v>2.5</v>
      </c>
      <c r="P47" t="inlineStr">
        <is>
          <t>Assets/MachineBrigade/Resources/Data/balance.json: vehicles[id=missile_boat] (lớp B trên 01_chien_dau/Xe)</t>
        </is>
      </c>
      <c r="Q47" t="inlineStr"/>
    </row>
    <row r="48">
      <c r="A48" t="inlineStr">
        <is>
          <t>mlrs</t>
        </is>
      </c>
      <c r="B48" t="n">
        <v>0</v>
      </c>
      <c r="C48" t="n">
        <v>0</v>
      </c>
      <c r="D48" t="n">
        <v>1</v>
      </c>
      <c r="E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IF(INDEX(xe_input_vu_khi!$E$2:$E$66,MATCH(Xe!$AE$48,xe_input_vu_khi!$A$2:$A$66,0)),1,$D$48)*Xe!$AD$48</f>
        <v/>
      </c>
      <c r="F48" t="n">
        <v>38.02948124979203</v>
      </c>
      <c r="G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Xe!$AD$48</f>
        <v/>
      </c>
      <c r="H48" t="n">
        <v>38.02948124979203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2</v>
      </c>
      <c r="M48" t="n">
        <v>1.15</v>
      </c>
      <c r="N48" t="n">
        <v>0</v>
      </c>
      <c r="O48" t="n">
        <v>3.5</v>
      </c>
      <c r="P48" t="inlineStr">
        <is>
          <t>Assets/MachineBrigade/Resources/Data/balance.json: vehicles[id=mlrs] (lớp B trên 01_chien_dau/Xe)</t>
        </is>
      </c>
      <c r="Q48" t="inlineStr"/>
    </row>
    <row r="49">
      <c r="A49" t="inlineStr">
        <is>
          <t>mortar_carrier</t>
        </is>
      </c>
      <c r="B49" t="n">
        <v>0</v>
      </c>
      <c r="C49" t="n">
        <v>0</v>
      </c>
      <c r="D49" t="n">
        <v>1</v>
      </c>
      <c r="E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IF(INDEX(xe_input_vu_khi!$E$2:$E$66,MATCH(Xe!$AE$49,xe_input_vu_khi!$A$2:$A$66,0)),1,$D$49)*Xe!$AD$49</f>
        <v/>
      </c>
      <c r="F49" t="n">
        <v>23.44434706397897</v>
      </c>
      <c r="G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Xe!$AD$49</f>
        <v/>
      </c>
      <c r="H49" t="n">
        <v>23.44434706397897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1</v>
      </c>
      <c r="M49" t="n">
        <v>1</v>
      </c>
      <c r="N49" t="n">
        <v>0</v>
      </c>
      <c r="O49" t="n">
        <v>2.5</v>
      </c>
      <c r="P49" t="inlineStr">
        <is>
          <t>Assets/MachineBrigade/Resources/Data/balance.json: vehicles[id=mortar_carrier] (lớp B trên 01_chien_dau/Xe)</t>
        </is>
      </c>
      <c r="Q49" t="inlineStr"/>
    </row>
    <row r="50">
      <c r="A50" t="inlineStr">
        <is>
          <t>next_gen_tank</t>
        </is>
      </c>
      <c r="B50" t="n">
        <v>0</v>
      </c>
      <c r="C50" t="n">
        <v>0</v>
      </c>
      <c r="D50" t="n">
        <v>1</v>
      </c>
      <c r="E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IF(INDEX(xe_input_vu_khi!$E$2:$E$66,MATCH(Xe!$AE$50,xe_input_vu_khi!$A$2:$A$66,0)),1,$D$50)*Xe!$AD$50</f>
        <v/>
      </c>
      <c r="F50" t="n">
        <v>65.86379672406552</v>
      </c>
      <c r="G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Xe!$AD$50</f>
        <v/>
      </c>
      <c r="H50" t="n">
        <v>65.86379672406552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3</v>
      </c>
      <c r="M50" t="n">
        <v>1.25</v>
      </c>
      <c r="N50" t="n">
        <v>0.0375</v>
      </c>
      <c r="O50" t="n">
        <v>3.5</v>
      </c>
      <c r="P50" t="inlineStr">
        <is>
          <t>Assets/MachineBrigade/Resources/Data/balance.json: vehicles[id=next_gen_tank] (lớp B trên 01_chien_dau/Xe)</t>
        </is>
      </c>
      <c r="Q50" t="inlineStr"/>
    </row>
    <row r="51">
      <c r="A51" t="inlineStr">
        <is>
          <t>railgun_truck</t>
        </is>
      </c>
      <c r="B51" t="n">
        <v>0</v>
      </c>
      <c r="C51" t="n">
        <v>0</v>
      </c>
      <c r="D51" t="n">
        <v>1</v>
      </c>
      <c r="E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IF(INDEX(xe_input_vu_khi!$E$2:$E$66,MATCH(Xe!$AE$51,xe_input_vu_khi!$A$2:$A$66,0)),1,$D$51)*Xe!$AD$51</f>
        <v/>
      </c>
      <c r="F51" t="n">
        <v>100.6375714285714</v>
      </c>
      <c r="G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Xe!$AD$51</f>
        <v/>
      </c>
      <c r="H51" t="n">
        <v>100.6375714285714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3</v>
      </c>
      <c r="M51" t="n">
        <v>1.25</v>
      </c>
      <c r="N51" t="n">
        <v>0.0625</v>
      </c>
      <c r="O51" t="n">
        <v>3.5</v>
      </c>
      <c r="P51" t="inlineStr">
        <is>
          <t>Assets/MachineBrigade/Resources/Data/balance.json: vehicles[id=railgun_truck] (lớp B trên 01_chien_dau/Xe)</t>
        </is>
      </c>
      <c r="Q51" t="inlineStr"/>
    </row>
    <row r="52">
      <c r="A52" t="inlineStr">
        <is>
          <t>recoilless_jeep</t>
        </is>
      </c>
      <c r="B52" t="n">
        <v>0</v>
      </c>
      <c r="C52" t="n">
        <v>0</v>
      </c>
      <c r="D52" t="n">
        <v>1</v>
      </c>
      <c r="E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IF(INDEX(xe_input_vu_khi!$E$2:$E$66,MATCH(Xe!$AE$52,xe_input_vu_khi!$A$2:$A$66,0)),1,$D$52)*Xe!$AD$52</f>
        <v/>
      </c>
      <c r="F52" t="n">
        <v>32.96934061318774</v>
      </c>
      <c r="G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Xe!$AD$52</f>
        <v/>
      </c>
      <c r="H52" t="n">
        <v>32.96934061318774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1</v>
      </c>
      <c r="M52" t="n">
        <v>1</v>
      </c>
      <c r="N52" t="n">
        <v>0</v>
      </c>
      <c r="O52" t="n">
        <v>2.5</v>
      </c>
      <c r="P52" t="inlineStr">
        <is>
          <t>Assets/MachineBrigade/Resources/Data/balance.json: vehicles[id=recoilless_jeep] (lớp B trên 01_chien_dau/Xe)</t>
        </is>
      </c>
      <c r="Q52" t="inlineStr"/>
    </row>
    <row r="53">
      <c r="A53" t="inlineStr">
        <is>
          <t>recon_drone</t>
        </is>
      </c>
      <c r="B53" t="n">
        <v>4</v>
      </c>
      <c r="C53" t="n">
        <v>8.5</v>
      </c>
      <c r="D53" t="n">
        <v>1</v>
      </c>
      <c r="E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IF(INDEX(xe_input_vu_khi!$E$2:$E$66,MATCH(Xe!$AE$53,xe_input_vu_khi!$A$2:$A$66,0)),1,$D$53)*Xe!$AD$53</f>
        <v/>
      </c>
      <c r="F53" t="n">
        <v>16.16281443674809</v>
      </c>
      <c r="G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Xe!$AD$53</f>
        <v/>
      </c>
      <c r="H53" t="n">
        <v>16.16281443674809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2</v>
      </c>
      <c r="M53" t="n">
        <v>1.15</v>
      </c>
      <c r="N53" t="n">
        <v>0</v>
      </c>
      <c r="O53" t="n">
        <v>3.5</v>
      </c>
      <c r="P53" t="inlineStr">
        <is>
          <t>Assets/MachineBrigade/Resources/Data/balance.json: vehicles[id=recon_drone] (lớp B trên 01_chien_dau/Xe)</t>
        </is>
      </c>
      <c r="Q53" t="inlineStr"/>
    </row>
    <row r="54">
      <c r="A54" t="inlineStr">
        <is>
          <t>river_gunboat</t>
        </is>
      </c>
      <c r="B54" t="n">
        <v>0</v>
      </c>
      <c r="C54" t="n">
        <v>0</v>
      </c>
      <c r="D54" t="n">
        <v>1</v>
      </c>
      <c r="E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IF(INDEX(xe_input_vu_khi!$E$2:$E$66,MATCH(Xe!$AE$54,xe_input_vu_khi!$A$2:$A$66,0)),1,$D$54)*Xe!$AD$54</f>
        <v/>
      </c>
      <c r="F54" t="n">
        <v>67.75429304713019</v>
      </c>
      <c r="G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Xe!$AD$54</f>
        <v/>
      </c>
      <c r="H54" t="n">
        <v>67.75429304713019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3</v>
      </c>
      <c r="M54" t="n">
        <v>1.25</v>
      </c>
      <c r="N54" t="n">
        <v>0.0375</v>
      </c>
      <c r="O54" t="n">
        <v>3.5</v>
      </c>
      <c r="P54" t="inlineStr">
        <is>
          <t>Assets/MachineBrigade/Resources/Data/balance.json: vehicles[id=river_gunboat] (lớp B trên 01_chien_dau/Xe)</t>
        </is>
      </c>
      <c r="Q54" t="inlineStr"/>
    </row>
    <row r="55">
      <c r="A55" t="inlineStr">
        <is>
          <t>river_patrol_boat</t>
        </is>
      </c>
      <c r="B55" t="n">
        <v>0</v>
      </c>
      <c r="C55" t="n">
        <v>0</v>
      </c>
      <c r="D55" t="n">
        <v>1</v>
      </c>
      <c r="E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IF(INDEX(xe_input_vu_khi!$E$2:$E$66,MATCH(Xe!$AE$55,xe_input_vu_khi!$A$2:$A$66,0)),1,$D$55)*Xe!$AD$55</f>
        <v/>
      </c>
      <c r="F55" t="n">
        <v>70.76350093109869</v>
      </c>
      <c r="G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Xe!$AD$55</f>
        <v/>
      </c>
      <c r="H55" t="n">
        <v>70.76350093109869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vehicles[id=river_patrol_boat] (lớp B trên 01_chien_dau/Xe)</t>
        </is>
      </c>
      <c r="Q55" t="inlineStr"/>
    </row>
    <row r="56">
      <c r="A56" t="inlineStr">
        <is>
          <t>rocket_technical</t>
        </is>
      </c>
      <c r="B56" t="n">
        <v>0</v>
      </c>
      <c r="C56" t="n">
        <v>0</v>
      </c>
      <c r="D56" t="n">
        <v>1</v>
      </c>
      <c r="E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IF(INDEX(xe_input_vu_khi!$E$2:$E$66,MATCH(Xe!$AE$56,xe_input_vu_khi!$A$2:$A$66,0)),1,$D$56)*Xe!$AD$56</f>
        <v/>
      </c>
      <c r="F56" t="n">
        <v>23.34905660377359</v>
      </c>
      <c r="G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Xe!$AD$56</f>
        <v/>
      </c>
      <c r="H56" t="n">
        <v>23.34905660377359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1</v>
      </c>
      <c r="M56" t="n">
        <v>1</v>
      </c>
      <c r="N56" t="n">
        <v>0</v>
      </c>
      <c r="O56" t="n">
        <v>2.5</v>
      </c>
      <c r="P56" t="inlineStr">
        <is>
          <t>Assets/MachineBrigade/Resources/Data/balance.json: vehicles[id=rocket_technical] (lớp B trên 01_chien_dau/Xe)</t>
        </is>
      </c>
      <c r="Q56" t="inlineStr"/>
    </row>
    <row r="57">
      <c r="A57" t="inlineStr">
        <is>
          <t>sam_launcher</t>
        </is>
      </c>
      <c r="B57" t="n">
        <v>0</v>
      </c>
      <c r="C57" t="n">
        <v>0</v>
      </c>
      <c r="D57" t="n">
        <v>1</v>
      </c>
      <c r="E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IF(INDEX(xe_input_vu_khi!$E$2:$E$66,MATCH(Xe!$AE$57,xe_input_vu_khi!$A$2:$A$66,0)),1,$D$57)*Xe!$AD$57</f>
        <v/>
      </c>
      <c r="F57" t="n">
        <v>221.6533333333333</v>
      </c>
      <c r="G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Xe!$AD$57</f>
        <v/>
      </c>
      <c r="H57" t="n">
        <v>221.6533333333333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2</v>
      </c>
      <c r="M57" t="n">
        <v>1.15</v>
      </c>
      <c r="N57" t="n">
        <v>0</v>
      </c>
      <c r="O57" t="n">
        <v>3.5</v>
      </c>
      <c r="P57" t="inlineStr">
        <is>
          <t>Assets/MachineBrigade/Resources/Data/balance.json: vehicles[id=sam_launcher] (lớp B trên 01_chien_dau/Xe)</t>
        </is>
      </c>
      <c r="Q57" t="inlineStr"/>
    </row>
    <row r="58">
      <c r="A58" t="inlineStr">
        <is>
          <t>scout_heli</t>
        </is>
      </c>
      <c r="B58" t="n">
        <v>0</v>
      </c>
      <c r="C58" t="n">
        <v>8</v>
      </c>
      <c r="D58" t="n">
        <v>1</v>
      </c>
      <c r="E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IF(INDEX(xe_input_vu_khi!$E$2:$E$66,MATCH(Xe!$AE$58,xe_input_vu_khi!$A$2:$A$66,0)),1,$D$58)*Xe!$AD$58</f>
        <v/>
      </c>
      <c r="F58" t="n">
        <v>165</v>
      </c>
      <c r="G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Xe!$AD$58</f>
        <v/>
      </c>
      <c r="H58" t="n">
        <v>165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2</v>
      </c>
      <c r="M58" t="n">
        <v>1.15</v>
      </c>
      <c r="N58" t="n">
        <v>0</v>
      </c>
      <c r="O58" t="n">
        <v>3.5</v>
      </c>
      <c r="P58" t="inlineStr">
        <is>
          <t>Assets/MachineBrigade/Resources/Data/balance.json: vehicles[id=scout_heli] (lớp B trên 01_chien_dau/Xe)</t>
        </is>
      </c>
      <c r="Q58" t="inlineStr"/>
    </row>
    <row r="59">
      <c r="A59" t="inlineStr">
        <is>
          <t>scout_jeep</t>
        </is>
      </c>
      <c r="B59" t="n">
        <v>0</v>
      </c>
      <c r="C59" t="n">
        <v>0</v>
      </c>
      <c r="D59" t="n">
        <v>1</v>
      </c>
      <c r="E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IF(INDEX(xe_input_vu_khi!$E$2:$E$66,MATCH(Xe!$AE$59,xe_input_vu_khi!$A$2:$A$66,0)),1,$D$59)*Xe!$AD$59</f>
        <v/>
      </c>
      <c r="F59" t="n">
        <v>58.96958410924891</v>
      </c>
      <c r="G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Xe!$AD$59</f>
        <v/>
      </c>
      <c r="H59" t="n">
        <v>58.96958410924891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1</v>
      </c>
      <c r="M59" t="n">
        <v>1</v>
      </c>
      <c r="N59" t="n">
        <v>0</v>
      </c>
      <c r="O59" t="n">
        <v>2.5</v>
      </c>
      <c r="P59" t="inlineStr">
        <is>
          <t>Assets/MachineBrigade/Resources/Data/balance.json: vehicles[id=scout_jeep] (lớp B trên 01_chien_dau/Xe)</t>
        </is>
      </c>
      <c r="Q59" t="inlineStr"/>
    </row>
    <row r="60">
      <c r="A60" t="inlineStr">
        <is>
          <t>sea_corvette</t>
        </is>
      </c>
      <c r="B60" t="n">
        <v>0</v>
      </c>
      <c r="C60" t="n">
        <v>0</v>
      </c>
      <c r="D60" t="n">
        <v>1</v>
      </c>
      <c r="E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IF(INDEX(xe_input_vu_khi!$E$2:$E$66,MATCH(Xe!$AE$60,xe_input_vu_khi!$A$2:$A$66,0)),1,$D$60)*Xe!$AD$60</f>
        <v/>
      </c>
      <c r="F60" t="n">
        <v>66.49815282908808</v>
      </c>
      <c r="G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Xe!$AD$60</f>
        <v/>
      </c>
      <c r="H60" t="n">
        <v>66.49815282908808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1</v>
      </c>
      <c r="M60" t="n">
        <v>1</v>
      </c>
      <c r="N60" t="n">
        <v>0</v>
      </c>
      <c r="O60" t="n">
        <v>2.5</v>
      </c>
      <c r="P60" t="inlineStr">
        <is>
          <t>Assets/MachineBrigade/Resources/Data/balance.json: vehicles[id=sea_corvette] (lớp B trên 01_chien_dau/Xe)</t>
        </is>
      </c>
      <c r="Q60" t="inlineStr"/>
    </row>
    <row r="61">
      <c r="A61" t="inlineStr">
        <is>
          <t>sea_cruiser</t>
        </is>
      </c>
      <c r="B61" t="n">
        <v>0</v>
      </c>
      <c r="C61" t="n">
        <v>0</v>
      </c>
      <c r="D61" t="n">
        <v>1</v>
      </c>
      <c r="E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IF(INDEX(xe_input_vu_khi!$E$2:$E$66,MATCH(Xe!$AE$61,xe_input_vu_khi!$A$2:$A$66,0)),1,$D$61)*Xe!$AD$61</f>
        <v/>
      </c>
      <c r="F61" t="n">
        <v>71.18704395799965</v>
      </c>
      <c r="G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Xe!$AD$61</f>
        <v/>
      </c>
      <c r="H61" t="n">
        <v>71.18704395799965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1</v>
      </c>
      <c r="M61" t="n">
        <v>1</v>
      </c>
      <c r="N61" t="n">
        <v>0</v>
      </c>
      <c r="O61" t="n">
        <v>2.5</v>
      </c>
      <c r="P61" t="inlineStr">
        <is>
          <t>Assets/MachineBrigade/Resources/Data/balance.json: vehicles[id=sea_cruiser] (lớp B trên 01_chien_dau/Xe)</t>
        </is>
      </c>
      <c r="Q61" t="inlineStr"/>
    </row>
    <row r="62">
      <c r="A62" t="inlineStr">
        <is>
          <t>shahed_truck</t>
        </is>
      </c>
      <c r="B62" t="n">
        <v>0</v>
      </c>
      <c r="C62" t="n">
        <v>0</v>
      </c>
      <c r="D62" t="n">
        <v>1</v>
      </c>
      <c r="E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IF(INDEX(xe_input_vu_khi!$E$2:$E$66,MATCH(Xe!$AE$62,xe_input_vu_khi!$A$2:$A$66,0)),1,$D$62)*Xe!$AD$62</f>
        <v/>
      </c>
      <c r="F62" t="n">
        <v>37.94117647058824</v>
      </c>
      <c r="G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Xe!$AD$62</f>
        <v/>
      </c>
      <c r="H62" t="n">
        <v>37.94117647058824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3</v>
      </c>
      <c r="M62" t="n">
        <v>1.25</v>
      </c>
      <c r="N62" t="n">
        <v>0</v>
      </c>
      <c r="O62" t="n">
        <v>3.5</v>
      </c>
      <c r="P62" t="inlineStr">
        <is>
          <t>Assets/MachineBrigade/Resources/Data/balance.json: vehicles[id=shahed_truck] (lớp B trên 01_chien_dau/Xe)</t>
        </is>
      </c>
      <c r="Q62" t="inlineStr"/>
    </row>
    <row r="63">
      <c r="A63" t="inlineStr">
        <is>
          <t>shield_carrier</t>
        </is>
      </c>
      <c r="B63" t="n">
        <v>0</v>
      </c>
      <c r="C63" t="n">
        <v>0</v>
      </c>
      <c r="D63" t="n">
        <v>1</v>
      </c>
      <c r="E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IF(INDEX(xe_input_vu_khi!$E$2:$E$66,MATCH(Xe!$AE$63,xe_input_vu_khi!$A$2:$A$66,0)),1,$D$63)*Xe!$AD$63</f>
        <v/>
      </c>
      <c r="F63" t="n">
        <v>67.39633767846058</v>
      </c>
      <c r="G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Xe!$AD$63</f>
        <v/>
      </c>
      <c r="H63" t="n">
        <v>67.39633767846058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vehicles[id=shield_carrier] (lớp B trên 01_chien_dau/Xe)</t>
        </is>
      </c>
      <c r="Q63" t="inlineStr"/>
    </row>
    <row r="64">
      <c r="A64" t="inlineStr">
        <is>
          <t>siege_tank</t>
        </is>
      </c>
      <c r="B64" t="n">
        <v>0</v>
      </c>
      <c r="C64" t="n">
        <v>0</v>
      </c>
      <c r="D64" t="n">
        <v>1</v>
      </c>
      <c r="E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IF(INDEX(xe_input_vu_khi!$E$2:$E$66,MATCH(Xe!$AE$64,xe_input_vu_khi!$A$2:$A$66,0)),1,$D$64)*Xe!$AD$64</f>
        <v/>
      </c>
      <c r="F64" t="n">
        <v>58.49283167163961</v>
      </c>
      <c r="G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Xe!$AD$64</f>
        <v/>
      </c>
      <c r="H64" t="n">
        <v>58.49283167163961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4</v>
      </c>
      <c r="M64" t="n">
        <v>1.3</v>
      </c>
      <c r="N64" t="n">
        <v>0</v>
      </c>
      <c r="O64" t="n">
        <v>5</v>
      </c>
      <c r="P64" t="inlineStr">
        <is>
          <t>Assets/MachineBrigade/Resources/Data/balance.json: vehicles[id=siege_tank] (lớp B trên 01_chien_dau/Xe)</t>
        </is>
      </c>
      <c r="Q64" t="inlineStr"/>
    </row>
    <row r="65">
      <c r="A65" t="inlineStr">
        <is>
          <t>sky_gunship</t>
        </is>
      </c>
      <c r="B65" t="n">
        <v>0</v>
      </c>
      <c r="C65" t="n">
        <v>18</v>
      </c>
      <c r="D65" t="n">
        <v>1</v>
      </c>
      <c r="E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IF(INDEX(xe_input_vu_khi!$E$2:$E$66,MATCH(Xe!$AE$65,xe_input_vu_khi!$A$2:$A$66,0)),1,$D$65)*Xe!$AD$65</f>
        <v/>
      </c>
      <c r="F65" t="n">
        <v>110.6270477162541</v>
      </c>
      <c r="G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Xe!$AD$65</f>
        <v/>
      </c>
      <c r="H65" t="n">
        <v>110.6270477162541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4</v>
      </c>
      <c r="M65" t="n">
        <v>1.3</v>
      </c>
      <c r="N65" t="n">
        <v>0.15</v>
      </c>
      <c r="O65" t="n">
        <v>5</v>
      </c>
      <c r="P65" t="inlineStr">
        <is>
          <t>Assets/MachineBrigade/Resources/Data/balance.json: vehicles[id=sky_gunship] (lớp B trên 01_chien_dau/Xe)</t>
        </is>
      </c>
      <c r="Q65" t="inlineStr"/>
    </row>
    <row r="66">
      <c r="A66" t="inlineStr">
        <is>
          <t>sp_mortar</t>
        </is>
      </c>
      <c r="B66" t="n">
        <v>0</v>
      </c>
      <c r="C66" t="n">
        <v>0</v>
      </c>
      <c r="D66" t="n">
        <v>1</v>
      </c>
      <c r="E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IF(INDEX(xe_input_vu_khi!$E$2:$E$66,MATCH(Xe!$AE$66,xe_input_vu_khi!$A$2:$A$66,0)),1,$D$66)*Xe!$AD$66</f>
        <v/>
      </c>
      <c r="F66" t="n">
        <v>66.88806407501465</v>
      </c>
      <c r="G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Xe!$AD$66</f>
        <v/>
      </c>
      <c r="H66" t="n">
        <v>66.88806407501465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2</v>
      </c>
      <c r="M66" t="n">
        <v>1.15</v>
      </c>
      <c r="N66" t="n">
        <v>0</v>
      </c>
      <c r="O66" t="n">
        <v>3.5</v>
      </c>
      <c r="P66" t="inlineStr">
        <is>
          <t>Assets/MachineBrigade/Resources/Data/balance.json: vehicles[id=sp_mortar] (lớp B trên 01_chien_dau/Xe)</t>
        </is>
      </c>
      <c r="Q66" t="inlineStr"/>
    </row>
    <row r="67">
      <c r="A67" t="inlineStr">
        <is>
          <t>stealth_bomber</t>
        </is>
      </c>
      <c r="B67" t="n">
        <v>2</v>
      </c>
      <c r="C67" t="n">
        <v>16</v>
      </c>
      <c r="D67" t="n">
        <v>1</v>
      </c>
      <c r="E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IF(INDEX(xe_input_vu_khi!$E$2:$E$66,MATCH(Xe!$AE$67,xe_input_vu_khi!$A$2:$A$66,0)),1,$D$67)*Xe!$AD$67</f>
        <v/>
      </c>
      <c r="F67" t="n">
        <v>75.69930033003301</v>
      </c>
      <c r="G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Xe!$AD$67</f>
        <v/>
      </c>
      <c r="H67" t="n">
        <v>75.69930033003301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4</v>
      </c>
      <c r="M67" t="n">
        <v>1.3</v>
      </c>
      <c r="N67" t="n">
        <v>0</v>
      </c>
      <c r="O67" t="n">
        <v>5</v>
      </c>
      <c r="P67" t="inlineStr">
        <is>
          <t>Assets/MachineBrigade/Resources/Data/balance.json: vehicles[id=stealth_bomber] (lớp B trên 01_chien_dau/Xe)</t>
        </is>
      </c>
      <c r="Q67" t="inlineStr"/>
    </row>
    <row r="68">
      <c r="A68" t="inlineStr">
        <is>
          <t>stealth_fighter</t>
        </is>
      </c>
      <c r="B68" t="n">
        <v>5</v>
      </c>
      <c r="C68" t="n">
        <v>11</v>
      </c>
      <c r="D68" t="n">
        <v>1</v>
      </c>
      <c r="E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IF(INDEX(xe_input_vu_khi!$E$2:$E$66,MATCH(Xe!$AE$68,xe_input_vu_khi!$A$2:$A$66,0)),1,$D$68)*Xe!$AD$68</f>
        <v/>
      </c>
      <c r="F68" t="n">
        <v>64.3000323101777</v>
      </c>
      <c r="G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Xe!$AD$68</f>
        <v/>
      </c>
      <c r="H68" t="n">
        <v>64.3000323101777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4</v>
      </c>
      <c r="M68" t="n">
        <v>1.3</v>
      </c>
      <c r="N68" t="n">
        <v>0.1</v>
      </c>
      <c r="O68" t="n">
        <v>5</v>
      </c>
      <c r="P68" t="inlineStr">
        <is>
          <t>Assets/MachineBrigade/Resources/Data/balance.json: vehicles[id=stealth_fighter] (lớp B trên 01_chien_dau/Xe)</t>
        </is>
      </c>
      <c r="Q68" t="inlineStr"/>
    </row>
    <row r="69">
      <c r="A69" t="inlineStr">
        <is>
          <t>stealth_naval_strike</t>
        </is>
      </c>
      <c r="B69" t="n">
        <v>0</v>
      </c>
      <c r="C69" t="n">
        <v>16</v>
      </c>
      <c r="D69" t="n">
        <v>1</v>
      </c>
      <c r="E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IF(INDEX(xe_input_vu_khi!$E$2:$E$66,MATCH(Xe!$AE$69,xe_input_vu_khi!$A$2:$A$66,0)),1,$D$69)*Xe!$AD$69</f>
        <v/>
      </c>
      <c r="F69" t="n">
        <v>0</v>
      </c>
      <c r="G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Xe!$AD$69</f>
        <v/>
      </c>
      <c r="H69" t="n">
        <v>0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4</v>
      </c>
      <c r="M69" t="n">
        <v>1.3</v>
      </c>
      <c r="N69" t="n">
        <v>0.15</v>
      </c>
      <c r="O69" t="n">
        <v>5</v>
      </c>
      <c r="P69" t="inlineStr">
        <is>
          <t>Assets/MachineBrigade/Resources/Data/balance.json: vehicles[id=stealth_naval_strike] (lớp B trên 01_chien_dau/Xe)</t>
        </is>
      </c>
      <c r="Q69" t="inlineStr"/>
    </row>
    <row r="70">
      <c r="A70" t="inlineStr">
        <is>
          <t>strike_drone</t>
        </is>
      </c>
      <c r="B70" t="n">
        <v>3</v>
      </c>
      <c r="C70" t="n">
        <v>8.5</v>
      </c>
      <c r="D70" t="n">
        <v>1</v>
      </c>
      <c r="E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IF(INDEX(xe_input_vu_khi!$E$2:$E$66,MATCH(Xe!$AE$70,xe_input_vu_khi!$A$2:$A$66,0)),1,$D$70)*Xe!$AD$70</f>
        <v/>
      </c>
      <c r="F70" t="n">
        <v>51.40945945945945</v>
      </c>
      <c r="G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Xe!$AD$70</f>
        <v/>
      </c>
      <c r="H70" t="n">
        <v>51.40945945945945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3</v>
      </c>
      <c r="M70" t="n">
        <v>1.25</v>
      </c>
      <c r="N70" t="n">
        <v>0.0375</v>
      </c>
      <c r="O70" t="n">
        <v>3.5</v>
      </c>
      <c r="P70" t="inlineStr">
        <is>
          <t>Assets/MachineBrigade/Resources/Data/balance.json: vehicles[id=strike_drone] (lớp B trên 01_chien_dau/Xe)</t>
        </is>
      </c>
      <c r="Q70" t="inlineStr"/>
    </row>
    <row r="71">
      <c r="A71" t="inlineStr">
        <is>
          <t>supply_truck</t>
        </is>
      </c>
      <c r="B71" t="n">
        <v>0</v>
      </c>
      <c r="C71" t="n">
        <v>0</v>
      </c>
      <c r="D71" t="n">
        <v>1</v>
      </c>
      <c r="E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IF(INDEX(xe_input_vu_khi!$E$2:$E$66,MATCH(Xe!$AE$71,xe_input_vu_khi!$A$2:$A$66,0)),1,$D$71)*Xe!$AD$71</f>
        <v/>
      </c>
      <c r="F71" t="n">
        <v>58.96958410924891</v>
      </c>
      <c r="G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Xe!$AD$71</f>
        <v/>
      </c>
      <c r="H71" t="n">
        <v>58.96958410924891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1</v>
      </c>
      <c r="M71" t="n">
        <v>1</v>
      </c>
      <c r="N71" t="n">
        <v>0</v>
      </c>
      <c r="O71" t="n">
        <v>2.5</v>
      </c>
      <c r="P71" t="inlineStr">
        <is>
          <t>Assets/MachineBrigade/Resources/Data/balance.json: vehicles[id=supply_truck] (lớp B trên 01_chien_dau/Xe)</t>
        </is>
      </c>
      <c r="Q71" t="inlineStr"/>
    </row>
    <row r="72">
      <c r="A72" t="inlineStr">
        <is>
          <t>swarm_carrier</t>
        </is>
      </c>
      <c r="B72" t="n">
        <v>8</v>
      </c>
      <c r="C72" t="n">
        <v>16</v>
      </c>
      <c r="D72" t="n">
        <v>1</v>
      </c>
      <c r="E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IF(INDEX(xe_input_vu_khi!$E$2:$E$66,MATCH(Xe!$AE$72,xe_input_vu_khi!$A$2:$A$66,0)),1,$D$72)*Xe!$AD$72</f>
        <v/>
      </c>
      <c r="F72" t="n">
        <v>32.51169811320754</v>
      </c>
      <c r="G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Xe!$AD$72</f>
        <v/>
      </c>
      <c r="H72" t="n">
        <v>32.51169811320754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4</v>
      </c>
      <c r="M72" t="n">
        <v>1.3</v>
      </c>
      <c r="N72" t="n">
        <v>0</v>
      </c>
      <c r="O72" t="n">
        <v>5</v>
      </c>
      <c r="P72" t="inlineStr">
        <is>
          <t>Assets/MachineBrigade/Resources/Data/balance.json: vehicles[id=swarm_carrier] (lớp B trên 01_chien_dau/Xe)</t>
        </is>
      </c>
      <c r="Q72" t="inlineStr"/>
    </row>
    <row r="73">
      <c r="A73" t="inlineStr">
        <is>
          <t>tank_destroyer</t>
        </is>
      </c>
      <c r="B73" t="n">
        <v>0</v>
      </c>
      <c r="C73" t="n">
        <v>0</v>
      </c>
      <c r="D73" t="n">
        <v>1</v>
      </c>
      <c r="E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IF(INDEX(xe_input_vu_khi!$E$2:$E$66,MATCH(Xe!$AE$73,xe_input_vu_khi!$A$2:$A$66,0)),1,$D$73)*Xe!$AD$73</f>
        <v/>
      </c>
      <c r="F73" t="n">
        <v>90.89577908441832</v>
      </c>
      <c r="G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Xe!$AD$73</f>
        <v/>
      </c>
      <c r="H73" t="n">
        <v>90.89577908441832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vehicles[id=tank_destroyer] (lớp B trên 01_chien_dau/Xe)</t>
        </is>
      </c>
      <c r="Q73" t="inlineStr"/>
    </row>
    <row r="74">
      <c r="A74" t="inlineStr">
        <is>
          <t>thermobaric_launcher</t>
        </is>
      </c>
      <c r="B74" t="n">
        <v>0</v>
      </c>
      <c r="C74" t="n">
        <v>0</v>
      </c>
      <c r="D74" t="n">
        <v>1</v>
      </c>
      <c r="E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IF(INDEX(xe_input_vu_khi!$E$2:$E$66,MATCH(Xe!$AE$74,xe_input_vu_khi!$A$2:$A$66,0)),1,$D$74)*Xe!$AD$74</f>
        <v/>
      </c>
      <c r="F74" t="n">
        <v>58.09068191098407</v>
      </c>
      <c r="G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Xe!$AD$74</f>
        <v/>
      </c>
      <c r="H74" t="n">
        <v>58.09068191098407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3</v>
      </c>
      <c r="M74" t="n">
        <v>1.25</v>
      </c>
      <c r="N74" t="n">
        <v>0</v>
      </c>
      <c r="O74" t="n">
        <v>3.5</v>
      </c>
      <c r="P74" t="inlineStr">
        <is>
          <t>Assets/MachineBrigade/Resources/Data/balance.json: vehicles[id=thermobaric_launcher] (lớp B trên 01_chien_dau/Xe)</t>
        </is>
      </c>
      <c r="Q74" t="inlineStr"/>
    </row>
    <row r="75">
      <c r="A75" t="inlineStr">
        <is>
          <t>titan_tank</t>
        </is>
      </c>
      <c r="B75" t="n">
        <v>0</v>
      </c>
      <c r="C75" t="n">
        <v>0</v>
      </c>
      <c r="D75" t="n">
        <v>1</v>
      </c>
      <c r="E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IF(INDEX(xe_input_vu_khi!$E$2:$E$66,MATCH(Xe!$AE$75,xe_input_vu_khi!$A$2:$A$66,0)),1,$D$75)*Xe!$AD$75</f>
        <v/>
      </c>
      <c r="F75" t="n">
        <v>187.7276963431569</v>
      </c>
      <c r="G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Xe!$AD$75</f>
        <v/>
      </c>
      <c r="H75" t="n">
        <v>187.7276963431569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4</v>
      </c>
      <c r="M75" t="n">
        <v>1.3</v>
      </c>
      <c r="N75" t="n">
        <v>0.15</v>
      </c>
      <c r="O75" t="n">
        <v>5</v>
      </c>
      <c r="P75" t="inlineStr">
        <is>
          <t>Assets/MachineBrigade/Resources/Data/balance.json: vehicles[id=titan_tank] (lớp B trên 01_chien_dau/Xe)</t>
        </is>
      </c>
      <c r="Q75" t="inlineStr"/>
    </row>
    <row r="76">
      <c r="A76" t="inlineStr">
        <is>
          <t>twin_rotor_gunship</t>
        </is>
      </c>
      <c r="B76" t="n">
        <v>0</v>
      </c>
      <c r="C76" t="n">
        <v>12</v>
      </c>
      <c r="D76" t="n">
        <v>1</v>
      </c>
      <c r="E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IF(INDEX(xe_input_vu_khi!$E$2:$E$66,MATCH(Xe!$AE$76,xe_input_vu_khi!$A$2:$A$66,0)),1,$D$76)*Xe!$AD$76</f>
        <v/>
      </c>
      <c r="F76" t="n">
        <v>131.6541166735623</v>
      </c>
      <c r="G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Xe!$AD$76</f>
        <v/>
      </c>
      <c r="H76" t="n">
        <v>131.6541166735623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4</v>
      </c>
      <c r="M76" t="n">
        <v>1.3</v>
      </c>
      <c r="N76" t="n">
        <v>0.125</v>
      </c>
      <c r="O76" t="n">
        <v>5</v>
      </c>
      <c r="P76" t="inlineStr">
        <is>
          <t>Assets/MachineBrigade/Resources/Data/balance.json: vehicles[id=twin_rotor_gunship] (lớp B trên 01_chien_dau/Xe)</t>
        </is>
      </c>
      <c r="Q76" t="inlineStr"/>
    </row>
    <row r="77">
      <c r="A77" t="inlineStr">
        <is>
          <t>twin_tank</t>
        </is>
      </c>
      <c r="B77" t="n">
        <v>0</v>
      </c>
      <c r="C77" t="n">
        <v>0</v>
      </c>
      <c r="D77" t="n">
        <v>1</v>
      </c>
      <c r="E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IF(INDEX(xe_input_vu_khi!$E$2:$E$66,MATCH(Xe!$AE$77,xe_input_vu_khi!$A$2:$A$66,0)),1,$D$77)*Xe!$AD$77</f>
        <v/>
      </c>
      <c r="F77" t="n">
        <v>117.9388015184382</v>
      </c>
      <c r="G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Xe!$AD$77</f>
        <v/>
      </c>
      <c r="H77" t="n">
        <v>117.9388015184382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3</v>
      </c>
      <c r="M77" t="n">
        <v>1.25</v>
      </c>
      <c r="N77" t="n">
        <v>0.0375</v>
      </c>
      <c r="O77" t="n">
        <v>3.5</v>
      </c>
      <c r="P77" t="inlineStr">
        <is>
          <t>Assets/MachineBrigade/Resources/Data/balance.json: vehicles[id=twin_tank] (lớp B trên 01_chien_dau/Xe)</t>
        </is>
      </c>
      <c r="Q77" t="inlineStr"/>
    </row>
    <row r="78">
      <c r="A78" t="inlineStr">
        <is>
          <t>vbied</t>
        </is>
      </c>
      <c r="B78" t="n">
        <v>0</v>
      </c>
      <c r="C78" t="n">
        <v>0</v>
      </c>
      <c r="D78" t="n">
        <v>1</v>
      </c>
      <c r="E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IF(INDEX(xe_input_vu_khi!$E$2:$E$66,MATCH(Xe!$AE$78,xe_input_vu_khi!$A$2:$A$66,0)),1,$D$78)*Xe!$AD$78</f>
        <v/>
      </c>
      <c r="F78" t="n">
        <v>770</v>
      </c>
      <c r="G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Xe!$AD$78</f>
        <v/>
      </c>
      <c r="H78" t="n">
        <v>770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1</v>
      </c>
      <c r="M78" t="n">
        <v>1</v>
      </c>
      <c r="N78" t="n">
        <v>0</v>
      </c>
      <c r="O78" t="n">
        <v>2.5</v>
      </c>
      <c r="P78" t="inlineStr">
        <is>
          <t>Assets/MachineBrigade/Resources/Data/balance.json: vehicles[id=vbied] (lớp B trên 01_chien_dau/Xe)</t>
        </is>
      </c>
      <c r="Q78" t="inlineStr"/>
    </row>
    <row r="79">
      <c r="A79" t="inlineStr">
        <is>
          <t>wheeled_gun</t>
        </is>
      </c>
      <c r="B79" t="n">
        <v>0</v>
      </c>
      <c r="C79" t="n">
        <v>0</v>
      </c>
      <c r="D79" t="n">
        <v>1</v>
      </c>
      <c r="E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IF(INDEX(xe_input_vu_khi!$E$2:$E$66,MATCH(Xe!$AE$79,xe_input_vu_khi!$A$2:$A$66,0)),1,$D$79)*Xe!$AD$79</f>
        <v/>
      </c>
      <c r="F79" t="n">
        <v>81.36690606690607</v>
      </c>
      <c r="G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Xe!$AD$79</f>
        <v/>
      </c>
      <c r="H79" t="n">
        <v>81.36690606690607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2</v>
      </c>
      <c r="M79" t="n">
        <v>1.15</v>
      </c>
      <c r="N79" t="n">
        <v>0</v>
      </c>
      <c r="O79" t="n">
        <v>3.5</v>
      </c>
      <c r="P79" t="inlineStr">
        <is>
          <t>Assets/MachineBrigade/Resources/Data/balance.json: vehicles[id=wheeled_gun] (lớp B trên 01_chien_dau/Xe)</t>
        </is>
      </c>
      <c r="Q79" t="inlineStr"/>
    </row>
    <row r="80">
      <c r="A80" t="inlineStr">
        <is>
          <t>zu23_technical</t>
        </is>
      </c>
      <c r="B80" t="n">
        <v>0</v>
      </c>
      <c r="C80" t="n">
        <v>0</v>
      </c>
      <c r="D80" t="n">
        <v>1</v>
      </c>
      <c r="E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IF(INDEX(xe_input_vu_khi!$E$2:$E$66,MATCH(Xe!$AE$80,xe_input_vu_khi!$A$2:$A$66,0)),1,$D$80)*Xe!$AD$80</f>
        <v/>
      </c>
      <c r="F80" t="n">
        <v>70</v>
      </c>
      <c r="G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Xe!$AD$80</f>
        <v/>
      </c>
      <c r="H80" t="n">
        <v>70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1</v>
      </c>
      <c r="M80" t="n">
        <v>1</v>
      </c>
      <c r="N80" t="n">
        <v>0</v>
      </c>
      <c r="O80" t="n">
        <v>2.5</v>
      </c>
      <c r="P80" t="inlineStr">
        <is>
          <t>Assets/MachineBrigade/Resources/Data/balance.json: vehicles[id=zu23_technical] (lớp B trên 01_chien_dau/Xe)</t>
        </is>
      </c>
      <c r="Q80" t="inlineStr"/>
    </row>
  </sheetData>
  <autoFilter ref="A1:Q80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Xe!$I$2</f>
        <v/>
      </c>
      <c r="C2">
        <f>Xe!$K$2</f>
        <v/>
      </c>
      <c r="D2">
        <f>IF(INDEX(xe_input_vu_khi_suy_ra!$F$2:$F$66,MATCH(Xe!$AE$2,xe_input_vu_khi_suy_ra!$A$2:$A$66,0)),Xe_suy_ra!$E$2*IF(INDEX(xe_input_vu_khi!$H$2:$H$66,MATCH(Xe!$AE$2,xe_input_vu_khi!$A$2:$A$66,0)),INDEX(xe_input_bang_danh_noc!$B$2:$B$8,MIN(7,MAX(1,2-(INDEX(xe_input_vu_khi!$F$2:$F$66,MATCH(Xe!$AE$2,xe_input_vu_khi!$A$2:$A$66,0))-1)+1))),INDEX(xe_input_bang_xuyen_giap!$B$2:$B$8,MIN(7,MAX(1,IF(INDEX(xe_input_vu_khi_suy_ra!$E$2:$E$66,MATCH(Xe!$AE$2,xe_input_vu_khi_suy_ra!$A$2:$A$66,0)),MAX(1,2-(INDEX(xe_input_vu_khi!$F$2:$F$66,MATCH(Xe!$AE$2,xe_input_vu_khi!$A$2:$A$66,0))-1)),2-(INDEX(xe_input_vu_khi!$F$2:$F$66,MATCH(Xe!$AE$2,xe_input_vu_khi!$A$2:$A$66,0))-1))+1))))*IF(INDEX(xe_input_vu_khi_suy_ra!$J$2:$J$66,MATCH(Xe!$AE$2,xe_input_vu_khi_suy_ra!$A$2:$A$66,0)),INDEX(xe_input_bang_xuyen_qua!$B$2:$B$5,MIN(4,MAX(1,(INDEX(xe_input_vu_khi!$F$2:$F$66,MATCH(Xe!$AE$2,xe_input_vu_khi!$A$2:$A$66,0)))-(1)-1))),1)*INDEX(xe_input_vu_khi_suy_ra!$H$2:$H$66,MATCH(Xe!$AE$2,xe_input_vu_khi_suy_ra!$A$2:$A$66,0)),0)</f>
        <v/>
      </c>
      <c r="E2">
        <f>IF(INDEX(xe_input_vu_khi_suy_ra!$F$2:$F$66,MATCH(Xe!$AE$2,xe_input_vu_khi_suy_ra!$A$2:$A$66,0)),Xe_suy_ra!$E$2*IF(INDEX(xe_input_vu_khi!$H$2:$H$66,MATCH(Xe!$AE$2,xe_input_vu_khi!$A$2:$A$66,0)),INDEX(xe_input_bang_danh_noc!$B$2:$B$8,MIN(7,MAX(1,2-(INDEX(xe_input_vu_khi!$F$2:$F$66,MATCH(Xe!$AE$2,xe_input_vu_khi!$A$2:$A$66,0))-3)+1))),INDEX(xe_input_bang_xuyen_giap!$B$2:$B$8,MIN(7,MAX(1,IF(INDEX(xe_input_vu_khi_suy_ra!$E$2:$E$66,MATCH(Xe!$AE$2,xe_input_vu_khi_suy_ra!$A$2:$A$66,0)),MAX(1,2-(INDEX(xe_input_vu_khi!$F$2:$F$66,MATCH(Xe!$AE$2,xe_input_vu_khi!$A$2:$A$66,0))-3)),2-(INDEX(xe_input_vu_khi!$F$2:$F$66,MATCH(Xe!$AE$2,xe_input_vu_khi!$A$2:$A$66,0))-3))+1))))*IF(INDEX(xe_input_vu_khi_suy_ra!$J$2:$J$66,MATCH(Xe!$AE$2,xe_input_vu_khi_suy_ra!$A$2:$A$66,0)),INDEX(xe_input_bang_xuyen_qua!$B$2:$B$5,MIN(4,MAX(1,(INDEX(xe_input_vu_khi!$F$2:$F$66,MATCH(Xe!$AE$2,xe_input_vu_khi!$A$2:$A$66,0)))-(3)-1))),1)*INDEX(xe_input_vu_khi_suy_ra!$H$2:$H$66,MATCH(Xe!$AE$2,xe_input_vu_khi_suy_ra!$A$2:$A$66,0)),0)</f>
        <v/>
      </c>
      <c r="F2">
        <f>IF(INDEX(xe_input_vu_khi_suy_ra!$G$2:$G$66,MATCH(Xe!$AE$2,xe_input_vu_khi_suy_ra!$A$2:$A$66,0)),Xe_suy_ra!$G$2*INDEX(xe_input_bang_xuyen_giap!$B$2:$B$8,MIN(7,MAX(1,MAX(1,2-(INDEX(xe_input_vu_khi!$F$2:$F$66,MATCH(Xe!$AE$2,xe_input_vu_khi!$A$2:$A$66,0))-0))+1)))*IF(INDEX(xe_input_vu_khi_suy_ra!$J$2:$J$66,MATCH(Xe!$AE$2,xe_input_vu_khi_suy_ra!$A$2:$A$66,0)),INDEX(xe_input_bang_xuyen_qua!$B$2:$B$5,MIN(4,MAX(1,(INDEX(xe_input_vu_khi!$F$2:$F$66,MATCH(Xe!$AE$2,xe_input_vu_khi!$A$2:$A$66,0)))-(0)-1))),1)*INDEX(xe_input_vu_khi_suy_ra!$I$2:$I$66,MATCH(Xe!$AE$2,xe_input_vu_khi_suy_ra!$A$2:$A$66,0)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Xe!$I$3</f>
        <v/>
      </c>
      <c r="C3">
        <f>Xe!$K$3</f>
        <v/>
      </c>
      <c r="D3">
        <f>IF(INDEX(xe_input_vu_khi_suy_ra!$F$2:$F$66,MATCH(Xe!$AE$3,xe_input_vu_khi_suy_ra!$A$2:$A$66,0)),Xe_suy_ra!$E$3*IF(INDEX(xe_input_vu_khi!$H$2:$H$66,MATCH(Xe!$AE$3,xe_input_vu_khi!$A$2:$A$66,0)),INDEX(xe_input_bang_danh_noc!$B$2:$B$8,MIN(7,MAX(1,2-(INDEX(xe_input_vu_khi!$F$2:$F$66,MATCH(Xe!$AE$3,xe_input_vu_khi!$A$2:$A$66,0))-1)+1))),INDEX(xe_input_bang_xuyen_giap!$B$2:$B$8,MIN(7,MAX(1,IF(INDEX(xe_input_vu_khi_suy_ra!$E$2:$E$66,MATCH(Xe!$AE$3,xe_input_vu_khi_suy_ra!$A$2:$A$66,0)),MAX(1,2-(INDEX(xe_input_vu_khi!$F$2:$F$66,MATCH(Xe!$AE$3,xe_input_vu_khi!$A$2:$A$66,0))-1)),2-(INDEX(xe_input_vu_khi!$F$2:$F$66,MATCH(Xe!$AE$3,xe_input_vu_khi!$A$2:$A$66,0))-1))+1))))*IF(INDEX(xe_input_vu_khi_suy_ra!$J$2:$J$66,MATCH(Xe!$AE$3,xe_input_vu_khi_suy_ra!$A$2:$A$66,0)),INDEX(xe_input_bang_xuyen_qua!$B$2:$B$5,MIN(4,MAX(1,(INDEX(xe_input_vu_khi!$F$2:$F$66,MATCH(Xe!$AE$3,xe_input_vu_khi!$A$2:$A$66,0)))-(1)-1))),1)*INDEX(xe_input_vu_khi_suy_ra!$H$2:$H$66,MATCH(Xe!$AE$3,xe_input_vu_khi_suy_ra!$A$2:$A$66,0)),0)</f>
        <v/>
      </c>
      <c r="E3">
        <f>IF(INDEX(xe_input_vu_khi_suy_ra!$F$2:$F$66,MATCH(Xe!$AE$3,xe_input_vu_khi_suy_ra!$A$2:$A$66,0)),Xe_suy_ra!$E$3*IF(INDEX(xe_input_vu_khi!$H$2:$H$66,MATCH(Xe!$AE$3,xe_input_vu_khi!$A$2:$A$66,0)),INDEX(xe_input_bang_danh_noc!$B$2:$B$8,MIN(7,MAX(1,2-(INDEX(xe_input_vu_khi!$F$2:$F$66,MATCH(Xe!$AE$3,xe_input_vu_khi!$A$2:$A$66,0))-3)+1))),INDEX(xe_input_bang_xuyen_giap!$B$2:$B$8,MIN(7,MAX(1,IF(INDEX(xe_input_vu_khi_suy_ra!$E$2:$E$66,MATCH(Xe!$AE$3,xe_input_vu_khi_suy_ra!$A$2:$A$66,0)),MAX(1,2-(INDEX(xe_input_vu_khi!$F$2:$F$66,MATCH(Xe!$AE$3,xe_input_vu_khi!$A$2:$A$66,0))-3)),2-(INDEX(xe_input_vu_khi!$F$2:$F$66,MATCH(Xe!$AE$3,xe_input_vu_khi!$A$2:$A$66,0))-3))+1))))*IF(INDEX(xe_input_vu_khi_suy_ra!$J$2:$J$66,MATCH(Xe!$AE$3,xe_input_vu_khi_suy_ra!$A$2:$A$66,0)),INDEX(xe_input_bang_xuyen_qua!$B$2:$B$5,MIN(4,MAX(1,(INDEX(xe_input_vu_khi!$F$2:$F$66,MATCH(Xe!$AE$3,xe_input_vu_khi!$A$2:$A$66,0)))-(3)-1))),1)*INDEX(xe_input_vu_khi_suy_ra!$H$2:$H$66,MATCH(Xe!$AE$3,xe_input_vu_khi_suy_ra!$A$2:$A$66,0)),0)</f>
        <v/>
      </c>
      <c r="F3">
        <f>IF(INDEX(xe_input_vu_khi_suy_ra!$G$2:$G$66,MATCH(Xe!$AE$3,xe_input_vu_khi_suy_ra!$A$2:$A$66,0)),Xe_suy_ra!$G$3*INDEX(xe_input_bang_xuyen_giap!$B$2:$B$8,MIN(7,MAX(1,MAX(1,2-(INDEX(xe_input_vu_khi!$F$2:$F$66,MATCH(Xe!$AE$3,xe_input_vu_khi!$A$2:$A$66,0))-0))+1)))*IF(INDEX(xe_input_vu_khi_suy_ra!$J$2:$J$66,MATCH(Xe!$AE$3,xe_input_vu_khi_suy_ra!$A$2:$A$66,0)),INDEX(xe_input_bang_xuyen_qua!$B$2:$B$5,MIN(4,MAX(1,(INDEX(xe_input_vu_khi!$F$2:$F$66,MATCH(Xe!$AE$3,xe_input_vu_khi!$A$2:$A$66,0)))-(0)-1))),1)*INDEX(xe_input_vu_khi_suy_ra!$I$2:$I$66,MATCH(Xe!$AE$3,xe_input_vu_khi_suy_ra!$A$2:$A$66,0)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Xe!$I$5</f>
        <v/>
      </c>
      <c r="C4">
        <f>Xe!$K$5</f>
        <v/>
      </c>
      <c r="D4">
        <f>IF(INDEX(xe_input_vu_khi_suy_ra!$F$2:$F$66,MATCH(Xe!$AE$5,xe_input_vu_khi_suy_ra!$A$2:$A$66,0)),Xe_suy_ra!$E$5*IF(INDEX(xe_input_vu_khi!$H$2:$H$66,MATCH(Xe!$AE$5,xe_input_vu_khi!$A$2:$A$66,0)),INDEX(xe_input_bang_danh_noc!$B$2:$B$8,MIN(7,MAX(1,2-(INDEX(xe_input_vu_khi!$F$2:$F$66,MATCH(Xe!$AE$5,xe_input_vu_khi!$A$2:$A$66,0))-1)+1))),INDEX(xe_input_bang_xuyen_giap!$B$2:$B$8,MIN(7,MAX(1,IF(INDEX(xe_input_vu_khi_suy_ra!$E$2:$E$66,MATCH(Xe!$AE$5,xe_input_vu_khi_suy_ra!$A$2:$A$66,0)),MAX(1,2-(INDEX(xe_input_vu_khi!$F$2:$F$66,MATCH(Xe!$AE$5,xe_input_vu_khi!$A$2:$A$66,0))-1)),2-(INDEX(xe_input_vu_khi!$F$2:$F$66,MATCH(Xe!$AE$5,xe_input_vu_khi!$A$2:$A$66,0))-1))+1))))*IF(INDEX(xe_input_vu_khi_suy_ra!$J$2:$J$66,MATCH(Xe!$AE$5,xe_input_vu_khi_suy_ra!$A$2:$A$66,0)),INDEX(xe_input_bang_xuyen_qua!$B$2:$B$5,MIN(4,MAX(1,(INDEX(xe_input_vu_khi!$F$2:$F$66,MATCH(Xe!$AE$5,xe_input_vu_khi!$A$2:$A$66,0)))-(1)-1))),1)*INDEX(xe_input_vu_khi_suy_ra!$H$2:$H$66,MATCH(Xe!$AE$5,xe_input_vu_khi_suy_ra!$A$2:$A$66,0)),0)</f>
        <v/>
      </c>
      <c r="E4">
        <f>IF(INDEX(xe_input_vu_khi_suy_ra!$F$2:$F$66,MATCH(Xe!$AE$5,xe_input_vu_khi_suy_ra!$A$2:$A$66,0)),Xe_suy_ra!$E$5*IF(INDEX(xe_input_vu_khi!$H$2:$H$66,MATCH(Xe!$AE$5,xe_input_vu_khi!$A$2:$A$66,0)),INDEX(xe_input_bang_danh_noc!$B$2:$B$8,MIN(7,MAX(1,2-(INDEX(xe_input_vu_khi!$F$2:$F$66,MATCH(Xe!$AE$5,xe_input_vu_khi!$A$2:$A$66,0))-3)+1))),INDEX(xe_input_bang_xuyen_giap!$B$2:$B$8,MIN(7,MAX(1,IF(INDEX(xe_input_vu_khi_suy_ra!$E$2:$E$66,MATCH(Xe!$AE$5,xe_input_vu_khi_suy_ra!$A$2:$A$66,0)),MAX(1,2-(INDEX(xe_input_vu_khi!$F$2:$F$66,MATCH(Xe!$AE$5,xe_input_vu_khi!$A$2:$A$66,0))-3)),2-(INDEX(xe_input_vu_khi!$F$2:$F$66,MATCH(Xe!$AE$5,xe_input_vu_khi!$A$2:$A$66,0))-3))+1))))*IF(INDEX(xe_input_vu_khi_suy_ra!$J$2:$J$66,MATCH(Xe!$AE$5,xe_input_vu_khi_suy_ra!$A$2:$A$66,0)),INDEX(xe_input_bang_xuyen_qua!$B$2:$B$5,MIN(4,MAX(1,(INDEX(xe_input_vu_khi!$F$2:$F$66,MATCH(Xe!$AE$5,xe_input_vu_khi!$A$2:$A$66,0)))-(3)-1))),1)*INDEX(xe_input_vu_khi_suy_ra!$H$2:$H$66,MATCH(Xe!$AE$5,xe_input_vu_khi_suy_ra!$A$2:$A$66,0)),0)</f>
        <v/>
      </c>
      <c r="F4">
        <f>IF(INDEX(xe_input_vu_khi_suy_ra!$G$2:$G$66,MATCH(Xe!$AE$5,xe_input_vu_khi_suy_ra!$A$2:$A$66,0)),Xe_suy_ra!$G$5*INDEX(xe_input_bang_xuyen_giap!$B$2:$B$8,MIN(7,MAX(1,MAX(1,2-(INDEX(xe_input_vu_khi!$F$2:$F$66,MATCH(Xe!$AE$5,xe_input_vu_khi!$A$2:$A$66,0))-0))+1)))*IF(INDEX(xe_input_vu_khi_suy_ra!$J$2:$J$66,MATCH(Xe!$AE$5,xe_input_vu_khi_suy_ra!$A$2:$A$66,0)),INDEX(xe_input_bang_xuyen_qua!$B$2:$B$5,MIN(4,MAX(1,(INDEX(xe_input_vu_khi!$F$2:$F$66,MATCH(Xe!$AE$5,xe_input_vu_khi!$A$2:$A$66,0)))-(0)-1))),1)*INDEX(xe_input_vu_khi_suy_ra!$I$2:$I$66,MATCH(Xe!$AE$5,xe_input_vu_khi_suy_ra!$A$2:$A$66,0)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Xe!$I$6</f>
        <v/>
      </c>
      <c r="C5">
        <f>Xe!$K$6</f>
        <v/>
      </c>
      <c r="D5">
        <f>IF(INDEX(xe_input_vu_khi_suy_ra!$F$2:$F$66,MATCH(Xe!$AE$6,xe_input_vu_khi_suy_ra!$A$2:$A$66,0)),Xe_suy_ra!$E$6*IF(INDEX(xe_input_vu_khi!$H$2:$H$66,MATCH(Xe!$AE$6,xe_input_vu_khi!$A$2:$A$66,0)),INDEX(xe_input_bang_danh_noc!$B$2:$B$8,MIN(7,MAX(1,2-(INDEX(xe_input_vu_khi!$F$2:$F$66,MATCH(Xe!$AE$6,xe_input_vu_khi!$A$2:$A$66,0))-1)+1))),INDEX(xe_input_bang_xuyen_giap!$B$2:$B$8,MIN(7,MAX(1,IF(INDEX(xe_input_vu_khi_suy_ra!$E$2:$E$66,MATCH(Xe!$AE$6,xe_input_vu_khi_suy_ra!$A$2:$A$66,0)),MAX(1,2-(INDEX(xe_input_vu_khi!$F$2:$F$66,MATCH(Xe!$AE$6,xe_input_vu_khi!$A$2:$A$66,0))-1)),2-(INDEX(xe_input_vu_khi!$F$2:$F$66,MATCH(Xe!$AE$6,xe_input_vu_khi!$A$2:$A$66,0))-1))+1))))*IF(INDEX(xe_input_vu_khi_suy_ra!$J$2:$J$66,MATCH(Xe!$AE$6,xe_input_vu_khi_suy_ra!$A$2:$A$66,0)),INDEX(xe_input_bang_xuyen_qua!$B$2:$B$5,MIN(4,MAX(1,(INDEX(xe_input_vu_khi!$F$2:$F$66,MATCH(Xe!$AE$6,xe_input_vu_khi!$A$2:$A$66,0)))-(1)-1))),1)*INDEX(xe_input_vu_khi_suy_ra!$H$2:$H$66,MATCH(Xe!$AE$6,xe_input_vu_khi_suy_ra!$A$2:$A$66,0)),0)</f>
        <v/>
      </c>
      <c r="E5">
        <f>IF(INDEX(xe_input_vu_khi_suy_ra!$F$2:$F$66,MATCH(Xe!$AE$6,xe_input_vu_khi_suy_ra!$A$2:$A$66,0)),Xe_suy_ra!$E$6*IF(INDEX(xe_input_vu_khi!$H$2:$H$66,MATCH(Xe!$AE$6,xe_input_vu_khi!$A$2:$A$66,0)),INDEX(xe_input_bang_danh_noc!$B$2:$B$8,MIN(7,MAX(1,2-(INDEX(xe_input_vu_khi!$F$2:$F$66,MATCH(Xe!$AE$6,xe_input_vu_khi!$A$2:$A$66,0))-3)+1))),INDEX(xe_input_bang_xuyen_giap!$B$2:$B$8,MIN(7,MAX(1,IF(INDEX(xe_input_vu_khi_suy_ra!$E$2:$E$66,MATCH(Xe!$AE$6,xe_input_vu_khi_suy_ra!$A$2:$A$66,0)),MAX(1,2-(INDEX(xe_input_vu_khi!$F$2:$F$66,MATCH(Xe!$AE$6,xe_input_vu_khi!$A$2:$A$66,0))-3)),2-(INDEX(xe_input_vu_khi!$F$2:$F$66,MATCH(Xe!$AE$6,xe_input_vu_khi!$A$2:$A$66,0))-3))+1))))*IF(INDEX(xe_input_vu_khi_suy_ra!$J$2:$J$66,MATCH(Xe!$AE$6,xe_input_vu_khi_suy_ra!$A$2:$A$66,0)),INDEX(xe_input_bang_xuyen_qua!$B$2:$B$5,MIN(4,MAX(1,(INDEX(xe_input_vu_khi!$F$2:$F$66,MATCH(Xe!$AE$6,xe_input_vu_khi!$A$2:$A$66,0)))-(3)-1))),1)*INDEX(xe_input_vu_khi_suy_ra!$H$2:$H$66,MATCH(Xe!$AE$6,xe_input_vu_khi_suy_ra!$A$2:$A$66,0)),0)</f>
        <v/>
      </c>
      <c r="F5">
        <f>IF(INDEX(xe_input_vu_khi_suy_ra!$G$2:$G$66,MATCH(Xe!$AE$6,xe_input_vu_khi_suy_ra!$A$2:$A$66,0)),Xe_suy_ra!$G$6*INDEX(xe_input_bang_xuyen_giap!$B$2:$B$8,MIN(7,MAX(1,MAX(1,2-(INDEX(xe_input_vu_khi!$F$2:$F$66,MATCH(Xe!$AE$6,xe_input_vu_khi!$A$2:$A$66,0))-0))+1)))*IF(INDEX(xe_input_vu_khi_suy_ra!$J$2:$J$66,MATCH(Xe!$AE$6,xe_input_vu_khi_suy_ra!$A$2:$A$66,0)),INDEX(xe_input_bang_xuyen_qua!$B$2:$B$5,MIN(4,MAX(1,(INDEX(xe_input_vu_khi!$F$2:$F$66,MATCH(Xe!$AE$6,xe_input_vu_khi!$A$2:$A$66,0)))-(0)-1))),1)*INDEX(xe_input_vu_khi_suy_ra!$I$2:$I$66,MATCH(Xe!$AE$6,xe_input_vu_khi_suy_ra!$A$2:$A$66,0)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Xe!$I$7</f>
        <v/>
      </c>
      <c r="C6">
        <f>Xe!$K$7</f>
        <v/>
      </c>
      <c r="D6">
        <f>IF(INDEX(xe_input_vu_khi_suy_ra!$F$2:$F$66,MATCH(Xe!$AE$7,xe_input_vu_khi_suy_ra!$A$2:$A$66,0)),Xe_suy_ra!$E$7*IF(INDEX(xe_input_vu_khi!$H$2:$H$66,MATCH(Xe!$AE$7,xe_input_vu_khi!$A$2:$A$66,0)),INDEX(xe_input_bang_danh_noc!$B$2:$B$8,MIN(7,MAX(1,2-(INDEX(xe_input_vu_khi!$F$2:$F$66,MATCH(Xe!$AE$7,xe_input_vu_khi!$A$2:$A$66,0))-1)+1))),INDEX(xe_input_bang_xuyen_giap!$B$2:$B$8,MIN(7,MAX(1,IF(INDEX(xe_input_vu_khi_suy_ra!$E$2:$E$66,MATCH(Xe!$AE$7,xe_input_vu_khi_suy_ra!$A$2:$A$66,0)),MAX(1,2-(INDEX(xe_input_vu_khi!$F$2:$F$66,MATCH(Xe!$AE$7,xe_input_vu_khi!$A$2:$A$66,0))-1)),2-(INDEX(xe_input_vu_khi!$F$2:$F$66,MATCH(Xe!$AE$7,xe_input_vu_khi!$A$2:$A$66,0))-1))+1))))*IF(INDEX(xe_input_vu_khi_suy_ra!$J$2:$J$66,MATCH(Xe!$AE$7,xe_input_vu_khi_suy_ra!$A$2:$A$66,0)),INDEX(xe_input_bang_xuyen_qua!$B$2:$B$5,MIN(4,MAX(1,(INDEX(xe_input_vu_khi!$F$2:$F$66,MATCH(Xe!$AE$7,xe_input_vu_khi!$A$2:$A$66,0)))-(1)-1))),1)*INDEX(xe_input_vu_khi_suy_ra!$H$2:$H$66,MATCH(Xe!$AE$7,xe_input_vu_khi_suy_ra!$A$2:$A$66,0)),0)</f>
        <v/>
      </c>
      <c r="E6">
        <f>IF(INDEX(xe_input_vu_khi_suy_ra!$F$2:$F$66,MATCH(Xe!$AE$7,xe_input_vu_khi_suy_ra!$A$2:$A$66,0)),Xe_suy_ra!$E$7*IF(INDEX(xe_input_vu_khi!$H$2:$H$66,MATCH(Xe!$AE$7,xe_input_vu_khi!$A$2:$A$66,0)),INDEX(xe_input_bang_danh_noc!$B$2:$B$8,MIN(7,MAX(1,2-(INDEX(xe_input_vu_khi!$F$2:$F$66,MATCH(Xe!$AE$7,xe_input_vu_khi!$A$2:$A$66,0))-3)+1))),INDEX(xe_input_bang_xuyen_giap!$B$2:$B$8,MIN(7,MAX(1,IF(INDEX(xe_input_vu_khi_suy_ra!$E$2:$E$66,MATCH(Xe!$AE$7,xe_input_vu_khi_suy_ra!$A$2:$A$66,0)),MAX(1,2-(INDEX(xe_input_vu_khi!$F$2:$F$66,MATCH(Xe!$AE$7,xe_input_vu_khi!$A$2:$A$66,0))-3)),2-(INDEX(xe_input_vu_khi!$F$2:$F$66,MATCH(Xe!$AE$7,xe_input_vu_khi!$A$2:$A$66,0))-3))+1))))*IF(INDEX(xe_input_vu_khi_suy_ra!$J$2:$J$66,MATCH(Xe!$AE$7,xe_input_vu_khi_suy_ra!$A$2:$A$66,0)),INDEX(xe_input_bang_xuyen_qua!$B$2:$B$5,MIN(4,MAX(1,(INDEX(xe_input_vu_khi!$F$2:$F$66,MATCH(Xe!$AE$7,xe_input_vu_khi!$A$2:$A$66,0)))-(3)-1))),1)*INDEX(xe_input_vu_khi_suy_ra!$H$2:$H$66,MATCH(Xe!$AE$7,xe_input_vu_khi_suy_ra!$A$2:$A$66,0)),0)</f>
        <v/>
      </c>
      <c r="F6">
        <f>IF(INDEX(xe_input_vu_khi_suy_ra!$G$2:$G$66,MATCH(Xe!$AE$7,xe_input_vu_khi_suy_ra!$A$2:$A$66,0)),Xe_suy_ra!$G$7*INDEX(xe_input_bang_xuyen_giap!$B$2:$B$8,MIN(7,MAX(1,MAX(1,2-(INDEX(xe_input_vu_khi!$F$2:$F$66,MATCH(Xe!$AE$7,xe_input_vu_khi!$A$2:$A$66,0))-0))+1)))*IF(INDEX(xe_input_vu_khi_suy_ra!$J$2:$J$66,MATCH(Xe!$AE$7,xe_input_vu_khi_suy_ra!$A$2:$A$66,0)),INDEX(xe_input_bang_xuyen_qua!$B$2:$B$5,MIN(4,MAX(1,(INDEX(xe_input_vu_khi!$F$2:$F$66,MATCH(Xe!$AE$7,xe_input_vu_khi!$A$2:$A$66,0)))-(0)-1))),1)*INDEX(xe_input_vu_khi_suy_ra!$I$2:$I$66,MATCH(Xe!$AE$7,xe_input_vu_khi_suy_ra!$A$2:$A$66,0)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Xe!$I$8</f>
        <v/>
      </c>
      <c r="C7">
        <f>Xe!$K$8</f>
        <v/>
      </c>
      <c r="D7">
        <f>IF(INDEX(xe_input_vu_khi_suy_ra!$F$2:$F$66,MATCH(Xe!$AE$8,xe_input_vu_khi_suy_ra!$A$2:$A$66,0)),Xe_suy_ra!$E$8*IF(INDEX(xe_input_vu_khi!$H$2:$H$66,MATCH(Xe!$AE$8,xe_input_vu_khi!$A$2:$A$66,0)),INDEX(xe_input_bang_danh_noc!$B$2:$B$8,MIN(7,MAX(1,2-(INDEX(xe_input_vu_khi!$F$2:$F$66,MATCH(Xe!$AE$8,xe_input_vu_khi!$A$2:$A$66,0))-1)+1))),INDEX(xe_input_bang_xuyen_giap!$B$2:$B$8,MIN(7,MAX(1,IF(INDEX(xe_input_vu_khi_suy_ra!$E$2:$E$66,MATCH(Xe!$AE$8,xe_input_vu_khi_suy_ra!$A$2:$A$66,0)),MAX(1,2-(INDEX(xe_input_vu_khi!$F$2:$F$66,MATCH(Xe!$AE$8,xe_input_vu_khi!$A$2:$A$66,0))-1)),2-(INDEX(xe_input_vu_khi!$F$2:$F$66,MATCH(Xe!$AE$8,xe_input_vu_khi!$A$2:$A$66,0))-1))+1))))*IF(INDEX(xe_input_vu_khi_suy_ra!$J$2:$J$66,MATCH(Xe!$AE$8,xe_input_vu_khi_suy_ra!$A$2:$A$66,0)),INDEX(xe_input_bang_xuyen_qua!$B$2:$B$5,MIN(4,MAX(1,(INDEX(xe_input_vu_khi!$F$2:$F$66,MATCH(Xe!$AE$8,xe_input_vu_khi!$A$2:$A$66,0)))-(1)-1))),1)*INDEX(xe_input_vu_khi_suy_ra!$H$2:$H$66,MATCH(Xe!$AE$8,xe_input_vu_khi_suy_ra!$A$2:$A$66,0)),0)</f>
        <v/>
      </c>
      <c r="E7">
        <f>IF(INDEX(xe_input_vu_khi_suy_ra!$F$2:$F$66,MATCH(Xe!$AE$8,xe_input_vu_khi_suy_ra!$A$2:$A$66,0)),Xe_suy_ra!$E$8*IF(INDEX(xe_input_vu_khi!$H$2:$H$66,MATCH(Xe!$AE$8,xe_input_vu_khi!$A$2:$A$66,0)),INDEX(xe_input_bang_danh_noc!$B$2:$B$8,MIN(7,MAX(1,2-(INDEX(xe_input_vu_khi!$F$2:$F$66,MATCH(Xe!$AE$8,xe_input_vu_khi!$A$2:$A$66,0))-3)+1))),INDEX(xe_input_bang_xuyen_giap!$B$2:$B$8,MIN(7,MAX(1,IF(INDEX(xe_input_vu_khi_suy_ra!$E$2:$E$66,MATCH(Xe!$AE$8,xe_input_vu_khi_suy_ra!$A$2:$A$66,0)),MAX(1,2-(INDEX(xe_input_vu_khi!$F$2:$F$66,MATCH(Xe!$AE$8,xe_input_vu_khi!$A$2:$A$66,0))-3)),2-(INDEX(xe_input_vu_khi!$F$2:$F$66,MATCH(Xe!$AE$8,xe_input_vu_khi!$A$2:$A$66,0))-3))+1))))*IF(INDEX(xe_input_vu_khi_suy_ra!$J$2:$J$66,MATCH(Xe!$AE$8,xe_input_vu_khi_suy_ra!$A$2:$A$66,0)),INDEX(xe_input_bang_xuyen_qua!$B$2:$B$5,MIN(4,MAX(1,(INDEX(xe_input_vu_khi!$F$2:$F$66,MATCH(Xe!$AE$8,xe_input_vu_khi!$A$2:$A$66,0)))-(3)-1))),1)*INDEX(xe_input_vu_khi_suy_ra!$H$2:$H$66,MATCH(Xe!$AE$8,xe_input_vu_khi_suy_ra!$A$2:$A$66,0)),0)</f>
        <v/>
      </c>
      <c r="F7">
        <f>IF(INDEX(xe_input_vu_khi_suy_ra!$G$2:$G$66,MATCH(Xe!$AE$8,xe_input_vu_khi_suy_ra!$A$2:$A$66,0)),Xe_suy_ra!$G$8*INDEX(xe_input_bang_xuyen_giap!$B$2:$B$8,MIN(7,MAX(1,MAX(1,2-(INDEX(xe_input_vu_khi!$F$2:$F$66,MATCH(Xe!$AE$8,xe_input_vu_khi!$A$2:$A$66,0))-0))+1)))*IF(INDEX(xe_input_vu_khi_suy_ra!$J$2:$J$66,MATCH(Xe!$AE$8,xe_input_vu_khi_suy_ra!$A$2:$A$66,0)),INDEX(xe_input_bang_xuyen_qua!$B$2:$B$5,MIN(4,MAX(1,(INDEX(xe_input_vu_khi!$F$2:$F$66,MATCH(Xe!$AE$8,xe_input_vu_khi!$A$2:$A$66,0)))-(0)-1))),1)*INDEX(xe_input_vu_khi_suy_ra!$I$2:$I$66,MATCH(Xe!$AE$8,xe_input_vu_khi_suy_ra!$A$2:$A$66,0)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Xe!$I$9</f>
        <v/>
      </c>
      <c r="C8">
        <f>Xe!$K$9</f>
        <v/>
      </c>
      <c r="D8">
        <f>IF(INDEX(xe_input_vu_khi_suy_ra!$F$2:$F$66,MATCH(Xe!$AE$9,xe_input_vu_khi_suy_ra!$A$2:$A$66,0)),Xe_suy_ra!$E$9*IF(INDEX(xe_input_vu_khi!$H$2:$H$66,MATCH(Xe!$AE$9,xe_input_vu_khi!$A$2:$A$66,0)),INDEX(xe_input_bang_danh_noc!$B$2:$B$8,MIN(7,MAX(1,2-(INDEX(xe_input_vu_khi!$F$2:$F$66,MATCH(Xe!$AE$9,xe_input_vu_khi!$A$2:$A$66,0))-1)+1))),INDEX(xe_input_bang_xuyen_giap!$B$2:$B$8,MIN(7,MAX(1,IF(INDEX(xe_input_vu_khi_suy_ra!$E$2:$E$66,MATCH(Xe!$AE$9,xe_input_vu_khi_suy_ra!$A$2:$A$66,0)),MAX(1,2-(INDEX(xe_input_vu_khi!$F$2:$F$66,MATCH(Xe!$AE$9,xe_input_vu_khi!$A$2:$A$66,0))-1)),2-(INDEX(xe_input_vu_khi!$F$2:$F$66,MATCH(Xe!$AE$9,xe_input_vu_khi!$A$2:$A$66,0))-1))+1))))*IF(INDEX(xe_input_vu_khi_suy_ra!$J$2:$J$66,MATCH(Xe!$AE$9,xe_input_vu_khi_suy_ra!$A$2:$A$66,0)),INDEX(xe_input_bang_xuyen_qua!$B$2:$B$5,MIN(4,MAX(1,(INDEX(xe_input_vu_khi!$F$2:$F$66,MATCH(Xe!$AE$9,xe_input_vu_khi!$A$2:$A$66,0)))-(1)-1))),1)*INDEX(xe_input_vu_khi_suy_ra!$H$2:$H$66,MATCH(Xe!$AE$9,xe_input_vu_khi_suy_ra!$A$2:$A$66,0)),0)</f>
        <v/>
      </c>
      <c r="E8">
        <f>IF(INDEX(xe_input_vu_khi_suy_ra!$F$2:$F$66,MATCH(Xe!$AE$9,xe_input_vu_khi_suy_ra!$A$2:$A$66,0)),Xe_suy_ra!$E$9*IF(INDEX(xe_input_vu_khi!$H$2:$H$66,MATCH(Xe!$AE$9,xe_input_vu_khi!$A$2:$A$66,0)),INDEX(xe_input_bang_danh_noc!$B$2:$B$8,MIN(7,MAX(1,2-(INDEX(xe_input_vu_khi!$F$2:$F$66,MATCH(Xe!$AE$9,xe_input_vu_khi!$A$2:$A$66,0))-3)+1))),INDEX(xe_input_bang_xuyen_giap!$B$2:$B$8,MIN(7,MAX(1,IF(INDEX(xe_input_vu_khi_suy_ra!$E$2:$E$66,MATCH(Xe!$AE$9,xe_input_vu_khi_suy_ra!$A$2:$A$66,0)),MAX(1,2-(INDEX(xe_input_vu_khi!$F$2:$F$66,MATCH(Xe!$AE$9,xe_input_vu_khi!$A$2:$A$66,0))-3)),2-(INDEX(xe_input_vu_khi!$F$2:$F$66,MATCH(Xe!$AE$9,xe_input_vu_khi!$A$2:$A$66,0))-3))+1))))*IF(INDEX(xe_input_vu_khi_suy_ra!$J$2:$J$66,MATCH(Xe!$AE$9,xe_input_vu_khi_suy_ra!$A$2:$A$66,0)),INDEX(xe_input_bang_xuyen_qua!$B$2:$B$5,MIN(4,MAX(1,(INDEX(xe_input_vu_khi!$F$2:$F$66,MATCH(Xe!$AE$9,xe_input_vu_khi!$A$2:$A$66,0)))-(3)-1))),1)*INDEX(xe_input_vu_khi_suy_ra!$H$2:$H$66,MATCH(Xe!$AE$9,xe_input_vu_khi_suy_ra!$A$2:$A$66,0)),0)</f>
        <v/>
      </c>
      <c r="F8">
        <f>IF(INDEX(xe_input_vu_khi_suy_ra!$G$2:$G$66,MATCH(Xe!$AE$9,xe_input_vu_khi_suy_ra!$A$2:$A$66,0)),Xe_suy_ra!$G$9*INDEX(xe_input_bang_xuyen_giap!$B$2:$B$8,MIN(7,MAX(1,MAX(1,2-(INDEX(xe_input_vu_khi!$F$2:$F$66,MATCH(Xe!$AE$9,xe_input_vu_khi!$A$2:$A$66,0))-0))+1)))*IF(INDEX(xe_input_vu_khi_suy_ra!$J$2:$J$66,MATCH(Xe!$AE$9,xe_input_vu_khi_suy_ra!$A$2:$A$66,0)),INDEX(xe_input_bang_xuyen_qua!$B$2:$B$5,MIN(4,MAX(1,(INDEX(xe_input_vu_khi!$F$2:$F$66,MATCH(Xe!$AE$9,xe_input_vu_khi!$A$2:$A$66,0)))-(0)-1))),1)*INDEX(xe_input_vu_khi_suy_ra!$I$2:$I$66,MATCH(Xe!$AE$9,xe_input_vu_khi_suy_ra!$A$2:$A$66,0)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Xe!$I$10</f>
        <v/>
      </c>
      <c r="C9">
        <f>Xe!$K$10</f>
        <v/>
      </c>
      <c r="D9">
        <f>IF(INDEX(xe_input_vu_khi_suy_ra!$F$2:$F$66,MATCH(Xe!$AE$10,xe_input_vu_khi_suy_ra!$A$2:$A$66,0)),Xe_suy_ra!$E$10*IF(INDEX(xe_input_vu_khi!$H$2:$H$66,MATCH(Xe!$AE$10,xe_input_vu_khi!$A$2:$A$66,0)),INDEX(xe_input_bang_danh_noc!$B$2:$B$8,MIN(7,MAX(1,2-(INDEX(xe_input_vu_khi!$F$2:$F$66,MATCH(Xe!$AE$10,xe_input_vu_khi!$A$2:$A$66,0))-1)+1))),INDEX(xe_input_bang_xuyen_giap!$B$2:$B$8,MIN(7,MAX(1,IF(INDEX(xe_input_vu_khi_suy_ra!$E$2:$E$66,MATCH(Xe!$AE$10,xe_input_vu_khi_suy_ra!$A$2:$A$66,0)),MAX(1,2-(INDEX(xe_input_vu_khi!$F$2:$F$66,MATCH(Xe!$AE$10,xe_input_vu_khi!$A$2:$A$66,0))-1)),2-(INDEX(xe_input_vu_khi!$F$2:$F$66,MATCH(Xe!$AE$10,xe_input_vu_khi!$A$2:$A$66,0))-1))+1))))*IF(INDEX(xe_input_vu_khi_suy_ra!$J$2:$J$66,MATCH(Xe!$AE$10,xe_input_vu_khi_suy_ra!$A$2:$A$66,0)),INDEX(xe_input_bang_xuyen_qua!$B$2:$B$5,MIN(4,MAX(1,(INDEX(xe_input_vu_khi!$F$2:$F$66,MATCH(Xe!$AE$10,xe_input_vu_khi!$A$2:$A$66,0)))-(1)-1))),1)*INDEX(xe_input_vu_khi_suy_ra!$H$2:$H$66,MATCH(Xe!$AE$10,xe_input_vu_khi_suy_ra!$A$2:$A$66,0)),0)</f>
        <v/>
      </c>
      <c r="E9">
        <f>IF(INDEX(xe_input_vu_khi_suy_ra!$F$2:$F$66,MATCH(Xe!$AE$10,xe_input_vu_khi_suy_ra!$A$2:$A$66,0)),Xe_suy_ra!$E$10*IF(INDEX(xe_input_vu_khi!$H$2:$H$66,MATCH(Xe!$AE$10,xe_input_vu_khi!$A$2:$A$66,0)),INDEX(xe_input_bang_danh_noc!$B$2:$B$8,MIN(7,MAX(1,2-(INDEX(xe_input_vu_khi!$F$2:$F$66,MATCH(Xe!$AE$10,xe_input_vu_khi!$A$2:$A$66,0))-3)+1))),INDEX(xe_input_bang_xuyen_giap!$B$2:$B$8,MIN(7,MAX(1,IF(INDEX(xe_input_vu_khi_suy_ra!$E$2:$E$66,MATCH(Xe!$AE$10,xe_input_vu_khi_suy_ra!$A$2:$A$66,0)),MAX(1,2-(INDEX(xe_input_vu_khi!$F$2:$F$66,MATCH(Xe!$AE$10,xe_input_vu_khi!$A$2:$A$66,0))-3)),2-(INDEX(xe_input_vu_khi!$F$2:$F$66,MATCH(Xe!$AE$10,xe_input_vu_khi!$A$2:$A$66,0))-3))+1))))*IF(INDEX(xe_input_vu_khi_suy_ra!$J$2:$J$66,MATCH(Xe!$AE$10,xe_input_vu_khi_suy_ra!$A$2:$A$66,0)),INDEX(xe_input_bang_xuyen_qua!$B$2:$B$5,MIN(4,MAX(1,(INDEX(xe_input_vu_khi!$F$2:$F$66,MATCH(Xe!$AE$10,xe_input_vu_khi!$A$2:$A$66,0)))-(3)-1))),1)*INDEX(xe_input_vu_khi_suy_ra!$H$2:$H$66,MATCH(Xe!$AE$10,xe_input_vu_khi_suy_ra!$A$2:$A$66,0)),0)</f>
        <v/>
      </c>
      <c r="F9">
        <f>IF(INDEX(xe_input_vu_khi_suy_ra!$G$2:$G$66,MATCH(Xe!$AE$10,xe_input_vu_khi_suy_ra!$A$2:$A$66,0)),Xe_suy_ra!$G$10*INDEX(xe_input_bang_xuyen_giap!$B$2:$B$8,MIN(7,MAX(1,MAX(1,2-(INDEX(xe_input_vu_khi!$F$2:$F$66,MATCH(Xe!$AE$10,xe_input_vu_khi!$A$2:$A$66,0))-0))+1)))*IF(INDEX(xe_input_vu_khi_suy_ra!$J$2:$J$66,MATCH(Xe!$AE$10,xe_input_vu_khi_suy_ra!$A$2:$A$66,0)),INDEX(xe_input_bang_xuyen_qua!$B$2:$B$5,MIN(4,MAX(1,(INDEX(xe_input_vu_khi!$F$2:$F$66,MATCH(Xe!$AE$10,xe_input_vu_khi!$A$2:$A$66,0)))-(0)-1))),1)*INDEX(xe_input_vu_khi_suy_ra!$I$2:$I$66,MATCH(Xe!$AE$10,xe_input_vu_khi_suy_ra!$A$2:$A$66,0)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Xe!$I$28</f>
        <v/>
      </c>
      <c r="C10">
        <f>Xe!$K$28</f>
        <v/>
      </c>
      <c r="D10">
        <f>IF(INDEX(xe_input_vu_khi_suy_ra!$F$2:$F$66,MATCH(Xe!$AE$28,xe_input_vu_khi_suy_ra!$A$2:$A$66,0)),Xe_suy_ra!$E$28*IF(INDEX(xe_input_vu_khi!$H$2:$H$66,MATCH(Xe!$AE$28,xe_input_vu_khi!$A$2:$A$66,0)),INDEX(xe_input_bang_danh_noc!$B$2:$B$8,MIN(7,MAX(1,2-(INDEX(xe_input_vu_khi!$F$2:$F$66,MATCH(Xe!$AE$28,xe_input_vu_khi!$A$2:$A$66,0))-1)+1))),INDEX(xe_input_bang_xuyen_giap!$B$2:$B$8,MIN(7,MAX(1,IF(INDEX(xe_input_vu_khi_suy_ra!$E$2:$E$66,MATCH(Xe!$AE$28,xe_input_vu_khi_suy_ra!$A$2:$A$66,0)),MAX(1,2-(INDEX(xe_input_vu_khi!$F$2:$F$66,MATCH(Xe!$AE$28,xe_input_vu_khi!$A$2:$A$66,0))-1)),2-(INDEX(xe_input_vu_khi!$F$2:$F$66,MATCH(Xe!$AE$28,xe_input_vu_khi!$A$2:$A$66,0))-1))+1))))*IF(INDEX(xe_input_vu_khi_suy_ra!$J$2:$J$66,MATCH(Xe!$AE$28,xe_input_vu_khi_suy_ra!$A$2:$A$66,0)),INDEX(xe_input_bang_xuyen_qua!$B$2:$B$5,MIN(4,MAX(1,(INDEX(xe_input_vu_khi!$F$2:$F$66,MATCH(Xe!$AE$28,xe_input_vu_khi!$A$2:$A$66,0)))-(1)-1))),1)*INDEX(xe_input_vu_khi_suy_ra!$H$2:$H$66,MATCH(Xe!$AE$28,xe_input_vu_khi_suy_ra!$A$2:$A$66,0)),0)</f>
        <v/>
      </c>
      <c r="E10">
        <f>IF(INDEX(xe_input_vu_khi_suy_ra!$F$2:$F$66,MATCH(Xe!$AE$28,xe_input_vu_khi_suy_ra!$A$2:$A$66,0)),Xe_suy_ra!$E$28*IF(INDEX(xe_input_vu_khi!$H$2:$H$66,MATCH(Xe!$AE$28,xe_input_vu_khi!$A$2:$A$66,0)),INDEX(xe_input_bang_danh_noc!$B$2:$B$8,MIN(7,MAX(1,2-(INDEX(xe_input_vu_khi!$F$2:$F$66,MATCH(Xe!$AE$28,xe_input_vu_khi!$A$2:$A$66,0))-3)+1))),INDEX(xe_input_bang_xuyen_giap!$B$2:$B$8,MIN(7,MAX(1,IF(INDEX(xe_input_vu_khi_suy_ra!$E$2:$E$66,MATCH(Xe!$AE$28,xe_input_vu_khi_suy_ra!$A$2:$A$66,0)),MAX(1,2-(INDEX(xe_input_vu_khi!$F$2:$F$66,MATCH(Xe!$AE$28,xe_input_vu_khi!$A$2:$A$66,0))-3)),2-(INDEX(xe_input_vu_khi!$F$2:$F$66,MATCH(Xe!$AE$28,xe_input_vu_khi!$A$2:$A$66,0))-3))+1))))*IF(INDEX(xe_input_vu_khi_suy_ra!$J$2:$J$66,MATCH(Xe!$AE$28,xe_input_vu_khi_suy_ra!$A$2:$A$66,0)),INDEX(xe_input_bang_xuyen_qua!$B$2:$B$5,MIN(4,MAX(1,(INDEX(xe_input_vu_khi!$F$2:$F$66,MATCH(Xe!$AE$28,xe_input_vu_khi!$A$2:$A$66,0)))-(3)-1))),1)*INDEX(xe_input_vu_khi_suy_ra!$H$2:$H$66,MATCH(Xe!$AE$28,xe_input_vu_khi_suy_ra!$A$2:$A$66,0)),0)</f>
        <v/>
      </c>
      <c r="F10">
        <f>IF(INDEX(xe_input_vu_khi_suy_ra!$G$2:$G$66,MATCH(Xe!$AE$28,xe_input_vu_khi_suy_ra!$A$2:$A$66,0)),Xe_suy_ra!$G$28*INDEX(xe_input_bang_xuyen_giap!$B$2:$B$8,MIN(7,MAX(1,MAX(1,2-(INDEX(xe_input_vu_khi!$F$2:$F$66,MATCH(Xe!$AE$28,xe_input_vu_khi!$A$2:$A$66,0))-0))+1)))*IF(INDEX(xe_input_vu_khi_suy_ra!$J$2:$J$66,MATCH(Xe!$AE$28,xe_input_vu_khi_suy_ra!$A$2:$A$66,0)),INDEX(xe_input_bang_xuyen_qua!$B$2:$B$5,MIN(4,MAX(1,(INDEX(xe_input_vu_khi!$F$2:$F$66,MATCH(Xe!$AE$28,xe_input_vu_khi!$A$2:$A$66,0)))-(0)-1))),1)*INDEX(xe_input_vu_khi_suy_ra!$I$2:$I$66,MATCH(Xe!$AE$28,xe_input_vu_khi_suy_ra!$A$2:$A$66,0)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Xe!$I$29</f>
        <v/>
      </c>
      <c r="C11">
        <f>Xe!$K$29</f>
        <v/>
      </c>
      <c r="D11">
        <f>IF(INDEX(xe_input_vu_khi_suy_ra!$F$2:$F$66,MATCH(Xe!$AE$29,xe_input_vu_khi_suy_ra!$A$2:$A$66,0)),Xe_suy_ra!$E$29*IF(INDEX(xe_input_vu_khi!$H$2:$H$66,MATCH(Xe!$AE$29,xe_input_vu_khi!$A$2:$A$66,0)),INDEX(xe_input_bang_danh_noc!$B$2:$B$8,MIN(7,MAX(1,2-(INDEX(xe_input_vu_khi!$F$2:$F$66,MATCH(Xe!$AE$29,xe_input_vu_khi!$A$2:$A$66,0))-1)+1))),INDEX(xe_input_bang_xuyen_giap!$B$2:$B$8,MIN(7,MAX(1,IF(INDEX(xe_input_vu_khi_suy_ra!$E$2:$E$66,MATCH(Xe!$AE$29,xe_input_vu_khi_suy_ra!$A$2:$A$66,0)),MAX(1,2-(INDEX(xe_input_vu_khi!$F$2:$F$66,MATCH(Xe!$AE$29,xe_input_vu_khi!$A$2:$A$66,0))-1)),2-(INDEX(xe_input_vu_khi!$F$2:$F$66,MATCH(Xe!$AE$29,xe_input_vu_khi!$A$2:$A$66,0))-1))+1))))*IF(INDEX(xe_input_vu_khi_suy_ra!$J$2:$J$66,MATCH(Xe!$AE$29,xe_input_vu_khi_suy_ra!$A$2:$A$66,0)),INDEX(xe_input_bang_xuyen_qua!$B$2:$B$5,MIN(4,MAX(1,(INDEX(xe_input_vu_khi!$F$2:$F$66,MATCH(Xe!$AE$29,xe_input_vu_khi!$A$2:$A$66,0)))-(1)-1))),1)*INDEX(xe_input_vu_khi_suy_ra!$H$2:$H$66,MATCH(Xe!$AE$29,xe_input_vu_khi_suy_ra!$A$2:$A$66,0)),0)</f>
        <v/>
      </c>
      <c r="E11">
        <f>IF(INDEX(xe_input_vu_khi_suy_ra!$F$2:$F$66,MATCH(Xe!$AE$29,xe_input_vu_khi_suy_ra!$A$2:$A$66,0)),Xe_suy_ra!$E$29*IF(INDEX(xe_input_vu_khi!$H$2:$H$66,MATCH(Xe!$AE$29,xe_input_vu_khi!$A$2:$A$66,0)),INDEX(xe_input_bang_danh_noc!$B$2:$B$8,MIN(7,MAX(1,2-(INDEX(xe_input_vu_khi!$F$2:$F$66,MATCH(Xe!$AE$29,xe_input_vu_khi!$A$2:$A$66,0))-3)+1))),INDEX(xe_input_bang_xuyen_giap!$B$2:$B$8,MIN(7,MAX(1,IF(INDEX(xe_input_vu_khi_suy_ra!$E$2:$E$66,MATCH(Xe!$AE$29,xe_input_vu_khi_suy_ra!$A$2:$A$66,0)),MAX(1,2-(INDEX(xe_input_vu_khi!$F$2:$F$66,MATCH(Xe!$AE$29,xe_input_vu_khi!$A$2:$A$66,0))-3)),2-(INDEX(xe_input_vu_khi!$F$2:$F$66,MATCH(Xe!$AE$29,xe_input_vu_khi!$A$2:$A$66,0))-3))+1))))*IF(INDEX(xe_input_vu_khi_suy_ra!$J$2:$J$66,MATCH(Xe!$AE$29,xe_input_vu_khi_suy_ra!$A$2:$A$66,0)),INDEX(xe_input_bang_xuyen_qua!$B$2:$B$5,MIN(4,MAX(1,(INDEX(xe_input_vu_khi!$F$2:$F$66,MATCH(Xe!$AE$29,xe_input_vu_khi!$A$2:$A$66,0)))-(3)-1))),1)*INDEX(xe_input_vu_khi_suy_ra!$H$2:$H$66,MATCH(Xe!$AE$29,xe_input_vu_khi_suy_ra!$A$2:$A$66,0)),0)</f>
        <v/>
      </c>
      <c r="F11">
        <f>IF(INDEX(xe_input_vu_khi_suy_ra!$G$2:$G$66,MATCH(Xe!$AE$29,xe_input_vu_khi_suy_ra!$A$2:$A$66,0)),Xe_suy_ra!$G$29*INDEX(xe_input_bang_xuyen_giap!$B$2:$B$8,MIN(7,MAX(1,MAX(1,2-(INDEX(xe_input_vu_khi!$F$2:$F$66,MATCH(Xe!$AE$29,xe_input_vu_khi!$A$2:$A$66,0))-0))+1)))*IF(INDEX(xe_input_vu_khi_suy_ra!$J$2:$J$66,MATCH(Xe!$AE$29,xe_input_vu_khi_suy_ra!$A$2:$A$66,0)),INDEX(xe_input_bang_xuyen_qua!$B$2:$B$5,MIN(4,MAX(1,(INDEX(xe_input_vu_khi!$F$2:$F$66,MATCH(Xe!$AE$29,xe_input_vu_khi!$A$2:$A$66,0)))-(0)-1))),1)*INDEX(xe_input_vu_khi_suy_ra!$I$2:$I$66,MATCH(Xe!$AE$29,xe_input_vu_khi_suy_ra!$A$2:$A$66,0)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Xe!$I$30</f>
        <v/>
      </c>
      <c r="C12">
        <f>Xe!$K$30</f>
        <v/>
      </c>
      <c r="D12">
        <f>IF(INDEX(xe_input_vu_khi_suy_ra!$F$2:$F$66,MATCH(Xe!$AE$30,xe_input_vu_khi_suy_ra!$A$2:$A$66,0)),Xe_suy_ra!$E$30*IF(INDEX(xe_input_vu_khi!$H$2:$H$66,MATCH(Xe!$AE$30,xe_input_vu_khi!$A$2:$A$66,0)),INDEX(xe_input_bang_danh_noc!$B$2:$B$8,MIN(7,MAX(1,2-(INDEX(xe_input_vu_khi!$F$2:$F$66,MATCH(Xe!$AE$30,xe_input_vu_khi!$A$2:$A$66,0))-1)+1))),INDEX(xe_input_bang_xuyen_giap!$B$2:$B$8,MIN(7,MAX(1,IF(INDEX(xe_input_vu_khi_suy_ra!$E$2:$E$66,MATCH(Xe!$AE$30,xe_input_vu_khi_suy_ra!$A$2:$A$66,0)),MAX(1,2-(INDEX(xe_input_vu_khi!$F$2:$F$66,MATCH(Xe!$AE$30,xe_input_vu_khi!$A$2:$A$66,0))-1)),2-(INDEX(xe_input_vu_khi!$F$2:$F$66,MATCH(Xe!$AE$30,xe_input_vu_khi!$A$2:$A$66,0))-1))+1))))*IF(INDEX(xe_input_vu_khi_suy_ra!$J$2:$J$66,MATCH(Xe!$AE$30,xe_input_vu_khi_suy_ra!$A$2:$A$66,0)),INDEX(xe_input_bang_xuyen_qua!$B$2:$B$5,MIN(4,MAX(1,(INDEX(xe_input_vu_khi!$F$2:$F$66,MATCH(Xe!$AE$30,xe_input_vu_khi!$A$2:$A$66,0)))-(1)-1))),1)*INDEX(xe_input_vu_khi_suy_ra!$H$2:$H$66,MATCH(Xe!$AE$30,xe_input_vu_khi_suy_ra!$A$2:$A$66,0)),0)</f>
        <v/>
      </c>
      <c r="E12">
        <f>IF(INDEX(xe_input_vu_khi_suy_ra!$F$2:$F$66,MATCH(Xe!$AE$30,xe_input_vu_khi_suy_ra!$A$2:$A$66,0)),Xe_suy_ra!$E$30*IF(INDEX(xe_input_vu_khi!$H$2:$H$66,MATCH(Xe!$AE$30,xe_input_vu_khi!$A$2:$A$66,0)),INDEX(xe_input_bang_danh_noc!$B$2:$B$8,MIN(7,MAX(1,2-(INDEX(xe_input_vu_khi!$F$2:$F$66,MATCH(Xe!$AE$30,xe_input_vu_khi!$A$2:$A$66,0))-3)+1))),INDEX(xe_input_bang_xuyen_giap!$B$2:$B$8,MIN(7,MAX(1,IF(INDEX(xe_input_vu_khi_suy_ra!$E$2:$E$66,MATCH(Xe!$AE$30,xe_input_vu_khi_suy_ra!$A$2:$A$66,0)),MAX(1,2-(INDEX(xe_input_vu_khi!$F$2:$F$66,MATCH(Xe!$AE$30,xe_input_vu_khi!$A$2:$A$66,0))-3)),2-(INDEX(xe_input_vu_khi!$F$2:$F$66,MATCH(Xe!$AE$30,xe_input_vu_khi!$A$2:$A$66,0))-3))+1))))*IF(INDEX(xe_input_vu_khi_suy_ra!$J$2:$J$66,MATCH(Xe!$AE$30,xe_input_vu_khi_suy_ra!$A$2:$A$66,0)),INDEX(xe_input_bang_xuyen_qua!$B$2:$B$5,MIN(4,MAX(1,(INDEX(xe_input_vu_khi!$F$2:$F$66,MATCH(Xe!$AE$30,xe_input_vu_khi!$A$2:$A$66,0)))-(3)-1))),1)*INDEX(xe_input_vu_khi_suy_ra!$H$2:$H$66,MATCH(Xe!$AE$30,xe_input_vu_khi_suy_ra!$A$2:$A$66,0)),0)</f>
        <v/>
      </c>
      <c r="F12">
        <f>IF(INDEX(xe_input_vu_khi_suy_ra!$G$2:$G$66,MATCH(Xe!$AE$30,xe_input_vu_khi_suy_ra!$A$2:$A$66,0)),Xe_suy_ra!$G$30*INDEX(xe_input_bang_xuyen_giap!$B$2:$B$8,MIN(7,MAX(1,MAX(1,2-(INDEX(xe_input_vu_khi!$F$2:$F$66,MATCH(Xe!$AE$30,xe_input_vu_khi!$A$2:$A$66,0))-0))+1)))*IF(INDEX(xe_input_vu_khi_suy_ra!$J$2:$J$66,MATCH(Xe!$AE$30,xe_input_vu_khi_suy_ra!$A$2:$A$66,0)),INDEX(xe_input_bang_xuyen_qua!$B$2:$B$5,MIN(4,MAX(1,(INDEX(xe_input_vu_khi!$F$2:$F$66,MATCH(Xe!$AE$30,xe_input_vu_khi!$A$2:$A$66,0)))-(0)-1))),1)*INDEX(xe_input_vu_khi_suy_ra!$I$2:$I$66,MATCH(Xe!$AE$30,xe_input_vu_khi_suy_ra!$A$2:$A$66,0)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Xe!$I$32</f>
        <v/>
      </c>
      <c r="C13">
        <f>Xe!$K$32</f>
        <v/>
      </c>
      <c r="D13">
        <f>IF(INDEX(xe_input_vu_khi_suy_ra!$F$2:$F$66,MATCH(Xe!$AE$32,xe_input_vu_khi_suy_ra!$A$2:$A$66,0)),Xe_suy_ra!$E$32*IF(INDEX(xe_input_vu_khi!$H$2:$H$66,MATCH(Xe!$AE$32,xe_input_vu_khi!$A$2:$A$66,0)),INDEX(xe_input_bang_danh_noc!$B$2:$B$8,MIN(7,MAX(1,2-(INDEX(xe_input_vu_khi!$F$2:$F$66,MATCH(Xe!$AE$32,xe_input_vu_khi!$A$2:$A$66,0))-1)+1))),INDEX(xe_input_bang_xuyen_giap!$B$2:$B$8,MIN(7,MAX(1,IF(INDEX(xe_input_vu_khi_suy_ra!$E$2:$E$66,MATCH(Xe!$AE$32,xe_input_vu_khi_suy_ra!$A$2:$A$66,0)),MAX(1,2-(INDEX(xe_input_vu_khi!$F$2:$F$66,MATCH(Xe!$AE$32,xe_input_vu_khi!$A$2:$A$66,0))-1)),2-(INDEX(xe_input_vu_khi!$F$2:$F$66,MATCH(Xe!$AE$32,xe_input_vu_khi!$A$2:$A$66,0))-1))+1))))*IF(INDEX(xe_input_vu_khi_suy_ra!$J$2:$J$66,MATCH(Xe!$AE$32,xe_input_vu_khi_suy_ra!$A$2:$A$66,0)),INDEX(xe_input_bang_xuyen_qua!$B$2:$B$5,MIN(4,MAX(1,(INDEX(xe_input_vu_khi!$F$2:$F$66,MATCH(Xe!$AE$32,xe_input_vu_khi!$A$2:$A$66,0)))-(1)-1))),1)*INDEX(xe_input_vu_khi_suy_ra!$H$2:$H$66,MATCH(Xe!$AE$32,xe_input_vu_khi_suy_ra!$A$2:$A$66,0)),0)</f>
        <v/>
      </c>
      <c r="E13">
        <f>IF(INDEX(xe_input_vu_khi_suy_ra!$F$2:$F$66,MATCH(Xe!$AE$32,xe_input_vu_khi_suy_ra!$A$2:$A$66,0)),Xe_suy_ra!$E$32*IF(INDEX(xe_input_vu_khi!$H$2:$H$66,MATCH(Xe!$AE$32,xe_input_vu_khi!$A$2:$A$66,0)),INDEX(xe_input_bang_danh_noc!$B$2:$B$8,MIN(7,MAX(1,2-(INDEX(xe_input_vu_khi!$F$2:$F$66,MATCH(Xe!$AE$32,xe_input_vu_khi!$A$2:$A$66,0))-3)+1))),INDEX(xe_input_bang_xuyen_giap!$B$2:$B$8,MIN(7,MAX(1,IF(INDEX(xe_input_vu_khi_suy_ra!$E$2:$E$66,MATCH(Xe!$AE$32,xe_input_vu_khi_suy_ra!$A$2:$A$66,0)),MAX(1,2-(INDEX(xe_input_vu_khi!$F$2:$F$66,MATCH(Xe!$AE$32,xe_input_vu_khi!$A$2:$A$66,0))-3)),2-(INDEX(xe_input_vu_khi!$F$2:$F$66,MATCH(Xe!$AE$32,xe_input_vu_khi!$A$2:$A$66,0))-3))+1))))*IF(INDEX(xe_input_vu_khi_suy_ra!$J$2:$J$66,MATCH(Xe!$AE$32,xe_input_vu_khi_suy_ra!$A$2:$A$66,0)),INDEX(xe_input_bang_xuyen_qua!$B$2:$B$5,MIN(4,MAX(1,(INDEX(xe_input_vu_khi!$F$2:$F$66,MATCH(Xe!$AE$32,xe_input_vu_khi!$A$2:$A$66,0)))-(3)-1))),1)*INDEX(xe_input_vu_khi_suy_ra!$H$2:$H$66,MATCH(Xe!$AE$32,xe_input_vu_khi_suy_ra!$A$2:$A$66,0)),0)</f>
        <v/>
      </c>
      <c r="F13">
        <f>IF(INDEX(xe_input_vu_khi_suy_ra!$G$2:$G$66,MATCH(Xe!$AE$32,xe_input_vu_khi_suy_ra!$A$2:$A$66,0)),Xe_suy_ra!$G$32*INDEX(xe_input_bang_xuyen_giap!$B$2:$B$8,MIN(7,MAX(1,MAX(1,2-(INDEX(xe_input_vu_khi!$F$2:$F$66,MATCH(Xe!$AE$32,xe_input_vu_khi!$A$2:$A$66,0))-0))+1)))*IF(INDEX(xe_input_vu_khi_suy_ra!$J$2:$J$66,MATCH(Xe!$AE$32,xe_input_vu_khi_suy_ra!$A$2:$A$66,0)),INDEX(xe_input_bang_xuyen_qua!$B$2:$B$5,MIN(4,MAX(1,(INDEX(xe_input_vu_khi!$F$2:$F$66,MATCH(Xe!$AE$32,xe_input_vu_khi!$A$2:$A$66,0)))-(0)-1))),1)*INDEX(xe_input_vu_khi_suy_ra!$I$2:$I$66,MATCH(Xe!$AE$32,xe_input_vu_khi_suy_ra!$A$2:$A$66,0)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Xe!$I$33</f>
        <v/>
      </c>
      <c r="C14">
        <f>Xe!$K$33</f>
        <v/>
      </c>
      <c r="D14">
        <f>IF(INDEX(xe_input_vu_khi_suy_ra!$F$2:$F$66,MATCH(Xe!$AE$33,xe_input_vu_khi_suy_ra!$A$2:$A$66,0)),Xe_suy_ra!$E$33*IF(INDEX(xe_input_vu_khi!$H$2:$H$66,MATCH(Xe!$AE$33,xe_input_vu_khi!$A$2:$A$66,0)),INDEX(xe_input_bang_danh_noc!$B$2:$B$8,MIN(7,MAX(1,2-(INDEX(xe_input_vu_khi!$F$2:$F$66,MATCH(Xe!$AE$33,xe_input_vu_khi!$A$2:$A$66,0))-1)+1))),INDEX(xe_input_bang_xuyen_giap!$B$2:$B$8,MIN(7,MAX(1,IF(INDEX(xe_input_vu_khi_suy_ra!$E$2:$E$66,MATCH(Xe!$AE$33,xe_input_vu_khi_suy_ra!$A$2:$A$66,0)),MAX(1,2-(INDEX(xe_input_vu_khi!$F$2:$F$66,MATCH(Xe!$AE$33,xe_input_vu_khi!$A$2:$A$66,0))-1)),2-(INDEX(xe_input_vu_khi!$F$2:$F$66,MATCH(Xe!$AE$33,xe_input_vu_khi!$A$2:$A$66,0))-1))+1))))*IF(INDEX(xe_input_vu_khi_suy_ra!$J$2:$J$66,MATCH(Xe!$AE$33,xe_input_vu_khi_suy_ra!$A$2:$A$66,0)),INDEX(xe_input_bang_xuyen_qua!$B$2:$B$5,MIN(4,MAX(1,(INDEX(xe_input_vu_khi!$F$2:$F$66,MATCH(Xe!$AE$33,xe_input_vu_khi!$A$2:$A$66,0)))-(1)-1))),1)*INDEX(xe_input_vu_khi_suy_ra!$H$2:$H$66,MATCH(Xe!$AE$33,xe_input_vu_khi_suy_ra!$A$2:$A$66,0)),0)</f>
        <v/>
      </c>
      <c r="E14">
        <f>IF(INDEX(xe_input_vu_khi_suy_ra!$F$2:$F$66,MATCH(Xe!$AE$33,xe_input_vu_khi_suy_ra!$A$2:$A$66,0)),Xe_suy_ra!$E$33*IF(INDEX(xe_input_vu_khi!$H$2:$H$66,MATCH(Xe!$AE$33,xe_input_vu_khi!$A$2:$A$66,0)),INDEX(xe_input_bang_danh_noc!$B$2:$B$8,MIN(7,MAX(1,2-(INDEX(xe_input_vu_khi!$F$2:$F$66,MATCH(Xe!$AE$33,xe_input_vu_khi!$A$2:$A$66,0))-3)+1))),INDEX(xe_input_bang_xuyen_giap!$B$2:$B$8,MIN(7,MAX(1,IF(INDEX(xe_input_vu_khi_suy_ra!$E$2:$E$66,MATCH(Xe!$AE$33,xe_input_vu_khi_suy_ra!$A$2:$A$66,0)),MAX(1,2-(INDEX(xe_input_vu_khi!$F$2:$F$66,MATCH(Xe!$AE$33,xe_input_vu_khi!$A$2:$A$66,0))-3)),2-(INDEX(xe_input_vu_khi!$F$2:$F$66,MATCH(Xe!$AE$33,xe_input_vu_khi!$A$2:$A$66,0))-3))+1))))*IF(INDEX(xe_input_vu_khi_suy_ra!$J$2:$J$66,MATCH(Xe!$AE$33,xe_input_vu_khi_suy_ra!$A$2:$A$66,0)),INDEX(xe_input_bang_xuyen_qua!$B$2:$B$5,MIN(4,MAX(1,(INDEX(xe_input_vu_khi!$F$2:$F$66,MATCH(Xe!$AE$33,xe_input_vu_khi!$A$2:$A$66,0)))-(3)-1))),1)*INDEX(xe_input_vu_khi_suy_ra!$H$2:$H$66,MATCH(Xe!$AE$33,xe_input_vu_khi_suy_ra!$A$2:$A$66,0)),0)</f>
        <v/>
      </c>
      <c r="F14">
        <f>IF(INDEX(xe_input_vu_khi_suy_ra!$G$2:$G$66,MATCH(Xe!$AE$33,xe_input_vu_khi_suy_ra!$A$2:$A$66,0)),Xe_suy_ra!$G$33*INDEX(xe_input_bang_xuyen_giap!$B$2:$B$8,MIN(7,MAX(1,MAX(1,2-(INDEX(xe_input_vu_khi!$F$2:$F$66,MATCH(Xe!$AE$33,xe_input_vu_khi!$A$2:$A$66,0))-0))+1)))*IF(INDEX(xe_input_vu_khi_suy_ra!$J$2:$J$66,MATCH(Xe!$AE$33,xe_input_vu_khi_suy_ra!$A$2:$A$66,0)),INDEX(xe_input_bang_xuyen_qua!$B$2:$B$5,MIN(4,MAX(1,(INDEX(xe_input_vu_khi!$F$2:$F$66,MATCH(Xe!$AE$33,xe_input_vu_khi!$A$2:$A$66,0)))-(0)-1))),1)*INDEX(xe_input_vu_khi_suy_ra!$I$2:$I$66,MATCH(Xe!$AE$33,xe_input_vu_khi_suy_ra!$A$2:$A$66,0)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Xe!$I$34</f>
        <v/>
      </c>
      <c r="C15">
        <f>Xe!$K$34</f>
        <v/>
      </c>
      <c r="D15">
        <f>IF(INDEX(xe_input_vu_khi_suy_ra!$F$2:$F$66,MATCH(Xe!$AE$34,xe_input_vu_khi_suy_ra!$A$2:$A$66,0)),Xe_suy_ra!$E$34*IF(INDEX(xe_input_vu_khi!$H$2:$H$66,MATCH(Xe!$AE$34,xe_input_vu_khi!$A$2:$A$66,0)),INDEX(xe_input_bang_danh_noc!$B$2:$B$8,MIN(7,MAX(1,2-(INDEX(xe_input_vu_khi!$F$2:$F$66,MATCH(Xe!$AE$34,xe_input_vu_khi!$A$2:$A$66,0))-1)+1))),INDEX(xe_input_bang_xuyen_giap!$B$2:$B$8,MIN(7,MAX(1,IF(INDEX(xe_input_vu_khi_suy_ra!$E$2:$E$66,MATCH(Xe!$AE$34,xe_input_vu_khi_suy_ra!$A$2:$A$66,0)),MAX(1,2-(INDEX(xe_input_vu_khi!$F$2:$F$66,MATCH(Xe!$AE$34,xe_input_vu_khi!$A$2:$A$66,0))-1)),2-(INDEX(xe_input_vu_khi!$F$2:$F$66,MATCH(Xe!$AE$34,xe_input_vu_khi!$A$2:$A$66,0))-1))+1))))*IF(INDEX(xe_input_vu_khi_suy_ra!$J$2:$J$66,MATCH(Xe!$AE$34,xe_input_vu_khi_suy_ra!$A$2:$A$66,0)),INDEX(xe_input_bang_xuyen_qua!$B$2:$B$5,MIN(4,MAX(1,(INDEX(xe_input_vu_khi!$F$2:$F$66,MATCH(Xe!$AE$34,xe_input_vu_khi!$A$2:$A$66,0)))-(1)-1))),1)*INDEX(xe_input_vu_khi_suy_ra!$H$2:$H$66,MATCH(Xe!$AE$34,xe_input_vu_khi_suy_ra!$A$2:$A$66,0)),0)</f>
        <v/>
      </c>
      <c r="E15">
        <f>IF(INDEX(xe_input_vu_khi_suy_ra!$F$2:$F$66,MATCH(Xe!$AE$34,xe_input_vu_khi_suy_ra!$A$2:$A$66,0)),Xe_suy_ra!$E$34*IF(INDEX(xe_input_vu_khi!$H$2:$H$66,MATCH(Xe!$AE$34,xe_input_vu_khi!$A$2:$A$66,0)),INDEX(xe_input_bang_danh_noc!$B$2:$B$8,MIN(7,MAX(1,2-(INDEX(xe_input_vu_khi!$F$2:$F$66,MATCH(Xe!$AE$34,xe_input_vu_khi!$A$2:$A$66,0))-3)+1))),INDEX(xe_input_bang_xuyen_giap!$B$2:$B$8,MIN(7,MAX(1,IF(INDEX(xe_input_vu_khi_suy_ra!$E$2:$E$66,MATCH(Xe!$AE$34,xe_input_vu_khi_suy_ra!$A$2:$A$66,0)),MAX(1,2-(INDEX(xe_input_vu_khi!$F$2:$F$66,MATCH(Xe!$AE$34,xe_input_vu_khi!$A$2:$A$66,0))-3)),2-(INDEX(xe_input_vu_khi!$F$2:$F$66,MATCH(Xe!$AE$34,xe_input_vu_khi!$A$2:$A$66,0))-3))+1))))*IF(INDEX(xe_input_vu_khi_suy_ra!$J$2:$J$66,MATCH(Xe!$AE$34,xe_input_vu_khi_suy_ra!$A$2:$A$66,0)),INDEX(xe_input_bang_xuyen_qua!$B$2:$B$5,MIN(4,MAX(1,(INDEX(xe_input_vu_khi!$F$2:$F$66,MATCH(Xe!$AE$34,xe_input_vu_khi!$A$2:$A$66,0)))-(3)-1))),1)*INDEX(xe_input_vu_khi_suy_ra!$H$2:$H$66,MATCH(Xe!$AE$34,xe_input_vu_khi_suy_ra!$A$2:$A$66,0)),0)</f>
        <v/>
      </c>
      <c r="F15">
        <f>IF(INDEX(xe_input_vu_khi_suy_ra!$G$2:$G$66,MATCH(Xe!$AE$34,xe_input_vu_khi_suy_ra!$A$2:$A$66,0)),Xe_suy_ra!$G$34*INDEX(xe_input_bang_xuyen_giap!$B$2:$B$8,MIN(7,MAX(1,MAX(1,2-(INDEX(xe_input_vu_khi!$F$2:$F$66,MATCH(Xe!$AE$34,xe_input_vu_khi!$A$2:$A$66,0))-0))+1)))*IF(INDEX(xe_input_vu_khi_suy_ra!$J$2:$J$66,MATCH(Xe!$AE$34,xe_input_vu_khi_suy_ra!$A$2:$A$66,0)),INDEX(xe_input_bang_xuyen_qua!$B$2:$B$5,MIN(4,MAX(1,(INDEX(xe_input_vu_khi!$F$2:$F$66,MATCH(Xe!$AE$34,xe_input_vu_khi!$A$2:$A$66,0)))-(0)-1))),1)*INDEX(xe_input_vu_khi_suy_ra!$I$2:$I$66,MATCH(Xe!$AE$34,xe_input_vu_khi_suy_ra!$A$2:$A$66,0)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Xe!$I$35</f>
        <v/>
      </c>
      <c r="C16">
        <f>Xe!$K$35</f>
        <v/>
      </c>
      <c r="D16">
        <f>IF(INDEX(xe_input_vu_khi_suy_ra!$F$2:$F$66,MATCH(Xe!$AE$35,xe_input_vu_khi_suy_ra!$A$2:$A$66,0)),Xe_suy_ra!$E$35*IF(INDEX(xe_input_vu_khi!$H$2:$H$66,MATCH(Xe!$AE$35,xe_input_vu_khi!$A$2:$A$66,0)),INDEX(xe_input_bang_danh_noc!$B$2:$B$8,MIN(7,MAX(1,2-(INDEX(xe_input_vu_khi!$F$2:$F$66,MATCH(Xe!$AE$35,xe_input_vu_khi!$A$2:$A$66,0))-1)+1))),INDEX(xe_input_bang_xuyen_giap!$B$2:$B$8,MIN(7,MAX(1,IF(INDEX(xe_input_vu_khi_suy_ra!$E$2:$E$66,MATCH(Xe!$AE$35,xe_input_vu_khi_suy_ra!$A$2:$A$66,0)),MAX(1,2-(INDEX(xe_input_vu_khi!$F$2:$F$66,MATCH(Xe!$AE$35,xe_input_vu_khi!$A$2:$A$66,0))-1)),2-(INDEX(xe_input_vu_khi!$F$2:$F$66,MATCH(Xe!$AE$35,xe_input_vu_khi!$A$2:$A$66,0))-1))+1))))*IF(INDEX(xe_input_vu_khi_suy_ra!$J$2:$J$66,MATCH(Xe!$AE$35,xe_input_vu_khi_suy_ra!$A$2:$A$66,0)),INDEX(xe_input_bang_xuyen_qua!$B$2:$B$5,MIN(4,MAX(1,(INDEX(xe_input_vu_khi!$F$2:$F$66,MATCH(Xe!$AE$35,xe_input_vu_khi!$A$2:$A$66,0)))-(1)-1))),1)*INDEX(xe_input_vu_khi_suy_ra!$H$2:$H$66,MATCH(Xe!$AE$35,xe_input_vu_khi_suy_ra!$A$2:$A$66,0)),0)</f>
        <v/>
      </c>
      <c r="E16">
        <f>IF(INDEX(xe_input_vu_khi_suy_ra!$F$2:$F$66,MATCH(Xe!$AE$35,xe_input_vu_khi_suy_ra!$A$2:$A$66,0)),Xe_suy_ra!$E$35*IF(INDEX(xe_input_vu_khi!$H$2:$H$66,MATCH(Xe!$AE$35,xe_input_vu_khi!$A$2:$A$66,0)),INDEX(xe_input_bang_danh_noc!$B$2:$B$8,MIN(7,MAX(1,2-(INDEX(xe_input_vu_khi!$F$2:$F$66,MATCH(Xe!$AE$35,xe_input_vu_khi!$A$2:$A$66,0))-3)+1))),INDEX(xe_input_bang_xuyen_giap!$B$2:$B$8,MIN(7,MAX(1,IF(INDEX(xe_input_vu_khi_suy_ra!$E$2:$E$66,MATCH(Xe!$AE$35,xe_input_vu_khi_suy_ra!$A$2:$A$66,0)),MAX(1,2-(INDEX(xe_input_vu_khi!$F$2:$F$66,MATCH(Xe!$AE$35,xe_input_vu_khi!$A$2:$A$66,0))-3)),2-(INDEX(xe_input_vu_khi!$F$2:$F$66,MATCH(Xe!$AE$35,xe_input_vu_khi!$A$2:$A$66,0))-3))+1))))*IF(INDEX(xe_input_vu_khi_suy_ra!$J$2:$J$66,MATCH(Xe!$AE$35,xe_input_vu_khi_suy_ra!$A$2:$A$66,0)),INDEX(xe_input_bang_xuyen_qua!$B$2:$B$5,MIN(4,MAX(1,(INDEX(xe_input_vu_khi!$F$2:$F$66,MATCH(Xe!$AE$35,xe_input_vu_khi!$A$2:$A$66,0)))-(3)-1))),1)*INDEX(xe_input_vu_khi_suy_ra!$H$2:$H$66,MATCH(Xe!$AE$35,xe_input_vu_khi_suy_ra!$A$2:$A$66,0)),0)</f>
        <v/>
      </c>
      <c r="F16">
        <f>IF(INDEX(xe_input_vu_khi_suy_ra!$G$2:$G$66,MATCH(Xe!$AE$35,xe_input_vu_khi_suy_ra!$A$2:$A$66,0)),Xe_suy_ra!$G$35*INDEX(xe_input_bang_xuyen_giap!$B$2:$B$8,MIN(7,MAX(1,MAX(1,2-(INDEX(xe_input_vu_khi!$F$2:$F$66,MATCH(Xe!$AE$35,xe_input_vu_khi!$A$2:$A$66,0))-0))+1)))*IF(INDEX(xe_input_vu_khi_suy_ra!$J$2:$J$66,MATCH(Xe!$AE$35,xe_input_vu_khi_suy_ra!$A$2:$A$66,0)),INDEX(xe_input_bang_xuyen_qua!$B$2:$B$5,MIN(4,MAX(1,(INDEX(xe_input_vu_khi!$F$2:$F$66,MATCH(Xe!$AE$35,xe_input_vu_khi!$A$2:$A$66,0)))-(0)-1))),1)*INDEX(xe_input_vu_khi_suy_ra!$I$2:$I$66,MATCH(Xe!$AE$35,xe_input_vu_khi_suy_ra!$A$2:$A$66,0)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Xe!$I$36</f>
        <v/>
      </c>
      <c r="C17">
        <f>Xe!$K$36</f>
        <v/>
      </c>
      <c r="D17">
        <f>IF(INDEX(xe_input_vu_khi_suy_ra!$F$2:$F$66,MATCH(Xe!$AE$36,xe_input_vu_khi_suy_ra!$A$2:$A$66,0)),Xe_suy_ra!$E$36*IF(INDEX(xe_input_vu_khi!$H$2:$H$66,MATCH(Xe!$AE$36,xe_input_vu_khi!$A$2:$A$66,0)),INDEX(xe_input_bang_danh_noc!$B$2:$B$8,MIN(7,MAX(1,2-(INDEX(xe_input_vu_khi!$F$2:$F$66,MATCH(Xe!$AE$36,xe_input_vu_khi!$A$2:$A$66,0))-1)+1))),INDEX(xe_input_bang_xuyen_giap!$B$2:$B$8,MIN(7,MAX(1,IF(INDEX(xe_input_vu_khi_suy_ra!$E$2:$E$66,MATCH(Xe!$AE$36,xe_input_vu_khi_suy_ra!$A$2:$A$66,0)),MAX(1,2-(INDEX(xe_input_vu_khi!$F$2:$F$66,MATCH(Xe!$AE$36,xe_input_vu_khi!$A$2:$A$66,0))-1)),2-(INDEX(xe_input_vu_khi!$F$2:$F$66,MATCH(Xe!$AE$36,xe_input_vu_khi!$A$2:$A$66,0))-1))+1))))*IF(INDEX(xe_input_vu_khi_suy_ra!$J$2:$J$66,MATCH(Xe!$AE$36,xe_input_vu_khi_suy_ra!$A$2:$A$66,0)),INDEX(xe_input_bang_xuyen_qua!$B$2:$B$5,MIN(4,MAX(1,(INDEX(xe_input_vu_khi!$F$2:$F$66,MATCH(Xe!$AE$36,xe_input_vu_khi!$A$2:$A$66,0)))-(1)-1))),1)*INDEX(xe_input_vu_khi_suy_ra!$H$2:$H$66,MATCH(Xe!$AE$36,xe_input_vu_khi_suy_ra!$A$2:$A$66,0)),0)</f>
        <v/>
      </c>
      <c r="E17">
        <f>IF(INDEX(xe_input_vu_khi_suy_ra!$F$2:$F$66,MATCH(Xe!$AE$36,xe_input_vu_khi_suy_ra!$A$2:$A$66,0)),Xe_suy_ra!$E$36*IF(INDEX(xe_input_vu_khi!$H$2:$H$66,MATCH(Xe!$AE$36,xe_input_vu_khi!$A$2:$A$66,0)),INDEX(xe_input_bang_danh_noc!$B$2:$B$8,MIN(7,MAX(1,2-(INDEX(xe_input_vu_khi!$F$2:$F$66,MATCH(Xe!$AE$36,xe_input_vu_khi!$A$2:$A$66,0))-3)+1))),INDEX(xe_input_bang_xuyen_giap!$B$2:$B$8,MIN(7,MAX(1,IF(INDEX(xe_input_vu_khi_suy_ra!$E$2:$E$66,MATCH(Xe!$AE$36,xe_input_vu_khi_suy_ra!$A$2:$A$66,0)),MAX(1,2-(INDEX(xe_input_vu_khi!$F$2:$F$66,MATCH(Xe!$AE$36,xe_input_vu_khi!$A$2:$A$66,0))-3)),2-(INDEX(xe_input_vu_khi!$F$2:$F$66,MATCH(Xe!$AE$36,xe_input_vu_khi!$A$2:$A$66,0))-3))+1))))*IF(INDEX(xe_input_vu_khi_suy_ra!$J$2:$J$66,MATCH(Xe!$AE$36,xe_input_vu_khi_suy_ra!$A$2:$A$66,0)),INDEX(xe_input_bang_xuyen_qua!$B$2:$B$5,MIN(4,MAX(1,(INDEX(xe_input_vu_khi!$F$2:$F$66,MATCH(Xe!$AE$36,xe_input_vu_khi!$A$2:$A$66,0)))-(3)-1))),1)*INDEX(xe_input_vu_khi_suy_ra!$H$2:$H$66,MATCH(Xe!$AE$36,xe_input_vu_khi_suy_ra!$A$2:$A$66,0)),0)</f>
        <v/>
      </c>
      <c r="F17">
        <f>IF(INDEX(xe_input_vu_khi_suy_ra!$G$2:$G$66,MATCH(Xe!$AE$36,xe_input_vu_khi_suy_ra!$A$2:$A$66,0)),Xe_suy_ra!$G$36*INDEX(xe_input_bang_xuyen_giap!$B$2:$B$8,MIN(7,MAX(1,MAX(1,2-(INDEX(xe_input_vu_khi!$F$2:$F$66,MATCH(Xe!$AE$36,xe_input_vu_khi!$A$2:$A$66,0))-0))+1)))*IF(INDEX(xe_input_vu_khi_suy_ra!$J$2:$J$66,MATCH(Xe!$AE$36,xe_input_vu_khi_suy_ra!$A$2:$A$66,0)),INDEX(xe_input_bang_xuyen_qua!$B$2:$B$5,MIN(4,MAX(1,(INDEX(xe_input_vu_khi!$F$2:$F$66,MATCH(Xe!$AE$36,xe_input_vu_khi!$A$2:$A$66,0)))-(0)-1))),1)*INDEX(xe_input_vu_khi_suy_ra!$I$2:$I$66,MATCH(Xe!$AE$36,xe_input_vu_khi_suy_ra!$A$2:$A$66,0)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Xe!$I$38</f>
        <v/>
      </c>
      <c r="C18">
        <f>Xe!$K$38</f>
        <v/>
      </c>
      <c r="D18">
        <f>IF(INDEX(xe_input_vu_khi_suy_ra!$F$2:$F$66,MATCH(Xe!$AE$38,xe_input_vu_khi_suy_ra!$A$2:$A$66,0)),Xe_suy_ra!$E$38*IF(INDEX(xe_input_vu_khi!$H$2:$H$66,MATCH(Xe!$AE$38,xe_input_vu_khi!$A$2:$A$66,0)),INDEX(xe_input_bang_danh_noc!$B$2:$B$8,MIN(7,MAX(1,2-(INDEX(xe_input_vu_khi!$F$2:$F$66,MATCH(Xe!$AE$38,xe_input_vu_khi!$A$2:$A$66,0))-1)+1))),INDEX(xe_input_bang_xuyen_giap!$B$2:$B$8,MIN(7,MAX(1,IF(INDEX(xe_input_vu_khi_suy_ra!$E$2:$E$66,MATCH(Xe!$AE$38,xe_input_vu_khi_suy_ra!$A$2:$A$66,0)),MAX(1,2-(INDEX(xe_input_vu_khi!$F$2:$F$66,MATCH(Xe!$AE$38,xe_input_vu_khi!$A$2:$A$66,0))-1)),2-(INDEX(xe_input_vu_khi!$F$2:$F$66,MATCH(Xe!$AE$38,xe_input_vu_khi!$A$2:$A$66,0))-1))+1))))*IF(INDEX(xe_input_vu_khi_suy_ra!$J$2:$J$66,MATCH(Xe!$AE$38,xe_input_vu_khi_suy_ra!$A$2:$A$66,0)),INDEX(xe_input_bang_xuyen_qua!$B$2:$B$5,MIN(4,MAX(1,(INDEX(xe_input_vu_khi!$F$2:$F$66,MATCH(Xe!$AE$38,xe_input_vu_khi!$A$2:$A$66,0)))-(1)-1))),1)*INDEX(xe_input_vu_khi_suy_ra!$H$2:$H$66,MATCH(Xe!$AE$38,xe_input_vu_khi_suy_ra!$A$2:$A$66,0)),0)</f>
        <v/>
      </c>
      <c r="E18">
        <f>IF(INDEX(xe_input_vu_khi_suy_ra!$F$2:$F$66,MATCH(Xe!$AE$38,xe_input_vu_khi_suy_ra!$A$2:$A$66,0)),Xe_suy_ra!$E$38*IF(INDEX(xe_input_vu_khi!$H$2:$H$66,MATCH(Xe!$AE$38,xe_input_vu_khi!$A$2:$A$66,0)),INDEX(xe_input_bang_danh_noc!$B$2:$B$8,MIN(7,MAX(1,2-(INDEX(xe_input_vu_khi!$F$2:$F$66,MATCH(Xe!$AE$38,xe_input_vu_khi!$A$2:$A$66,0))-3)+1))),INDEX(xe_input_bang_xuyen_giap!$B$2:$B$8,MIN(7,MAX(1,IF(INDEX(xe_input_vu_khi_suy_ra!$E$2:$E$66,MATCH(Xe!$AE$38,xe_input_vu_khi_suy_ra!$A$2:$A$66,0)),MAX(1,2-(INDEX(xe_input_vu_khi!$F$2:$F$66,MATCH(Xe!$AE$38,xe_input_vu_khi!$A$2:$A$66,0))-3)),2-(INDEX(xe_input_vu_khi!$F$2:$F$66,MATCH(Xe!$AE$38,xe_input_vu_khi!$A$2:$A$66,0))-3))+1))))*IF(INDEX(xe_input_vu_khi_suy_ra!$J$2:$J$66,MATCH(Xe!$AE$38,xe_input_vu_khi_suy_ra!$A$2:$A$66,0)),INDEX(xe_input_bang_xuyen_qua!$B$2:$B$5,MIN(4,MAX(1,(INDEX(xe_input_vu_khi!$F$2:$F$66,MATCH(Xe!$AE$38,xe_input_vu_khi!$A$2:$A$66,0)))-(3)-1))),1)*INDEX(xe_input_vu_khi_suy_ra!$H$2:$H$66,MATCH(Xe!$AE$38,xe_input_vu_khi_suy_ra!$A$2:$A$66,0)),0)</f>
        <v/>
      </c>
      <c r="F18">
        <f>IF(INDEX(xe_input_vu_khi_suy_ra!$G$2:$G$66,MATCH(Xe!$AE$38,xe_input_vu_khi_suy_ra!$A$2:$A$66,0)),Xe_suy_ra!$G$38*INDEX(xe_input_bang_xuyen_giap!$B$2:$B$8,MIN(7,MAX(1,MAX(1,2-(INDEX(xe_input_vu_khi!$F$2:$F$66,MATCH(Xe!$AE$38,xe_input_vu_khi!$A$2:$A$66,0))-0))+1)))*IF(INDEX(xe_input_vu_khi_suy_ra!$J$2:$J$66,MATCH(Xe!$AE$38,xe_input_vu_khi_suy_ra!$A$2:$A$66,0)),INDEX(xe_input_bang_xuyen_qua!$B$2:$B$5,MIN(4,MAX(1,(INDEX(xe_input_vu_khi!$F$2:$F$66,MATCH(Xe!$AE$38,xe_input_vu_khi!$A$2:$A$66,0)))-(0)-1))),1)*INDEX(xe_input_vu_khi_suy_ra!$I$2:$I$66,MATCH(Xe!$AE$38,xe_input_vu_khi_suy_ra!$A$2:$A$66,0)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Xe!$I$39</f>
        <v/>
      </c>
      <c r="C19">
        <f>Xe!$K$39</f>
        <v/>
      </c>
      <c r="D19">
        <f>IF(INDEX(xe_input_vu_khi_suy_ra!$F$2:$F$66,MATCH(Xe!$AE$39,xe_input_vu_khi_suy_ra!$A$2:$A$66,0)),Xe_suy_ra!$E$39*IF(INDEX(xe_input_vu_khi!$H$2:$H$66,MATCH(Xe!$AE$39,xe_input_vu_khi!$A$2:$A$66,0)),INDEX(xe_input_bang_danh_noc!$B$2:$B$8,MIN(7,MAX(1,2-(INDEX(xe_input_vu_khi!$F$2:$F$66,MATCH(Xe!$AE$39,xe_input_vu_khi!$A$2:$A$66,0))-1)+1))),INDEX(xe_input_bang_xuyen_giap!$B$2:$B$8,MIN(7,MAX(1,IF(INDEX(xe_input_vu_khi_suy_ra!$E$2:$E$66,MATCH(Xe!$AE$39,xe_input_vu_khi_suy_ra!$A$2:$A$66,0)),MAX(1,2-(INDEX(xe_input_vu_khi!$F$2:$F$66,MATCH(Xe!$AE$39,xe_input_vu_khi!$A$2:$A$66,0))-1)),2-(INDEX(xe_input_vu_khi!$F$2:$F$66,MATCH(Xe!$AE$39,xe_input_vu_khi!$A$2:$A$66,0))-1))+1))))*IF(INDEX(xe_input_vu_khi_suy_ra!$J$2:$J$66,MATCH(Xe!$AE$39,xe_input_vu_khi_suy_ra!$A$2:$A$66,0)),INDEX(xe_input_bang_xuyen_qua!$B$2:$B$5,MIN(4,MAX(1,(INDEX(xe_input_vu_khi!$F$2:$F$66,MATCH(Xe!$AE$39,xe_input_vu_khi!$A$2:$A$66,0)))-(1)-1))),1)*INDEX(xe_input_vu_khi_suy_ra!$H$2:$H$66,MATCH(Xe!$AE$39,xe_input_vu_khi_suy_ra!$A$2:$A$66,0)),0)</f>
        <v/>
      </c>
      <c r="E19">
        <f>IF(INDEX(xe_input_vu_khi_suy_ra!$F$2:$F$66,MATCH(Xe!$AE$39,xe_input_vu_khi_suy_ra!$A$2:$A$66,0)),Xe_suy_ra!$E$39*IF(INDEX(xe_input_vu_khi!$H$2:$H$66,MATCH(Xe!$AE$39,xe_input_vu_khi!$A$2:$A$66,0)),INDEX(xe_input_bang_danh_noc!$B$2:$B$8,MIN(7,MAX(1,2-(INDEX(xe_input_vu_khi!$F$2:$F$66,MATCH(Xe!$AE$39,xe_input_vu_khi!$A$2:$A$66,0))-3)+1))),INDEX(xe_input_bang_xuyen_giap!$B$2:$B$8,MIN(7,MAX(1,IF(INDEX(xe_input_vu_khi_suy_ra!$E$2:$E$66,MATCH(Xe!$AE$39,xe_input_vu_khi_suy_ra!$A$2:$A$66,0)),MAX(1,2-(INDEX(xe_input_vu_khi!$F$2:$F$66,MATCH(Xe!$AE$39,xe_input_vu_khi!$A$2:$A$66,0))-3)),2-(INDEX(xe_input_vu_khi!$F$2:$F$66,MATCH(Xe!$AE$39,xe_input_vu_khi!$A$2:$A$66,0))-3))+1))))*IF(INDEX(xe_input_vu_khi_suy_ra!$J$2:$J$66,MATCH(Xe!$AE$39,xe_input_vu_khi_suy_ra!$A$2:$A$66,0)),INDEX(xe_input_bang_xuyen_qua!$B$2:$B$5,MIN(4,MAX(1,(INDEX(xe_input_vu_khi!$F$2:$F$66,MATCH(Xe!$AE$39,xe_input_vu_khi!$A$2:$A$66,0)))-(3)-1))),1)*INDEX(xe_input_vu_khi_suy_ra!$H$2:$H$66,MATCH(Xe!$AE$39,xe_input_vu_khi_suy_ra!$A$2:$A$66,0)),0)</f>
        <v/>
      </c>
      <c r="F19">
        <f>IF(INDEX(xe_input_vu_khi_suy_ra!$G$2:$G$66,MATCH(Xe!$AE$39,xe_input_vu_khi_suy_ra!$A$2:$A$66,0)),Xe_suy_ra!$G$39*INDEX(xe_input_bang_xuyen_giap!$B$2:$B$8,MIN(7,MAX(1,MAX(1,2-(INDEX(xe_input_vu_khi!$F$2:$F$66,MATCH(Xe!$AE$39,xe_input_vu_khi!$A$2:$A$66,0))-0))+1)))*IF(INDEX(xe_input_vu_khi_suy_ra!$J$2:$J$66,MATCH(Xe!$AE$39,xe_input_vu_khi_suy_ra!$A$2:$A$66,0)),INDEX(xe_input_bang_xuyen_qua!$B$2:$B$5,MIN(4,MAX(1,(INDEX(xe_input_vu_khi!$F$2:$F$66,MATCH(Xe!$AE$39,xe_input_vu_khi!$A$2:$A$66,0)))-(0)-1))),1)*INDEX(xe_input_vu_khi_suy_ra!$I$2:$I$66,MATCH(Xe!$AE$39,xe_input_vu_khi_suy_ra!$A$2:$A$66,0)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Xe!$I$41</f>
        <v/>
      </c>
      <c r="C20">
        <f>Xe!$K$41</f>
        <v/>
      </c>
      <c r="D20">
        <f>IF(INDEX(xe_input_vu_khi_suy_ra!$F$2:$F$66,MATCH(Xe!$AE$41,xe_input_vu_khi_suy_ra!$A$2:$A$66,0)),Xe_suy_ra!$E$41*IF(INDEX(xe_input_vu_khi!$H$2:$H$66,MATCH(Xe!$AE$41,xe_input_vu_khi!$A$2:$A$66,0)),INDEX(xe_input_bang_danh_noc!$B$2:$B$8,MIN(7,MAX(1,2-(INDEX(xe_input_vu_khi!$F$2:$F$66,MATCH(Xe!$AE$41,xe_input_vu_khi!$A$2:$A$66,0))-1)+1))),INDEX(xe_input_bang_xuyen_giap!$B$2:$B$8,MIN(7,MAX(1,IF(INDEX(xe_input_vu_khi_suy_ra!$E$2:$E$66,MATCH(Xe!$AE$41,xe_input_vu_khi_suy_ra!$A$2:$A$66,0)),MAX(1,2-(INDEX(xe_input_vu_khi!$F$2:$F$66,MATCH(Xe!$AE$41,xe_input_vu_khi!$A$2:$A$66,0))-1)),2-(INDEX(xe_input_vu_khi!$F$2:$F$66,MATCH(Xe!$AE$41,xe_input_vu_khi!$A$2:$A$66,0))-1))+1))))*IF(INDEX(xe_input_vu_khi_suy_ra!$J$2:$J$66,MATCH(Xe!$AE$41,xe_input_vu_khi_suy_ra!$A$2:$A$66,0)),INDEX(xe_input_bang_xuyen_qua!$B$2:$B$5,MIN(4,MAX(1,(INDEX(xe_input_vu_khi!$F$2:$F$66,MATCH(Xe!$AE$41,xe_input_vu_khi!$A$2:$A$66,0)))-(1)-1))),1)*INDEX(xe_input_vu_khi_suy_ra!$H$2:$H$66,MATCH(Xe!$AE$41,xe_input_vu_khi_suy_ra!$A$2:$A$66,0)),0)</f>
        <v/>
      </c>
      <c r="E20">
        <f>IF(INDEX(xe_input_vu_khi_suy_ra!$F$2:$F$66,MATCH(Xe!$AE$41,xe_input_vu_khi_suy_ra!$A$2:$A$66,0)),Xe_suy_ra!$E$41*IF(INDEX(xe_input_vu_khi!$H$2:$H$66,MATCH(Xe!$AE$41,xe_input_vu_khi!$A$2:$A$66,0)),INDEX(xe_input_bang_danh_noc!$B$2:$B$8,MIN(7,MAX(1,2-(INDEX(xe_input_vu_khi!$F$2:$F$66,MATCH(Xe!$AE$41,xe_input_vu_khi!$A$2:$A$66,0))-3)+1))),INDEX(xe_input_bang_xuyen_giap!$B$2:$B$8,MIN(7,MAX(1,IF(INDEX(xe_input_vu_khi_suy_ra!$E$2:$E$66,MATCH(Xe!$AE$41,xe_input_vu_khi_suy_ra!$A$2:$A$66,0)),MAX(1,2-(INDEX(xe_input_vu_khi!$F$2:$F$66,MATCH(Xe!$AE$41,xe_input_vu_khi!$A$2:$A$66,0))-3)),2-(INDEX(xe_input_vu_khi!$F$2:$F$66,MATCH(Xe!$AE$41,xe_input_vu_khi!$A$2:$A$66,0))-3))+1))))*IF(INDEX(xe_input_vu_khi_suy_ra!$J$2:$J$66,MATCH(Xe!$AE$41,xe_input_vu_khi_suy_ra!$A$2:$A$66,0)),INDEX(xe_input_bang_xuyen_qua!$B$2:$B$5,MIN(4,MAX(1,(INDEX(xe_input_vu_khi!$F$2:$F$66,MATCH(Xe!$AE$41,xe_input_vu_khi!$A$2:$A$66,0)))-(3)-1))),1)*INDEX(xe_input_vu_khi_suy_ra!$H$2:$H$66,MATCH(Xe!$AE$41,xe_input_vu_khi_suy_ra!$A$2:$A$66,0)),0)</f>
        <v/>
      </c>
      <c r="F20">
        <f>IF(INDEX(xe_input_vu_khi_suy_ra!$G$2:$G$66,MATCH(Xe!$AE$41,xe_input_vu_khi_suy_ra!$A$2:$A$66,0)),Xe_suy_ra!$G$41*INDEX(xe_input_bang_xuyen_giap!$B$2:$B$8,MIN(7,MAX(1,MAX(1,2-(INDEX(xe_input_vu_khi!$F$2:$F$66,MATCH(Xe!$AE$41,xe_input_vu_khi!$A$2:$A$66,0))-0))+1)))*IF(INDEX(xe_input_vu_khi_suy_ra!$J$2:$J$66,MATCH(Xe!$AE$41,xe_input_vu_khi_suy_ra!$A$2:$A$66,0)),INDEX(xe_input_bang_xuyen_qua!$B$2:$B$5,MIN(4,MAX(1,(INDEX(xe_input_vu_khi!$F$2:$F$66,MATCH(Xe!$AE$41,xe_input_vu_khi!$A$2:$A$66,0)))-(0)-1))),1)*INDEX(xe_input_vu_khi_suy_ra!$I$2:$I$66,MATCH(Xe!$AE$41,xe_input_vu_khi_suy_ra!$A$2:$A$66,0)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Xe!$I$42</f>
        <v/>
      </c>
      <c r="C21">
        <f>Xe!$K$42</f>
        <v/>
      </c>
      <c r="D21">
        <f>IF(INDEX(xe_input_vu_khi_suy_ra!$F$2:$F$66,MATCH(Xe!$AE$42,xe_input_vu_khi_suy_ra!$A$2:$A$66,0)),Xe_suy_ra!$E$42*IF(INDEX(xe_input_vu_khi!$H$2:$H$66,MATCH(Xe!$AE$42,xe_input_vu_khi!$A$2:$A$66,0)),INDEX(xe_input_bang_danh_noc!$B$2:$B$8,MIN(7,MAX(1,2-(INDEX(xe_input_vu_khi!$F$2:$F$66,MATCH(Xe!$AE$42,xe_input_vu_khi!$A$2:$A$66,0))-1)+1))),INDEX(xe_input_bang_xuyen_giap!$B$2:$B$8,MIN(7,MAX(1,IF(INDEX(xe_input_vu_khi_suy_ra!$E$2:$E$66,MATCH(Xe!$AE$42,xe_input_vu_khi_suy_ra!$A$2:$A$66,0)),MAX(1,2-(INDEX(xe_input_vu_khi!$F$2:$F$66,MATCH(Xe!$AE$42,xe_input_vu_khi!$A$2:$A$66,0))-1)),2-(INDEX(xe_input_vu_khi!$F$2:$F$66,MATCH(Xe!$AE$42,xe_input_vu_khi!$A$2:$A$66,0))-1))+1))))*IF(INDEX(xe_input_vu_khi_suy_ra!$J$2:$J$66,MATCH(Xe!$AE$42,xe_input_vu_khi_suy_ra!$A$2:$A$66,0)),INDEX(xe_input_bang_xuyen_qua!$B$2:$B$5,MIN(4,MAX(1,(INDEX(xe_input_vu_khi!$F$2:$F$66,MATCH(Xe!$AE$42,xe_input_vu_khi!$A$2:$A$66,0)))-(1)-1))),1)*INDEX(xe_input_vu_khi_suy_ra!$H$2:$H$66,MATCH(Xe!$AE$42,xe_input_vu_khi_suy_ra!$A$2:$A$66,0)),0)</f>
        <v/>
      </c>
      <c r="E21">
        <f>IF(INDEX(xe_input_vu_khi_suy_ra!$F$2:$F$66,MATCH(Xe!$AE$42,xe_input_vu_khi_suy_ra!$A$2:$A$66,0)),Xe_suy_ra!$E$42*IF(INDEX(xe_input_vu_khi!$H$2:$H$66,MATCH(Xe!$AE$42,xe_input_vu_khi!$A$2:$A$66,0)),INDEX(xe_input_bang_danh_noc!$B$2:$B$8,MIN(7,MAX(1,2-(INDEX(xe_input_vu_khi!$F$2:$F$66,MATCH(Xe!$AE$42,xe_input_vu_khi!$A$2:$A$66,0))-3)+1))),INDEX(xe_input_bang_xuyen_giap!$B$2:$B$8,MIN(7,MAX(1,IF(INDEX(xe_input_vu_khi_suy_ra!$E$2:$E$66,MATCH(Xe!$AE$42,xe_input_vu_khi_suy_ra!$A$2:$A$66,0)),MAX(1,2-(INDEX(xe_input_vu_khi!$F$2:$F$66,MATCH(Xe!$AE$42,xe_input_vu_khi!$A$2:$A$66,0))-3)),2-(INDEX(xe_input_vu_khi!$F$2:$F$66,MATCH(Xe!$AE$42,xe_input_vu_khi!$A$2:$A$66,0))-3))+1))))*IF(INDEX(xe_input_vu_khi_suy_ra!$J$2:$J$66,MATCH(Xe!$AE$42,xe_input_vu_khi_suy_ra!$A$2:$A$66,0)),INDEX(xe_input_bang_xuyen_qua!$B$2:$B$5,MIN(4,MAX(1,(INDEX(xe_input_vu_khi!$F$2:$F$66,MATCH(Xe!$AE$42,xe_input_vu_khi!$A$2:$A$66,0)))-(3)-1))),1)*INDEX(xe_input_vu_khi_suy_ra!$H$2:$H$66,MATCH(Xe!$AE$42,xe_input_vu_khi_suy_ra!$A$2:$A$66,0)),0)</f>
        <v/>
      </c>
      <c r="F21">
        <f>IF(INDEX(xe_input_vu_khi_suy_ra!$G$2:$G$66,MATCH(Xe!$AE$42,xe_input_vu_khi_suy_ra!$A$2:$A$66,0)),Xe_suy_ra!$G$42*INDEX(xe_input_bang_xuyen_giap!$B$2:$B$8,MIN(7,MAX(1,MAX(1,2-(INDEX(xe_input_vu_khi!$F$2:$F$66,MATCH(Xe!$AE$42,xe_input_vu_khi!$A$2:$A$66,0))-0))+1)))*IF(INDEX(xe_input_vu_khi_suy_ra!$J$2:$J$66,MATCH(Xe!$AE$42,xe_input_vu_khi_suy_ra!$A$2:$A$66,0)),INDEX(xe_input_bang_xuyen_qua!$B$2:$B$5,MIN(4,MAX(1,(INDEX(xe_input_vu_khi!$F$2:$F$66,MATCH(Xe!$AE$42,xe_input_vu_khi!$A$2:$A$66,0)))-(0)-1))),1)*INDEX(xe_input_vu_khi_suy_ra!$I$2:$I$66,MATCH(Xe!$AE$42,xe_input_vu_khi_suy_ra!$A$2:$A$66,0)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Xe!$I$43</f>
        <v/>
      </c>
      <c r="C22">
        <f>Xe!$K$43</f>
        <v/>
      </c>
      <c r="D22">
        <f>IF(INDEX(xe_input_vu_khi_suy_ra!$F$2:$F$66,MATCH(Xe!$AE$43,xe_input_vu_khi_suy_ra!$A$2:$A$66,0)),Xe_suy_ra!$E$43*IF(INDEX(xe_input_vu_khi!$H$2:$H$66,MATCH(Xe!$AE$43,xe_input_vu_khi!$A$2:$A$66,0)),INDEX(xe_input_bang_danh_noc!$B$2:$B$8,MIN(7,MAX(1,2-(INDEX(xe_input_vu_khi!$F$2:$F$66,MATCH(Xe!$AE$43,xe_input_vu_khi!$A$2:$A$66,0))-1)+1))),INDEX(xe_input_bang_xuyen_giap!$B$2:$B$8,MIN(7,MAX(1,IF(INDEX(xe_input_vu_khi_suy_ra!$E$2:$E$66,MATCH(Xe!$AE$43,xe_input_vu_khi_suy_ra!$A$2:$A$66,0)),MAX(1,2-(INDEX(xe_input_vu_khi!$F$2:$F$66,MATCH(Xe!$AE$43,xe_input_vu_khi!$A$2:$A$66,0))-1)),2-(INDEX(xe_input_vu_khi!$F$2:$F$66,MATCH(Xe!$AE$43,xe_input_vu_khi!$A$2:$A$66,0))-1))+1))))*IF(INDEX(xe_input_vu_khi_suy_ra!$J$2:$J$66,MATCH(Xe!$AE$43,xe_input_vu_khi_suy_ra!$A$2:$A$66,0)),INDEX(xe_input_bang_xuyen_qua!$B$2:$B$5,MIN(4,MAX(1,(INDEX(xe_input_vu_khi!$F$2:$F$66,MATCH(Xe!$AE$43,xe_input_vu_khi!$A$2:$A$66,0)))-(1)-1))),1)*INDEX(xe_input_vu_khi_suy_ra!$H$2:$H$66,MATCH(Xe!$AE$43,xe_input_vu_khi_suy_ra!$A$2:$A$66,0)),0)</f>
        <v/>
      </c>
      <c r="E22">
        <f>IF(INDEX(xe_input_vu_khi_suy_ra!$F$2:$F$66,MATCH(Xe!$AE$43,xe_input_vu_khi_suy_ra!$A$2:$A$66,0)),Xe_suy_ra!$E$43*IF(INDEX(xe_input_vu_khi!$H$2:$H$66,MATCH(Xe!$AE$43,xe_input_vu_khi!$A$2:$A$66,0)),INDEX(xe_input_bang_danh_noc!$B$2:$B$8,MIN(7,MAX(1,2-(INDEX(xe_input_vu_khi!$F$2:$F$66,MATCH(Xe!$AE$43,xe_input_vu_khi!$A$2:$A$66,0))-3)+1))),INDEX(xe_input_bang_xuyen_giap!$B$2:$B$8,MIN(7,MAX(1,IF(INDEX(xe_input_vu_khi_suy_ra!$E$2:$E$66,MATCH(Xe!$AE$43,xe_input_vu_khi_suy_ra!$A$2:$A$66,0)),MAX(1,2-(INDEX(xe_input_vu_khi!$F$2:$F$66,MATCH(Xe!$AE$43,xe_input_vu_khi!$A$2:$A$66,0))-3)),2-(INDEX(xe_input_vu_khi!$F$2:$F$66,MATCH(Xe!$AE$43,xe_input_vu_khi!$A$2:$A$66,0))-3))+1))))*IF(INDEX(xe_input_vu_khi_suy_ra!$J$2:$J$66,MATCH(Xe!$AE$43,xe_input_vu_khi_suy_ra!$A$2:$A$66,0)),INDEX(xe_input_bang_xuyen_qua!$B$2:$B$5,MIN(4,MAX(1,(INDEX(xe_input_vu_khi!$F$2:$F$66,MATCH(Xe!$AE$43,xe_input_vu_khi!$A$2:$A$66,0)))-(3)-1))),1)*INDEX(xe_input_vu_khi_suy_ra!$H$2:$H$66,MATCH(Xe!$AE$43,xe_input_vu_khi_suy_ra!$A$2:$A$66,0)),0)</f>
        <v/>
      </c>
      <c r="F22">
        <f>IF(INDEX(xe_input_vu_khi_suy_ra!$G$2:$G$66,MATCH(Xe!$AE$43,xe_input_vu_khi_suy_ra!$A$2:$A$66,0)),Xe_suy_ra!$G$43*INDEX(xe_input_bang_xuyen_giap!$B$2:$B$8,MIN(7,MAX(1,MAX(1,2-(INDEX(xe_input_vu_khi!$F$2:$F$66,MATCH(Xe!$AE$43,xe_input_vu_khi!$A$2:$A$66,0))-0))+1)))*IF(INDEX(xe_input_vu_khi_suy_ra!$J$2:$J$66,MATCH(Xe!$AE$43,xe_input_vu_khi_suy_ra!$A$2:$A$66,0)),INDEX(xe_input_bang_xuyen_qua!$B$2:$B$5,MIN(4,MAX(1,(INDEX(xe_input_vu_khi!$F$2:$F$66,MATCH(Xe!$AE$43,xe_input_vu_khi!$A$2:$A$66,0)))-(0)-1))),1)*INDEX(xe_input_vu_khi_suy_ra!$I$2:$I$66,MATCH(Xe!$AE$43,xe_input_vu_khi_suy_ra!$A$2:$A$66,0)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Xe!$I$44</f>
        <v/>
      </c>
      <c r="C23">
        <f>Xe!$K$44</f>
        <v/>
      </c>
      <c r="D23">
        <f>IF(INDEX(xe_input_vu_khi_suy_ra!$F$2:$F$66,MATCH(Xe!$AE$44,xe_input_vu_khi_suy_ra!$A$2:$A$66,0)),Xe_suy_ra!$E$44*IF(INDEX(xe_input_vu_khi!$H$2:$H$66,MATCH(Xe!$AE$44,xe_input_vu_khi!$A$2:$A$66,0)),INDEX(xe_input_bang_danh_noc!$B$2:$B$8,MIN(7,MAX(1,2-(INDEX(xe_input_vu_khi!$F$2:$F$66,MATCH(Xe!$AE$44,xe_input_vu_khi!$A$2:$A$66,0))-1)+1))),INDEX(xe_input_bang_xuyen_giap!$B$2:$B$8,MIN(7,MAX(1,IF(INDEX(xe_input_vu_khi_suy_ra!$E$2:$E$66,MATCH(Xe!$AE$44,xe_input_vu_khi_suy_ra!$A$2:$A$66,0)),MAX(1,2-(INDEX(xe_input_vu_khi!$F$2:$F$66,MATCH(Xe!$AE$44,xe_input_vu_khi!$A$2:$A$66,0))-1)),2-(INDEX(xe_input_vu_khi!$F$2:$F$66,MATCH(Xe!$AE$44,xe_input_vu_khi!$A$2:$A$66,0))-1))+1))))*IF(INDEX(xe_input_vu_khi_suy_ra!$J$2:$J$66,MATCH(Xe!$AE$44,xe_input_vu_khi_suy_ra!$A$2:$A$66,0)),INDEX(xe_input_bang_xuyen_qua!$B$2:$B$5,MIN(4,MAX(1,(INDEX(xe_input_vu_khi!$F$2:$F$66,MATCH(Xe!$AE$44,xe_input_vu_khi!$A$2:$A$66,0)))-(1)-1))),1)*INDEX(xe_input_vu_khi_suy_ra!$H$2:$H$66,MATCH(Xe!$AE$44,xe_input_vu_khi_suy_ra!$A$2:$A$66,0)),0)</f>
        <v/>
      </c>
      <c r="E23">
        <f>IF(INDEX(xe_input_vu_khi_suy_ra!$F$2:$F$66,MATCH(Xe!$AE$44,xe_input_vu_khi_suy_ra!$A$2:$A$66,0)),Xe_suy_ra!$E$44*IF(INDEX(xe_input_vu_khi!$H$2:$H$66,MATCH(Xe!$AE$44,xe_input_vu_khi!$A$2:$A$66,0)),INDEX(xe_input_bang_danh_noc!$B$2:$B$8,MIN(7,MAX(1,2-(INDEX(xe_input_vu_khi!$F$2:$F$66,MATCH(Xe!$AE$44,xe_input_vu_khi!$A$2:$A$66,0))-3)+1))),INDEX(xe_input_bang_xuyen_giap!$B$2:$B$8,MIN(7,MAX(1,IF(INDEX(xe_input_vu_khi_suy_ra!$E$2:$E$66,MATCH(Xe!$AE$44,xe_input_vu_khi_suy_ra!$A$2:$A$66,0)),MAX(1,2-(INDEX(xe_input_vu_khi!$F$2:$F$66,MATCH(Xe!$AE$44,xe_input_vu_khi!$A$2:$A$66,0))-3)),2-(INDEX(xe_input_vu_khi!$F$2:$F$66,MATCH(Xe!$AE$44,xe_input_vu_khi!$A$2:$A$66,0))-3))+1))))*IF(INDEX(xe_input_vu_khi_suy_ra!$J$2:$J$66,MATCH(Xe!$AE$44,xe_input_vu_khi_suy_ra!$A$2:$A$66,0)),INDEX(xe_input_bang_xuyen_qua!$B$2:$B$5,MIN(4,MAX(1,(INDEX(xe_input_vu_khi!$F$2:$F$66,MATCH(Xe!$AE$44,xe_input_vu_khi!$A$2:$A$66,0)))-(3)-1))),1)*INDEX(xe_input_vu_khi_suy_ra!$H$2:$H$66,MATCH(Xe!$AE$44,xe_input_vu_khi_suy_ra!$A$2:$A$66,0)),0)</f>
        <v/>
      </c>
      <c r="F23">
        <f>IF(INDEX(xe_input_vu_khi_suy_ra!$G$2:$G$66,MATCH(Xe!$AE$44,xe_input_vu_khi_suy_ra!$A$2:$A$66,0)),Xe_suy_ra!$G$44*INDEX(xe_input_bang_xuyen_giap!$B$2:$B$8,MIN(7,MAX(1,MAX(1,2-(INDEX(xe_input_vu_khi!$F$2:$F$66,MATCH(Xe!$AE$44,xe_input_vu_khi!$A$2:$A$66,0))-0))+1)))*IF(INDEX(xe_input_vu_khi_suy_ra!$J$2:$J$66,MATCH(Xe!$AE$44,xe_input_vu_khi_suy_ra!$A$2:$A$66,0)),INDEX(xe_input_bang_xuyen_qua!$B$2:$B$5,MIN(4,MAX(1,(INDEX(xe_input_vu_khi!$F$2:$F$66,MATCH(Xe!$AE$44,xe_input_vu_khi!$A$2:$A$66,0)))-(0)-1))),1)*INDEX(xe_input_vu_khi_suy_ra!$I$2:$I$66,MATCH(Xe!$AE$44,xe_input_vu_khi_suy_ra!$A$2:$A$66,0)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Xe!$I$48</f>
        <v/>
      </c>
      <c r="C24">
        <f>Xe!$K$48</f>
        <v/>
      </c>
      <c r="D24">
        <f>IF(INDEX(xe_input_vu_khi_suy_ra!$F$2:$F$66,MATCH(Xe!$AE$48,xe_input_vu_khi_suy_ra!$A$2:$A$66,0)),Xe_suy_ra!$E$48*IF(INDEX(xe_input_vu_khi!$H$2:$H$66,MATCH(Xe!$AE$48,xe_input_vu_khi!$A$2:$A$66,0)),INDEX(xe_input_bang_danh_noc!$B$2:$B$8,MIN(7,MAX(1,2-(INDEX(xe_input_vu_khi!$F$2:$F$66,MATCH(Xe!$AE$48,xe_input_vu_khi!$A$2:$A$66,0))-1)+1))),INDEX(xe_input_bang_xuyen_giap!$B$2:$B$8,MIN(7,MAX(1,IF(INDEX(xe_input_vu_khi_suy_ra!$E$2:$E$66,MATCH(Xe!$AE$48,xe_input_vu_khi_suy_ra!$A$2:$A$66,0)),MAX(1,2-(INDEX(xe_input_vu_khi!$F$2:$F$66,MATCH(Xe!$AE$48,xe_input_vu_khi!$A$2:$A$66,0))-1)),2-(INDEX(xe_input_vu_khi!$F$2:$F$66,MATCH(Xe!$AE$48,xe_input_vu_khi!$A$2:$A$66,0))-1))+1))))*IF(INDEX(xe_input_vu_khi_suy_ra!$J$2:$J$66,MATCH(Xe!$AE$48,xe_input_vu_khi_suy_ra!$A$2:$A$66,0)),INDEX(xe_input_bang_xuyen_qua!$B$2:$B$5,MIN(4,MAX(1,(INDEX(xe_input_vu_khi!$F$2:$F$66,MATCH(Xe!$AE$48,xe_input_vu_khi!$A$2:$A$66,0)))-(1)-1))),1)*INDEX(xe_input_vu_khi_suy_ra!$H$2:$H$66,MATCH(Xe!$AE$48,xe_input_vu_khi_suy_ra!$A$2:$A$66,0)),0)</f>
        <v/>
      </c>
      <c r="E24">
        <f>IF(INDEX(xe_input_vu_khi_suy_ra!$F$2:$F$66,MATCH(Xe!$AE$48,xe_input_vu_khi_suy_ra!$A$2:$A$66,0)),Xe_suy_ra!$E$48*IF(INDEX(xe_input_vu_khi!$H$2:$H$66,MATCH(Xe!$AE$48,xe_input_vu_khi!$A$2:$A$66,0)),INDEX(xe_input_bang_danh_noc!$B$2:$B$8,MIN(7,MAX(1,2-(INDEX(xe_input_vu_khi!$F$2:$F$66,MATCH(Xe!$AE$48,xe_input_vu_khi!$A$2:$A$66,0))-3)+1))),INDEX(xe_input_bang_xuyen_giap!$B$2:$B$8,MIN(7,MAX(1,IF(INDEX(xe_input_vu_khi_suy_ra!$E$2:$E$66,MATCH(Xe!$AE$48,xe_input_vu_khi_suy_ra!$A$2:$A$66,0)),MAX(1,2-(INDEX(xe_input_vu_khi!$F$2:$F$66,MATCH(Xe!$AE$48,xe_input_vu_khi!$A$2:$A$66,0))-3)),2-(INDEX(xe_input_vu_khi!$F$2:$F$66,MATCH(Xe!$AE$48,xe_input_vu_khi!$A$2:$A$66,0))-3))+1))))*IF(INDEX(xe_input_vu_khi_suy_ra!$J$2:$J$66,MATCH(Xe!$AE$48,xe_input_vu_khi_suy_ra!$A$2:$A$66,0)),INDEX(xe_input_bang_xuyen_qua!$B$2:$B$5,MIN(4,MAX(1,(INDEX(xe_input_vu_khi!$F$2:$F$66,MATCH(Xe!$AE$48,xe_input_vu_khi!$A$2:$A$66,0)))-(3)-1))),1)*INDEX(xe_input_vu_khi_suy_ra!$H$2:$H$66,MATCH(Xe!$AE$48,xe_input_vu_khi_suy_ra!$A$2:$A$66,0)),0)</f>
        <v/>
      </c>
      <c r="F24">
        <f>IF(INDEX(xe_input_vu_khi_suy_ra!$G$2:$G$66,MATCH(Xe!$AE$48,xe_input_vu_khi_suy_ra!$A$2:$A$66,0)),Xe_suy_ra!$G$48*INDEX(xe_input_bang_xuyen_giap!$B$2:$B$8,MIN(7,MAX(1,MAX(1,2-(INDEX(xe_input_vu_khi!$F$2:$F$66,MATCH(Xe!$AE$48,xe_input_vu_khi!$A$2:$A$66,0))-0))+1)))*IF(INDEX(xe_input_vu_khi_suy_ra!$J$2:$J$66,MATCH(Xe!$AE$48,xe_input_vu_khi_suy_ra!$A$2:$A$66,0)),INDEX(xe_input_bang_xuyen_qua!$B$2:$B$5,MIN(4,MAX(1,(INDEX(xe_input_vu_khi!$F$2:$F$66,MATCH(Xe!$AE$48,xe_input_vu_khi!$A$2:$A$66,0)))-(0)-1))),1)*INDEX(xe_input_vu_khi_suy_ra!$I$2:$I$66,MATCH(Xe!$AE$48,xe_input_vu_khi_suy_ra!$A$2:$A$66,0)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Xe!$I$49</f>
        <v/>
      </c>
      <c r="C25">
        <f>Xe!$K$49</f>
        <v/>
      </c>
      <c r="D25">
        <f>IF(INDEX(xe_input_vu_khi_suy_ra!$F$2:$F$66,MATCH(Xe!$AE$49,xe_input_vu_khi_suy_ra!$A$2:$A$66,0)),Xe_suy_ra!$E$49*IF(INDEX(xe_input_vu_khi!$H$2:$H$66,MATCH(Xe!$AE$49,xe_input_vu_khi!$A$2:$A$66,0)),INDEX(xe_input_bang_danh_noc!$B$2:$B$8,MIN(7,MAX(1,2-(INDEX(xe_input_vu_khi!$F$2:$F$66,MATCH(Xe!$AE$49,xe_input_vu_khi!$A$2:$A$66,0))-1)+1))),INDEX(xe_input_bang_xuyen_giap!$B$2:$B$8,MIN(7,MAX(1,IF(INDEX(xe_input_vu_khi_suy_ra!$E$2:$E$66,MATCH(Xe!$AE$49,xe_input_vu_khi_suy_ra!$A$2:$A$66,0)),MAX(1,2-(INDEX(xe_input_vu_khi!$F$2:$F$66,MATCH(Xe!$AE$49,xe_input_vu_khi!$A$2:$A$66,0))-1)),2-(INDEX(xe_input_vu_khi!$F$2:$F$66,MATCH(Xe!$AE$49,xe_input_vu_khi!$A$2:$A$66,0))-1))+1))))*IF(INDEX(xe_input_vu_khi_suy_ra!$J$2:$J$66,MATCH(Xe!$AE$49,xe_input_vu_khi_suy_ra!$A$2:$A$66,0)),INDEX(xe_input_bang_xuyen_qua!$B$2:$B$5,MIN(4,MAX(1,(INDEX(xe_input_vu_khi!$F$2:$F$66,MATCH(Xe!$AE$49,xe_input_vu_khi!$A$2:$A$66,0)))-(1)-1))),1)*INDEX(xe_input_vu_khi_suy_ra!$H$2:$H$66,MATCH(Xe!$AE$49,xe_input_vu_khi_suy_ra!$A$2:$A$66,0)),0)</f>
        <v/>
      </c>
      <c r="E25">
        <f>IF(INDEX(xe_input_vu_khi_suy_ra!$F$2:$F$66,MATCH(Xe!$AE$49,xe_input_vu_khi_suy_ra!$A$2:$A$66,0)),Xe_suy_ra!$E$49*IF(INDEX(xe_input_vu_khi!$H$2:$H$66,MATCH(Xe!$AE$49,xe_input_vu_khi!$A$2:$A$66,0)),INDEX(xe_input_bang_danh_noc!$B$2:$B$8,MIN(7,MAX(1,2-(INDEX(xe_input_vu_khi!$F$2:$F$66,MATCH(Xe!$AE$49,xe_input_vu_khi!$A$2:$A$66,0))-3)+1))),INDEX(xe_input_bang_xuyen_giap!$B$2:$B$8,MIN(7,MAX(1,IF(INDEX(xe_input_vu_khi_suy_ra!$E$2:$E$66,MATCH(Xe!$AE$49,xe_input_vu_khi_suy_ra!$A$2:$A$66,0)),MAX(1,2-(INDEX(xe_input_vu_khi!$F$2:$F$66,MATCH(Xe!$AE$49,xe_input_vu_khi!$A$2:$A$66,0))-3)),2-(INDEX(xe_input_vu_khi!$F$2:$F$66,MATCH(Xe!$AE$49,xe_input_vu_khi!$A$2:$A$66,0))-3))+1))))*IF(INDEX(xe_input_vu_khi_suy_ra!$J$2:$J$66,MATCH(Xe!$AE$49,xe_input_vu_khi_suy_ra!$A$2:$A$66,0)),INDEX(xe_input_bang_xuyen_qua!$B$2:$B$5,MIN(4,MAX(1,(INDEX(xe_input_vu_khi!$F$2:$F$66,MATCH(Xe!$AE$49,xe_input_vu_khi!$A$2:$A$66,0)))-(3)-1))),1)*INDEX(xe_input_vu_khi_suy_ra!$H$2:$H$66,MATCH(Xe!$AE$49,xe_input_vu_khi_suy_ra!$A$2:$A$66,0)),0)</f>
        <v/>
      </c>
      <c r="F25">
        <f>IF(INDEX(xe_input_vu_khi_suy_ra!$G$2:$G$66,MATCH(Xe!$AE$49,xe_input_vu_khi_suy_ra!$A$2:$A$66,0)),Xe_suy_ra!$G$49*INDEX(xe_input_bang_xuyen_giap!$B$2:$B$8,MIN(7,MAX(1,MAX(1,2-(INDEX(xe_input_vu_khi!$F$2:$F$66,MATCH(Xe!$AE$49,xe_input_vu_khi!$A$2:$A$66,0))-0))+1)))*IF(INDEX(xe_input_vu_khi_suy_ra!$J$2:$J$66,MATCH(Xe!$AE$49,xe_input_vu_khi_suy_ra!$A$2:$A$66,0)),INDEX(xe_input_bang_xuyen_qua!$B$2:$B$5,MIN(4,MAX(1,(INDEX(xe_input_vu_khi!$F$2:$F$66,MATCH(Xe!$AE$49,xe_input_vu_khi!$A$2:$A$66,0)))-(0)-1))),1)*INDEX(xe_input_vu_khi_suy_ra!$I$2:$I$66,MATCH(Xe!$AE$49,xe_input_vu_khi_suy_ra!$A$2:$A$66,0)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Xe!$I$50</f>
        <v/>
      </c>
      <c r="C26">
        <f>Xe!$K$50</f>
        <v/>
      </c>
      <c r="D26">
        <f>IF(INDEX(xe_input_vu_khi_suy_ra!$F$2:$F$66,MATCH(Xe!$AE$50,xe_input_vu_khi_suy_ra!$A$2:$A$66,0)),Xe_suy_ra!$E$50*IF(INDEX(xe_input_vu_khi!$H$2:$H$66,MATCH(Xe!$AE$50,xe_input_vu_khi!$A$2:$A$66,0)),INDEX(xe_input_bang_danh_noc!$B$2:$B$8,MIN(7,MAX(1,2-(INDEX(xe_input_vu_khi!$F$2:$F$66,MATCH(Xe!$AE$50,xe_input_vu_khi!$A$2:$A$66,0))-1)+1))),INDEX(xe_input_bang_xuyen_giap!$B$2:$B$8,MIN(7,MAX(1,IF(INDEX(xe_input_vu_khi_suy_ra!$E$2:$E$66,MATCH(Xe!$AE$50,xe_input_vu_khi_suy_ra!$A$2:$A$66,0)),MAX(1,2-(INDEX(xe_input_vu_khi!$F$2:$F$66,MATCH(Xe!$AE$50,xe_input_vu_khi!$A$2:$A$66,0))-1)),2-(INDEX(xe_input_vu_khi!$F$2:$F$66,MATCH(Xe!$AE$50,xe_input_vu_khi!$A$2:$A$66,0))-1))+1))))*IF(INDEX(xe_input_vu_khi_suy_ra!$J$2:$J$66,MATCH(Xe!$AE$50,xe_input_vu_khi_suy_ra!$A$2:$A$66,0)),INDEX(xe_input_bang_xuyen_qua!$B$2:$B$5,MIN(4,MAX(1,(INDEX(xe_input_vu_khi!$F$2:$F$66,MATCH(Xe!$AE$50,xe_input_vu_khi!$A$2:$A$66,0)))-(1)-1))),1)*INDEX(xe_input_vu_khi_suy_ra!$H$2:$H$66,MATCH(Xe!$AE$50,xe_input_vu_khi_suy_ra!$A$2:$A$66,0)),0)</f>
        <v/>
      </c>
      <c r="E26">
        <f>IF(INDEX(xe_input_vu_khi_suy_ra!$F$2:$F$66,MATCH(Xe!$AE$50,xe_input_vu_khi_suy_ra!$A$2:$A$66,0)),Xe_suy_ra!$E$50*IF(INDEX(xe_input_vu_khi!$H$2:$H$66,MATCH(Xe!$AE$50,xe_input_vu_khi!$A$2:$A$66,0)),INDEX(xe_input_bang_danh_noc!$B$2:$B$8,MIN(7,MAX(1,2-(INDEX(xe_input_vu_khi!$F$2:$F$66,MATCH(Xe!$AE$50,xe_input_vu_khi!$A$2:$A$66,0))-3)+1))),INDEX(xe_input_bang_xuyen_giap!$B$2:$B$8,MIN(7,MAX(1,IF(INDEX(xe_input_vu_khi_suy_ra!$E$2:$E$66,MATCH(Xe!$AE$50,xe_input_vu_khi_suy_ra!$A$2:$A$66,0)),MAX(1,2-(INDEX(xe_input_vu_khi!$F$2:$F$66,MATCH(Xe!$AE$50,xe_input_vu_khi!$A$2:$A$66,0))-3)),2-(INDEX(xe_input_vu_khi!$F$2:$F$66,MATCH(Xe!$AE$50,xe_input_vu_khi!$A$2:$A$66,0))-3))+1))))*IF(INDEX(xe_input_vu_khi_suy_ra!$J$2:$J$66,MATCH(Xe!$AE$50,xe_input_vu_khi_suy_ra!$A$2:$A$66,0)),INDEX(xe_input_bang_xuyen_qua!$B$2:$B$5,MIN(4,MAX(1,(INDEX(xe_input_vu_khi!$F$2:$F$66,MATCH(Xe!$AE$50,xe_input_vu_khi!$A$2:$A$66,0)))-(3)-1))),1)*INDEX(xe_input_vu_khi_suy_ra!$H$2:$H$66,MATCH(Xe!$AE$50,xe_input_vu_khi_suy_ra!$A$2:$A$66,0)),0)</f>
        <v/>
      </c>
      <c r="F26">
        <f>IF(INDEX(xe_input_vu_khi_suy_ra!$G$2:$G$66,MATCH(Xe!$AE$50,xe_input_vu_khi_suy_ra!$A$2:$A$66,0)),Xe_suy_ra!$G$50*INDEX(xe_input_bang_xuyen_giap!$B$2:$B$8,MIN(7,MAX(1,MAX(1,2-(INDEX(xe_input_vu_khi!$F$2:$F$66,MATCH(Xe!$AE$50,xe_input_vu_khi!$A$2:$A$66,0))-0))+1)))*IF(INDEX(xe_input_vu_khi_suy_ra!$J$2:$J$66,MATCH(Xe!$AE$50,xe_input_vu_khi_suy_ra!$A$2:$A$66,0)),INDEX(xe_input_bang_xuyen_qua!$B$2:$B$5,MIN(4,MAX(1,(INDEX(xe_input_vu_khi!$F$2:$F$66,MATCH(Xe!$AE$50,xe_input_vu_khi!$A$2:$A$66,0)))-(0)-1))),1)*INDEX(xe_input_vu_khi_suy_ra!$I$2:$I$66,MATCH(Xe!$AE$50,xe_input_vu_khi_suy_ra!$A$2:$A$66,0)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Xe!$I$51</f>
        <v/>
      </c>
      <c r="C27">
        <f>Xe!$K$51</f>
        <v/>
      </c>
      <c r="D27">
        <f>IF(INDEX(xe_input_vu_khi_suy_ra!$F$2:$F$66,MATCH(Xe!$AE$51,xe_input_vu_khi_suy_ra!$A$2:$A$66,0)),Xe_suy_ra!$E$51*IF(INDEX(xe_input_vu_khi!$H$2:$H$66,MATCH(Xe!$AE$51,xe_input_vu_khi!$A$2:$A$66,0)),INDEX(xe_input_bang_danh_noc!$B$2:$B$8,MIN(7,MAX(1,2-(INDEX(xe_input_vu_khi!$F$2:$F$66,MATCH(Xe!$AE$51,xe_input_vu_khi!$A$2:$A$66,0))-1)+1))),INDEX(xe_input_bang_xuyen_giap!$B$2:$B$8,MIN(7,MAX(1,IF(INDEX(xe_input_vu_khi_suy_ra!$E$2:$E$66,MATCH(Xe!$AE$51,xe_input_vu_khi_suy_ra!$A$2:$A$66,0)),MAX(1,2-(INDEX(xe_input_vu_khi!$F$2:$F$66,MATCH(Xe!$AE$51,xe_input_vu_khi!$A$2:$A$66,0))-1)),2-(INDEX(xe_input_vu_khi!$F$2:$F$66,MATCH(Xe!$AE$51,xe_input_vu_khi!$A$2:$A$66,0))-1))+1))))*IF(INDEX(xe_input_vu_khi_suy_ra!$J$2:$J$66,MATCH(Xe!$AE$51,xe_input_vu_khi_suy_ra!$A$2:$A$66,0)),INDEX(xe_input_bang_xuyen_qua!$B$2:$B$5,MIN(4,MAX(1,(INDEX(xe_input_vu_khi!$F$2:$F$66,MATCH(Xe!$AE$51,xe_input_vu_khi!$A$2:$A$66,0)))-(1)-1))),1)*INDEX(xe_input_vu_khi_suy_ra!$H$2:$H$66,MATCH(Xe!$AE$51,xe_input_vu_khi_suy_ra!$A$2:$A$66,0)),0)</f>
        <v/>
      </c>
      <c r="E27">
        <f>IF(INDEX(xe_input_vu_khi_suy_ra!$F$2:$F$66,MATCH(Xe!$AE$51,xe_input_vu_khi_suy_ra!$A$2:$A$66,0)),Xe_suy_ra!$E$51*IF(INDEX(xe_input_vu_khi!$H$2:$H$66,MATCH(Xe!$AE$51,xe_input_vu_khi!$A$2:$A$66,0)),INDEX(xe_input_bang_danh_noc!$B$2:$B$8,MIN(7,MAX(1,2-(INDEX(xe_input_vu_khi!$F$2:$F$66,MATCH(Xe!$AE$51,xe_input_vu_khi!$A$2:$A$66,0))-3)+1))),INDEX(xe_input_bang_xuyen_giap!$B$2:$B$8,MIN(7,MAX(1,IF(INDEX(xe_input_vu_khi_suy_ra!$E$2:$E$66,MATCH(Xe!$AE$51,xe_input_vu_khi_suy_ra!$A$2:$A$66,0)),MAX(1,2-(INDEX(xe_input_vu_khi!$F$2:$F$66,MATCH(Xe!$AE$51,xe_input_vu_khi!$A$2:$A$66,0))-3)),2-(INDEX(xe_input_vu_khi!$F$2:$F$66,MATCH(Xe!$AE$51,xe_input_vu_khi!$A$2:$A$66,0))-3))+1))))*IF(INDEX(xe_input_vu_khi_suy_ra!$J$2:$J$66,MATCH(Xe!$AE$51,xe_input_vu_khi_suy_ra!$A$2:$A$66,0)),INDEX(xe_input_bang_xuyen_qua!$B$2:$B$5,MIN(4,MAX(1,(INDEX(xe_input_vu_khi!$F$2:$F$66,MATCH(Xe!$AE$51,xe_input_vu_khi!$A$2:$A$66,0)))-(3)-1))),1)*INDEX(xe_input_vu_khi_suy_ra!$H$2:$H$66,MATCH(Xe!$AE$51,xe_input_vu_khi_suy_ra!$A$2:$A$66,0)),0)</f>
        <v/>
      </c>
      <c r="F27">
        <f>IF(INDEX(xe_input_vu_khi_suy_ra!$G$2:$G$66,MATCH(Xe!$AE$51,xe_input_vu_khi_suy_ra!$A$2:$A$66,0)),Xe_suy_ra!$G$51*INDEX(xe_input_bang_xuyen_giap!$B$2:$B$8,MIN(7,MAX(1,MAX(1,2-(INDEX(xe_input_vu_khi!$F$2:$F$66,MATCH(Xe!$AE$51,xe_input_vu_khi!$A$2:$A$66,0))-0))+1)))*IF(INDEX(xe_input_vu_khi_suy_ra!$J$2:$J$66,MATCH(Xe!$AE$51,xe_input_vu_khi_suy_ra!$A$2:$A$66,0)),INDEX(xe_input_bang_xuyen_qua!$B$2:$B$5,MIN(4,MAX(1,(INDEX(xe_input_vu_khi!$F$2:$F$66,MATCH(Xe!$AE$51,xe_input_vu_khi!$A$2:$A$66,0)))-(0)-1))),1)*INDEX(xe_input_vu_khi_suy_ra!$I$2:$I$66,MATCH(Xe!$AE$51,xe_input_vu_khi_suy_ra!$A$2:$A$66,0)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Xe!$I$52</f>
        <v/>
      </c>
      <c r="C28">
        <f>Xe!$K$52</f>
        <v/>
      </c>
      <c r="D28">
        <f>IF(INDEX(xe_input_vu_khi_suy_ra!$F$2:$F$66,MATCH(Xe!$AE$52,xe_input_vu_khi_suy_ra!$A$2:$A$66,0)),Xe_suy_ra!$E$52*IF(INDEX(xe_input_vu_khi!$H$2:$H$66,MATCH(Xe!$AE$52,xe_input_vu_khi!$A$2:$A$66,0)),INDEX(xe_input_bang_danh_noc!$B$2:$B$8,MIN(7,MAX(1,2-(INDEX(xe_input_vu_khi!$F$2:$F$66,MATCH(Xe!$AE$52,xe_input_vu_khi!$A$2:$A$66,0))-1)+1))),INDEX(xe_input_bang_xuyen_giap!$B$2:$B$8,MIN(7,MAX(1,IF(INDEX(xe_input_vu_khi_suy_ra!$E$2:$E$66,MATCH(Xe!$AE$52,xe_input_vu_khi_suy_ra!$A$2:$A$66,0)),MAX(1,2-(INDEX(xe_input_vu_khi!$F$2:$F$66,MATCH(Xe!$AE$52,xe_input_vu_khi!$A$2:$A$66,0))-1)),2-(INDEX(xe_input_vu_khi!$F$2:$F$66,MATCH(Xe!$AE$52,xe_input_vu_khi!$A$2:$A$66,0))-1))+1))))*IF(INDEX(xe_input_vu_khi_suy_ra!$J$2:$J$66,MATCH(Xe!$AE$52,xe_input_vu_khi_suy_ra!$A$2:$A$66,0)),INDEX(xe_input_bang_xuyen_qua!$B$2:$B$5,MIN(4,MAX(1,(INDEX(xe_input_vu_khi!$F$2:$F$66,MATCH(Xe!$AE$52,xe_input_vu_khi!$A$2:$A$66,0)))-(1)-1))),1)*INDEX(xe_input_vu_khi_suy_ra!$H$2:$H$66,MATCH(Xe!$AE$52,xe_input_vu_khi_suy_ra!$A$2:$A$66,0)),0)</f>
        <v/>
      </c>
      <c r="E28">
        <f>IF(INDEX(xe_input_vu_khi_suy_ra!$F$2:$F$66,MATCH(Xe!$AE$52,xe_input_vu_khi_suy_ra!$A$2:$A$66,0)),Xe_suy_ra!$E$52*IF(INDEX(xe_input_vu_khi!$H$2:$H$66,MATCH(Xe!$AE$52,xe_input_vu_khi!$A$2:$A$66,0)),INDEX(xe_input_bang_danh_noc!$B$2:$B$8,MIN(7,MAX(1,2-(INDEX(xe_input_vu_khi!$F$2:$F$66,MATCH(Xe!$AE$52,xe_input_vu_khi!$A$2:$A$66,0))-3)+1))),INDEX(xe_input_bang_xuyen_giap!$B$2:$B$8,MIN(7,MAX(1,IF(INDEX(xe_input_vu_khi_suy_ra!$E$2:$E$66,MATCH(Xe!$AE$52,xe_input_vu_khi_suy_ra!$A$2:$A$66,0)),MAX(1,2-(INDEX(xe_input_vu_khi!$F$2:$F$66,MATCH(Xe!$AE$52,xe_input_vu_khi!$A$2:$A$66,0))-3)),2-(INDEX(xe_input_vu_khi!$F$2:$F$66,MATCH(Xe!$AE$52,xe_input_vu_khi!$A$2:$A$66,0))-3))+1))))*IF(INDEX(xe_input_vu_khi_suy_ra!$J$2:$J$66,MATCH(Xe!$AE$52,xe_input_vu_khi_suy_ra!$A$2:$A$66,0)),INDEX(xe_input_bang_xuyen_qua!$B$2:$B$5,MIN(4,MAX(1,(INDEX(xe_input_vu_khi!$F$2:$F$66,MATCH(Xe!$AE$52,xe_input_vu_khi!$A$2:$A$66,0)))-(3)-1))),1)*INDEX(xe_input_vu_khi_suy_ra!$H$2:$H$66,MATCH(Xe!$AE$52,xe_input_vu_khi_suy_ra!$A$2:$A$66,0)),0)</f>
        <v/>
      </c>
      <c r="F28">
        <f>IF(INDEX(xe_input_vu_khi_suy_ra!$G$2:$G$66,MATCH(Xe!$AE$52,xe_input_vu_khi_suy_ra!$A$2:$A$66,0)),Xe_suy_ra!$G$52*INDEX(xe_input_bang_xuyen_giap!$B$2:$B$8,MIN(7,MAX(1,MAX(1,2-(INDEX(xe_input_vu_khi!$F$2:$F$66,MATCH(Xe!$AE$52,xe_input_vu_khi!$A$2:$A$66,0))-0))+1)))*IF(INDEX(xe_input_vu_khi_suy_ra!$J$2:$J$66,MATCH(Xe!$AE$52,xe_input_vu_khi_suy_ra!$A$2:$A$66,0)),INDEX(xe_input_bang_xuyen_qua!$B$2:$B$5,MIN(4,MAX(1,(INDEX(xe_input_vu_khi!$F$2:$F$66,MATCH(Xe!$AE$52,xe_input_vu_khi!$A$2:$A$66,0)))-(0)-1))),1)*INDEX(xe_input_vu_khi_suy_ra!$I$2:$I$66,MATCH(Xe!$AE$52,xe_input_vu_khi_suy_ra!$A$2:$A$66,0)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Xe!$I$53</f>
        <v/>
      </c>
      <c r="C29">
        <f>Xe!$K$53</f>
        <v/>
      </c>
      <c r="D29">
        <f>IF(INDEX(xe_input_vu_khi_suy_ra!$F$2:$F$66,MATCH(Xe!$AE$53,xe_input_vu_khi_suy_ra!$A$2:$A$66,0)),Xe_suy_ra!$E$53*IF(INDEX(xe_input_vu_khi!$H$2:$H$66,MATCH(Xe!$AE$53,xe_input_vu_khi!$A$2:$A$66,0)),INDEX(xe_input_bang_danh_noc!$B$2:$B$8,MIN(7,MAX(1,2-(INDEX(xe_input_vu_khi!$F$2:$F$66,MATCH(Xe!$AE$53,xe_input_vu_khi!$A$2:$A$66,0))-1)+1))),INDEX(xe_input_bang_xuyen_giap!$B$2:$B$8,MIN(7,MAX(1,IF(INDEX(xe_input_vu_khi_suy_ra!$E$2:$E$66,MATCH(Xe!$AE$53,xe_input_vu_khi_suy_ra!$A$2:$A$66,0)),MAX(1,2-(INDEX(xe_input_vu_khi!$F$2:$F$66,MATCH(Xe!$AE$53,xe_input_vu_khi!$A$2:$A$66,0))-1)),2-(INDEX(xe_input_vu_khi!$F$2:$F$66,MATCH(Xe!$AE$53,xe_input_vu_khi!$A$2:$A$66,0))-1))+1))))*IF(INDEX(xe_input_vu_khi_suy_ra!$J$2:$J$66,MATCH(Xe!$AE$53,xe_input_vu_khi_suy_ra!$A$2:$A$66,0)),INDEX(xe_input_bang_xuyen_qua!$B$2:$B$5,MIN(4,MAX(1,(INDEX(xe_input_vu_khi!$F$2:$F$66,MATCH(Xe!$AE$53,xe_input_vu_khi!$A$2:$A$66,0)))-(1)-1))),1)*INDEX(xe_input_vu_khi_suy_ra!$H$2:$H$66,MATCH(Xe!$AE$53,xe_input_vu_khi_suy_ra!$A$2:$A$66,0)),0)</f>
        <v/>
      </c>
      <c r="E29">
        <f>IF(INDEX(xe_input_vu_khi_suy_ra!$F$2:$F$66,MATCH(Xe!$AE$53,xe_input_vu_khi_suy_ra!$A$2:$A$66,0)),Xe_suy_ra!$E$53*IF(INDEX(xe_input_vu_khi!$H$2:$H$66,MATCH(Xe!$AE$53,xe_input_vu_khi!$A$2:$A$66,0)),INDEX(xe_input_bang_danh_noc!$B$2:$B$8,MIN(7,MAX(1,2-(INDEX(xe_input_vu_khi!$F$2:$F$66,MATCH(Xe!$AE$53,xe_input_vu_khi!$A$2:$A$66,0))-3)+1))),INDEX(xe_input_bang_xuyen_giap!$B$2:$B$8,MIN(7,MAX(1,IF(INDEX(xe_input_vu_khi_suy_ra!$E$2:$E$66,MATCH(Xe!$AE$53,xe_input_vu_khi_suy_ra!$A$2:$A$66,0)),MAX(1,2-(INDEX(xe_input_vu_khi!$F$2:$F$66,MATCH(Xe!$AE$53,xe_input_vu_khi!$A$2:$A$66,0))-3)),2-(INDEX(xe_input_vu_khi!$F$2:$F$66,MATCH(Xe!$AE$53,xe_input_vu_khi!$A$2:$A$66,0))-3))+1))))*IF(INDEX(xe_input_vu_khi_suy_ra!$J$2:$J$66,MATCH(Xe!$AE$53,xe_input_vu_khi_suy_ra!$A$2:$A$66,0)),INDEX(xe_input_bang_xuyen_qua!$B$2:$B$5,MIN(4,MAX(1,(INDEX(xe_input_vu_khi!$F$2:$F$66,MATCH(Xe!$AE$53,xe_input_vu_khi!$A$2:$A$66,0)))-(3)-1))),1)*INDEX(xe_input_vu_khi_suy_ra!$H$2:$H$66,MATCH(Xe!$AE$53,xe_input_vu_khi_suy_ra!$A$2:$A$66,0)),0)</f>
        <v/>
      </c>
      <c r="F29">
        <f>IF(INDEX(xe_input_vu_khi_suy_ra!$G$2:$G$66,MATCH(Xe!$AE$53,xe_input_vu_khi_suy_ra!$A$2:$A$66,0)),Xe_suy_ra!$G$53*INDEX(xe_input_bang_xuyen_giap!$B$2:$B$8,MIN(7,MAX(1,MAX(1,2-(INDEX(xe_input_vu_khi!$F$2:$F$66,MATCH(Xe!$AE$53,xe_input_vu_khi!$A$2:$A$66,0))-0))+1)))*IF(INDEX(xe_input_vu_khi_suy_ra!$J$2:$J$66,MATCH(Xe!$AE$53,xe_input_vu_khi_suy_ra!$A$2:$A$66,0)),INDEX(xe_input_bang_xuyen_qua!$B$2:$B$5,MIN(4,MAX(1,(INDEX(xe_input_vu_khi!$F$2:$F$66,MATCH(Xe!$AE$53,xe_input_vu_khi!$A$2:$A$66,0)))-(0)-1))),1)*INDEX(xe_input_vu_khi_suy_ra!$I$2:$I$66,MATCH(Xe!$AE$53,xe_input_vu_khi_suy_ra!$A$2:$A$66,0)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Xe!$I$54</f>
        <v/>
      </c>
      <c r="C30">
        <f>Xe!$K$54</f>
        <v/>
      </c>
      <c r="D30">
        <f>IF(INDEX(xe_input_vu_khi_suy_ra!$F$2:$F$66,MATCH(Xe!$AE$54,xe_input_vu_khi_suy_ra!$A$2:$A$66,0)),Xe_suy_ra!$E$54*IF(INDEX(xe_input_vu_khi!$H$2:$H$66,MATCH(Xe!$AE$54,xe_input_vu_khi!$A$2:$A$66,0)),INDEX(xe_input_bang_danh_noc!$B$2:$B$8,MIN(7,MAX(1,2-(INDEX(xe_input_vu_khi!$F$2:$F$66,MATCH(Xe!$AE$54,xe_input_vu_khi!$A$2:$A$66,0))-1)+1))),INDEX(xe_input_bang_xuyen_giap!$B$2:$B$8,MIN(7,MAX(1,IF(INDEX(xe_input_vu_khi_suy_ra!$E$2:$E$66,MATCH(Xe!$AE$54,xe_input_vu_khi_suy_ra!$A$2:$A$66,0)),MAX(1,2-(INDEX(xe_input_vu_khi!$F$2:$F$66,MATCH(Xe!$AE$54,xe_input_vu_khi!$A$2:$A$66,0))-1)),2-(INDEX(xe_input_vu_khi!$F$2:$F$66,MATCH(Xe!$AE$54,xe_input_vu_khi!$A$2:$A$66,0))-1))+1))))*IF(INDEX(xe_input_vu_khi_suy_ra!$J$2:$J$66,MATCH(Xe!$AE$54,xe_input_vu_khi_suy_ra!$A$2:$A$66,0)),INDEX(xe_input_bang_xuyen_qua!$B$2:$B$5,MIN(4,MAX(1,(INDEX(xe_input_vu_khi!$F$2:$F$66,MATCH(Xe!$AE$54,xe_input_vu_khi!$A$2:$A$66,0)))-(1)-1))),1)*INDEX(xe_input_vu_khi_suy_ra!$H$2:$H$66,MATCH(Xe!$AE$54,xe_input_vu_khi_suy_ra!$A$2:$A$66,0)),0)</f>
        <v/>
      </c>
      <c r="E30">
        <f>IF(INDEX(xe_input_vu_khi_suy_ra!$F$2:$F$66,MATCH(Xe!$AE$54,xe_input_vu_khi_suy_ra!$A$2:$A$66,0)),Xe_suy_ra!$E$54*IF(INDEX(xe_input_vu_khi!$H$2:$H$66,MATCH(Xe!$AE$54,xe_input_vu_khi!$A$2:$A$66,0)),INDEX(xe_input_bang_danh_noc!$B$2:$B$8,MIN(7,MAX(1,2-(INDEX(xe_input_vu_khi!$F$2:$F$66,MATCH(Xe!$AE$54,xe_input_vu_khi!$A$2:$A$66,0))-3)+1))),INDEX(xe_input_bang_xuyen_giap!$B$2:$B$8,MIN(7,MAX(1,IF(INDEX(xe_input_vu_khi_suy_ra!$E$2:$E$66,MATCH(Xe!$AE$54,xe_input_vu_khi_suy_ra!$A$2:$A$66,0)),MAX(1,2-(INDEX(xe_input_vu_khi!$F$2:$F$66,MATCH(Xe!$AE$54,xe_input_vu_khi!$A$2:$A$66,0))-3)),2-(INDEX(xe_input_vu_khi!$F$2:$F$66,MATCH(Xe!$AE$54,xe_input_vu_khi!$A$2:$A$66,0))-3))+1))))*IF(INDEX(xe_input_vu_khi_suy_ra!$J$2:$J$66,MATCH(Xe!$AE$54,xe_input_vu_khi_suy_ra!$A$2:$A$66,0)),INDEX(xe_input_bang_xuyen_qua!$B$2:$B$5,MIN(4,MAX(1,(INDEX(xe_input_vu_khi!$F$2:$F$66,MATCH(Xe!$AE$54,xe_input_vu_khi!$A$2:$A$66,0)))-(3)-1))),1)*INDEX(xe_input_vu_khi_suy_ra!$H$2:$H$66,MATCH(Xe!$AE$54,xe_input_vu_khi_suy_ra!$A$2:$A$66,0)),0)</f>
        <v/>
      </c>
      <c r="F30">
        <f>IF(INDEX(xe_input_vu_khi_suy_ra!$G$2:$G$66,MATCH(Xe!$AE$54,xe_input_vu_khi_suy_ra!$A$2:$A$66,0)),Xe_suy_ra!$G$54*INDEX(xe_input_bang_xuyen_giap!$B$2:$B$8,MIN(7,MAX(1,MAX(1,2-(INDEX(xe_input_vu_khi!$F$2:$F$66,MATCH(Xe!$AE$54,xe_input_vu_khi!$A$2:$A$66,0))-0))+1)))*IF(INDEX(xe_input_vu_khi_suy_ra!$J$2:$J$66,MATCH(Xe!$AE$54,xe_input_vu_khi_suy_ra!$A$2:$A$66,0)),INDEX(xe_input_bang_xuyen_qua!$B$2:$B$5,MIN(4,MAX(1,(INDEX(xe_input_vu_khi!$F$2:$F$66,MATCH(Xe!$AE$54,xe_input_vu_khi!$A$2:$A$66,0)))-(0)-1))),1)*INDEX(xe_input_vu_khi_suy_ra!$I$2:$I$66,MATCH(Xe!$AE$54,xe_input_vu_khi_suy_ra!$A$2:$A$66,0)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Xe!$I$55</f>
        <v/>
      </c>
      <c r="C31">
        <f>Xe!$K$55</f>
        <v/>
      </c>
      <c r="D31">
        <f>IF(INDEX(xe_input_vu_khi_suy_ra!$F$2:$F$66,MATCH(Xe!$AE$55,xe_input_vu_khi_suy_ra!$A$2:$A$66,0)),Xe_suy_ra!$E$55*IF(INDEX(xe_input_vu_khi!$H$2:$H$66,MATCH(Xe!$AE$55,xe_input_vu_khi!$A$2:$A$66,0)),INDEX(xe_input_bang_danh_noc!$B$2:$B$8,MIN(7,MAX(1,2-(INDEX(xe_input_vu_khi!$F$2:$F$66,MATCH(Xe!$AE$55,xe_input_vu_khi!$A$2:$A$66,0))-1)+1))),INDEX(xe_input_bang_xuyen_giap!$B$2:$B$8,MIN(7,MAX(1,IF(INDEX(xe_input_vu_khi_suy_ra!$E$2:$E$66,MATCH(Xe!$AE$55,xe_input_vu_khi_suy_ra!$A$2:$A$66,0)),MAX(1,2-(INDEX(xe_input_vu_khi!$F$2:$F$66,MATCH(Xe!$AE$55,xe_input_vu_khi!$A$2:$A$66,0))-1)),2-(INDEX(xe_input_vu_khi!$F$2:$F$66,MATCH(Xe!$AE$55,xe_input_vu_khi!$A$2:$A$66,0))-1))+1))))*IF(INDEX(xe_input_vu_khi_suy_ra!$J$2:$J$66,MATCH(Xe!$AE$55,xe_input_vu_khi_suy_ra!$A$2:$A$66,0)),INDEX(xe_input_bang_xuyen_qua!$B$2:$B$5,MIN(4,MAX(1,(INDEX(xe_input_vu_khi!$F$2:$F$66,MATCH(Xe!$AE$55,xe_input_vu_khi!$A$2:$A$66,0)))-(1)-1))),1)*INDEX(xe_input_vu_khi_suy_ra!$H$2:$H$66,MATCH(Xe!$AE$55,xe_input_vu_khi_suy_ra!$A$2:$A$66,0)),0)</f>
        <v/>
      </c>
      <c r="E31">
        <f>IF(INDEX(xe_input_vu_khi_suy_ra!$F$2:$F$66,MATCH(Xe!$AE$55,xe_input_vu_khi_suy_ra!$A$2:$A$66,0)),Xe_suy_ra!$E$55*IF(INDEX(xe_input_vu_khi!$H$2:$H$66,MATCH(Xe!$AE$55,xe_input_vu_khi!$A$2:$A$66,0)),INDEX(xe_input_bang_danh_noc!$B$2:$B$8,MIN(7,MAX(1,2-(INDEX(xe_input_vu_khi!$F$2:$F$66,MATCH(Xe!$AE$55,xe_input_vu_khi!$A$2:$A$66,0))-3)+1))),INDEX(xe_input_bang_xuyen_giap!$B$2:$B$8,MIN(7,MAX(1,IF(INDEX(xe_input_vu_khi_suy_ra!$E$2:$E$66,MATCH(Xe!$AE$55,xe_input_vu_khi_suy_ra!$A$2:$A$66,0)),MAX(1,2-(INDEX(xe_input_vu_khi!$F$2:$F$66,MATCH(Xe!$AE$55,xe_input_vu_khi!$A$2:$A$66,0))-3)),2-(INDEX(xe_input_vu_khi!$F$2:$F$66,MATCH(Xe!$AE$55,xe_input_vu_khi!$A$2:$A$66,0))-3))+1))))*IF(INDEX(xe_input_vu_khi_suy_ra!$J$2:$J$66,MATCH(Xe!$AE$55,xe_input_vu_khi_suy_ra!$A$2:$A$66,0)),INDEX(xe_input_bang_xuyen_qua!$B$2:$B$5,MIN(4,MAX(1,(INDEX(xe_input_vu_khi!$F$2:$F$66,MATCH(Xe!$AE$55,xe_input_vu_khi!$A$2:$A$66,0)))-(3)-1))),1)*INDEX(xe_input_vu_khi_suy_ra!$H$2:$H$66,MATCH(Xe!$AE$55,xe_input_vu_khi_suy_ra!$A$2:$A$66,0)),0)</f>
        <v/>
      </c>
      <c r="F31">
        <f>IF(INDEX(xe_input_vu_khi_suy_ra!$G$2:$G$66,MATCH(Xe!$AE$55,xe_input_vu_khi_suy_ra!$A$2:$A$66,0)),Xe_suy_ra!$G$55*INDEX(xe_input_bang_xuyen_giap!$B$2:$B$8,MIN(7,MAX(1,MAX(1,2-(INDEX(xe_input_vu_khi!$F$2:$F$66,MATCH(Xe!$AE$55,xe_input_vu_khi!$A$2:$A$66,0))-0))+1)))*IF(INDEX(xe_input_vu_khi_suy_ra!$J$2:$J$66,MATCH(Xe!$AE$55,xe_input_vu_khi_suy_ra!$A$2:$A$66,0)),INDEX(xe_input_bang_xuyen_qua!$B$2:$B$5,MIN(4,MAX(1,(INDEX(xe_input_vu_khi!$F$2:$F$66,MATCH(Xe!$AE$55,xe_input_vu_khi!$A$2:$A$66,0)))-(0)-1))),1)*INDEX(xe_input_vu_khi_suy_ra!$I$2:$I$66,MATCH(Xe!$AE$55,xe_input_vu_khi_suy_ra!$A$2:$A$66,0)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Xe!$I$56</f>
        <v/>
      </c>
      <c r="C32">
        <f>Xe!$K$56</f>
        <v/>
      </c>
      <c r="D32">
        <f>IF(INDEX(xe_input_vu_khi_suy_ra!$F$2:$F$66,MATCH(Xe!$AE$56,xe_input_vu_khi_suy_ra!$A$2:$A$66,0)),Xe_suy_ra!$E$56*IF(INDEX(xe_input_vu_khi!$H$2:$H$66,MATCH(Xe!$AE$56,xe_input_vu_khi!$A$2:$A$66,0)),INDEX(xe_input_bang_danh_noc!$B$2:$B$8,MIN(7,MAX(1,2-(INDEX(xe_input_vu_khi!$F$2:$F$66,MATCH(Xe!$AE$56,xe_input_vu_khi!$A$2:$A$66,0))-1)+1))),INDEX(xe_input_bang_xuyen_giap!$B$2:$B$8,MIN(7,MAX(1,IF(INDEX(xe_input_vu_khi_suy_ra!$E$2:$E$66,MATCH(Xe!$AE$56,xe_input_vu_khi_suy_ra!$A$2:$A$66,0)),MAX(1,2-(INDEX(xe_input_vu_khi!$F$2:$F$66,MATCH(Xe!$AE$56,xe_input_vu_khi!$A$2:$A$66,0))-1)),2-(INDEX(xe_input_vu_khi!$F$2:$F$66,MATCH(Xe!$AE$56,xe_input_vu_khi!$A$2:$A$66,0))-1))+1))))*IF(INDEX(xe_input_vu_khi_suy_ra!$J$2:$J$66,MATCH(Xe!$AE$56,xe_input_vu_khi_suy_ra!$A$2:$A$66,0)),INDEX(xe_input_bang_xuyen_qua!$B$2:$B$5,MIN(4,MAX(1,(INDEX(xe_input_vu_khi!$F$2:$F$66,MATCH(Xe!$AE$56,xe_input_vu_khi!$A$2:$A$66,0)))-(1)-1))),1)*INDEX(xe_input_vu_khi_suy_ra!$H$2:$H$66,MATCH(Xe!$AE$56,xe_input_vu_khi_suy_ra!$A$2:$A$66,0)),0)</f>
        <v/>
      </c>
      <c r="E32">
        <f>IF(INDEX(xe_input_vu_khi_suy_ra!$F$2:$F$66,MATCH(Xe!$AE$56,xe_input_vu_khi_suy_ra!$A$2:$A$66,0)),Xe_suy_ra!$E$56*IF(INDEX(xe_input_vu_khi!$H$2:$H$66,MATCH(Xe!$AE$56,xe_input_vu_khi!$A$2:$A$66,0)),INDEX(xe_input_bang_danh_noc!$B$2:$B$8,MIN(7,MAX(1,2-(INDEX(xe_input_vu_khi!$F$2:$F$66,MATCH(Xe!$AE$56,xe_input_vu_khi!$A$2:$A$66,0))-3)+1))),INDEX(xe_input_bang_xuyen_giap!$B$2:$B$8,MIN(7,MAX(1,IF(INDEX(xe_input_vu_khi_suy_ra!$E$2:$E$66,MATCH(Xe!$AE$56,xe_input_vu_khi_suy_ra!$A$2:$A$66,0)),MAX(1,2-(INDEX(xe_input_vu_khi!$F$2:$F$66,MATCH(Xe!$AE$56,xe_input_vu_khi!$A$2:$A$66,0))-3)),2-(INDEX(xe_input_vu_khi!$F$2:$F$66,MATCH(Xe!$AE$56,xe_input_vu_khi!$A$2:$A$66,0))-3))+1))))*IF(INDEX(xe_input_vu_khi_suy_ra!$J$2:$J$66,MATCH(Xe!$AE$56,xe_input_vu_khi_suy_ra!$A$2:$A$66,0)),INDEX(xe_input_bang_xuyen_qua!$B$2:$B$5,MIN(4,MAX(1,(INDEX(xe_input_vu_khi!$F$2:$F$66,MATCH(Xe!$AE$56,xe_input_vu_khi!$A$2:$A$66,0)))-(3)-1))),1)*INDEX(xe_input_vu_khi_suy_ra!$H$2:$H$66,MATCH(Xe!$AE$56,xe_input_vu_khi_suy_ra!$A$2:$A$66,0)),0)</f>
        <v/>
      </c>
      <c r="F32">
        <f>IF(INDEX(xe_input_vu_khi_suy_ra!$G$2:$G$66,MATCH(Xe!$AE$56,xe_input_vu_khi_suy_ra!$A$2:$A$66,0)),Xe_suy_ra!$G$56*INDEX(xe_input_bang_xuyen_giap!$B$2:$B$8,MIN(7,MAX(1,MAX(1,2-(INDEX(xe_input_vu_khi!$F$2:$F$66,MATCH(Xe!$AE$56,xe_input_vu_khi!$A$2:$A$66,0))-0))+1)))*IF(INDEX(xe_input_vu_khi_suy_ra!$J$2:$J$66,MATCH(Xe!$AE$56,xe_input_vu_khi_suy_ra!$A$2:$A$66,0)),INDEX(xe_input_bang_xuyen_qua!$B$2:$B$5,MIN(4,MAX(1,(INDEX(xe_input_vu_khi!$F$2:$F$66,MATCH(Xe!$AE$56,xe_input_vu_khi!$A$2:$A$66,0)))-(0)-1))),1)*INDEX(xe_input_vu_khi_suy_ra!$I$2:$I$66,MATCH(Xe!$AE$56,xe_input_vu_khi_suy_ra!$A$2:$A$66,0)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Xe!$I$57</f>
        <v/>
      </c>
      <c r="C33">
        <f>Xe!$K$57</f>
        <v/>
      </c>
      <c r="D33">
        <f>IF(INDEX(xe_input_vu_khi_suy_ra!$F$2:$F$66,MATCH(Xe!$AE$57,xe_input_vu_khi_suy_ra!$A$2:$A$66,0)),Xe_suy_ra!$E$57*IF(INDEX(xe_input_vu_khi!$H$2:$H$66,MATCH(Xe!$AE$57,xe_input_vu_khi!$A$2:$A$66,0)),INDEX(xe_input_bang_danh_noc!$B$2:$B$8,MIN(7,MAX(1,2-(INDEX(xe_input_vu_khi!$F$2:$F$66,MATCH(Xe!$AE$57,xe_input_vu_khi!$A$2:$A$66,0))-1)+1))),INDEX(xe_input_bang_xuyen_giap!$B$2:$B$8,MIN(7,MAX(1,IF(INDEX(xe_input_vu_khi_suy_ra!$E$2:$E$66,MATCH(Xe!$AE$57,xe_input_vu_khi_suy_ra!$A$2:$A$66,0)),MAX(1,2-(INDEX(xe_input_vu_khi!$F$2:$F$66,MATCH(Xe!$AE$57,xe_input_vu_khi!$A$2:$A$66,0))-1)),2-(INDEX(xe_input_vu_khi!$F$2:$F$66,MATCH(Xe!$AE$57,xe_input_vu_khi!$A$2:$A$66,0))-1))+1))))*IF(INDEX(xe_input_vu_khi_suy_ra!$J$2:$J$66,MATCH(Xe!$AE$57,xe_input_vu_khi_suy_ra!$A$2:$A$66,0)),INDEX(xe_input_bang_xuyen_qua!$B$2:$B$5,MIN(4,MAX(1,(INDEX(xe_input_vu_khi!$F$2:$F$66,MATCH(Xe!$AE$57,xe_input_vu_khi!$A$2:$A$66,0)))-(1)-1))),1)*INDEX(xe_input_vu_khi_suy_ra!$H$2:$H$66,MATCH(Xe!$AE$57,xe_input_vu_khi_suy_ra!$A$2:$A$66,0)),0)</f>
        <v/>
      </c>
      <c r="E33">
        <f>IF(INDEX(xe_input_vu_khi_suy_ra!$F$2:$F$66,MATCH(Xe!$AE$57,xe_input_vu_khi_suy_ra!$A$2:$A$66,0)),Xe_suy_ra!$E$57*IF(INDEX(xe_input_vu_khi!$H$2:$H$66,MATCH(Xe!$AE$57,xe_input_vu_khi!$A$2:$A$66,0)),INDEX(xe_input_bang_danh_noc!$B$2:$B$8,MIN(7,MAX(1,2-(INDEX(xe_input_vu_khi!$F$2:$F$66,MATCH(Xe!$AE$57,xe_input_vu_khi!$A$2:$A$66,0))-3)+1))),INDEX(xe_input_bang_xuyen_giap!$B$2:$B$8,MIN(7,MAX(1,IF(INDEX(xe_input_vu_khi_suy_ra!$E$2:$E$66,MATCH(Xe!$AE$57,xe_input_vu_khi_suy_ra!$A$2:$A$66,0)),MAX(1,2-(INDEX(xe_input_vu_khi!$F$2:$F$66,MATCH(Xe!$AE$57,xe_input_vu_khi!$A$2:$A$66,0))-3)),2-(INDEX(xe_input_vu_khi!$F$2:$F$66,MATCH(Xe!$AE$57,xe_input_vu_khi!$A$2:$A$66,0))-3))+1))))*IF(INDEX(xe_input_vu_khi_suy_ra!$J$2:$J$66,MATCH(Xe!$AE$57,xe_input_vu_khi_suy_ra!$A$2:$A$66,0)),INDEX(xe_input_bang_xuyen_qua!$B$2:$B$5,MIN(4,MAX(1,(INDEX(xe_input_vu_khi!$F$2:$F$66,MATCH(Xe!$AE$57,xe_input_vu_khi!$A$2:$A$66,0)))-(3)-1))),1)*INDEX(xe_input_vu_khi_suy_ra!$H$2:$H$66,MATCH(Xe!$AE$57,xe_input_vu_khi_suy_ra!$A$2:$A$66,0)),0)</f>
        <v/>
      </c>
      <c r="F33">
        <f>IF(INDEX(xe_input_vu_khi_suy_ra!$G$2:$G$66,MATCH(Xe!$AE$57,xe_input_vu_khi_suy_ra!$A$2:$A$66,0)),Xe_suy_ra!$G$57*INDEX(xe_input_bang_xuyen_giap!$B$2:$B$8,MIN(7,MAX(1,MAX(1,2-(INDEX(xe_input_vu_khi!$F$2:$F$66,MATCH(Xe!$AE$57,xe_input_vu_khi!$A$2:$A$66,0))-0))+1)))*IF(INDEX(xe_input_vu_khi_suy_ra!$J$2:$J$66,MATCH(Xe!$AE$57,xe_input_vu_khi_suy_ra!$A$2:$A$66,0)),INDEX(xe_input_bang_xuyen_qua!$B$2:$B$5,MIN(4,MAX(1,(INDEX(xe_input_vu_khi!$F$2:$F$66,MATCH(Xe!$AE$57,xe_input_vu_khi!$A$2:$A$66,0)))-(0)-1))),1)*INDEX(xe_input_vu_khi_suy_ra!$I$2:$I$66,MATCH(Xe!$AE$57,xe_input_vu_khi_suy_ra!$A$2:$A$66,0)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Xe!$I$58</f>
        <v/>
      </c>
      <c r="C34">
        <f>Xe!$K$58</f>
        <v/>
      </c>
      <c r="D34">
        <f>IF(INDEX(xe_input_vu_khi_suy_ra!$F$2:$F$66,MATCH(Xe!$AE$58,xe_input_vu_khi_suy_ra!$A$2:$A$66,0)),Xe_suy_ra!$E$58*IF(INDEX(xe_input_vu_khi!$H$2:$H$66,MATCH(Xe!$AE$58,xe_input_vu_khi!$A$2:$A$66,0)),INDEX(xe_input_bang_danh_noc!$B$2:$B$8,MIN(7,MAX(1,2-(INDEX(xe_input_vu_khi!$F$2:$F$66,MATCH(Xe!$AE$58,xe_input_vu_khi!$A$2:$A$66,0))-1)+1))),INDEX(xe_input_bang_xuyen_giap!$B$2:$B$8,MIN(7,MAX(1,IF(INDEX(xe_input_vu_khi_suy_ra!$E$2:$E$66,MATCH(Xe!$AE$58,xe_input_vu_khi_suy_ra!$A$2:$A$66,0)),MAX(1,2-(INDEX(xe_input_vu_khi!$F$2:$F$66,MATCH(Xe!$AE$58,xe_input_vu_khi!$A$2:$A$66,0))-1)),2-(INDEX(xe_input_vu_khi!$F$2:$F$66,MATCH(Xe!$AE$58,xe_input_vu_khi!$A$2:$A$66,0))-1))+1))))*IF(INDEX(xe_input_vu_khi_suy_ra!$J$2:$J$66,MATCH(Xe!$AE$58,xe_input_vu_khi_suy_ra!$A$2:$A$66,0)),INDEX(xe_input_bang_xuyen_qua!$B$2:$B$5,MIN(4,MAX(1,(INDEX(xe_input_vu_khi!$F$2:$F$66,MATCH(Xe!$AE$58,xe_input_vu_khi!$A$2:$A$66,0)))-(1)-1))),1)*INDEX(xe_input_vu_khi_suy_ra!$H$2:$H$66,MATCH(Xe!$AE$58,xe_input_vu_khi_suy_ra!$A$2:$A$66,0)),0)</f>
        <v/>
      </c>
      <c r="E34">
        <f>IF(INDEX(xe_input_vu_khi_suy_ra!$F$2:$F$66,MATCH(Xe!$AE$58,xe_input_vu_khi_suy_ra!$A$2:$A$66,0)),Xe_suy_ra!$E$58*IF(INDEX(xe_input_vu_khi!$H$2:$H$66,MATCH(Xe!$AE$58,xe_input_vu_khi!$A$2:$A$66,0)),INDEX(xe_input_bang_danh_noc!$B$2:$B$8,MIN(7,MAX(1,2-(INDEX(xe_input_vu_khi!$F$2:$F$66,MATCH(Xe!$AE$58,xe_input_vu_khi!$A$2:$A$66,0))-3)+1))),INDEX(xe_input_bang_xuyen_giap!$B$2:$B$8,MIN(7,MAX(1,IF(INDEX(xe_input_vu_khi_suy_ra!$E$2:$E$66,MATCH(Xe!$AE$58,xe_input_vu_khi_suy_ra!$A$2:$A$66,0)),MAX(1,2-(INDEX(xe_input_vu_khi!$F$2:$F$66,MATCH(Xe!$AE$58,xe_input_vu_khi!$A$2:$A$66,0))-3)),2-(INDEX(xe_input_vu_khi!$F$2:$F$66,MATCH(Xe!$AE$58,xe_input_vu_khi!$A$2:$A$66,0))-3))+1))))*IF(INDEX(xe_input_vu_khi_suy_ra!$J$2:$J$66,MATCH(Xe!$AE$58,xe_input_vu_khi_suy_ra!$A$2:$A$66,0)),INDEX(xe_input_bang_xuyen_qua!$B$2:$B$5,MIN(4,MAX(1,(INDEX(xe_input_vu_khi!$F$2:$F$66,MATCH(Xe!$AE$58,xe_input_vu_khi!$A$2:$A$66,0)))-(3)-1))),1)*INDEX(xe_input_vu_khi_suy_ra!$H$2:$H$66,MATCH(Xe!$AE$58,xe_input_vu_khi_suy_ra!$A$2:$A$66,0)),0)</f>
        <v/>
      </c>
      <c r="F34">
        <f>IF(INDEX(xe_input_vu_khi_suy_ra!$G$2:$G$66,MATCH(Xe!$AE$58,xe_input_vu_khi_suy_ra!$A$2:$A$66,0)),Xe_suy_ra!$G$58*INDEX(xe_input_bang_xuyen_giap!$B$2:$B$8,MIN(7,MAX(1,MAX(1,2-(INDEX(xe_input_vu_khi!$F$2:$F$66,MATCH(Xe!$AE$58,xe_input_vu_khi!$A$2:$A$66,0))-0))+1)))*IF(INDEX(xe_input_vu_khi_suy_ra!$J$2:$J$66,MATCH(Xe!$AE$58,xe_input_vu_khi_suy_ra!$A$2:$A$66,0)),INDEX(xe_input_bang_xuyen_qua!$B$2:$B$5,MIN(4,MAX(1,(INDEX(xe_input_vu_khi!$F$2:$F$66,MATCH(Xe!$AE$58,xe_input_vu_khi!$A$2:$A$66,0)))-(0)-1))),1)*INDEX(xe_input_vu_khi_suy_ra!$I$2:$I$66,MATCH(Xe!$AE$58,xe_input_vu_khi_suy_ra!$A$2:$A$66,0)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Xe!$I$59</f>
        <v/>
      </c>
      <c r="C35">
        <f>Xe!$K$59</f>
        <v/>
      </c>
      <c r="D35">
        <f>IF(INDEX(xe_input_vu_khi_suy_ra!$F$2:$F$66,MATCH(Xe!$AE$59,xe_input_vu_khi_suy_ra!$A$2:$A$66,0)),Xe_suy_ra!$E$59*IF(INDEX(xe_input_vu_khi!$H$2:$H$66,MATCH(Xe!$AE$59,xe_input_vu_khi!$A$2:$A$66,0)),INDEX(xe_input_bang_danh_noc!$B$2:$B$8,MIN(7,MAX(1,2-(INDEX(xe_input_vu_khi!$F$2:$F$66,MATCH(Xe!$AE$59,xe_input_vu_khi!$A$2:$A$66,0))-1)+1))),INDEX(xe_input_bang_xuyen_giap!$B$2:$B$8,MIN(7,MAX(1,IF(INDEX(xe_input_vu_khi_suy_ra!$E$2:$E$66,MATCH(Xe!$AE$59,xe_input_vu_khi_suy_ra!$A$2:$A$66,0)),MAX(1,2-(INDEX(xe_input_vu_khi!$F$2:$F$66,MATCH(Xe!$AE$59,xe_input_vu_khi!$A$2:$A$66,0))-1)),2-(INDEX(xe_input_vu_khi!$F$2:$F$66,MATCH(Xe!$AE$59,xe_input_vu_khi!$A$2:$A$66,0))-1))+1))))*IF(INDEX(xe_input_vu_khi_suy_ra!$J$2:$J$66,MATCH(Xe!$AE$59,xe_input_vu_khi_suy_ra!$A$2:$A$66,0)),INDEX(xe_input_bang_xuyen_qua!$B$2:$B$5,MIN(4,MAX(1,(INDEX(xe_input_vu_khi!$F$2:$F$66,MATCH(Xe!$AE$59,xe_input_vu_khi!$A$2:$A$66,0)))-(1)-1))),1)*INDEX(xe_input_vu_khi_suy_ra!$H$2:$H$66,MATCH(Xe!$AE$59,xe_input_vu_khi_suy_ra!$A$2:$A$66,0)),0)</f>
        <v/>
      </c>
      <c r="E35">
        <f>IF(INDEX(xe_input_vu_khi_suy_ra!$F$2:$F$66,MATCH(Xe!$AE$59,xe_input_vu_khi_suy_ra!$A$2:$A$66,0)),Xe_suy_ra!$E$59*IF(INDEX(xe_input_vu_khi!$H$2:$H$66,MATCH(Xe!$AE$59,xe_input_vu_khi!$A$2:$A$66,0)),INDEX(xe_input_bang_danh_noc!$B$2:$B$8,MIN(7,MAX(1,2-(INDEX(xe_input_vu_khi!$F$2:$F$66,MATCH(Xe!$AE$59,xe_input_vu_khi!$A$2:$A$66,0))-3)+1))),INDEX(xe_input_bang_xuyen_giap!$B$2:$B$8,MIN(7,MAX(1,IF(INDEX(xe_input_vu_khi_suy_ra!$E$2:$E$66,MATCH(Xe!$AE$59,xe_input_vu_khi_suy_ra!$A$2:$A$66,0)),MAX(1,2-(INDEX(xe_input_vu_khi!$F$2:$F$66,MATCH(Xe!$AE$59,xe_input_vu_khi!$A$2:$A$66,0))-3)),2-(INDEX(xe_input_vu_khi!$F$2:$F$66,MATCH(Xe!$AE$59,xe_input_vu_khi!$A$2:$A$66,0))-3))+1))))*IF(INDEX(xe_input_vu_khi_suy_ra!$J$2:$J$66,MATCH(Xe!$AE$59,xe_input_vu_khi_suy_ra!$A$2:$A$66,0)),INDEX(xe_input_bang_xuyen_qua!$B$2:$B$5,MIN(4,MAX(1,(INDEX(xe_input_vu_khi!$F$2:$F$66,MATCH(Xe!$AE$59,xe_input_vu_khi!$A$2:$A$66,0)))-(3)-1))),1)*INDEX(xe_input_vu_khi_suy_ra!$H$2:$H$66,MATCH(Xe!$AE$59,xe_input_vu_khi_suy_ra!$A$2:$A$66,0)),0)</f>
        <v/>
      </c>
      <c r="F35">
        <f>IF(INDEX(xe_input_vu_khi_suy_ra!$G$2:$G$66,MATCH(Xe!$AE$59,xe_input_vu_khi_suy_ra!$A$2:$A$66,0)),Xe_suy_ra!$G$59*INDEX(xe_input_bang_xuyen_giap!$B$2:$B$8,MIN(7,MAX(1,MAX(1,2-(INDEX(xe_input_vu_khi!$F$2:$F$66,MATCH(Xe!$AE$59,xe_input_vu_khi!$A$2:$A$66,0))-0))+1)))*IF(INDEX(xe_input_vu_khi_suy_ra!$J$2:$J$66,MATCH(Xe!$AE$59,xe_input_vu_khi_suy_ra!$A$2:$A$66,0)),INDEX(xe_input_bang_xuyen_qua!$B$2:$B$5,MIN(4,MAX(1,(INDEX(xe_input_vu_khi!$F$2:$F$66,MATCH(Xe!$AE$59,xe_input_vu_khi!$A$2:$A$66,0)))-(0)-1))),1)*INDEX(xe_input_vu_khi_suy_ra!$I$2:$I$66,MATCH(Xe!$AE$59,xe_input_vu_khi_suy_ra!$A$2:$A$66,0)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Xe!$I$62</f>
        <v/>
      </c>
      <c r="C36">
        <f>Xe!$K$62</f>
        <v/>
      </c>
      <c r="D36">
        <f>IF(INDEX(xe_input_vu_khi_suy_ra!$F$2:$F$66,MATCH(Xe!$AE$62,xe_input_vu_khi_suy_ra!$A$2:$A$66,0)),Xe_suy_ra!$E$62*IF(INDEX(xe_input_vu_khi!$H$2:$H$66,MATCH(Xe!$AE$62,xe_input_vu_khi!$A$2:$A$66,0)),INDEX(xe_input_bang_danh_noc!$B$2:$B$8,MIN(7,MAX(1,2-(INDEX(xe_input_vu_khi!$F$2:$F$66,MATCH(Xe!$AE$62,xe_input_vu_khi!$A$2:$A$66,0))-1)+1))),INDEX(xe_input_bang_xuyen_giap!$B$2:$B$8,MIN(7,MAX(1,IF(INDEX(xe_input_vu_khi_suy_ra!$E$2:$E$66,MATCH(Xe!$AE$62,xe_input_vu_khi_suy_ra!$A$2:$A$66,0)),MAX(1,2-(INDEX(xe_input_vu_khi!$F$2:$F$66,MATCH(Xe!$AE$62,xe_input_vu_khi!$A$2:$A$66,0))-1)),2-(INDEX(xe_input_vu_khi!$F$2:$F$66,MATCH(Xe!$AE$62,xe_input_vu_khi!$A$2:$A$66,0))-1))+1))))*IF(INDEX(xe_input_vu_khi_suy_ra!$J$2:$J$66,MATCH(Xe!$AE$62,xe_input_vu_khi_suy_ra!$A$2:$A$66,0)),INDEX(xe_input_bang_xuyen_qua!$B$2:$B$5,MIN(4,MAX(1,(INDEX(xe_input_vu_khi!$F$2:$F$66,MATCH(Xe!$AE$62,xe_input_vu_khi!$A$2:$A$66,0)))-(1)-1))),1)*INDEX(xe_input_vu_khi_suy_ra!$H$2:$H$66,MATCH(Xe!$AE$62,xe_input_vu_khi_suy_ra!$A$2:$A$66,0)),0)</f>
        <v/>
      </c>
      <c r="E36">
        <f>IF(INDEX(xe_input_vu_khi_suy_ra!$F$2:$F$66,MATCH(Xe!$AE$62,xe_input_vu_khi_suy_ra!$A$2:$A$66,0)),Xe_suy_ra!$E$62*IF(INDEX(xe_input_vu_khi!$H$2:$H$66,MATCH(Xe!$AE$62,xe_input_vu_khi!$A$2:$A$66,0)),INDEX(xe_input_bang_danh_noc!$B$2:$B$8,MIN(7,MAX(1,2-(INDEX(xe_input_vu_khi!$F$2:$F$66,MATCH(Xe!$AE$62,xe_input_vu_khi!$A$2:$A$66,0))-3)+1))),INDEX(xe_input_bang_xuyen_giap!$B$2:$B$8,MIN(7,MAX(1,IF(INDEX(xe_input_vu_khi_suy_ra!$E$2:$E$66,MATCH(Xe!$AE$62,xe_input_vu_khi_suy_ra!$A$2:$A$66,0)),MAX(1,2-(INDEX(xe_input_vu_khi!$F$2:$F$66,MATCH(Xe!$AE$62,xe_input_vu_khi!$A$2:$A$66,0))-3)),2-(INDEX(xe_input_vu_khi!$F$2:$F$66,MATCH(Xe!$AE$62,xe_input_vu_khi!$A$2:$A$66,0))-3))+1))))*IF(INDEX(xe_input_vu_khi_suy_ra!$J$2:$J$66,MATCH(Xe!$AE$62,xe_input_vu_khi_suy_ra!$A$2:$A$66,0)),INDEX(xe_input_bang_xuyen_qua!$B$2:$B$5,MIN(4,MAX(1,(INDEX(xe_input_vu_khi!$F$2:$F$66,MATCH(Xe!$AE$62,xe_input_vu_khi!$A$2:$A$66,0)))-(3)-1))),1)*INDEX(xe_input_vu_khi_suy_ra!$H$2:$H$66,MATCH(Xe!$AE$62,xe_input_vu_khi_suy_ra!$A$2:$A$66,0)),0)</f>
        <v/>
      </c>
      <c r="F36">
        <f>IF(INDEX(xe_input_vu_khi_suy_ra!$G$2:$G$66,MATCH(Xe!$AE$62,xe_input_vu_khi_suy_ra!$A$2:$A$66,0)),Xe_suy_ra!$G$62*INDEX(xe_input_bang_xuyen_giap!$B$2:$B$8,MIN(7,MAX(1,MAX(1,2-(INDEX(xe_input_vu_khi!$F$2:$F$66,MATCH(Xe!$AE$62,xe_input_vu_khi!$A$2:$A$66,0))-0))+1)))*IF(INDEX(xe_input_vu_khi_suy_ra!$J$2:$J$66,MATCH(Xe!$AE$62,xe_input_vu_khi_suy_ra!$A$2:$A$66,0)),INDEX(xe_input_bang_xuyen_qua!$B$2:$B$5,MIN(4,MAX(1,(INDEX(xe_input_vu_khi!$F$2:$F$66,MATCH(Xe!$AE$62,xe_input_vu_khi!$A$2:$A$66,0)))-(0)-1))),1)*INDEX(xe_input_vu_khi_suy_ra!$I$2:$I$66,MATCH(Xe!$AE$62,xe_input_vu_khi_suy_ra!$A$2:$A$66,0)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Xe!$I$64</f>
        <v/>
      </c>
      <c r="C37">
        <f>Xe!$K$64</f>
        <v/>
      </c>
      <c r="D37">
        <f>IF(INDEX(xe_input_vu_khi_suy_ra!$F$2:$F$66,MATCH(Xe!$AE$64,xe_input_vu_khi_suy_ra!$A$2:$A$66,0)),Xe_suy_ra!$E$64*IF(INDEX(xe_input_vu_khi!$H$2:$H$66,MATCH(Xe!$AE$64,xe_input_vu_khi!$A$2:$A$66,0)),INDEX(xe_input_bang_danh_noc!$B$2:$B$8,MIN(7,MAX(1,2-(INDEX(xe_input_vu_khi!$F$2:$F$66,MATCH(Xe!$AE$64,xe_input_vu_khi!$A$2:$A$66,0))-1)+1))),INDEX(xe_input_bang_xuyen_giap!$B$2:$B$8,MIN(7,MAX(1,IF(INDEX(xe_input_vu_khi_suy_ra!$E$2:$E$66,MATCH(Xe!$AE$64,xe_input_vu_khi_suy_ra!$A$2:$A$66,0)),MAX(1,2-(INDEX(xe_input_vu_khi!$F$2:$F$66,MATCH(Xe!$AE$64,xe_input_vu_khi!$A$2:$A$66,0))-1)),2-(INDEX(xe_input_vu_khi!$F$2:$F$66,MATCH(Xe!$AE$64,xe_input_vu_khi!$A$2:$A$66,0))-1))+1))))*IF(INDEX(xe_input_vu_khi_suy_ra!$J$2:$J$66,MATCH(Xe!$AE$64,xe_input_vu_khi_suy_ra!$A$2:$A$66,0)),INDEX(xe_input_bang_xuyen_qua!$B$2:$B$5,MIN(4,MAX(1,(INDEX(xe_input_vu_khi!$F$2:$F$66,MATCH(Xe!$AE$64,xe_input_vu_khi!$A$2:$A$66,0)))-(1)-1))),1)*INDEX(xe_input_vu_khi_suy_ra!$H$2:$H$66,MATCH(Xe!$AE$64,xe_input_vu_khi_suy_ra!$A$2:$A$66,0)),0)</f>
        <v/>
      </c>
      <c r="E37">
        <f>IF(INDEX(xe_input_vu_khi_suy_ra!$F$2:$F$66,MATCH(Xe!$AE$64,xe_input_vu_khi_suy_ra!$A$2:$A$66,0)),Xe_suy_ra!$E$64*IF(INDEX(xe_input_vu_khi!$H$2:$H$66,MATCH(Xe!$AE$64,xe_input_vu_khi!$A$2:$A$66,0)),INDEX(xe_input_bang_danh_noc!$B$2:$B$8,MIN(7,MAX(1,2-(INDEX(xe_input_vu_khi!$F$2:$F$66,MATCH(Xe!$AE$64,xe_input_vu_khi!$A$2:$A$66,0))-3)+1))),INDEX(xe_input_bang_xuyen_giap!$B$2:$B$8,MIN(7,MAX(1,IF(INDEX(xe_input_vu_khi_suy_ra!$E$2:$E$66,MATCH(Xe!$AE$64,xe_input_vu_khi_suy_ra!$A$2:$A$66,0)),MAX(1,2-(INDEX(xe_input_vu_khi!$F$2:$F$66,MATCH(Xe!$AE$64,xe_input_vu_khi!$A$2:$A$66,0))-3)),2-(INDEX(xe_input_vu_khi!$F$2:$F$66,MATCH(Xe!$AE$64,xe_input_vu_khi!$A$2:$A$66,0))-3))+1))))*IF(INDEX(xe_input_vu_khi_suy_ra!$J$2:$J$66,MATCH(Xe!$AE$64,xe_input_vu_khi_suy_ra!$A$2:$A$66,0)),INDEX(xe_input_bang_xuyen_qua!$B$2:$B$5,MIN(4,MAX(1,(INDEX(xe_input_vu_khi!$F$2:$F$66,MATCH(Xe!$AE$64,xe_input_vu_khi!$A$2:$A$66,0)))-(3)-1))),1)*INDEX(xe_input_vu_khi_suy_ra!$H$2:$H$66,MATCH(Xe!$AE$64,xe_input_vu_khi_suy_ra!$A$2:$A$66,0)),0)</f>
        <v/>
      </c>
      <c r="F37">
        <f>IF(INDEX(xe_input_vu_khi_suy_ra!$G$2:$G$66,MATCH(Xe!$AE$64,xe_input_vu_khi_suy_ra!$A$2:$A$66,0)),Xe_suy_ra!$G$64*INDEX(xe_input_bang_xuyen_giap!$B$2:$B$8,MIN(7,MAX(1,MAX(1,2-(INDEX(xe_input_vu_khi!$F$2:$F$66,MATCH(Xe!$AE$64,xe_input_vu_khi!$A$2:$A$66,0))-0))+1)))*IF(INDEX(xe_input_vu_khi_suy_ra!$J$2:$J$66,MATCH(Xe!$AE$64,xe_input_vu_khi_suy_ra!$A$2:$A$66,0)),INDEX(xe_input_bang_xuyen_qua!$B$2:$B$5,MIN(4,MAX(1,(INDEX(xe_input_vu_khi!$F$2:$F$66,MATCH(Xe!$AE$64,xe_input_vu_khi!$A$2:$A$66,0)))-(0)-1))),1)*INDEX(xe_input_vu_khi_suy_ra!$I$2:$I$66,MATCH(Xe!$AE$64,xe_input_vu_khi_suy_ra!$A$2:$A$66,0)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Xe!$I$65</f>
        <v/>
      </c>
      <c r="C38">
        <f>Xe!$K$65</f>
        <v/>
      </c>
      <c r="D38">
        <f>IF(INDEX(xe_input_vu_khi_suy_ra!$F$2:$F$66,MATCH(Xe!$AE$65,xe_input_vu_khi_suy_ra!$A$2:$A$66,0)),Xe_suy_ra!$E$65*IF(INDEX(xe_input_vu_khi!$H$2:$H$66,MATCH(Xe!$AE$65,xe_input_vu_khi!$A$2:$A$66,0)),INDEX(xe_input_bang_danh_noc!$B$2:$B$8,MIN(7,MAX(1,2-(INDEX(xe_input_vu_khi!$F$2:$F$66,MATCH(Xe!$AE$65,xe_input_vu_khi!$A$2:$A$66,0))-1)+1))),INDEX(xe_input_bang_xuyen_giap!$B$2:$B$8,MIN(7,MAX(1,IF(INDEX(xe_input_vu_khi_suy_ra!$E$2:$E$66,MATCH(Xe!$AE$65,xe_input_vu_khi_suy_ra!$A$2:$A$66,0)),MAX(1,2-(INDEX(xe_input_vu_khi!$F$2:$F$66,MATCH(Xe!$AE$65,xe_input_vu_khi!$A$2:$A$66,0))-1)),2-(INDEX(xe_input_vu_khi!$F$2:$F$66,MATCH(Xe!$AE$65,xe_input_vu_khi!$A$2:$A$66,0))-1))+1))))*IF(INDEX(xe_input_vu_khi_suy_ra!$J$2:$J$66,MATCH(Xe!$AE$65,xe_input_vu_khi_suy_ra!$A$2:$A$66,0)),INDEX(xe_input_bang_xuyen_qua!$B$2:$B$5,MIN(4,MAX(1,(INDEX(xe_input_vu_khi!$F$2:$F$66,MATCH(Xe!$AE$65,xe_input_vu_khi!$A$2:$A$66,0)))-(1)-1))),1)*INDEX(xe_input_vu_khi_suy_ra!$H$2:$H$66,MATCH(Xe!$AE$65,xe_input_vu_khi_suy_ra!$A$2:$A$66,0)),0)</f>
        <v/>
      </c>
      <c r="E38">
        <f>IF(INDEX(xe_input_vu_khi_suy_ra!$F$2:$F$66,MATCH(Xe!$AE$65,xe_input_vu_khi_suy_ra!$A$2:$A$66,0)),Xe_suy_ra!$E$65*IF(INDEX(xe_input_vu_khi!$H$2:$H$66,MATCH(Xe!$AE$65,xe_input_vu_khi!$A$2:$A$66,0)),INDEX(xe_input_bang_danh_noc!$B$2:$B$8,MIN(7,MAX(1,2-(INDEX(xe_input_vu_khi!$F$2:$F$66,MATCH(Xe!$AE$65,xe_input_vu_khi!$A$2:$A$66,0))-3)+1))),INDEX(xe_input_bang_xuyen_giap!$B$2:$B$8,MIN(7,MAX(1,IF(INDEX(xe_input_vu_khi_suy_ra!$E$2:$E$66,MATCH(Xe!$AE$65,xe_input_vu_khi_suy_ra!$A$2:$A$66,0)),MAX(1,2-(INDEX(xe_input_vu_khi!$F$2:$F$66,MATCH(Xe!$AE$65,xe_input_vu_khi!$A$2:$A$66,0))-3)),2-(INDEX(xe_input_vu_khi!$F$2:$F$66,MATCH(Xe!$AE$65,xe_input_vu_khi!$A$2:$A$66,0))-3))+1))))*IF(INDEX(xe_input_vu_khi_suy_ra!$J$2:$J$66,MATCH(Xe!$AE$65,xe_input_vu_khi_suy_ra!$A$2:$A$66,0)),INDEX(xe_input_bang_xuyen_qua!$B$2:$B$5,MIN(4,MAX(1,(INDEX(xe_input_vu_khi!$F$2:$F$66,MATCH(Xe!$AE$65,xe_input_vu_khi!$A$2:$A$66,0)))-(3)-1))),1)*INDEX(xe_input_vu_khi_suy_ra!$H$2:$H$66,MATCH(Xe!$AE$65,xe_input_vu_khi_suy_ra!$A$2:$A$66,0)),0)</f>
        <v/>
      </c>
      <c r="F38">
        <f>IF(INDEX(xe_input_vu_khi_suy_ra!$G$2:$G$66,MATCH(Xe!$AE$65,xe_input_vu_khi_suy_ra!$A$2:$A$66,0)),Xe_suy_ra!$G$65*INDEX(xe_input_bang_xuyen_giap!$B$2:$B$8,MIN(7,MAX(1,MAX(1,2-(INDEX(xe_input_vu_khi!$F$2:$F$66,MATCH(Xe!$AE$65,xe_input_vu_khi!$A$2:$A$66,0))-0))+1)))*IF(INDEX(xe_input_vu_khi_suy_ra!$J$2:$J$66,MATCH(Xe!$AE$65,xe_input_vu_khi_suy_ra!$A$2:$A$66,0)),INDEX(xe_input_bang_xuyen_qua!$B$2:$B$5,MIN(4,MAX(1,(INDEX(xe_input_vu_khi!$F$2:$F$66,MATCH(Xe!$AE$65,xe_input_vu_khi!$A$2:$A$66,0)))-(0)-1))),1)*INDEX(xe_input_vu_khi_suy_ra!$I$2:$I$66,MATCH(Xe!$AE$65,xe_input_vu_khi_suy_ra!$A$2:$A$66,0)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Xe!$I$66</f>
        <v/>
      </c>
      <c r="C39">
        <f>Xe!$K$66</f>
        <v/>
      </c>
      <c r="D39">
        <f>IF(INDEX(xe_input_vu_khi_suy_ra!$F$2:$F$66,MATCH(Xe!$AE$66,xe_input_vu_khi_suy_ra!$A$2:$A$66,0)),Xe_suy_ra!$E$66*IF(INDEX(xe_input_vu_khi!$H$2:$H$66,MATCH(Xe!$AE$66,xe_input_vu_khi!$A$2:$A$66,0)),INDEX(xe_input_bang_danh_noc!$B$2:$B$8,MIN(7,MAX(1,2-(INDEX(xe_input_vu_khi!$F$2:$F$66,MATCH(Xe!$AE$66,xe_input_vu_khi!$A$2:$A$66,0))-1)+1))),INDEX(xe_input_bang_xuyen_giap!$B$2:$B$8,MIN(7,MAX(1,IF(INDEX(xe_input_vu_khi_suy_ra!$E$2:$E$66,MATCH(Xe!$AE$66,xe_input_vu_khi_suy_ra!$A$2:$A$66,0)),MAX(1,2-(INDEX(xe_input_vu_khi!$F$2:$F$66,MATCH(Xe!$AE$66,xe_input_vu_khi!$A$2:$A$66,0))-1)),2-(INDEX(xe_input_vu_khi!$F$2:$F$66,MATCH(Xe!$AE$66,xe_input_vu_khi!$A$2:$A$66,0))-1))+1))))*IF(INDEX(xe_input_vu_khi_suy_ra!$J$2:$J$66,MATCH(Xe!$AE$66,xe_input_vu_khi_suy_ra!$A$2:$A$66,0)),INDEX(xe_input_bang_xuyen_qua!$B$2:$B$5,MIN(4,MAX(1,(INDEX(xe_input_vu_khi!$F$2:$F$66,MATCH(Xe!$AE$66,xe_input_vu_khi!$A$2:$A$66,0)))-(1)-1))),1)*INDEX(xe_input_vu_khi_suy_ra!$H$2:$H$66,MATCH(Xe!$AE$66,xe_input_vu_khi_suy_ra!$A$2:$A$66,0)),0)</f>
        <v/>
      </c>
      <c r="E39">
        <f>IF(INDEX(xe_input_vu_khi_suy_ra!$F$2:$F$66,MATCH(Xe!$AE$66,xe_input_vu_khi_suy_ra!$A$2:$A$66,0)),Xe_suy_ra!$E$66*IF(INDEX(xe_input_vu_khi!$H$2:$H$66,MATCH(Xe!$AE$66,xe_input_vu_khi!$A$2:$A$66,0)),INDEX(xe_input_bang_danh_noc!$B$2:$B$8,MIN(7,MAX(1,2-(INDEX(xe_input_vu_khi!$F$2:$F$66,MATCH(Xe!$AE$66,xe_input_vu_khi!$A$2:$A$66,0))-3)+1))),INDEX(xe_input_bang_xuyen_giap!$B$2:$B$8,MIN(7,MAX(1,IF(INDEX(xe_input_vu_khi_suy_ra!$E$2:$E$66,MATCH(Xe!$AE$66,xe_input_vu_khi_suy_ra!$A$2:$A$66,0)),MAX(1,2-(INDEX(xe_input_vu_khi!$F$2:$F$66,MATCH(Xe!$AE$66,xe_input_vu_khi!$A$2:$A$66,0))-3)),2-(INDEX(xe_input_vu_khi!$F$2:$F$66,MATCH(Xe!$AE$66,xe_input_vu_khi!$A$2:$A$66,0))-3))+1))))*IF(INDEX(xe_input_vu_khi_suy_ra!$J$2:$J$66,MATCH(Xe!$AE$66,xe_input_vu_khi_suy_ra!$A$2:$A$66,0)),INDEX(xe_input_bang_xuyen_qua!$B$2:$B$5,MIN(4,MAX(1,(INDEX(xe_input_vu_khi!$F$2:$F$66,MATCH(Xe!$AE$66,xe_input_vu_khi!$A$2:$A$66,0)))-(3)-1))),1)*INDEX(xe_input_vu_khi_suy_ra!$H$2:$H$66,MATCH(Xe!$AE$66,xe_input_vu_khi_suy_ra!$A$2:$A$66,0)),0)</f>
        <v/>
      </c>
      <c r="F39">
        <f>IF(INDEX(xe_input_vu_khi_suy_ra!$G$2:$G$66,MATCH(Xe!$AE$66,xe_input_vu_khi_suy_ra!$A$2:$A$66,0)),Xe_suy_ra!$G$66*INDEX(xe_input_bang_xuyen_giap!$B$2:$B$8,MIN(7,MAX(1,MAX(1,2-(INDEX(xe_input_vu_khi!$F$2:$F$66,MATCH(Xe!$AE$66,xe_input_vu_khi!$A$2:$A$66,0))-0))+1)))*IF(INDEX(xe_input_vu_khi_suy_ra!$J$2:$J$66,MATCH(Xe!$AE$66,xe_input_vu_khi_suy_ra!$A$2:$A$66,0)),INDEX(xe_input_bang_xuyen_qua!$B$2:$B$5,MIN(4,MAX(1,(INDEX(xe_input_vu_khi!$F$2:$F$66,MATCH(Xe!$AE$66,xe_input_vu_khi!$A$2:$A$66,0)))-(0)-1))),1)*INDEX(xe_input_vu_khi_suy_ra!$I$2:$I$66,MATCH(Xe!$AE$66,xe_input_vu_khi_suy_ra!$A$2:$A$66,0)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Xe!$I$67</f>
        <v/>
      </c>
      <c r="C40">
        <f>Xe!$K$67</f>
        <v/>
      </c>
      <c r="D40">
        <f>IF(INDEX(xe_input_vu_khi_suy_ra!$F$2:$F$66,MATCH(Xe!$AE$67,xe_input_vu_khi_suy_ra!$A$2:$A$66,0)),Xe_suy_ra!$E$67*IF(INDEX(xe_input_vu_khi!$H$2:$H$66,MATCH(Xe!$AE$67,xe_input_vu_khi!$A$2:$A$66,0)),INDEX(xe_input_bang_danh_noc!$B$2:$B$8,MIN(7,MAX(1,2-(INDEX(xe_input_vu_khi!$F$2:$F$66,MATCH(Xe!$AE$67,xe_input_vu_khi!$A$2:$A$66,0))-1)+1))),INDEX(xe_input_bang_xuyen_giap!$B$2:$B$8,MIN(7,MAX(1,IF(INDEX(xe_input_vu_khi_suy_ra!$E$2:$E$66,MATCH(Xe!$AE$67,xe_input_vu_khi_suy_ra!$A$2:$A$66,0)),MAX(1,2-(INDEX(xe_input_vu_khi!$F$2:$F$66,MATCH(Xe!$AE$67,xe_input_vu_khi!$A$2:$A$66,0))-1)),2-(INDEX(xe_input_vu_khi!$F$2:$F$66,MATCH(Xe!$AE$67,xe_input_vu_khi!$A$2:$A$66,0))-1))+1))))*IF(INDEX(xe_input_vu_khi_suy_ra!$J$2:$J$66,MATCH(Xe!$AE$67,xe_input_vu_khi_suy_ra!$A$2:$A$66,0)),INDEX(xe_input_bang_xuyen_qua!$B$2:$B$5,MIN(4,MAX(1,(INDEX(xe_input_vu_khi!$F$2:$F$66,MATCH(Xe!$AE$67,xe_input_vu_khi!$A$2:$A$66,0)))-(1)-1))),1)*INDEX(xe_input_vu_khi_suy_ra!$H$2:$H$66,MATCH(Xe!$AE$67,xe_input_vu_khi_suy_ra!$A$2:$A$66,0)),0)</f>
        <v/>
      </c>
      <c r="E40">
        <f>IF(INDEX(xe_input_vu_khi_suy_ra!$F$2:$F$66,MATCH(Xe!$AE$67,xe_input_vu_khi_suy_ra!$A$2:$A$66,0)),Xe_suy_ra!$E$67*IF(INDEX(xe_input_vu_khi!$H$2:$H$66,MATCH(Xe!$AE$67,xe_input_vu_khi!$A$2:$A$66,0)),INDEX(xe_input_bang_danh_noc!$B$2:$B$8,MIN(7,MAX(1,2-(INDEX(xe_input_vu_khi!$F$2:$F$66,MATCH(Xe!$AE$67,xe_input_vu_khi!$A$2:$A$66,0))-3)+1))),INDEX(xe_input_bang_xuyen_giap!$B$2:$B$8,MIN(7,MAX(1,IF(INDEX(xe_input_vu_khi_suy_ra!$E$2:$E$66,MATCH(Xe!$AE$67,xe_input_vu_khi_suy_ra!$A$2:$A$66,0)),MAX(1,2-(INDEX(xe_input_vu_khi!$F$2:$F$66,MATCH(Xe!$AE$67,xe_input_vu_khi!$A$2:$A$66,0))-3)),2-(INDEX(xe_input_vu_khi!$F$2:$F$66,MATCH(Xe!$AE$67,xe_input_vu_khi!$A$2:$A$66,0))-3))+1))))*IF(INDEX(xe_input_vu_khi_suy_ra!$J$2:$J$66,MATCH(Xe!$AE$67,xe_input_vu_khi_suy_ra!$A$2:$A$66,0)),INDEX(xe_input_bang_xuyen_qua!$B$2:$B$5,MIN(4,MAX(1,(INDEX(xe_input_vu_khi!$F$2:$F$66,MATCH(Xe!$AE$67,xe_input_vu_khi!$A$2:$A$66,0)))-(3)-1))),1)*INDEX(xe_input_vu_khi_suy_ra!$H$2:$H$66,MATCH(Xe!$AE$67,xe_input_vu_khi_suy_ra!$A$2:$A$66,0)),0)</f>
        <v/>
      </c>
      <c r="F40">
        <f>IF(INDEX(xe_input_vu_khi_suy_ra!$G$2:$G$66,MATCH(Xe!$AE$67,xe_input_vu_khi_suy_ra!$A$2:$A$66,0)),Xe_suy_ra!$G$67*INDEX(xe_input_bang_xuyen_giap!$B$2:$B$8,MIN(7,MAX(1,MAX(1,2-(INDEX(xe_input_vu_khi!$F$2:$F$66,MATCH(Xe!$AE$67,xe_input_vu_khi!$A$2:$A$66,0))-0))+1)))*IF(INDEX(xe_input_vu_khi_suy_ra!$J$2:$J$66,MATCH(Xe!$AE$67,xe_input_vu_khi_suy_ra!$A$2:$A$66,0)),INDEX(xe_input_bang_xuyen_qua!$B$2:$B$5,MIN(4,MAX(1,(INDEX(xe_input_vu_khi!$F$2:$F$66,MATCH(Xe!$AE$67,xe_input_vu_khi!$A$2:$A$66,0)))-(0)-1))),1)*INDEX(xe_input_vu_khi_suy_ra!$I$2:$I$66,MATCH(Xe!$AE$67,xe_input_vu_khi_suy_ra!$A$2:$A$66,0)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Xe!$I$68</f>
        <v/>
      </c>
      <c r="C41">
        <f>Xe!$K$68</f>
        <v/>
      </c>
      <c r="D41">
        <f>IF(INDEX(xe_input_vu_khi_suy_ra!$F$2:$F$66,MATCH(Xe!$AE$68,xe_input_vu_khi_suy_ra!$A$2:$A$66,0)),Xe_suy_ra!$E$68*IF(INDEX(xe_input_vu_khi!$H$2:$H$66,MATCH(Xe!$AE$68,xe_input_vu_khi!$A$2:$A$66,0)),INDEX(xe_input_bang_danh_noc!$B$2:$B$8,MIN(7,MAX(1,2-(INDEX(xe_input_vu_khi!$F$2:$F$66,MATCH(Xe!$AE$68,xe_input_vu_khi!$A$2:$A$66,0))-1)+1))),INDEX(xe_input_bang_xuyen_giap!$B$2:$B$8,MIN(7,MAX(1,IF(INDEX(xe_input_vu_khi_suy_ra!$E$2:$E$66,MATCH(Xe!$AE$68,xe_input_vu_khi_suy_ra!$A$2:$A$66,0)),MAX(1,2-(INDEX(xe_input_vu_khi!$F$2:$F$66,MATCH(Xe!$AE$68,xe_input_vu_khi!$A$2:$A$66,0))-1)),2-(INDEX(xe_input_vu_khi!$F$2:$F$66,MATCH(Xe!$AE$68,xe_input_vu_khi!$A$2:$A$66,0))-1))+1))))*IF(INDEX(xe_input_vu_khi_suy_ra!$J$2:$J$66,MATCH(Xe!$AE$68,xe_input_vu_khi_suy_ra!$A$2:$A$66,0)),INDEX(xe_input_bang_xuyen_qua!$B$2:$B$5,MIN(4,MAX(1,(INDEX(xe_input_vu_khi!$F$2:$F$66,MATCH(Xe!$AE$68,xe_input_vu_khi!$A$2:$A$66,0)))-(1)-1))),1)*INDEX(xe_input_vu_khi_suy_ra!$H$2:$H$66,MATCH(Xe!$AE$68,xe_input_vu_khi_suy_ra!$A$2:$A$66,0)),0)</f>
        <v/>
      </c>
      <c r="E41">
        <f>IF(INDEX(xe_input_vu_khi_suy_ra!$F$2:$F$66,MATCH(Xe!$AE$68,xe_input_vu_khi_suy_ra!$A$2:$A$66,0)),Xe_suy_ra!$E$68*IF(INDEX(xe_input_vu_khi!$H$2:$H$66,MATCH(Xe!$AE$68,xe_input_vu_khi!$A$2:$A$66,0)),INDEX(xe_input_bang_danh_noc!$B$2:$B$8,MIN(7,MAX(1,2-(INDEX(xe_input_vu_khi!$F$2:$F$66,MATCH(Xe!$AE$68,xe_input_vu_khi!$A$2:$A$66,0))-3)+1))),INDEX(xe_input_bang_xuyen_giap!$B$2:$B$8,MIN(7,MAX(1,IF(INDEX(xe_input_vu_khi_suy_ra!$E$2:$E$66,MATCH(Xe!$AE$68,xe_input_vu_khi_suy_ra!$A$2:$A$66,0)),MAX(1,2-(INDEX(xe_input_vu_khi!$F$2:$F$66,MATCH(Xe!$AE$68,xe_input_vu_khi!$A$2:$A$66,0))-3)),2-(INDEX(xe_input_vu_khi!$F$2:$F$66,MATCH(Xe!$AE$68,xe_input_vu_khi!$A$2:$A$66,0))-3))+1))))*IF(INDEX(xe_input_vu_khi_suy_ra!$J$2:$J$66,MATCH(Xe!$AE$68,xe_input_vu_khi_suy_ra!$A$2:$A$66,0)),INDEX(xe_input_bang_xuyen_qua!$B$2:$B$5,MIN(4,MAX(1,(INDEX(xe_input_vu_khi!$F$2:$F$66,MATCH(Xe!$AE$68,xe_input_vu_khi!$A$2:$A$66,0)))-(3)-1))),1)*INDEX(xe_input_vu_khi_suy_ra!$H$2:$H$66,MATCH(Xe!$AE$68,xe_input_vu_khi_suy_ra!$A$2:$A$66,0)),0)</f>
        <v/>
      </c>
      <c r="F41">
        <f>IF(INDEX(xe_input_vu_khi_suy_ra!$G$2:$G$66,MATCH(Xe!$AE$68,xe_input_vu_khi_suy_ra!$A$2:$A$66,0)),Xe_suy_ra!$G$68*INDEX(xe_input_bang_xuyen_giap!$B$2:$B$8,MIN(7,MAX(1,MAX(1,2-(INDEX(xe_input_vu_khi!$F$2:$F$66,MATCH(Xe!$AE$68,xe_input_vu_khi!$A$2:$A$66,0))-0))+1)))*IF(INDEX(xe_input_vu_khi_suy_ra!$J$2:$J$66,MATCH(Xe!$AE$68,xe_input_vu_khi_suy_ra!$A$2:$A$66,0)),INDEX(xe_input_bang_xuyen_qua!$B$2:$B$5,MIN(4,MAX(1,(INDEX(xe_input_vu_khi!$F$2:$F$66,MATCH(Xe!$AE$68,xe_input_vu_khi!$A$2:$A$66,0)))-(0)-1))),1)*INDEX(xe_input_vu_khi_suy_ra!$I$2:$I$66,MATCH(Xe!$AE$68,xe_input_vu_khi_suy_ra!$A$2:$A$66,0)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Xe!$I$69</f>
        <v/>
      </c>
      <c r="C42">
        <f>Xe!$K$69</f>
        <v/>
      </c>
      <c r="D42">
        <f>IF(INDEX(xe_input_vu_khi_suy_ra!$F$2:$F$66,MATCH(Xe!$AE$69,xe_input_vu_khi_suy_ra!$A$2:$A$66,0)),Xe_suy_ra!$E$69*IF(INDEX(xe_input_vu_khi!$H$2:$H$66,MATCH(Xe!$AE$69,xe_input_vu_khi!$A$2:$A$66,0)),INDEX(xe_input_bang_danh_noc!$B$2:$B$8,MIN(7,MAX(1,2-(INDEX(xe_input_vu_khi!$F$2:$F$66,MATCH(Xe!$AE$69,xe_input_vu_khi!$A$2:$A$66,0))-1)+1))),INDEX(xe_input_bang_xuyen_giap!$B$2:$B$8,MIN(7,MAX(1,IF(INDEX(xe_input_vu_khi_suy_ra!$E$2:$E$66,MATCH(Xe!$AE$69,xe_input_vu_khi_suy_ra!$A$2:$A$66,0)),MAX(1,2-(INDEX(xe_input_vu_khi!$F$2:$F$66,MATCH(Xe!$AE$69,xe_input_vu_khi!$A$2:$A$66,0))-1)),2-(INDEX(xe_input_vu_khi!$F$2:$F$66,MATCH(Xe!$AE$69,xe_input_vu_khi!$A$2:$A$66,0))-1))+1))))*IF(INDEX(xe_input_vu_khi_suy_ra!$J$2:$J$66,MATCH(Xe!$AE$69,xe_input_vu_khi_suy_ra!$A$2:$A$66,0)),INDEX(xe_input_bang_xuyen_qua!$B$2:$B$5,MIN(4,MAX(1,(INDEX(xe_input_vu_khi!$F$2:$F$66,MATCH(Xe!$AE$69,xe_input_vu_khi!$A$2:$A$66,0)))-(1)-1))),1)*INDEX(xe_input_vu_khi_suy_ra!$H$2:$H$66,MATCH(Xe!$AE$69,xe_input_vu_khi_suy_ra!$A$2:$A$66,0)),0)</f>
        <v/>
      </c>
      <c r="E42">
        <f>IF(INDEX(xe_input_vu_khi_suy_ra!$F$2:$F$66,MATCH(Xe!$AE$69,xe_input_vu_khi_suy_ra!$A$2:$A$66,0)),Xe_suy_ra!$E$69*IF(INDEX(xe_input_vu_khi!$H$2:$H$66,MATCH(Xe!$AE$69,xe_input_vu_khi!$A$2:$A$66,0)),INDEX(xe_input_bang_danh_noc!$B$2:$B$8,MIN(7,MAX(1,2-(INDEX(xe_input_vu_khi!$F$2:$F$66,MATCH(Xe!$AE$69,xe_input_vu_khi!$A$2:$A$66,0))-3)+1))),INDEX(xe_input_bang_xuyen_giap!$B$2:$B$8,MIN(7,MAX(1,IF(INDEX(xe_input_vu_khi_suy_ra!$E$2:$E$66,MATCH(Xe!$AE$69,xe_input_vu_khi_suy_ra!$A$2:$A$66,0)),MAX(1,2-(INDEX(xe_input_vu_khi!$F$2:$F$66,MATCH(Xe!$AE$69,xe_input_vu_khi!$A$2:$A$66,0))-3)),2-(INDEX(xe_input_vu_khi!$F$2:$F$66,MATCH(Xe!$AE$69,xe_input_vu_khi!$A$2:$A$66,0))-3))+1))))*IF(INDEX(xe_input_vu_khi_suy_ra!$J$2:$J$66,MATCH(Xe!$AE$69,xe_input_vu_khi_suy_ra!$A$2:$A$66,0)),INDEX(xe_input_bang_xuyen_qua!$B$2:$B$5,MIN(4,MAX(1,(INDEX(xe_input_vu_khi!$F$2:$F$66,MATCH(Xe!$AE$69,xe_input_vu_khi!$A$2:$A$66,0)))-(3)-1))),1)*INDEX(xe_input_vu_khi_suy_ra!$H$2:$H$66,MATCH(Xe!$AE$69,xe_input_vu_khi_suy_ra!$A$2:$A$66,0)),0)</f>
        <v/>
      </c>
      <c r="F42">
        <f>IF(INDEX(xe_input_vu_khi_suy_ra!$G$2:$G$66,MATCH(Xe!$AE$69,xe_input_vu_khi_suy_ra!$A$2:$A$66,0)),Xe_suy_ra!$G$69*INDEX(xe_input_bang_xuyen_giap!$B$2:$B$8,MIN(7,MAX(1,MAX(1,2-(INDEX(xe_input_vu_khi!$F$2:$F$66,MATCH(Xe!$AE$69,xe_input_vu_khi!$A$2:$A$66,0))-0))+1)))*IF(INDEX(xe_input_vu_khi_suy_ra!$J$2:$J$66,MATCH(Xe!$AE$69,xe_input_vu_khi_suy_ra!$A$2:$A$66,0)),INDEX(xe_input_bang_xuyen_qua!$B$2:$B$5,MIN(4,MAX(1,(INDEX(xe_input_vu_khi!$F$2:$F$66,MATCH(Xe!$AE$69,xe_input_vu_khi!$A$2:$A$66,0)))-(0)-1))),1)*INDEX(xe_input_vu_khi_suy_ra!$I$2:$I$66,MATCH(Xe!$AE$69,xe_input_vu_khi_suy_ra!$A$2:$A$66,0)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Xe!$I$70</f>
        <v/>
      </c>
      <c r="C43">
        <f>Xe!$K$70</f>
        <v/>
      </c>
      <c r="D43">
        <f>IF(INDEX(xe_input_vu_khi_suy_ra!$F$2:$F$66,MATCH(Xe!$AE$70,xe_input_vu_khi_suy_ra!$A$2:$A$66,0)),Xe_suy_ra!$E$70*IF(INDEX(xe_input_vu_khi!$H$2:$H$66,MATCH(Xe!$AE$70,xe_input_vu_khi!$A$2:$A$66,0)),INDEX(xe_input_bang_danh_noc!$B$2:$B$8,MIN(7,MAX(1,2-(INDEX(xe_input_vu_khi!$F$2:$F$66,MATCH(Xe!$AE$70,xe_input_vu_khi!$A$2:$A$66,0))-1)+1))),INDEX(xe_input_bang_xuyen_giap!$B$2:$B$8,MIN(7,MAX(1,IF(INDEX(xe_input_vu_khi_suy_ra!$E$2:$E$66,MATCH(Xe!$AE$70,xe_input_vu_khi_suy_ra!$A$2:$A$66,0)),MAX(1,2-(INDEX(xe_input_vu_khi!$F$2:$F$66,MATCH(Xe!$AE$70,xe_input_vu_khi!$A$2:$A$66,0))-1)),2-(INDEX(xe_input_vu_khi!$F$2:$F$66,MATCH(Xe!$AE$70,xe_input_vu_khi!$A$2:$A$66,0))-1))+1))))*IF(INDEX(xe_input_vu_khi_suy_ra!$J$2:$J$66,MATCH(Xe!$AE$70,xe_input_vu_khi_suy_ra!$A$2:$A$66,0)),INDEX(xe_input_bang_xuyen_qua!$B$2:$B$5,MIN(4,MAX(1,(INDEX(xe_input_vu_khi!$F$2:$F$66,MATCH(Xe!$AE$70,xe_input_vu_khi!$A$2:$A$66,0)))-(1)-1))),1)*INDEX(xe_input_vu_khi_suy_ra!$H$2:$H$66,MATCH(Xe!$AE$70,xe_input_vu_khi_suy_ra!$A$2:$A$66,0)),0)</f>
        <v/>
      </c>
      <c r="E43">
        <f>IF(INDEX(xe_input_vu_khi_suy_ra!$F$2:$F$66,MATCH(Xe!$AE$70,xe_input_vu_khi_suy_ra!$A$2:$A$66,0)),Xe_suy_ra!$E$70*IF(INDEX(xe_input_vu_khi!$H$2:$H$66,MATCH(Xe!$AE$70,xe_input_vu_khi!$A$2:$A$66,0)),INDEX(xe_input_bang_danh_noc!$B$2:$B$8,MIN(7,MAX(1,2-(INDEX(xe_input_vu_khi!$F$2:$F$66,MATCH(Xe!$AE$70,xe_input_vu_khi!$A$2:$A$66,0))-3)+1))),INDEX(xe_input_bang_xuyen_giap!$B$2:$B$8,MIN(7,MAX(1,IF(INDEX(xe_input_vu_khi_suy_ra!$E$2:$E$66,MATCH(Xe!$AE$70,xe_input_vu_khi_suy_ra!$A$2:$A$66,0)),MAX(1,2-(INDEX(xe_input_vu_khi!$F$2:$F$66,MATCH(Xe!$AE$70,xe_input_vu_khi!$A$2:$A$66,0))-3)),2-(INDEX(xe_input_vu_khi!$F$2:$F$66,MATCH(Xe!$AE$70,xe_input_vu_khi!$A$2:$A$66,0))-3))+1))))*IF(INDEX(xe_input_vu_khi_suy_ra!$J$2:$J$66,MATCH(Xe!$AE$70,xe_input_vu_khi_suy_ra!$A$2:$A$66,0)),INDEX(xe_input_bang_xuyen_qua!$B$2:$B$5,MIN(4,MAX(1,(INDEX(xe_input_vu_khi!$F$2:$F$66,MATCH(Xe!$AE$70,xe_input_vu_khi!$A$2:$A$66,0)))-(3)-1))),1)*INDEX(xe_input_vu_khi_suy_ra!$H$2:$H$66,MATCH(Xe!$AE$70,xe_input_vu_khi_suy_ra!$A$2:$A$66,0)),0)</f>
        <v/>
      </c>
      <c r="F43">
        <f>IF(INDEX(xe_input_vu_khi_suy_ra!$G$2:$G$66,MATCH(Xe!$AE$70,xe_input_vu_khi_suy_ra!$A$2:$A$66,0)),Xe_suy_ra!$G$70*INDEX(xe_input_bang_xuyen_giap!$B$2:$B$8,MIN(7,MAX(1,MAX(1,2-(INDEX(xe_input_vu_khi!$F$2:$F$66,MATCH(Xe!$AE$70,xe_input_vu_khi!$A$2:$A$66,0))-0))+1)))*IF(INDEX(xe_input_vu_khi_suy_ra!$J$2:$J$66,MATCH(Xe!$AE$70,xe_input_vu_khi_suy_ra!$A$2:$A$66,0)),INDEX(xe_input_bang_xuyen_qua!$B$2:$B$5,MIN(4,MAX(1,(INDEX(xe_input_vu_khi!$F$2:$F$66,MATCH(Xe!$AE$70,xe_input_vu_khi!$A$2:$A$66,0)))-(0)-1))),1)*INDEX(xe_input_vu_khi_suy_ra!$I$2:$I$66,MATCH(Xe!$AE$70,xe_input_vu_khi_suy_ra!$A$2:$A$66,0)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Xe!$I$72</f>
        <v/>
      </c>
      <c r="C44">
        <f>Xe!$K$72</f>
        <v/>
      </c>
      <c r="D44">
        <f>IF(INDEX(xe_input_vu_khi_suy_ra!$F$2:$F$66,MATCH(Xe!$AE$72,xe_input_vu_khi_suy_ra!$A$2:$A$66,0)),Xe_suy_ra!$E$72*IF(INDEX(xe_input_vu_khi!$H$2:$H$66,MATCH(Xe!$AE$72,xe_input_vu_khi!$A$2:$A$66,0)),INDEX(xe_input_bang_danh_noc!$B$2:$B$8,MIN(7,MAX(1,2-(INDEX(xe_input_vu_khi!$F$2:$F$66,MATCH(Xe!$AE$72,xe_input_vu_khi!$A$2:$A$66,0))-1)+1))),INDEX(xe_input_bang_xuyen_giap!$B$2:$B$8,MIN(7,MAX(1,IF(INDEX(xe_input_vu_khi_suy_ra!$E$2:$E$66,MATCH(Xe!$AE$72,xe_input_vu_khi_suy_ra!$A$2:$A$66,0)),MAX(1,2-(INDEX(xe_input_vu_khi!$F$2:$F$66,MATCH(Xe!$AE$72,xe_input_vu_khi!$A$2:$A$66,0))-1)),2-(INDEX(xe_input_vu_khi!$F$2:$F$66,MATCH(Xe!$AE$72,xe_input_vu_khi!$A$2:$A$66,0))-1))+1))))*IF(INDEX(xe_input_vu_khi_suy_ra!$J$2:$J$66,MATCH(Xe!$AE$72,xe_input_vu_khi_suy_ra!$A$2:$A$66,0)),INDEX(xe_input_bang_xuyen_qua!$B$2:$B$5,MIN(4,MAX(1,(INDEX(xe_input_vu_khi!$F$2:$F$66,MATCH(Xe!$AE$72,xe_input_vu_khi!$A$2:$A$66,0)))-(1)-1))),1)*INDEX(xe_input_vu_khi_suy_ra!$H$2:$H$66,MATCH(Xe!$AE$72,xe_input_vu_khi_suy_ra!$A$2:$A$66,0)),0)</f>
        <v/>
      </c>
      <c r="E44">
        <f>IF(INDEX(xe_input_vu_khi_suy_ra!$F$2:$F$66,MATCH(Xe!$AE$72,xe_input_vu_khi_suy_ra!$A$2:$A$66,0)),Xe_suy_ra!$E$72*IF(INDEX(xe_input_vu_khi!$H$2:$H$66,MATCH(Xe!$AE$72,xe_input_vu_khi!$A$2:$A$66,0)),INDEX(xe_input_bang_danh_noc!$B$2:$B$8,MIN(7,MAX(1,2-(INDEX(xe_input_vu_khi!$F$2:$F$66,MATCH(Xe!$AE$72,xe_input_vu_khi!$A$2:$A$66,0))-3)+1))),INDEX(xe_input_bang_xuyen_giap!$B$2:$B$8,MIN(7,MAX(1,IF(INDEX(xe_input_vu_khi_suy_ra!$E$2:$E$66,MATCH(Xe!$AE$72,xe_input_vu_khi_suy_ra!$A$2:$A$66,0)),MAX(1,2-(INDEX(xe_input_vu_khi!$F$2:$F$66,MATCH(Xe!$AE$72,xe_input_vu_khi!$A$2:$A$66,0))-3)),2-(INDEX(xe_input_vu_khi!$F$2:$F$66,MATCH(Xe!$AE$72,xe_input_vu_khi!$A$2:$A$66,0))-3))+1))))*IF(INDEX(xe_input_vu_khi_suy_ra!$J$2:$J$66,MATCH(Xe!$AE$72,xe_input_vu_khi_suy_ra!$A$2:$A$66,0)),INDEX(xe_input_bang_xuyen_qua!$B$2:$B$5,MIN(4,MAX(1,(INDEX(xe_input_vu_khi!$F$2:$F$66,MATCH(Xe!$AE$72,xe_input_vu_khi!$A$2:$A$66,0)))-(3)-1))),1)*INDEX(xe_input_vu_khi_suy_ra!$H$2:$H$66,MATCH(Xe!$AE$72,xe_input_vu_khi_suy_ra!$A$2:$A$66,0)),0)</f>
        <v/>
      </c>
      <c r="F44">
        <f>IF(INDEX(xe_input_vu_khi_suy_ra!$G$2:$G$66,MATCH(Xe!$AE$72,xe_input_vu_khi_suy_ra!$A$2:$A$66,0)),Xe_suy_ra!$G$72*INDEX(xe_input_bang_xuyen_giap!$B$2:$B$8,MIN(7,MAX(1,MAX(1,2-(INDEX(xe_input_vu_khi!$F$2:$F$66,MATCH(Xe!$AE$72,xe_input_vu_khi!$A$2:$A$66,0))-0))+1)))*IF(INDEX(xe_input_vu_khi_suy_ra!$J$2:$J$66,MATCH(Xe!$AE$72,xe_input_vu_khi_suy_ra!$A$2:$A$66,0)),INDEX(xe_input_bang_xuyen_qua!$B$2:$B$5,MIN(4,MAX(1,(INDEX(xe_input_vu_khi!$F$2:$F$66,MATCH(Xe!$AE$72,xe_input_vu_khi!$A$2:$A$66,0)))-(0)-1))),1)*INDEX(xe_input_vu_khi_suy_ra!$I$2:$I$66,MATCH(Xe!$AE$72,xe_input_vu_khi_suy_ra!$A$2:$A$66,0)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Xe!$I$73</f>
        <v/>
      </c>
      <c r="C45">
        <f>Xe!$K$73</f>
        <v/>
      </c>
      <c r="D45">
        <f>IF(INDEX(xe_input_vu_khi_suy_ra!$F$2:$F$66,MATCH(Xe!$AE$73,xe_input_vu_khi_suy_ra!$A$2:$A$66,0)),Xe_suy_ra!$E$73*IF(INDEX(xe_input_vu_khi!$H$2:$H$66,MATCH(Xe!$AE$73,xe_input_vu_khi!$A$2:$A$66,0)),INDEX(xe_input_bang_danh_noc!$B$2:$B$8,MIN(7,MAX(1,2-(INDEX(xe_input_vu_khi!$F$2:$F$66,MATCH(Xe!$AE$73,xe_input_vu_khi!$A$2:$A$66,0))-1)+1))),INDEX(xe_input_bang_xuyen_giap!$B$2:$B$8,MIN(7,MAX(1,IF(INDEX(xe_input_vu_khi_suy_ra!$E$2:$E$66,MATCH(Xe!$AE$73,xe_input_vu_khi_suy_ra!$A$2:$A$66,0)),MAX(1,2-(INDEX(xe_input_vu_khi!$F$2:$F$66,MATCH(Xe!$AE$73,xe_input_vu_khi!$A$2:$A$66,0))-1)),2-(INDEX(xe_input_vu_khi!$F$2:$F$66,MATCH(Xe!$AE$73,xe_input_vu_khi!$A$2:$A$66,0))-1))+1))))*IF(INDEX(xe_input_vu_khi_suy_ra!$J$2:$J$66,MATCH(Xe!$AE$73,xe_input_vu_khi_suy_ra!$A$2:$A$66,0)),INDEX(xe_input_bang_xuyen_qua!$B$2:$B$5,MIN(4,MAX(1,(INDEX(xe_input_vu_khi!$F$2:$F$66,MATCH(Xe!$AE$73,xe_input_vu_khi!$A$2:$A$66,0)))-(1)-1))),1)*INDEX(xe_input_vu_khi_suy_ra!$H$2:$H$66,MATCH(Xe!$AE$73,xe_input_vu_khi_suy_ra!$A$2:$A$66,0)),0)</f>
        <v/>
      </c>
      <c r="E45">
        <f>IF(INDEX(xe_input_vu_khi_suy_ra!$F$2:$F$66,MATCH(Xe!$AE$73,xe_input_vu_khi_suy_ra!$A$2:$A$66,0)),Xe_suy_ra!$E$73*IF(INDEX(xe_input_vu_khi!$H$2:$H$66,MATCH(Xe!$AE$73,xe_input_vu_khi!$A$2:$A$66,0)),INDEX(xe_input_bang_danh_noc!$B$2:$B$8,MIN(7,MAX(1,2-(INDEX(xe_input_vu_khi!$F$2:$F$66,MATCH(Xe!$AE$73,xe_input_vu_khi!$A$2:$A$66,0))-3)+1))),INDEX(xe_input_bang_xuyen_giap!$B$2:$B$8,MIN(7,MAX(1,IF(INDEX(xe_input_vu_khi_suy_ra!$E$2:$E$66,MATCH(Xe!$AE$73,xe_input_vu_khi_suy_ra!$A$2:$A$66,0)),MAX(1,2-(INDEX(xe_input_vu_khi!$F$2:$F$66,MATCH(Xe!$AE$73,xe_input_vu_khi!$A$2:$A$66,0))-3)),2-(INDEX(xe_input_vu_khi!$F$2:$F$66,MATCH(Xe!$AE$73,xe_input_vu_khi!$A$2:$A$66,0))-3))+1))))*IF(INDEX(xe_input_vu_khi_suy_ra!$J$2:$J$66,MATCH(Xe!$AE$73,xe_input_vu_khi_suy_ra!$A$2:$A$66,0)),INDEX(xe_input_bang_xuyen_qua!$B$2:$B$5,MIN(4,MAX(1,(INDEX(xe_input_vu_khi!$F$2:$F$66,MATCH(Xe!$AE$73,xe_input_vu_khi!$A$2:$A$66,0)))-(3)-1))),1)*INDEX(xe_input_vu_khi_suy_ra!$H$2:$H$66,MATCH(Xe!$AE$73,xe_input_vu_khi_suy_ra!$A$2:$A$66,0)),0)</f>
        <v/>
      </c>
      <c r="F45">
        <f>IF(INDEX(xe_input_vu_khi_suy_ra!$G$2:$G$66,MATCH(Xe!$AE$73,xe_input_vu_khi_suy_ra!$A$2:$A$66,0)),Xe_suy_ra!$G$73*INDEX(xe_input_bang_xuyen_giap!$B$2:$B$8,MIN(7,MAX(1,MAX(1,2-(INDEX(xe_input_vu_khi!$F$2:$F$66,MATCH(Xe!$AE$73,xe_input_vu_khi!$A$2:$A$66,0))-0))+1)))*IF(INDEX(xe_input_vu_khi_suy_ra!$J$2:$J$66,MATCH(Xe!$AE$73,xe_input_vu_khi_suy_ra!$A$2:$A$66,0)),INDEX(xe_input_bang_xuyen_qua!$B$2:$B$5,MIN(4,MAX(1,(INDEX(xe_input_vu_khi!$F$2:$F$66,MATCH(Xe!$AE$73,xe_input_vu_khi!$A$2:$A$66,0)))-(0)-1))),1)*INDEX(xe_input_vu_khi_suy_ra!$I$2:$I$66,MATCH(Xe!$AE$73,xe_input_vu_khi_suy_ra!$A$2:$A$66,0)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Xe!$I$74</f>
        <v/>
      </c>
      <c r="C46">
        <f>Xe!$K$74</f>
        <v/>
      </c>
      <c r="D46">
        <f>IF(INDEX(xe_input_vu_khi_suy_ra!$F$2:$F$66,MATCH(Xe!$AE$74,xe_input_vu_khi_suy_ra!$A$2:$A$66,0)),Xe_suy_ra!$E$74*IF(INDEX(xe_input_vu_khi!$H$2:$H$66,MATCH(Xe!$AE$74,xe_input_vu_khi!$A$2:$A$66,0)),INDEX(xe_input_bang_danh_noc!$B$2:$B$8,MIN(7,MAX(1,2-(INDEX(xe_input_vu_khi!$F$2:$F$66,MATCH(Xe!$AE$74,xe_input_vu_khi!$A$2:$A$66,0))-1)+1))),INDEX(xe_input_bang_xuyen_giap!$B$2:$B$8,MIN(7,MAX(1,IF(INDEX(xe_input_vu_khi_suy_ra!$E$2:$E$66,MATCH(Xe!$AE$74,xe_input_vu_khi_suy_ra!$A$2:$A$66,0)),MAX(1,2-(INDEX(xe_input_vu_khi!$F$2:$F$66,MATCH(Xe!$AE$74,xe_input_vu_khi!$A$2:$A$66,0))-1)),2-(INDEX(xe_input_vu_khi!$F$2:$F$66,MATCH(Xe!$AE$74,xe_input_vu_khi!$A$2:$A$66,0))-1))+1))))*IF(INDEX(xe_input_vu_khi_suy_ra!$J$2:$J$66,MATCH(Xe!$AE$74,xe_input_vu_khi_suy_ra!$A$2:$A$66,0)),INDEX(xe_input_bang_xuyen_qua!$B$2:$B$5,MIN(4,MAX(1,(INDEX(xe_input_vu_khi!$F$2:$F$66,MATCH(Xe!$AE$74,xe_input_vu_khi!$A$2:$A$66,0)))-(1)-1))),1)*INDEX(xe_input_vu_khi_suy_ra!$H$2:$H$66,MATCH(Xe!$AE$74,xe_input_vu_khi_suy_ra!$A$2:$A$66,0)),0)</f>
        <v/>
      </c>
      <c r="E46">
        <f>IF(INDEX(xe_input_vu_khi_suy_ra!$F$2:$F$66,MATCH(Xe!$AE$74,xe_input_vu_khi_suy_ra!$A$2:$A$66,0)),Xe_suy_ra!$E$74*IF(INDEX(xe_input_vu_khi!$H$2:$H$66,MATCH(Xe!$AE$74,xe_input_vu_khi!$A$2:$A$66,0)),INDEX(xe_input_bang_danh_noc!$B$2:$B$8,MIN(7,MAX(1,2-(INDEX(xe_input_vu_khi!$F$2:$F$66,MATCH(Xe!$AE$74,xe_input_vu_khi!$A$2:$A$66,0))-3)+1))),INDEX(xe_input_bang_xuyen_giap!$B$2:$B$8,MIN(7,MAX(1,IF(INDEX(xe_input_vu_khi_suy_ra!$E$2:$E$66,MATCH(Xe!$AE$74,xe_input_vu_khi_suy_ra!$A$2:$A$66,0)),MAX(1,2-(INDEX(xe_input_vu_khi!$F$2:$F$66,MATCH(Xe!$AE$74,xe_input_vu_khi!$A$2:$A$66,0))-3)),2-(INDEX(xe_input_vu_khi!$F$2:$F$66,MATCH(Xe!$AE$74,xe_input_vu_khi!$A$2:$A$66,0))-3))+1))))*IF(INDEX(xe_input_vu_khi_suy_ra!$J$2:$J$66,MATCH(Xe!$AE$74,xe_input_vu_khi_suy_ra!$A$2:$A$66,0)),INDEX(xe_input_bang_xuyen_qua!$B$2:$B$5,MIN(4,MAX(1,(INDEX(xe_input_vu_khi!$F$2:$F$66,MATCH(Xe!$AE$74,xe_input_vu_khi!$A$2:$A$66,0)))-(3)-1))),1)*INDEX(xe_input_vu_khi_suy_ra!$H$2:$H$66,MATCH(Xe!$AE$74,xe_input_vu_khi_suy_ra!$A$2:$A$66,0)),0)</f>
        <v/>
      </c>
      <c r="F46">
        <f>IF(INDEX(xe_input_vu_khi_suy_ra!$G$2:$G$66,MATCH(Xe!$AE$74,xe_input_vu_khi_suy_ra!$A$2:$A$66,0)),Xe_suy_ra!$G$74*INDEX(xe_input_bang_xuyen_giap!$B$2:$B$8,MIN(7,MAX(1,MAX(1,2-(INDEX(xe_input_vu_khi!$F$2:$F$66,MATCH(Xe!$AE$74,xe_input_vu_khi!$A$2:$A$66,0))-0))+1)))*IF(INDEX(xe_input_vu_khi_suy_ra!$J$2:$J$66,MATCH(Xe!$AE$74,xe_input_vu_khi_suy_ra!$A$2:$A$66,0)),INDEX(xe_input_bang_xuyen_qua!$B$2:$B$5,MIN(4,MAX(1,(INDEX(xe_input_vu_khi!$F$2:$F$66,MATCH(Xe!$AE$74,xe_input_vu_khi!$A$2:$A$66,0)))-(0)-1))),1)*INDEX(xe_input_vu_khi_suy_ra!$I$2:$I$66,MATCH(Xe!$AE$74,xe_input_vu_khi_suy_ra!$A$2:$A$66,0)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Xe!$I$75</f>
        <v/>
      </c>
      <c r="C47">
        <f>Xe!$K$75</f>
        <v/>
      </c>
      <c r="D47">
        <f>IF(INDEX(xe_input_vu_khi_suy_ra!$F$2:$F$66,MATCH(Xe!$AE$75,xe_input_vu_khi_suy_ra!$A$2:$A$66,0)),Xe_suy_ra!$E$75*IF(INDEX(xe_input_vu_khi!$H$2:$H$66,MATCH(Xe!$AE$75,xe_input_vu_khi!$A$2:$A$66,0)),INDEX(xe_input_bang_danh_noc!$B$2:$B$8,MIN(7,MAX(1,2-(INDEX(xe_input_vu_khi!$F$2:$F$66,MATCH(Xe!$AE$75,xe_input_vu_khi!$A$2:$A$66,0))-1)+1))),INDEX(xe_input_bang_xuyen_giap!$B$2:$B$8,MIN(7,MAX(1,IF(INDEX(xe_input_vu_khi_suy_ra!$E$2:$E$66,MATCH(Xe!$AE$75,xe_input_vu_khi_suy_ra!$A$2:$A$66,0)),MAX(1,2-(INDEX(xe_input_vu_khi!$F$2:$F$66,MATCH(Xe!$AE$75,xe_input_vu_khi!$A$2:$A$66,0))-1)),2-(INDEX(xe_input_vu_khi!$F$2:$F$66,MATCH(Xe!$AE$75,xe_input_vu_khi!$A$2:$A$66,0))-1))+1))))*IF(INDEX(xe_input_vu_khi_suy_ra!$J$2:$J$66,MATCH(Xe!$AE$75,xe_input_vu_khi_suy_ra!$A$2:$A$66,0)),INDEX(xe_input_bang_xuyen_qua!$B$2:$B$5,MIN(4,MAX(1,(INDEX(xe_input_vu_khi!$F$2:$F$66,MATCH(Xe!$AE$75,xe_input_vu_khi!$A$2:$A$66,0)))-(1)-1))),1)*INDEX(xe_input_vu_khi_suy_ra!$H$2:$H$66,MATCH(Xe!$AE$75,xe_input_vu_khi_suy_ra!$A$2:$A$66,0)),0)</f>
        <v/>
      </c>
      <c r="E47">
        <f>IF(INDEX(xe_input_vu_khi_suy_ra!$F$2:$F$66,MATCH(Xe!$AE$75,xe_input_vu_khi_suy_ra!$A$2:$A$66,0)),Xe_suy_ra!$E$75*IF(INDEX(xe_input_vu_khi!$H$2:$H$66,MATCH(Xe!$AE$75,xe_input_vu_khi!$A$2:$A$66,0)),INDEX(xe_input_bang_danh_noc!$B$2:$B$8,MIN(7,MAX(1,2-(INDEX(xe_input_vu_khi!$F$2:$F$66,MATCH(Xe!$AE$75,xe_input_vu_khi!$A$2:$A$66,0))-3)+1))),INDEX(xe_input_bang_xuyen_giap!$B$2:$B$8,MIN(7,MAX(1,IF(INDEX(xe_input_vu_khi_suy_ra!$E$2:$E$66,MATCH(Xe!$AE$75,xe_input_vu_khi_suy_ra!$A$2:$A$66,0)),MAX(1,2-(INDEX(xe_input_vu_khi!$F$2:$F$66,MATCH(Xe!$AE$75,xe_input_vu_khi!$A$2:$A$66,0))-3)),2-(INDEX(xe_input_vu_khi!$F$2:$F$66,MATCH(Xe!$AE$75,xe_input_vu_khi!$A$2:$A$66,0))-3))+1))))*IF(INDEX(xe_input_vu_khi_suy_ra!$J$2:$J$66,MATCH(Xe!$AE$75,xe_input_vu_khi_suy_ra!$A$2:$A$66,0)),INDEX(xe_input_bang_xuyen_qua!$B$2:$B$5,MIN(4,MAX(1,(INDEX(xe_input_vu_khi!$F$2:$F$66,MATCH(Xe!$AE$75,xe_input_vu_khi!$A$2:$A$66,0)))-(3)-1))),1)*INDEX(xe_input_vu_khi_suy_ra!$H$2:$H$66,MATCH(Xe!$AE$75,xe_input_vu_khi_suy_ra!$A$2:$A$66,0)),0)</f>
        <v/>
      </c>
      <c r="F47">
        <f>IF(INDEX(xe_input_vu_khi_suy_ra!$G$2:$G$66,MATCH(Xe!$AE$75,xe_input_vu_khi_suy_ra!$A$2:$A$66,0)),Xe_suy_ra!$G$75*INDEX(xe_input_bang_xuyen_giap!$B$2:$B$8,MIN(7,MAX(1,MAX(1,2-(INDEX(xe_input_vu_khi!$F$2:$F$66,MATCH(Xe!$AE$75,xe_input_vu_khi!$A$2:$A$66,0))-0))+1)))*IF(INDEX(xe_input_vu_khi_suy_ra!$J$2:$J$66,MATCH(Xe!$AE$75,xe_input_vu_khi_suy_ra!$A$2:$A$66,0)),INDEX(xe_input_bang_xuyen_qua!$B$2:$B$5,MIN(4,MAX(1,(INDEX(xe_input_vu_khi!$F$2:$F$66,MATCH(Xe!$AE$75,xe_input_vu_khi!$A$2:$A$66,0)))-(0)-1))),1)*INDEX(xe_input_vu_khi_suy_ra!$I$2:$I$66,MATCH(Xe!$AE$75,xe_input_vu_khi_suy_ra!$A$2:$A$66,0)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Xe!$I$76</f>
        <v/>
      </c>
      <c r="C48">
        <f>Xe!$K$76</f>
        <v/>
      </c>
      <c r="D48">
        <f>IF(INDEX(xe_input_vu_khi_suy_ra!$F$2:$F$66,MATCH(Xe!$AE$76,xe_input_vu_khi_suy_ra!$A$2:$A$66,0)),Xe_suy_ra!$E$76*IF(INDEX(xe_input_vu_khi!$H$2:$H$66,MATCH(Xe!$AE$76,xe_input_vu_khi!$A$2:$A$66,0)),INDEX(xe_input_bang_danh_noc!$B$2:$B$8,MIN(7,MAX(1,2-(INDEX(xe_input_vu_khi!$F$2:$F$66,MATCH(Xe!$AE$76,xe_input_vu_khi!$A$2:$A$66,0))-1)+1))),INDEX(xe_input_bang_xuyen_giap!$B$2:$B$8,MIN(7,MAX(1,IF(INDEX(xe_input_vu_khi_suy_ra!$E$2:$E$66,MATCH(Xe!$AE$76,xe_input_vu_khi_suy_ra!$A$2:$A$66,0)),MAX(1,2-(INDEX(xe_input_vu_khi!$F$2:$F$66,MATCH(Xe!$AE$76,xe_input_vu_khi!$A$2:$A$66,0))-1)),2-(INDEX(xe_input_vu_khi!$F$2:$F$66,MATCH(Xe!$AE$76,xe_input_vu_khi!$A$2:$A$66,0))-1))+1))))*IF(INDEX(xe_input_vu_khi_suy_ra!$J$2:$J$66,MATCH(Xe!$AE$76,xe_input_vu_khi_suy_ra!$A$2:$A$66,0)),INDEX(xe_input_bang_xuyen_qua!$B$2:$B$5,MIN(4,MAX(1,(INDEX(xe_input_vu_khi!$F$2:$F$66,MATCH(Xe!$AE$76,xe_input_vu_khi!$A$2:$A$66,0)))-(1)-1))),1)*INDEX(xe_input_vu_khi_suy_ra!$H$2:$H$66,MATCH(Xe!$AE$76,xe_input_vu_khi_suy_ra!$A$2:$A$66,0)),0)</f>
        <v/>
      </c>
      <c r="E48">
        <f>IF(INDEX(xe_input_vu_khi_suy_ra!$F$2:$F$66,MATCH(Xe!$AE$76,xe_input_vu_khi_suy_ra!$A$2:$A$66,0)),Xe_suy_ra!$E$76*IF(INDEX(xe_input_vu_khi!$H$2:$H$66,MATCH(Xe!$AE$76,xe_input_vu_khi!$A$2:$A$66,0)),INDEX(xe_input_bang_danh_noc!$B$2:$B$8,MIN(7,MAX(1,2-(INDEX(xe_input_vu_khi!$F$2:$F$66,MATCH(Xe!$AE$76,xe_input_vu_khi!$A$2:$A$66,0))-3)+1))),INDEX(xe_input_bang_xuyen_giap!$B$2:$B$8,MIN(7,MAX(1,IF(INDEX(xe_input_vu_khi_suy_ra!$E$2:$E$66,MATCH(Xe!$AE$76,xe_input_vu_khi_suy_ra!$A$2:$A$66,0)),MAX(1,2-(INDEX(xe_input_vu_khi!$F$2:$F$66,MATCH(Xe!$AE$76,xe_input_vu_khi!$A$2:$A$66,0))-3)),2-(INDEX(xe_input_vu_khi!$F$2:$F$66,MATCH(Xe!$AE$76,xe_input_vu_khi!$A$2:$A$66,0))-3))+1))))*IF(INDEX(xe_input_vu_khi_suy_ra!$J$2:$J$66,MATCH(Xe!$AE$76,xe_input_vu_khi_suy_ra!$A$2:$A$66,0)),INDEX(xe_input_bang_xuyen_qua!$B$2:$B$5,MIN(4,MAX(1,(INDEX(xe_input_vu_khi!$F$2:$F$66,MATCH(Xe!$AE$76,xe_input_vu_khi!$A$2:$A$66,0)))-(3)-1))),1)*INDEX(xe_input_vu_khi_suy_ra!$H$2:$H$66,MATCH(Xe!$AE$76,xe_input_vu_khi_suy_ra!$A$2:$A$66,0)),0)</f>
        <v/>
      </c>
      <c r="F48">
        <f>IF(INDEX(xe_input_vu_khi_suy_ra!$G$2:$G$66,MATCH(Xe!$AE$76,xe_input_vu_khi_suy_ra!$A$2:$A$66,0)),Xe_suy_ra!$G$76*INDEX(xe_input_bang_xuyen_giap!$B$2:$B$8,MIN(7,MAX(1,MAX(1,2-(INDEX(xe_input_vu_khi!$F$2:$F$66,MATCH(Xe!$AE$76,xe_input_vu_khi!$A$2:$A$66,0))-0))+1)))*IF(INDEX(xe_input_vu_khi_suy_ra!$J$2:$J$66,MATCH(Xe!$AE$76,xe_input_vu_khi_suy_ra!$A$2:$A$66,0)),INDEX(xe_input_bang_xuyen_qua!$B$2:$B$5,MIN(4,MAX(1,(INDEX(xe_input_vu_khi!$F$2:$F$66,MATCH(Xe!$AE$76,xe_input_vu_khi!$A$2:$A$66,0)))-(0)-1))),1)*INDEX(xe_input_vu_khi_suy_ra!$I$2:$I$66,MATCH(Xe!$AE$76,xe_input_vu_khi_suy_ra!$A$2:$A$66,0)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Xe!$I$77</f>
        <v/>
      </c>
      <c r="C49">
        <f>Xe!$K$77</f>
        <v/>
      </c>
      <c r="D49">
        <f>IF(INDEX(xe_input_vu_khi_suy_ra!$F$2:$F$66,MATCH(Xe!$AE$77,xe_input_vu_khi_suy_ra!$A$2:$A$66,0)),Xe_suy_ra!$E$77*IF(INDEX(xe_input_vu_khi!$H$2:$H$66,MATCH(Xe!$AE$77,xe_input_vu_khi!$A$2:$A$66,0)),INDEX(xe_input_bang_danh_noc!$B$2:$B$8,MIN(7,MAX(1,2-(INDEX(xe_input_vu_khi!$F$2:$F$66,MATCH(Xe!$AE$77,xe_input_vu_khi!$A$2:$A$66,0))-1)+1))),INDEX(xe_input_bang_xuyen_giap!$B$2:$B$8,MIN(7,MAX(1,IF(INDEX(xe_input_vu_khi_suy_ra!$E$2:$E$66,MATCH(Xe!$AE$77,xe_input_vu_khi_suy_ra!$A$2:$A$66,0)),MAX(1,2-(INDEX(xe_input_vu_khi!$F$2:$F$66,MATCH(Xe!$AE$77,xe_input_vu_khi!$A$2:$A$66,0))-1)),2-(INDEX(xe_input_vu_khi!$F$2:$F$66,MATCH(Xe!$AE$77,xe_input_vu_khi!$A$2:$A$66,0))-1))+1))))*IF(INDEX(xe_input_vu_khi_suy_ra!$J$2:$J$66,MATCH(Xe!$AE$77,xe_input_vu_khi_suy_ra!$A$2:$A$66,0)),INDEX(xe_input_bang_xuyen_qua!$B$2:$B$5,MIN(4,MAX(1,(INDEX(xe_input_vu_khi!$F$2:$F$66,MATCH(Xe!$AE$77,xe_input_vu_khi!$A$2:$A$66,0)))-(1)-1))),1)*INDEX(xe_input_vu_khi_suy_ra!$H$2:$H$66,MATCH(Xe!$AE$77,xe_input_vu_khi_suy_ra!$A$2:$A$66,0)),0)</f>
        <v/>
      </c>
      <c r="E49">
        <f>IF(INDEX(xe_input_vu_khi_suy_ra!$F$2:$F$66,MATCH(Xe!$AE$77,xe_input_vu_khi_suy_ra!$A$2:$A$66,0)),Xe_suy_ra!$E$77*IF(INDEX(xe_input_vu_khi!$H$2:$H$66,MATCH(Xe!$AE$77,xe_input_vu_khi!$A$2:$A$66,0)),INDEX(xe_input_bang_danh_noc!$B$2:$B$8,MIN(7,MAX(1,2-(INDEX(xe_input_vu_khi!$F$2:$F$66,MATCH(Xe!$AE$77,xe_input_vu_khi!$A$2:$A$66,0))-3)+1))),INDEX(xe_input_bang_xuyen_giap!$B$2:$B$8,MIN(7,MAX(1,IF(INDEX(xe_input_vu_khi_suy_ra!$E$2:$E$66,MATCH(Xe!$AE$77,xe_input_vu_khi_suy_ra!$A$2:$A$66,0)),MAX(1,2-(INDEX(xe_input_vu_khi!$F$2:$F$66,MATCH(Xe!$AE$77,xe_input_vu_khi!$A$2:$A$66,0))-3)),2-(INDEX(xe_input_vu_khi!$F$2:$F$66,MATCH(Xe!$AE$77,xe_input_vu_khi!$A$2:$A$66,0))-3))+1))))*IF(INDEX(xe_input_vu_khi_suy_ra!$J$2:$J$66,MATCH(Xe!$AE$77,xe_input_vu_khi_suy_ra!$A$2:$A$66,0)),INDEX(xe_input_bang_xuyen_qua!$B$2:$B$5,MIN(4,MAX(1,(INDEX(xe_input_vu_khi!$F$2:$F$66,MATCH(Xe!$AE$77,xe_input_vu_khi!$A$2:$A$66,0)))-(3)-1))),1)*INDEX(xe_input_vu_khi_suy_ra!$H$2:$H$66,MATCH(Xe!$AE$77,xe_input_vu_khi_suy_ra!$A$2:$A$66,0)),0)</f>
        <v/>
      </c>
      <c r="F49">
        <f>IF(INDEX(xe_input_vu_khi_suy_ra!$G$2:$G$66,MATCH(Xe!$AE$77,xe_input_vu_khi_suy_ra!$A$2:$A$66,0)),Xe_suy_ra!$G$77*INDEX(xe_input_bang_xuyen_giap!$B$2:$B$8,MIN(7,MAX(1,MAX(1,2-(INDEX(xe_input_vu_khi!$F$2:$F$66,MATCH(Xe!$AE$77,xe_input_vu_khi!$A$2:$A$66,0))-0))+1)))*IF(INDEX(xe_input_vu_khi_suy_ra!$J$2:$J$66,MATCH(Xe!$AE$77,xe_input_vu_khi_suy_ra!$A$2:$A$66,0)),INDEX(xe_input_bang_xuyen_qua!$B$2:$B$5,MIN(4,MAX(1,(INDEX(xe_input_vu_khi!$F$2:$F$66,MATCH(Xe!$AE$77,xe_input_vu_khi!$A$2:$A$66,0)))-(0)-1))),1)*INDEX(xe_input_vu_khi_suy_ra!$I$2:$I$66,MATCH(Xe!$AE$77,xe_input_vu_khi_suy_ra!$A$2:$A$66,0)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Xe!$I$79</f>
        <v/>
      </c>
      <c r="C50">
        <f>Xe!$K$79</f>
        <v/>
      </c>
      <c r="D50">
        <f>IF(INDEX(xe_input_vu_khi_suy_ra!$F$2:$F$66,MATCH(Xe!$AE$79,xe_input_vu_khi_suy_ra!$A$2:$A$66,0)),Xe_suy_ra!$E$79*IF(INDEX(xe_input_vu_khi!$H$2:$H$66,MATCH(Xe!$AE$79,xe_input_vu_khi!$A$2:$A$66,0)),INDEX(xe_input_bang_danh_noc!$B$2:$B$8,MIN(7,MAX(1,2-(INDEX(xe_input_vu_khi!$F$2:$F$66,MATCH(Xe!$AE$79,xe_input_vu_khi!$A$2:$A$66,0))-1)+1))),INDEX(xe_input_bang_xuyen_giap!$B$2:$B$8,MIN(7,MAX(1,IF(INDEX(xe_input_vu_khi_suy_ra!$E$2:$E$66,MATCH(Xe!$AE$79,xe_input_vu_khi_suy_ra!$A$2:$A$66,0)),MAX(1,2-(INDEX(xe_input_vu_khi!$F$2:$F$66,MATCH(Xe!$AE$79,xe_input_vu_khi!$A$2:$A$66,0))-1)),2-(INDEX(xe_input_vu_khi!$F$2:$F$66,MATCH(Xe!$AE$79,xe_input_vu_khi!$A$2:$A$66,0))-1))+1))))*IF(INDEX(xe_input_vu_khi_suy_ra!$J$2:$J$66,MATCH(Xe!$AE$79,xe_input_vu_khi_suy_ra!$A$2:$A$66,0)),INDEX(xe_input_bang_xuyen_qua!$B$2:$B$5,MIN(4,MAX(1,(INDEX(xe_input_vu_khi!$F$2:$F$66,MATCH(Xe!$AE$79,xe_input_vu_khi!$A$2:$A$66,0)))-(1)-1))),1)*INDEX(xe_input_vu_khi_suy_ra!$H$2:$H$66,MATCH(Xe!$AE$79,xe_input_vu_khi_suy_ra!$A$2:$A$66,0)),0)</f>
        <v/>
      </c>
      <c r="E50">
        <f>IF(INDEX(xe_input_vu_khi_suy_ra!$F$2:$F$66,MATCH(Xe!$AE$79,xe_input_vu_khi_suy_ra!$A$2:$A$66,0)),Xe_suy_ra!$E$79*IF(INDEX(xe_input_vu_khi!$H$2:$H$66,MATCH(Xe!$AE$79,xe_input_vu_khi!$A$2:$A$66,0)),INDEX(xe_input_bang_danh_noc!$B$2:$B$8,MIN(7,MAX(1,2-(INDEX(xe_input_vu_khi!$F$2:$F$66,MATCH(Xe!$AE$79,xe_input_vu_khi!$A$2:$A$66,0))-3)+1))),INDEX(xe_input_bang_xuyen_giap!$B$2:$B$8,MIN(7,MAX(1,IF(INDEX(xe_input_vu_khi_suy_ra!$E$2:$E$66,MATCH(Xe!$AE$79,xe_input_vu_khi_suy_ra!$A$2:$A$66,0)),MAX(1,2-(INDEX(xe_input_vu_khi!$F$2:$F$66,MATCH(Xe!$AE$79,xe_input_vu_khi!$A$2:$A$66,0))-3)),2-(INDEX(xe_input_vu_khi!$F$2:$F$66,MATCH(Xe!$AE$79,xe_input_vu_khi!$A$2:$A$66,0))-3))+1))))*IF(INDEX(xe_input_vu_khi_suy_ra!$J$2:$J$66,MATCH(Xe!$AE$79,xe_input_vu_khi_suy_ra!$A$2:$A$66,0)),INDEX(xe_input_bang_xuyen_qua!$B$2:$B$5,MIN(4,MAX(1,(INDEX(xe_input_vu_khi!$F$2:$F$66,MATCH(Xe!$AE$79,xe_input_vu_khi!$A$2:$A$66,0)))-(3)-1))),1)*INDEX(xe_input_vu_khi_suy_ra!$H$2:$H$66,MATCH(Xe!$AE$79,xe_input_vu_khi_suy_ra!$A$2:$A$66,0)),0)</f>
        <v/>
      </c>
      <c r="F50">
        <f>IF(INDEX(xe_input_vu_khi_suy_ra!$G$2:$G$66,MATCH(Xe!$AE$79,xe_input_vu_khi_suy_ra!$A$2:$A$66,0)),Xe_suy_ra!$G$79*INDEX(xe_input_bang_xuyen_giap!$B$2:$B$8,MIN(7,MAX(1,MAX(1,2-(INDEX(xe_input_vu_khi!$F$2:$F$66,MATCH(Xe!$AE$79,xe_input_vu_khi!$A$2:$A$66,0))-0))+1)))*IF(INDEX(xe_input_vu_khi_suy_ra!$J$2:$J$66,MATCH(Xe!$AE$79,xe_input_vu_khi_suy_ra!$A$2:$A$66,0)),INDEX(xe_input_bang_xuyen_qua!$B$2:$B$5,MIN(4,MAX(1,(INDEX(xe_input_vu_khi!$F$2:$F$66,MATCH(Xe!$AE$79,xe_input_vu_khi!$A$2:$A$66,0)))-(0)-1))),1)*INDEX(xe_input_vu_khi_suy_ra!$I$2:$I$66,MATCH(Xe!$AE$79,xe_input_vu_khi_suy_ra!$A$2:$A$66,0)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Xe!$I$80</f>
        <v/>
      </c>
      <c r="C51">
        <f>Xe!$K$80</f>
        <v/>
      </c>
      <c r="D51">
        <f>IF(INDEX(xe_input_vu_khi_suy_ra!$F$2:$F$66,MATCH(Xe!$AE$80,xe_input_vu_khi_suy_ra!$A$2:$A$66,0)),Xe_suy_ra!$E$80*IF(INDEX(xe_input_vu_khi!$H$2:$H$66,MATCH(Xe!$AE$80,xe_input_vu_khi!$A$2:$A$66,0)),INDEX(xe_input_bang_danh_noc!$B$2:$B$8,MIN(7,MAX(1,2-(INDEX(xe_input_vu_khi!$F$2:$F$66,MATCH(Xe!$AE$80,xe_input_vu_khi!$A$2:$A$66,0))-1)+1))),INDEX(xe_input_bang_xuyen_giap!$B$2:$B$8,MIN(7,MAX(1,IF(INDEX(xe_input_vu_khi_suy_ra!$E$2:$E$66,MATCH(Xe!$AE$80,xe_input_vu_khi_suy_ra!$A$2:$A$66,0)),MAX(1,2-(INDEX(xe_input_vu_khi!$F$2:$F$66,MATCH(Xe!$AE$80,xe_input_vu_khi!$A$2:$A$66,0))-1)),2-(INDEX(xe_input_vu_khi!$F$2:$F$66,MATCH(Xe!$AE$80,xe_input_vu_khi!$A$2:$A$66,0))-1))+1))))*IF(INDEX(xe_input_vu_khi_suy_ra!$J$2:$J$66,MATCH(Xe!$AE$80,xe_input_vu_khi_suy_ra!$A$2:$A$66,0)),INDEX(xe_input_bang_xuyen_qua!$B$2:$B$5,MIN(4,MAX(1,(INDEX(xe_input_vu_khi!$F$2:$F$66,MATCH(Xe!$AE$80,xe_input_vu_khi!$A$2:$A$66,0)))-(1)-1))),1)*INDEX(xe_input_vu_khi_suy_ra!$H$2:$H$66,MATCH(Xe!$AE$80,xe_input_vu_khi_suy_ra!$A$2:$A$66,0)),0)</f>
        <v/>
      </c>
      <c r="E51">
        <f>IF(INDEX(xe_input_vu_khi_suy_ra!$F$2:$F$66,MATCH(Xe!$AE$80,xe_input_vu_khi_suy_ra!$A$2:$A$66,0)),Xe_suy_ra!$E$80*IF(INDEX(xe_input_vu_khi!$H$2:$H$66,MATCH(Xe!$AE$80,xe_input_vu_khi!$A$2:$A$66,0)),INDEX(xe_input_bang_danh_noc!$B$2:$B$8,MIN(7,MAX(1,2-(INDEX(xe_input_vu_khi!$F$2:$F$66,MATCH(Xe!$AE$80,xe_input_vu_khi!$A$2:$A$66,0))-3)+1))),INDEX(xe_input_bang_xuyen_giap!$B$2:$B$8,MIN(7,MAX(1,IF(INDEX(xe_input_vu_khi_suy_ra!$E$2:$E$66,MATCH(Xe!$AE$80,xe_input_vu_khi_suy_ra!$A$2:$A$66,0)),MAX(1,2-(INDEX(xe_input_vu_khi!$F$2:$F$66,MATCH(Xe!$AE$80,xe_input_vu_khi!$A$2:$A$66,0))-3)),2-(INDEX(xe_input_vu_khi!$F$2:$F$66,MATCH(Xe!$AE$80,xe_input_vu_khi!$A$2:$A$66,0))-3))+1))))*IF(INDEX(xe_input_vu_khi_suy_ra!$J$2:$J$66,MATCH(Xe!$AE$80,xe_input_vu_khi_suy_ra!$A$2:$A$66,0)),INDEX(xe_input_bang_xuyen_qua!$B$2:$B$5,MIN(4,MAX(1,(INDEX(xe_input_vu_khi!$F$2:$F$66,MATCH(Xe!$AE$80,xe_input_vu_khi!$A$2:$A$66,0)))-(3)-1))),1)*INDEX(xe_input_vu_khi_suy_ra!$H$2:$H$66,MATCH(Xe!$AE$80,xe_input_vu_khi_suy_ra!$A$2:$A$66,0)),0)</f>
        <v/>
      </c>
      <c r="F51">
        <f>IF(INDEX(xe_input_vu_khi_suy_ra!$G$2:$G$66,MATCH(Xe!$AE$80,xe_input_vu_khi_suy_ra!$A$2:$A$66,0)),Xe_suy_ra!$G$80*INDEX(xe_input_bang_xuyen_giap!$B$2:$B$8,MIN(7,MAX(1,MAX(1,2-(INDEX(xe_input_vu_khi!$F$2:$F$66,MATCH(Xe!$AE$80,xe_input_vu_khi!$A$2:$A$66,0))-0))+1)))*IF(INDEX(xe_input_vu_khi_suy_ra!$J$2:$J$66,MATCH(Xe!$AE$80,xe_input_vu_khi_suy_ra!$A$2:$A$66,0)),INDEX(xe_input_bang_xuyen_qua!$B$2:$B$5,MIN(4,MAX(1,(INDEX(xe_input_vu_khi!$F$2:$F$66,MATCH(Xe!$AE$80,xe_input_vu_khi!$A$2:$A$66,0)))-(0)-1))),1)*INDEX(xe_input_vu_khi_suy_ra!$I$2:$I$66,MATCH(Xe!$AE$80,xe_input_vu_khi_suy_ra!$A$2:$A$66,0)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Xe!$K$8</f>
        <v/>
      </c>
      <c r="C2">
        <f>Xe!$L$8</f>
        <v/>
      </c>
      <c r="D2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$2))+1)))*IF(INDEX(xe_input_vu_khi_suy_ra!$J$2:$J$66,MATCH("stinger_post",xe_input_vu_khi_suy_ra!$A$2:$A$66,0)),INDEX(xe_input_bang_xuyen_qua!$B$2:$B$5,MIN(4,MAX(1,(INDEX(xe_input_vu_khi!$F$2:$F$66,MATCH("stinger_post",xe_input_vu_khi!$A$2:$A$66,0)))-($C$2)-1))),1)*INDEX(xe_input_vu_khi_suy_ra!$I$2:$I$66,MATCH("stinger_post",xe_input_vu_khi_suy_ra!$A$2:$A$66,0)),0)</f>
        <v/>
      </c>
      <c r="E2" t="n">
        <v>229.5</v>
      </c>
      <c r="F2">
        <f>IF($D$2&gt;0,CEILING($B$2/$D$2,1),"")</f>
        <v/>
      </c>
      <c r="G2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$2))+1)))*IF(INDEX(xe_input_vu_khi_suy_ra!$J$2:$J$66,MATCH("buk_launcher",xe_input_vu_khi_suy_ra!$A$2:$A$66,0)),INDEX(xe_input_bang_xuyen_qua!$B$2:$B$5,MIN(4,MAX(1,(INDEX(xe_input_vu_khi!$F$2:$F$66,MATCH("buk_launcher",xe_input_vu_khi!$A$2:$A$66,0)))-($C$2)-1))),1)*INDEX(xe_input_vu_khi_suy_ra!$I$2:$I$66,MATCH("buk_launcher",xe_input_vu_khi_suy_ra!$A$2:$A$66,0)),0)</f>
        <v/>
      </c>
      <c r="H2" t="n">
        <v>432</v>
      </c>
      <c r="I2">
        <f>IF($G$2&gt;0,CEILING($B$2/$G$2,1),"")</f>
        <v/>
      </c>
      <c r="J2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$2))+1)))*IF(INDEX(xe_input_vu_khi_suy_ra!$J$2:$J$66,MATCH("air_to_air",xe_input_vu_khi_suy_ra!$A$2:$A$66,0)),INDEX(xe_input_bang_xuyen_qua!$B$2:$B$5,MIN(4,MAX(1,(INDEX(xe_input_vu_khi!$F$2:$F$66,MATCH("air_to_air",xe_input_vu_khi!$A$2:$A$66,0)))-($C$2)-1))),1)*INDEX(xe_input_vu_khi_suy_ra!$I$2:$I$66,MATCH("air_to_air",xe_input_vu_khi_suy_ra!$A$2:$A$66,0)),0)</f>
        <v/>
      </c>
      <c r="K2" t="n">
        <v>396.9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Xe!$K$9</f>
        <v/>
      </c>
      <c r="C3">
        <f>Xe!$L$9</f>
        <v/>
      </c>
      <c r="D3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$3))+1)))*IF(INDEX(xe_input_vu_khi_suy_ra!$J$2:$J$66,MATCH("stinger_post",xe_input_vu_khi_suy_ra!$A$2:$A$66,0)),INDEX(xe_input_bang_xuyen_qua!$B$2:$B$5,MIN(4,MAX(1,(INDEX(xe_input_vu_khi!$F$2:$F$66,MATCH("stinger_post",xe_input_vu_khi!$A$2:$A$66,0)))-($C$3)-1))),1)*INDEX(xe_input_vu_khi_suy_ra!$I$2:$I$66,MATCH("stinger_post",xe_input_vu_khi_suy_ra!$A$2:$A$66,0)),0)</f>
        <v/>
      </c>
      <c r="E3" t="n">
        <v>195.075</v>
      </c>
      <c r="F3">
        <f>IF($D$3&gt;0,CEILING($B$3/$D$3,1),"")</f>
        <v/>
      </c>
      <c r="G3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$3))+1)))*IF(INDEX(xe_input_vu_khi_suy_ra!$J$2:$J$66,MATCH("buk_launcher",xe_input_vu_khi_suy_ra!$A$2:$A$66,0)),INDEX(xe_input_bang_xuyen_qua!$B$2:$B$5,MIN(4,MAX(1,(INDEX(xe_input_vu_khi!$F$2:$F$66,MATCH("buk_launcher",xe_input_vu_khi!$A$2:$A$66,0)))-($C$3)-1))),1)*INDEX(xe_input_vu_khi_suy_ra!$I$2:$I$66,MATCH("buk_launcher",xe_input_vu_khi_suy_ra!$A$2:$A$66,0)),0)</f>
        <v/>
      </c>
      <c r="H3" t="n">
        <v>432</v>
      </c>
      <c r="I3">
        <f>IF($G$3&gt;0,CEILING($B$3/$G$3,1),"")</f>
        <v/>
      </c>
      <c r="J3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$3))+1)))*IF(INDEX(xe_input_vu_khi_suy_ra!$J$2:$J$66,MATCH("air_to_air",xe_input_vu_khi_suy_ra!$A$2:$A$66,0)),INDEX(xe_input_bang_xuyen_qua!$B$2:$B$5,MIN(4,MAX(1,(INDEX(xe_input_vu_khi!$F$2:$F$66,MATCH("air_to_air",xe_input_vu_khi!$A$2:$A$66,0)))-($C$3)-1))),1)*INDEX(xe_input_vu_khi_suy_ra!$I$2:$I$66,MATCH("air_to_air",xe_input_vu_khi_suy_ra!$A$2:$A$66,0)),0)</f>
        <v/>
      </c>
      <c r="K3" t="n">
        <v>396.9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Xe!$K$13</f>
        <v/>
      </c>
      <c r="C4">
        <f>Xe!$L$13</f>
        <v/>
      </c>
      <c r="D4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$4))+1)))*IF(INDEX(xe_input_vu_khi_suy_ra!$J$2:$J$66,MATCH("stinger_post",xe_input_vu_khi_suy_ra!$A$2:$A$66,0)),INDEX(xe_input_bang_xuyen_qua!$B$2:$B$5,MIN(4,MAX(1,(INDEX(xe_input_vu_khi!$F$2:$F$66,MATCH("stinger_post",xe_input_vu_khi!$A$2:$A$66,0)))-($C$4)-1))),1)*INDEX(xe_input_vu_khi_suy_ra!$I$2:$I$66,MATCH("stinger_post",xe_input_vu_khi_suy_ra!$A$2:$A$66,0)),0)</f>
        <v/>
      </c>
      <c r="E4" t="n">
        <v>229.5</v>
      </c>
      <c r="F4">
        <f>IF($D$4&gt;0,CEILING($B$4/$D$4,1),"")</f>
        <v/>
      </c>
      <c r="G4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$4))+1)))*IF(INDEX(xe_input_vu_khi_suy_ra!$J$2:$J$66,MATCH("buk_launcher",xe_input_vu_khi_suy_ra!$A$2:$A$66,0)),INDEX(xe_input_bang_xuyen_qua!$B$2:$B$5,MIN(4,MAX(1,(INDEX(xe_input_vu_khi!$F$2:$F$66,MATCH("buk_launcher",xe_input_vu_khi!$A$2:$A$66,0)))-($C$4)-1))),1)*INDEX(xe_input_vu_khi_suy_ra!$I$2:$I$66,MATCH("buk_launcher",xe_input_vu_khi_suy_ra!$A$2:$A$66,0)),0)</f>
        <v/>
      </c>
      <c r="H4" t="n">
        <v>432</v>
      </c>
      <c r="I4">
        <f>IF($G$4&gt;0,CEILING($B$4/$G$4,1),"")</f>
        <v/>
      </c>
      <c r="J4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$4))+1)))*IF(INDEX(xe_input_vu_khi_suy_ra!$J$2:$J$66,MATCH("air_to_air",xe_input_vu_khi_suy_ra!$A$2:$A$66,0)),INDEX(xe_input_bang_xuyen_qua!$B$2:$B$5,MIN(4,MAX(1,(INDEX(xe_input_vu_khi!$F$2:$F$66,MATCH("air_to_air",xe_input_vu_khi!$A$2:$A$66,0)))-($C$4)-1))),1)*INDEX(xe_input_vu_khi_suy_ra!$I$2:$I$66,MATCH("air_to_air",xe_input_vu_khi_suy_ra!$A$2:$A$66,0)),0)</f>
        <v/>
      </c>
      <c r="K4" t="n">
        <v>396.9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Xe!$K$28</f>
        <v/>
      </c>
      <c r="C5">
        <f>Xe!$L$28</f>
        <v/>
      </c>
      <c r="D5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$5))+1)))*IF(INDEX(xe_input_vu_khi_suy_ra!$J$2:$J$66,MATCH("stinger_post",xe_input_vu_khi_suy_ra!$A$2:$A$66,0)),INDEX(xe_input_bang_xuyen_qua!$B$2:$B$5,MIN(4,MAX(1,(INDEX(xe_input_vu_khi!$F$2:$F$66,MATCH("stinger_post",xe_input_vu_khi!$A$2:$A$66,0)))-($C$5)-1))),1)*INDEX(xe_input_vu_khi_suy_ra!$I$2:$I$66,MATCH("stinger_post",xe_input_vu_khi_suy_ra!$A$2:$A$66,0)),0)</f>
        <v/>
      </c>
      <c r="E5" t="n">
        <v>229.5</v>
      </c>
      <c r="F5">
        <f>IF($D$5&gt;0,CEILING($B$5/$D$5,1),"")</f>
        <v/>
      </c>
      <c r="G5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$5))+1)))*IF(INDEX(xe_input_vu_khi_suy_ra!$J$2:$J$66,MATCH("buk_launcher",xe_input_vu_khi_suy_ra!$A$2:$A$66,0)),INDEX(xe_input_bang_xuyen_qua!$B$2:$B$5,MIN(4,MAX(1,(INDEX(xe_input_vu_khi!$F$2:$F$66,MATCH("buk_launcher",xe_input_vu_khi!$A$2:$A$66,0)))-($C$5)-1))),1)*INDEX(xe_input_vu_khi_suy_ra!$I$2:$I$66,MATCH("buk_launcher",xe_input_vu_khi_suy_ra!$A$2:$A$66,0)),0)</f>
        <v/>
      </c>
      <c r="H5" t="n">
        <v>432</v>
      </c>
      <c r="I5">
        <f>IF($G$5&gt;0,CEILING($B$5/$G$5,1),"")</f>
        <v/>
      </c>
      <c r="J5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$5))+1)))*IF(INDEX(xe_input_vu_khi_suy_ra!$J$2:$J$66,MATCH("air_to_air",xe_input_vu_khi_suy_ra!$A$2:$A$66,0)),INDEX(xe_input_bang_xuyen_qua!$B$2:$B$5,MIN(4,MAX(1,(INDEX(xe_input_vu_khi!$F$2:$F$66,MATCH("air_to_air",xe_input_vu_khi!$A$2:$A$66,0)))-($C$5)-1))),1)*INDEX(xe_input_vu_khi_suy_ra!$I$2:$I$66,MATCH("air_to_air",xe_input_vu_khi_suy_ra!$A$2:$A$66,0)),0)</f>
        <v/>
      </c>
      <c r="K5" t="n">
        <v>396.9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Xe!$K$34</f>
        <v/>
      </c>
      <c r="C6">
        <f>Xe!$L$34</f>
        <v/>
      </c>
      <c r="D6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$6))+1)))*IF(INDEX(xe_input_vu_khi_suy_ra!$J$2:$J$66,MATCH("stinger_post",xe_input_vu_khi_suy_ra!$A$2:$A$66,0)),INDEX(xe_input_bang_xuyen_qua!$B$2:$B$5,MIN(4,MAX(1,(INDEX(xe_input_vu_khi!$F$2:$F$66,MATCH("stinger_post",xe_input_vu_khi!$A$2:$A$66,0)))-($C$6)-1))),1)*INDEX(xe_input_vu_khi_suy_ra!$I$2:$I$66,MATCH("stinger_post",xe_input_vu_khi_suy_ra!$A$2:$A$66,0)),0)</f>
        <v/>
      </c>
      <c r="E6" t="n">
        <v>229.5</v>
      </c>
      <c r="F6">
        <f>IF($D$6&gt;0,CEILING($B$6/$D$6,1),"")</f>
        <v/>
      </c>
      <c r="G6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$6))+1)))*IF(INDEX(xe_input_vu_khi_suy_ra!$J$2:$J$66,MATCH("buk_launcher",xe_input_vu_khi_suy_ra!$A$2:$A$66,0)),INDEX(xe_input_bang_xuyen_qua!$B$2:$B$5,MIN(4,MAX(1,(INDEX(xe_input_vu_khi!$F$2:$F$66,MATCH("buk_launcher",xe_input_vu_khi!$A$2:$A$66,0)))-($C$6)-1))),1)*INDEX(xe_input_vu_khi_suy_ra!$I$2:$I$66,MATCH("buk_launcher",xe_input_vu_khi_suy_ra!$A$2:$A$66,0)),0)</f>
        <v/>
      </c>
      <c r="H6" t="n">
        <v>432</v>
      </c>
      <c r="I6">
        <f>IF($G$6&gt;0,CEILING($B$6/$G$6,1),"")</f>
        <v/>
      </c>
      <c r="J6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$6))+1)))*IF(INDEX(xe_input_vu_khi_suy_ra!$J$2:$J$66,MATCH("air_to_air",xe_input_vu_khi_suy_ra!$A$2:$A$66,0)),INDEX(xe_input_bang_xuyen_qua!$B$2:$B$5,MIN(4,MAX(1,(INDEX(xe_input_vu_khi!$F$2:$F$66,MATCH("air_to_air",xe_input_vu_khi!$A$2:$A$66,0)))-($C$6)-1))),1)*INDEX(xe_input_vu_khi_suy_ra!$I$2:$I$66,MATCH("air_to_air",xe_input_vu_khi_suy_ra!$A$2:$A$66,0)),0)</f>
        <v/>
      </c>
      <c r="K6" t="n">
        <v>396.9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Xe!$K$53</f>
        <v/>
      </c>
      <c r="C7">
        <f>Xe!$L$53</f>
        <v/>
      </c>
      <c r="D7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$7))+1)))*IF(INDEX(xe_input_vu_khi_suy_ra!$J$2:$J$66,MATCH("stinger_post",xe_input_vu_khi_suy_ra!$A$2:$A$66,0)),INDEX(xe_input_bang_xuyen_qua!$B$2:$B$5,MIN(4,MAX(1,(INDEX(xe_input_vu_khi!$F$2:$F$66,MATCH("stinger_post",xe_input_vu_khi!$A$2:$A$66,0)))-($C$7)-1))),1)*INDEX(xe_input_vu_khi_suy_ra!$I$2:$I$66,MATCH("stinger_post",xe_input_vu_khi_suy_ra!$A$2:$A$66,0)),0)</f>
        <v/>
      </c>
      <c r="E7" t="n">
        <v>229.5</v>
      </c>
      <c r="F7">
        <f>IF($D$7&gt;0,CEILING($B$7/$D$7,1),"")</f>
        <v/>
      </c>
      <c r="G7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$7))+1)))*IF(INDEX(xe_input_vu_khi_suy_ra!$J$2:$J$66,MATCH("buk_launcher",xe_input_vu_khi_suy_ra!$A$2:$A$66,0)),INDEX(xe_input_bang_xuyen_qua!$B$2:$B$5,MIN(4,MAX(1,(INDEX(xe_input_vu_khi!$F$2:$F$66,MATCH("buk_launcher",xe_input_vu_khi!$A$2:$A$66,0)))-($C$7)-1))),1)*INDEX(xe_input_vu_khi_suy_ra!$I$2:$I$66,MATCH("buk_launcher",xe_input_vu_khi_suy_ra!$A$2:$A$66,0)),0)</f>
        <v/>
      </c>
      <c r="H7" t="n">
        <v>432</v>
      </c>
      <c r="I7">
        <f>IF($G$7&gt;0,CEILING($B$7/$G$7,1),"")</f>
        <v/>
      </c>
      <c r="J7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$7))+1)))*IF(INDEX(xe_input_vu_khi_suy_ra!$J$2:$J$66,MATCH("air_to_air",xe_input_vu_khi_suy_ra!$A$2:$A$66,0)),INDEX(xe_input_bang_xuyen_qua!$B$2:$B$5,MIN(4,MAX(1,(INDEX(xe_input_vu_khi!$F$2:$F$66,MATCH("air_to_air",xe_input_vu_khi!$A$2:$A$66,0)))-($C$7)-1))),1)*INDEX(xe_input_vu_khi_suy_ra!$I$2:$I$66,MATCH("air_to_air",xe_input_vu_khi_suy_ra!$A$2:$A$66,0)),0)</f>
        <v/>
      </c>
      <c r="K7" t="n">
        <v>396.9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Xe!$K$58</f>
        <v/>
      </c>
      <c r="C8">
        <f>Xe!$L$58</f>
        <v/>
      </c>
      <c r="D8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$8))+1)))*IF(INDEX(xe_input_vu_khi_suy_ra!$J$2:$J$66,MATCH("stinger_post",xe_input_vu_khi_suy_ra!$A$2:$A$66,0)),INDEX(xe_input_bang_xuyen_qua!$B$2:$B$5,MIN(4,MAX(1,(INDEX(xe_input_vu_khi!$F$2:$F$66,MATCH("stinger_post",xe_input_vu_khi!$A$2:$A$66,0)))-($C$8)-1))),1)*INDEX(xe_input_vu_khi_suy_ra!$I$2:$I$66,MATCH("stinger_post",xe_input_vu_khi_suy_ra!$A$2:$A$66,0)),0)</f>
        <v/>
      </c>
      <c r="E8" t="n">
        <v>229.5</v>
      </c>
      <c r="F8">
        <f>IF($D$8&gt;0,CEILING($B$8/$D$8,1),"")</f>
        <v/>
      </c>
      <c r="G8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$8))+1)))*IF(INDEX(xe_input_vu_khi_suy_ra!$J$2:$J$66,MATCH("buk_launcher",xe_input_vu_khi_suy_ra!$A$2:$A$66,0)),INDEX(xe_input_bang_xuyen_qua!$B$2:$B$5,MIN(4,MAX(1,(INDEX(xe_input_vu_khi!$F$2:$F$66,MATCH("buk_launcher",xe_input_vu_khi!$A$2:$A$66,0)))-($C$8)-1))),1)*INDEX(xe_input_vu_khi_suy_ra!$I$2:$I$66,MATCH("buk_launcher",xe_input_vu_khi_suy_ra!$A$2:$A$66,0)),0)</f>
        <v/>
      </c>
      <c r="H8" t="n">
        <v>432</v>
      </c>
      <c r="I8">
        <f>IF($G$8&gt;0,CEILING($B$8/$G$8,1),"")</f>
        <v/>
      </c>
      <c r="J8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$8))+1)))*IF(INDEX(xe_input_vu_khi_suy_ra!$J$2:$J$66,MATCH("air_to_air",xe_input_vu_khi_suy_ra!$A$2:$A$66,0)),INDEX(xe_input_bang_xuyen_qua!$B$2:$B$5,MIN(4,MAX(1,(INDEX(xe_input_vu_khi!$F$2:$F$66,MATCH("air_to_air",xe_input_vu_khi!$A$2:$A$66,0)))-($C$8)-1))),1)*INDEX(xe_input_vu_khi_suy_ra!$I$2:$I$66,MATCH("air_to_air",xe_input_vu_khi_suy_ra!$A$2:$A$66,0)),0)</f>
        <v/>
      </c>
      <c r="K8" t="n">
        <v>396.9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Xe!$K$65</f>
        <v/>
      </c>
      <c r="C9">
        <f>Xe!$L$65</f>
        <v/>
      </c>
      <c r="D9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$9))+1)))*IF(INDEX(xe_input_vu_khi_suy_ra!$J$2:$J$66,MATCH("stinger_post",xe_input_vu_khi_suy_ra!$A$2:$A$66,0)),INDEX(xe_input_bang_xuyen_qua!$B$2:$B$5,MIN(4,MAX(1,(INDEX(xe_input_vu_khi!$F$2:$F$66,MATCH("stinger_post",xe_input_vu_khi!$A$2:$A$66,0)))-($C$9)-1))),1)*INDEX(xe_input_vu_khi_suy_ra!$I$2:$I$66,MATCH("stinger_post",xe_input_vu_khi_suy_ra!$A$2:$A$66,0)),0)</f>
        <v/>
      </c>
      <c r="E9" t="n">
        <v>229.5</v>
      </c>
      <c r="F9">
        <f>IF($D$9&gt;0,CEILING($B$9/$D$9,1),"")</f>
        <v/>
      </c>
      <c r="G9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$9))+1)))*IF(INDEX(xe_input_vu_khi_suy_ra!$J$2:$J$66,MATCH("buk_launcher",xe_input_vu_khi_suy_ra!$A$2:$A$66,0)),INDEX(xe_input_bang_xuyen_qua!$B$2:$B$5,MIN(4,MAX(1,(INDEX(xe_input_vu_khi!$F$2:$F$66,MATCH("buk_launcher",xe_input_vu_khi!$A$2:$A$66,0)))-($C$9)-1))),1)*INDEX(xe_input_vu_khi_suy_ra!$I$2:$I$66,MATCH("buk_launcher",xe_input_vu_khi_suy_ra!$A$2:$A$66,0)),0)</f>
        <v/>
      </c>
      <c r="H9" t="n">
        <v>432</v>
      </c>
      <c r="I9">
        <f>IF($G$9&gt;0,CEILING($B$9/$G$9,1),"")</f>
        <v/>
      </c>
      <c r="J9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$9))+1)))*IF(INDEX(xe_input_vu_khi_suy_ra!$J$2:$J$66,MATCH("air_to_air",xe_input_vu_khi_suy_ra!$A$2:$A$66,0)),INDEX(xe_input_bang_xuyen_qua!$B$2:$B$5,MIN(4,MAX(1,(INDEX(xe_input_vu_khi!$F$2:$F$66,MATCH("air_to_air",xe_input_vu_khi!$A$2:$A$66,0)))-($C$9)-1))),1)*INDEX(xe_input_vu_khi_suy_ra!$I$2:$I$66,MATCH("air_to_air",xe_input_vu_khi_suy_ra!$A$2:$A$66,0)),0)</f>
        <v/>
      </c>
      <c r="K9" t="n">
        <v>396.9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Xe!$K$67</f>
        <v/>
      </c>
      <c r="C10">
        <f>Xe!$L$67</f>
        <v/>
      </c>
      <c r="D10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$10))+1)))*IF(INDEX(xe_input_vu_khi_suy_ra!$J$2:$J$66,MATCH("stinger_post",xe_input_vu_khi_suy_ra!$A$2:$A$66,0)),INDEX(xe_input_bang_xuyen_qua!$B$2:$B$5,MIN(4,MAX(1,(INDEX(xe_input_vu_khi!$F$2:$F$66,MATCH("stinger_post",xe_input_vu_khi!$A$2:$A$66,0)))-($C$10)-1))),1)*INDEX(xe_input_vu_khi_suy_ra!$I$2:$I$66,MATCH("stinger_post",xe_input_vu_khi_suy_ra!$A$2:$A$66,0)),0)</f>
        <v/>
      </c>
      <c r="E10" t="n">
        <v>229.5</v>
      </c>
      <c r="F10">
        <f>IF($D$10&gt;0,CEILING($B$10/$D$10,1),"")</f>
        <v/>
      </c>
      <c r="G10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$10))+1)))*IF(INDEX(xe_input_vu_khi_suy_ra!$J$2:$J$66,MATCH("buk_launcher",xe_input_vu_khi_suy_ra!$A$2:$A$66,0)),INDEX(xe_input_bang_xuyen_qua!$B$2:$B$5,MIN(4,MAX(1,(INDEX(xe_input_vu_khi!$F$2:$F$66,MATCH("buk_launcher",xe_input_vu_khi!$A$2:$A$66,0)))-($C$10)-1))),1)*INDEX(xe_input_vu_khi_suy_ra!$I$2:$I$66,MATCH("buk_launcher",xe_input_vu_khi_suy_ra!$A$2:$A$66,0)),0)</f>
        <v/>
      </c>
      <c r="H10" t="n">
        <v>432</v>
      </c>
      <c r="I10">
        <f>IF($G$10&gt;0,CEILING($B$10/$G$10,1),"")</f>
        <v/>
      </c>
      <c r="J10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$10))+1)))*IF(INDEX(xe_input_vu_khi_suy_ra!$J$2:$J$66,MATCH("air_to_air",xe_input_vu_khi_suy_ra!$A$2:$A$66,0)),INDEX(xe_input_bang_xuyen_qua!$B$2:$B$5,MIN(4,MAX(1,(INDEX(xe_input_vu_khi!$F$2:$F$66,MATCH("air_to_air",xe_input_vu_khi!$A$2:$A$66,0)))-($C$10)-1))),1)*INDEX(xe_input_vu_khi_suy_ra!$I$2:$I$66,MATCH("air_to_air",xe_input_vu_khi_suy_ra!$A$2:$A$66,0)),0)</f>
        <v/>
      </c>
      <c r="K10" t="n">
        <v>396.9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Xe!$K$68</f>
        <v/>
      </c>
      <c r="C11">
        <f>Xe!$L$68</f>
        <v/>
      </c>
      <c r="D11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$11))+1)))*IF(INDEX(xe_input_vu_khi_suy_ra!$J$2:$J$66,MATCH("stinger_post",xe_input_vu_khi_suy_ra!$A$2:$A$66,0)),INDEX(xe_input_bang_xuyen_qua!$B$2:$B$5,MIN(4,MAX(1,(INDEX(xe_input_vu_khi!$F$2:$F$66,MATCH("stinger_post",xe_input_vu_khi!$A$2:$A$66,0)))-($C$11)-1))),1)*INDEX(xe_input_vu_khi_suy_ra!$I$2:$I$66,MATCH("stinger_post",xe_input_vu_khi_suy_ra!$A$2:$A$66,0)),0)</f>
        <v/>
      </c>
      <c r="E11" t="n">
        <v>229.5</v>
      </c>
      <c r="F11">
        <f>IF($D$11&gt;0,CEILING($B$11/$D$11,1),"")</f>
        <v/>
      </c>
      <c r="G11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$11))+1)))*IF(INDEX(xe_input_vu_khi_suy_ra!$J$2:$J$66,MATCH("buk_launcher",xe_input_vu_khi_suy_ra!$A$2:$A$66,0)),INDEX(xe_input_bang_xuyen_qua!$B$2:$B$5,MIN(4,MAX(1,(INDEX(xe_input_vu_khi!$F$2:$F$66,MATCH("buk_launcher",xe_input_vu_khi!$A$2:$A$66,0)))-($C$11)-1))),1)*INDEX(xe_input_vu_khi_suy_ra!$I$2:$I$66,MATCH("buk_launcher",xe_input_vu_khi_suy_ra!$A$2:$A$66,0)),0)</f>
        <v/>
      </c>
      <c r="H11" t="n">
        <v>432</v>
      </c>
      <c r="I11">
        <f>IF($G$11&gt;0,CEILING($B$11/$G$11,1),"")</f>
        <v/>
      </c>
      <c r="J11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$11))+1)))*IF(INDEX(xe_input_vu_khi_suy_ra!$J$2:$J$66,MATCH("air_to_air",xe_input_vu_khi_suy_ra!$A$2:$A$66,0)),INDEX(xe_input_bang_xuyen_qua!$B$2:$B$5,MIN(4,MAX(1,(INDEX(xe_input_vu_khi!$F$2:$F$66,MATCH("air_to_air",xe_input_vu_khi!$A$2:$A$66,0)))-($C$11)-1))),1)*INDEX(xe_input_vu_khi_suy_ra!$I$2:$I$66,MATCH("air_to_air",xe_input_vu_khi_suy_ra!$A$2:$A$66,0)),0)</f>
        <v/>
      </c>
      <c r="K11" t="n">
        <v>396.9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Xe!$K$69</f>
        <v/>
      </c>
      <c r="C12">
        <f>Xe!$L$69</f>
        <v/>
      </c>
      <c r="D12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$12))+1)))*IF(INDEX(xe_input_vu_khi_suy_ra!$J$2:$J$66,MATCH("stinger_post",xe_input_vu_khi_suy_ra!$A$2:$A$66,0)),INDEX(xe_input_bang_xuyen_qua!$B$2:$B$5,MIN(4,MAX(1,(INDEX(xe_input_vu_khi!$F$2:$F$66,MATCH("stinger_post",xe_input_vu_khi!$A$2:$A$66,0)))-($C$12)-1))),1)*INDEX(xe_input_vu_khi_suy_ra!$I$2:$I$66,MATCH("stinger_post",xe_input_vu_khi_suy_ra!$A$2:$A$66,0)),0)</f>
        <v/>
      </c>
      <c r="E12" t="n">
        <v>229.5</v>
      </c>
      <c r="F12">
        <f>IF($D$12&gt;0,CEILING($B$12/$D$12,1),"")</f>
        <v/>
      </c>
      <c r="G12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$12))+1)))*IF(INDEX(xe_input_vu_khi_suy_ra!$J$2:$J$66,MATCH("buk_launcher",xe_input_vu_khi_suy_ra!$A$2:$A$66,0)),INDEX(xe_input_bang_xuyen_qua!$B$2:$B$5,MIN(4,MAX(1,(INDEX(xe_input_vu_khi!$F$2:$F$66,MATCH("buk_launcher",xe_input_vu_khi!$A$2:$A$66,0)))-($C$12)-1))),1)*INDEX(xe_input_vu_khi_suy_ra!$I$2:$I$66,MATCH("buk_launcher",xe_input_vu_khi_suy_ra!$A$2:$A$66,0)),0)</f>
        <v/>
      </c>
      <c r="H12" t="n">
        <v>432</v>
      </c>
      <c r="I12">
        <f>IF($G$12&gt;0,CEILING($B$12/$G$12,1),"")</f>
        <v/>
      </c>
      <c r="J12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$12))+1)))*IF(INDEX(xe_input_vu_khi_suy_ra!$J$2:$J$66,MATCH("air_to_air",xe_input_vu_khi_suy_ra!$A$2:$A$66,0)),INDEX(xe_input_bang_xuyen_qua!$B$2:$B$5,MIN(4,MAX(1,(INDEX(xe_input_vu_khi!$F$2:$F$66,MATCH("air_to_air",xe_input_vu_khi!$A$2:$A$66,0)))-($C$12)-1))),1)*INDEX(xe_input_vu_khi_suy_ra!$I$2:$I$66,MATCH("air_to_air",xe_input_vu_khi_suy_ra!$A$2:$A$66,0)),0)</f>
        <v/>
      </c>
      <c r="K12" t="n">
        <v>396.9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Xe!$K$70</f>
        <v/>
      </c>
      <c r="C13">
        <f>Xe!$L$70</f>
        <v/>
      </c>
      <c r="D13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$13))+1)))*IF(INDEX(xe_input_vu_khi_suy_ra!$J$2:$J$66,MATCH("stinger_post",xe_input_vu_khi_suy_ra!$A$2:$A$66,0)),INDEX(xe_input_bang_xuyen_qua!$B$2:$B$5,MIN(4,MAX(1,(INDEX(xe_input_vu_khi!$F$2:$F$66,MATCH("stinger_post",xe_input_vu_khi!$A$2:$A$66,0)))-($C$13)-1))),1)*INDEX(xe_input_vu_khi_suy_ra!$I$2:$I$66,MATCH("stinger_post",xe_input_vu_khi_suy_ra!$A$2:$A$66,0)),0)</f>
        <v/>
      </c>
      <c r="E13" t="n">
        <v>229.5</v>
      </c>
      <c r="F13">
        <f>IF($D$13&gt;0,CEILING($B$13/$D$13,1),"")</f>
        <v/>
      </c>
      <c r="G13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$13))+1)))*IF(INDEX(xe_input_vu_khi_suy_ra!$J$2:$J$66,MATCH("buk_launcher",xe_input_vu_khi_suy_ra!$A$2:$A$66,0)),INDEX(xe_input_bang_xuyen_qua!$B$2:$B$5,MIN(4,MAX(1,(INDEX(xe_input_vu_khi!$F$2:$F$66,MATCH("buk_launcher",xe_input_vu_khi!$A$2:$A$66,0)))-($C$13)-1))),1)*INDEX(xe_input_vu_khi_suy_ra!$I$2:$I$66,MATCH("buk_launcher",xe_input_vu_khi_suy_ra!$A$2:$A$66,0)),0)</f>
        <v/>
      </c>
      <c r="H13" t="n">
        <v>432</v>
      </c>
      <c r="I13">
        <f>IF($G$13&gt;0,CEILING($B$13/$G$13,1),"")</f>
        <v/>
      </c>
      <c r="J13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$13))+1)))*IF(INDEX(xe_input_vu_khi_suy_ra!$J$2:$J$66,MATCH("air_to_air",xe_input_vu_khi_suy_ra!$A$2:$A$66,0)),INDEX(xe_input_bang_xuyen_qua!$B$2:$B$5,MIN(4,MAX(1,(INDEX(xe_input_vu_khi!$F$2:$F$66,MATCH("air_to_air",xe_input_vu_khi!$A$2:$A$66,0)))-($C$13)-1))),1)*INDEX(xe_input_vu_khi_suy_ra!$I$2:$I$66,MATCH("air_to_air",xe_input_vu_khi_suy_ra!$A$2:$A$66,0)),0)</f>
        <v/>
      </c>
      <c r="K13" t="n">
        <v>396.9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Xe!$K$72</f>
        <v/>
      </c>
      <c r="C14">
        <f>Xe!$L$72</f>
        <v/>
      </c>
      <c r="D14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$14))+1)))*IF(INDEX(xe_input_vu_khi_suy_ra!$J$2:$J$66,MATCH("stinger_post",xe_input_vu_khi_suy_ra!$A$2:$A$66,0)),INDEX(xe_input_bang_xuyen_qua!$B$2:$B$5,MIN(4,MAX(1,(INDEX(xe_input_vu_khi!$F$2:$F$66,MATCH("stinger_post",xe_input_vu_khi!$A$2:$A$66,0)))-($C$14)-1))),1)*INDEX(xe_input_vu_khi_suy_ra!$I$2:$I$66,MATCH("stinger_post",xe_input_vu_khi_suy_ra!$A$2:$A$66,0)),0)</f>
        <v/>
      </c>
      <c r="E14" t="n">
        <v>229.5</v>
      </c>
      <c r="F14">
        <f>IF($D$14&gt;0,CEILING($B$14/$D$14,1),"")</f>
        <v/>
      </c>
      <c r="G14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$14))+1)))*IF(INDEX(xe_input_vu_khi_suy_ra!$J$2:$J$66,MATCH("buk_launcher",xe_input_vu_khi_suy_ra!$A$2:$A$66,0)),INDEX(xe_input_bang_xuyen_qua!$B$2:$B$5,MIN(4,MAX(1,(INDEX(xe_input_vu_khi!$F$2:$F$66,MATCH("buk_launcher",xe_input_vu_khi!$A$2:$A$66,0)))-($C$14)-1))),1)*INDEX(xe_input_vu_khi_suy_ra!$I$2:$I$66,MATCH("buk_launcher",xe_input_vu_khi_suy_ra!$A$2:$A$66,0)),0)</f>
        <v/>
      </c>
      <c r="H14" t="n">
        <v>432</v>
      </c>
      <c r="I14">
        <f>IF($G$14&gt;0,CEILING($B$14/$G$14,1),"")</f>
        <v/>
      </c>
      <c r="J14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$14))+1)))*IF(INDEX(xe_input_vu_khi_suy_ra!$J$2:$J$66,MATCH("air_to_air",xe_input_vu_khi_suy_ra!$A$2:$A$66,0)),INDEX(xe_input_bang_xuyen_qua!$B$2:$B$5,MIN(4,MAX(1,(INDEX(xe_input_vu_khi!$F$2:$F$66,MATCH("air_to_air",xe_input_vu_khi!$A$2:$A$66,0)))-($C$14)-1))),1)*INDEX(xe_input_vu_khi_suy_ra!$I$2:$I$66,MATCH("air_to_air",xe_input_vu_khi_suy_ra!$A$2:$A$66,0)),0)</f>
        <v/>
      </c>
      <c r="K14" t="n">
        <v>396.9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Xe!$K$76</f>
        <v/>
      </c>
      <c r="C15">
        <f>Xe!$L$76</f>
        <v/>
      </c>
      <c r="D15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$15))+1)))*IF(INDEX(xe_input_vu_khi_suy_ra!$J$2:$J$66,MATCH("stinger_post",xe_input_vu_khi_suy_ra!$A$2:$A$66,0)),INDEX(xe_input_bang_xuyen_qua!$B$2:$B$5,MIN(4,MAX(1,(INDEX(xe_input_vu_khi!$F$2:$F$66,MATCH("stinger_post",xe_input_vu_khi!$A$2:$A$66,0)))-($C$15)-1))),1)*INDEX(xe_input_vu_khi_suy_ra!$I$2:$I$66,MATCH("stinger_post",xe_input_vu_khi_suy_ra!$A$2:$A$66,0)),0)</f>
        <v/>
      </c>
      <c r="E15" t="n">
        <v>229.5</v>
      </c>
      <c r="F15">
        <f>IF($D$15&gt;0,CEILING($B$15/$D$15,1),"")</f>
        <v/>
      </c>
      <c r="G15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$15))+1)))*IF(INDEX(xe_input_vu_khi_suy_ra!$J$2:$J$66,MATCH("buk_launcher",xe_input_vu_khi_suy_ra!$A$2:$A$66,0)),INDEX(xe_input_bang_xuyen_qua!$B$2:$B$5,MIN(4,MAX(1,(INDEX(xe_input_vu_khi!$F$2:$F$66,MATCH("buk_launcher",xe_input_vu_khi!$A$2:$A$66,0)))-($C$15)-1))),1)*INDEX(xe_input_vu_khi_suy_ra!$I$2:$I$66,MATCH("buk_launcher",xe_input_vu_khi_suy_ra!$A$2:$A$66,0)),0)</f>
        <v/>
      </c>
      <c r="H15" t="n">
        <v>432</v>
      </c>
      <c r="I15">
        <f>IF($G$15&gt;0,CEILING($B$15/$G$15,1),"")</f>
        <v/>
      </c>
      <c r="J15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$15))+1)))*IF(INDEX(xe_input_vu_khi_suy_ra!$J$2:$J$66,MATCH("air_to_air",xe_input_vu_khi_suy_ra!$A$2:$A$66,0)),INDEX(xe_input_bang_xuyen_qua!$B$2:$B$5,MIN(4,MAX(1,(INDEX(xe_input_vu_khi!$F$2:$F$66,MATCH("air_to_air",xe_input_vu_khi!$A$2:$A$66,0)))-($C$15)-1))),1)*INDEX(xe_input_vu_khi_suy_ra!$I$2:$I$66,MATCH("air_to_air",xe_input_vu_khi_suy_ra!$A$2:$A$66,0)),0)</f>
        <v/>
      </c>
      <c r="K15" t="n">
        <v>396.9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5</v>
      </c>
      <c r="D2" t="inlineStr">
        <is>
          <t>=Doi_mo_man_luat!$D$4</t>
        </is>
      </c>
      <c r="E2" t="inlineStr">
        <is>
          <t>Conquest:31.2;Deathmatch:23.8;KingOfTheHill:26.3;Assault:21.7;Siege:11.4;Defend:14.3;Endless:14.3;Survival:26.3;BossRush:10.9;Showdown:23.8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Conquest:60.0;Deathmatch:60.0;KingOfTheHill:60.0;Assault:60.0;Siege:40.9;Defend:51.4;Endless:51.4;Survival:60.0;BossRush:39.1;Showdown:60.0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6</v>
      </c>
      <c r="D5" t="inlineStr">
        <is>
          <t>=Doi_mo_man_luat!$D$4</t>
        </is>
      </c>
      <c r="E5" t="inlineStr">
        <is>
          <t>Conquest:37.5;Deathmatch:28.6;KingOfTheHill:31.6;Assault:26.1;Siege:13.6;Defend:17.1;Endless:17.1;Survival:31.6;BossRush:13.0;Showdown:28.6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10</v>
      </c>
      <c r="D6" t="inlineStr">
        <is>
          <t>=Doi_mo_man_luat!$D$4</t>
        </is>
      </c>
      <c r="E6" t="inlineStr">
        <is>
          <t>Conquest:60.0;Deathmatch:47.6;KingOfTheHill:52.6;Assault:43.5;Siege:22.7;Defend:28.6;Endless:28.6;Survival:52.6;BossRush:21.7;Showdown:47.6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7</v>
      </c>
      <c r="D7" t="inlineStr">
        <is>
          <t>=Doi_mo_man_luat!$D$4</t>
        </is>
      </c>
      <c r="E7" t="inlineStr">
        <is>
          <t>Conquest:43.8;Deathmatch:33.3;KingOfTheHill:36.8;Assault:30.4;Siege:15.9;Defend:20.0;Endless:20.0;Survival:36.8;BossRush:15.2;Showdown:33.3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10</v>
      </c>
      <c r="D8" t="inlineStr">
        <is>
          <t>=Doi_mo_man_luat!$D$4</t>
        </is>
      </c>
      <c r="E8" t="inlineStr">
        <is>
          <t>Conquest:60.0;Deathmatch:47.6;KingOfTheHill:52.6;Assault:43.5;Siege:22.7;Defend:28.6;Endless:28.6;Survival:52.6;BossRush:21.7;Showdown:47.6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8</v>
      </c>
      <c r="D9" t="inlineStr">
        <is>
          <t>=Doi_mo_man_luat!$D$4</t>
        </is>
      </c>
      <c r="E9" t="inlineStr">
        <is>
          <t>Conquest:50.0;Deathmatch:38.1;KingOfTheHill:42.1;Assault:34.8;Siege:18.2;Defend:22.9;Endless:22.9;Survival:42.1;BossRush:17.4;Showdown:38.1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20</v>
      </c>
      <c r="D11" t="inlineStr">
        <is>
          <t>=Doi_mo_man_luat!$D$4</t>
        </is>
      </c>
      <c r="E11" t="inlineStr">
        <is>
          <t>Conquest:60.0;Deathmatch:60.0;KingOfTheHill:60.0;Assault:60.0;Siege:45.5;Defend:57.1;Endless:57.1;Survival:60.0;BossRush:43.5;Showdown:60.0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8</v>
      </c>
      <c r="D12" t="inlineStr">
        <is>
          <t>=Doi_mo_man_luat!$D$4</t>
        </is>
      </c>
      <c r="E12" t="inlineStr">
        <is>
          <t>Conquest:50.0;Deathmatch:38.1;KingOfTheHill:42.1;Assault:34.8;Siege:18.2;Defend:22.9;Endless:22.9;Survival:42.1;BossRush:17.4;Showdown:38.1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Conquest:37.5;Deathmatch:28.6;KingOfTheHill:31.6;Assault:26.1;Siege:13.6;Defend:17.1;Endless:17.1;Survival:31.6;BossRush:13.0;Showdown:28.6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9</v>
      </c>
      <c r="D15" t="inlineStr">
        <is>
          <t>=Doi_mo_man_luat!$D$4</t>
        </is>
      </c>
      <c r="E15" t="inlineStr">
        <is>
          <t>Conquest:56.2;Deathmatch:42.9;KingOfTheHill:47.4;Assault:39.1;Siege:20.5;Defend:25.7;Endless:25.7;Survival:47.4;BossRush:19.6;Showdown:42.9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Conquest:50.0;Deathmatch:38.1;KingOfTheHill:42.1;Assault:34.8;Siege:18.2;Defend:22.9;Endless:22.9;Survival:42.1;BossRush:17.4;Showdown:38.1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5</v>
      </c>
      <c r="D17" t="inlineStr">
        <is>
          <t>=Doi_mo_man_luat!$D$4</t>
        </is>
      </c>
      <c r="E17" t="inlineStr">
        <is>
          <t>Conquest:31.2;Deathmatch:23.8;KingOfTheHill:26.3;Assault:21.7;Siege:11.4;Defend:14.3;Endless:14.3;Survival:26.3;BossRush:10.9;Showdown:23.8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Conquest:56.2;Deathmatch:42.9;KingOfTheHill:47.4;Assault:39.1;Siege:20.5;Defend:25.7;Endless:25.7;Survival:47.4;BossRush:19.6;Showdown:42.9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6</v>
      </c>
      <c r="D19" t="inlineStr">
        <is>
          <t>=Doi_mo_man_luat!$D$4</t>
        </is>
      </c>
      <c r="E19" t="inlineStr">
        <is>
          <t>Conquest:37.5;Deathmatch:28.6;KingOfTheHill:31.6;Assault:26.1;Siege:13.6;Defend:17.1;Endless:17.1;Survival:31.6;BossRush:13.0;Showdown:28.6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Conquest:43.8;Deathmatch:33.3;KingOfTheHill:36.8;Assault:30.4;Siege:15.9;Defend:20.0;Endless:20.0;Survival:36.8;BossRush:15.2;Showdown:33.3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3</v>
      </c>
      <c r="D22" t="inlineStr">
        <is>
          <t>=Doi_mo_man_luat!$D$4</t>
        </is>
      </c>
      <c r="E22" t="inlineStr">
        <is>
          <t>Conquest:18.8;Deathmatch:14.3;KingOfTheHill:15.8;Assault:13.0;Siege:6.8;Defend:8.6;Endless:8.6;Survival:15.8;BossRush:6.5;Showdown:14.3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Conquest:43.8;Deathmatch:33.3;KingOfTheHill:36.8;Assault:30.4;Siege:15.9;Defend:20.0;Endless:20.0;Survival:36.8;BossRush:15.2;Showdown:33.3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Conquest:37.5;Deathmatch:28.6;KingOfTheHill:31.6;Assault:26.1;Siege:13.6;Defend:17.1;Endless:17.1;Survival:31.6;BossRush:13.0;Showdown:28.6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aa_gun_vehicle</t>
        </is>
      </c>
      <c r="B2" t="inlineStr">
        <is>
          <t>aa_gun_vehicle</t>
        </is>
      </c>
      <c r="C2" t="inlineStr">
        <is>
          <t>Xe cao xạ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aa_gun_vehicle; Tools/models/reference_real.json: units.aa_gun_vehicle</t>
        </is>
      </c>
      <c r="AK2" t="inlineStr"/>
    </row>
    <row r="3">
      <c r="A3" t="inlineStr">
        <is>
          <t>aa_vehicle</t>
        </is>
      </c>
      <c r="B3" t="inlineStr">
        <is>
          <t>aa_vehicle</t>
        </is>
      </c>
      <c r="C3" t="inlineStr">
        <is>
          <t>Pháo cao xạ tự hành</t>
        </is>
      </c>
      <c r="D3" t="inlineStr">
        <is>
          <t>doi_that</t>
        </is>
      </c>
      <c r="E3" t="inlineStr">
        <is>
          <t>Flakpanzer Gepard (Oerlikon KDA 35 mm);Stinger / Starstreak</t>
        </is>
      </c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>
        <is>
          <t>Pháo phòng không tự hành hai nòng 35 mm có radar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R_unit_refs;R_reference_real;W_wikipedia_flakpanzer_gepard;R_unit_sheet;R_machine_brigade_can_bang;R_aa_vehicle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>
        <f>INDEX(xe_input_kich_thuoc_that!$B$2:$B$66,MATCH($B$3,xe_input_kich_thuoc_that!$A$2:$A$66,0))</f>
        <v/>
      </c>
      <c r="T3">
        <f>INDEX(xe_input_kich_thuoc_that!$C$2:$C$66,MATCH($B$3,xe_input_kich_thuoc_that!$A$2:$A$66,0))</f>
        <v/>
      </c>
      <c r="U3">
        <f>INDEX(xe_input_kich_thuoc_that!$D$2:$D$66,MATCH($B$3,xe_input_kich_thuoc_that!$A$2:$A$66,0))</f>
        <v/>
      </c>
      <c r="V3" t="inlineStr">
        <is>
          <t>Flakpanzer Gepard 1A2</t>
        </is>
      </c>
      <c r="W3" t="inlineStr">
        <is>
          <t>approx</t>
        </is>
      </c>
      <c r="X3" t="inlineStr">
        <is>
          <t>0,8 × Flakpanzer Gepard</t>
        </is>
      </c>
      <c r="Y3" t="inlineStr">
        <is>
          <t>Pháo phòng không tự hành hai nòng 35 mm có radar</t>
        </is>
      </c>
      <c r="Z3" t="inlineStr">
        <is>
          <t>Flakpanzer Gepard (Oerlikon KDA 35 mm), Stinger / Starstreak — Pháo phòng không tự hành hai nòng 35 mm có radar</t>
        </is>
      </c>
      <c r="AA3" t="inlineStr">
        <is>
          <t>Stinger: Mach 2,2</t>
        </is>
      </c>
      <c r="AB3" t="inlineStr"/>
      <c r="AC3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aa_vehicle; Tools/models/reference_real.json: units.aa_vehicle</t>
        </is>
      </c>
      <c r="AK3" t="inlineStr"/>
    </row>
    <row r="4">
      <c r="A4" t="inlineStr">
        <is>
          <t>air_raid</t>
        </is>
      </c>
      <c r="B4" t="inlineStr">
        <is>
          <t>air_raid</t>
        </is>
      </c>
      <c r="C4" t="inlineStr">
        <is>
          <t>Không kích bất ngờ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/>
      <c r="T4" t="inlineStr"/>
      <c r="U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>
        <is>
          <t>Tools/docs/unit_refs.json: air_raid; Tools/models/reference_real.json: units.air_raid</t>
        </is>
      </c>
      <c r="AK4" t="inlineStr"/>
    </row>
    <row r="5">
      <c r="A5" t="inlineStr">
        <is>
          <t>airstrike</t>
        </is>
      </c>
      <c r="B5" t="inlineStr">
        <is>
          <t>airstrike</t>
        </is>
      </c>
      <c r="C5" t="inlineStr">
        <is>
          <t>Không kích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/>
      <c r="T5" t="inlineStr"/>
      <c r="U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>
        <is>
          <t>Tools/docs/unit_refs.json: airstrike; Tools/models/reference_real.json: units.airstrike</t>
        </is>
      </c>
      <c r="AK5" t="inlineStr"/>
    </row>
    <row r="6">
      <c r="A6" t="inlineStr">
        <is>
          <t>ammo_carrier</t>
        </is>
      </c>
      <c r="B6" t="inlineStr">
        <is>
          <t>ammo_carrier</t>
        </is>
      </c>
      <c r="C6" t="inlineStr">
        <is>
          <t>Xe tiếp đạn</t>
        </is>
      </c>
      <c r="D6" t="inlineStr">
        <is>
          <t>doi_that</t>
        </is>
      </c>
      <c r="E6" t="inlineStr">
        <is>
          <t>M977 HEMTT;KamAZ-5350;M2 Browning 12,7 mm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xe tải hậu cần chở đạn, súng máy trên vòng nóc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R_unit_refs;R_reference_real;W_wikipedia_heavy_expanded_mobility_tactical_t;R_unit_sheet;R_machine_brigade_can_bang;R_ammo_carrier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M977 / M985 HEMTT</t>
        </is>
      </c>
      <c r="W6" t="inlineStr">
        <is>
          <t>approx</t>
        </is>
      </c>
      <c r="X6" t="inlineStr">
        <is>
          <t>0,8 × M977 HEMTT</t>
        </is>
      </c>
      <c r="Y6" t="inlineStr">
        <is>
          <t>ước đoán: xe tải hậu cần chở đạn, súng máy trên vòng nóc</t>
        </is>
      </c>
      <c r="Z6" t="inlineStr">
        <is>
          <t>M977 HEMTT, KamAZ-5350, M2 Browning 12,7 mm — ước đoán: xe tải hậu cần chở đạn, súng máy trên vòng nóc</t>
        </is>
      </c>
      <c r="AA6" t="inlineStr"/>
      <c r="AB6" t="inlineStr"/>
      <c r="AC6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ammo_carrier; Tools/models/reference_real.json: units.ammo_carrier</t>
        </is>
      </c>
      <c r="AK6" t="inlineStr"/>
    </row>
    <row r="7">
      <c r="A7" t="inlineStr">
        <is>
          <t>armored_bulldozer</t>
        </is>
      </c>
      <c r="B7" t="inlineStr">
        <is>
          <t>armored_bulldozer</t>
        </is>
      </c>
      <c r="C7" t="inlineStr">
        <is>
          <t>Xe ủi bọc thép</t>
        </is>
      </c>
      <c r="D7" t="inlineStr">
        <is>
          <t>doi_that</t>
        </is>
      </c>
      <c r="E7" t="inlineStr">
        <is>
          <t>IDF Caterpillar D9R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Xe ủi bọc thép chiến đấu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R_unit_refs;R_reference_real;D_caterpillar_d9r_specifications;R_unit_sheet;R_machine_brigade_can_bang;R_armored_bulldozer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>
        <f>INDEX(xe_input_kich_thuoc_that!$B$2:$B$66,MATCH($B$7,xe_input_kich_thuoc_that!$A$2:$A$66,0))</f>
        <v/>
      </c>
      <c r="T7">
        <f>INDEX(xe_input_kich_thuoc_that!$C$2:$C$66,MATCH($B$7,xe_input_kich_thuoc_that!$A$2:$A$66,0))</f>
        <v/>
      </c>
      <c r="U7">
        <f>INDEX(xe_input_kich_thuoc_that!$D$2:$D$66,MATCH($B$7,xe_input_kich_thuoc_that!$A$2:$A$66,0))</f>
        <v/>
      </c>
      <c r="V7" t="inlineStr">
        <is>
          <t>Caterpillar D9R (IDF kit)</t>
        </is>
      </c>
      <c r="W7" t="inlineStr">
        <is>
          <t>approx</t>
        </is>
      </c>
      <c r="X7" t="inlineStr">
        <is>
          <t>0,8 × IDF D9R</t>
        </is>
      </c>
      <c r="Y7" t="inlineStr">
        <is>
          <t>Xe ủi bọc thép chiến đấu</t>
        </is>
      </c>
      <c r="Z7" t="inlineStr">
        <is>
          <t>IDF Caterpillar D9R — Xe ủi bọc thép chiến đấu</t>
        </is>
      </c>
      <c r="AA7" t="inlineStr"/>
      <c r="AB7" t="inlineStr"/>
      <c r="AC7" t="inlineStr">
        <is>
          <t>Tools/blender/specs/armored_bulldozer.json: real = IDF Caterpillar D9R armoured bulldozer; M2 Browning 12.7 mm (cab roof); confidence = xấp xỉ (D9R published photographs)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armored_bulldozer; Tools/models/reference_real.json: units.armored_bulldozer</t>
        </is>
      </c>
      <c r="AK7" t="inlineStr"/>
    </row>
    <row r="8">
      <c r="A8" t="inlineStr">
        <is>
          <t>armored_car</t>
        </is>
      </c>
      <c r="B8" t="inlineStr">
        <is>
          <t>armored_car</t>
        </is>
      </c>
      <c r="C8" t="inlineStr">
        <is>
          <t>Xe bọc thép bánh lốp</t>
        </is>
      </c>
      <c r="D8" t="inlineStr">
        <is>
          <t>doi_that</t>
        </is>
      </c>
      <c r="E8" t="inlineStr">
        <is>
          <t>Pandur I 6x6;M242 Bushmaster 25 mm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xe bọc thép 6x6 bánh lộ ngoài, tháp pháo tự động nhỏ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R_unit_refs;R_reference_real;W_wikipedia_steyr_pandur;R_unit_sheet;R_machine_brigade_can_bang;R_armored_car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>
        <f>INDEX(xe_input_kich_thuoc_that!$B$2:$B$66,MATCH($B$8,xe_input_kich_thuoc_that!$A$2:$A$66,0))</f>
        <v/>
      </c>
      <c r="T8">
        <f>INDEX(xe_input_kich_thuoc_that!$C$2:$C$66,MATCH($B$8,xe_input_kich_thuoc_that!$A$2:$A$66,0))</f>
        <v/>
      </c>
      <c r="U8">
        <f>INDEX(xe_input_kich_thuoc_that!$D$2:$D$66,MATCH($B$8,xe_input_kich_thuoc_that!$A$2:$A$66,0))</f>
        <v/>
      </c>
      <c r="V8" t="inlineStr">
        <is>
          <t>Pandur I 6x6</t>
        </is>
      </c>
      <c r="W8" t="inlineStr">
        <is>
          <t>approx</t>
        </is>
      </c>
      <c r="X8" t="inlineStr">
        <is>
          <t>0,8 × Pandur I 6x6</t>
        </is>
      </c>
      <c r="Y8" t="inlineStr">
        <is>
          <t>ước đoán: xe bọc thép 6x6 bánh lộ ngoài, tháp pháo tự động nhỏ</t>
        </is>
      </c>
      <c r="Z8" t="inlineStr">
        <is>
          <t>Pandur I 6x6, M242 Bushmaster 25 mm — ước đoán: xe bọc thép 6x6 bánh lộ ngoài, tháp pháo tự động nhỏ</t>
        </is>
      </c>
      <c r="AA8" t="inlineStr">
        <is>
          <t>Pandur I / Stryker RV có kính ngắm nhiệt</t>
        </is>
      </c>
      <c r="AB8" t="inlineStr"/>
      <c r="AC8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armored_car; Tools/models/reference_real.json: units.armored_car</t>
        </is>
      </c>
      <c r="AK8" t="inlineStr"/>
    </row>
    <row r="9">
      <c r="A9" t="inlineStr">
        <is>
          <t>artillery</t>
        </is>
      </c>
      <c r="B9" t="inlineStr">
        <is>
          <t>artillery</t>
        </is>
      </c>
      <c r="C9" t="inlineStr">
        <is>
          <t>Lựu pháo tự hành</t>
        </is>
      </c>
      <c r="D9" t="inlineStr">
        <is>
          <t>doi_that</t>
        </is>
      </c>
      <c r="E9" t="inlineStr">
        <is>
          <t>CAESAR 155 mm;M284 155 mm (M109A6/A7)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Lựu pháo tự hành bánh lốp 6x6, nòng 155 mm đặt sau sàn xe</t>
        </is>
      </c>
      <c r="L9" t="inlineStr"/>
      <c r="M9" t="inlineStr"/>
      <c r="N9" t="inlineStr"/>
      <c r="O9" t="inlineStr">
        <is>
          <t>da_kiem_chung</t>
        </is>
      </c>
      <c r="P9" t="inlineStr">
        <is>
          <t>R_unit_refs;R_reference_real;W_wikipedia_m109_howitzer;R_unit_sheet;R_machine_brigade_can_bang;R_artillery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M109A6 Paladin</t>
        </is>
      </c>
      <c r="W9" t="inlineStr">
        <is>
          <t>high</t>
        </is>
      </c>
      <c r="X9" t="inlineStr">
        <is>
          <t>0,8 × M109A7 (đề xuất đổi từ CAESAR</t>
        </is>
      </c>
      <c r="Y9" t="inlineStr">
        <is>
          <t>Lựu pháo tự hành bánh lốp 6x6, nòng 155 mm đặt sau sàn xe</t>
        </is>
      </c>
      <c r="Z9" t="inlineStr">
        <is>
          <t>CAESAR 155 mm, M284 155 mm (M109A6/A7) — Lựu pháo tự hành bánh lốp 6x6, nòng 155 mm đặt sau sàn xe</t>
        </is>
      </c>
      <c r="AA9" t="inlineStr">
        <is>
          <t>M109A7: 4 phát/phút tối đa | M109A7 Paladin</t>
        </is>
      </c>
      <c r="AB9" t="inlineStr"/>
      <c r="AC9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artillery; Tools/models/reference_real.json: units.artillery</t>
        </is>
      </c>
      <c r="AK9" t="inlineStr"/>
    </row>
    <row r="10">
      <c r="A10" t="inlineStr">
        <is>
          <t>artillery_barrage</t>
        </is>
      </c>
      <c r="B10" t="inlineStr">
        <is>
          <t>artillery_barrage</t>
        </is>
      </c>
      <c r="C10" t="inlineStr">
        <is>
          <t>Pháo kích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/>
      <c r="T10" t="inlineStr"/>
      <c r="U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>
        <is>
          <t>Tools/docs/unit_refs.json: artillery_barrage; Tools/models/reference_real.json: units.artillery_barrage</t>
        </is>
      </c>
      <c r="AK10" t="inlineStr"/>
    </row>
    <row r="11">
      <c r="A11" t="inlineStr">
        <is>
          <t>attack_helicopter</t>
        </is>
      </c>
      <c r="B11" t="inlineStr">
        <is>
          <t>attack_helicopter</t>
        </is>
      </c>
      <c r="C11" t="inlineStr">
        <is>
          <t>Trực thăng tấn công</t>
        </is>
      </c>
      <c r="D11" t="inlineStr">
        <is>
          <t>doi_that</t>
        </is>
      </c>
      <c r="E11" t="inlineStr">
        <is>
          <t>AH-64D Apache Longbow;AGM-114L Hellfire Longbow;Ka-52 Alligator (model thay thế)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Trực thăng tấn công hai chỗ ngồi nối tiếp, radar trên trục rô-to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R_unit_refs;R_reference_real;W_wikipedia_boeing_ah_64_apache;R_unit_sheet;R_machine_brigade_can_bang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AH-64D Apache Longbow</t>
        </is>
      </c>
      <c r="W11" t="inlineStr">
        <is>
          <t>approx</t>
        </is>
      </c>
      <c r="X11" t="inlineStr">
        <is>
          <t>0,4 × AH-64D Apache</t>
        </is>
      </c>
      <c r="Y11" t="inlineStr">
        <is>
          <t>Trực thăng tấn công hai chỗ ngồi nối tiếp, radar trên trục rô-to</t>
        </is>
      </c>
      <c r="Z11" t="inlineStr">
        <is>
          <t>AH-64D Apache Longbow, AGM-114L Hellfire Longbow, Ka-52 Alligator (model thay thế) — Trực thăng tấn công hai chỗ ngồi nối</t>
        </is>
      </c>
      <c r="AA11" t="inlineStr">
        <is>
          <t>AH-64D | Hellfire: Mach 1,3</t>
        </is>
      </c>
      <c r="AB11" t="inlineStr"/>
      <c r="AC11" t="inlineStr"/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attack_helicopter; Tools/models/reference_real.json: units.attack_helicopter</t>
        </is>
      </c>
      <c r="AK11" t="inlineStr"/>
    </row>
    <row r="12">
      <c r="A12" t="inlineStr">
        <is>
          <t>attack_jet</t>
        </is>
      </c>
      <c r="B12" t="inlineStr">
        <is>
          <t>attack_jet</t>
        </is>
      </c>
      <c r="C12" t="inlineStr">
        <is>
          <t>Máy bay cường kích</t>
        </is>
      </c>
      <c r="D12" t="inlineStr">
        <is>
          <t>doi_that</t>
        </is>
      </c>
      <c r="E12" t="inlineStr">
        <is>
          <t>Su-25 Frogfoot;A-10 Thunderbolt II (model tank_buster);GSh-30-2 30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Máy bay cường kích yểm trợ mặt đất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R_unit_refs;R_reference_real;W_wikipedia_sukhoi_su_25;R_unit_sheet;R_machine_brigade_can_bang;R_attack_jet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Su-25 Frogfoot</t>
        </is>
      </c>
      <c r="W12" t="inlineStr">
        <is>
          <t>high</t>
        </is>
      </c>
      <c r="X12" t="inlineStr">
        <is>
          <t>0,4 × Su-25</t>
        </is>
      </c>
      <c r="Y12" t="inlineStr">
        <is>
          <t>Máy bay cường kích yểm trợ mặt đất</t>
        </is>
      </c>
      <c r="Z12" t="inlineStr">
        <is>
          <t>Su-25 Frogfoot, A-10 Thunderbolt II (model tank_buster), GSh-30-2 30 mm — Máy bay cường kích yểm trợ mặt đất</t>
        </is>
      </c>
      <c r="AA12" t="inlineStr">
        <is>
          <t>Su-25: tải trọng hỗn hợp | Kh-29L: Mach 2,5; R-60: Mach 2,7 | Su-25 ~11 triệu USD, A-10 ~19 triệu USD | Su-25: 250 viên cả lượt bay</t>
        </is>
      </c>
      <c r="AB12" t="inlineStr"/>
      <c r="AC12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attack_jet; Tools/models/reference_real.json: units.attack_jet</t>
        </is>
      </c>
      <c r="AK12" t="inlineStr"/>
    </row>
    <row r="13">
      <c r="A13" t="inlineStr">
        <is>
          <t>ballistic_launcher</t>
        </is>
      </c>
      <c r="B13" t="inlineStr">
        <is>
          <t>ballistic_launcher</t>
        </is>
      </c>
      <c r="C13" t="inlineStr">
        <is>
          <t>Xe phóng tên lửa chiến thuật</t>
        </is>
      </c>
      <c r="D13" t="inlineStr">
        <is>
          <t>doi_that</t>
        </is>
      </c>
      <c r="E13" t="inlineStr">
        <is>
          <t>9K720 Iskander (9M723)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Xe phóng tên lửa đạn đạo, dựng đứng tên lửa khi phóng</t>
        </is>
      </c>
      <c r="L13" t="inlineStr"/>
      <c r="M13" t="inlineStr"/>
      <c r="N13" t="inlineStr"/>
      <c r="O13" t="inlineStr">
        <is>
          <t>uoc_dinh</t>
        </is>
      </c>
      <c r="P13" t="inlineStr">
        <is>
          <t>R_unit_refs;R_reference_real;W_wikipedia_9k720_iskander;R_unit_sheet;R_machine_brigade_can_bang;R_ballistic_launcher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>
        <f>INDEX(xe_input_kich_thuoc_that!$B$2:$B$66,MATCH($B$13,xe_input_kich_thuoc_that!$A$2:$A$66,0))</f>
        <v/>
      </c>
      <c r="T13">
        <f>INDEX(xe_input_kich_thuoc_that!$C$2:$C$66,MATCH($B$13,xe_input_kich_thuoc_that!$A$2:$A$66,0))</f>
        <v/>
      </c>
      <c r="U13" t="inlineStr">
        <is>
          <t>NEED_SOURCE</t>
        </is>
      </c>
      <c r="V13" t="inlineStr">
        <is>
          <t>9P78-1 Iskander-M TEL (MZKT-7930)</t>
        </is>
      </c>
      <c r="W13" t="inlineStr">
        <is>
          <t>approx</t>
        </is>
      </c>
      <c r="X13" t="inlineStr">
        <is>
          <t>0,8 × 9K720 Iskander</t>
        </is>
      </c>
      <c r="Y13" t="inlineStr">
        <is>
          <t>Xe phóng tên lửa đạn đạo, dựng đứng tên lửa khi phóng</t>
        </is>
      </c>
      <c r="Z13" t="inlineStr">
        <is>
          <t>9K720 Iskander (9M723) — Xe phóng tên lửa đạn đạo, dựng đứng tên lửa khi phóng</t>
        </is>
      </c>
      <c r="AA13" t="inlineStr">
        <is>
          <t>Iskander 9M723: đầu nổ ~480 kg</t>
        </is>
      </c>
      <c r="AB13" t="inlineStr"/>
      <c r="AC13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3" t="inlineStr">
        <is>
          <t>NEED_SOURCE</t>
        </is>
      </c>
      <c r="AE13" t="inlineStr">
        <is>
          <t>NEED_SOURCE</t>
        </is>
      </c>
      <c r="AF13" t="inlineStr">
        <is>
          <t>NEED_SOURCE</t>
        </is>
      </c>
      <c r="AG13" t="inlineStr">
        <is>
          <t>NEED_SOURCE</t>
        </is>
      </c>
      <c r="AH13" t="inlineStr">
        <is>
          <t>NEED_SOURCE</t>
        </is>
      </c>
      <c r="AI13" t="inlineStr">
        <is>
          <t>NEED_SOURCE</t>
        </is>
      </c>
      <c r="AJ13" t="inlineStr">
        <is>
          <t>Tools/docs/unit_refs.json: ballistic_launcher; Tools/models/reference_real.json: units.ballistic_launcher</t>
        </is>
      </c>
      <c r="AK13" t="inlineStr"/>
    </row>
    <row r="14">
      <c r="A14" t="inlineStr">
        <is>
          <t>bug_crash</t>
        </is>
      </c>
      <c r="B14" t="inlineStr">
        <is>
          <t>bug_crash</t>
        </is>
      </c>
      <c r="C14" t="inlineStr">
        <is>
          <t>Icarus rơi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/>
      <c r="T14" t="inlineStr"/>
      <c r="U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>
        <is>
          <t>Tools/docs/unit_refs.json: bug_crash; Tools/models/reference_real.json: units.bug_crash</t>
        </is>
      </c>
      <c r="AK14" t="inlineStr"/>
    </row>
    <row r="15">
      <c r="A15" t="inlineStr">
        <is>
          <t>cluster_strike</t>
        </is>
      </c>
      <c r="B15" t="inlineStr">
        <is>
          <t>cluster_strike</t>
        </is>
      </c>
      <c r="C15" t="inlineStr">
        <is>
          <t>Bom chùm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/>
      <c r="T15" t="inlineStr"/>
      <c r="U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>
        <is>
          <t>Tools/docs/unit_refs.json: cluster_strike; Tools/models/reference_real.json: units.cluster_strike</t>
        </is>
      </c>
      <c r="AK15" t="inlineStr"/>
    </row>
    <row r="16">
      <c r="A16" t="inlineStr">
        <is>
          <t>command_vehicle</t>
        </is>
      </c>
      <c r="B16" t="inlineStr">
        <is>
          <t>command_vehicle</t>
        </is>
      </c>
      <c r="C16" t="inlineStr">
        <is>
          <t>Xe chỉ huy</t>
        </is>
      </c>
      <c r="D16" t="inlineStr">
        <is>
          <t>doi_that</t>
        </is>
      </c>
      <c r="E16" t="inlineStr">
        <is>
          <t>M1130 Stryker CV;BTR-80 KShM;LAV-C2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chỉ huy 8x8, cột ăng-ten kính viễn vọng gập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R_unit_refs;R_reference_real;W_wikipedia_stryker;R_unit_sheet;R_machine_brigade_can_bang;R_command_vehicle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M1130 Stryker CV</t>
        </is>
      </c>
      <c r="W16" t="inlineStr">
        <is>
          <t>high</t>
        </is>
      </c>
      <c r="X16" t="inlineStr">
        <is>
          <t>0,8 × Stryker CV</t>
        </is>
      </c>
      <c r="Y16" t="inlineStr">
        <is>
          <t>Xe chỉ huy 8x8, cột ăng-ten kính viễn vọng gập</t>
        </is>
      </c>
      <c r="Z16" t="inlineStr">
        <is>
          <t>M1130 Stryker CV, BTR-80 KShM, LAV-C2 — Xe chỉ huy 8x8, cột ăng-ten kính viễn vọng gập</t>
        </is>
      </c>
      <c r="AA16" t="inlineStr"/>
      <c r="AB16" t="inlineStr"/>
      <c r="AC16" t="inlineStr">
        <is>
          <t>Tools/blender/specs/command_vehicle.json: real = M1130 Stryker CV (0.8 x); BTR-80 KShM; M2 Browning 12.7 mm; confidence = tham_khao_thuc (Stryker CV layout)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command_vehicle; Tools/models/reference_real.json: units.command_vehicle</t>
        </is>
      </c>
      <c r="AK16" t="inlineStr"/>
    </row>
    <row r="17">
      <c r="A17" t="inlineStr">
        <is>
          <t>cruise_missile</t>
        </is>
      </c>
      <c r="B17" t="inlineStr">
        <is>
          <t>cruise_missile</t>
        </is>
      </c>
      <c r="C17" t="inlineStr">
        <is>
          <t>Tên lửa hành trình</t>
        </is>
      </c>
      <c r="D17" t="inlineStr">
        <is>
          <t>NEED_SOURCE</t>
        </is>
      </c>
      <c r="E17" t="inlineStr"/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thực thể này (unit_refs.json, reference_real.json, bảng cân bằng)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/>
      <c r="T17" t="inlineStr"/>
      <c r="U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>
        <is>
          <t>Tools/docs/unit_refs.json: cruise_missile; Tools/models/reference_real.json: units.cruise_missile</t>
        </is>
      </c>
      <c r="AK17" t="inlineStr"/>
    </row>
    <row r="18">
      <c r="A18" t="inlineStr">
        <is>
          <t>demolition_line_vehicle</t>
        </is>
      </c>
      <c r="B18" t="inlineStr">
        <is>
          <t>demolition_line_vehicle</t>
        </is>
      </c>
      <c r="C18" t="inlineStr">
        <is>
          <t>Xe phá mìn bằng dây nổ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>
        <is>
          <t>R_demolition_line_vehicle</t>
        </is>
      </c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demolition_line_vehicle; Tools/models/reference_real.json: units.demolition_line_vehicle</t>
        </is>
      </c>
      <c r="AK18" t="inlineStr"/>
    </row>
    <row r="19">
      <c r="A19" t="inlineStr">
        <is>
          <t>drop_pod</t>
        </is>
      </c>
      <c r="B19" t="inlineStr">
        <is>
          <t>drop_pod</t>
        </is>
      </c>
      <c r="C19" t="inlineStr">
        <is>
          <t>Khoang đổ bộ</t>
        </is>
      </c>
      <c r="D19" t="inlineStr">
        <is>
          <t>doi_that</t>
        </is>
      </c>
      <c r="E19" t="inlineStr">
        <is>
          <t>khoang hồi quyển Soyuz (tên lửa hãm)</t>
        </is>
      </c>
      <c r="F19" t="inlineStr">
        <is>
          <t>NEED_SOURCE</t>
        </is>
      </c>
      <c r="G19" t="inlineStr">
        <is>
          <t>NEED_SOURCE</t>
        </is>
      </c>
      <c r="H19" t="inlineStr">
        <is>
          <t>Halo;Warhammer 40,000</t>
        </is>
      </c>
      <c r="I19" t="inlineStr">
        <is>
          <t>hình dáng: ODST drop pod;hình dáng: Drop Pod</t>
        </is>
      </c>
      <c r="J19" t="inlineStr"/>
      <c r="K19" t="inlineStr">
        <is>
          <t>khoang thả xe từ quỹ đạo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R_unit_refs;R_reference_real;W_wikipedia_soyuz_spacecraft;R_drop_pod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INDEX(xe_input_kich_thuoc_that!$B$2:$B$66,MATCH($B$19,xe_input_kich_thuoc_that!$A$2:$A$66,0))</f>
        <v/>
      </c>
      <c r="T19">
        <f>INDEX(xe_input_kich_thuoc_that!$C$2:$C$66,MATCH($B$19,xe_input_kich_thuoc_that!$A$2:$A$66,0))</f>
        <v/>
      </c>
      <c r="U19">
        <f>INDEX(xe_input_kich_thuoc_that!$D$2:$D$66,MATCH($B$19,xe_input_kich_thuoc_that!$A$2:$A$66,0))</f>
        <v/>
      </c>
      <c r="V19" t="inlineStr">
        <is>
          <t>Soyuz descent module</t>
        </is>
      </c>
      <c r="W19" t="inlineStr">
        <is>
          <t>approx</t>
        </is>
      </c>
      <c r="Y19" t="inlineStr">
        <is>
          <t>ước đoán: khoang thả xe từ quỹ đạo</t>
        </is>
      </c>
      <c r="Z19" t="inlineStr"/>
      <c r="AA19" t="inlineStr"/>
      <c r="AB19" t="inlineStr"/>
      <c r="AC19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drop_pod; Tools/models/reference_real.json: units.drop_pod</t>
        </is>
      </c>
      <c r="AK19" t="inlineStr"/>
    </row>
    <row r="20">
      <c r="A20" t="inlineStr">
        <is>
          <t>elite_aa</t>
        </is>
      </c>
      <c r="B20" t="inlineStr">
        <is>
          <t>elite_aa</t>
        </is>
      </c>
      <c r="C20" t="inlineStr">
        <is>
          <t>Phòng không tinh nhuệ</t>
        </is>
      </c>
      <c r="D20" t="inlineStr">
        <is>
          <t>doi_that</t>
        </is>
      </c>
      <c r="E20" t="inlineStr">
        <is>
          <t>Rheinmetall Skyranger 35 (đạn AHEAD);Gepard (khung gốc)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Phòng không tinh nhuệ, đạn nổ trên không AHEAD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R_unit_refs;R_reference_real;W_wikipedia_flakpanzer_gepard;R_elite_aa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INDEX(xe_input_kich_thuoc_that!$B$2:$B$66,MATCH($B$20,xe_input_kich_thuoc_that!$A$2:$A$66,0))</f>
        <v/>
      </c>
      <c r="T20">
        <f>INDEX(xe_input_kich_thuoc_that!$C$2:$C$66,MATCH($B$20,xe_input_kich_thuoc_that!$A$2:$A$66,0))</f>
        <v/>
      </c>
      <c r="U20">
        <f>INDEX(xe_input_kich_thuoc_that!$D$2:$D$66,MATCH($B$20,xe_input_kich_thuoc_that!$A$2:$A$66,0))</f>
        <v/>
      </c>
      <c r="V20" t="inlineStr">
        <is>
          <t>Flakpanzer Gepard 1A2 (Skyranger kit)</t>
        </is>
      </c>
      <c r="W20" t="inlineStr">
        <is>
          <t>approx</t>
        </is>
      </c>
      <c r="Y20" t="inlineStr">
        <is>
          <t>Phòng không tinh nhuệ, đạn nổ trên không AHEAD</t>
        </is>
      </c>
      <c r="Z20" t="inlineStr"/>
      <c r="AA20" t="inlineStr"/>
      <c r="AB20" t="inlineStr"/>
      <c r="AC20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elite_aa; Tools/models/reference_real.json: units.elite_aa</t>
        </is>
      </c>
      <c r="AK20" t="inlineStr"/>
    </row>
    <row r="21">
      <c r="A21" t="inlineStr">
        <is>
          <t>elite_apc</t>
        </is>
      </c>
      <c r="B21" t="inlineStr">
        <is>
          <t>elite_apc</t>
        </is>
      </c>
      <c r="C21" t="inlineStr">
        <is>
          <t>Xe bọc thép tinh nhuệ</t>
        </is>
      </c>
      <c r="D21" t="inlineStr">
        <is>
          <t>doi_that</t>
        </is>
      </c>
      <c r="E21" t="inlineStr">
        <is>
          <t>M2 Bradley / BMP-3 (khung gốc);2A42 30 mm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Xe chiến đấu bộ binh tinh nhuệ</t>
        </is>
      </c>
      <c r="L21" t="inlineStr"/>
      <c r="M21" t="inlineStr"/>
      <c r="N21" t="inlineStr"/>
      <c r="O21" t="inlineStr">
        <is>
          <t>da_kiem_chung</t>
        </is>
      </c>
      <c r="P21" t="inlineStr">
        <is>
          <t>R_unit_refs;R_reference_real;W_wikipedia_m2_bradley;R_elite_apc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>
        <f>INDEX(xe_input_kich_thuoc_that!$B$2:$B$66,MATCH($B$21,xe_input_kich_thuoc_that!$A$2:$A$66,0))</f>
        <v/>
      </c>
      <c r="T21">
        <f>INDEX(xe_input_kich_thuoc_that!$C$2:$C$66,MATCH($B$21,xe_input_kich_thuoc_that!$A$2:$A$66,0))</f>
        <v/>
      </c>
      <c r="U21">
        <f>INDEX(xe_input_kich_thuoc_that!$D$2:$D$66,MATCH($B$21,xe_input_kich_thuoc_that!$A$2:$A$66,0))</f>
        <v/>
      </c>
      <c r="V21" t="inlineStr">
        <is>
          <t>M2A3 Bradley</t>
        </is>
      </c>
      <c r="W21" t="inlineStr">
        <is>
          <t>high</t>
        </is>
      </c>
      <c r="Y21" t="inlineStr">
        <is>
          <t>Xe chiến đấu bộ binh tinh nhuệ</t>
        </is>
      </c>
      <c r="Z21" t="inlineStr"/>
      <c r="AA21" t="inlineStr"/>
      <c r="AB21" t="inlineStr"/>
      <c r="AC21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elite_apc; Tools/models/reference_real.json: units.elite_apc</t>
        </is>
      </c>
      <c r="AK21" t="inlineStr"/>
    </row>
    <row r="22">
      <c r="A22" t="inlineStr">
        <is>
          <t>elite_artillery</t>
        </is>
      </c>
      <c r="B22" t="inlineStr">
        <is>
          <t>elite_artillery</t>
        </is>
      </c>
      <c r="C22" t="inlineStr">
        <is>
          <t>Pháo tự hành tinh nhuệ</t>
        </is>
      </c>
      <c r="D22" t="inlineStr">
        <is>
          <t>doi_that</t>
        </is>
      </c>
      <c r="E22" t="inlineStr">
        <is>
          <t>CAESAR 155 mm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Lựu pháo tự hành tinh nhuệ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R_unit_refs;R_reference_real;W_wikipedia_caesar_self_propelled_howitzer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INDEX(xe_input_kich_thuoc_that!$B$2:$B$66,MATCH($B$22,xe_input_kich_thuoc_that!$A$2:$A$66,0))</f>
        <v/>
      </c>
      <c r="T22">
        <f>INDEX(xe_input_kich_thuoc_that!$C$2:$C$66,MATCH($B$22,xe_input_kich_thuoc_that!$A$2:$A$66,0))</f>
        <v/>
      </c>
      <c r="U22">
        <f>INDEX(xe_input_kich_thuoc_that!$D$2:$D$66,MATCH($B$22,xe_input_kich_thuoc_that!$A$2:$A$66,0))</f>
        <v/>
      </c>
      <c r="V22" t="inlineStr">
        <is>
          <t>CAESAR 155 mm (6x6)</t>
        </is>
      </c>
      <c r="W22" t="inlineStr">
        <is>
          <t>approx</t>
        </is>
      </c>
      <c r="Y22" t="inlineStr">
        <is>
          <t>Lựu pháo tự hành tinh nhuệ</t>
        </is>
      </c>
      <c r="Z22" t="inlineStr"/>
      <c r="AA22" t="inlineStr"/>
      <c r="AB22" t="inlineStr"/>
      <c r="AC22" t="inlineStr"/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elite_artillery; Tools/models/reference_real.json: units.elite_artillery</t>
        </is>
      </c>
      <c r="AK22" t="inlineStr"/>
    </row>
    <row r="23">
      <c r="A23" t="inlineStr">
        <is>
          <t>elite_attack_helicopter</t>
        </is>
      </c>
      <c r="B23" t="inlineStr">
        <is>
          <t>elite_attack_helicopter</t>
        </is>
      </c>
      <c r="C23" t="inlineStr">
        <is>
          <t>Trực thăng tinh nhuệ</t>
        </is>
      </c>
      <c r="D23" t="inlineStr">
        <is>
          <t>doi_that</t>
        </is>
      </c>
      <c r="E23" t="inlineStr">
        <is>
          <t>AH-64 Apache;AGM-114L Hellfire Longbow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Apache tinh nhuệ, bắn loạt Hellfire</t>
        </is>
      </c>
      <c r="L23" t="inlineStr"/>
      <c r="M23" t="inlineStr"/>
      <c r="N23" t="inlineStr"/>
      <c r="O23" t="inlineStr">
        <is>
          <t>uoc_dinh</t>
        </is>
      </c>
      <c r="P23" t="inlineStr">
        <is>
          <t>R_unit_refs;R_reference_real;W_wikipedia_boeing_ah_64_apache;R_elite_attack_helicopter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AH-64D Apache Longbow</t>
        </is>
      </c>
      <c r="W23" t="inlineStr">
        <is>
          <t>approx</t>
        </is>
      </c>
      <c r="Y23" t="inlineStr">
        <is>
          <t>Apache tinh nhuệ, bắn loạt Hellfire</t>
        </is>
      </c>
      <c r="Z23" t="inlineStr"/>
      <c r="AA23" t="inlineStr"/>
      <c r="AB23" t="inlineStr"/>
      <c r="AC23" t="inlineStr">
        <is>
          <t>Tools/blender/specs/elite_attack_helicopter.json: real = AH-64E Apache Guardian; AGM-114L Hellfire Longbow; confidence = xấp xỉ (AH-64E photographs at the def's modelSize)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elite_attack_helicopter; Tools/models/reference_real.json: units.elite_attack_helicopter</t>
        </is>
      </c>
      <c r="AK23" t="inlineStr"/>
    </row>
    <row r="24">
      <c r="A24" t="inlineStr">
        <is>
          <t>elite_attack_jet</t>
        </is>
      </c>
      <c r="B24" t="inlineStr">
        <is>
          <t>elite_attack_jet</t>
        </is>
      </c>
      <c r="C24" t="inlineStr">
        <is>
          <t>Cường kích tinh nhuệ</t>
        </is>
      </c>
      <c r="D24" t="inlineStr">
        <is>
          <t>doi_that</t>
        </is>
      </c>
      <c r="E24" t="inlineStr">
        <is>
          <t>Su-25 Frogfoot;A-10 Thunderbolt II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Cường kích tinh nhuệ</t>
        </is>
      </c>
      <c r="L24" t="inlineStr"/>
      <c r="M24" t="inlineStr"/>
      <c r="N24" t="inlineStr"/>
      <c r="O24" t="inlineStr">
        <is>
          <t>da_kiem_chung</t>
        </is>
      </c>
      <c r="P24" t="inlineStr">
        <is>
          <t>R_unit_refs;R_reference_real;W_wikipedia_sukhoi_su_25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>
        <f>INDEX(xe_input_kich_thuoc_that!$B$2:$B$66,MATCH($B$24,xe_input_kich_thuoc_that!$A$2:$A$66,0))</f>
        <v/>
      </c>
      <c r="T24">
        <f>INDEX(xe_input_kich_thuoc_that!$C$2:$C$66,MATCH($B$24,xe_input_kich_thuoc_that!$A$2:$A$66,0))</f>
        <v/>
      </c>
      <c r="U24">
        <f>INDEX(xe_input_kich_thuoc_that!$D$2:$D$66,MATCH($B$24,xe_input_kich_thuoc_that!$A$2:$A$66,0))</f>
        <v/>
      </c>
      <c r="V24" t="inlineStr">
        <is>
          <t>Su-25 Frogfoot</t>
        </is>
      </c>
      <c r="W24" t="inlineStr">
        <is>
          <t>high</t>
        </is>
      </c>
      <c r="Y24" t="inlineStr">
        <is>
          <t>Cường kích tinh nhuệ</t>
        </is>
      </c>
      <c r="Z24" t="inlineStr"/>
      <c r="AA24" t="inlineStr"/>
      <c r="AB24" t="inlineStr"/>
      <c r="AC24" t="inlineStr"/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elite_attack_jet; Tools/models/reference_real.json: units.elite_attack_jet</t>
        </is>
      </c>
      <c r="AK24" t="inlineStr"/>
    </row>
    <row r="25">
      <c r="A25" t="inlineStr">
        <is>
          <t>elite_fpv_carrier</t>
        </is>
      </c>
      <c r="B25" t="inlineStr">
        <is>
          <t>elite_fpv_carrier</t>
        </is>
      </c>
      <c r="C25" t="inlineStr">
        <is>
          <t>Xe phóng drone FPV tinh nhuệ</t>
        </is>
      </c>
      <c r="D25" t="inlineStr">
        <is>
          <t>doi_that</t>
        </is>
      </c>
      <c r="E25" t="inlineStr">
        <is>
          <t>KamAZ Typhoon-K;RG-33 MRAP;drone FPV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Xe phóng drone FPV tinh nhuệ</t>
        </is>
      </c>
      <c r="L25" t="inlineStr"/>
      <c r="M25" t="inlineStr"/>
      <c r="N25" t="inlineStr"/>
      <c r="O25" t="inlineStr">
        <is>
          <t>uoc_dinh</t>
        </is>
      </c>
      <c r="P25" t="inlineStr">
        <is>
          <t>R_unit_refs;R_reference_real;W_wikipedia_kamaz_typhoon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>
        <f>INDEX(xe_input_kich_thuoc_that!$B$2:$B$66,MATCH($B$25,xe_input_kich_thuoc_that!$A$2:$A$66,0))</f>
        <v/>
      </c>
      <c r="T25">
        <f>INDEX(xe_input_kich_thuoc_that!$C$2:$C$66,MATCH($B$25,xe_input_kich_thuoc_that!$A$2:$A$66,0))</f>
        <v/>
      </c>
      <c r="U25">
        <f>INDEX(xe_input_kich_thuoc_that!$D$2:$D$66,MATCH($B$25,xe_input_kich_thuoc_that!$A$2:$A$66,0))</f>
        <v/>
      </c>
      <c r="V25" t="inlineStr">
        <is>
          <t>KamAZ-63968 Typhoon-K</t>
        </is>
      </c>
      <c r="W25" t="inlineStr">
        <is>
          <t>approx</t>
        </is>
      </c>
      <c r="Y25" t="inlineStr">
        <is>
          <t>Xe phóng drone FPV tinh nhuệ</t>
        </is>
      </c>
      <c r="Z25" t="inlineStr"/>
      <c r="AA25" t="inlineStr"/>
      <c r="AB25" t="inlineStr"/>
      <c r="AC25" t="inlineStr"/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elite_fpv_carrier; Tools/models/reference_real.json: units.elite_fpv_carrier</t>
        </is>
      </c>
      <c r="AK25" t="inlineStr"/>
    </row>
    <row r="26">
      <c r="A26" t="inlineStr">
        <is>
          <t>elite_grad</t>
        </is>
      </c>
      <c r="B26" t="inlineStr">
        <is>
          <t>elite_grad</t>
        </is>
      </c>
      <c r="C26" t="inlineStr">
        <is>
          <t>Grad tinh nhuệ</t>
        </is>
      </c>
      <c r="D26" t="inlineStr">
        <is>
          <t>doi_that</t>
        </is>
      </c>
      <c r="E26" t="inlineStr">
        <is>
          <t>BM-21 Grad (khung Ural-375D)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Xe tải Grad 122 mm tinh nhuệ, đầu đạn chùm</t>
        </is>
      </c>
      <c r="L26" t="inlineStr"/>
      <c r="M26" t="inlineStr"/>
      <c r="N26" t="inlineStr"/>
      <c r="O26" t="inlineStr">
        <is>
          <t>da_kiem_chung</t>
        </is>
      </c>
      <c r="P26" t="inlineStr">
        <is>
          <t>R_unit_refs;R_reference_real;W_wikipedia_bm_21_grad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>
        <f>INDEX(xe_input_kich_thuoc_that!$B$2:$B$66,MATCH($B$26,xe_input_kich_thuoc_that!$A$2:$A$66,0))</f>
        <v/>
      </c>
      <c r="T26">
        <f>INDEX(xe_input_kich_thuoc_that!$C$2:$C$66,MATCH($B$26,xe_input_kich_thuoc_that!$A$2:$A$66,0))</f>
        <v/>
      </c>
      <c r="U26">
        <f>INDEX(xe_input_kich_thuoc_that!$D$2:$D$66,MATCH($B$26,xe_input_kich_thuoc_that!$A$2:$A$66,0))</f>
        <v/>
      </c>
      <c r="V26" t="inlineStr">
        <is>
          <t>BM-21 Grad (Ural-375D)</t>
        </is>
      </c>
      <c r="W26" t="inlineStr">
        <is>
          <t>high</t>
        </is>
      </c>
      <c r="Y26" t="inlineStr">
        <is>
          <t>Xe tải Grad 122 mm tinh nhuệ, đầu đạn chùm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elite_grad; Tools/models/reference_real.json: units.elite_grad</t>
        </is>
      </c>
      <c r="AK26" t="inlineStr"/>
    </row>
    <row r="27">
      <c r="A27" t="inlineStr">
        <is>
          <t>elite_heavy_tank</t>
        </is>
      </c>
      <c r="B27" t="inlineStr">
        <is>
          <t>elite_heavy_tank</t>
        </is>
      </c>
      <c r="C27" t="inlineStr">
        <is>
          <t>Tăng hạng nặng tinh nhuệ</t>
        </is>
      </c>
      <c r="D27" t="inlineStr">
        <is>
          <t>doi_that</t>
        </is>
      </c>
      <c r="E27" t="inlineStr">
        <is>
          <t>Object 195 / T-95 (2A83 152 mm, đạn HEAT)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Siêu tăng tinh nhuệ, đạn nổ lõm 152 mm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R_unit_refs;R_reference_real;R_elite_heavy_tank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V27" t="inlineStr">
        <is>
          <t>Object 195 / T-95</t>
        </is>
      </c>
      <c r="W27" t="inlineStr">
        <is>
          <t>none</t>
        </is>
      </c>
      <c r="Y27" t="inlineStr">
        <is>
          <t>Siêu tăng tinh nhuệ, đạn nổ lõm 152 mm</t>
        </is>
      </c>
      <c r="Z27" t="inlineStr"/>
      <c r="AA27" t="inlineStr"/>
      <c r="AB27" t="inlineStr"/>
      <c r="AC27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elite_heavy_tank; Tools/models/reference_real.json: units.elite_heavy_tank</t>
        </is>
      </c>
      <c r="AK27" t="inlineStr"/>
    </row>
    <row r="28">
      <c r="A28" t="inlineStr">
        <is>
          <t>elite_long_sam</t>
        </is>
      </c>
      <c r="B28" t="inlineStr">
        <is>
          <t>elite_long_sam</t>
        </is>
      </c>
      <c r="C28" t="inlineStr">
        <is>
          <t>Tên lửa phòng không tầm xa tinh nhuệ</t>
        </is>
      </c>
      <c r="D28" t="inlineStr">
        <is>
          <t>doi_that</t>
        </is>
      </c>
      <c r="E28" t="inlineStr">
        <is>
          <t>S-400 (48N6);S-300PMU (5P85)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Tên lửa phòng không tầm xa tinh nhuệ</t>
        </is>
      </c>
      <c r="L28" t="inlineStr"/>
      <c r="M28" t="inlineStr"/>
      <c r="N28" t="inlineStr"/>
      <c r="O28" t="inlineStr">
        <is>
          <t>ban_dau_doan</t>
        </is>
      </c>
      <c r="P28" t="inlineStr">
        <is>
          <t>R_unit_refs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Tên lửa phòng không tầm xa tinh nhuệ</t>
        </is>
      </c>
      <c r="Z28" t="inlineStr"/>
      <c r="AA28" t="inlineStr"/>
      <c r="AB28" t="inlineStr"/>
      <c r="AC28" t="inlineStr"/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elite_long_sam; Tools/models/reference_real.json: units.elite_long_sam</t>
        </is>
      </c>
      <c r="AK28" t="inlineStr"/>
    </row>
    <row r="29">
      <c r="A29" t="inlineStr">
        <is>
          <t>elite_mbt</t>
        </is>
      </c>
      <c r="B29" t="inlineStr">
        <is>
          <t>elite_mbt</t>
        </is>
      </c>
      <c r="C29" t="inlineStr">
        <is>
          <t>Tăng chủ lực tinh nhuệ</t>
        </is>
      </c>
      <c r="D29" t="inlineStr">
        <is>
          <t>doi_that</t>
        </is>
      </c>
      <c r="E29" t="inlineStr">
        <is>
          <t>T-90M (2A46M-5 125 mm);Leopard 2A4 / M1 Abrams (khung gốc)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tăng chủ lực tinh nhuệ, giáp tăng cường sơn đen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R_unit_refs;R_reference_real;W_wikipedia_t_90;R_elite_mbt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T-90</t>
        </is>
      </c>
      <c r="W29" t="inlineStr">
        <is>
          <t>high</t>
        </is>
      </c>
      <c r="Y29" t="inlineStr">
        <is>
          <t>Xe tăng chủ lực tinh nhuệ, giáp tăng cường sơn đen</t>
        </is>
      </c>
      <c r="Z29" t="inlineStr"/>
      <c r="AA29" t="inlineStr"/>
      <c r="AB29" t="inlineStr"/>
      <c r="AC29" t="inlineStr">
        <is>
          <t>Tools/blender/specs/elite_mbt.json: real = T-90M (2A46M-5 125 mm, Relikt reactive armour, remote 12.7 mm station); confidence = xấp xỉ (T-90M published dimensions and photographs)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elite_mbt; Tools/models/reference_real.json: units.elite_mbt</t>
        </is>
      </c>
      <c r="AK29" t="inlineStr"/>
    </row>
    <row r="30">
      <c r="A30" t="inlineStr">
        <is>
          <t>elite_mlrs</t>
        </is>
      </c>
      <c r="B30" t="inlineStr">
        <is>
          <t>elite_mlrs</t>
        </is>
      </c>
      <c r="C30" t="inlineStr">
        <is>
          <t>Pháo phản lực tinh nhuệ</t>
        </is>
      </c>
      <c r="D30" t="inlineStr">
        <is>
          <t>doi_that</t>
        </is>
      </c>
      <c r="E30" t="inlineStr">
        <is>
          <t>M142 HIMARS / M270;M30 GMLRS 227 mm (đầu đạn chùm)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Xe phóng rốc-két tinh nhuệ, đầu đạn chùm</t>
        </is>
      </c>
      <c r="L30" t="inlineStr"/>
      <c r="M30" t="inlineStr"/>
      <c r="N30" t="inlineStr"/>
      <c r="O30" t="inlineStr">
        <is>
          <t>da_kiem_chung</t>
        </is>
      </c>
      <c r="P30" t="inlineStr">
        <is>
          <t>R_unit_refs;R_reference_real;W_wikipedia_m142_himars;R_elite_mlrs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M142 HIMARS</t>
        </is>
      </c>
      <c r="W30" t="inlineStr">
        <is>
          <t>high</t>
        </is>
      </c>
      <c r="Y30" t="inlineStr">
        <is>
          <t>Xe phóng rốc-két tinh nhuệ, đầu đạn chùm</t>
        </is>
      </c>
      <c r="Z30" t="inlineStr"/>
      <c r="AA30" t="inlineStr"/>
      <c r="AB30" t="inlineStr"/>
      <c r="AC30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elite_mlrs; Tools/models/reference_real.json: units.elite_mlrs</t>
        </is>
      </c>
      <c r="AK30" t="inlineStr"/>
    </row>
    <row r="31">
      <c r="A31" t="inlineStr">
        <is>
          <t>elite_tank_destroyer</t>
        </is>
      </c>
      <c r="B31" t="inlineStr">
        <is>
          <t>elite_tank_destroyer</t>
        </is>
      </c>
      <c r="C31" t="inlineStr">
        <is>
          <t>Pháo chống tăng tinh nhuệ</t>
        </is>
      </c>
      <c r="D31" t="inlineStr">
        <is>
          <t>doi_that</t>
        </is>
      </c>
      <c r="E31" t="inlineStr">
        <is>
          <t>2S25 Sprut-SD (2A75 125 mm APFSDS)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Pháo chống tăng tinh nhuệ, đạn xuyên dưới cỡ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R_unit_refs;R_reference_real;W_wikipedia_2s25_sprut_sd;R_elite_tank_destroyer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2S25 Sprut-SD</t>
        </is>
      </c>
      <c r="W31" t="inlineStr">
        <is>
          <t>approx</t>
        </is>
      </c>
      <c r="Y31" t="inlineStr">
        <is>
          <t>Pháo chống tăng tinh nhuệ, đạn xuyên dưới cỡ</t>
        </is>
      </c>
      <c r="Z31" t="inlineStr"/>
      <c r="AA31" t="inlineStr"/>
      <c r="AB31" t="inlineStr"/>
      <c r="AC31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elite_tank_destroyer; Tools/models/reference_real.json: units.elite_tank_destroyer</t>
        </is>
      </c>
      <c r="AK31" t="inlineStr"/>
    </row>
    <row r="32">
      <c r="A32" t="inlineStr">
        <is>
          <t>emp_blast</t>
        </is>
      </c>
      <c r="B32" t="inlineStr">
        <is>
          <t>emp_blast</t>
        </is>
      </c>
      <c r="C32" t="inlineStr">
        <is>
          <t>Bom EMP</t>
        </is>
      </c>
      <c r="D32" t="inlineStr">
        <is>
          <t>NEED_SOURCE</t>
        </is>
      </c>
      <c r="E32" t="inlineStr"/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thực thể này (unit_refs.json, reference_real.json, bảng cân bằng)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/>
      <c r="T32" t="inlineStr"/>
      <c r="U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>
        <is>
          <t>Tools/docs/unit_refs.json: emp_blast; Tools/models/reference_real.json: units.emp_blast</t>
        </is>
      </c>
      <c r="AK32" t="inlineStr"/>
    </row>
    <row r="33">
      <c r="A33" t="inlineStr">
        <is>
          <t>engineer_vehicle</t>
        </is>
      </c>
      <c r="B33" t="inlineStr">
        <is>
          <t>engineer_vehicle</t>
        </is>
      </c>
      <c r="C33" t="inlineStr">
        <is>
          <t>Xe công binh</t>
        </is>
      </c>
      <c r="D33" t="inlineStr">
        <is>
          <t>doi_that</t>
        </is>
      </c>
      <c r="E33" t="inlineStr">
        <is>
          <t>BREM-1;M88 Hercules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cứu kéo công binh có lưỡi ủi và cần cẩu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R_unit_refs;R_reference_real;W_wikipedia_m88_recovery_vehicle;R_unit_sheet;R_machine_brigade_can_bang;R_engineer_vehicle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M88A1 recovery vehicle</t>
        </is>
      </c>
      <c r="W33" t="inlineStr">
        <is>
          <t>approx</t>
        </is>
      </c>
      <c r="X33" t="inlineStr">
        <is>
          <t>0,8 × M88A2 / BREM-1</t>
        </is>
      </c>
      <c r="Y33" t="inlineStr">
        <is>
          <t>Xe cứu kéo công binh có lưỡi ủi và cần cẩu</t>
        </is>
      </c>
      <c r="Z33" t="inlineStr">
        <is>
          <t>BREM-1, M88 Hercules — Xe cứu kéo công binh có lưỡi ủi và cần cẩu</t>
        </is>
      </c>
      <c r="AA33" t="inlineStr"/>
      <c r="AB33" t="inlineStr"/>
      <c r="AC33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engineer_vehicle; Tools/models/reference_real.json: units.engineer_vehicle</t>
        </is>
      </c>
      <c r="AK33" t="inlineStr"/>
    </row>
    <row r="34">
      <c r="A34" t="inlineStr">
        <is>
          <t>escort_drop.aa_vehicle</t>
        </is>
      </c>
      <c r="B34" t="inlineStr">
        <is>
          <t>escort_drop.aa_vehicle</t>
        </is>
      </c>
      <c r="C34" t="inlineStr">
        <is>
          <t>escort_drop.aa_vehicle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escort_drop.aa_vehicle; Tools/models/reference_real.json: units.escort_drop.aa_vehicle</t>
        </is>
      </c>
      <c r="AK34" t="inlineStr"/>
    </row>
    <row r="35">
      <c r="A35" t="inlineStr">
        <is>
          <t>escort_drop.engineer_vehicle</t>
        </is>
      </c>
      <c r="B35" t="inlineStr">
        <is>
          <t>escort_drop.engineer_vehicle</t>
        </is>
      </c>
      <c r="C35" t="inlineStr">
        <is>
          <t>escort_drop.engineer_vehicle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/>
      <c r="T35" t="inlineStr"/>
      <c r="U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>
        <is>
          <t>Tools/docs/unit_refs.json: escort_drop.engineer_vehicle; Tools/models/reference_real.json: units.escort_drop.engineer_vehicle</t>
        </is>
      </c>
      <c r="AK35" t="inlineStr"/>
    </row>
    <row r="36">
      <c r="A36" t="inlineStr">
        <is>
          <t>escort_drop.ifv</t>
        </is>
      </c>
      <c r="B36" t="inlineStr">
        <is>
          <t>escort_drop.ifv</t>
        </is>
      </c>
      <c r="C36" t="inlineStr">
        <is>
          <t>escort_drop.ifv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escort_drop.ifv; Tools/models/reference_real.json: units.escort_drop.ifv</t>
        </is>
      </c>
      <c r="AK36" t="inlineStr"/>
    </row>
    <row r="37">
      <c r="A37" t="inlineStr">
        <is>
          <t>ew_jammer</t>
        </is>
      </c>
      <c r="B37" t="inlineStr">
        <is>
          <t>ew_jammer</t>
        </is>
      </c>
      <c r="C37" t="inlineStr">
        <is>
          <t>Xe gây nhiễu điện tử</t>
        </is>
      </c>
      <c r="D37" t="inlineStr">
        <is>
          <t>doi_that</t>
        </is>
      </c>
      <c r="E37" t="inlineStr">
        <is>
          <t>Krasukha-4;Leer-3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tác chiến điện tử 6x6, cột ăng-ten gây nhiễu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R_unit_refs;R_reference_real;R_unit_sheet;R_machine_brigade_can_bang;R_ew_jammer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V37" t="inlineStr">
        <is>
          <t>Krasukha-4 (BAZ-6910)</t>
        </is>
      </c>
      <c r="W37" t="inlineStr">
        <is>
          <t>none</t>
        </is>
      </c>
      <c r="X37" t="inlineStr">
        <is>
          <t>0,8 × Krasukha-4 (BAZ-6910</t>
        </is>
      </c>
      <c r="Y37" t="inlineStr">
        <is>
          <t>Xe tác chiến điện tử 6x6, cột ăng-ten gây nhiễu</t>
        </is>
      </c>
      <c r="Z37" t="inlineStr">
        <is>
          <t>Krasukha-4, Leer-3 — Xe tác chiến điện tử 6x6, cột ăng-ten gây nhiễu</t>
        </is>
      </c>
      <c r="AA37" t="inlineStr"/>
      <c r="AB37" t="inlineStr"/>
      <c r="AC37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ew_jammer; Tools/models/reference_real.json: units.ew_jammer</t>
        </is>
      </c>
      <c r="AK37" t="inlineStr"/>
    </row>
    <row r="38">
      <c r="A38" t="inlineStr">
        <is>
          <t>field_repair</t>
        </is>
      </c>
      <c r="B38" t="inlineStr">
        <is>
          <t>field_repair</t>
        </is>
      </c>
      <c r="C38" t="inlineStr">
        <is>
          <t>Sửa chữa toàn quân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/>
      <c r="T38" t="inlineStr"/>
      <c r="U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>
        <is>
          <t>Tools/docs/unit_refs.json: field_repair; Tools/models/reference_real.json: units.field_repair</t>
        </is>
      </c>
      <c r="AK38" t="inlineStr"/>
    </row>
    <row r="39">
      <c r="A39" t="inlineStr">
        <is>
          <t>field_tower</t>
        </is>
      </c>
      <c r="B39" t="inlineStr">
        <is>
          <t>field_tower</t>
        </is>
      </c>
      <c r="C39" t="inlineStr">
        <is>
          <t>Tháp dã chiến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field_tower; Tools/models/reference_real.json: units.field_tower</t>
        </is>
      </c>
      <c r="AK39" t="inlineStr"/>
    </row>
    <row r="40">
      <c r="A40" t="inlineStr">
        <is>
          <t>fighter_jet</t>
        </is>
      </c>
      <c r="B40" t="inlineStr">
        <is>
          <t>fighter_jet</t>
        </is>
      </c>
      <c r="C40" t="inlineStr">
        <is>
          <t>Tiêm kích</t>
        </is>
      </c>
      <c r="D40" t="inlineStr">
        <is>
          <t>doi_that</t>
        </is>
      </c>
      <c r="E40" t="inlineStr">
        <is>
          <t>Su-27 Flanker;F-15 Eagle;AIM-120 AMRAAM;AIM-9X Sidewinder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Tiêm kích chiếm ưu thế trên không hai động cơ</t>
        </is>
      </c>
      <c r="L40" t="inlineStr"/>
      <c r="M40" t="inlineStr"/>
      <c r="N40" t="inlineStr"/>
      <c r="O40" t="inlineStr">
        <is>
          <t>da_kiem_chung</t>
        </is>
      </c>
      <c r="P40" t="inlineStr">
        <is>
          <t>R_unit_refs;R_reference_real;W_wikipedia_sukhoi_su_27;R_unit_sheet;R_machine_brigade_can_bang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INDEX(xe_input_kich_thuoc_that!$B$2:$B$66,MATCH($B$40,xe_input_kich_thuoc_that!$A$2:$A$66,0))</f>
        <v/>
      </c>
      <c r="T40">
        <f>INDEX(xe_input_kich_thuoc_that!$C$2:$C$66,MATCH($B$40,xe_input_kich_thuoc_that!$A$2:$A$66,0))</f>
        <v/>
      </c>
      <c r="U40">
        <f>INDEX(xe_input_kich_thuoc_that!$D$2:$D$66,MATCH($B$40,xe_input_kich_thuoc_that!$A$2:$A$66,0))</f>
        <v/>
      </c>
      <c r="V40" t="inlineStr">
        <is>
          <t>Su-27 Flanker</t>
        </is>
      </c>
      <c r="W40" t="inlineStr">
        <is>
          <t>high</t>
        </is>
      </c>
      <c r="X40" t="inlineStr">
        <is>
          <t>0,4 × Su-27</t>
        </is>
      </c>
      <c r="Y40" t="inlineStr">
        <is>
          <t>Tiêm kích chiếm ưu thế trên không hai động cơ</t>
        </is>
      </c>
      <c r="Z40" t="inlineStr">
        <is>
          <t>Su-27 Flanker, F-15 Eagle, AIM-120 AMRAAM, AIM-9X Sidewinder — Tiêm kích chiếm ưu thế trên không hai động cơ</t>
        </is>
      </c>
      <c r="AA40" t="inlineStr">
        <is>
          <t>AIM-120: Mach 4; AIM-9X: Mach 2,5+</t>
        </is>
      </c>
      <c r="AB40" t="inlineStr"/>
      <c r="AC40" t="inlineStr"/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fighter_jet; Tools/models/reference_real.json: units.fighter_jet</t>
        </is>
      </c>
      <c r="AK40" t="inlineStr"/>
    </row>
    <row r="41">
      <c r="A41" t="inlineStr">
        <is>
          <t>flame_tank</t>
        </is>
      </c>
      <c r="B41" t="inlineStr">
        <is>
          <t>flame_tank</t>
        </is>
      </c>
      <c r="C41" t="inlineStr">
        <is>
          <t>Tăng phun lửa</t>
        </is>
      </c>
      <c r="D41" t="inlineStr">
        <is>
          <t>doi_that</t>
        </is>
      </c>
      <c r="E41" t="inlineStr">
        <is>
          <t>M67 Zippo;TO-55</t>
        </is>
      </c>
      <c r="F41" t="inlineStr">
        <is>
          <t>NEED_SOURCE</t>
        </is>
      </c>
      <c r="G41" t="inlineStr">
        <is>
          <t>NEED_SOURCE</t>
        </is>
      </c>
      <c r="H41" t="inlineStr">
        <is>
          <t>Command &amp; Conquer</t>
        </is>
      </c>
      <c r="I41" t="inlineStr">
        <is>
          <t>hình dáng: Flame Tank</t>
        </is>
      </c>
      <c r="J41" t="inlineStr"/>
      <c r="K41" t="inlineStr">
        <is>
          <t>xe tăng phun lửa, thùng nhiên liệu bọc giáp sau tháp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R_unit_refs;R_reference_real;W_wikipedia_t_54_t_55;R_unit_sheet;R_machine_brigade_can_bang;R_flame_tank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TO-55 (T-55 hull)</t>
        </is>
      </c>
      <c r="W41" t="inlineStr">
        <is>
          <t>approx</t>
        </is>
      </c>
      <c r="X41" t="inlineStr">
        <is>
          <t>0,8 × TO-55 (khung T-55</t>
        </is>
      </c>
      <c r="Y41" t="inlineStr">
        <is>
          <t>ước đoán: xe tăng phun lửa, thùng nhiên liệu bọc giáp sau tháp</t>
        </is>
      </c>
      <c r="Z41" t="inlineStr">
        <is>
          <t>M67 Zippo, TO-55 · Flame Tank (Command &amp; Conquer) — ước đoán: xe tăng phun lửa, thùng nhiên liệu bọc giáp sau tháp</t>
        </is>
      </c>
      <c r="AA41" t="inlineStr">
        <is>
          <t>TO-55, M67 Zippo</t>
        </is>
      </c>
      <c r="AB41" t="inlineStr"/>
      <c r="AC41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flame_tank; Tools/models/reference_real.json: units.flame_tank</t>
        </is>
      </c>
      <c r="AK41" t="inlineStr"/>
    </row>
    <row r="42">
      <c r="A42" t="inlineStr">
        <is>
          <t>fpv_carrier</t>
        </is>
      </c>
      <c r="B42" t="inlineStr">
        <is>
          <t>fpv_carrier</t>
        </is>
      </c>
      <c r="C42" t="inlineStr">
        <is>
          <t>Xe phóng drone FPV</t>
        </is>
      </c>
      <c r="D42" t="inlineStr">
        <is>
          <t>doi_that</t>
        </is>
      </c>
      <c r="E42" t="inlineStr">
        <is>
          <t>KamAZ Typhoon-K;RG-33 MRAP;drone FPV (chiến sự Ukraine)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MRAP phóng drone cảm tử FPV</t>
        </is>
      </c>
      <c r="L42" t="inlineStr"/>
      <c r="M42" t="inlineStr"/>
      <c r="N42" t="inlineStr"/>
      <c r="O42" t="inlineStr">
        <is>
          <t>uoc_dinh</t>
        </is>
      </c>
      <c r="P42" t="inlineStr">
        <is>
          <t>R_unit_refs;R_reference_real;W_wikipedia_kamaz_typhoon;R_unit_sheet;R_machine_brigade_can_bang;R_fpv_carrier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INDEX(xe_input_kich_thuoc_that!$B$2:$B$66,MATCH($B$42,xe_input_kich_thuoc_that!$A$2:$A$66,0))</f>
        <v/>
      </c>
      <c r="T42">
        <f>INDEX(xe_input_kich_thuoc_that!$C$2:$C$66,MATCH($B$42,xe_input_kich_thuoc_that!$A$2:$A$66,0))</f>
        <v/>
      </c>
      <c r="U42">
        <f>INDEX(xe_input_kich_thuoc_that!$D$2:$D$66,MATCH($B$42,xe_input_kich_thuoc_that!$A$2:$A$66,0))</f>
        <v/>
      </c>
      <c r="V42" t="inlineStr">
        <is>
          <t>KamAZ-63968 Typhoon-K</t>
        </is>
      </c>
      <c r="W42" t="inlineStr">
        <is>
          <t>approx</t>
        </is>
      </c>
      <c r="X42" t="inlineStr">
        <is>
          <t>0,8 × KamAZ Typhoon-K</t>
        </is>
      </c>
      <c r="Y42" t="inlineStr">
        <is>
          <t>Xe MRAP phóng drone cảm tử FPV</t>
        </is>
      </c>
      <c r="Z42" t="inlineStr">
        <is>
          <t>KamAZ Typhoon-K, RG-33 MRAP, drone FPV (chiến sự Ukraine) — Xe MRAP phóng drone cảm tử FPV</t>
        </is>
      </c>
      <c r="AA42" t="inlineStr"/>
      <c r="AB42" t="inlineStr"/>
      <c r="AC42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fpv_carrier; Tools/models/reference_real.json: units.fpv_carrier</t>
        </is>
      </c>
      <c r="AK42" t="inlineStr"/>
    </row>
    <row r="43">
      <c r="A43" t="inlineStr">
        <is>
          <t>glide_bomb_strike</t>
        </is>
      </c>
      <c r="B43" t="inlineStr">
        <is>
          <t>glide_bomb_strike</t>
        </is>
      </c>
      <c r="C43" t="inlineStr">
        <is>
          <t>Đòn bom lượn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glide_bomb_strike; Tools/models/reference_real.json: units.glide_bomb_strike</t>
        </is>
      </c>
      <c r="AK43" t="inlineStr"/>
    </row>
    <row r="44">
      <c r="A44" t="inlineStr">
        <is>
          <t>gps_jammer_vehicle</t>
        </is>
      </c>
      <c r="B44" t="inlineStr">
        <is>
          <t>gps_jammer_vehicle</t>
        </is>
      </c>
      <c r="C44" t="inlineStr">
        <is>
          <t>Xe gây nhiễu định vị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>
        <is>
          <t>R_gps_jammer_vehicle</t>
        </is>
      </c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Z44" t="inlineStr"/>
      <c r="AA44" t="inlineStr"/>
      <c r="AB44" t="inlineStr"/>
      <c r="AC4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gps_jammer_vehicle; Tools/models/reference_real.json: units.gps_jammer_vehicle</t>
        </is>
      </c>
      <c r="AK44" t="inlineStr"/>
    </row>
    <row r="45">
      <c r="A45" t="inlineStr">
        <is>
          <t>ground_cruise_missile_vehicle</t>
        </is>
      </c>
      <c r="B45" t="inlineStr">
        <is>
          <t>ground_cruise_missile_vehicle</t>
        </is>
      </c>
      <c r="C45" t="inlineStr">
        <is>
          <t>Xe phóng tên lửa hành trình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R_ground_cruise_missile_vehicle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ground_cruise_missile_vehicle; Tools/models/reference_real.json: units.ground_cruise_missile_vehicle</t>
        </is>
      </c>
      <c r="AK45" t="inlineStr"/>
    </row>
    <row r="46">
      <c r="A46" t="inlineStr">
        <is>
          <t>heavy_aa</t>
        </is>
      </c>
      <c r="B46" t="inlineStr">
        <is>
          <t>heavy_aa</t>
        </is>
      </c>
      <c r="C46" t="inlineStr">
        <is>
          <t>Xe phòng không pháo – tên lửa</t>
        </is>
      </c>
      <c r="D46" t="inlineStr">
        <is>
          <t>doi_that</t>
        </is>
      </c>
      <c r="E46" t="inlineStr">
        <is>
          <t>Pantsir-S1 (2A38 30 mm)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tải phòng không kết hợp pháo và tên lửa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R_unit_refs;R_reference_real;R_unit_sheet;R_machine_brigade_can_bang;R_heavy_aa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Pantsir-S1 (KamAZ-6560)</t>
        </is>
      </c>
      <c r="W46" t="inlineStr">
        <is>
          <t>none</t>
        </is>
      </c>
      <c r="X46" t="inlineStr">
        <is>
          <t>0,8 × Pantsir-S1 (KamAZ</t>
        </is>
      </c>
      <c r="Y46" t="inlineStr">
        <is>
          <t>Xe tải phòng không kết hợp pháo và tên lửa</t>
        </is>
      </c>
      <c r="Z46" t="inlineStr">
        <is>
          <t>Pantsir-S1 (2A38 30 mm) — Xe tải phòng không kết hợp pháo và tên lửa</t>
        </is>
      </c>
      <c r="AA46" t="inlineStr">
        <is>
          <t>Pantsir-S1 ~13–15 triệu USD | 2A38M: ~5.000 phát/phút cả cặp</t>
        </is>
      </c>
      <c r="AB46" t="inlineStr"/>
      <c r="AC46" t="inlineStr">
        <is>
          <t>Tools/blender/specs/heavy_aa.json: real = Pantsir-S1 on the KamAZ-6560 8x8 (0.8 x); 2A38 30 mm (twin); 57E6 missiles (12 tubes); confidence = tham_khao_thuc (Pantsir-S1 layout)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heavy_aa; Tools/models/reference_real.json: units.heavy_aa</t>
        </is>
      </c>
      <c r="AK46" t="inlineStr"/>
    </row>
    <row r="47">
      <c r="A47" t="inlineStr">
        <is>
          <t>heavy_bomber</t>
        </is>
      </c>
      <c r="B47" t="inlineStr">
        <is>
          <t>heavy_bomber</t>
        </is>
      </c>
      <c r="C47" t="inlineStr">
        <is>
          <t>Oanh tạc cơ chiến lược</t>
        </is>
      </c>
      <c r="D47" t="inlineStr">
        <is>
          <t>doi_that</t>
        </is>
      </c>
      <c r="E47" t="inlineStr">
        <is>
          <t>B-52 Stratofortress;FAB-500;Kh-101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Máy bay ném bom chiến lược tám động cơ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R_unit_refs;R_reference_real;W_wikipedia_boeing_b_52_stratofortress;R_unit_sheet;R_machine_brigade_can_bang;R_heavy_bomber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INDEX(xe_input_kich_thuoc_that!$B$2:$B$66,MATCH($B$47,xe_input_kich_thuoc_that!$A$2:$A$66,0))</f>
        <v/>
      </c>
      <c r="T47">
        <f>INDEX(xe_input_kich_thuoc_that!$C$2:$C$66,MATCH($B$47,xe_input_kich_thuoc_that!$A$2:$A$66,0))</f>
        <v/>
      </c>
      <c r="U47">
        <f>INDEX(xe_input_kich_thuoc_that!$D$2:$D$66,MATCH($B$47,xe_input_kich_thuoc_that!$A$2:$A$66,0))</f>
        <v/>
      </c>
      <c r="V47" t="inlineStr">
        <is>
          <t>B-52H Stratofortress</t>
        </is>
      </c>
      <c r="W47" t="inlineStr">
        <is>
          <t>high</t>
        </is>
      </c>
      <c r="X47" t="inlineStr">
        <is>
          <t>0,4 × B-52</t>
        </is>
      </c>
      <c r="Y47" t="inlineStr">
        <is>
          <t>Máy bay ném bom chiến lược tám động cơ</t>
        </is>
      </c>
      <c r="Z47" t="inlineStr">
        <is>
          <t>B-52 Stratofortress, FAB-500, Kh-101 — Máy bay ném bom chiến lược tám động cơ</t>
        </is>
      </c>
      <c r="AA47" t="inlineStr">
        <is>
          <t>Kh-101: đầu nổ 400 kg | B-52</t>
        </is>
      </c>
      <c r="AB47" t="inlineStr"/>
      <c r="AC47" t="inlineStr">
        <is>
          <t>Tools/blender/specs/heavy_bomber.json: real = Boeing B-52 Stratofortress (unit_refs); FAB-500 bombs, Kh-101 cruise missiles; confidence = cao (B-52H layout; drawn 0.4 x)</t>
        </is>
      </c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heavy_bomber; Tools/models/reference_real.json: units.heavy_bomber</t>
        </is>
      </c>
      <c r="AK47" t="inlineStr"/>
    </row>
    <row r="48">
      <c r="A48" t="inlineStr">
        <is>
          <t>heavy_rocket_artillery</t>
        </is>
      </c>
      <c r="B48" t="inlineStr">
        <is>
          <t>heavy_rocket_artillery</t>
        </is>
      </c>
      <c r="C48" t="inlineStr">
        <is>
          <t>Pháo phản lực hạng nặng</t>
        </is>
      </c>
      <c r="D48" t="inlineStr">
        <is>
          <t>doi_that</t>
        </is>
      </c>
      <c r="E48" t="inlineStr">
        <is>
          <t>BM-30 Smerch (9M55 300 mm)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Xe phóng rốc-két 300 mm 8x8, 12 ống</t>
        </is>
      </c>
      <c r="L48" t="inlineStr"/>
      <c r="M48" t="inlineStr"/>
      <c r="N48" t="inlineStr"/>
      <c r="O48" t="inlineStr">
        <is>
          <t>uoc_dinh</t>
        </is>
      </c>
      <c r="P48" t="inlineStr">
        <is>
          <t>R_unit_refs;R_reference_real;W_wikipedia_bm_30_smerch;R_unit_sheet;R_machine_brigade_can_bang;R_heavy_rocket_artillery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>
        <f>INDEX(xe_input_kich_thuoc_that!$B$2:$B$66,MATCH($B$48,xe_input_kich_thuoc_that!$A$2:$A$66,0))</f>
        <v/>
      </c>
      <c r="T48">
        <f>INDEX(xe_input_kich_thuoc_that!$C$2:$C$66,MATCH($B$48,xe_input_kich_thuoc_that!$A$2:$A$66,0))</f>
        <v/>
      </c>
      <c r="U48">
        <f>INDEX(xe_input_kich_thuoc_that!$D$2:$D$66,MATCH($B$48,xe_input_kich_thuoc_that!$A$2:$A$66,0))</f>
        <v/>
      </c>
      <c r="V48" t="inlineStr">
        <is>
          <t>9A52-2 Smerch (MAZ-543M)</t>
        </is>
      </c>
      <c r="W48" t="inlineStr">
        <is>
          <t>approx</t>
        </is>
      </c>
      <c r="X48" t="inlineStr">
        <is>
          <t>0,8 × BM-30 Smerch</t>
        </is>
      </c>
      <c r="Y48" t="inlineStr">
        <is>
          <t>Xe phóng rốc-két 300 mm 8x8, 12 ống</t>
        </is>
      </c>
      <c r="Z48" t="inlineStr">
        <is>
          <t>BM-30 Smerch (9M55 300 mm) — Xe phóng rốc-két 300 mm 8x8, 12 ống</t>
        </is>
      </c>
      <c r="AA48" t="inlineStr">
        <is>
          <t>9M55: tầm 70–90 km | BM-30 Smerch</t>
        </is>
      </c>
      <c r="AB48" t="inlineStr"/>
      <c r="AC48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heavy_rocket_artillery; Tools/models/reference_real.json: units.heavy_rocket_artillery</t>
        </is>
      </c>
      <c r="AK48" t="inlineStr"/>
    </row>
    <row r="49">
      <c r="A49" t="inlineStr">
        <is>
          <t>heavy_tank</t>
        </is>
      </c>
      <c r="B49" t="inlineStr">
        <is>
          <t>heavy_tank</t>
        </is>
      </c>
      <c r="C49" t="inlineStr">
        <is>
          <t>Tăng hạng nặng</t>
        </is>
      </c>
      <c r="D49" t="inlineStr">
        <is>
          <t>doi_that</t>
        </is>
      </c>
      <c r="E49" t="inlineStr">
        <is>
          <t>Object 195 / T-95 (2A83 152 mm)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Siêu tăng bảy bánh chịu lực, tháp góc cạnh, pháo 152 mm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R_unit_refs;R_reference_real;R_unit_sheet;R_machine_brigade_can_bang;R_heavy_tank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Object 195 / T-95</t>
        </is>
      </c>
      <c r="W49" t="inlineStr">
        <is>
          <t>none</t>
        </is>
      </c>
      <c r="X49" t="inlineStr">
        <is>
          <t>0,8 × Object 195</t>
        </is>
      </c>
      <c r="Y49" t="inlineStr">
        <is>
          <t>Siêu tăng bảy bánh chịu lực, tháp góc cạnh, pháo 152 mm</t>
        </is>
      </c>
      <c r="Z49" t="inlineStr">
        <is>
          <t>Object 195 / T-95 (2A83 152 mm), T-14 Armata (bản 152 mm) — Siêu tăng bảy bánh chịu lực, tháp góc cạnh, pháo 152 mm</t>
        </is>
      </c>
      <c r="AA49" t="inlineStr">
        <is>
          <t>Object 195</t>
        </is>
      </c>
      <c r="AB49" t="inlineStr"/>
      <c r="AC49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heavy_tank; Tools/models/reference_real.json: units.heavy_tank</t>
        </is>
      </c>
      <c r="AK49" t="inlineStr"/>
    </row>
    <row r="50">
      <c r="A50" t="inlineStr">
        <is>
          <t>hover_gunboat</t>
        </is>
      </c>
      <c r="B50" t="inlineStr">
        <is>
          <t>hover_gunboat</t>
        </is>
      </c>
      <c r="C50" t="inlineStr">
        <is>
          <t>Xuồng đệm khí hộ tống</t>
        </is>
      </c>
      <c r="D50" t="inlineStr">
        <is>
          <t>doi_that</t>
        </is>
      </c>
      <c r="E50" t="inlineStr">
        <is>
          <t>tàu tấn công nhanh vỏ lướt;AK-630 30 mm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Xuồng pháo hộ tống tàu đệm khí</t>
        </is>
      </c>
      <c r="L50" t="inlineStr"/>
      <c r="M50" t="inlineStr">
        <is>
          <t>gia_tuong</t>
        </is>
      </c>
      <c r="N50" t="inlineStr"/>
      <c r="O50" t="inlineStr">
        <is>
          <t>ban_dau_doan</t>
        </is>
      </c>
      <c r="P50" t="inlineStr">
        <is>
          <t>R_unit_refs;R_reference_real;R_machine_brigade_can_bang;R_hover_gunboat</t>
        </is>
      </c>
      <c r="Q50" t="inlineStr">
        <is>
          <t>reference_real.json: fictional (mẫu 'air-cushion gunboat with an AK-630', thiết kế giả tưởng)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V50" t="inlineStr">
        <is>
          <t>air-cushion gunboat with an AK-630</t>
        </is>
      </c>
      <c r="W50" t="inlineStr">
        <is>
          <t>inspiration</t>
        </is>
      </c>
      <c r="Y50" t="inlineStr">
        <is>
          <t>Xuồng pháo hộ tống tàu đệm khí</t>
        </is>
      </c>
      <c r="Z50" t="inlineStr">
        <is>
          <t>tàu tấn công nhanh vỏ lướt, AK-630 30 mm — Xuồng pháo hộ tống tàu đệm khí</t>
        </is>
      </c>
      <c r="AA50" t="inlineStr">
        <is>
          <t>AK-630M: 4.000–5.000 phát/phút, băng 2.000 viên</t>
        </is>
      </c>
      <c r="AB50" t="inlineStr"/>
      <c r="AC50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hover_gunboat; Tools/models/reference_real.json: units.hover_gunboat</t>
        </is>
      </c>
      <c r="AK50" t="inlineStr"/>
    </row>
    <row r="51">
      <c r="A51" t="inlineStr">
        <is>
          <t>hq_barrage</t>
        </is>
      </c>
      <c r="B51" t="inlineStr">
        <is>
          <t>hq_barrage</t>
        </is>
      </c>
      <c r="C51" t="inlineStr">
        <is>
          <t>hq_barrage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/>
      <c r="T51" t="inlineStr"/>
      <c r="U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>
        <is>
          <t>Tools/docs/unit_refs.json: hq_barrage; Tools/models/reference_real.json: units.hq_barrage</t>
        </is>
      </c>
      <c r="AK51" t="inlineStr"/>
    </row>
    <row r="52">
      <c r="A52" t="inlineStr">
        <is>
          <t>ifv</t>
        </is>
      </c>
      <c r="B52" t="inlineStr">
        <is>
          <t>ifv</t>
        </is>
      </c>
      <c r="C52" t="inlineStr">
        <is>
          <t>Xe chiến đấu bộ binh</t>
        </is>
      </c>
      <c r="D52" t="inlineStr">
        <is>
          <t>doi_that</t>
        </is>
      </c>
      <c r="E52" t="inlineStr">
        <is>
          <t>M2 Bradley;BMP-3;2A42 30 mm;BGM-71 TOW-2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Xe chiến đấu bộ binh bánh xích, pháo 30 mm và bệ TOW</t>
        </is>
      </c>
      <c r="L52" t="inlineStr"/>
      <c r="M52" t="inlineStr"/>
      <c r="N52" t="inlineStr"/>
      <c r="O52" t="inlineStr">
        <is>
          <t>da_kiem_chung</t>
        </is>
      </c>
      <c r="P52" t="inlineStr">
        <is>
          <t>R_unit_refs;R_reference_real;W_wikipedia_m2_bradley;R_unit_sheet;R_machine_brigade_can_bang;R_ifv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INDEX(xe_input_kich_thuoc_that!$B$2:$B$66,MATCH($B$52,xe_input_kich_thuoc_that!$A$2:$A$66,0))</f>
        <v/>
      </c>
      <c r="T52">
        <f>INDEX(xe_input_kich_thuoc_that!$C$2:$C$66,MATCH($B$52,xe_input_kich_thuoc_that!$A$2:$A$66,0))</f>
        <v/>
      </c>
      <c r="U52">
        <f>INDEX(xe_input_kich_thuoc_that!$D$2:$D$66,MATCH($B$52,xe_input_kich_thuoc_that!$A$2:$A$66,0))</f>
        <v/>
      </c>
      <c r="V52" t="inlineStr">
        <is>
          <t>M2A3 Bradley</t>
        </is>
      </c>
      <c r="W52" t="inlineStr">
        <is>
          <t>high</t>
        </is>
      </c>
      <c r="X52" t="inlineStr">
        <is>
          <t>0,8 × M2 Bradley</t>
        </is>
      </c>
      <c r="Y52" t="inlineStr">
        <is>
          <t>Xe chiến đấu bộ binh bánh xích, pháo 30 mm và bệ TOW</t>
        </is>
      </c>
      <c r="Z52" t="inlineStr">
        <is>
          <t>M2 Bradley, BMP-3, 2A42 30 mm, BGM-71 TOW-2 — Xe chiến đấu bộ binh bánh xích, pháo 30 mm và bệ TOW</t>
        </is>
      </c>
      <c r="AA52" t="inlineStr">
        <is>
          <t>2A42: 550–800 phát/phút | TOW-2: 3,75 km, xa hơn tầm giao chiến pháo tăng 2–3 km</t>
        </is>
      </c>
      <c r="AB52" t="inlineStr"/>
      <c r="AC52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ifv; Tools/models/reference_real.json: units.ifv</t>
        </is>
      </c>
      <c r="AK52" t="inlineStr"/>
    </row>
    <row r="53">
      <c r="A53" t="inlineStr">
        <is>
          <t>iron_beam</t>
        </is>
      </c>
      <c r="B53" t="inlineStr">
        <is>
          <t>iron_beam</t>
        </is>
      </c>
      <c r="C53" t="inlineStr">
        <is>
          <t>Xe la-de phòng không</t>
        </is>
      </c>
      <c r="D53" t="inlineStr">
        <is>
          <t>doi_that</t>
        </is>
      </c>
      <c r="E53" t="inlineStr">
        <is>
          <t>Rafael Iron Beam (laser 100 kW)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Xe laser phòng không năng lượng cao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R_unit_refs;R_reference_real;R_unit_sheet;R_machine_brigade_can_bang;R_iron_beam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Rafael Iron Beam</t>
        </is>
      </c>
      <c r="W53" t="inlineStr">
        <is>
          <t>none</t>
        </is>
      </c>
      <c r="X53" t="inlineStr">
        <is>
          <t>0,8 × Iron Beam (xe tải mang laser</t>
        </is>
      </c>
      <c r="Y53" t="inlineStr">
        <is>
          <t>Xe laser phòng không năng lượng cao</t>
        </is>
      </c>
      <c r="Z53" t="inlineStr">
        <is>
          <t>Rafael Iron Beam (laser 100 kW) — Xe laser phòng không năng lượng cao</t>
        </is>
      </c>
      <c r="AA53" t="inlineStr">
        <is>
          <t>Iron Beam: chi phí mỗi phát rất thấp | Rafael Iron Beam</t>
        </is>
      </c>
      <c r="AB53" t="inlineStr"/>
      <c r="AC53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53" t="inlineStr">
        <is>
          <t>NEED_SOURCE</t>
        </is>
      </c>
      <c r="AE53" t="inlineStr">
        <is>
          <t>NEED_SOURCE</t>
        </is>
      </c>
      <c r="AF53" t="inlineStr">
        <is>
          <t>NEED_SOURCE</t>
        </is>
      </c>
      <c r="AG53" t="inlineStr">
        <is>
          <t>NEED_SOURCE</t>
        </is>
      </c>
      <c r="AH53" t="inlineStr">
        <is>
          <t>NEED_SOURCE</t>
        </is>
      </c>
      <c r="AI53" t="inlineStr">
        <is>
          <t>NEED_SOURCE</t>
        </is>
      </c>
      <c r="AJ53" t="inlineStr">
        <is>
          <t>Tools/docs/unit_refs.json: iron_beam; Tools/models/reference_real.json: units.iron_beam</t>
        </is>
      </c>
      <c r="AK53" t="inlineStr"/>
    </row>
    <row r="54">
      <c r="A54" t="inlineStr">
        <is>
          <t>kalibr_cruise_mark</t>
        </is>
      </c>
      <c r="B54" t="inlineStr">
        <is>
          <t>kalibr_cruise_mark</t>
        </is>
      </c>
      <c r="C54" t="inlineStr">
        <is>
          <t>Tên lửa hành trình của tàu</t>
        </is>
      </c>
      <c r="D54" t="inlineStr">
        <is>
          <t>NEED_SOURCE</t>
        </is>
      </c>
      <c r="E54" t="inlineStr"/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có tham chiếu cho thực thể này (unit_refs.json, reference_real.json, bảng cân bằng)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/>
      <c r="T54" t="inlineStr"/>
      <c r="U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/>
      <c r="AJ54" t="inlineStr">
        <is>
          <t>Tools/docs/unit_refs.json: kalibr_cruise_mark; Tools/models/reference_real.json: units.kalibr_cruise_mark</t>
        </is>
      </c>
      <c r="AK54" t="inlineStr"/>
    </row>
    <row r="55">
      <c r="A55" t="inlineStr">
        <is>
          <t>landing_craft</t>
        </is>
      </c>
      <c r="B55" t="inlineStr">
        <is>
          <t>landing_craft</t>
        </is>
      </c>
      <c r="C55" t="inlineStr">
        <is>
          <t>Tàu đổ bộ</t>
        </is>
      </c>
      <c r="D55" t="inlineStr">
        <is>
          <t>doi_that</t>
        </is>
      </c>
      <c r="E55" t="inlineStr">
        <is>
          <t>LCM</t>
        </is>
      </c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>
        <is>
          <t>Xuồng đổ bộ có cửa mũi, chở hai xe tăng</t>
        </is>
      </c>
      <c r="L55" t="inlineStr"/>
      <c r="M55" t="inlineStr"/>
      <c r="N55" t="inlineStr"/>
      <c r="O55" t="inlineStr">
        <is>
          <t>da_kiem_chung</t>
        </is>
      </c>
      <c r="P55" t="inlineStr">
        <is>
          <t>R_unit_refs;R_reference_real;W_wikipedia_lcm_8;R_landing_craft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>
        <f>INDEX(xe_input_kich_thuoc_that!$B$2:$B$66,MATCH($B$55,xe_input_kich_thuoc_that!$A$2:$A$66,0))</f>
        <v/>
      </c>
      <c r="T55">
        <f>INDEX(xe_input_kich_thuoc_that!$C$2:$C$66,MATCH($B$55,xe_input_kich_thuoc_that!$A$2:$A$66,0))</f>
        <v/>
      </c>
      <c r="U55" t="inlineStr">
        <is>
          <t>NEED_SOURCE</t>
        </is>
      </c>
      <c r="V55" t="inlineStr">
        <is>
          <t>LCM-8</t>
        </is>
      </c>
      <c r="W55" t="inlineStr">
        <is>
          <t>high</t>
        </is>
      </c>
      <c r="Y55" t="inlineStr">
        <is>
          <t>Xuồng đổ bộ có cửa mũi, chở hai xe tăng</t>
        </is>
      </c>
      <c r="Z55" t="inlineStr"/>
      <c r="AA55" t="inlineStr"/>
      <c r="AB55" t="inlineStr"/>
      <c r="AC55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landing_craft; Tools/models/reference_real.json: units.landing_craft</t>
        </is>
      </c>
      <c r="AK55" t="inlineStr"/>
    </row>
    <row r="56">
      <c r="A56" t="inlineStr">
        <is>
          <t>laser_tank</t>
        </is>
      </c>
      <c r="B56" t="inlineStr">
        <is>
          <t>laser_tank</t>
        </is>
      </c>
      <c r="C56" t="inlineStr">
        <is>
          <t>Xe la-de diệt tăng</t>
        </is>
      </c>
      <c r="D56" t="inlineStr">
        <is>
          <t>doi_that</t>
        </is>
      </c>
      <c r="E56" t="inlineStr">
        <is>
          <t>Rheinmetall HEL;DE M-SHORAD (laser trên Stryker)</t>
        </is>
      </c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>
        <is>
          <t>Pháo chống tăng laser: đầu phát tia trên giá chạc</t>
        </is>
      </c>
      <c r="L56" t="inlineStr"/>
      <c r="M56" t="inlineStr">
        <is>
          <t>gia_tuong</t>
        </is>
      </c>
      <c r="N56" t="inlineStr"/>
      <c r="O56" t="inlineStr">
        <is>
          <t>ban_dau_doan</t>
        </is>
      </c>
      <c r="P56" t="inlineStr">
        <is>
          <t>R_unit_refs;R_reference_real;R_machine_brigade_can_bang;R_laser_tank</t>
        </is>
      </c>
      <c r="Q56" t="inlineStr">
        <is>
          <t>reference_real.json: fictional (mẫu 'beam director on a tracked chassis', thiết kế giả tưởng)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V56" t="inlineStr">
        <is>
          <t>beam director on a tracked chassis</t>
        </is>
      </c>
      <c r="W56" t="inlineStr">
        <is>
          <t>inspiration</t>
        </is>
      </c>
      <c r="Y56" t="inlineStr">
        <is>
          <t>Pháo chống tăng laser: đầu phát tia trên giá chạc</t>
        </is>
      </c>
      <c r="Z56" t="inlineStr">
        <is>
          <t>Rheinmetall HEL, DE M-SHORAD (laser trên Stryker) — Pháo chống tăng laser: đầu phát tia trên giá chạc</t>
        </is>
      </c>
      <c r="AA56" t="inlineStr">
        <is>
          <t>Rheinmetall HEL</t>
        </is>
      </c>
      <c r="AB56" t="inlineStr"/>
      <c r="AC56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56" t="inlineStr">
        <is>
          <t>NEED_SOURCE</t>
        </is>
      </c>
      <c r="AE56" t="inlineStr">
        <is>
          <t>NEED_SOURCE</t>
        </is>
      </c>
      <c r="AF56" t="inlineStr">
        <is>
          <t>NEED_SOURCE</t>
        </is>
      </c>
      <c r="AG56" t="inlineStr">
        <is>
          <t>NEED_SOURCE</t>
        </is>
      </c>
      <c r="AH56" t="inlineStr">
        <is>
          <t>NEED_SOURCE</t>
        </is>
      </c>
      <c r="AI56" t="inlineStr">
        <is>
          <t>NEED_SOURCE</t>
        </is>
      </c>
      <c r="AJ56" t="inlineStr">
        <is>
          <t>Tools/docs/unit_refs.json: laser_tank; Tools/models/reference_real.json: units.laser_tank</t>
        </is>
      </c>
      <c r="AK56" t="inlineStr"/>
    </row>
    <row r="57">
      <c r="A57" t="inlineStr">
        <is>
          <t>leviathan_cruise_mark</t>
        </is>
      </c>
      <c r="B57" t="inlineStr">
        <is>
          <t>leviathan_cruise_mark</t>
        </is>
      </c>
      <c r="C57" t="inlineStr">
        <is>
          <t>Tên lửa hành trình Leviathan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leviathan_cruise_mark; Tools/models/reference_real.json: units.leviathan_cruise_mark</t>
        </is>
      </c>
      <c r="AK57" t="inlineStr"/>
    </row>
    <row r="58">
      <c r="A58" t="inlineStr">
        <is>
          <t>leviathan_shell</t>
        </is>
      </c>
      <c r="B58" t="inlineStr">
        <is>
          <t>leviathan_shell</t>
        </is>
      </c>
      <c r="C58" t="inlineStr">
        <is>
          <t>Đạn pháo Leviathan</t>
        </is>
      </c>
      <c r="D58" t="inlineStr">
        <is>
          <t>NEED_SOURCE</t>
        </is>
      </c>
      <c r="E58" t="inlineStr"/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/>
      <c r="Q58" t="inlineStr">
        <is>
          <t>repo không có tham chiếu cho thực thể này (unit_refs.json, reference_real.json, bảng cân bằng)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/>
      <c r="T58" t="inlineStr"/>
      <c r="U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/>
      <c r="AJ58" t="inlineStr">
        <is>
          <t>Tools/docs/unit_refs.json: leviathan_shell; Tools/models/reference_real.json: units.leviathan_shell</t>
        </is>
      </c>
      <c r="AK58" t="inlineStr"/>
    </row>
    <row r="59">
      <c r="A59" t="inlineStr">
        <is>
          <t>light_tank</t>
        </is>
      </c>
      <c r="B59" t="inlineStr">
        <is>
          <t>light_tank</t>
        </is>
      </c>
      <c r="C59" t="inlineStr">
        <is>
          <t>Tăng nhẹ lội nước</t>
        </is>
      </c>
      <c r="D59" t="inlineStr">
        <is>
          <t>doi_that</t>
        </is>
      </c>
      <c r="E59" t="inlineStr">
        <is>
          <t>PT-76;ZBD-05;AU-220M 57 mm (mô-đun không người lái)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Xe tăng nhẹ lội nước, mô-đun 57 mm đặt lệch về trước</t>
        </is>
      </c>
      <c r="L59" t="inlineStr"/>
      <c r="M59" t="inlineStr"/>
      <c r="N59" t="inlineStr"/>
      <c r="O59" t="inlineStr">
        <is>
          <t>da_kiem_chung</t>
        </is>
      </c>
      <c r="P59" t="inlineStr">
        <is>
          <t>R_unit_refs;R_reference_real;W_wikipedia_pt_76;R_unit_sheet;R_machine_brigade_can_bang;R_light_tank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>
        <f>INDEX(xe_input_kich_thuoc_that!$B$2:$B$66,MATCH($B$59,xe_input_kich_thuoc_that!$A$2:$A$66,0))</f>
        <v/>
      </c>
      <c r="T59">
        <f>INDEX(xe_input_kich_thuoc_that!$C$2:$C$66,MATCH($B$59,xe_input_kich_thuoc_that!$A$2:$A$66,0))</f>
        <v/>
      </c>
      <c r="U59">
        <f>INDEX(xe_input_kich_thuoc_that!$D$2:$D$66,MATCH($B$59,xe_input_kich_thuoc_that!$A$2:$A$66,0))</f>
        <v/>
      </c>
      <c r="V59" t="inlineStr">
        <is>
          <t>PT-76</t>
        </is>
      </c>
      <c r="W59" t="inlineStr">
        <is>
          <t>high</t>
        </is>
      </c>
      <c r="X59" t="inlineStr">
        <is>
          <t>0,8 × PT-76 / ZBD-05</t>
        </is>
      </c>
      <c r="Y59" t="inlineStr">
        <is>
          <t>Xe tăng nhẹ lội nước, mô-đun 57 mm đặt lệch về trước</t>
        </is>
      </c>
      <c r="Z59" t="inlineStr">
        <is>
          <t>PT-76, ZBD-05, AU-220M 57 mm (mô-đun không người lái) — Xe tăng nhẹ lội nước, mô-đun 57 mm đặt lệch về trước</t>
        </is>
      </c>
      <c r="AA59" t="inlineStr">
        <is>
          <t>AU-220M: 120 phát/phút | PT-76, ZBD-05</t>
        </is>
      </c>
      <c r="AB59" t="inlineStr"/>
      <c r="AC59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light_tank; Tools/models/reference_real.json: units.light_tank</t>
        </is>
      </c>
      <c r="AK59" t="inlineStr"/>
    </row>
    <row r="60">
      <c r="A60" t="inlineStr">
        <is>
          <t>long_sam</t>
        </is>
      </c>
      <c r="B60" t="inlineStr">
        <is>
          <t>long_sam</t>
        </is>
      </c>
      <c r="C60" t="inlineStr">
        <is>
          <t>Xe tên lửa phòng không tầm xa</t>
        </is>
      </c>
      <c r="D60" t="inlineStr">
        <is>
          <t>doi_that</t>
        </is>
      </c>
      <c r="E60" t="inlineStr">
        <is>
          <t>S-300PMU (5P85);S-400 (48N6);khung MAZ-543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Bệ phóng tên lửa phòng không tầm xa, dựng đứng ống phóng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R_unit_refs;R_reference_real;R_unit_sheet;R_machine_brigade_can_bang;R_long_sam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S-400 5P85SM2 TEL</t>
        </is>
      </c>
      <c r="W60" t="inlineStr">
        <is>
          <t>none</t>
        </is>
      </c>
      <c r="X60" t="inlineStr">
        <is>
          <t>0,8 × S-400 5P85 (MAZ-543</t>
        </is>
      </c>
      <c r="Y60" t="inlineStr">
        <is>
          <t>Bệ phóng tên lửa phòng không tầm xa, dựng đứng ống phóng</t>
        </is>
      </c>
      <c r="Z60" t="inlineStr">
        <is>
          <t>S-300PMU (5P85), S-400 (48N6), khung MAZ-543 — Bệ phóng tên lửa phòng không tầm xa, dựng đứng ống phóng</t>
        </is>
      </c>
      <c r="AA60" t="inlineStr">
        <is>
          <t>S-400: ~500 triệu USD một tiểu đoàn | 48N6: Mach 6</t>
        </is>
      </c>
      <c r="AB60" t="inlineStr"/>
      <c r="AC60" t="inlineStr">
        <is>
          <t>Tools/blender/specs/long_sam.json: real = S-300PMU 5P85S launcher (unit_refs: 5P85, 48N6); MAZ-543 8x8 chassis; confidence = xấp xỉ (5P85S photographs; the def's modelSize)</t>
        </is>
      </c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long_sam; Tools/models/reference_real.json: units.long_sam</t>
        </is>
      </c>
      <c r="AK60" t="inlineStr"/>
    </row>
    <row r="61">
      <c r="A61" t="inlineStr">
        <is>
          <t>main_battle_tank</t>
        </is>
      </c>
      <c r="B61" t="inlineStr">
        <is>
          <t>main_battle_tank</t>
        </is>
      </c>
      <c r="C61" t="inlineStr">
        <is>
          <t>Tăng chủ lực</t>
        </is>
      </c>
      <c r="D61" t="inlineStr">
        <is>
          <t>doi_that</t>
        </is>
      </c>
      <c r="E61" t="inlineStr">
        <is>
          <t>Leopard 2A4 (Rh-120 L/44);M1A1 Abrams (M256 120 mm)</t>
        </is>
      </c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>
        <is>
          <t>Xe tăng chủ lực pháo nòng trơn 120 mm, giáp phản ứng nổ</t>
        </is>
      </c>
      <c r="L61" t="inlineStr"/>
      <c r="M61" t="inlineStr"/>
      <c r="N61" t="inlineStr"/>
      <c r="O61" t="inlineStr">
        <is>
          <t>da_kiem_chung</t>
        </is>
      </c>
      <c r="P61" t="inlineStr">
        <is>
          <t>R_unit_refs;R_reference_real;W_wikipedia_leopard_2;R_unit_sheet;R_machine_brigade_can_bang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>
        <f>INDEX(xe_input_kich_thuoc_that!$B$2:$B$66,MATCH($B$61,xe_input_kich_thuoc_that!$A$2:$A$66,0))</f>
        <v/>
      </c>
      <c r="T61">
        <f>INDEX(xe_input_kich_thuoc_that!$C$2:$C$66,MATCH($B$61,xe_input_kich_thuoc_that!$A$2:$A$66,0))</f>
        <v/>
      </c>
      <c r="U61">
        <f>INDEX(xe_input_kich_thuoc_that!$D$2:$D$66,MATCH($B$61,xe_input_kich_thuoc_that!$A$2:$A$66,0))</f>
        <v/>
      </c>
      <c r="V61" t="inlineStr">
        <is>
          <t>Leopard 2A4</t>
        </is>
      </c>
      <c r="W61" t="inlineStr">
        <is>
          <t>high</t>
        </is>
      </c>
      <c r="X61" t="inlineStr">
        <is>
          <t>0,8 × Leopard 2A4 / M1A1</t>
        </is>
      </c>
      <c r="Y61" t="inlineStr">
        <is>
          <t>Xe tăng chủ lực pháo nòng trơn 120 mm, giáp phản ứng nổ</t>
        </is>
      </c>
      <c r="Z61" t="inlineStr">
        <is>
          <t>Leopard 2A4 (Rh-120 L/44), M1A1 Abrams (M256 120 mm) — Xe tăng chủ lực pháo nòng trơn 120 mm, giáp phản ứng nổ</t>
        </is>
      </c>
      <c r="AA61" t="inlineStr"/>
      <c r="AB61" t="inlineStr"/>
      <c r="AC61" t="inlineStr"/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main_battle_tank; Tools/models/reference_real.json: units.main_battle_tank</t>
        </is>
      </c>
      <c r="AK61" t="inlineStr"/>
    </row>
    <row r="62">
      <c r="A62" t="inlineStr">
        <is>
          <t>mara_behemoth</t>
        </is>
      </c>
      <c r="B62" t="inlineStr">
        <is>
          <t>mara_behemoth</t>
        </is>
      </c>
      <c r="C62" t="inlineStr">
        <is>
          <t>{@mai}'s Behemoth · Behemoth đồng minh</t>
        </is>
      </c>
      <c r="D62" t="inlineStr">
        <is>
          <t>NEED_SOURCE</t>
        </is>
      </c>
      <c r="E62" t="inlineStr"/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có tham chiếu cho thực thể này (unit_refs.json, reference_real.json, bảng cân bằng)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Z62" t="inlineStr"/>
      <c r="AA62" t="inlineStr"/>
      <c r="AB62" t="inlineStr"/>
      <c r="AC62" t="inlineStr"/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mara_behemoth; Tools/models/reference_real.json: units.mara_behemoth</t>
        </is>
      </c>
      <c r="AK62" t="inlineStr"/>
    </row>
    <row r="63">
      <c r="A63" t="inlineStr">
        <is>
          <t>mine_layer</t>
        </is>
      </c>
      <c r="B63" t="inlineStr">
        <is>
          <t>mine_layer</t>
        </is>
      </c>
      <c r="C63" t="inlineStr">
        <is>
          <t>Xe rải mìn</t>
        </is>
      </c>
      <c r="D63" t="inlineStr">
        <is>
          <t>doi_that</t>
        </is>
      </c>
      <c r="E63" t="inlineStr">
        <is>
          <t>GMZ-3;MT-LB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Xe rải mìn bánh xích, máng thả mìn phía sau</t>
        </is>
      </c>
      <c r="L63" t="inlineStr"/>
      <c r="M63" t="inlineStr"/>
      <c r="N63" t="inlineStr"/>
      <c r="O63" t="inlineStr">
        <is>
          <t>ban_dau_doan</t>
        </is>
      </c>
      <c r="P63" t="inlineStr">
        <is>
          <t>R_unit_refs;R_reference_real;R_unit_sheet;R_machine_brigade_can_bang;R_mine_layer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GMZ-3</t>
        </is>
      </c>
      <c r="W63" t="inlineStr">
        <is>
          <t>none</t>
        </is>
      </c>
      <c r="X63" t="inlineStr">
        <is>
          <t>0,8 × GMZ-3</t>
        </is>
      </c>
      <c r="Y63" t="inlineStr">
        <is>
          <t>Xe rải mìn bánh xích, máng thả mìn phía sau</t>
        </is>
      </c>
      <c r="Z63" t="inlineStr">
        <is>
          <t>GMZ-3, MT-LB — Xe rải mìn bánh xích, máng thả mìn phía sau</t>
        </is>
      </c>
      <c r="AA63" t="inlineStr"/>
      <c r="AB63" t="inlineStr"/>
      <c r="AC63" t="inlineStr">
        <is>
          <t>Tools/blender/specs/mine_layer.json: real = GMZ-3 tracked minelayer; PKT 7.62 mm (commander's cupola; the def's hmg_selfdef_15); confidence = xấp xỉ (GMZ-3 published photographs)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mine_layer; Tools/models/reference_real.json: units.mine_layer</t>
        </is>
      </c>
      <c r="AK63" t="inlineStr"/>
    </row>
    <row r="64">
      <c r="A64" t="inlineStr">
        <is>
          <t>missile_boat</t>
        </is>
      </c>
      <c r="B64" t="inlineStr">
        <is>
          <t>missile_boat</t>
        </is>
      </c>
      <c r="C64" t="inlineStr">
        <is>
          <t>Xuồng tên lửa cao tốc</t>
        </is>
      </c>
      <c r="D64" t="inlineStr">
        <is>
          <t>doi_that</t>
        </is>
      </c>
      <c r="E64" t="inlineStr">
        <is>
          <t>tàu tấn công nhanh vỏ lướt 14 m;S-8 80 mm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Tàu tên lửa nhanh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R_unit_refs;R_missile_boat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Tàu tên lửa nhanh</t>
        </is>
      </c>
      <c r="Z64" t="inlineStr"/>
      <c r="AA64" t="inlineStr"/>
      <c r="AB64" t="inlineStr"/>
      <c r="AC64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missile_boat; Tools/models/reference_real.json: units.missile_boat</t>
        </is>
      </c>
      <c r="AK64" t="inlineStr"/>
    </row>
    <row r="65">
      <c r="A65" t="inlineStr">
        <is>
          <t>mlrs</t>
        </is>
      </c>
      <c r="B65" t="inlineStr">
        <is>
          <t>mlrs</t>
        </is>
      </c>
      <c r="C65" t="inlineStr">
        <is>
          <t>Pháo phản lực dẫn đường</t>
        </is>
      </c>
      <c r="D65" t="inlineStr">
        <is>
          <t>doi_that</t>
        </is>
      </c>
      <c r="E65" t="inlineStr">
        <is>
          <t>M142 HIMARS;M270 MLRS;M31 GMLRS 227 mm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Xe phóng rốc-két, nâng khối ống lên để bắn</t>
        </is>
      </c>
      <c r="L65" t="inlineStr"/>
      <c r="M65" t="inlineStr"/>
      <c r="N65" t="inlineStr"/>
      <c r="O65" t="inlineStr">
        <is>
          <t>da_kiem_chung</t>
        </is>
      </c>
      <c r="P65" t="inlineStr">
        <is>
          <t>R_unit_refs;R_reference_real;W_wikipedia_m142_himars;R_unit_sheet;R_machine_brigade_can_bang;R_mlrs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>
        <f>INDEX(xe_input_kich_thuoc_that!$B$2:$B$66,MATCH($B$65,xe_input_kich_thuoc_that!$A$2:$A$66,0))</f>
        <v/>
      </c>
      <c r="T65">
        <f>INDEX(xe_input_kich_thuoc_that!$C$2:$C$66,MATCH($B$65,xe_input_kich_thuoc_that!$A$2:$A$66,0))</f>
        <v/>
      </c>
      <c r="U65">
        <f>INDEX(xe_input_kich_thuoc_that!$D$2:$D$66,MATCH($B$65,xe_input_kich_thuoc_that!$A$2:$A$66,0))</f>
        <v/>
      </c>
      <c r="V65" t="inlineStr">
        <is>
          <t>M142 HIMARS</t>
        </is>
      </c>
      <c r="W65" t="inlineStr">
        <is>
          <t>high</t>
        </is>
      </c>
      <c r="X65" t="inlineStr">
        <is>
          <t>0,8 × M142 HIMARS</t>
        </is>
      </c>
      <c r="Y65" t="inlineStr">
        <is>
          <t>Xe phóng rốc-két, nâng khối ống lên để bắn</t>
        </is>
      </c>
      <c r="Z65" t="inlineStr">
        <is>
          <t>M142 HIMARS, M270 MLRS, M31 GMLRS 227 mm — Xe phóng rốc-két, nâng khối ống lên để bắn</t>
        </is>
      </c>
      <c r="AA65" t="inlineStr">
        <is>
          <t>HIMARS | HIMARS ~5 triệu USD mỗi bệ, rốc-két ~160 nghìn USD/quả</t>
        </is>
      </c>
      <c r="AB65" t="inlineStr"/>
      <c r="AC65" t="inlineStr">
        <is>
          <t>Tools/blender/specs/mlrs.json: real = M142 HIMARS (0.8 x); M31 GMLRS 227 mm; M2 Browning 12.7 mm; confidence = tham_khao_thuc (M142 layout: FMTV 6x6, LSAC cab, one six-round pod)</t>
        </is>
      </c>
      <c r="AD65" t="inlineStr">
        <is>
          <t>NEED_SOURCE</t>
        </is>
      </c>
      <c r="AE65" t="inlineStr">
        <is>
          <t>NEED_SOURCE</t>
        </is>
      </c>
      <c r="AF65" t="inlineStr">
        <is>
          <t>NEED_SOURCE</t>
        </is>
      </c>
      <c r="AG65" t="inlineStr">
        <is>
          <t>NEED_SOURCE</t>
        </is>
      </c>
      <c r="AH65" t="inlineStr">
        <is>
          <t>NEED_SOURCE</t>
        </is>
      </c>
      <c r="AI65" t="inlineStr">
        <is>
          <t>NEED_SOURCE</t>
        </is>
      </c>
      <c r="AJ65" t="inlineStr">
        <is>
          <t>Tools/docs/unit_refs.json: mlrs; Tools/models/reference_real.json: units.mlrs</t>
        </is>
      </c>
      <c r="AK65" t="inlineStr"/>
    </row>
    <row r="66">
      <c r="A66" t="inlineStr">
        <is>
          <t>moab</t>
        </is>
      </c>
      <c r="B66" t="inlineStr">
        <is>
          <t>moab</t>
        </is>
      </c>
      <c r="C66" t="inlineStr">
        <is>
          <t>Bom MOAB</t>
        </is>
      </c>
      <c r="D66" t="inlineStr">
        <is>
          <t>NEED_SOURCE</t>
        </is>
      </c>
      <c r="E66" t="inlineStr"/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có tham chiếu cho thực thể này (unit_refs.json, reference_real.json, bảng cân bằng)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/>
      <c r="T66" t="inlineStr"/>
      <c r="U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>
        <is>
          <t>Tools/docs/unit_refs.json: moab; Tools/models/reference_real.json: units.moab</t>
        </is>
      </c>
      <c r="AK66" t="inlineStr"/>
    </row>
    <row r="67">
      <c r="A67" t="inlineStr">
        <is>
          <t>mortar_carrier</t>
        </is>
      </c>
      <c r="B67" t="inlineStr">
        <is>
          <t>mortar_carrier</t>
        </is>
      </c>
      <c r="C67" t="inlineStr">
        <is>
          <t>Xe cối tự hành</t>
        </is>
      </c>
      <c r="D67" t="inlineStr">
        <is>
          <t>doi_that</t>
        </is>
      </c>
      <c r="E67" t="inlineStr">
        <is>
          <t>M1064 (M113 mang cối 120 mm);2B11 120 mm</t>
        </is>
      </c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>
        <is>
          <t>Xe bọc thép M113 bắn cối qua cửa nóc</t>
        </is>
      </c>
      <c r="L67" t="inlineStr"/>
      <c r="M67" t="inlineStr"/>
      <c r="N67" t="inlineStr"/>
      <c r="O67" t="inlineStr">
        <is>
          <t>da_kiem_chung</t>
        </is>
      </c>
      <c r="P67" t="inlineStr">
        <is>
          <t>R_unit_refs;R_reference_real;W_wikipedia_m113_armored_personnel_carrier;R_unit_sheet;R_machine_brigade_can_bang;R_mortar_carrier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>
        <f>INDEX(xe_input_kich_thuoc_that!$B$2:$B$66,MATCH($B$67,xe_input_kich_thuoc_that!$A$2:$A$66,0))</f>
        <v/>
      </c>
      <c r="T67">
        <f>INDEX(xe_input_kich_thuoc_that!$C$2:$C$66,MATCH($B$67,xe_input_kich_thuoc_that!$A$2:$A$66,0))</f>
        <v/>
      </c>
      <c r="U67">
        <f>INDEX(xe_input_kich_thuoc_that!$D$2:$D$66,MATCH($B$67,xe_input_kich_thuoc_that!$A$2:$A$66,0))</f>
        <v/>
      </c>
      <c r="V67" t="inlineStr">
        <is>
          <t>M1064 (M113A3 hull)</t>
        </is>
      </c>
      <c r="W67" t="inlineStr">
        <is>
          <t>high</t>
        </is>
      </c>
      <c r="X67" t="inlineStr">
        <is>
          <t>0,8 × M1064 (M113</t>
        </is>
      </c>
      <c r="Y67" t="inlineStr">
        <is>
          <t>Xe bọc thép M113 bắn cối qua cửa nóc</t>
        </is>
      </c>
      <c r="Z67" t="inlineStr">
        <is>
          <t>M1064 (M113 mang cối 120 mm), 2B11 120 mm — Xe bọc thép M113 bắn cối qua cửa nóc</t>
        </is>
      </c>
      <c r="AA67" t="inlineStr">
        <is>
          <t>2B11: 15 phát/phút</t>
        </is>
      </c>
      <c r="AB67" t="inlineStr"/>
      <c r="AC67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67" t="inlineStr">
        <is>
          <t>NEED_SOURCE</t>
        </is>
      </c>
      <c r="AE67" t="inlineStr">
        <is>
          <t>NEED_SOURCE</t>
        </is>
      </c>
      <c r="AF67" t="inlineStr">
        <is>
          <t>NEED_SOURCE</t>
        </is>
      </c>
      <c r="AG67" t="inlineStr">
        <is>
          <t>NEED_SOURCE</t>
        </is>
      </c>
      <c r="AH67" t="inlineStr">
        <is>
          <t>NEED_SOURCE</t>
        </is>
      </c>
      <c r="AI67" t="inlineStr">
        <is>
          <t>NEED_SOURCE</t>
        </is>
      </c>
      <c r="AJ67" t="inlineStr">
        <is>
          <t>Tools/docs/unit_refs.json: mortar_carrier; Tools/models/reference_real.json: units.mortar_carrier</t>
        </is>
      </c>
      <c r="AK67" t="inlineStr"/>
    </row>
    <row r="68">
      <c r="A68" t="inlineStr">
        <is>
          <t>napalm_strike</t>
        </is>
      </c>
      <c r="B68" t="inlineStr">
        <is>
          <t>napalm_strike</t>
        </is>
      </c>
      <c r="C68" t="inlineStr">
        <is>
          <t>Bom napalm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/>
      <c r="T68" t="inlineStr"/>
      <c r="U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>
        <is>
          <t>Tools/docs/unit_refs.json: napalm_strike; Tools/models/reference_real.json: units.napalm_strike</t>
        </is>
      </c>
      <c r="AK68" t="inlineStr"/>
    </row>
    <row r="69">
      <c r="A69" t="inlineStr">
        <is>
          <t>next_gen_tank</t>
        </is>
      </c>
      <c r="B69" t="inlineStr">
        <is>
          <t>next_gen_tank</t>
        </is>
      </c>
      <c r="C69" t="inlineStr">
        <is>
          <t>Tăng thế hệ mới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>
        <is>
          <t>R_reference_real;W_wikipedia_leopard_2;R_next_gen_tank</t>
        </is>
      </c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>
        <f>INDEX(xe_input_kich_thuoc_that!$B$2:$B$66,MATCH($B$69,xe_input_kich_thuoc_that!$A$2:$A$66,0))</f>
        <v/>
      </c>
      <c r="T69">
        <f>INDEX(xe_input_kich_thuoc_that!$C$2:$C$66,MATCH($B$69,xe_input_kich_thuoc_that!$A$2:$A$66,0))</f>
        <v/>
      </c>
      <c r="U69">
        <f>INDEX(xe_input_kich_thuoc_that!$D$2:$D$66,MATCH($B$69,xe_input_kich_thuoc_that!$A$2:$A$66,0))</f>
        <v/>
      </c>
      <c r="V69" t="inlineStr">
        <is>
          <t>Leopard 2A4 (same frame as the MBT)</t>
        </is>
      </c>
      <c r="W69" t="inlineStr">
        <is>
          <t>approx</t>
        </is>
      </c>
      <c r="Z69" t="inlineStr"/>
      <c r="AA69" t="inlineStr"/>
      <c r="AB69" t="inlineStr"/>
      <c r="AC69" t="inlineStr">
        <is>
          <t>Tools/blender/specs/next_gen_tank.json: real = T-14 Armata (2A82-1M 125 mm, coax PKTM, 12.7 mm Kord RWS, Afghanit APS); confidence = xấp xỉ (published layout and dimensions)</t>
        </is>
      </c>
      <c r="AD69" t="inlineStr">
        <is>
          <t>NEED_SOURCE</t>
        </is>
      </c>
      <c r="AE69" t="inlineStr">
        <is>
          <t>NEED_SOURCE</t>
        </is>
      </c>
      <c r="AF69" t="inlineStr">
        <is>
          <t>NEED_SOURCE</t>
        </is>
      </c>
      <c r="AG69" t="inlineStr">
        <is>
          <t>NEED_SOURCE</t>
        </is>
      </c>
      <c r="AH69" t="inlineStr">
        <is>
          <t>NEED_SOURCE</t>
        </is>
      </c>
      <c r="AI69" t="inlineStr">
        <is>
          <t>NEED_SOURCE</t>
        </is>
      </c>
      <c r="AJ69" t="inlineStr">
        <is>
          <t>Tools/docs/unit_refs.json: next_gen_tank; Tools/models/reference_real.json: units.next_gen_tank</t>
        </is>
      </c>
      <c r="AK69" t="inlineStr"/>
    </row>
    <row r="70">
      <c r="A70" t="inlineStr">
        <is>
          <t>pod_drop</t>
        </is>
      </c>
      <c r="B70" t="inlineStr">
        <is>
          <t>pod_drop</t>
        </is>
      </c>
      <c r="C70" t="inlineStr">
        <is>
          <t>Khoang đổ bộ</t>
        </is>
      </c>
      <c r="D70" t="inlineStr">
        <is>
          <t>NEED_SOURCE</t>
        </is>
      </c>
      <c r="E70" t="inlineStr"/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có tham chiếu cho thực thể này (unit_refs.json, reference_real.json, bảng cân bằng)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/>
      <c r="T70" t="inlineStr"/>
      <c r="U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/>
      <c r="AJ70" t="inlineStr">
        <is>
          <t>Tools/docs/unit_refs.json: pod_drop; Tools/models/reference_real.json: units.pod_drop</t>
        </is>
      </c>
      <c r="AK70" t="inlineStr"/>
    </row>
    <row r="71">
      <c r="A71" t="inlineStr">
        <is>
          <t>railgun_truck</t>
        </is>
      </c>
      <c r="B71" t="inlineStr">
        <is>
          <t>railgun_truck</t>
        </is>
      </c>
      <c r="C71" t="inlineStr">
        <is>
          <t>Xe pháo điện từ</t>
        </is>
      </c>
      <c r="D71" t="inlineStr">
        <is>
          <t>doi_that</t>
        </is>
      </c>
      <c r="E71" t="inlineStr">
        <is>
          <t>ATLA railgun (Nhật Bản);US Navy EMRG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Xe tải 8x8 mang pháo điện từ ray kép</t>
        </is>
      </c>
      <c r="L71" t="inlineStr"/>
      <c r="M71" t="inlineStr">
        <is>
          <t>gia_tuong</t>
        </is>
      </c>
      <c r="N71" t="inlineStr"/>
      <c r="O71" t="inlineStr">
        <is>
          <t>ban_dau_doan</t>
        </is>
      </c>
      <c r="P71" t="inlineStr">
        <is>
          <t>R_unit_refs;R_reference_real;R_machine_brigade_can_bang;R_railgun_truck</t>
        </is>
      </c>
      <c r="Q71" t="inlineStr">
        <is>
          <t>reference_real.json: fictional mount (mẫu 'EM railgun on an 8x8', thiết kế giả tưởng)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V71" t="inlineStr">
        <is>
          <t>EM railgun on an 8x8</t>
        </is>
      </c>
      <c r="W71" t="inlineStr">
        <is>
          <t>inspiration</t>
        </is>
      </c>
      <c r="Y71" t="inlineStr">
        <is>
          <t>Xe tải 8x8 mang pháo điện từ ray kép</t>
        </is>
      </c>
      <c r="Z71" t="inlineStr">
        <is>
          <t>ATLA railgun (Nhật Bản), US Navy EMRG — Xe tải 8x8 mang pháo điện từ ray kép</t>
        </is>
      </c>
      <c r="AA71" t="inlineStr">
        <is>
          <t>(giả tưởng gần: EMRG)</t>
        </is>
      </c>
      <c r="AB71" t="inlineStr"/>
      <c r="AC71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railgun_truck; Tools/models/reference_real.json: units.railgun_truck</t>
        </is>
      </c>
      <c r="AK71" t="inlineStr"/>
    </row>
    <row r="72">
      <c r="A72" t="inlineStr">
        <is>
          <t>recoilless_jeep</t>
        </is>
      </c>
      <c r="B72" t="inlineStr">
        <is>
          <t>recoilless_jeep</t>
        </is>
      </c>
      <c r="C72" t="inlineStr">
        <is>
          <t>Xe jeep súng không giật</t>
        </is>
      </c>
      <c r="D72" t="inlineStr">
        <is>
          <t>NEED_SOURCE</t>
        </is>
      </c>
      <c r="E72" t="inlineStr"/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>
        <is>
          <t>R_recoilless_jeep</t>
        </is>
      </c>
      <c r="Q72" t="inlineStr">
        <is>
          <t>repo không có tham chiếu cho thực thể này (unit_refs.json, reference_real.json, bảng cân bằng)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Z72" t="inlineStr"/>
      <c r="AA72" t="inlineStr"/>
      <c r="AB72" t="inlineStr"/>
      <c r="AC72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recoilless_jeep; Tools/models/reference_real.json: units.recoilless_jeep</t>
        </is>
      </c>
      <c r="AK72" t="inlineStr"/>
    </row>
    <row r="73">
      <c r="A73" t="inlineStr">
        <is>
          <t>recon_drone</t>
        </is>
      </c>
      <c r="B73" t="inlineStr">
        <is>
          <t>recon_drone</t>
        </is>
      </c>
      <c r="C73" t="inlineStr">
        <is>
          <t>UAV trinh sát</t>
        </is>
      </c>
      <c r="D73" t="inlineStr">
        <is>
          <t>doi_that</t>
        </is>
      </c>
      <c r="E73" t="inlineStr">
        <is>
          <t>Bayraktar TB2;MAM-L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Drone trinh sát tầm trung, đuôi chữ V ngược</t>
        </is>
      </c>
      <c r="L73" t="inlineStr"/>
      <c r="M73" t="inlineStr"/>
      <c r="N73" t="inlineStr"/>
      <c r="O73" t="inlineStr">
        <is>
          <t>da_kiem_chung</t>
        </is>
      </c>
      <c r="P73" t="inlineStr">
        <is>
          <t>R_unit_refs;R_reference_real;W_wikipedia_baykar_bayraktar_tb2;R_unit_sheet;R_machine_brigade_can_bang;R_recon_drone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>
        <f>INDEX(xe_input_kich_thuoc_that!$B$2:$B$66,MATCH($B$73,xe_input_kich_thuoc_that!$A$2:$A$66,0))</f>
        <v/>
      </c>
      <c r="T73">
        <f>INDEX(xe_input_kich_thuoc_that!$C$2:$C$66,MATCH($B$73,xe_input_kich_thuoc_that!$A$2:$A$66,0))</f>
        <v/>
      </c>
      <c r="U73">
        <f>INDEX(xe_input_kich_thuoc_that!$D$2:$D$66,MATCH($B$73,xe_input_kich_thuoc_that!$A$2:$A$66,0))</f>
        <v/>
      </c>
      <c r="V73" t="inlineStr">
        <is>
          <t>Bayraktar TB2</t>
        </is>
      </c>
      <c r="W73" t="inlineStr">
        <is>
          <t>high</t>
        </is>
      </c>
      <c r="X73" t="inlineStr">
        <is>
          <t>0,4 × Bayraktar TB2</t>
        </is>
      </c>
      <c r="Y73" t="inlineStr">
        <is>
          <t>Drone trinh sát tầm trung, đuôi chữ V ngược</t>
        </is>
      </c>
      <c r="Z73" t="inlineStr">
        <is>
          <t>Bayraktar TB2, MAM-L — Drone trinh sát tầm trung, đuôi chữ V ngược</t>
        </is>
      </c>
      <c r="AA73" t="inlineStr"/>
      <c r="AB73" t="inlineStr"/>
      <c r="AC73" t="inlineStr">
        <is>
          <t>Tools/blender/specs/recon_drone.json: real = Bayraktar TB2; MAM-L; confidence = xấp xỉ (TB2 published photographs; flying, gear not drawn: the def's height 0.48 m)</t>
        </is>
      </c>
      <c r="AD73" t="inlineStr">
        <is>
          <t>NEED_SOURCE</t>
        </is>
      </c>
      <c r="AE73" t="inlineStr">
        <is>
          <t>NEED_SOURCE</t>
        </is>
      </c>
      <c r="AF73" t="inlineStr">
        <is>
          <t>NEED_SOURCE</t>
        </is>
      </c>
      <c r="AG73" t="inlineStr">
        <is>
          <t>NEED_SOURCE</t>
        </is>
      </c>
      <c r="AH73" t="inlineStr">
        <is>
          <t>NEED_SOURCE</t>
        </is>
      </c>
      <c r="AI73" t="inlineStr">
        <is>
          <t>NEED_SOURCE</t>
        </is>
      </c>
      <c r="AJ73" t="inlineStr">
        <is>
          <t>Tools/docs/unit_refs.json: recon_drone; Tools/models/reference_real.json: units.recon_drone</t>
        </is>
      </c>
      <c r="AK73" t="inlineStr"/>
    </row>
    <row r="74">
      <c r="A74" t="inlineStr">
        <is>
          <t>reinforcements</t>
        </is>
      </c>
      <c r="B74" t="inlineStr">
        <is>
          <t>reinforcements</t>
        </is>
      </c>
      <c r="C74" t="inlineStr">
        <is>
          <t>Tiếp viện thả dù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/>
      <c r="T74" t="inlineStr"/>
      <c r="U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/>
      <c r="AJ74" t="inlineStr">
        <is>
          <t>Tools/docs/unit_refs.json: reinforcements; Tools/models/reference_real.json: units.reinforcements</t>
        </is>
      </c>
      <c r="AK74" t="inlineStr"/>
    </row>
    <row r="75">
      <c r="A75" t="inlineStr">
        <is>
          <t>remote_mines</t>
        </is>
      </c>
      <c r="B75" t="inlineStr">
        <is>
          <t>remote_mines</t>
        </is>
      </c>
      <c r="C75" t="inlineStr">
        <is>
          <t>Mìn rải từ xa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/>
      <c r="T75" t="inlineStr"/>
      <c r="U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/>
      <c r="AJ75" t="inlineStr">
        <is>
          <t>Tools/docs/unit_refs.json: remote_mines; Tools/models/reference_real.json: units.remote_mines</t>
        </is>
      </c>
      <c r="AK75" t="inlineStr"/>
    </row>
    <row r="76">
      <c r="A76" t="inlineStr">
        <is>
          <t>repair_drop</t>
        </is>
      </c>
      <c r="B76" t="inlineStr">
        <is>
          <t>repair_drop</t>
        </is>
      </c>
      <c r="C76" t="inlineStr">
        <is>
          <t>Sửa chữa</t>
        </is>
      </c>
      <c r="D76" t="inlineStr">
        <is>
          <t>NEED_SOURCE</t>
        </is>
      </c>
      <c r="E76" t="inlineStr"/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có tham chiếu cho thực thể này (unit_refs.json, reference_real.json, bảng cân bằng)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/>
      <c r="T76" t="inlineStr"/>
      <c r="U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/>
      <c r="AJ76" t="inlineStr">
        <is>
          <t>Tools/docs/unit_refs.json: repair_drop; Tools/models/reference_real.json: units.repair_drop</t>
        </is>
      </c>
      <c r="AK76" t="inlineStr"/>
    </row>
    <row r="77">
      <c r="A77" t="inlineStr">
        <is>
          <t>river_gunboat</t>
        </is>
      </c>
      <c r="B77" t="inlineStr">
        <is>
          <t>river_gunboat</t>
        </is>
      </c>
      <c r="C77" t="inlineStr">
        <is>
          <t>Pháo hạm sông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R_river_gunboat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river_gunboat; Tools/models/reference_real.json: units.river_gunboat</t>
        </is>
      </c>
      <c r="AK77" t="inlineStr"/>
    </row>
    <row r="78">
      <c r="A78" t="inlineStr">
        <is>
          <t>river_patrol_boat</t>
        </is>
      </c>
      <c r="B78" t="inlineStr">
        <is>
          <t>river_patrol_boat</t>
        </is>
      </c>
      <c r="C78" t="inlineStr">
        <is>
          <t>Tàu tuần tra sông</t>
        </is>
      </c>
      <c r="D78" t="inlineStr">
        <is>
          <t>NEED_SOURCE</t>
        </is>
      </c>
      <c r="E78" t="inlineStr"/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>
        <is>
          <t>R_river_patrol_boat</t>
        </is>
      </c>
      <c r="Q78" t="inlineStr">
        <is>
          <t>repo không có tham chiếu cho thực thể này (unit_refs.json, reference_real.json, bảng cân bằng)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Z78" t="inlineStr"/>
      <c r="AA78" t="inlineStr"/>
      <c r="AB78" t="inlineStr"/>
      <c r="AC78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river_patrol_boat; Tools/models/reference_real.json: units.river_patrol_boat</t>
        </is>
      </c>
      <c r="AK78" t="inlineStr"/>
    </row>
    <row r="79">
      <c r="A79" t="inlineStr">
        <is>
          <t>rocket_technical</t>
        </is>
      </c>
      <c r="B79" t="inlineStr">
        <is>
          <t>rocket_technical</t>
        </is>
      </c>
      <c r="C79" t="inlineStr">
        <is>
          <t>Bán tải rốc-két</t>
        </is>
      </c>
      <c r="D79" t="inlineStr">
        <is>
          <t>doi_that</t>
        </is>
      </c>
      <c r="E79" t="inlineStr">
        <is>
          <t>Toyota Hilux 'technical';Type 63 107 mm</t>
        </is>
      </c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>
        <is>
          <t>Xe bán tải dân sự gắn giàn rốc-két 12 ống</t>
        </is>
      </c>
      <c r="L79" t="inlineStr"/>
      <c r="M79" t="inlineStr"/>
      <c r="N79" t="inlineStr"/>
      <c r="O79" t="inlineStr">
        <is>
          <t>uoc_dinh</t>
        </is>
      </c>
      <c r="P79" t="inlineStr">
        <is>
          <t>R_unit_refs;R_reference_real;D_toyota_hilux_an10_an20_specifications;R_unit_sheet;R_machine_brigade_can_bang;R_rocket_technical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>
        <f>INDEX(xe_input_kich_thuoc_that!$B$2:$B$66,MATCH($B$79,xe_input_kich_thuoc_that!$A$2:$A$66,0))</f>
        <v/>
      </c>
      <c r="T79">
        <f>INDEX(xe_input_kich_thuoc_that!$C$2:$C$66,MATCH($B$79,xe_input_kich_thuoc_that!$A$2:$A$66,0))</f>
        <v/>
      </c>
      <c r="U79">
        <f>INDEX(xe_input_kich_thuoc_that!$D$2:$D$66,MATCH($B$79,xe_input_kich_thuoc_that!$A$2:$A$66,0))</f>
        <v/>
      </c>
      <c r="V79" t="inlineStr">
        <is>
          <t>Toyota Hilux (7th gen, double cab)</t>
        </is>
      </c>
      <c r="W79" t="inlineStr">
        <is>
          <t>approx</t>
        </is>
      </c>
      <c r="X79" t="inlineStr">
        <is>
          <t>0,8 × Toyota Hilux + Type 63</t>
        </is>
      </c>
      <c r="Y79" t="inlineStr">
        <is>
          <t>Xe bán tải dân sự gắn giàn rốc-két 12 ống</t>
        </is>
      </c>
      <c r="Z79" t="inlineStr">
        <is>
          <t>Toyota Hilux 'technical', Type 63 107 mm — Xe bán tải dân sự gắn giàn rốc-két 12 ống</t>
        </is>
      </c>
      <c r="AA79" t="inlineStr"/>
      <c r="AB79" t="inlineStr"/>
      <c r="AC79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rocket_technical; Tools/models/reference_real.json: units.rocket_technical</t>
        </is>
      </c>
      <c r="AK79" t="inlineStr"/>
    </row>
    <row r="80">
      <c r="A80" t="inlineStr">
        <is>
          <t>sam_launcher</t>
        </is>
      </c>
      <c r="B80" t="inlineStr">
        <is>
          <t>sam_launcher</t>
        </is>
      </c>
      <c r="C80" t="inlineStr">
        <is>
          <t>Xe tên lửa phòng không tầm trung</t>
        </is>
      </c>
      <c r="D80" t="inlineStr">
        <is>
          <t>doi_that</t>
        </is>
      </c>
      <c r="E80" t="inlineStr">
        <is>
          <t>9K37 Buk (9A310);9M317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Bệ phóng tên lửa phòng không bánh xích, ray hướng lên mục tiêu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R_unit_refs;R_reference_real;D_army_recognition_buk_m1_2;R_unit_sheet;R_machine_brigade_can_bang;R_sam_launcher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9A310M1 Buk TELAR</t>
        </is>
      </c>
      <c r="W80" t="inlineStr">
        <is>
          <t>approx</t>
        </is>
      </c>
      <c r="X80" t="inlineStr">
        <is>
          <t>0,8 × 9A310 Buk TELAR</t>
        </is>
      </c>
      <c r="Y80" t="inlineStr">
        <is>
          <t>Bệ phóng tên lửa phòng không bánh xích, ray hướng lên mục tiêu</t>
        </is>
      </c>
      <c r="Z80" t="inlineStr">
        <is>
          <t>9K37 Buk (9A310), 9M317 — Bệ phóng tên lửa phòng không bánh xích, ray hướng lên mục tiêu</t>
        </is>
      </c>
      <c r="AA80" t="inlineStr">
        <is>
          <t>Buk TELAR ~10–15 triệu USD | 9M317: Mach 4 | 9A310</t>
        </is>
      </c>
      <c r="AB80" t="inlineStr"/>
      <c r="AC80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sam_launcher; Tools/models/reference_real.json: units.sam_launcher</t>
        </is>
      </c>
      <c r="AK80" t="inlineStr"/>
    </row>
    <row r="81">
      <c r="A81" t="inlineStr">
        <is>
          <t>scout_heli</t>
        </is>
      </c>
      <c r="B81" t="inlineStr">
        <is>
          <t>scout_heli</t>
        </is>
      </c>
      <c r="C81" t="inlineStr">
        <is>
          <t>Trực thăng trinh sát vũ trang</t>
        </is>
      </c>
      <c r="D81" t="inlineStr">
        <is>
          <t>doi_that</t>
        </is>
      </c>
      <c r="E81" t="inlineStr">
        <is>
          <t>MH-6 / AH-6 Little Bird;M134 Minigun</t>
        </is>
      </c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>
        <is>
          <t>Trực thăng trinh sát nhẹ, ca-bin hình quả trứng</t>
        </is>
      </c>
      <c r="L81" t="inlineStr"/>
      <c r="M81" t="inlineStr"/>
      <c r="N81" t="inlineStr"/>
      <c r="O81" t="inlineStr">
        <is>
          <t>uoc_dinh</t>
        </is>
      </c>
      <c r="P81" t="inlineStr">
        <is>
          <t>R_unit_refs;R_reference_real;W_wikipedia_md_helicopters_mh_6_little_bird;R_unit_sheet;R_machine_brigade_can_bang;R_scout_heli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>
        <f>INDEX(xe_input_kich_thuoc_that!$B$2:$B$66,MATCH($B$81,xe_input_kich_thuoc_that!$A$2:$A$66,0))</f>
        <v/>
      </c>
      <c r="T81">
        <f>INDEX(xe_input_kich_thuoc_that!$C$2:$C$66,MATCH($B$81,xe_input_kich_thuoc_that!$A$2:$A$66,0))</f>
        <v/>
      </c>
      <c r="U81">
        <f>INDEX(xe_input_kich_thuoc_that!$D$2:$D$66,MATCH($B$81,xe_input_kich_thuoc_that!$A$2:$A$66,0))</f>
        <v/>
      </c>
      <c r="V81" t="inlineStr">
        <is>
          <t>MH-6 Little Bird</t>
        </is>
      </c>
      <c r="W81" t="inlineStr">
        <is>
          <t>approx</t>
        </is>
      </c>
      <c r="X81" t="inlineStr">
        <is>
          <t>0,4 × MH-6 Little Bird</t>
        </is>
      </c>
      <c r="Y81" t="inlineStr">
        <is>
          <t>Trực thăng trinh sát nhẹ, ca-bin hình quả trứng</t>
        </is>
      </c>
      <c r="Z81" t="inlineStr">
        <is>
          <t>MH-6 / AH-6 Little Bird, M134 Minigun — Trực thăng trinh sát nhẹ, ca-bin hình quả trứng</t>
        </is>
      </c>
      <c r="AA81" t="inlineStr">
        <is>
          <t>MH-6 Little Bird ~5 triệu USD | AH-6: 2 ống 7 quả Hydra</t>
        </is>
      </c>
      <c r="AB81" t="inlineStr"/>
      <c r="AC81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81" t="inlineStr">
        <is>
          <t>NEED_SOURCE</t>
        </is>
      </c>
      <c r="AE81" t="inlineStr">
        <is>
          <t>NEED_SOURCE</t>
        </is>
      </c>
      <c r="AF81" t="inlineStr">
        <is>
          <t>NEED_SOURCE</t>
        </is>
      </c>
      <c r="AG81" t="inlineStr">
        <is>
          <t>NEED_SOURCE</t>
        </is>
      </c>
      <c r="AH81" t="inlineStr">
        <is>
          <t>NEED_SOURCE</t>
        </is>
      </c>
      <c r="AI81" t="inlineStr">
        <is>
          <t>NEED_SOURCE</t>
        </is>
      </c>
      <c r="AJ81" t="inlineStr">
        <is>
          <t>Tools/docs/unit_refs.json: scout_heli; Tools/models/reference_real.json: units.scout_heli</t>
        </is>
      </c>
      <c r="AK81" t="inlineStr"/>
    </row>
    <row r="82">
      <c r="A82" t="inlineStr">
        <is>
          <t>scout_jeep</t>
        </is>
      </c>
      <c r="B82" t="inlineStr">
        <is>
          <t>scout_jeep</t>
        </is>
      </c>
      <c r="C82" t="inlineStr">
        <is>
          <t>Xe trinh sát hạng nhẹ</t>
        </is>
      </c>
      <c r="D82" t="inlineStr">
        <is>
          <t>doi_that</t>
        </is>
      </c>
      <c r="E82" t="inlineStr">
        <is>
          <t>M151 MUTT;Land Rover WMIK;M2 Browning 12,7 mm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xe trinh sát 4x4 mui trần gắn súng máy trên chốt</t>
        </is>
      </c>
      <c r="L82" t="inlineStr"/>
      <c r="M82" t="inlineStr"/>
      <c r="N82" t="inlineStr"/>
      <c r="O82" t="inlineStr">
        <is>
          <t>uoc_dinh</t>
        </is>
      </c>
      <c r="P82" t="inlineStr">
        <is>
          <t>R_unit_refs;R_reference_real;W_wikipedia_m151_mutt;R_unit_sheet;R_machine_brigade_can_bang;R_scout_jeep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>
        <f>INDEX(xe_input_kich_thuoc_that!$B$2:$B$66,MATCH($B$82,xe_input_kich_thuoc_that!$A$2:$A$66,0))</f>
        <v/>
      </c>
      <c r="T82">
        <f>INDEX(xe_input_kich_thuoc_that!$C$2:$C$66,MATCH($B$82,xe_input_kich_thuoc_that!$A$2:$A$66,0))</f>
        <v/>
      </c>
      <c r="U82">
        <f>INDEX(xe_input_kich_thuoc_that!$D$2:$D$66,MATCH($B$82,xe_input_kich_thuoc_that!$A$2:$A$66,0))</f>
        <v/>
      </c>
      <c r="V82" t="inlineStr">
        <is>
          <t>M151A2 MUTT</t>
        </is>
      </c>
      <c r="W82" t="inlineStr">
        <is>
          <t>high</t>
        </is>
      </c>
      <c r="X82" t="inlineStr">
        <is>
          <t>0,8 × M151 / LRV</t>
        </is>
      </c>
      <c r="Y82" t="inlineStr">
        <is>
          <t>ước đoán: xe trinh sát 4x4 mui trần gắn súng máy trên chốt</t>
        </is>
      </c>
      <c r="Z82" t="inlineStr">
        <is>
          <t>M151 MUTT, Land Rover WMIK, M2 Browning 12,7 mm — ước đoán: xe trinh sát 4x4 mui trần gắn súng máy trên chốt</t>
        </is>
      </c>
      <c r="AA82" t="inlineStr">
        <is>
          <t>Fennek / LRV có cột quan sát và kính nhiệt | Fennek; Wargame (đơn vị trinh sát ẩn khi đứng yên)</t>
        </is>
      </c>
      <c r="AB82" t="inlineStr"/>
      <c r="AC82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scout_jeep; Tools/models/reference_real.json: units.scout_jeep</t>
        </is>
      </c>
      <c r="AK82" t="inlineStr"/>
    </row>
    <row r="83">
      <c r="A83" t="inlineStr">
        <is>
          <t>sea_corvette</t>
        </is>
      </c>
      <c r="B83" t="inlineStr">
        <is>
          <t>sea_corvette</t>
        </is>
      </c>
      <c r="C83" t="inlineStr">
        <is>
          <t>Tàu hộ vệ</t>
        </is>
      </c>
      <c r="D83" t="inlineStr">
        <is>
          <t>doi_that</t>
        </is>
      </c>
      <c r="E83" t="inlineStr">
        <is>
          <t>OTO Melara 76/62;AK-630</t>
        </is>
      </c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>
        <is>
          <t>Tàu hộ tống 30 m</t>
        </is>
      </c>
      <c r="L83" t="inlineStr"/>
      <c r="M83" t="inlineStr"/>
      <c r="N83" t="inlineStr"/>
      <c r="O83" t="inlineStr">
        <is>
          <t>ban_dau_doan</t>
        </is>
      </c>
      <c r="P83" t="inlineStr">
        <is>
          <t>R_unit_refs;R_sea_corvette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NEED_SOURCE</t>
        </is>
      </c>
      <c r="T83" t="inlineStr">
        <is>
          <t>NEED_SOURCE</t>
        </is>
      </c>
      <c r="U83" t="inlineStr">
        <is>
          <t>NEED_SOURCE</t>
        </is>
      </c>
      <c r="Y83" t="inlineStr">
        <is>
          <t>Tàu hộ tống 30 m</t>
        </is>
      </c>
      <c r="Z83" t="inlineStr"/>
      <c r="AA83" t="inlineStr"/>
      <c r="AB83" t="inlineStr"/>
      <c r="AC83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sea_corvette; Tools/models/reference_real.json: units.sea_corvette</t>
        </is>
      </c>
      <c r="AK83" t="inlineStr"/>
    </row>
    <row r="84">
      <c r="A84" t="inlineStr">
        <is>
          <t>sea_cruiser</t>
        </is>
      </c>
      <c r="B84" t="inlineStr">
        <is>
          <t>sea_cruiser</t>
        </is>
      </c>
      <c r="C84" t="inlineStr">
        <is>
          <t>Tuần dương hạm tên lửa</t>
        </is>
      </c>
      <c r="D84" t="inlineStr">
        <is>
          <t>doi_that</t>
        </is>
      </c>
      <c r="E84" t="inlineStr">
        <is>
          <t>Kirov-class;Iowa-class (cải tiến tên lửa);Mk 71 203 mm</t>
        </is>
      </c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>
        <is>
          <t>Leviathan đời đầu, nay là tuần dương hạm tên lửa của hạm đội</t>
        </is>
      </c>
      <c r="L84" t="inlineStr"/>
      <c r="M84" t="inlineStr"/>
      <c r="N84" t="inlineStr"/>
      <c r="O84" t="inlineStr">
        <is>
          <t>da_kiem_chung</t>
        </is>
      </c>
      <c r="P84" t="inlineStr">
        <is>
          <t>R_unit_refs;R_reference_real;W_wikipedia_kirov_class_battlecruiser;R_sea_cruiser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>
        <f>INDEX(xe_input_kich_thuoc_that!$B$2:$B$66,MATCH($B$84,xe_input_kich_thuoc_that!$A$2:$A$66,0))</f>
        <v/>
      </c>
      <c r="T84">
        <f>INDEX(xe_input_kich_thuoc_that!$C$2:$C$66,MATCH($B$84,xe_input_kich_thuoc_that!$A$2:$A$66,0))</f>
        <v/>
      </c>
      <c r="U84" t="inlineStr">
        <is>
          <t>NEED_SOURCE</t>
        </is>
      </c>
      <c r="V84" t="inlineStr">
        <is>
          <t>Kirov-class battlecruiser</t>
        </is>
      </c>
      <c r="W84" t="inlineStr">
        <is>
          <t>high</t>
        </is>
      </c>
      <c r="Y84" t="inlineStr">
        <is>
          <t>Leviathan đời đầu, nay là tuần dương hạm tên lửa của hạm đội</t>
        </is>
      </c>
      <c r="Z84" t="inlineStr"/>
      <c r="AA84" t="inlineStr"/>
      <c r="AB84" t="inlineStr"/>
      <c r="AC84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sea_cruiser; Tools/models/reference_real.json: units.sea_cruiser</t>
        </is>
      </c>
      <c r="AK84" t="inlineStr"/>
    </row>
    <row r="85">
      <c r="A85" t="inlineStr">
        <is>
          <t>shahed_truck</t>
        </is>
      </c>
      <c r="B85" t="inlineStr">
        <is>
          <t>shahed_truck</t>
        </is>
      </c>
      <c r="C85" t="inlineStr">
        <is>
          <t>Xe phóng drone cảm tử tầm xa</t>
        </is>
      </c>
      <c r="D85" t="inlineStr">
        <is>
          <t>doi_that</t>
        </is>
      </c>
      <c r="E85" t="inlineStr">
        <is>
          <t>Shahed-136 (Geran-2)</t>
        </is>
      </c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>
        <is>
          <t>Xe tải phóng drone cánh tam giác Shahed trên giàn 5 ray</t>
        </is>
      </c>
      <c r="L85" t="inlineStr"/>
      <c r="M85" t="inlineStr"/>
      <c r="N85" t="inlineStr"/>
      <c r="O85" t="inlineStr">
        <is>
          <t>ban_dau_doan</t>
        </is>
      </c>
      <c r="P85" t="inlineStr">
        <is>
          <t>R_unit_refs;R_unit_sheet;R_machine_brigade_can_bang;R_shahed_truck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X85" t="inlineStr">
        <is>
          <t>0,8 × xe tải phóng Shahed</t>
        </is>
      </c>
      <c r="Y85" t="inlineStr">
        <is>
          <t>Xe tải phóng drone cánh tam giác Shahed trên giàn 5 ray</t>
        </is>
      </c>
      <c r="Z85" t="inlineStr">
        <is>
          <t>Shahed-136 (Geran-2) — Xe tải phóng drone cánh tam giác Shahed trên giàn 5 ray</t>
        </is>
      </c>
      <c r="AA85" t="inlineStr">
        <is>
          <t>Shahed-136: 40–50 kg</t>
        </is>
      </c>
      <c r="AB85" t="inlineStr"/>
      <c r="AC85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shahed_truck; Tools/models/reference_real.json: units.shahed_truck</t>
        </is>
      </c>
      <c r="AK85" t="inlineStr"/>
    </row>
    <row r="86">
      <c r="A86" t="inlineStr">
        <is>
          <t>shield_carrier</t>
        </is>
      </c>
      <c r="B86" t="inlineStr">
        <is>
          <t>shield_carrier</t>
        </is>
      </c>
      <c r="C86" t="inlineStr">
        <is>
          <t>Xe phát khiên</t>
        </is>
      </c>
      <c r="D86" t="inlineStr">
        <is>
          <t>doi_that</t>
        </is>
      </c>
      <c r="E86" t="inlineStr">
        <is>
          <t>xe 8x8 kiểu Boxer / Stryker</t>
        </is>
      </c>
      <c r="F86" t="inlineStr">
        <is>
          <t>NEED_SOURCE</t>
        </is>
      </c>
      <c r="G86" t="inlineStr">
        <is>
          <t>NEED_SOURCE</t>
        </is>
      </c>
      <c r="H86" t="inlineStr">
        <is>
          <t>StarCraft II;Halo 3</t>
        </is>
      </c>
      <c r="I86" t="inlineStr">
        <is>
          <t>hình dáng: Shield Battery;hình dáng: Bubble Shield</t>
        </is>
      </c>
      <c r="J86" t="inlineStr"/>
      <c r="K86" t="inlineStr">
        <is>
          <t>xe 8x8 mang máy phát khiên năng lượng trên cột lưới</t>
        </is>
      </c>
      <c r="L86" t="inlineStr"/>
      <c r="M86" t="inlineStr"/>
      <c r="N86" t="inlineStr"/>
      <c r="O86" t="inlineStr">
        <is>
          <t>uoc_dinh</t>
        </is>
      </c>
      <c r="P86" t="inlineStr">
        <is>
          <t>R_unit_refs;R_reference_real;W_wikipedia_boxer_armoured_fighting_vehicle;R_unit_sheet;R_machine_brigade_can_bang;R_shield_carrier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>
        <f>INDEX(xe_input_kich_thuoc_that!$B$2:$B$66,MATCH($B$86,xe_input_kich_thuoc_that!$A$2:$A$66,0))</f>
        <v/>
      </c>
      <c r="T86">
        <f>INDEX(xe_input_kich_thuoc_that!$C$2:$C$66,MATCH($B$86,xe_input_kich_thuoc_that!$A$2:$A$66,0))</f>
        <v/>
      </c>
      <c r="U86">
        <f>INDEX(xe_input_kich_thuoc_that!$D$2:$D$66,MATCH($B$86,xe_input_kich_thuoc_that!$A$2:$A$66,0))</f>
        <v/>
      </c>
      <c r="V86" t="inlineStr">
        <is>
          <t>Boxer 8x8</t>
        </is>
      </c>
      <c r="W86" t="inlineStr">
        <is>
          <t>high</t>
        </is>
      </c>
      <c r="X86" t="inlineStr">
        <is>
          <t>0,8 × Boxer 8x8 (khung</t>
        </is>
      </c>
      <c r="Y86" t="inlineStr">
        <is>
          <t>ước đoán: xe 8x8 mang máy phát khiên năng lượng trên cột lưới</t>
        </is>
      </c>
      <c r="Z86" t="inlineStr">
        <is>
          <t>xe 8x8 kiểu Boxer / Stryker · Shield Battery (StarCraft II), Bubble Shield (Halo 3) — ước đoán: xe 8x8 mang máy phát khiên năng lượng</t>
        </is>
      </c>
      <c r="AA86" t="inlineStr"/>
      <c r="AB86" t="inlineStr"/>
      <c r="AC86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86" t="inlineStr">
        <is>
          <t>NEED_SOURCE</t>
        </is>
      </c>
      <c r="AE86" t="inlineStr">
        <is>
          <t>NEED_SOURCE</t>
        </is>
      </c>
      <c r="AF86" t="inlineStr">
        <is>
          <t>NEED_SOURCE</t>
        </is>
      </c>
      <c r="AG86" t="inlineStr">
        <is>
          <t>NEED_SOURCE</t>
        </is>
      </c>
      <c r="AH86" t="inlineStr">
        <is>
          <t>NEED_SOURCE</t>
        </is>
      </c>
      <c r="AI86" t="inlineStr">
        <is>
          <t>NEED_SOURCE</t>
        </is>
      </c>
      <c r="AJ86" t="inlineStr">
        <is>
          <t>Tools/docs/unit_refs.json: shield_carrier; Tools/models/reference_real.json: units.shield_carrier</t>
        </is>
      </c>
      <c r="AK86" t="inlineStr"/>
    </row>
    <row r="87">
      <c r="A87" t="inlineStr">
        <is>
          <t>shield_dome</t>
        </is>
      </c>
      <c r="B87" t="inlineStr">
        <is>
          <t>shield_dome</t>
        </is>
      </c>
      <c r="C87" t="inlineStr">
        <is>
          <t>Khiên vòm</t>
        </is>
      </c>
      <c r="D87" t="inlineStr">
        <is>
          <t>NEED_SOURCE</t>
        </is>
      </c>
      <c r="E87" t="inlineStr"/>
      <c r="F87" t="inlineStr">
        <is>
          <t>NEED_SOURCE</t>
        </is>
      </c>
      <c r="G87" t="inlineStr">
        <is>
          <t>NEED_SOURCE</t>
        </is>
      </c>
      <c r="H87" t="inlineStr"/>
      <c r="I87" t="inlineStr"/>
      <c r="J87" t="inlineStr"/>
      <c r="K87" t="inlineStr"/>
      <c r="L87" t="inlineStr"/>
      <c r="M87" t="inlineStr"/>
      <c r="N87" t="inlineStr"/>
      <c r="O87" t="inlineStr">
        <is>
          <t>NEED_SOURCE</t>
        </is>
      </c>
      <c r="P87" t="inlineStr"/>
      <c r="Q87" t="inlineStr">
        <is>
          <t>repo không có tham chiếu cho thực thể này (unit_refs.json, reference_real.json, bảng cân bằng)</t>
        </is>
      </c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/>
      <c r="T87" t="inlineStr"/>
      <c r="U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>
        <is>
          <t>Tools/docs/unit_refs.json: shield_dome; Tools/models/reference_real.json: units.shield_dome</t>
        </is>
      </c>
      <c r="AK87" t="inlineStr"/>
    </row>
    <row r="88">
      <c r="A88" t="inlineStr">
        <is>
          <t>siege_tank</t>
        </is>
      </c>
      <c r="B88" t="inlineStr">
        <is>
          <t>siege_tank</t>
        </is>
      </c>
      <c r="C88" t="inlineStr">
        <is>
          <t>Pháo cối công thành</t>
        </is>
      </c>
      <c r="D88" t="inlineStr">
        <is>
          <t>doi_that</t>
        </is>
      </c>
      <c r="E88" t="inlineStr">
        <is>
          <t>2S4 Tyulpan (2B8 240 mm);M110 (càng chống);2S7 Pion</t>
        </is>
      </c>
      <c r="F88" t="inlineStr">
        <is>
          <t>NEED_SOURCE</t>
        </is>
      </c>
      <c r="G88" t="inlineStr">
        <is>
          <t>NEED_SOURCE</t>
        </is>
      </c>
      <c r="H88" t="inlineStr">
        <is>
          <t>StarCraft II</t>
        </is>
      </c>
      <c r="I88" t="inlineStr">
        <is>
          <t>hình dáng: Siege Tank Crucio</t>
        </is>
      </c>
      <c r="J88" t="inlineStr"/>
      <c r="K88" t="inlineStr">
        <is>
          <t>Xe tăng công thành hai chế độ, dựng chân chống như StarCraft 2</t>
        </is>
      </c>
      <c r="L88" t="inlineStr"/>
      <c r="M88" t="inlineStr"/>
      <c r="N88" t="inlineStr"/>
      <c r="O88" t="inlineStr">
        <is>
          <t>uoc_dinh</t>
        </is>
      </c>
      <c r="P88" t="inlineStr">
        <is>
          <t>R_unit_refs;R_reference_real;W_wikipedia_2s4_tyulpan;R_unit_sheet;R_machine_brigade_can_bang;R_siege_tank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>
        <f>INDEX(xe_input_kich_thuoc_that!$B$2:$B$66,MATCH($B$88,xe_input_kich_thuoc_that!$A$2:$A$66,0))</f>
        <v/>
      </c>
      <c r="T88">
        <f>INDEX(xe_input_kich_thuoc_that!$C$2:$C$66,MATCH($B$88,xe_input_kich_thuoc_that!$A$2:$A$66,0))</f>
        <v/>
      </c>
      <c r="U88">
        <f>INDEX(xe_input_kich_thuoc_that!$D$2:$D$66,MATCH($B$88,xe_input_kich_thuoc_that!$A$2:$A$66,0))</f>
        <v/>
      </c>
      <c r="V88" t="inlineStr">
        <is>
          <t>2S4 Tyulpan</t>
        </is>
      </c>
      <c r="W88" t="inlineStr">
        <is>
          <t>approx</t>
        </is>
      </c>
      <c r="X88" t="inlineStr">
        <is>
          <t>0,8 × 2S4 Tyulpan</t>
        </is>
      </c>
      <c r="Y88" t="inlineStr">
        <is>
          <t>Xe tăng công thành hai chế độ, dựng chân chống như StarCraft 2</t>
        </is>
      </c>
      <c r="Z88" t="inlineStr">
        <is>
          <t>2S4 Tyulpan (2B8 240 mm), M110 (càng chống), 2S7 Pion · Siege Tank Crucio (StarCraft II) — Xe tăng công thành hai chế độ, dựng</t>
        </is>
      </c>
      <c r="AA88" t="inlineStr"/>
      <c r="AB88" t="inlineStr"/>
      <c r="AC88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siege_tank; Tools/models/reference_real.json: units.siege_tank</t>
        </is>
      </c>
      <c r="AK88" t="inlineStr"/>
    </row>
    <row r="89">
      <c r="A89" t="inlineStr">
        <is>
          <t>sky_gunship</t>
        </is>
      </c>
      <c r="B89" t="inlineStr">
        <is>
          <t>sky_gunship</t>
        </is>
      </c>
      <c r="C89" t="inlineStr">
        <is>
          <t>Pháo hạm bay</t>
        </is>
      </c>
      <c r="D89" t="inlineStr">
        <is>
          <t>doi_that</t>
        </is>
      </c>
      <c r="E89" t="inlineStr">
        <is>
          <t>AC-130U Spooky (M102 105 mm, Bofors 40 mm, GAU-12 25 mm)</t>
        </is>
      </c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>
        <is>
          <t>Pháo hạm bay bắn sang trái, dàn pháo theo AC-130U</t>
        </is>
      </c>
      <c r="L89" t="inlineStr"/>
      <c r="M89" t="inlineStr"/>
      <c r="N89" t="inlineStr"/>
      <c r="O89" t="inlineStr">
        <is>
          <t>da_kiem_chung</t>
        </is>
      </c>
      <c r="P89" t="inlineStr">
        <is>
          <t>R_unit_refs;R_reference_real;W_wikipedia_lockheed_ac_130;R_unit_sheet;R_machine_brigade_can_bang;R_sky_gunship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>
        <f>INDEX(xe_input_kich_thuoc_that!$B$2:$B$66,MATCH($B$89,xe_input_kich_thuoc_that!$A$2:$A$66,0))</f>
        <v/>
      </c>
      <c r="T89">
        <f>INDEX(xe_input_kich_thuoc_that!$C$2:$C$66,MATCH($B$89,xe_input_kich_thuoc_that!$A$2:$A$66,0))</f>
        <v/>
      </c>
      <c r="U89">
        <f>INDEX(xe_input_kich_thuoc_that!$D$2:$D$66,MATCH($B$89,xe_input_kich_thuoc_that!$A$2:$A$66,0))</f>
        <v/>
      </c>
      <c r="V89" t="inlineStr">
        <is>
          <t>AC-130U Spooky</t>
        </is>
      </c>
      <c r="W89" t="inlineStr">
        <is>
          <t>high</t>
        </is>
      </c>
      <c r="X89" t="inlineStr">
        <is>
          <t>0,4 × AC-130</t>
        </is>
      </c>
      <c r="Y89" t="inlineStr">
        <is>
          <t>Pháo hạm bay bắn sang trái, dàn pháo theo AC-130U</t>
        </is>
      </c>
      <c r="Z89" t="inlineStr">
        <is>
          <t>AC-130U Spooky (M102 105 mm, Bofors 40 mm, GAU-12 25 mm) — Pháo hạm bay bắn sang trái, dàn pháo theo AC-130U</t>
        </is>
      </c>
      <c r="AA89" t="inlineStr"/>
      <c r="AB89" t="inlineStr"/>
      <c r="AC89" t="inlineStr">
        <is>
          <t>Tools/blender/specs/sky_gunship.json: real = AC-130U Spooky (M102 105 mm, Bofors 40 mm, GAU-12 25 mm); confidence = xấp xỉ (AC-130U drawings at 0.4 x)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sky_gunship; Tools/models/reference_real.json: units.sky_gunship</t>
        </is>
      </c>
      <c r="AK89" t="inlineStr"/>
    </row>
    <row r="90">
      <c r="A90" t="inlineStr">
        <is>
          <t>sp_mortar</t>
        </is>
      </c>
      <c r="B90" t="inlineStr">
        <is>
          <t>sp_mortar</t>
        </is>
      </c>
      <c r="C90" t="inlineStr">
        <is>
          <t>Cối tự hành tháp kín</t>
        </is>
      </c>
      <c r="D90" t="inlineStr">
        <is>
          <t>NEED_SOURCE</t>
        </is>
      </c>
      <c r="E90" t="inlineStr"/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>
        <is>
          <t>R_sp_mortar</t>
        </is>
      </c>
      <c r="Q90" t="inlineStr">
        <is>
          <t>repo không có tham chiếu cho thực thể này (unit_refs.json, reference_real.json, bảng cân bằng)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NEED_SOURCE</t>
        </is>
      </c>
      <c r="T90" t="inlineStr">
        <is>
          <t>NEED_SOURCE</t>
        </is>
      </c>
      <c r="U90" t="inlineStr">
        <is>
          <t>NEED_SOURCE</t>
        </is>
      </c>
      <c r="Z90" t="inlineStr"/>
      <c r="AA90" t="inlineStr"/>
      <c r="AB90" t="inlineStr"/>
      <c r="AC90" t="inlineStr">
        <is>
          <t>Tools/blender/specs/sp_mortar.json: real = Patria AMV 8x8 with the AMOS twin 120 mm mortar turret; confidence = cao (AMV hull and AMOS turret are well documented; drawn at modelSize)</t>
        </is>
      </c>
      <c r="AD90" t="inlineStr">
        <is>
          <t>NEED_SOURCE</t>
        </is>
      </c>
      <c r="AE90" t="inlineStr">
        <is>
          <t>NEED_SOURCE</t>
        </is>
      </c>
      <c r="AF90" t="inlineStr">
        <is>
          <t>NEED_SOURCE</t>
        </is>
      </c>
      <c r="AG90" t="inlineStr">
        <is>
          <t>NEED_SOURCE</t>
        </is>
      </c>
      <c r="AH90" t="inlineStr">
        <is>
          <t>NEED_SOURCE</t>
        </is>
      </c>
      <c r="AI90" t="inlineStr">
        <is>
          <t>NEED_SOURCE</t>
        </is>
      </c>
      <c r="AJ90" t="inlineStr">
        <is>
          <t>Tools/docs/unit_refs.json: sp_mortar; Tools/models/reference_real.json: units.sp_mortar</t>
        </is>
      </c>
      <c r="AK90" t="inlineStr"/>
    </row>
    <row r="91">
      <c r="A91" t="inlineStr">
        <is>
          <t>stealth_bomber</t>
        </is>
      </c>
      <c r="B91" t="inlineStr">
        <is>
          <t>stealth_bomber</t>
        </is>
      </c>
      <c r="C91" t="inlineStr">
        <is>
          <t>Oanh tạc cơ tàng hình</t>
        </is>
      </c>
      <c r="D91" t="inlineStr">
        <is>
          <t>doi_that</t>
        </is>
      </c>
      <c r="E91" t="inlineStr">
        <is>
          <t>B-2 Spirit;GBU-31 JDAM;AGM-158 JASSM</t>
        </is>
      </c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>
        <is>
          <t>Máy bay ném bom tàng hình cánh bay</t>
        </is>
      </c>
      <c r="L91" t="inlineStr"/>
      <c r="M91" t="inlineStr"/>
      <c r="N91" t="inlineStr"/>
      <c r="O91" t="inlineStr">
        <is>
          <t>da_kiem_chung</t>
        </is>
      </c>
      <c r="P91" t="inlineStr">
        <is>
          <t>R_unit_refs;R_reference_real;W_wikipedia_northrop_b_2_spirit;R_unit_sheet;R_machine_brigade_can_bang;R_stealth_bomber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>
        <f>INDEX(xe_input_kich_thuoc_that!$B$2:$B$66,MATCH($B$91,xe_input_kich_thuoc_that!$A$2:$A$66,0))</f>
        <v/>
      </c>
      <c r="T91">
        <f>INDEX(xe_input_kich_thuoc_that!$C$2:$C$66,MATCH($B$91,xe_input_kich_thuoc_that!$A$2:$A$66,0))</f>
        <v/>
      </c>
      <c r="U91">
        <f>INDEX(xe_input_kich_thuoc_that!$D$2:$D$66,MATCH($B$91,xe_input_kich_thuoc_that!$A$2:$A$66,0))</f>
        <v/>
      </c>
      <c r="V91" t="inlineStr">
        <is>
          <t>B-2A Spirit</t>
        </is>
      </c>
      <c r="W91" t="inlineStr">
        <is>
          <t>high</t>
        </is>
      </c>
      <c r="X91" t="inlineStr">
        <is>
          <t>0,4 × B-2 Spirit</t>
        </is>
      </c>
      <c r="Y91" t="inlineStr">
        <is>
          <t>Máy bay ném bom tàng hình cánh bay</t>
        </is>
      </c>
      <c r="Z91" t="inlineStr">
        <is>
          <t>B-2 Spirit, GBU-31 JDAM, AGM-158 JASSM — Máy bay ném bom tàng hình cánh bay</t>
        </is>
      </c>
      <c r="AA91" t="inlineStr">
        <is>
          <t>B-2 ~2 tỷ USD | JASSM: đầu nổ 450 kg</t>
        </is>
      </c>
      <c r="AB91" t="inlineStr"/>
      <c r="AC91" t="inlineStr">
        <is>
          <t>Tools/blender/specs/stealth_bomber.json: real = B-2 Spirit; GBU-31 JDAM; AGM-158 JASSM; confidence = xấp xỉ (B-2 plan form and photographs at 0.4 x)</t>
        </is>
      </c>
      <c r="AD91" t="inlineStr">
        <is>
          <t>NEED_SOURCE</t>
        </is>
      </c>
      <c r="AE91" t="inlineStr">
        <is>
          <t>NEED_SOURCE</t>
        </is>
      </c>
      <c r="AF91" t="inlineStr">
        <is>
          <t>NEED_SOURCE</t>
        </is>
      </c>
      <c r="AG91" t="inlineStr">
        <is>
          <t>NEED_SOURCE</t>
        </is>
      </c>
      <c r="AH91" t="inlineStr">
        <is>
          <t>NEED_SOURCE</t>
        </is>
      </c>
      <c r="AI91" t="inlineStr">
        <is>
          <t>NEED_SOURCE</t>
        </is>
      </c>
      <c r="AJ91" t="inlineStr">
        <is>
          <t>Tools/docs/unit_refs.json: stealth_bomber; Tools/models/reference_real.json: units.stealth_bomber</t>
        </is>
      </c>
      <c r="AK91" t="inlineStr"/>
    </row>
    <row r="92">
      <c r="A92" t="inlineStr">
        <is>
          <t>stealth_fighter</t>
        </is>
      </c>
      <c r="B92" t="inlineStr">
        <is>
          <t>stealth_fighter</t>
        </is>
      </c>
      <c r="C92" t="inlineStr">
        <is>
          <t>Tiêm kích tàng hình</t>
        </is>
      </c>
      <c r="D92" t="inlineStr">
        <is>
          <t>doi_that</t>
        </is>
      </c>
      <c r="E92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92" t="inlineStr"/>
      <c r="M92" t="inlineStr"/>
      <c r="N92" t="inlineStr"/>
      <c r="O92" t="inlineStr">
        <is>
          <t>da_kiem_chung</t>
        </is>
      </c>
      <c r="P92" t="inlineStr">
        <is>
          <t>R_unit_refs;R_reference_real;W_wikipedia_lockheed_martin_f_22_raptor;R_unit_sheet;R_machine_brigade_can_bang;R_stealth_fighter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>
        <f>INDEX(xe_input_kich_thuoc_that!$B$2:$B$66,MATCH($B$92,xe_input_kich_thuoc_that!$A$2:$A$66,0))</f>
        <v/>
      </c>
      <c r="T92">
        <f>INDEX(xe_input_kich_thuoc_that!$C$2:$C$66,MATCH($B$92,xe_input_kich_thuoc_that!$A$2:$A$66,0))</f>
        <v/>
      </c>
      <c r="U92">
        <f>INDEX(xe_input_kich_thuoc_that!$D$2:$D$66,MATCH($B$92,xe_input_kich_thuoc_that!$A$2:$A$66,0))</f>
        <v/>
      </c>
      <c r="V92" t="inlineStr">
        <is>
          <t>F-22A Raptor</t>
        </is>
      </c>
      <c r="W92" t="inlineStr">
        <is>
          <t>high</t>
        </is>
      </c>
      <c r="X92" t="inlineStr">
        <is>
          <t>0,4 × F-22 / Su-57</t>
        </is>
      </c>
      <c r="Y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92" t="inlineStr">
        <is>
          <t>F-22 Raptor, Su-57, GAU-22/A 25 mm — Tiêm kích tàng hình hai đuôi</t>
        </is>
      </c>
      <c r="AA92" t="inlineStr">
        <is>
          <t>F-22 mang 6 AIM-120 trong khoang</t>
        </is>
      </c>
      <c r="AB92" t="inlineStr"/>
      <c r="AC92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stealth_fighter; Tools/models/reference_real.json: units.stealth_fighter</t>
        </is>
      </c>
      <c r="AK92" t="inlineStr"/>
    </row>
    <row r="93">
      <c r="A93" t="inlineStr">
        <is>
          <t>stealth_naval_strike</t>
        </is>
      </c>
      <c r="B93" t="inlineStr">
        <is>
          <t>stealth_naval_strike</t>
        </is>
      </c>
      <c r="C93" t="inlineStr">
        <is>
          <t>Cường kích tàng hình trên hạm</t>
        </is>
      </c>
      <c r="D93" t="inlineStr">
        <is>
          <t>NEED_SOURCE</t>
        </is>
      </c>
      <c r="E93" t="inlineStr"/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>
        <is>
          <t>R_reference_real;W_wikipedia_northrop_b_2_spirit;R_stealth_naval_strike</t>
        </is>
      </c>
      <c r="Q93" t="inlineStr">
        <is>
          <t>repo không có tham chiếu cho thực thể này (unit_refs.json, reference_real.json, bảng cân bằng)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INDEX(xe_input_kich_thuoc_that!$B$2:$B$66,MATCH($B$93,xe_input_kich_thuoc_that!$A$2:$A$66,0))</f>
        <v/>
      </c>
      <c r="T93">
        <f>INDEX(xe_input_kich_thuoc_that!$C$2:$C$66,MATCH($B$93,xe_input_kich_thuoc_that!$A$2:$A$66,0))</f>
        <v/>
      </c>
      <c r="U93">
        <f>INDEX(xe_input_kich_thuoc_that!$D$2:$D$66,MATCH($B$93,xe_input_kich_thuoc_that!$A$2:$A$66,0))</f>
        <v/>
      </c>
      <c r="V93" t="inlineStr">
        <is>
          <t>B-2A Spirit (same frame as the stealth bomber)</t>
        </is>
      </c>
      <c r="W93" t="inlineStr">
        <is>
          <t>approx</t>
        </is>
      </c>
      <c r="Z93" t="inlineStr"/>
      <c r="AA93" t="inlineStr"/>
      <c r="AB93" t="inlineStr"/>
      <c r="AC93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stealth_naval_strike; Tools/models/reference_real.json: units.stealth_naval_strike</t>
        </is>
      </c>
      <c r="AK93" t="inlineStr"/>
    </row>
    <row r="94">
      <c r="A94" t="inlineStr">
        <is>
          <t>strike_drone</t>
        </is>
      </c>
      <c r="B94" t="inlineStr">
        <is>
          <t>strike_drone</t>
        </is>
      </c>
      <c r="C94" t="inlineStr">
        <is>
          <t>UAV tấn công</t>
        </is>
      </c>
      <c r="D94" t="inlineStr">
        <is>
          <t>doi_that</t>
        </is>
      </c>
      <c r="E94" t="inlineStr">
        <is>
          <t>MQ-9 Reaper;AGM-114 Hellfire;GBU-39 SDB</t>
        </is>
      </c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>
        <is>
          <t>Drone tấn công tầm trung, đuôi chữ Y, cánh quạt đẩy</t>
        </is>
      </c>
      <c r="L94" t="inlineStr"/>
      <c r="M94" t="inlineStr"/>
      <c r="N94" t="inlineStr"/>
      <c r="O94" t="inlineStr">
        <is>
          <t>da_kiem_chung</t>
        </is>
      </c>
      <c r="P94" t="inlineStr">
        <is>
          <t>R_unit_refs;R_reference_real;W_wikipedia_general_atomics_mq_9_reaper;R_unit_sheet;R_machine_brigade_can_bang;R_strike_drone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>
        <f>INDEX(xe_input_kich_thuoc_that!$B$2:$B$66,MATCH($B$94,xe_input_kich_thuoc_that!$A$2:$A$66,0))</f>
        <v/>
      </c>
      <c r="T94">
        <f>INDEX(xe_input_kich_thuoc_that!$C$2:$C$66,MATCH($B$94,xe_input_kich_thuoc_that!$A$2:$A$66,0))</f>
        <v/>
      </c>
      <c r="U94">
        <f>INDEX(xe_input_kich_thuoc_that!$D$2:$D$66,MATCH($B$94,xe_input_kich_thuoc_that!$A$2:$A$66,0))</f>
        <v/>
      </c>
      <c r="V94" t="inlineStr">
        <is>
          <t>MQ-9A Reaper</t>
        </is>
      </c>
      <c r="W94" t="inlineStr">
        <is>
          <t>high</t>
        </is>
      </c>
      <c r="X94" t="inlineStr">
        <is>
          <t>0,4 × MQ-9 Reaper</t>
        </is>
      </c>
      <c r="Y94" t="inlineStr">
        <is>
          <t>Drone tấn công tầm trung, đuôi chữ Y, cánh quạt đẩy</t>
        </is>
      </c>
      <c r="Z94" t="inlineStr">
        <is>
          <t>MQ-9 Reaper, AGM-114 Hellfire, GBU-39 SDB — Drone tấn công tầm trung, đuôi chữ Y, cánh quạt đẩy</t>
        </is>
      </c>
      <c r="AA94" t="inlineStr">
        <is>
          <t>MQ-9 Reaper ~30 triệu USD, mang 4 Hellfire</t>
        </is>
      </c>
      <c r="AB94" t="inlineStr"/>
      <c r="AC94" t="inlineStr">
        <is>
          <t>Tools/blender/specs/strike_drone.json: real = MQ-9 Reaper; AGM-114 Hellfire; GBU-39 SDB; confidence = xấp xỉ (MQ-9 published photographs; flying, gear retracted)</t>
        </is>
      </c>
      <c r="AD94" t="inlineStr">
        <is>
          <t>NEED_SOURCE</t>
        </is>
      </c>
      <c r="AE94" t="inlineStr">
        <is>
          <t>NEED_SOURCE</t>
        </is>
      </c>
      <c r="AF94" t="inlineStr">
        <is>
          <t>NEED_SOURCE</t>
        </is>
      </c>
      <c r="AG94" t="inlineStr">
        <is>
          <t>NEED_SOURCE</t>
        </is>
      </c>
      <c r="AH94" t="inlineStr">
        <is>
          <t>NEED_SOURCE</t>
        </is>
      </c>
      <c r="AI94" t="inlineStr">
        <is>
          <t>NEED_SOURCE</t>
        </is>
      </c>
      <c r="AJ94" t="inlineStr">
        <is>
          <t>Tools/docs/unit_refs.json: strike_drone; Tools/models/reference_real.json: units.strike_drone</t>
        </is>
      </c>
      <c r="AK94" t="inlineStr"/>
    </row>
    <row r="95">
      <c r="A95" t="inlineStr">
        <is>
          <t>super_gun_shell</t>
        </is>
      </c>
      <c r="B95" t="inlineStr">
        <is>
          <t>super_gun_shell</t>
        </is>
      </c>
      <c r="C95" t="inlineStr">
        <is>
          <t>Đạn siêu pháo</t>
        </is>
      </c>
      <c r="D95" t="inlineStr">
        <is>
          <t>NEED_SOURCE</t>
        </is>
      </c>
      <c r="E95" t="inlineStr"/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/>
      <c r="Q95" t="inlineStr">
        <is>
          <t>repo không có tham chiếu cho thực thể này (unit_refs.json, reference_real.json, bảng cân bằng)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/>
      <c r="T95" t="inlineStr"/>
      <c r="U95" t="inlineStr"/>
      <c r="Z95" t="inlineStr"/>
      <c r="AA95" t="inlineStr"/>
      <c r="AB95" t="inlineStr"/>
      <c r="AC95" t="inlineStr"/>
      <c r="AD95" t="inlineStr"/>
      <c r="AE95" t="inlineStr"/>
      <c r="AF95" t="inlineStr"/>
      <c r="AG95" t="inlineStr"/>
      <c r="AH95" t="inlineStr"/>
      <c r="AI95" t="inlineStr"/>
      <c r="AJ95" t="inlineStr">
        <is>
          <t>Tools/docs/unit_refs.json: super_gun_shell; Tools/models/reference_real.json: units.super_gun_shell</t>
        </is>
      </c>
      <c r="AK95" t="inlineStr"/>
    </row>
    <row r="96">
      <c r="A96" t="inlineStr">
        <is>
          <t>supply_truck</t>
        </is>
      </c>
      <c r="B96" t="inlineStr">
        <is>
          <t>supply_truck</t>
        </is>
      </c>
      <c r="C96" t="inlineStr">
        <is>
          <t>Xe tải tiếp tế</t>
        </is>
      </c>
      <c r="D96" t="inlineStr">
        <is>
          <t>doi_that</t>
        </is>
      </c>
      <c r="E96" t="inlineStr">
        <is>
          <t>M977 HEMTT;KamAZ-5350;M2 Browning 12,7 mm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xe tải tiếp tế, súng máy trên vòng nóc</t>
        </is>
      </c>
      <c r="L96" t="inlineStr"/>
      <c r="M96" t="inlineStr"/>
      <c r="N96" t="inlineStr"/>
      <c r="O96" t="inlineStr">
        <is>
          <t>uoc_dinh</t>
        </is>
      </c>
      <c r="P96" t="inlineStr">
        <is>
          <t>R_unit_refs;R_reference_real;W_wikipedia_heavy_expanded_mobility_tactical_t;R_unit_sheet;R_machine_brigade_can_bang;R_supply_truck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INDEX(xe_input_kich_thuoc_that!$B$2:$B$66,MATCH($B$96,xe_input_kich_thuoc_that!$A$2:$A$66,0))</f>
        <v/>
      </c>
      <c r="T96">
        <f>INDEX(xe_input_kich_thuoc_that!$C$2:$C$66,MATCH($B$96,xe_input_kich_thuoc_that!$A$2:$A$66,0))</f>
        <v/>
      </c>
      <c r="U96">
        <f>INDEX(xe_input_kich_thuoc_that!$D$2:$D$66,MATCH($B$96,xe_input_kich_thuoc_that!$A$2:$A$66,0))</f>
        <v/>
      </c>
      <c r="V96" t="inlineStr">
        <is>
          <t>M977 HEMTT</t>
        </is>
      </c>
      <c r="W96" t="inlineStr">
        <is>
          <t>approx</t>
        </is>
      </c>
      <c r="X96" t="inlineStr">
        <is>
          <t>0,8 × M977 HEMTT</t>
        </is>
      </c>
      <c r="Y96" t="inlineStr">
        <is>
          <t>ước đoán: xe tải tiếp tế, súng máy trên vòng nóc</t>
        </is>
      </c>
      <c r="Z96" t="inlineStr">
        <is>
          <t>M977 HEMTT, KamAZ-5350, M2 Browning 12,7 mm — ước đoán: xe tải tiếp tế, súng máy trên vòng nóc</t>
        </is>
      </c>
      <c r="AA96" t="inlineStr"/>
      <c r="AB96" t="inlineStr"/>
      <c r="AC96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supply_truck; Tools/models/reference_real.json: units.supply_truck</t>
        </is>
      </c>
      <c r="AK96" t="inlineStr"/>
    </row>
    <row r="97">
      <c r="A97" t="inlineStr">
        <is>
          <t>swarm_carrier</t>
        </is>
      </c>
      <c r="B97" t="inlineStr">
        <is>
          <t>swarm_carrier</t>
        </is>
      </c>
      <c r="C97" t="inlineStr">
        <is>
          <t>Máy bay mẹ thả drone</t>
        </is>
      </c>
      <c r="D97" t="inlineStr">
        <is>
          <t>doi_that</t>
        </is>
      </c>
      <c r="E97" t="inlineStr">
        <is>
          <t>C-130 Hercules;drone FPV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Máy bay vận tải bốn động cơ thả bầy drone FPV</t>
        </is>
      </c>
      <c r="L97" t="inlineStr"/>
      <c r="M97" t="inlineStr"/>
      <c r="N97" t="inlineStr"/>
      <c r="O97" t="inlineStr">
        <is>
          <t>da_kiem_chung</t>
        </is>
      </c>
      <c r="P97" t="inlineStr">
        <is>
          <t>R_unit_refs;R_reference_real;W_wikipedia_lockheed_c_130_hercules;R_unit_sheet;R_machine_brigade_can_bang;R_swarm_carrier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C-130H Hercules</t>
        </is>
      </c>
      <c r="W97" t="inlineStr">
        <is>
          <t>high</t>
        </is>
      </c>
      <c r="X97" t="inlineStr">
        <is>
          <t>0,4 × C-130 Hercules</t>
        </is>
      </c>
      <c r="Y97" t="inlineStr">
        <is>
          <t>Máy bay vận tải bốn động cơ thả bầy drone FPV</t>
        </is>
      </c>
      <c r="Z97" t="inlineStr">
        <is>
          <t>C-130 Hercules, drone FPV — Máy bay vận tải bốn động cơ thả bầy drone FPV</t>
        </is>
      </c>
      <c r="AA97" t="inlineStr">
        <is>
          <t>Rapid Dragon (C-130/C-17 thả JASSM-ER) | C-130</t>
        </is>
      </c>
      <c r="AB97" t="inlineStr"/>
      <c r="AC97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swarm_carrier; Tools/models/reference_real.json: units.swarm_carrier</t>
        </is>
      </c>
      <c r="AK97" t="inlineStr"/>
    </row>
    <row r="98">
      <c r="A98" t="inlineStr">
        <is>
          <t>tank_destroyer</t>
        </is>
      </c>
      <c r="B98" t="inlineStr">
        <is>
          <t>tank_destroyer</t>
        </is>
      </c>
      <c r="C98" t="inlineStr">
        <is>
          <t>Pháo chống tăng tự hành</t>
        </is>
      </c>
      <c r="D98" t="inlineStr">
        <is>
          <t>doi_that</t>
        </is>
      </c>
      <c r="E98" t="inlineStr">
        <is>
          <t>2S25 Sprut-SD (2A75 125 mm)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Pháo chống tăng thân thấp, tháp hở, nòng rất dài</t>
        </is>
      </c>
      <c r="L98" t="inlineStr"/>
      <c r="M98" t="inlineStr"/>
      <c r="N98" t="inlineStr"/>
      <c r="O98" t="inlineStr">
        <is>
          <t>uoc_dinh</t>
        </is>
      </c>
      <c r="P98" t="inlineStr">
        <is>
          <t>R_unit_refs;R_reference_real;W_wikipedia_2s25_sprut_sd;R_unit_sheet;R_machine_brigade_can_bang;R_tank_destroyer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>
        <f>INDEX(xe_input_kich_thuoc_that!$B$2:$B$66,MATCH($B$98,xe_input_kich_thuoc_that!$A$2:$A$66,0))</f>
        <v/>
      </c>
      <c r="T98">
        <f>INDEX(xe_input_kich_thuoc_that!$C$2:$C$66,MATCH($B$98,xe_input_kich_thuoc_that!$A$2:$A$66,0))</f>
        <v/>
      </c>
      <c r="U98">
        <f>INDEX(xe_input_kich_thuoc_that!$D$2:$D$66,MATCH($B$98,xe_input_kich_thuoc_that!$A$2:$A$66,0))</f>
        <v/>
      </c>
      <c r="V98" t="inlineStr">
        <is>
          <t>2S25 Sprut-SD</t>
        </is>
      </c>
      <c r="W98" t="inlineStr">
        <is>
          <t>approx</t>
        </is>
      </c>
      <c r="X98" t="inlineStr">
        <is>
          <t>0,8 × 2S25 Sprut-SD</t>
        </is>
      </c>
      <c r="Y98" t="inlineStr">
        <is>
          <t>Pháo chống tăng thân thấp, tháp hở, nòng rất dài</t>
        </is>
      </c>
      <c r="Z98" t="inlineStr">
        <is>
          <t>2S25 Sprut-SD (2A75 125 mm) — Pháo chống tăng thân thấp, tháp hở, nòng rất dài</t>
        </is>
      </c>
      <c r="AA98" t="inlineStr">
        <is>
          <t>2S25 Sprut-SD | Pháo 2A75: sơ tốc cao, bắn xa</t>
        </is>
      </c>
      <c r="AB98" t="inlineStr"/>
      <c r="AC98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tank_destroyer; Tools/models/reference_real.json: units.tank_destroyer</t>
        </is>
      </c>
      <c r="AK98" t="inlineStr"/>
    </row>
    <row r="99">
      <c r="A99" t="inlineStr">
        <is>
          <t>thermobaric_launcher</t>
        </is>
      </c>
      <c r="B99" t="inlineStr">
        <is>
          <t>thermobaric_launcher</t>
        </is>
      </c>
      <c r="C99" t="inlineStr">
        <is>
          <t>Pháo phản lực nhiệt áp</t>
        </is>
      </c>
      <c r="D99" t="inlineStr">
        <is>
          <t>doi_that</t>
        </is>
      </c>
      <c r="E99" t="inlineStr">
        <is>
          <t>TOS-1A Solntsepyok (khung T-72)</t>
        </is>
      </c>
      <c r="F99" t="inlineStr">
        <is>
          <t>NEED_SOURCE</t>
        </is>
      </c>
      <c r="G99" t="inlineStr">
        <is>
          <t>NEED_SOURCE</t>
        </is>
      </c>
      <c r="H99" t="inlineStr"/>
      <c r="I99" t="inlineStr"/>
      <c r="J99" t="inlineStr"/>
      <c r="K99" t="inlineStr">
        <is>
          <t>Giàn phóng rốc-két nhiệt áp 24 ống trên khung xe tăng</t>
        </is>
      </c>
      <c r="L99" t="inlineStr"/>
      <c r="M99" t="inlineStr"/>
      <c r="N99" t="inlineStr"/>
      <c r="O99" t="inlineStr">
        <is>
          <t>uoc_dinh</t>
        </is>
      </c>
      <c r="P99" t="inlineStr">
        <is>
          <t>R_unit_refs;R_reference_real;W_wikipedia_tos_1;R_unit_sheet;R_machine_brigade_can_bang;R_thermobaric_launcher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>
        <f>INDEX(xe_input_kich_thuoc_that!$B$2:$B$66,MATCH($B$99,xe_input_kich_thuoc_that!$A$2:$A$66,0))</f>
        <v/>
      </c>
      <c r="T99">
        <f>INDEX(xe_input_kich_thuoc_that!$C$2:$C$66,MATCH($B$99,xe_input_kich_thuoc_that!$A$2:$A$66,0))</f>
        <v/>
      </c>
      <c r="U99" t="inlineStr">
        <is>
          <t>NEED_SOURCE</t>
        </is>
      </c>
      <c r="V99" t="inlineStr">
        <is>
          <t>TOS-1A Solntsepyok</t>
        </is>
      </c>
      <c r="W99" t="inlineStr">
        <is>
          <t>approx</t>
        </is>
      </c>
      <c r="X99" t="inlineStr">
        <is>
          <t>0,8 × TOS-1A</t>
        </is>
      </c>
      <c r="Y99" t="inlineStr">
        <is>
          <t>Giàn phóng rốc-két nhiệt áp 24 ống trên khung xe tăng</t>
        </is>
      </c>
      <c r="Z99" t="inlineStr">
        <is>
          <t>TOS-1A Solntsepyok (khung T-72) — Giàn phóng rốc-két nhiệt áp 24 ống trên khung xe tăng</t>
        </is>
      </c>
      <c r="AA99" t="inlineStr">
        <is>
          <t>TOS-1A</t>
        </is>
      </c>
      <c r="AB99" t="inlineStr"/>
      <c r="AC99" t="inlineStr">
        <is>
          <t>Tools/blender/specs/thermobaric_launcher.json: real = TOS-1A Solntsepyok (T-72 chassis, 24-tube 220 mm launcher); confidence = xấp xỉ (TOS-1A photographs; sizes at the def's modelSize)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thermobaric_launcher; Tools/models/reference_real.json: units.thermobaric_launcher</t>
        </is>
      </c>
      <c r="AK99" t="inlineStr"/>
    </row>
    <row r="100">
      <c r="A100" t="inlineStr">
        <is>
          <t>titan_tank</t>
        </is>
      </c>
      <c r="B100" t="inlineStr">
        <is>
          <t>titan_tank</t>
        </is>
      </c>
      <c r="C100" t="inlineStr">
        <is>
          <t>Siêu tăng</t>
        </is>
      </c>
      <c r="D100" t="inlineStr">
        <is>
          <t>doi_that</t>
        </is>
      </c>
      <c r="E100" t="inlineStr">
        <is>
          <t>Rheinmetall NPzK 140 mm;dáng siêu tăng khái niệm tương lai</t>
        </is>
      </c>
      <c r="F100" t="inlineStr">
        <is>
          <t>NEED_SOURCE</t>
        </is>
      </c>
      <c r="G100" t="inlineStr">
        <is>
          <t>NEED_SOURCE</t>
        </is>
      </c>
      <c r="H100" t="inlineStr">
        <is>
          <t>Command &amp; Conquer</t>
        </is>
      </c>
      <c r="I100" t="inlineStr">
        <is>
          <t>hình dáng: Mammoth Tank</t>
        </is>
      </c>
      <c r="J100" t="inlineStr"/>
      <c r="K100" t="inlineStr">
        <is>
          <t>siêu tăng hai nòng 140 mm, giáp composite, APS và cảm biến hiện đại, có tháp phụ</t>
        </is>
      </c>
      <c r="L100" t="inlineStr"/>
      <c r="M100" t="inlineStr">
        <is>
          <t>gia_tuong</t>
        </is>
      </c>
      <c r="N100" t="inlineStr"/>
      <c r="O100" t="inlineStr">
        <is>
          <t>uoc_dinh</t>
        </is>
      </c>
      <c r="P100" t="inlineStr">
        <is>
          <t>R_unit_refs;R_reference_real;R_machine_brigade_can_bang;R_titan_tank</t>
        </is>
      </c>
      <c r="Q100" t="inlineStr">
        <is>
          <t>reference_real.json: fictional (mẫu 'Rheinmetall NPzK concept, a super tank', thiết kế giả tưởng)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V100" t="inlineStr">
        <is>
          <t>Rheinmetall NPzK concept, a super tank</t>
        </is>
      </c>
      <c r="W100" t="inlineStr">
        <is>
          <t>inspiration</t>
        </is>
      </c>
      <c r="Y100" t="inlineStr">
        <is>
          <t>ước đoán: siêu tăng hai nòng 140 mm, giáp composite, APS và cảm biến hiện đại, có tháp phụ</t>
        </is>
      </c>
      <c r="Z100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100" t="inlineStr">
        <is>
          <t>Landkreuzer Ratte (thiết kế 1.000 tấn)</t>
        </is>
      </c>
      <c r="AB100" t="inlineStr"/>
      <c r="AC100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titan_tank; Tools/models/reference_real.json: units.titan_tank</t>
        </is>
      </c>
      <c r="AK100" t="inlineStr"/>
    </row>
    <row r="101">
      <c r="A101" t="inlineStr">
        <is>
          <t>twin_rotor_gunship</t>
        </is>
      </c>
      <c r="B101" t="inlineStr">
        <is>
          <t>twin_rotor_gunship</t>
        </is>
      </c>
      <c r="C101" t="inlineStr">
        <is>
          <t>Pháo hạm trực thăng hai rô-to</t>
        </is>
      </c>
      <c r="D101" t="inlineStr">
        <is>
          <t>NEED_SOURCE</t>
        </is>
      </c>
      <c r="E101" t="inlineStr"/>
      <c r="F101" t="inlineStr">
        <is>
          <t>NEED_SOURCE</t>
        </is>
      </c>
      <c r="G101" t="inlineStr">
        <is>
          <t>NEED_SOURCE</t>
        </is>
      </c>
      <c r="H101" t="inlineStr"/>
      <c r="I101" t="inlineStr"/>
      <c r="J101" t="inlineStr"/>
      <c r="K101" t="inlineStr"/>
      <c r="L101" t="inlineStr"/>
      <c r="M101" t="inlineStr"/>
      <c r="N101" t="inlineStr"/>
      <c r="O101" t="inlineStr">
        <is>
          <t>NEED_SOURCE</t>
        </is>
      </c>
      <c r="P101" t="inlineStr">
        <is>
          <t>R_twin_rotor_gunship</t>
        </is>
      </c>
      <c r="Q101" t="inlineStr">
        <is>
          <t>repo không có tham chiếu cho thực thể này (unit_refs.json, reference_real.json, bảng cân bằng)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Z101" t="inlineStr"/>
      <c r="AA101" t="inlineStr"/>
      <c r="AB101" t="inlineStr"/>
      <c r="AC101" t="inlineStr">
        <is>
          <t>Tools/blender/specs/twin_rotor_gunship.json: real = Boeing ACH-47A 'Guns-A-Go-Go' (armed CH-47 Chinook); confidence = cao (ACH-47A is documented: chin M5 40 mm, pylon guns, door guns)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twin_rotor_gunship; Tools/models/reference_real.json: units.twin_rotor_gunship</t>
        </is>
      </c>
      <c r="AK101" t="inlineStr"/>
    </row>
    <row r="102">
      <c r="A102" t="inlineStr">
        <is>
          <t>twin_tank</t>
        </is>
      </c>
      <c r="B102" t="inlineStr">
        <is>
          <t>twin_tank</t>
        </is>
      </c>
      <c r="C102" t="inlineStr">
        <is>
          <t>Tăng hai nòng</t>
        </is>
      </c>
      <c r="D102" t="inlineStr">
        <is>
          <t>doi_that</t>
        </is>
      </c>
      <c r="E102" t="inlineStr">
        <is>
          <t>Rh-120 L/44 (hai nòng)</t>
        </is>
      </c>
      <c r="F102" t="inlineStr">
        <is>
          <t>NEED_SOURCE</t>
        </is>
      </c>
      <c r="G102" t="inlineStr">
        <is>
          <t>NEED_SOURCE</t>
        </is>
      </c>
      <c r="H102" t="inlineStr">
        <is>
          <t>Command &amp; Conquer;Red Alert 2</t>
        </is>
      </c>
      <c r="I102" t="inlineStr">
        <is>
          <t>hình dáng: Mammoth Tank;hình dáng: Apocalypse Tank</t>
        </is>
      </c>
      <c r="J102" t="inlineStr"/>
      <c r="K102" t="inlineStr">
        <is>
          <t>xe tăng hai nòng đặt song song</t>
        </is>
      </c>
      <c r="L102" t="inlineStr"/>
      <c r="M102" t="inlineStr">
        <is>
          <t>gia_tuong</t>
        </is>
      </c>
      <c r="N102" t="inlineStr"/>
      <c r="O102" t="inlineStr">
        <is>
          <t>uoc_dinh</t>
        </is>
      </c>
      <c r="P102" t="inlineStr">
        <is>
          <t>R_unit_refs;R_reference_real;R_machine_brigade_can_bang;R_twin_tank</t>
        </is>
      </c>
      <c r="Q102" t="inlineStr">
        <is>
          <t>reference_real.json: fictional (mẫu 'twin Rh-120 L/44 tank', thiết kế giả tưởng)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V102" t="inlineStr">
        <is>
          <t>twin Rh-120 L/44 tank</t>
        </is>
      </c>
      <c r="W102" t="inlineStr">
        <is>
          <t>inspiration</t>
        </is>
      </c>
      <c r="Y102" t="inlineStr">
        <is>
          <t>ước đoán: xe tăng hai nòng đặt song song</t>
        </is>
      </c>
      <c r="Z102" t="inlineStr">
        <is>
          <t>Rh-120 L/44 (hai nòng) · Mammoth Tank (Command &amp; Conquer), Apocalypse Tank (Red Alert 2) — ước đoán: xe tăng hai nòng đặt</t>
        </is>
      </c>
      <c r="AA102" t="inlineStr"/>
      <c r="AB102" t="inlineStr"/>
      <c r="AC102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twin_tank; Tools/models/reference_real.json: units.twin_tank</t>
        </is>
      </c>
      <c r="AK102" t="inlineStr"/>
    </row>
    <row r="103">
      <c r="A103" t="inlineStr">
        <is>
          <t>vbied</t>
        </is>
      </c>
      <c r="B103" t="inlineStr">
        <is>
          <t>vbied</t>
        </is>
      </c>
      <c r="C103" t="inlineStr">
        <is>
          <t>Xe bom bọc thép</t>
        </is>
      </c>
      <c r="D103" t="inlineStr">
        <is>
          <t>doi_that</t>
        </is>
      </c>
      <c r="E103" t="inlineStr">
        <is>
          <t>xe bom tự sát bọc thép ở Mosul 2016-17 ('Iron Coffin')</t>
        </is>
      </c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>
        <is>
          <t>Xe bán tải bom tự sát bọc thép hàn chắp vá</t>
        </is>
      </c>
      <c r="L103" t="inlineStr"/>
      <c r="M103" t="inlineStr">
        <is>
          <t>gia_tuong</t>
        </is>
      </c>
      <c r="N103" t="inlineStr"/>
      <c r="O103" t="inlineStr">
        <is>
          <t>ban_dau_doan</t>
        </is>
      </c>
      <c r="P103" t="inlineStr">
        <is>
          <t>R_unit_refs;R_reference_real;R_unit_sheet;R_machine_brigade_can_bang;R_vbied</t>
        </is>
      </c>
      <c r="Q103" t="inlineStr">
        <is>
          <t>reference_real.json: improvised; no standard (mẫu 'armoured VBIED pickup (Mosul)', thiết kế giả tưởng)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NEED_SOURCE</t>
        </is>
      </c>
      <c r="T103" t="inlineStr">
        <is>
          <t>NEED_SOURCE</t>
        </is>
      </c>
      <c r="U103" t="inlineStr">
        <is>
          <t>NEED_SOURCE</t>
        </is>
      </c>
      <c r="V103" t="inlineStr">
        <is>
          <t>armoured VBIED pickup (Mosul)</t>
        </is>
      </c>
      <c r="W103" t="inlineStr">
        <is>
          <t>inspiration</t>
        </is>
      </c>
      <c r="X103" t="inlineStr">
        <is>
          <t>0,8 × bán tải bọc thép chắp vá</t>
        </is>
      </c>
      <c r="Y103" t="inlineStr">
        <is>
          <t>Xe bán tải bom tự sát bọc thép hàn chắp vá</t>
        </is>
      </c>
      <c r="Z103" t="inlineStr">
        <is>
          <t>xe bom tự sát bọc thép ở Mosul 2016-17 ('Iron Coffin') — Xe bán tải bom tự sát bọc thép hàn chắp vá</t>
        </is>
      </c>
      <c r="AA103" t="inlineStr">
        <is>
          <t>"Iron Coffin" ở Mosul hàn thép dày phía trước | Thang bán kính nổ (sheet Tổng quan)</t>
        </is>
      </c>
      <c r="AB103" t="inlineStr"/>
      <c r="AC103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vbied; Tools/models/reference_real.json: units.vbied</t>
        </is>
      </c>
      <c r="AK103" t="inlineStr"/>
    </row>
    <row r="104">
      <c r="A104" t="inlineStr">
        <is>
          <t>wheeled_gun</t>
        </is>
      </c>
      <c r="B104" t="inlineStr">
        <is>
          <t>wheeled_gun</t>
        </is>
      </c>
      <c r="C104" t="inlineStr">
        <is>
          <t>Pháo xung kích bánh lốp</t>
        </is>
      </c>
      <c r="D104" t="inlineStr">
        <is>
          <t>doi_that</t>
        </is>
      </c>
      <c r="E104" t="inlineStr">
        <is>
          <t>Centauro B1 / Centauro II 120 mm;M1128 MGS;Rooikat</t>
        </is>
      </c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>
        <is>
          <t>Pháo chống tăng bánh lốp 8x8</t>
        </is>
      </c>
      <c r="L104" t="inlineStr"/>
      <c r="M104" t="inlineStr"/>
      <c r="N104" t="inlineStr"/>
      <c r="O104" t="inlineStr">
        <is>
          <t>da_kiem_chung</t>
        </is>
      </c>
      <c r="P104" t="inlineStr">
        <is>
          <t>R_unit_refs;R_reference_real;W_wikipedia_b1_centauro;R_unit_sheet;R_machine_brigade_can_bang;R_wheeled_gun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INDEX(xe_input_kich_thuoc_that!$B$2:$B$66,MATCH($B$104,xe_input_kich_thuoc_that!$A$2:$A$66,0))</f>
        <v/>
      </c>
      <c r="T104">
        <f>INDEX(xe_input_kich_thuoc_that!$C$2:$C$66,MATCH($B$104,xe_input_kich_thuoc_that!$A$2:$A$66,0))</f>
        <v/>
      </c>
      <c r="U104">
        <f>INDEX(xe_input_kich_thuoc_that!$D$2:$D$66,MATCH($B$104,xe_input_kich_thuoc_that!$A$2:$A$66,0))</f>
        <v/>
      </c>
      <c r="V104" t="inlineStr">
        <is>
          <t>B1 Centauro</t>
        </is>
      </c>
      <c r="W104" t="inlineStr">
        <is>
          <t>high</t>
        </is>
      </c>
      <c r="X104" t="inlineStr">
        <is>
          <t>0,8 × Centauro II</t>
        </is>
      </c>
      <c r="Y104" t="inlineStr">
        <is>
          <t>Pháo chống tăng bánh lốp 8x8</t>
        </is>
      </c>
      <c r="Z104" t="inlineStr">
        <is>
          <t>Centauro B1 / Centauro II 120 mm, M1128 MGS, Rooikat — Pháo chống tăng bánh lốp 8x8</t>
        </is>
      </c>
      <c r="AA104" t="inlineStr">
        <is>
          <t>Centauro II: giáp chống 14,5–30 mm | Centauro II nạp tay</t>
        </is>
      </c>
      <c r="AB104" t="inlineStr"/>
      <c r="AC104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wheeled_gun; Tools/models/reference_real.json: units.wheeled_gun</t>
        </is>
      </c>
      <c r="AK104" t="inlineStr"/>
    </row>
    <row r="105">
      <c r="A105" t="inlineStr">
        <is>
          <t>zu23_technical</t>
        </is>
      </c>
      <c r="B105" t="inlineStr">
        <is>
          <t>zu23_technical</t>
        </is>
      </c>
      <c r="C105" t="inlineStr">
        <is>
          <t>Bán tải cao xạ</t>
        </is>
      </c>
      <c r="D105" t="inlineStr">
        <is>
          <t>doi_that</t>
        </is>
      </c>
      <c r="E105" t="inlineStr">
        <is>
          <t>Toyota Hilux;ZU-23-2 23 mm</t>
        </is>
      </c>
      <c r="F105" t="inlineStr">
        <is>
          <t>NEED_SOURCE</t>
        </is>
      </c>
      <c r="G105" t="inlineStr">
        <is>
          <t>NEED_SOURCE</t>
        </is>
      </c>
      <c r="H105" t="inlineStr"/>
      <c r="I105" t="inlineStr"/>
      <c r="J105" t="inlineStr"/>
      <c r="K105" t="inlineStr">
        <is>
          <t>Xe bán tải gắn pháo phòng không hai nòng ZU-23-2</t>
        </is>
      </c>
      <c r="L105" t="inlineStr"/>
      <c r="M105" t="inlineStr"/>
      <c r="N105" t="inlineStr"/>
      <c r="O105" t="inlineStr">
        <is>
          <t>uoc_dinh</t>
        </is>
      </c>
      <c r="P105" t="inlineStr">
        <is>
          <t>R_unit_refs;R_reference_real;D_toyota_hilux_an10_an20_specifications;R_unit_sheet;R_machine_brigade_can_bang;R_zu23_technical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>
        <f>INDEX(xe_input_kich_thuoc_that!$B$2:$B$66,MATCH($B$105,xe_input_kich_thuoc_that!$A$2:$A$66,0))</f>
        <v/>
      </c>
      <c r="T105">
        <f>INDEX(xe_input_kich_thuoc_that!$C$2:$C$66,MATCH($B$105,xe_input_kich_thuoc_that!$A$2:$A$66,0))</f>
        <v/>
      </c>
      <c r="U105">
        <f>INDEX(xe_input_kich_thuoc_that!$D$2:$D$66,MATCH($B$105,xe_input_kich_thuoc_that!$A$2:$A$66,0))</f>
        <v/>
      </c>
      <c r="V105" t="inlineStr">
        <is>
          <t>Toyota Hilux (7th gen, double cab)</t>
        </is>
      </c>
      <c r="W105" t="inlineStr">
        <is>
          <t>approx</t>
        </is>
      </c>
      <c r="X105" t="inlineStr">
        <is>
          <t>0,8 × Hilux + ZU-23-2</t>
        </is>
      </c>
      <c r="Y105" t="inlineStr">
        <is>
          <t>Xe bán tải gắn pháo phòng không hai nòng ZU-23-2</t>
        </is>
      </c>
      <c r="Z105" t="inlineStr">
        <is>
          <t>Toyota Hilux, ZU-23-2 23 mm — Xe bán tải gắn pháo phòng không hai nòng ZU-23-2</t>
        </is>
      </c>
      <c r="AA105" t="inlineStr">
        <is>
          <t>ZU-23-2: 2.000 phát/phút, tầm 2,5 km</t>
        </is>
      </c>
      <c r="AB105" t="inlineStr"/>
      <c r="AC105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05" t="inlineStr">
        <is>
          <t>NEED_SOURCE</t>
        </is>
      </c>
      <c r="AE105" t="inlineStr">
        <is>
          <t>NEED_SOURCE</t>
        </is>
      </c>
      <c r="AF105" t="inlineStr">
        <is>
          <t>NEED_SOURCE</t>
        </is>
      </c>
      <c r="AG105" t="inlineStr">
        <is>
          <t>NEED_SOURCE</t>
        </is>
      </c>
      <c r="AH105" t="inlineStr">
        <is>
          <t>NEED_SOURCE</t>
        </is>
      </c>
      <c r="AI105" t="inlineStr">
        <is>
          <t>NEED_SOURCE</t>
        </is>
      </c>
      <c r="AJ105" t="inlineStr">
        <is>
          <t>Tools/docs/unit_refs.json: zu23_technical; Tools/models/reference_real.json: units.zu23_technical</t>
        </is>
      </c>
      <c r="AK105" t="inlineStr"/>
    </row>
  </sheetData>
  <autoFilter ref="A1:AK105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INDEX(Xe!$EA$2:$EA$80,MATCH($B$2,Xe!$A$2:$A$80,0))</f>
        <v/>
      </c>
      <c r="F2">
        <f>INDEX(Phuong_tien_tham_chieu!$U$2:$U$105,MATCH("aa_vehicle",Phuong_tien_tham_chieu!$A$2:$A$105,0))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INDEX(Xe!$EA$2:$EA$80,MATCH($B$3,Xe!$A$2:$A$80,0))/INDEX(Xe!$EB$2:$EB$80,MATCH($B$3,Xe!$A$2:$A$80,0))</f>
        <v/>
      </c>
      <c r="F3">
        <f>INDEX(Phuong_tien_tham_chieu!$U$2:$U$105,MATCH("aa_vehicle",Phuong_tien_tham_chieu!$A$2:$A$105,0))/INDEX(Phuong_tien_tham_chieu!$S$2:$S$105,MATCH("aa_vehicle",Phuong_tien_tham_chieu!$A$2:$A$105,0))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INDEX(Xe!$EB$2:$EB$80,MATCH($B$4,Xe!$A$2:$A$80,0))</f>
        <v/>
      </c>
      <c r="F4">
        <f>INDEX(Phuong_tien_tham_chieu!$S$2:$S$105,MATCH("aa_vehicle",Phuong_tien_tham_chieu!$A$2:$A$105,0))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INDEX(Xe!$EC$2:$EC$80,MATCH($B$5,Xe!$A$2:$A$80,0))</f>
        <v/>
      </c>
      <c r="F5">
        <f>INDEX(Phuong_tien_tham_chieu!$T$2:$T$105,MATCH("aa_vehicle",Phuong_tien_tham_chieu!$A$2:$A$105,0))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INDEX(Xe!$EC$2:$EC$80,MATCH($B$6,Xe!$A$2:$A$80,0))/INDEX(Xe!$EB$2:$EB$80,MATCH($B$6,Xe!$A$2:$A$80,0))</f>
        <v/>
      </c>
      <c r="F6">
        <f>INDEX(Phuong_tien_tham_chieu!$T$2:$T$105,MATCH("aa_vehicle",Phuong_tien_tham_chieu!$A$2:$A$105,0))/INDEX(Phuong_tien_tham_chieu!$S$2:$S$105,MATCH("aa_vehicle",Phuong_tien_tham_chieu!$A$2:$A$105,0))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INDEX(Xe!$EA$2:$EA$80,MATCH($B$7,Xe!$A$2:$A$80,0))</f>
        <v/>
      </c>
      <c r="F7">
        <f>INDEX(Phuong_tien_tham_chieu!$U$2:$U$105,MATCH("ammo_carrier",Phuong_tien_tham_chieu!$A$2:$A$105,0))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INDEX(Xe!$EA$2:$EA$80,MATCH($B$8,Xe!$A$2:$A$80,0))/INDEX(Xe!$EB$2:$EB$80,MATCH($B$8,Xe!$A$2:$A$80,0))</f>
        <v/>
      </c>
      <c r="F8">
        <f>INDEX(Phuong_tien_tham_chieu!$U$2:$U$105,MATCH("ammo_carrier",Phuong_tien_tham_chieu!$A$2:$A$105,0))/INDEX(Phuong_tien_tham_chieu!$S$2:$S$105,MATCH("ammo_carrier",Phuong_tien_tham_chieu!$A$2:$A$105,0))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INDEX(Xe!$EB$2:$EB$80,MATCH($B$9,Xe!$A$2:$A$80,0))</f>
        <v/>
      </c>
      <c r="F9">
        <f>INDEX(Phuong_tien_tham_chieu!$S$2:$S$105,MATCH("ammo_carrier",Phuong_tien_tham_chieu!$A$2:$A$105,0))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INDEX(Xe!$EC$2:$EC$80,MATCH($B$10,Xe!$A$2:$A$80,0))</f>
        <v/>
      </c>
      <c r="F10">
        <f>INDEX(Phuong_tien_tham_chieu!$T$2:$T$105,MATCH("ammo_carrier",Phuong_tien_tham_chieu!$A$2:$A$105,0))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INDEX(Xe!$EC$2:$EC$80,MATCH($B$11,Xe!$A$2:$A$80,0))/INDEX(Xe!$EB$2:$EB$80,MATCH($B$11,Xe!$A$2:$A$80,0))</f>
        <v/>
      </c>
      <c r="F11">
        <f>INDEX(Phuong_tien_tham_chieu!$T$2:$T$105,MATCH("ammo_carrier",Phuong_tien_tham_chieu!$A$2:$A$105,0))/INDEX(Phuong_tien_tham_chieu!$S$2:$S$105,MATCH("ammo_carrier",Phuong_tien_tham_chieu!$A$2:$A$105,0))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INDEX(Xe!$EA$2:$EA$80,MATCH($B$12,Xe!$A$2:$A$80,0))</f>
        <v/>
      </c>
      <c r="F12">
        <f>INDEX(Phuong_tien_tham_chieu!$U$2:$U$105,MATCH("armored_bulldozer",Phuong_tien_tham_chieu!$A$2:$A$105,0))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INDEX(Xe!$EA$2:$EA$80,MATCH($B$13,Xe!$A$2:$A$80,0))/INDEX(Xe!$EB$2:$EB$80,MATCH($B$13,Xe!$A$2:$A$80,0))</f>
        <v/>
      </c>
      <c r="F13">
        <f>INDEX(Phuong_tien_tham_chieu!$U$2:$U$105,MATCH("armored_bulldozer",Phuong_tien_tham_chieu!$A$2:$A$105,0))/INDEX(Phuong_tien_tham_chieu!$S$2:$S$105,MATCH("armored_bulldozer",Phuong_tien_tham_chieu!$A$2:$A$105,0))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TC0074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INDEX(Xe!$EB$2:$EB$80,MATCH($B$14,Xe!$A$2:$A$80,0))</f>
        <v/>
      </c>
      <c r="F14">
        <f>INDEX(Phuong_tien_tham_chieu!$S$2:$S$105,MATCH("armored_bulldozer",Phuong_tien_tham_chieu!$A$2:$A$105,0))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INDEX(Xe!$EC$2:$EC$80,MATCH($B$15,Xe!$A$2:$A$80,0))</f>
        <v/>
      </c>
      <c r="F15">
        <f>INDEX(Phuong_tien_tham_chieu!$T$2:$T$105,MATCH("armored_bulldozer",Phuong_tien_tham_chieu!$A$2:$A$105,0))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INDEX(Xe!$EC$2:$EC$80,MATCH($B$16,Xe!$A$2:$A$80,0))/INDEX(Xe!$EB$2:$EB$80,MATCH($B$16,Xe!$A$2:$A$80,0))</f>
        <v/>
      </c>
      <c r="F16">
        <f>INDEX(Phuong_tien_tham_chieu!$T$2:$T$105,MATCH("armored_bulldozer",Phuong_tien_tham_chieu!$A$2:$A$105,0))/INDEX(Phuong_tien_tham_chieu!$S$2:$S$105,MATCH("armored_bulldozer",Phuong_tien_tham_chieu!$A$2:$A$105,0))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TC0075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INDEX(Xe!$EA$2:$EA$80,MATCH($B$17,Xe!$A$2:$A$80,0))</f>
        <v/>
      </c>
      <c r="F17">
        <f>INDEX(Phuong_tien_tham_chieu!$U$2:$U$105,MATCH("armored_car",Phuong_tien_tham_chieu!$A$2:$A$105,0))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INDEX(Xe!$EA$2:$EA$80,MATCH($B$18,Xe!$A$2:$A$80,0))/INDEX(Xe!$EB$2:$EB$80,MATCH($B$18,Xe!$A$2:$A$80,0))</f>
        <v/>
      </c>
      <c r="F18">
        <f>INDEX(Phuong_tien_tham_chieu!$U$2:$U$105,MATCH("armored_car",Phuong_tien_tham_chieu!$A$2:$A$105,0))/INDEX(Phuong_tien_tham_chieu!$S$2:$S$105,MATCH("armored_car",Phuong_tien_tham_chieu!$A$2:$A$105,0))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INDEX(Xe!$EB$2:$EB$80,MATCH($B$19,Xe!$A$2:$A$80,0))</f>
        <v/>
      </c>
      <c r="F19">
        <f>INDEX(Phuong_tien_tham_chieu!$S$2:$S$105,MATCH("armored_car",Phuong_tien_tham_chieu!$A$2:$A$105,0))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INDEX(Xe!$EC$2:$EC$80,MATCH($B$20,Xe!$A$2:$A$80,0))</f>
        <v/>
      </c>
      <c r="F20">
        <f>INDEX(Phuong_tien_tham_chieu!$T$2:$T$105,MATCH("armored_car",Phuong_tien_tham_chieu!$A$2:$A$105,0))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INDEX(Xe!$EC$2:$EC$80,MATCH($B$21,Xe!$A$2:$A$80,0))/INDEX(Xe!$EB$2:$EB$80,MATCH($B$21,Xe!$A$2:$A$80,0))</f>
        <v/>
      </c>
      <c r="F21">
        <f>INDEX(Phuong_tien_tham_chieu!$T$2:$T$105,MATCH("armored_car",Phuong_tien_tham_chieu!$A$2:$A$105,0))/INDEX(Phuong_tien_tham_chieu!$S$2:$S$105,MATCH("armored_car",Phuong_tien_tham_chieu!$A$2:$A$105,0))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INDEX(Xe!$EA$2:$EA$80,MATCH($B$22,Xe!$A$2:$A$80,0))</f>
        <v/>
      </c>
      <c r="F22">
        <f>INDEX(Phuong_tien_tham_chieu!$U$2:$U$105,MATCH("artillery",Phuong_tien_tham_chieu!$A$2:$A$105,0))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INDEX(Xe!$EA$2:$EA$80,MATCH($B$23,Xe!$A$2:$A$80,0))/INDEX(Xe!$EB$2:$EB$80,MATCH($B$23,Xe!$A$2:$A$80,0))</f>
        <v/>
      </c>
      <c r="F23">
        <f>INDEX(Phuong_tien_tham_chieu!$U$2:$U$105,MATCH("artillery",Phuong_tien_tham_chieu!$A$2:$A$105,0))/INDEX(Phuong_tien_tham_chieu!$S$2:$S$105,MATCH("artillery",Phuong_tien_tham_chieu!$A$2:$A$105,0))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INDEX(Xe!$EB$2:$EB$80,MATCH($B$24,Xe!$A$2:$A$80,0))</f>
        <v/>
      </c>
      <c r="F24">
        <f>INDEX(Phuong_tien_tham_chieu!$S$2:$S$105,MATCH("artillery",Phuong_tien_tham_chieu!$A$2:$A$105,0))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INDEX(Xe!$EC$2:$EC$80,MATCH($B$25,Xe!$A$2:$A$80,0))</f>
        <v/>
      </c>
      <c r="F25">
        <f>INDEX(Phuong_tien_tham_chieu!$T$2:$T$105,MATCH("artillery",Phuong_tien_tham_chieu!$A$2:$A$105,0))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INDEX(Xe!$EC$2:$EC$80,MATCH($B$26,Xe!$A$2:$A$80,0))/INDEX(Xe!$EB$2:$EB$80,MATCH($B$26,Xe!$A$2:$A$80,0))</f>
        <v/>
      </c>
      <c r="F26">
        <f>INDEX(Phuong_tien_tham_chieu!$T$2:$T$105,MATCH("artillery",Phuong_tien_tham_chieu!$A$2:$A$105,0))/INDEX(Phuong_tien_tham_chieu!$S$2:$S$105,MATCH("artillery",Phuong_tien_tham_chieu!$A$2:$A$105,0))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TC0076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INDEX(Xe!$EA$2:$EA$80,MATCH($B$27,Xe!$A$2:$A$80,0))</f>
        <v/>
      </c>
      <c r="F27">
        <f>INDEX(Phuong_tien_tham_chieu!$U$2:$U$105,MATCH("attack_helicopter",Phuong_tien_tham_chieu!$A$2:$A$105,0))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INDEX(Xe!$EA$2:$EA$80,MATCH($B$28,Xe!$A$2:$A$80,0))/INDEX(Xe!$EB$2:$EB$80,MATCH($B$28,Xe!$A$2:$A$80,0))</f>
        <v/>
      </c>
      <c r="F28">
        <f>INDEX(Phuong_tien_tham_chieu!$U$2:$U$105,MATCH("attack_helicopter",Phuong_tien_tham_chieu!$A$2:$A$105,0))/INDEX(Phuong_tien_tham_chieu!$S$2:$S$105,MATCH("attack_helicopter",Phuong_tien_tham_chieu!$A$2:$A$105,0))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TC0077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INDEX(Xe!$EB$2:$EB$80,MATCH($B$29,Xe!$A$2:$A$80,0))</f>
        <v/>
      </c>
      <c r="F29">
        <f>INDEX(Phuong_tien_tham_chieu!$S$2:$S$105,MATCH("attack_helicopter",Phuong_tien_tham_chieu!$A$2:$A$105,0))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INDEX(Xe!$EC$2:$EC$80,MATCH($B$30,Xe!$A$2:$A$80,0))</f>
        <v/>
      </c>
      <c r="F30">
        <f>INDEX(Phuong_tien_tham_chieu!$T$2:$T$105,MATCH("attack_helicopter",Phuong_tien_tham_chieu!$A$2:$A$105,0))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INDEX(Xe!$EC$2:$EC$80,MATCH($B$31,Xe!$A$2:$A$80,0))/INDEX(Xe!$EB$2:$EB$80,MATCH($B$31,Xe!$A$2:$A$80,0))</f>
        <v/>
      </c>
      <c r="F31">
        <f>INDEX(Phuong_tien_tham_chieu!$T$2:$T$105,MATCH("attack_helicopter",Phuong_tien_tham_chieu!$A$2:$A$105,0))/INDEX(Phuong_tien_tham_chieu!$S$2:$S$105,MATCH("attack_helicopter",Phuong_tien_tham_chieu!$A$2:$A$105,0))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TC0078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INDEX(Xe!$EA$2:$EA$80,MATCH($B$32,Xe!$A$2:$A$80,0))</f>
        <v/>
      </c>
      <c r="F32">
        <f>INDEX(Phuong_tien_tham_chieu!$U$2:$U$105,MATCH("attack_jet",Phuong_tien_tham_chieu!$A$2:$A$105,0))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INDEX(Xe!$EA$2:$EA$80,MATCH($B$33,Xe!$A$2:$A$80,0))/INDEX(Xe!$EB$2:$EB$80,MATCH($B$33,Xe!$A$2:$A$80,0))</f>
        <v/>
      </c>
      <c r="F33">
        <f>INDEX(Phuong_tien_tham_chieu!$U$2:$U$105,MATCH("attack_jet",Phuong_tien_tham_chieu!$A$2:$A$105,0))/INDEX(Phuong_tien_tham_chieu!$S$2:$S$105,MATCH("attack_jet",Phuong_tien_tham_chieu!$A$2:$A$105,0))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INDEX(Xe!$EB$2:$EB$80,MATCH($B$34,Xe!$A$2:$A$80,0))</f>
        <v/>
      </c>
      <c r="F34">
        <f>INDEX(Phuong_tien_tham_chieu!$S$2:$S$105,MATCH("attack_jet",Phuong_tien_tham_chieu!$A$2:$A$105,0))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INDEX(Xe!$EC$2:$EC$80,MATCH($B$35,Xe!$A$2:$A$80,0))</f>
        <v/>
      </c>
      <c r="F35">
        <f>INDEX(Phuong_tien_tham_chieu!$T$2:$T$105,MATCH("attack_jet",Phuong_tien_tham_chieu!$A$2:$A$105,0))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INDEX(Xe!$EC$2:$EC$80,MATCH($B$36,Xe!$A$2:$A$80,0))/INDEX(Xe!$EB$2:$EB$80,MATCH($B$36,Xe!$A$2:$A$80,0))</f>
        <v/>
      </c>
      <c r="F36">
        <f>INDEX(Phuong_tien_tham_chieu!$T$2:$T$105,MATCH("attack_jet",Phuong_tien_tham_chieu!$A$2:$A$105,0))/INDEX(Phuong_tien_tham_chieu!$S$2:$S$105,MATCH("attack_jet",Phuong_tien_tham_chieu!$A$2:$A$105,0))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INDEX(Xe!$EB$2:$EB$80,MATCH($B$37,Xe!$A$2:$A$80,0))</f>
        <v/>
      </c>
      <c r="F37">
        <f>INDEX(Phuong_tien_tham_chieu!$S$2:$S$105,MATCH("ballistic_launcher",Phuong_tien_tham_chieu!$A$2:$A$105,0))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INDEX(Xe!$EC$2:$EC$80,MATCH($B$38,Xe!$A$2:$A$80,0))</f>
        <v/>
      </c>
      <c r="F38">
        <f>INDEX(Phuong_tien_tham_chieu!$T$2:$T$105,MATCH("ballistic_launcher",Phuong_tien_tham_chieu!$A$2:$A$105,0))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INDEX(Xe!$EC$2:$EC$80,MATCH($B$39,Xe!$A$2:$A$80,0))/INDEX(Xe!$EB$2:$EB$80,MATCH($B$39,Xe!$A$2:$A$80,0))</f>
        <v/>
      </c>
      <c r="F39">
        <f>INDEX(Phuong_tien_tham_chieu!$T$2:$T$105,MATCH("ballistic_launcher",Phuong_tien_tham_chieu!$A$2:$A$105,0))/INDEX(Phuong_tien_tham_chieu!$S$2:$S$105,MATCH("ballistic_launcher",Phuong_tien_tham_chieu!$A$2:$A$105,0))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INDEX(Xe!$EA$2:$EA$80,MATCH($B$40,Xe!$A$2:$A$80,0))</f>
        <v/>
      </c>
      <c r="F40">
        <f>INDEX(Phuong_tien_tham_chieu!$U$2:$U$105,MATCH("command_vehicle",Phuong_tien_tham_chieu!$A$2:$A$105,0))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INDEX(Xe!$EA$2:$EA$80,MATCH($B$41,Xe!$A$2:$A$80,0))/INDEX(Xe!$EB$2:$EB$80,MATCH($B$41,Xe!$A$2:$A$80,0))</f>
        <v/>
      </c>
      <c r="F41">
        <f>INDEX(Phuong_tien_tham_chieu!$U$2:$U$105,MATCH("command_vehicle",Phuong_tien_tham_chieu!$A$2:$A$105,0))/INDEX(Phuong_tien_tham_chieu!$S$2:$S$105,MATCH("command_vehicle",Phuong_tien_tham_chieu!$A$2:$A$105,0))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INDEX(Xe!$EB$2:$EB$80,MATCH($B$42,Xe!$A$2:$A$80,0))</f>
        <v/>
      </c>
      <c r="F42">
        <f>INDEX(Phuong_tien_tham_chieu!$S$2:$S$105,MATCH("command_vehicle",Phuong_tien_tham_chieu!$A$2:$A$105,0))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INDEX(Xe!$EC$2:$EC$80,MATCH($B$43,Xe!$A$2:$A$80,0))</f>
        <v/>
      </c>
      <c r="F43">
        <f>INDEX(Phuong_tien_tham_chieu!$T$2:$T$105,MATCH("command_vehicle",Phuong_tien_tham_chieu!$A$2:$A$105,0))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INDEX(Xe!$EC$2:$EC$80,MATCH($B$44,Xe!$A$2:$A$80,0))/INDEX(Xe!$EB$2:$EB$80,MATCH($B$44,Xe!$A$2:$A$80,0))</f>
        <v/>
      </c>
      <c r="F44">
        <f>INDEX(Phuong_tien_tham_chieu!$T$2:$T$105,MATCH("command_vehicle",Phuong_tien_tham_chieu!$A$2:$A$105,0))/INDEX(Phuong_tien_tham_chieu!$S$2:$S$105,MATCH("command_vehicle",Phuong_tien_tham_chieu!$A$2:$A$105,0))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INDEX(Xe!$EA$2:$EA$80,MATCH($B$45,Xe!$A$2:$A$80,0))</f>
        <v/>
      </c>
      <c r="F45">
        <f>INDEX(Phuong_tien_tham_chieu!$U$2:$U$105,MATCH("elite_aa",Phuong_tien_tham_chieu!$A$2:$A$105,0))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INDEX(Xe!$EA$2:$EA$80,MATCH($B$46,Xe!$A$2:$A$80,0))/INDEX(Xe!$EB$2:$EB$80,MATCH($B$46,Xe!$A$2:$A$80,0))</f>
        <v/>
      </c>
      <c r="F46">
        <f>INDEX(Phuong_tien_tham_chieu!$U$2:$U$105,MATCH("elite_aa",Phuong_tien_tham_chieu!$A$2:$A$105,0))/INDEX(Phuong_tien_tham_chieu!$S$2:$S$105,MATCH("elite_aa",Phuong_tien_tham_chieu!$A$2:$A$105,0))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INDEX(Xe!$EB$2:$EB$80,MATCH($B$47,Xe!$A$2:$A$80,0))</f>
        <v/>
      </c>
      <c r="F47">
        <f>INDEX(Phuong_tien_tham_chieu!$S$2:$S$105,MATCH("elite_aa",Phuong_tien_tham_chieu!$A$2:$A$105,0))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INDEX(Xe!$EC$2:$EC$80,MATCH($B$48,Xe!$A$2:$A$80,0))</f>
        <v/>
      </c>
      <c r="F48">
        <f>INDEX(Phuong_tien_tham_chieu!$T$2:$T$105,MATCH("elite_aa",Phuong_tien_tham_chieu!$A$2:$A$105,0))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INDEX(Xe!$EC$2:$EC$80,MATCH($B$49,Xe!$A$2:$A$80,0))/INDEX(Xe!$EB$2:$EB$80,MATCH($B$49,Xe!$A$2:$A$80,0))</f>
        <v/>
      </c>
      <c r="F49">
        <f>INDEX(Phuong_tien_tham_chieu!$T$2:$T$105,MATCH("elite_aa",Phuong_tien_tham_chieu!$A$2:$A$105,0))/INDEX(Phuong_tien_tham_chieu!$S$2:$S$105,MATCH("elite_aa",Phuong_tien_tham_chieu!$A$2:$A$105,0))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INDEX(Xe!$EA$2:$EA$80,MATCH($B$50,Xe!$A$2:$A$80,0))</f>
        <v/>
      </c>
      <c r="F50">
        <f>INDEX(Phuong_tien_tham_chieu!$U$2:$U$105,MATCH("elite_apc",Phuong_tien_tham_chieu!$A$2:$A$105,0))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INDEX(Xe!$EA$2:$EA$80,MATCH($B$51,Xe!$A$2:$A$80,0))/INDEX(Xe!$EB$2:$EB$80,MATCH($B$51,Xe!$A$2:$A$80,0))</f>
        <v/>
      </c>
      <c r="F51">
        <f>INDEX(Phuong_tien_tham_chieu!$U$2:$U$105,MATCH("elite_apc",Phuong_tien_tham_chieu!$A$2:$A$105,0))/INDEX(Phuong_tien_tham_chieu!$S$2:$S$105,MATCH("elite_apc",Phuong_tien_tham_chieu!$A$2:$A$105,0))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INDEX(Xe!$EB$2:$EB$80,MATCH($B$52,Xe!$A$2:$A$80,0))</f>
        <v/>
      </c>
      <c r="F52">
        <f>INDEX(Phuong_tien_tham_chieu!$S$2:$S$105,MATCH("elite_apc",Phuong_tien_tham_chieu!$A$2:$A$105,0))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INDEX(Xe!$EC$2:$EC$80,MATCH($B$53,Xe!$A$2:$A$80,0))</f>
        <v/>
      </c>
      <c r="F53">
        <f>INDEX(Phuong_tien_tham_chieu!$T$2:$T$105,MATCH("elite_apc",Phuong_tien_tham_chieu!$A$2:$A$105,0))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INDEX(Xe!$EC$2:$EC$80,MATCH($B$54,Xe!$A$2:$A$80,0))/INDEX(Xe!$EB$2:$EB$80,MATCH($B$54,Xe!$A$2:$A$80,0))</f>
        <v/>
      </c>
      <c r="F54">
        <f>INDEX(Phuong_tien_tham_chieu!$T$2:$T$105,MATCH("elite_apc",Phuong_tien_tham_chieu!$A$2:$A$105,0))/INDEX(Phuong_tien_tham_chieu!$S$2:$S$105,MATCH("elite_apc",Phuong_tien_tham_chieu!$A$2:$A$105,0))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INDEX(Xe!$EA$2:$EA$80,MATCH($B$55,Xe!$A$2:$A$80,0))</f>
        <v/>
      </c>
      <c r="F55">
        <f>INDEX(Phuong_tien_tham_chieu!$U$2:$U$105,MATCH("elite_attack_helicopter",Phuong_tien_tham_chieu!$A$2:$A$105,0))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INDEX(Xe!$EA$2:$EA$80,MATCH($B$56,Xe!$A$2:$A$80,0))/INDEX(Xe!$EB$2:$EB$80,MATCH($B$56,Xe!$A$2:$A$80,0))</f>
        <v/>
      </c>
      <c r="F56">
        <f>INDEX(Phuong_tien_tham_chieu!$U$2:$U$105,MATCH("elite_attack_helicopter",Phuong_tien_tham_chieu!$A$2:$A$105,0))/INDEX(Phuong_tien_tham_chieu!$S$2:$S$105,MATCH("elite_attack_helicopter",Phuong_tien_tham_chieu!$A$2:$A$105,0))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TC0079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INDEX(Xe!$EB$2:$EB$80,MATCH($B$57,Xe!$A$2:$A$80,0))</f>
        <v/>
      </c>
      <c r="F57">
        <f>INDEX(Phuong_tien_tham_chieu!$S$2:$S$105,MATCH("elite_attack_helicopter",Phuong_tien_tham_chieu!$A$2:$A$105,0))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INDEX(Xe!$EC$2:$EC$80,MATCH($B$58,Xe!$A$2:$A$80,0))</f>
        <v/>
      </c>
      <c r="F58">
        <f>INDEX(Phuong_tien_tham_chieu!$T$2:$T$105,MATCH("elite_attack_helicopter",Phuong_tien_tham_chieu!$A$2:$A$105,0))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INDEX(Xe!$EC$2:$EC$80,MATCH($B$59,Xe!$A$2:$A$80,0))/INDEX(Xe!$EB$2:$EB$80,MATCH($B$59,Xe!$A$2:$A$80,0))</f>
        <v/>
      </c>
      <c r="F59">
        <f>INDEX(Phuong_tien_tham_chieu!$T$2:$T$105,MATCH("elite_attack_helicopter",Phuong_tien_tham_chieu!$A$2:$A$105,0))/INDEX(Phuong_tien_tham_chieu!$S$2:$S$105,MATCH("elite_attack_helicopter",Phuong_tien_tham_chieu!$A$2:$A$105,0))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TC0080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INDEX(Xe!$EA$2:$EA$80,MATCH($B$60,Xe!$A$2:$A$80,0))</f>
        <v/>
      </c>
      <c r="F60">
        <f>INDEX(Phuong_tien_tham_chieu!$U$2:$U$105,MATCH("elite_mbt",Phuong_tien_tham_chieu!$A$2:$A$105,0))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INDEX(Xe!$EA$2:$EA$80,MATCH($B$61,Xe!$A$2:$A$80,0))/INDEX(Xe!$EB$2:$EB$80,MATCH($B$61,Xe!$A$2:$A$80,0))</f>
        <v/>
      </c>
      <c r="F61">
        <f>INDEX(Phuong_tien_tham_chieu!$U$2:$U$105,MATCH("elite_mbt",Phuong_tien_tham_chieu!$A$2:$A$105,0))/INDEX(Phuong_tien_tham_chieu!$S$2:$S$105,MATCH("elite_mbt",Phuong_tien_tham_chieu!$A$2:$A$105,0))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TC0081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INDEX(Xe!$EB$2:$EB$80,MATCH($B$62,Xe!$A$2:$A$80,0))</f>
        <v/>
      </c>
      <c r="F62">
        <f>INDEX(Phuong_tien_tham_chieu!$S$2:$S$105,MATCH("elite_mbt",Phuong_tien_tham_chieu!$A$2:$A$105,0))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INDEX(Xe!$EC$2:$EC$80,MATCH($B$63,Xe!$A$2:$A$80,0))</f>
        <v/>
      </c>
      <c r="F63">
        <f>INDEX(Phuong_tien_tham_chieu!$T$2:$T$105,MATCH("elite_mbt",Phuong_tien_tham_chieu!$A$2:$A$105,0))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INDEX(Xe!$EC$2:$EC$80,MATCH($B$64,Xe!$A$2:$A$80,0))/INDEX(Xe!$EB$2:$EB$80,MATCH($B$64,Xe!$A$2:$A$80,0))</f>
        <v/>
      </c>
      <c r="F64">
        <f>INDEX(Phuong_tien_tham_chieu!$T$2:$T$105,MATCH("elite_mbt",Phuong_tien_tham_chieu!$A$2:$A$105,0))/INDEX(Phuong_tien_tham_chieu!$S$2:$S$105,MATCH("elite_mbt",Phuong_tien_tham_chieu!$A$2:$A$105,0))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INDEX(Xe!$EA$2:$EA$80,MATCH($B$65,Xe!$A$2:$A$80,0))</f>
        <v/>
      </c>
      <c r="F65">
        <f>INDEX(Phuong_tien_tham_chieu!$U$2:$U$105,MATCH("elite_mlrs",Phuong_tien_tham_chieu!$A$2:$A$105,0))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INDEX(Xe!$EA$2:$EA$80,MATCH($B$66,Xe!$A$2:$A$80,0))/INDEX(Xe!$EB$2:$EB$80,MATCH($B$66,Xe!$A$2:$A$80,0))</f>
        <v/>
      </c>
      <c r="F66">
        <f>INDEX(Phuong_tien_tham_chieu!$U$2:$U$105,MATCH("elite_mlrs",Phuong_tien_tham_chieu!$A$2:$A$105,0))/INDEX(Phuong_tien_tham_chieu!$S$2:$S$105,MATCH("elite_mlrs",Phuong_tien_tham_chieu!$A$2:$A$105,0))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INDEX(Xe!$EB$2:$EB$80,MATCH($B$67,Xe!$A$2:$A$80,0))</f>
        <v/>
      </c>
      <c r="F67">
        <f>INDEX(Phuong_tien_tham_chieu!$S$2:$S$105,MATCH("elite_mlrs",Phuong_tien_tham_chieu!$A$2:$A$105,0))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INDEX(Xe!$EC$2:$EC$80,MATCH($B$68,Xe!$A$2:$A$80,0))</f>
        <v/>
      </c>
      <c r="F68">
        <f>INDEX(Phuong_tien_tham_chieu!$T$2:$T$105,MATCH("elite_mlrs",Phuong_tien_tham_chieu!$A$2:$A$105,0))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INDEX(Xe!$EC$2:$EC$80,MATCH($B$69,Xe!$A$2:$A$80,0))/INDEX(Xe!$EB$2:$EB$80,MATCH($B$69,Xe!$A$2:$A$80,0))</f>
        <v/>
      </c>
      <c r="F69">
        <f>INDEX(Phuong_tien_tham_chieu!$T$2:$T$105,MATCH("elite_mlrs",Phuong_tien_tham_chieu!$A$2:$A$105,0))/INDEX(Phuong_tien_tham_chieu!$S$2:$S$105,MATCH("elite_mlrs",Phuong_tien_tham_chieu!$A$2:$A$105,0))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INDEX(Xe!$EA$2:$EA$80,MATCH($B$70,Xe!$A$2:$A$80,0))</f>
        <v/>
      </c>
      <c r="F70">
        <f>INDEX(Phuong_tien_tham_chieu!$U$2:$U$105,MATCH("elite_tank_destroyer",Phuong_tien_tham_chieu!$A$2:$A$105,0))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INDEX(Xe!$EA$2:$EA$80,MATCH($B$71,Xe!$A$2:$A$80,0))/INDEX(Xe!$EB$2:$EB$80,MATCH($B$71,Xe!$A$2:$A$80,0))</f>
        <v/>
      </c>
      <c r="F71">
        <f>INDEX(Phuong_tien_tham_chieu!$U$2:$U$105,MATCH("elite_tank_destroyer",Phuong_tien_tham_chieu!$A$2:$A$105,0))/INDEX(Phuong_tien_tham_chieu!$S$2:$S$105,MATCH("elite_tank_destroyer",Phuong_tien_tham_chieu!$A$2:$A$105,0))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TC0082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INDEX(Xe!$EB$2:$EB$80,MATCH($B$72,Xe!$A$2:$A$80,0))</f>
        <v/>
      </c>
      <c r="F72">
        <f>INDEX(Phuong_tien_tham_chieu!$S$2:$S$105,MATCH("elite_tank_destroyer",Phuong_tien_tham_chieu!$A$2:$A$105,0))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INDEX(Xe!$EC$2:$EC$80,MATCH($B$73,Xe!$A$2:$A$80,0))</f>
        <v/>
      </c>
      <c r="F73">
        <f>INDEX(Phuong_tien_tham_chieu!$T$2:$T$105,MATCH("elite_tank_destroyer",Phuong_tien_tham_chieu!$A$2:$A$105,0))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INDEX(Xe!$EC$2:$EC$80,MATCH($B$74,Xe!$A$2:$A$80,0))/INDEX(Xe!$EB$2:$EB$80,MATCH($B$74,Xe!$A$2:$A$80,0))</f>
        <v/>
      </c>
      <c r="F74">
        <f>INDEX(Phuong_tien_tham_chieu!$T$2:$T$105,MATCH("elite_tank_destroyer",Phuong_tien_tham_chieu!$A$2:$A$105,0))/INDEX(Phuong_tien_tham_chieu!$S$2:$S$105,MATCH("elite_tank_destroyer",Phuong_tien_tham_chieu!$A$2:$A$105,0))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INDEX(Xe!$EA$2:$EA$80,MATCH($B$75,Xe!$A$2:$A$80,0))</f>
        <v/>
      </c>
      <c r="F75">
        <f>INDEX(Phuong_tien_tham_chieu!$U$2:$U$105,MATCH("engineer_vehicle",Phuong_tien_tham_chieu!$A$2:$A$105,0))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INDEX(Xe!$EA$2:$EA$80,MATCH($B$76,Xe!$A$2:$A$80,0))/INDEX(Xe!$EB$2:$EB$80,MATCH($B$76,Xe!$A$2:$A$80,0))</f>
        <v/>
      </c>
      <c r="F76">
        <f>INDEX(Phuong_tien_tham_chieu!$U$2:$U$105,MATCH("engineer_vehicle",Phuong_tien_tham_chieu!$A$2:$A$105,0))/INDEX(Phuong_tien_tham_chieu!$S$2:$S$105,MATCH("engineer_vehicle",Phuong_tien_tham_chieu!$A$2:$A$105,0))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/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INDEX(Xe!$EB$2:$EB$80,MATCH($B$77,Xe!$A$2:$A$80,0))</f>
        <v/>
      </c>
      <c r="F77">
        <f>INDEX(Phuong_tien_tham_chieu!$S$2:$S$105,MATCH("engineer_vehicle",Phuong_tien_tham_chieu!$A$2:$A$105,0))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INDEX(Xe!$EC$2:$EC$80,MATCH($B$78,Xe!$A$2:$A$80,0))</f>
        <v/>
      </c>
      <c r="F78">
        <f>INDEX(Phuong_tien_tham_chieu!$T$2:$T$105,MATCH("engineer_vehicle",Phuong_tien_tham_chieu!$A$2:$A$105,0))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INDEX(Xe!$EC$2:$EC$80,MATCH($B$79,Xe!$A$2:$A$80,0))/INDEX(Xe!$EB$2:$EB$80,MATCH($B$79,Xe!$A$2:$A$80,0))</f>
        <v/>
      </c>
      <c r="F79">
        <f>INDEX(Phuong_tien_tham_chieu!$T$2:$T$105,MATCH("engineer_vehicle",Phuong_tien_tham_chieu!$A$2:$A$105,0))/INDEX(Phuong_tien_tham_chieu!$S$2:$S$105,MATCH("engineer_vehicle",Phuong_tien_tham_chieu!$A$2:$A$105,0))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TC0083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INDEX(Xe!$EA$2:$EA$80,MATCH($B$80,Xe!$A$2:$A$80,0))</f>
        <v/>
      </c>
      <c r="F80">
        <f>INDEX(Phuong_tien_tham_chieu!$U$2:$U$105,MATCH("fighter_jet",Phuong_tien_tham_chieu!$A$2:$A$105,0))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INDEX(Xe!$EA$2:$EA$80,MATCH($B$81,Xe!$A$2:$A$80,0))/INDEX(Xe!$EB$2:$EB$80,MATCH($B$81,Xe!$A$2:$A$80,0))</f>
        <v/>
      </c>
      <c r="F81">
        <f>INDEX(Phuong_tien_tham_chieu!$U$2:$U$105,MATCH("fighter_jet",Phuong_tien_tham_chieu!$A$2:$A$105,0))/INDEX(Phuong_tien_tham_chieu!$S$2:$S$105,MATCH("fighter_jet",Phuong_tien_tham_chieu!$A$2:$A$105,0))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INDEX(Xe!$EB$2:$EB$80,MATCH($B$82,Xe!$A$2:$A$80,0))</f>
        <v/>
      </c>
      <c r="F82">
        <f>INDEX(Phuong_tien_tham_chieu!$S$2:$S$105,MATCH("fighter_jet",Phuong_tien_tham_chieu!$A$2:$A$105,0))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INDEX(Xe!$EC$2:$EC$80,MATCH($B$83,Xe!$A$2:$A$80,0))</f>
        <v/>
      </c>
      <c r="F83">
        <f>INDEX(Phuong_tien_tham_chieu!$T$2:$T$105,MATCH("fighter_jet",Phuong_tien_tham_chieu!$A$2:$A$105,0))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INDEX(Xe!$EC$2:$EC$80,MATCH($B$84,Xe!$A$2:$A$80,0))/INDEX(Xe!$EB$2:$EB$80,MATCH($B$84,Xe!$A$2:$A$80,0))</f>
        <v/>
      </c>
      <c r="F84">
        <f>INDEX(Phuong_tien_tham_chieu!$T$2:$T$105,MATCH("fighter_jet",Phuong_tien_tham_chieu!$A$2:$A$105,0))/INDEX(Phuong_tien_tham_chieu!$S$2:$S$105,MATCH("fighter_jet",Phuong_tien_tham_chieu!$A$2:$A$105,0))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INDEX(Xe!$EA$2:$EA$80,MATCH($B$85,Xe!$A$2:$A$80,0))</f>
        <v/>
      </c>
      <c r="F85">
        <f>INDEX(Phuong_tien_tham_chieu!$U$2:$U$105,MATCH("flame_tank",Phuong_tien_tham_chieu!$A$2:$A$105,0))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INDEX(Xe!$EA$2:$EA$80,MATCH($B$86,Xe!$A$2:$A$80,0))/INDEX(Xe!$EB$2:$EB$80,MATCH($B$86,Xe!$A$2:$A$80,0))</f>
        <v/>
      </c>
      <c r="F86">
        <f>INDEX(Phuong_tien_tham_chieu!$U$2:$U$105,MATCH("flame_tank",Phuong_tien_tham_chieu!$A$2:$A$105,0))/INDEX(Phuong_tien_tham_chieu!$S$2:$S$105,MATCH("flame_tank",Phuong_tien_tham_chieu!$A$2:$A$105,0))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INDEX(Xe!$EB$2:$EB$80,MATCH($B$87,Xe!$A$2:$A$80,0))</f>
        <v/>
      </c>
      <c r="F87">
        <f>INDEX(Phuong_tien_tham_chieu!$S$2:$S$105,MATCH("flame_tank",Phuong_tien_tham_chieu!$A$2:$A$105,0))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INDEX(Xe!$EC$2:$EC$80,MATCH($B$88,Xe!$A$2:$A$80,0))</f>
        <v/>
      </c>
      <c r="F88">
        <f>INDEX(Phuong_tien_tham_chieu!$T$2:$T$105,MATCH("flame_tank",Phuong_tien_tham_chieu!$A$2:$A$105,0))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INDEX(Xe!$EC$2:$EC$80,MATCH($B$89,Xe!$A$2:$A$80,0))/INDEX(Xe!$EB$2:$EB$80,MATCH($B$89,Xe!$A$2:$A$80,0))</f>
        <v/>
      </c>
      <c r="F89">
        <f>INDEX(Phuong_tien_tham_chieu!$T$2:$T$105,MATCH("flame_tank",Phuong_tien_tham_chieu!$A$2:$A$105,0))/INDEX(Phuong_tien_tham_chieu!$S$2:$S$105,MATCH("flame_tank",Phuong_tien_tham_chieu!$A$2:$A$105,0))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INDEX(Xe!$EA$2:$EA$80,MATCH($B$90,Xe!$A$2:$A$80,0))</f>
        <v/>
      </c>
      <c r="F90">
        <f>INDEX(Phuong_tien_tham_chieu!$U$2:$U$105,MATCH("fpv_carrier",Phuong_tien_tham_chieu!$A$2:$A$105,0))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INDEX(Xe!$EA$2:$EA$80,MATCH($B$91,Xe!$A$2:$A$80,0))/INDEX(Xe!$EB$2:$EB$80,MATCH($B$91,Xe!$A$2:$A$80,0))</f>
        <v/>
      </c>
      <c r="F91">
        <f>INDEX(Phuong_tien_tham_chieu!$U$2:$U$105,MATCH("fpv_carrier",Phuong_tien_tham_chieu!$A$2:$A$105,0))/INDEX(Phuong_tien_tham_chieu!$S$2:$S$105,MATCH("fpv_carrier",Phuong_tien_tham_chieu!$A$2:$A$105,0))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INDEX(Xe!$EB$2:$EB$80,MATCH($B$92,Xe!$A$2:$A$80,0))</f>
        <v/>
      </c>
      <c r="F92">
        <f>INDEX(Phuong_tien_tham_chieu!$S$2:$S$105,MATCH("fpv_carrier",Phuong_tien_tham_chieu!$A$2:$A$105,0))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INDEX(Xe!$EC$2:$EC$80,MATCH($B$93,Xe!$A$2:$A$80,0))</f>
        <v/>
      </c>
      <c r="F93">
        <f>INDEX(Phuong_tien_tham_chieu!$T$2:$T$105,MATCH("fpv_carrier",Phuong_tien_tham_chieu!$A$2:$A$105,0))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INDEX(Xe!$EC$2:$EC$80,MATCH($B$94,Xe!$A$2:$A$80,0))/INDEX(Xe!$EB$2:$EB$80,MATCH($B$94,Xe!$A$2:$A$80,0))</f>
        <v/>
      </c>
      <c r="F94">
        <f>INDEX(Phuong_tien_tham_chieu!$T$2:$T$105,MATCH("fpv_carrier",Phuong_tien_tham_chieu!$A$2:$A$105,0))/INDEX(Phuong_tien_tham_chieu!$S$2:$S$105,MATCH("fpv_carrier",Phuong_tien_tham_chieu!$A$2:$A$105,0))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INDEX(Xe!$EA$2:$EA$80,MATCH($B$95,Xe!$A$2:$A$80,0))</f>
        <v/>
      </c>
      <c r="F95">
        <f>INDEX(Phuong_tien_tham_chieu!$U$2:$U$105,MATCH("heavy_bomber",Phuong_tien_tham_chieu!$A$2:$A$105,0))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INDEX(Xe!$EA$2:$EA$80,MATCH($B$96,Xe!$A$2:$A$80,0))/INDEX(Xe!$EB$2:$EB$80,MATCH($B$96,Xe!$A$2:$A$80,0))</f>
        <v/>
      </c>
      <c r="F96">
        <f>INDEX(Phuong_tien_tham_chieu!$U$2:$U$105,MATCH("heavy_bomber",Phuong_tien_tham_chieu!$A$2:$A$105,0))/INDEX(Phuong_tien_tham_chieu!$S$2:$S$105,MATCH("heavy_bomber",Phuong_tien_tham_chieu!$A$2:$A$105,0))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TC0084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INDEX(Xe!$EB$2:$EB$80,MATCH($B$97,Xe!$A$2:$A$80,0))</f>
        <v/>
      </c>
      <c r="F97">
        <f>INDEX(Phuong_tien_tham_chieu!$S$2:$S$105,MATCH("heavy_bomber",Phuong_tien_tham_chieu!$A$2:$A$105,0))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INDEX(Xe!$EC$2:$EC$80,MATCH($B$98,Xe!$A$2:$A$80,0))</f>
        <v/>
      </c>
      <c r="F98">
        <f>INDEX(Phuong_tien_tham_chieu!$T$2:$T$105,MATCH("heavy_bomber",Phuong_tien_tham_chieu!$A$2:$A$105,0))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INDEX(Xe!$EC$2:$EC$80,MATCH($B$99,Xe!$A$2:$A$80,0))/INDEX(Xe!$EB$2:$EB$80,MATCH($B$99,Xe!$A$2:$A$80,0))</f>
        <v/>
      </c>
      <c r="F99">
        <f>INDEX(Phuong_tien_tham_chieu!$T$2:$T$105,MATCH("heavy_bomber",Phuong_tien_tham_chieu!$A$2:$A$105,0))/INDEX(Phuong_tien_tham_chieu!$S$2:$S$105,MATCH("heavy_bomber",Phuong_tien_tham_chieu!$A$2:$A$105,0))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INDEX(Xe!$EA$2:$EA$80,MATCH($B$100,Xe!$A$2:$A$80,0))</f>
        <v/>
      </c>
      <c r="F100">
        <f>INDEX(Phuong_tien_tham_chieu!$U$2:$U$105,MATCH("heavy_rocket_artillery",Phuong_tien_tham_chieu!$A$2:$A$105,0))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INDEX(Xe!$EA$2:$EA$80,MATCH($B$101,Xe!$A$2:$A$80,0))/INDEX(Xe!$EB$2:$EB$80,MATCH($B$101,Xe!$A$2:$A$80,0))</f>
        <v/>
      </c>
      <c r="F101">
        <f>INDEX(Phuong_tien_tham_chieu!$U$2:$U$105,MATCH("heavy_rocket_artillery",Phuong_tien_tham_chieu!$A$2:$A$105,0))/INDEX(Phuong_tien_tham_chieu!$S$2:$S$105,MATCH("heavy_rocket_artillery",Phuong_tien_tham_chieu!$A$2:$A$105,0))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TC0085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INDEX(Xe!$EB$2:$EB$80,MATCH($B$102,Xe!$A$2:$A$80,0))</f>
        <v/>
      </c>
      <c r="F102">
        <f>INDEX(Phuong_tien_tham_chieu!$S$2:$S$105,MATCH("heavy_rocket_artillery",Phuong_tien_tham_chieu!$A$2:$A$105,0))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INDEX(Xe!$EC$2:$EC$80,MATCH($B$103,Xe!$A$2:$A$80,0))</f>
        <v/>
      </c>
      <c r="F103">
        <f>INDEX(Phuong_tien_tham_chieu!$T$2:$T$105,MATCH("heavy_rocket_artillery",Phuong_tien_tham_chieu!$A$2:$A$105,0))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INDEX(Xe!$EC$2:$EC$80,MATCH($B$104,Xe!$A$2:$A$80,0))/INDEX(Xe!$EB$2:$EB$80,MATCH($B$104,Xe!$A$2:$A$80,0))</f>
        <v/>
      </c>
      <c r="F104">
        <f>INDEX(Phuong_tien_tham_chieu!$T$2:$T$105,MATCH("heavy_rocket_artillery",Phuong_tien_tham_chieu!$A$2:$A$105,0))/INDEX(Phuong_tien_tham_chieu!$S$2:$S$105,MATCH("heavy_rocket_artillery",Phuong_tien_tham_chieu!$A$2:$A$105,0))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INDEX(Xe!$EA$2:$EA$80,MATCH($B$105,Xe!$A$2:$A$80,0))</f>
        <v/>
      </c>
      <c r="F105">
        <f>INDEX(Phuong_tien_tham_chieu!$U$2:$U$105,MATCH("ifv",Phuong_tien_tham_chieu!$A$2:$A$105,0))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INDEX(Xe!$EA$2:$EA$80,MATCH($B$106,Xe!$A$2:$A$80,0))/INDEX(Xe!$EB$2:$EB$80,MATCH($B$106,Xe!$A$2:$A$80,0))</f>
        <v/>
      </c>
      <c r="F106">
        <f>INDEX(Phuong_tien_tham_chieu!$U$2:$U$105,MATCH("ifv",Phuong_tien_tham_chieu!$A$2:$A$105,0))/INDEX(Phuong_tien_tham_chieu!$S$2:$S$105,MATCH("ifv",Phuong_tien_tham_chieu!$A$2:$A$105,0))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INDEX(Xe!$EB$2:$EB$80,MATCH($B$107,Xe!$A$2:$A$80,0))</f>
        <v/>
      </c>
      <c r="F107">
        <f>INDEX(Phuong_tien_tham_chieu!$S$2:$S$105,MATCH("ifv",Phuong_tien_tham_chieu!$A$2:$A$105,0))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INDEX(Xe!$EC$2:$EC$80,MATCH($B$108,Xe!$A$2:$A$80,0))</f>
        <v/>
      </c>
      <c r="F108">
        <f>INDEX(Phuong_tien_tham_chieu!$T$2:$T$105,MATCH("ifv",Phuong_tien_tham_chieu!$A$2:$A$105,0))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INDEX(Xe!$EC$2:$EC$80,MATCH($B$109,Xe!$A$2:$A$80,0))/INDEX(Xe!$EB$2:$EB$80,MATCH($B$109,Xe!$A$2:$A$80,0))</f>
        <v/>
      </c>
      <c r="F109">
        <f>INDEX(Phuong_tien_tham_chieu!$T$2:$T$105,MATCH("ifv",Phuong_tien_tham_chieu!$A$2:$A$105,0))/INDEX(Phuong_tien_tham_chieu!$S$2:$S$105,MATCH("ifv",Phuong_tien_tham_chieu!$A$2:$A$105,0))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INDEX(Xe!$EA$2:$EA$80,MATCH($B$110,Xe!$A$2:$A$80,0))</f>
        <v/>
      </c>
      <c r="F110">
        <f>INDEX(Phuong_tien_tham_chieu!$U$2:$U$105,MATCH("light_tank",Phuong_tien_tham_chieu!$A$2:$A$105,0))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INDEX(Xe!$EA$2:$EA$80,MATCH($B$111,Xe!$A$2:$A$80,0))/INDEX(Xe!$EB$2:$EB$80,MATCH($B$111,Xe!$A$2:$A$80,0))</f>
        <v/>
      </c>
      <c r="F111">
        <f>INDEX(Phuong_tien_tham_chieu!$U$2:$U$105,MATCH("light_tank",Phuong_tien_tham_chieu!$A$2:$A$105,0))/INDEX(Phuong_tien_tham_chieu!$S$2:$S$105,MATCH("light_tank",Phuong_tien_tham_chieu!$A$2:$A$105,0))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INDEX(Xe!$EB$2:$EB$80,MATCH($B$112,Xe!$A$2:$A$80,0))</f>
        <v/>
      </c>
      <c r="F112">
        <f>INDEX(Phuong_tien_tham_chieu!$S$2:$S$105,MATCH("light_tank",Phuong_tien_tham_chieu!$A$2:$A$105,0))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INDEX(Xe!$EC$2:$EC$80,MATCH($B$113,Xe!$A$2:$A$80,0))</f>
        <v/>
      </c>
      <c r="F113">
        <f>INDEX(Phuong_tien_tham_chieu!$T$2:$T$105,MATCH("light_tank",Phuong_tien_tham_chieu!$A$2:$A$105,0))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INDEX(Xe!$EC$2:$EC$80,MATCH($B$114,Xe!$A$2:$A$80,0))/INDEX(Xe!$EB$2:$EB$80,MATCH($B$114,Xe!$A$2:$A$80,0))</f>
        <v/>
      </c>
      <c r="F114">
        <f>INDEX(Phuong_tien_tham_chieu!$T$2:$T$105,MATCH("light_tank",Phuong_tien_tham_chieu!$A$2:$A$105,0))/INDEX(Phuong_tien_tham_chieu!$S$2:$S$105,MATCH("light_tank",Phuong_tien_tham_chieu!$A$2:$A$105,0))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INDEX(Xe!$EA$2:$EA$80,MATCH($B$115,Xe!$A$2:$A$80,0))</f>
        <v/>
      </c>
      <c r="F115">
        <f>INDEX(Phuong_tien_tham_chieu!$U$2:$U$105,MATCH("main_battle_tank",Phuong_tien_tham_chieu!$A$2:$A$105,0))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INDEX(Xe!$EA$2:$EA$80,MATCH($B$116,Xe!$A$2:$A$80,0))/INDEX(Xe!$EB$2:$EB$80,MATCH($B$116,Xe!$A$2:$A$80,0))</f>
        <v/>
      </c>
      <c r="F116">
        <f>INDEX(Phuong_tien_tham_chieu!$U$2:$U$105,MATCH("main_battle_tank",Phuong_tien_tham_chieu!$A$2:$A$105,0))/INDEX(Phuong_tien_tham_chieu!$S$2:$S$105,MATCH("main_battle_tank",Phuong_tien_tham_chieu!$A$2:$A$105,0))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TC0086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INDEX(Xe!$EB$2:$EB$80,MATCH($B$117,Xe!$A$2:$A$80,0))</f>
        <v/>
      </c>
      <c r="F117">
        <f>INDEX(Phuong_tien_tham_chieu!$S$2:$S$105,MATCH("main_battle_tank",Phuong_tien_tham_chieu!$A$2:$A$105,0))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INDEX(Xe!$EC$2:$EC$80,MATCH($B$118,Xe!$A$2:$A$80,0))</f>
        <v/>
      </c>
      <c r="F118">
        <f>INDEX(Phuong_tien_tham_chieu!$T$2:$T$105,MATCH("main_battle_tank",Phuong_tien_tham_chieu!$A$2:$A$105,0))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INDEX(Xe!$EC$2:$EC$80,MATCH($B$119,Xe!$A$2:$A$80,0))/INDEX(Xe!$EB$2:$EB$80,MATCH($B$119,Xe!$A$2:$A$80,0))</f>
        <v/>
      </c>
      <c r="F119">
        <f>INDEX(Phuong_tien_tham_chieu!$T$2:$T$105,MATCH("main_battle_tank",Phuong_tien_tham_chieu!$A$2:$A$105,0))/INDEX(Phuong_tien_tham_chieu!$S$2:$S$105,MATCH("main_battle_tank",Phuong_tien_tham_chieu!$A$2:$A$105,0))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INDEX(Xe!$EA$2:$EA$80,MATCH($B$120,Xe!$A$2:$A$80,0))</f>
        <v/>
      </c>
      <c r="F120">
        <f>INDEX(Phuong_tien_tham_chieu!$U$2:$U$105,MATCH("mlrs",Phuong_tien_tham_chieu!$A$2:$A$105,0))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INDEX(Xe!$EA$2:$EA$80,MATCH($B$121,Xe!$A$2:$A$80,0))/INDEX(Xe!$EB$2:$EB$80,MATCH($B$121,Xe!$A$2:$A$80,0))</f>
        <v/>
      </c>
      <c r="F121">
        <f>INDEX(Phuong_tien_tham_chieu!$U$2:$U$105,MATCH("mlrs",Phuong_tien_tham_chieu!$A$2:$A$105,0))/INDEX(Phuong_tien_tham_chieu!$S$2:$S$105,MATCH("mlrs",Phuong_tien_tham_chieu!$A$2:$A$105,0))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INDEX(Xe!$EB$2:$EB$80,MATCH($B$122,Xe!$A$2:$A$80,0))</f>
        <v/>
      </c>
      <c r="F122">
        <f>INDEX(Phuong_tien_tham_chieu!$S$2:$S$105,MATCH("mlrs",Phuong_tien_tham_chieu!$A$2:$A$105,0))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INDEX(Xe!$EC$2:$EC$80,MATCH($B$123,Xe!$A$2:$A$80,0))</f>
        <v/>
      </c>
      <c r="F123">
        <f>INDEX(Phuong_tien_tham_chieu!$T$2:$T$105,MATCH("mlrs",Phuong_tien_tham_chieu!$A$2:$A$105,0))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INDEX(Xe!$EC$2:$EC$80,MATCH($B$124,Xe!$A$2:$A$80,0))/INDEX(Xe!$EB$2:$EB$80,MATCH($B$124,Xe!$A$2:$A$80,0))</f>
        <v/>
      </c>
      <c r="F124">
        <f>INDEX(Phuong_tien_tham_chieu!$T$2:$T$105,MATCH("mlrs",Phuong_tien_tham_chieu!$A$2:$A$105,0))/INDEX(Phuong_tien_tham_chieu!$S$2:$S$105,MATCH("mlrs",Phuong_tien_tham_chieu!$A$2:$A$105,0))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INDEX(Xe!$EA$2:$EA$80,MATCH($B$125,Xe!$A$2:$A$80,0))</f>
        <v/>
      </c>
      <c r="F125">
        <f>INDEX(Phuong_tien_tham_chieu!$U$2:$U$105,MATCH("mortar_carrier",Phuong_tien_tham_chieu!$A$2:$A$105,0))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INDEX(Xe!$EA$2:$EA$80,MATCH($B$126,Xe!$A$2:$A$80,0))/INDEX(Xe!$EB$2:$EB$80,MATCH($B$126,Xe!$A$2:$A$80,0))</f>
        <v/>
      </c>
      <c r="F126">
        <f>INDEX(Phuong_tien_tham_chieu!$U$2:$U$105,MATCH("mortar_carrier",Phuong_tien_tham_chieu!$A$2:$A$105,0))/INDEX(Phuong_tien_tham_chieu!$S$2:$S$105,MATCH("mortar_carrier",Phuong_tien_tham_chieu!$A$2:$A$105,0))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TC0087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INDEX(Xe!$EB$2:$EB$80,MATCH($B$127,Xe!$A$2:$A$80,0))</f>
        <v/>
      </c>
      <c r="F127">
        <f>INDEX(Phuong_tien_tham_chieu!$S$2:$S$105,MATCH("mortar_carrier",Phuong_tien_tham_chieu!$A$2:$A$105,0))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INDEX(Xe!$EC$2:$EC$80,MATCH($B$128,Xe!$A$2:$A$80,0))</f>
        <v/>
      </c>
      <c r="F128">
        <f>INDEX(Phuong_tien_tham_chieu!$T$2:$T$105,MATCH("mortar_carrier",Phuong_tien_tham_chieu!$A$2:$A$105,0))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INDEX(Xe!$EC$2:$EC$80,MATCH($B$129,Xe!$A$2:$A$80,0))/INDEX(Xe!$EB$2:$EB$80,MATCH($B$129,Xe!$A$2:$A$80,0))</f>
        <v/>
      </c>
      <c r="F129">
        <f>INDEX(Phuong_tien_tham_chieu!$T$2:$T$105,MATCH("mortar_carrier",Phuong_tien_tham_chieu!$A$2:$A$105,0))/INDEX(Phuong_tien_tham_chieu!$S$2:$S$105,MATCH("mortar_carrier",Phuong_tien_tham_chieu!$A$2:$A$105,0))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INDEX(Xe!$EA$2:$EA$80,MATCH($B$130,Xe!$A$2:$A$80,0))</f>
        <v/>
      </c>
      <c r="F130">
        <f>INDEX(Phuong_tien_tham_chieu!$U$2:$U$105,MATCH("next_gen_tank",Phuong_tien_tham_chieu!$A$2:$A$105,0))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INDEX(Xe!$EA$2:$EA$80,MATCH($B$131,Xe!$A$2:$A$80,0))/INDEX(Xe!$EB$2:$EB$80,MATCH($B$131,Xe!$A$2:$A$80,0))</f>
        <v/>
      </c>
      <c r="F131">
        <f>INDEX(Phuong_tien_tham_chieu!$U$2:$U$105,MATCH("next_gen_tank",Phuong_tien_tham_chieu!$A$2:$A$105,0))/INDEX(Phuong_tien_tham_chieu!$S$2:$S$105,MATCH("next_gen_tank",Phuong_tien_tham_chieu!$A$2:$A$105,0))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TC0088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INDEX(Xe!$EB$2:$EB$80,MATCH($B$132,Xe!$A$2:$A$80,0))</f>
        <v/>
      </c>
      <c r="F132">
        <f>INDEX(Phuong_tien_tham_chieu!$S$2:$S$105,MATCH("next_gen_tank",Phuong_tien_tham_chieu!$A$2:$A$105,0))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INDEX(Xe!$EC$2:$EC$80,MATCH($B$133,Xe!$A$2:$A$80,0))</f>
        <v/>
      </c>
      <c r="F133">
        <f>INDEX(Phuong_tien_tham_chieu!$T$2:$T$105,MATCH("next_gen_tank",Phuong_tien_tham_chieu!$A$2:$A$105,0))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INDEX(Xe!$EC$2:$EC$80,MATCH($B$134,Xe!$A$2:$A$80,0))/INDEX(Xe!$EB$2:$EB$80,MATCH($B$134,Xe!$A$2:$A$80,0))</f>
        <v/>
      </c>
      <c r="F134">
        <f>INDEX(Phuong_tien_tham_chieu!$T$2:$T$105,MATCH("next_gen_tank",Phuong_tien_tham_chieu!$A$2:$A$105,0))/INDEX(Phuong_tien_tham_chieu!$S$2:$S$105,MATCH("next_gen_tank",Phuong_tien_tham_chieu!$A$2:$A$105,0))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INDEX(Xe!$EA$2:$EA$80,MATCH($B$135,Xe!$A$2:$A$80,0))</f>
        <v/>
      </c>
      <c r="F135">
        <f>INDEX(Phuong_tien_tham_chieu!$U$2:$U$105,MATCH("recon_drone",Phuong_tien_tham_chieu!$A$2:$A$105,0))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INDEX(Xe!$EA$2:$EA$80,MATCH($B$136,Xe!$A$2:$A$80,0))/INDEX(Xe!$EB$2:$EB$80,MATCH($B$136,Xe!$A$2:$A$80,0))</f>
        <v/>
      </c>
      <c r="F136">
        <f>INDEX(Phuong_tien_tham_chieu!$U$2:$U$105,MATCH("recon_drone",Phuong_tien_tham_chieu!$A$2:$A$105,0))/INDEX(Phuong_tien_tham_chieu!$S$2:$S$105,MATCH("recon_drone",Phuong_tien_tham_chieu!$A$2:$A$105,0))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TC0089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INDEX(Xe!$EB$2:$EB$80,MATCH($B$137,Xe!$A$2:$A$80,0))</f>
        <v/>
      </c>
      <c r="F137">
        <f>INDEX(Phuong_tien_tham_chieu!$S$2:$S$105,MATCH("recon_drone",Phuong_tien_tham_chieu!$A$2:$A$105,0))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INDEX(Xe!$EC$2:$EC$80,MATCH($B$138,Xe!$A$2:$A$80,0))</f>
        <v/>
      </c>
      <c r="F138">
        <f>INDEX(Phuong_tien_tham_chieu!$T$2:$T$105,MATCH("recon_drone",Phuong_tien_tham_chieu!$A$2:$A$105,0))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INDEX(Xe!$EC$2:$EC$80,MATCH($B$139,Xe!$A$2:$A$80,0))/INDEX(Xe!$EB$2:$EB$80,MATCH($B$139,Xe!$A$2:$A$80,0))</f>
        <v/>
      </c>
      <c r="F139">
        <f>INDEX(Phuong_tien_tham_chieu!$T$2:$T$105,MATCH("recon_drone",Phuong_tien_tham_chieu!$A$2:$A$105,0))/INDEX(Phuong_tien_tham_chieu!$S$2:$S$105,MATCH("recon_drone",Phuong_tien_tham_chieu!$A$2:$A$105,0))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INDEX(Xe!$EA$2:$EA$80,MATCH($B$140,Xe!$A$2:$A$80,0))</f>
        <v/>
      </c>
      <c r="F140">
        <f>INDEX(Phuong_tien_tham_chieu!$U$2:$U$105,MATCH("rocket_technical",Phuong_tien_tham_chieu!$A$2:$A$105,0))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INDEX(Xe!$EA$2:$EA$80,MATCH($B$141,Xe!$A$2:$A$80,0))/INDEX(Xe!$EB$2:$EB$80,MATCH($B$141,Xe!$A$2:$A$80,0))</f>
        <v/>
      </c>
      <c r="F141">
        <f>INDEX(Phuong_tien_tham_chieu!$U$2:$U$105,MATCH("rocket_technical",Phuong_tien_tham_chieu!$A$2:$A$105,0))/INDEX(Phuong_tien_tham_chieu!$S$2:$S$105,MATCH("rocket_technical",Phuong_tien_tham_chieu!$A$2:$A$105,0))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TC0090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INDEX(Xe!$EB$2:$EB$80,MATCH($B$142,Xe!$A$2:$A$80,0))</f>
        <v/>
      </c>
      <c r="F142">
        <f>INDEX(Phuong_tien_tham_chieu!$S$2:$S$105,MATCH("rocket_technical",Phuong_tien_tham_chieu!$A$2:$A$105,0))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INDEX(Xe!$EC$2:$EC$80,MATCH($B$143,Xe!$A$2:$A$80,0))</f>
        <v/>
      </c>
      <c r="F143">
        <f>INDEX(Phuong_tien_tham_chieu!$T$2:$T$105,MATCH("rocket_technical",Phuong_tien_tham_chieu!$A$2:$A$105,0))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INDEX(Xe!$EC$2:$EC$80,MATCH($B$144,Xe!$A$2:$A$80,0))/INDEX(Xe!$EB$2:$EB$80,MATCH($B$144,Xe!$A$2:$A$80,0))</f>
        <v/>
      </c>
      <c r="F144">
        <f>INDEX(Phuong_tien_tham_chieu!$T$2:$T$105,MATCH("rocket_technical",Phuong_tien_tham_chieu!$A$2:$A$105,0))/INDEX(Phuong_tien_tham_chieu!$S$2:$S$105,MATCH("rocket_technical",Phuong_tien_tham_chieu!$A$2:$A$105,0))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INDEX(Xe!$EA$2:$EA$80,MATCH($B$145,Xe!$A$2:$A$80,0))</f>
        <v/>
      </c>
      <c r="F145">
        <f>INDEX(Phuong_tien_tham_chieu!$U$2:$U$105,MATCH("sam_launcher",Phuong_tien_tham_chieu!$A$2:$A$105,0))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INDEX(Xe!$EA$2:$EA$80,MATCH($B$146,Xe!$A$2:$A$80,0))/INDEX(Xe!$EB$2:$EB$80,MATCH($B$146,Xe!$A$2:$A$80,0))</f>
        <v/>
      </c>
      <c r="F146">
        <f>INDEX(Phuong_tien_tham_chieu!$U$2:$U$105,MATCH("sam_launcher",Phuong_tien_tham_chieu!$A$2:$A$105,0))/INDEX(Phuong_tien_tham_chieu!$S$2:$S$105,MATCH("sam_launcher",Phuong_tien_tham_chieu!$A$2:$A$105,0))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INDEX(Xe!$EB$2:$EB$80,MATCH($B$147,Xe!$A$2:$A$80,0))</f>
        <v/>
      </c>
      <c r="F147">
        <f>INDEX(Phuong_tien_tham_chieu!$S$2:$S$105,MATCH("sam_launcher",Phuong_tien_tham_chieu!$A$2:$A$105,0))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INDEX(Xe!$EC$2:$EC$80,MATCH($B$148,Xe!$A$2:$A$80,0))</f>
        <v/>
      </c>
      <c r="F148">
        <f>INDEX(Phuong_tien_tham_chieu!$T$2:$T$105,MATCH("sam_launcher",Phuong_tien_tham_chieu!$A$2:$A$105,0))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INDEX(Xe!$EC$2:$EC$80,MATCH($B$149,Xe!$A$2:$A$80,0))/INDEX(Xe!$EB$2:$EB$80,MATCH($B$149,Xe!$A$2:$A$80,0))</f>
        <v/>
      </c>
      <c r="F149">
        <f>INDEX(Phuong_tien_tham_chieu!$T$2:$T$105,MATCH("sam_launcher",Phuong_tien_tham_chieu!$A$2:$A$105,0))/INDEX(Phuong_tien_tham_chieu!$S$2:$S$105,MATCH("sam_launcher",Phuong_tien_tham_chieu!$A$2:$A$105,0))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INDEX(Xe!$EA$2:$EA$80,MATCH($B$150,Xe!$A$2:$A$80,0))</f>
        <v/>
      </c>
      <c r="F150">
        <f>INDEX(Phuong_tien_tham_chieu!$U$2:$U$105,MATCH("scout_heli",Phuong_tien_tham_chieu!$A$2:$A$105,0))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INDEX(Xe!$EA$2:$EA$80,MATCH($B$151,Xe!$A$2:$A$80,0))/INDEX(Xe!$EB$2:$EB$80,MATCH($B$151,Xe!$A$2:$A$80,0))</f>
        <v/>
      </c>
      <c r="F151">
        <f>INDEX(Phuong_tien_tham_chieu!$U$2:$U$105,MATCH("scout_heli",Phuong_tien_tham_chieu!$A$2:$A$105,0))/INDEX(Phuong_tien_tham_chieu!$S$2:$S$105,MATCH("scout_heli",Phuong_tien_tham_chieu!$A$2:$A$105,0))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TC0091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INDEX(Xe!$EB$2:$EB$80,MATCH($B$152,Xe!$A$2:$A$80,0))</f>
        <v/>
      </c>
      <c r="F152">
        <f>INDEX(Phuong_tien_tham_chieu!$S$2:$S$105,MATCH("scout_heli",Phuong_tien_tham_chieu!$A$2:$A$105,0))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INDEX(Xe!$EC$2:$EC$80,MATCH($B$153,Xe!$A$2:$A$80,0))</f>
        <v/>
      </c>
      <c r="F153">
        <f>INDEX(Phuong_tien_tham_chieu!$T$2:$T$105,MATCH("scout_heli",Phuong_tien_tham_chieu!$A$2:$A$105,0))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INDEX(Xe!$EC$2:$EC$80,MATCH($B$154,Xe!$A$2:$A$80,0))/INDEX(Xe!$EB$2:$EB$80,MATCH($B$154,Xe!$A$2:$A$80,0))</f>
        <v/>
      </c>
      <c r="F154">
        <f>INDEX(Phuong_tien_tham_chieu!$T$2:$T$105,MATCH("scout_heli",Phuong_tien_tham_chieu!$A$2:$A$105,0))/INDEX(Phuong_tien_tham_chieu!$S$2:$S$105,MATCH("scout_heli",Phuong_tien_tham_chieu!$A$2:$A$105,0))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INDEX(Xe!$EA$2:$EA$80,MATCH($B$155,Xe!$A$2:$A$80,0))</f>
        <v/>
      </c>
      <c r="F155">
        <f>INDEX(Phuong_tien_tham_chieu!$U$2:$U$105,MATCH("scout_jeep",Phuong_tien_tham_chieu!$A$2:$A$105,0))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INDEX(Xe!$EA$2:$EA$80,MATCH($B$156,Xe!$A$2:$A$80,0))/INDEX(Xe!$EB$2:$EB$80,MATCH($B$156,Xe!$A$2:$A$80,0))</f>
        <v/>
      </c>
      <c r="F156">
        <f>INDEX(Phuong_tien_tham_chieu!$U$2:$U$105,MATCH("scout_jeep",Phuong_tien_tham_chieu!$A$2:$A$105,0))/INDEX(Phuong_tien_tham_chieu!$S$2:$S$105,MATCH("scout_jeep",Phuong_tien_tham_chieu!$A$2:$A$105,0))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INDEX(Xe!$EB$2:$EB$80,MATCH($B$157,Xe!$A$2:$A$80,0))</f>
        <v/>
      </c>
      <c r="F157">
        <f>INDEX(Phuong_tien_tham_chieu!$S$2:$S$105,MATCH("scout_jeep",Phuong_tien_tham_chieu!$A$2:$A$105,0))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INDEX(Xe!$EC$2:$EC$80,MATCH($B$158,Xe!$A$2:$A$80,0))</f>
        <v/>
      </c>
      <c r="F158">
        <f>INDEX(Phuong_tien_tham_chieu!$T$2:$T$105,MATCH("scout_jeep",Phuong_tien_tham_chieu!$A$2:$A$105,0))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INDEX(Xe!$EC$2:$EC$80,MATCH($B$159,Xe!$A$2:$A$80,0))/INDEX(Xe!$EB$2:$EB$80,MATCH($B$159,Xe!$A$2:$A$80,0))</f>
        <v/>
      </c>
      <c r="F159">
        <f>INDEX(Phuong_tien_tham_chieu!$T$2:$T$105,MATCH("scout_jeep",Phuong_tien_tham_chieu!$A$2:$A$105,0))/INDEX(Phuong_tien_tham_chieu!$S$2:$S$105,MATCH("scout_jeep",Phuong_tien_tham_chieu!$A$2:$A$105,0))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INDEX(Xe!$EA$2:$EA$80,MATCH($B$160,Xe!$A$2:$A$80,0))</f>
        <v/>
      </c>
      <c r="F160">
        <f>INDEX(Phuong_tien_tham_chieu!$U$2:$U$105,MATCH("shield_carrier",Phuong_tien_tham_chieu!$A$2:$A$105,0))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INDEX(Xe!$EA$2:$EA$80,MATCH($B$161,Xe!$A$2:$A$80,0))/INDEX(Xe!$EB$2:$EB$80,MATCH($B$161,Xe!$A$2:$A$80,0))</f>
        <v/>
      </c>
      <c r="F161">
        <f>INDEX(Phuong_tien_tham_chieu!$U$2:$U$105,MATCH("shield_carrier",Phuong_tien_tham_chieu!$A$2:$A$105,0))/INDEX(Phuong_tien_tham_chieu!$S$2:$S$105,MATCH("shield_carrier",Phuong_tien_tham_chieu!$A$2:$A$105,0))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TC0092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INDEX(Xe!$EB$2:$EB$80,MATCH($B$162,Xe!$A$2:$A$80,0))</f>
        <v/>
      </c>
      <c r="F162">
        <f>INDEX(Phuong_tien_tham_chieu!$S$2:$S$105,MATCH("shield_carrier",Phuong_tien_tham_chieu!$A$2:$A$105,0))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INDEX(Xe!$EC$2:$EC$80,MATCH($B$163,Xe!$A$2:$A$80,0))</f>
        <v/>
      </c>
      <c r="F163">
        <f>INDEX(Phuong_tien_tham_chieu!$T$2:$T$105,MATCH("shield_carrier",Phuong_tien_tham_chieu!$A$2:$A$105,0))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INDEX(Xe!$EC$2:$EC$80,MATCH($B$164,Xe!$A$2:$A$80,0))/INDEX(Xe!$EB$2:$EB$80,MATCH($B$164,Xe!$A$2:$A$80,0))</f>
        <v/>
      </c>
      <c r="F164">
        <f>INDEX(Phuong_tien_tham_chieu!$T$2:$T$105,MATCH("shield_carrier",Phuong_tien_tham_chieu!$A$2:$A$105,0))/INDEX(Phuong_tien_tham_chieu!$S$2:$S$105,MATCH("shield_carrier",Phuong_tien_tham_chieu!$A$2:$A$105,0))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INDEX(Xe!$EA$2:$EA$80,MATCH($B$165,Xe!$A$2:$A$80,0))</f>
        <v/>
      </c>
      <c r="F165">
        <f>INDEX(Phuong_tien_tham_chieu!$U$2:$U$105,MATCH("siege_tank",Phuong_tien_tham_chieu!$A$2:$A$105,0))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INDEX(Xe!$EA$2:$EA$80,MATCH($B$166,Xe!$A$2:$A$80,0))/INDEX(Xe!$EB$2:$EB$80,MATCH($B$166,Xe!$A$2:$A$80,0))</f>
        <v/>
      </c>
      <c r="F166">
        <f>INDEX(Phuong_tien_tham_chieu!$U$2:$U$105,MATCH("siege_tank",Phuong_tien_tham_chieu!$A$2:$A$105,0))/INDEX(Phuong_tien_tham_chieu!$S$2:$S$105,MATCH("siege_tank",Phuong_tien_tham_chieu!$A$2:$A$105,0))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INDEX(Xe!$EB$2:$EB$80,MATCH($B$167,Xe!$A$2:$A$80,0))</f>
        <v/>
      </c>
      <c r="F167">
        <f>INDEX(Phuong_tien_tham_chieu!$S$2:$S$105,MATCH("siege_tank",Phuong_tien_tham_chieu!$A$2:$A$105,0))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INDEX(Xe!$EC$2:$EC$80,MATCH($B$168,Xe!$A$2:$A$80,0))</f>
        <v/>
      </c>
      <c r="F168">
        <f>INDEX(Phuong_tien_tham_chieu!$T$2:$T$105,MATCH("siege_tank",Phuong_tien_tham_chieu!$A$2:$A$105,0))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INDEX(Xe!$EC$2:$EC$80,MATCH($B$169,Xe!$A$2:$A$80,0))/INDEX(Xe!$EB$2:$EB$80,MATCH($B$169,Xe!$A$2:$A$80,0))</f>
        <v/>
      </c>
      <c r="F169">
        <f>INDEX(Phuong_tien_tham_chieu!$T$2:$T$105,MATCH("siege_tank",Phuong_tien_tham_chieu!$A$2:$A$105,0))/INDEX(Phuong_tien_tham_chieu!$S$2:$S$105,MATCH("siege_tank",Phuong_tien_tham_chieu!$A$2:$A$105,0))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INDEX(Xe!$EA$2:$EA$80,MATCH($B$170,Xe!$A$2:$A$80,0))</f>
        <v/>
      </c>
      <c r="F170">
        <f>INDEX(Phuong_tien_tham_chieu!$U$2:$U$105,MATCH("sky_gunship",Phuong_tien_tham_chieu!$A$2:$A$105,0))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INDEX(Xe!$EA$2:$EA$80,MATCH($B$171,Xe!$A$2:$A$80,0))/INDEX(Xe!$EB$2:$EB$80,MATCH($B$171,Xe!$A$2:$A$80,0))</f>
        <v/>
      </c>
      <c r="F171">
        <f>INDEX(Phuong_tien_tham_chieu!$U$2:$U$105,MATCH("sky_gunship",Phuong_tien_tham_chieu!$A$2:$A$105,0))/INDEX(Phuong_tien_tham_chieu!$S$2:$S$105,MATCH("sky_gunship",Phuong_tien_tham_chieu!$A$2:$A$105,0))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INDEX(Xe!$EB$2:$EB$80,MATCH($B$172,Xe!$A$2:$A$80,0))</f>
        <v/>
      </c>
      <c r="F172">
        <f>INDEX(Phuong_tien_tham_chieu!$S$2:$S$105,MATCH("sky_gunship",Phuong_tien_tham_chieu!$A$2:$A$105,0))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INDEX(Xe!$EC$2:$EC$80,MATCH($B$173,Xe!$A$2:$A$80,0))</f>
        <v/>
      </c>
      <c r="F173">
        <f>INDEX(Phuong_tien_tham_chieu!$T$2:$T$105,MATCH("sky_gunship",Phuong_tien_tham_chieu!$A$2:$A$105,0))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INDEX(Xe!$EC$2:$EC$80,MATCH($B$174,Xe!$A$2:$A$80,0))/INDEX(Xe!$EB$2:$EB$80,MATCH($B$174,Xe!$A$2:$A$80,0))</f>
        <v/>
      </c>
      <c r="F174">
        <f>INDEX(Phuong_tien_tham_chieu!$T$2:$T$105,MATCH("sky_gunship",Phuong_tien_tham_chieu!$A$2:$A$105,0))/INDEX(Phuong_tien_tham_chieu!$S$2:$S$105,MATCH("sky_gunship",Phuong_tien_tham_chieu!$A$2:$A$105,0))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INDEX(Xe!$EA$2:$EA$80,MATCH($B$175,Xe!$A$2:$A$80,0))</f>
        <v/>
      </c>
      <c r="F175">
        <f>INDEX(Phuong_tien_tham_chieu!$U$2:$U$105,MATCH("stealth_bomber",Phuong_tien_tham_chieu!$A$2:$A$105,0))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INDEX(Xe!$EA$2:$EA$80,MATCH($B$176,Xe!$A$2:$A$80,0))/INDEX(Xe!$EB$2:$EB$80,MATCH($B$176,Xe!$A$2:$A$80,0))</f>
        <v/>
      </c>
      <c r="F176">
        <f>INDEX(Phuong_tien_tham_chieu!$U$2:$U$105,MATCH("stealth_bomber",Phuong_tien_tham_chieu!$A$2:$A$105,0))/INDEX(Phuong_tien_tham_chieu!$S$2:$S$105,MATCH("stealth_bomber",Phuong_tien_tham_chieu!$A$2:$A$105,0))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TC0093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INDEX(Xe!$EB$2:$EB$80,MATCH($B$177,Xe!$A$2:$A$80,0))</f>
        <v/>
      </c>
      <c r="F177">
        <f>INDEX(Phuong_tien_tham_chieu!$S$2:$S$105,MATCH("stealth_bomber",Phuong_tien_tham_chieu!$A$2:$A$105,0))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INDEX(Xe!$EC$2:$EC$80,MATCH($B$178,Xe!$A$2:$A$80,0))</f>
        <v/>
      </c>
      <c r="F178">
        <f>INDEX(Phuong_tien_tham_chieu!$T$2:$T$105,MATCH("stealth_bomber",Phuong_tien_tham_chieu!$A$2:$A$105,0))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INDEX(Xe!$EC$2:$EC$80,MATCH($B$179,Xe!$A$2:$A$80,0))/INDEX(Xe!$EB$2:$EB$80,MATCH($B$179,Xe!$A$2:$A$80,0))</f>
        <v/>
      </c>
      <c r="F179">
        <f>INDEX(Phuong_tien_tham_chieu!$T$2:$T$105,MATCH("stealth_bomber",Phuong_tien_tham_chieu!$A$2:$A$105,0))/INDEX(Phuong_tien_tham_chieu!$S$2:$S$105,MATCH("stealth_bomber",Phuong_tien_tham_chieu!$A$2:$A$105,0))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INDEX(Xe!$EA$2:$EA$80,MATCH($B$180,Xe!$A$2:$A$80,0))</f>
        <v/>
      </c>
      <c r="F180">
        <f>INDEX(Phuong_tien_tham_chieu!$U$2:$U$105,MATCH("stealth_fighter",Phuong_tien_tham_chieu!$A$2:$A$105,0))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INDEX(Xe!$EA$2:$EA$80,MATCH($B$181,Xe!$A$2:$A$80,0))/INDEX(Xe!$EB$2:$EB$80,MATCH($B$181,Xe!$A$2:$A$80,0))</f>
        <v/>
      </c>
      <c r="F181">
        <f>INDEX(Phuong_tien_tham_chieu!$U$2:$U$105,MATCH("stealth_fighter",Phuong_tien_tham_chieu!$A$2:$A$105,0))/INDEX(Phuong_tien_tham_chieu!$S$2:$S$105,MATCH("stealth_fighter",Phuong_tien_tham_chieu!$A$2:$A$105,0))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TC0094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INDEX(Xe!$EB$2:$EB$80,MATCH($B$182,Xe!$A$2:$A$80,0))</f>
        <v/>
      </c>
      <c r="F182">
        <f>INDEX(Phuong_tien_tham_chieu!$S$2:$S$105,MATCH("stealth_fighter",Phuong_tien_tham_chieu!$A$2:$A$105,0))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INDEX(Xe!$EC$2:$EC$80,MATCH($B$183,Xe!$A$2:$A$80,0))</f>
        <v/>
      </c>
      <c r="F183">
        <f>INDEX(Phuong_tien_tham_chieu!$T$2:$T$105,MATCH("stealth_fighter",Phuong_tien_tham_chieu!$A$2:$A$105,0))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INDEX(Xe!$EC$2:$EC$80,MATCH($B$184,Xe!$A$2:$A$80,0))/INDEX(Xe!$EB$2:$EB$80,MATCH($B$184,Xe!$A$2:$A$80,0))</f>
        <v/>
      </c>
      <c r="F184">
        <f>INDEX(Phuong_tien_tham_chieu!$T$2:$T$105,MATCH("stealth_fighter",Phuong_tien_tham_chieu!$A$2:$A$105,0))/INDEX(Phuong_tien_tham_chieu!$S$2:$S$105,MATCH("stealth_fighter",Phuong_tien_tham_chieu!$A$2:$A$105,0))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INDEX(Xe!$EA$2:$EA$80,MATCH($B$185,Xe!$A$2:$A$80,0))</f>
        <v/>
      </c>
      <c r="F185">
        <f>INDEX(Phuong_tien_tham_chieu!$U$2:$U$105,MATCH("stealth_naval_strike",Phuong_tien_tham_chieu!$A$2:$A$105,0))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INDEX(Xe!$EA$2:$EA$80,MATCH($B$186,Xe!$A$2:$A$80,0))/INDEX(Xe!$EB$2:$EB$80,MATCH($B$186,Xe!$A$2:$A$80,0))</f>
        <v/>
      </c>
      <c r="F186">
        <f>INDEX(Phuong_tien_tham_chieu!$U$2:$U$105,MATCH("stealth_naval_strike",Phuong_tien_tham_chieu!$A$2:$A$105,0))/INDEX(Phuong_tien_tham_chieu!$S$2:$S$105,MATCH("stealth_naval_strike",Phuong_tien_tham_chieu!$A$2:$A$105,0))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TC0095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INDEX(Xe!$EB$2:$EB$80,MATCH($B$187,Xe!$A$2:$A$80,0))</f>
        <v/>
      </c>
      <c r="F187">
        <f>INDEX(Phuong_tien_tham_chieu!$S$2:$S$105,MATCH("stealth_naval_strike",Phuong_tien_tham_chieu!$A$2:$A$105,0))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INDEX(Xe!$EC$2:$EC$80,MATCH($B$188,Xe!$A$2:$A$80,0))</f>
        <v/>
      </c>
      <c r="F188">
        <f>INDEX(Phuong_tien_tham_chieu!$T$2:$T$105,MATCH("stealth_naval_strike",Phuong_tien_tham_chieu!$A$2:$A$105,0))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INDEX(Xe!$EC$2:$EC$80,MATCH($B$189,Xe!$A$2:$A$80,0))/INDEX(Xe!$EB$2:$EB$80,MATCH($B$189,Xe!$A$2:$A$80,0))</f>
        <v/>
      </c>
      <c r="F189">
        <f>INDEX(Phuong_tien_tham_chieu!$T$2:$T$105,MATCH("stealth_naval_strike",Phuong_tien_tham_chieu!$A$2:$A$105,0))/INDEX(Phuong_tien_tham_chieu!$S$2:$S$105,MATCH("stealth_naval_strike",Phuong_tien_tham_chieu!$A$2:$A$105,0))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INDEX(Xe!$EA$2:$EA$80,MATCH($B$190,Xe!$A$2:$A$80,0))</f>
        <v/>
      </c>
      <c r="F190">
        <f>INDEX(Phuong_tien_tham_chieu!$U$2:$U$105,MATCH("strike_drone",Phuong_tien_tham_chieu!$A$2:$A$105,0))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INDEX(Xe!$EA$2:$EA$80,MATCH($B$191,Xe!$A$2:$A$80,0))/INDEX(Xe!$EB$2:$EB$80,MATCH($B$191,Xe!$A$2:$A$80,0))</f>
        <v/>
      </c>
      <c r="F191">
        <f>INDEX(Phuong_tien_tham_chieu!$U$2:$U$105,MATCH("strike_drone",Phuong_tien_tham_chieu!$A$2:$A$105,0))/INDEX(Phuong_tien_tham_chieu!$S$2:$S$105,MATCH("strike_drone",Phuong_tien_tham_chieu!$A$2:$A$105,0))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TC0096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INDEX(Xe!$EB$2:$EB$80,MATCH($B$192,Xe!$A$2:$A$80,0))</f>
        <v/>
      </c>
      <c r="F192">
        <f>INDEX(Phuong_tien_tham_chieu!$S$2:$S$105,MATCH("strike_drone",Phuong_tien_tham_chieu!$A$2:$A$105,0))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INDEX(Xe!$EC$2:$EC$80,MATCH($B$193,Xe!$A$2:$A$80,0))</f>
        <v/>
      </c>
      <c r="F193">
        <f>INDEX(Phuong_tien_tham_chieu!$T$2:$T$105,MATCH("strike_drone",Phuong_tien_tham_chieu!$A$2:$A$105,0))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INDEX(Xe!$EC$2:$EC$80,MATCH($B$194,Xe!$A$2:$A$80,0))/INDEX(Xe!$EB$2:$EB$80,MATCH($B$194,Xe!$A$2:$A$80,0))</f>
        <v/>
      </c>
      <c r="F194">
        <f>INDEX(Phuong_tien_tham_chieu!$T$2:$T$105,MATCH("strike_drone",Phuong_tien_tham_chieu!$A$2:$A$105,0))/INDEX(Phuong_tien_tham_chieu!$S$2:$S$105,MATCH("strike_drone",Phuong_tien_tham_chieu!$A$2:$A$105,0))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INDEX(Xe!$EA$2:$EA$80,MATCH($B$195,Xe!$A$2:$A$80,0))</f>
        <v/>
      </c>
      <c r="F195">
        <f>INDEX(Phuong_tien_tham_chieu!$U$2:$U$105,MATCH("supply_truck",Phuong_tien_tham_chieu!$A$2:$A$105,0))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INDEX(Xe!$EA$2:$EA$80,MATCH($B$196,Xe!$A$2:$A$80,0))/INDEX(Xe!$EB$2:$EB$80,MATCH($B$196,Xe!$A$2:$A$80,0))</f>
        <v/>
      </c>
      <c r="F196">
        <f>INDEX(Phuong_tien_tham_chieu!$U$2:$U$105,MATCH("supply_truck",Phuong_tien_tham_chieu!$A$2:$A$105,0))/INDEX(Phuong_tien_tham_chieu!$S$2:$S$105,MATCH("supply_truck",Phuong_tien_tham_chieu!$A$2:$A$105,0))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INDEX(Xe!$EB$2:$EB$80,MATCH($B$197,Xe!$A$2:$A$80,0))</f>
        <v/>
      </c>
      <c r="F197">
        <f>INDEX(Phuong_tien_tham_chieu!$S$2:$S$105,MATCH("supply_truck",Phuong_tien_tham_chieu!$A$2:$A$105,0))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INDEX(Xe!$EC$2:$EC$80,MATCH($B$198,Xe!$A$2:$A$80,0))</f>
        <v/>
      </c>
      <c r="F198">
        <f>INDEX(Phuong_tien_tham_chieu!$T$2:$T$105,MATCH("supply_truck",Phuong_tien_tham_chieu!$A$2:$A$105,0))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INDEX(Xe!$EC$2:$EC$80,MATCH($B$199,Xe!$A$2:$A$80,0))/INDEX(Xe!$EB$2:$EB$80,MATCH($B$199,Xe!$A$2:$A$80,0))</f>
        <v/>
      </c>
      <c r="F199">
        <f>INDEX(Phuong_tien_tham_chieu!$T$2:$T$105,MATCH("supply_truck",Phuong_tien_tham_chieu!$A$2:$A$105,0))/INDEX(Phuong_tien_tham_chieu!$S$2:$S$105,MATCH("supply_truck",Phuong_tien_tham_chieu!$A$2:$A$105,0))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INDEX(Xe!$EA$2:$EA$80,MATCH($B$200,Xe!$A$2:$A$80,0))</f>
        <v/>
      </c>
      <c r="F200">
        <f>INDEX(Phuong_tien_tham_chieu!$U$2:$U$105,MATCH("swarm_carrier",Phuong_tien_tham_chieu!$A$2:$A$105,0))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INDEX(Xe!$EA$2:$EA$80,MATCH($B$201,Xe!$A$2:$A$80,0))/INDEX(Xe!$EB$2:$EB$80,MATCH($B$201,Xe!$A$2:$A$80,0))</f>
        <v/>
      </c>
      <c r="F201">
        <f>INDEX(Phuong_tien_tham_chieu!$U$2:$U$105,MATCH("swarm_carrier",Phuong_tien_tham_chieu!$A$2:$A$105,0))/INDEX(Phuong_tien_tham_chieu!$S$2:$S$105,MATCH("swarm_carrier",Phuong_tien_tham_chieu!$A$2:$A$105,0))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INDEX(Xe!$EB$2:$EB$80,MATCH($B$202,Xe!$A$2:$A$80,0))</f>
        <v/>
      </c>
      <c r="F202">
        <f>INDEX(Phuong_tien_tham_chieu!$S$2:$S$105,MATCH("swarm_carrier",Phuong_tien_tham_chieu!$A$2:$A$105,0))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INDEX(Xe!$EC$2:$EC$80,MATCH($B$203,Xe!$A$2:$A$80,0))</f>
        <v/>
      </c>
      <c r="F203">
        <f>INDEX(Phuong_tien_tham_chieu!$T$2:$T$105,MATCH("swarm_carrier",Phuong_tien_tham_chieu!$A$2:$A$105,0))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INDEX(Xe!$EC$2:$EC$80,MATCH($B$204,Xe!$A$2:$A$80,0))/INDEX(Xe!$EB$2:$EB$80,MATCH($B$204,Xe!$A$2:$A$80,0))</f>
        <v/>
      </c>
      <c r="F204">
        <f>INDEX(Phuong_tien_tham_chieu!$T$2:$T$105,MATCH("swarm_carrier",Phuong_tien_tham_chieu!$A$2:$A$105,0))/INDEX(Phuong_tien_tham_chieu!$S$2:$S$105,MATCH("swarm_carrier",Phuong_tien_tham_chieu!$A$2:$A$105,0))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INDEX(Xe!$EA$2:$EA$80,MATCH($B$205,Xe!$A$2:$A$80,0))</f>
        <v/>
      </c>
      <c r="F205">
        <f>INDEX(Phuong_tien_tham_chieu!$U$2:$U$105,MATCH("tank_destroyer",Phuong_tien_tham_chieu!$A$2:$A$105,0))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INDEX(Xe!$EA$2:$EA$80,MATCH($B$206,Xe!$A$2:$A$80,0))/INDEX(Xe!$EB$2:$EB$80,MATCH($B$206,Xe!$A$2:$A$80,0))</f>
        <v/>
      </c>
      <c r="F206">
        <f>INDEX(Phuong_tien_tham_chieu!$U$2:$U$105,MATCH("tank_destroyer",Phuong_tien_tham_chieu!$A$2:$A$105,0))/INDEX(Phuong_tien_tham_chieu!$S$2:$S$105,MATCH("tank_destroyer",Phuong_tien_tham_chieu!$A$2:$A$105,0))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TC0097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INDEX(Xe!$EB$2:$EB$80,MATCH($B$207,Xe!$A$2:$A$80,0))</f>
        <v/>
      </c>
      <c r="F207">
        <f>INDEX(Phuong_tien_tham_chieu!$S$2:$S$105,MATCH("tank_destroyer",Phuong_tien_tham_chieu!$A$2:$A$105,0))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INDEX(Xe!$EC$2:$EC$80,MATCH($B$208,Xe!$A$2:$A$80,0))</f>
        <v/>
      </c>
      <c r="F208">
        <f>INDEX(Phuong_tien_tham_chieu!$T$2:$T$105,MATCH("tank_destroyer",Phuong_tien_tham_chieu!$A$2:$A$105,0))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INDEX(Xe!$EC$2:$EC$80,MATCH($B$209,Xe!$A$2:$A$80,0))/INDEX(Xe!$EB$2:$EB$80,MATCH($B$209,Xe!$A$2:$A$80,0))</f>
        <v/>
      </c>
      <c r="F209">
        <f>INDEX(Phuong_tien_tham_chieu!$T$2:$T$105,MATCH("tank_destroyer",Phuong_tien_tham_chieu!$A$2:$A$105,0))/INDEX(Phuong_tien_tham_chieu!$S$2:$S$105,MATCH("tank_destroyer",Phuong_tien_tham_chieu!$A$2:$A$105,0))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INDEX(Xe!$EB$2:$EB$80,MATCH($B$210,Xe!$A$2:$A$80,0))</f>
        <v/>
      </c>
      <c r="F210">
        <f>INDEX(Phuong_tien_tham_chieu!$S$2:$S$105,MATCH("thermobaric_launcher",Phuong_tien_tham_chieu!$A$2:$A$105,0))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INDEX(Xe!$EC$2:$EC$80,MATCH($B$211,Xe!$A$2:$A$80,0))</f>
        <v/>
      </c>
      <c r="F211">
        <f>INDEX(Phuong_tien_tham_chieu!$T$2:$T$105,MATCH("thermobaric_launcher",Phuong_tien_tham_chieu!$A$2:$A$105,0))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INDEX(Xe!$EC$2:$EC$80,MATCH($B$212,Xe!$A$2:$A$80,0))/INDEX(Xe!$EB$2:$EB$80,MATCH($B$212,Xe!$A$2:$A$80,0))</f>
        <v/>
      </c>
      <c r="F212">
        <f>INDEX(Phuong_tien_tham_chieu!$T$2:$T$105,MATCH("thermobaric_launcher",Phuong_tien_tham_chieu!$A$2:$A$105,0))/INDEX(Phuong_tien_tham_chieu!$S$2:$S$105,MATCH("thermobaric_launcher",Phuong_tien_tham_chieu!$A$2:$A$105,0))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TC0098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INDEX(Xe!$EA$2:$EA$80,MATCH($B$213,Xe!$A$2:$A$80,0))</f>
        <v/>
      </c>
      <c r="F213">
        <f>INDEX(Phuong_tien_tham_chieu!$U$2:$U$105,MATCH("wheeled_gun",Phuong_tien_tham_chieu!$A$2:$A$105,0))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INDEX(Xe!$EA$2:$EA$80,MATCH($B$214,Xe!$A$2:$A$80,0))/INDEX(Xe!$EB$2:$EB$80,MATCH($B$214,Xe!$A$2:$A$80,0))</f>
        <v/>
      </c>
      <c r="F214">
        <f>INDEX(Phuong_tien_tham_chieu!$U$2:$U$105,MATCH("wheeled_gun",Phuong_tien_tham_chieu!$A$2:$A$105,0))/INDEX(Phuong_tien_tham_chieu!$S$2:$S$105,MATCH("wheeled_gun",Phuong_tien_tham_chieu!$A$2:$A$105,0))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TC0099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INDEX(Xe!$EB$2:$EB$80,MATCH($B$215,Xe!$A$2:$A$80,0))</f>
        <v/>
      </c>
      <c r="F215">
        <f>INDEX(Phuong_tien_tham_chieu!$S$2:$S$105,MATCH("wheeled_gun",Phuong_tien_tham_chieu!$A$2:$A$105,0))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INDEX(Xe!$EC$2:$EC$80,MATCH($B$216,Xe!$A$2:$A$80,0))</f>
        <v/>
      </c>
      <c r="F216">
        <f>INDEX(Phuong_tien_tham_chieu!$T$2:$T$105,MATCH("wheeled_gun",Phuong_tien_tham_chieu!$A$2:$A$105,0))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INDEX(Xe!$EC$2:$EC$80,MATCH($B$217,Xe!$A$2:$A$80,0))/INDEX(Xe!$EB$2:$EB$80,MATCH($B$217,Xe!$A$2:$A$80,0))</f>
        <v/>
      </c>
      <c r="F217">
        <f>INDEX(Phuong_tien_tham_chieu!$T$2:$T$105,MATCH("wheeled_gun",Phuong_tien_tham_chieu!$A$2:$A$105,0))/INDEX(Phuong_tien_tham_chieu!$S$2:$S$105,MATCH("wheeled_gun",Phuong_tien_tham_chieu!$A$2:$A$105,0))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TC0100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INDEX(Xe!$EA$2:$EA$80,MATCH($B$218,Xe!$A$2:$A$80,0))</f>
        <v/>
      </c>
      <c r="F218">
        <f>INDEX(Phuong_tien_tham_chieu!$U$2:$U$105,MATCH("zu23_technical",Phuong_tien_tham_chieu!$A$2:$A$105,0))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INDEX(Xe!$EA$2:$EA$80,MATCH($B$219,Xe!$A$2:$A$80,0))/INDEX(Xe!$EB$2:$EB$80,MATCH($B$219,Xe!$A$2:$A$80,0))</f>
        <v/>
      </c>
      <c r="F219">
        <f>INDEX(Phuong_tien_tham_chieu!$U$2:$U$105,MATCH("zu23_technical",Phuong_tien_tham_chieu!$A$2:$A$105,0))/INDEX(Phuong_tien_tham_chieu!$S$2:$S$105,MATCH("zu23_technical",Phuong_tien_tham_chieu!$A$2:$A$105,0))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INDEX(Xe!$EB$2:$EB$80,MATCH($B$220,Xe!$A$2:$A$80,0))</f>
        <v/>
      </c>
      <c r="F220">
        <f>INDEX(Phuong_tien_tham_chieu!$S$2:$S$105,MATCH("zu23_technical",Phuong_tien_tham_chieu!$A$2:$A$105,0))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INDEX(Xe!$EC$2:$EC$80,MATCH($B$221,Xe!$A$2:$A$80,0))</f>
        <v/>
      </c>
      <c r="F221">
        <f>INDEX(Phuong_tien_tham_chieu!$T$2:$T$105,MATCH("zu23_technical",Phuong_tien_tham_chieu!$A$2:$A$105,0))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INDEX(Xe!$EC$2:$EC$80,MATCH($B$222,Xe!$A$2:$A$80,0))/INDEX(Xe!$EB$2:$EB$80,MATCH($B$222,Xe!$A$2:$A$80,0))</f>
        <v/>
      </c>
      <c r="F222">
        <f>INDEX(Phuong_tien_tham_chieu!$T$2:$T$105,MATCH("zu23_technical",Phuong_tien_tham_chieu!$A$2:$A$105,0))/INDEX(Phuong_tien_tham_chieu!$S$2:$S$105,MATCH("zu23_technical",Phuong_tien_tham_chieu!$A$2:$A$105,0))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12" customWidth="1" min="4" max="4"/>
    <col width="33" customWidth="1" min="5" max="5"/>
    <col width="13" customWidth="1" min="6" max="6"/>
    <col width="18" customWidth="1" min="7" max="7"/>
    <col width="16" customWidth="1" min="8" max="8"/>
    <col width="59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weapons.armour.fragmentPenetration</t>
        </is>
      </c>
      <c r="B2" t="inlineStr">
        <is>
          <t>armour</t>
        </is>
      </c>
      <c r="C2" t="inlineStr">
        <is>
          <t>fragmentPenetration</t>
        </is>
      </c>
      <c r="D2" t="n">
        <v>1</v>
      </c>
      <c r="F2" t="inlineStr">
        <is>
          <t>level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2, was Sim/Content/Armour.cs:115)</t>
        </is>
      </c>
      <c r="J2" t="inlineStr">
        <is>
          <t>Assets/MachineBrigade/Resources/Data/tunables.json: weapons.armour.fragmentPenetration</t>
        </is>
      </c>
      <c r="K2" t="inlineStr">
        <is>
          <t>{"value":1,"unit":"level","kind":"sat_thuong","linh_vuc":"01","code":"Armour (pack 2, was Sim/Content/Armour.cs:115)"}</t>
        </is>
      </c>
    </row>
    <row r="3">
      <c r="A3" t="inlineStr">
        <is>
          <t>weapons.combatSystem.axisRatio</t>
        </is>
      </c>
      <c r="B3" t="inlineStr">
        <is>
          <t>combatSystem</t>
        </is>
      </c>
      <c r="C3" t="inlineStr">
        <is>
          <t>axisRatio</t>
        </is>
      </c>
      <c r="D3" t="n">
        <v>1.5</v>
      </c>
      <c r="F3" t="inlineStr">
        <is>
          <t>x</t>
        </is>
      </c>
      <c r="G3" t="inlineStr">
        <is>
          <t>nguong</t>
        </is>
      </c>
      <c r="H3" t="inlineStr">
        <is>
          <t>01</t>
        </is>
      </c>
      <c r="I3" t="inlineStr">
        <is>
          <t>CombatSystem.AxisRatio</t>
        </is>
      </c>
      <c r="J3" t="inlineStr">
        <is>
          <t>Assets/MachineBrigade/Resources/Data/tunables.json: weapons.combatSystem.axisRatio</t>
        </is>
      </c>
      <c r="K3" t="inlineStr">
        <is>
          <t>{"value":1.5,"unit":"x","kind":"nguong","linh_vuc":"01","code":"CombatSystem.AxisRatio"}</t>
        </is>
      </c>
    </row>
    <row r="4">
      <c r="A4" t="inlineStr">
        <is>
          <t>weapons.combatSystem.bombedRadius</t>
        </is>
      </c>
      <c r="B4" t="inlineStr">
        <is>
          <t>combatSystem</t>
        </is>
      </c>
      <c r="C4" t="inlineStr">
        <is>
          <t>bombedRadius</t>
        </is>
      </c>
      <c r="D4" t="n">
        <v>16</v>
      </c>
      <c r="F4" t="inlineStr">
        <is>
          <t>m</t>
        </is>
      </c>
      <c r="G4" t="inlineStr">
        <is>
          <t>ban_kinh</t>
        </is>
      </c>
      <c r="H4" t="inlineStr">
        <is>
          <t>01</t>
        </is>
      </c>
      <c r="I4" t="inlineStr">
        <is>
          <t>CombatSystem.BombedRadius</t>
        </is>
      </c>
      <c r="J4" t="inlineStr">
        <is>
          <t>Assets/MachineBrigade/Resources/Data/tunables.json: weapons.combatSystem.bombedRadius</t>
        </is>
      </c>
      <c r="K4" t="inlineStr">
        <is>
          <t>{"value":16.0,"unit":"m","kind":"ban_kinh","linh_vuc":"01","code":"CombatSystem.BombedRadius"}</t>
        </is>
      </c>
    </row>
    <row r="5">
      <c r="A5" t="inlineStr">
        <is>
          <t>weapons.combatSystem.bombedSeconds</t>
        </is>
      </c>
      <c r="B5" t="inlineStr">
        <is>
          <t>combatSystem</t>
        </is>
      </c>
      <c r="C5" t="inlineStr">
        <is>
          <t>bombedSeconds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01</t>
        </is>
      </c>
      <c r="I5" t="inlineStr">
        <is>
          <t>CombatSystem.BombedSeconds</t>
        </is>
      </c>
      <c r="J5" t="inlineStr">
        <is>
          <t>Assets/MachineBrigade/Resources/Data/tunables.json: weapons.combatSystem.bombedSeconds</t>
        </is>
      </c>
      <c r="K5" t="inlineStr">
        <is>
          <t>{"value":10.0,"unit":"s","kind":"thoi_gian","linh_vuc":"01","code":"CombatSystem.BombedSeconds"}</t>
        </is>
      </c>
    </row>
    <row r="6">
      <c r="A6" t="inlineStr">
        <is>
          <t>weapons.combatSystem.counterBatteryPriority</t>
        </is>
      </c>
      <c r="B6" t="inlineStr">
        <is>
          <t>combatSystem</t>
        </is>
      </c>
      <c r="C6" t="inlineStr">
        <is>
          <t>counterBatteryPriority</t>
        </is>
      </c>
      <c r="D6" t="n">
        <v>12</v>
      </c>
      <c r="F6" t="inlineStr">
        <is>
          <t>score</t>
        </is>
      </c>
      <c r="G6" t="inlineStr">
        <is>
          <t>gioi_han_thuc_the</t>
        </is>
      </c>
      <c r="H6" t="inlineStr">
        <is>
          <t>01</t>
        </is>
      </c>
      <c r="I6" t="inlineStr">
        <is>
          <t>CombatSystem.CounterBatteryPriority</t>
        </is>
      </c>
      <c r="J6" t="inlineStr">
        <is>
          <t>Assets/MachineBrigade/Resources/Data/tunables.json: weapons.combatSystem.counterBatteryPriority</t>
        </is>
      </c>
      <c r="K6" t="inlineStr">
        <is>
          <t>{"value":12.0,"unit":"score","kind":"gioi_han_thuc_the","linh_vuc":"01","code":"CombatSystem.CounterBatteryPriority"}</t>
        </is>
      </c>
    </row>
    <row r="7">
      <c r="A7" t="inlineStr">
        <is>
          <t>weapons.combatSystem.crowdMax</t>
        </is>
      </c>
      <c r="B7" t="inlineStr">
        <is>
          <t>combatSystem</t>
        </is>
      </c>
      <c r="C7" t="inlineStr">
        <is>
          <t>crowdMax</t>
        </is>
      </c>
      <c r="D7" t="n">
        <v>4</v>
      </c>
      <c r="F7" t="inlineStr">
        <is>
          <t>count</t>
        </is>
      </c>
      <c r="G7" t="inlineStr">
        <is>
          <t>tran</t>
        </is>
      </c>
      <c r="H7" t="inlineStr">
        <is>
          <t>01</t>
        </is>
      </c>
      <c r="I7" t="inlineStr">
        <is>
          <t>CombatSystem.CrowdMax</t>
        </is>
      </c>
      <c r="J7" t="inlineStr">
        <is>
          <t>Assets/MachineBrigade/Resources/Data/tunables.json: weapons.combatSystem.crowdMax</t>
        </is>
      </c>
      <c r="K7" t="inlineStr">
        <is>
          <t>{"value":4.0,"unit":"count","kind":"tran","linh_vuc":"01","code":"CombatSystem.CrowdMax"}</t>
        </is>
      </c>
    </row>
    <row r="8">
      <c r="A8" t="inlineStr">
        <is>
          <t>weapons.combatSystem.reloadStillSpeed</t>
        </is>
      </c>
      <c r="B8" t="inlineStr">
        <is>
          <t>combatSystem</t>
        </is>
      </c>
      <c r="C8" t="inlineStr">
        <is>
          <t>reloadStillSpeed</t>
        </is>
      </c>
      <c r="D8" t="n">
        <v>0.4</v>
      </c>
      <c r="F8" t="inlineStr">
        <is>
          <t>m/s</t>
        </is>
      </c>
      <c r="G8" t="inlineStr">
        <is>
          <t>tan_suat</t>
        </is>
      </c>
      <c r="H8" t="inlineStr">
        <is>
          <t>01</t>
        </is>
      </c>
      <c r="I8" t="inlineStr">
        <is>
          <t>CombatSystem.ReloadStillSpeed</t>
        </is>
      </c>
      <c r="J8" t="inlineStr">
        <is>
          <t>Assets/MachineBrigade/Resources/Data/tunables.json: weapons.combatSystem.reloadStillSpeed</t>
        </is>
      </c>
      <c r="K8" t="inlineStr">
        <is>
          <t>{"value":0.4,"unit":"m/s","kind":"tan_suat","linh_vuc":"01","code":"CombatSystem.ReloadStillSpeed"}</t>
        </is>
      </c>
    </row>
    <row r="9">
      <c r="A9" t="inlineStr">
        <is>
          <t>weapons.combatSystem.restSeconds</t>
        </is>
      </c>
      <c r="B9" t="inlineStr">
        <is>
          <t>combatSystem</t>
        </is>
      </c>
      <c r="C9" t="inlineStr">
        <is>
          <t>restSeconds</t>
        </is>
      </c>
      <c r="D9" t="n">
        <v>1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CombatSystem.RestSeconds</t>
        </is>
      </c>
      <c r="J9" t="inlineStr">
        <is>
          <t>Assets/MachineBrigade/Resources/Data/tunables.json: weapons.combatSystem.restSeconds</t>
        </is>
      </c>
      <c r="K9" t="inlineStr">
        <is>
          <t>{"value":1.0,"unit":"s","kind":"thoi_gian","linh_vuc":"01","code":"CombatSystem.RestSeconds"}</t>
        </is>
      </c>
    </row>
    <row r="10">
      <c r="A10" t="inlineStr">
        <is>
          <t>weapons.combatSystem.retargetSeconds</t>
        </is>
      </c>
      <c r="B10" t="inlineStr">
        <is>
          <t>combatSystem</t>
        </is>
      </c>
      <c r="C10" t="inlineStr">
        <is>
          <t>retargetSeconds</t>
        </is>
      </c>
      <c r="D10" t="n">
        <v>0.5</v>
      </c>
      <c r="F10" t="inlineStr">
        <is>
          <t>s</t>
        </is>
      </c>
      <c r="G10" t="inlineStr">
        <is>
          <t>thoi_gian</t>
        </is>
      </c>
      <c r="H10" t="inlineStr">
        <is>
          <t>01</t>
        </is>
      </c>
      <c r="I10" t="inlineStr">
        <is>
          <t>CombatSystem.RetargetSeconds</t>
        </is>
      </c>
      <c r="J10" t="inlineStr">
        <is>
          <t>Assets/MachineBrigade/Resources/Data/tunables.json: weapons.combatSystem.retargetSeconds</t>
        </is>
      </c>
      <c r="K10" t="inlineStr">
        <is>
          <t>{"value":0.5,"unit":"s","kind":"thoi_gian","linh_vuc":"01","code":"CombatSystem.RetargetSeconds"}</t>
        </is>
      </c>
    </row>
    <row r="11">
      <c r="A11" t="inlineStr">
        <is>
          <t>weapons.combatSystem.runDamage</t>
        </is>
      </c>
      <c r="B11" t="inlineStr">
        <is>
          <t>combatSystem</t>
        </is>
      </c>
      <c r="C11" t="inlineStr">
        <is>
          <t>runDamage</t>
        </is>
      </c>
      <c r="D11" t="n">
        <v>1.7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CombatSystem.RunDamage</t>
        </is>
      </c>
      <c r="J11" t="inlineStr">
        <is>
          <t>Assets/MachineBrigade/Resources/Data/tunables.json: weapons.combatSystem.runDamage</t>
        </is>
      </c>
      <c r="K11" t="inlineStr">
        <is>
          <t>{"value":1.7,"unit":"x","kind":"sat_thuong","linh_vuc":"01","code":"CombatSystem.RunDamage"}</t>
        </is>
      </c>
    </row>
    <row r="12">
      <c r="A12" t="inlineStr">
        <is>
          <t>weapons.combatSystem.twinGap</t>
        </is>
      </c>
      <c r="B12" t="inlineStr">
        <is>
          <t>combatSystem</t>
        </is>
      </c>
      <c r="C12" t="inlineStr">
        <is>
          <t>twinGap</t>
        </is>
      </c>
      <c r="D12" t="n">
        <v>0.15</v>
      </c>
      <c r="F12" t="inlineStr">
        <is>
          <t>s</t>
        </is>
      </c>
      <c r="G12" t="inlineStr">
        <is>
          <t>thoi_gian</t>
        </is>
      </c>
      <c r="H12" t="inlineStr">
        <is>
          <t>01</t>
        </is>
      </c>
      <c r="I12" t="inlineStr">
        <is>
          <t>CombatSystem.TwinGap</t>
        </is>
      </c>
      <c r="J12" t="inlineStr">
        <is>
          <t>Assets/MachineBrigade/Resources/Data/tunables.json: weapons.combatSystem.twinGap</t>
        </is>
      </c>
      <c r="K12" t="inlineStr">
        <is>
          <t>{"value":0.15,"unit":"s","kind":"thoi_gian","linh_vuc":"01","code":"CombatSystem.TwinGap"}</t>
        </is>
      </c>
    </row>
    <row r="13">
      <c r="A13" t="inlineStr">
        <is>
          <t>weapons.combatSystem.twinOffset</t>
        </is>
      </c>
      <c r="B13" t="inlineStr">
        <is>
          <t>combatSystem</t>
        </is>
      </c>
      <c r="C13" t="inlineStr">
        <is>
          <t>twinOffset</t>
        </is>
      </c>
      <c r="D13" t="n">
        <v>0.1</v>
      </c>
      <c r="F13" t="inlineStr">
        <is>
          <t>s</t>
        </is>
      </c>
      <c r="G13" t="inlineStr">
        <is>
          <t>ban_kinh</t>
        </is>
      </c>
      <c r="H13" t="inlineStr">
        <is>
          <t>01</t>
        </is>
      </c>
      <c r="I13" t="inlineStr">
        <is>
          <t>CombatSystem.TwinOffset</t>
        </is>
      </c>
      <c r="J13" t="inlineStr">
        <is>
          <t>Assets/MachineBrigade/Resources/Data/tunables.json: weapons.combatSystem.twinOffset</t>
        </is>
      </c>
      <c r="K13" t="inlineStr">
        <is>
          <t>{"value":0.1,"unit":"s","kind":"ban_kinh","linh_vuc":"01","code":"CombatSystem.TwinOffset"}</t>
        </is>
      </c>
    </row>
    <row r="14">
      <c r="A14" t="inlineStr">
        <is>
          <t>weapons.countermeasures.apsRechargeScale</t>
        </is>
      </c>
      <c r="B14" t="inlineStr">
        <is>
          <t>countermeasures</t>
        </is>
      </c>
      <c r="C14" t="inlineStr">
        <is>
          <t>apsRechargeScale</t>
        </is>
      </c>
      <c r="D14" t="n">
        <v>1.5</v>
      </c>
      <c r="F14" t="inlineStr">
        <is>
          <t>x</t>
        </is>
      </c>
      <c r="G14" t="inlineStr">
        <is>
          <t>thoi_gian</t>
        </is>
      </c>
      <c r="H14" t="inlineStr">
        <is>
          <t>01</t>
        </is>
      </c>
      <c r="I14" t="inlineStr">
        <is>
          <t>Countermeasures.ApsRechargeScale</t>
        </is>
      </c>
      <c r="J14" t="inlineStr">
        <is>
          <t>Assets/MachineBrigade/Resources/Data/tunables.json: weapons.countermeasures.apsRechargeScale</t>
        </is>
      </c>
      <c r="K14" t="inlineStr">
        <is>
          <t>{"value":1.5,"unit":"x","kind":"thoi_gian","linh_vuc":"01","code":"Countermeasures.ApsRechargeScale"}</t>
        </is>
      </c>
    </row>
    <row r="15">
      <c r="A15" t="inlineStr">
        <is>
          <t>weapons.countermeasures.apsVolleySeconds</t>
        </is>
      </c>
      <c r="B15" t="inlineStr">
        <is>
          <t>countermeasures</t>
        </is>
      </c>
      <c r="C15" t="inlineStr">
        <is>
          <t>apsVolleySeconds</t>
        </is>
      </c>
      <c r="D15" t="n">
        <v>0.4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Countermeasures.ApsVolleySeconds</t>
        </is>
      </c>
      <c r="J15" t="inlineStr">
        <is>
          <t>Assets/MachineBrigade/Resources/Data/tunables.json: weapons.countermeasures.apsVolleySeconds</t>
        </is>
      </c>
      <c r="K15" t="inlineStr">
        <is>
          <t>{"value":0.4,"unit":"s","kind":"thoi_gian","linh_vuc":"01","code":"Countermeasures.ApsVolleySeconds"}</t>
        </is>
      </c>
    </row>
    <row r="16">
      <c r="A16" t="inlineStr">
        <is>
          <t>weapons.countermeasures.flareCueSeconds</t>
        </is>
      </c>
      <c r="B16" t="inlineStr">
        <is>
          <t>countermeasures</t>
        </is>
      </c>
      <c r="C16" t="inlineStr">
        <is>
          <t>flareCueSeconds</t>
        </is>
      </c>
      <c r="D16" t="n">
        <v>1.5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Countermeasures.FlareCueSeconds</t>
        </is>
      </c>
      <c r="J16" t="inlineStr">
        <is>
          <t>Assets/MachineBrigade/Resources/Data/tunables.json: weapons.countermeasures.flareCueSeconds</t>
        </is>
      </c>
      <c r="K16" t="inlineStr">
        <is>
          <t>{"value":1.5,"unit":"s","kind":"thoi_gian","linh_vuc":"01","code":"Countermeasures.FlareCueSeconds"}</t>
        </is>
      </c>
    </row>
    <row r="17">
      <c r="A17" t="inlineStr">
        <is>
          <t>weapons.countermeasures.flareGraceSeconds</t>
        </is>
      </c>
      <c r="B17" t="inlineStr">
        <is>
          <t>countermeasures</t>
        </is>
      </c>
      <c r="C17" t="inlineStr">
        <is>
          <t>flareGraceSeconds</t>
        </is>
      </c>
      <c r="D17" t="n">
        <v>0.5</v>
      </c>
      <c r="F17" t="inlineStr">
        <is>
          <t>s</t>
        </is>
      </c>
      <c r="G17" t="inlineStr">
        <is>
          <t>thoi_gian</t>
        </is>
      </c>
      <c r="H17" t="inlineStr">
        <is>
          <t>01</t>
        </is>
      </c>
      <c r="I17" t="inlineStr">
        <is>
          <t>Countermeasures.FlareGraceSeconds</t>
        </is>
      </c>
      <c r="J17" t="inlineStr">
        <is>
          <t>Assets/MachineBrigade/Resources/Data/tunables.json: weapons.countermeasures.flareGraceSeconds</t>
        </is>
      </c>
      <c r="K17" t="inlineStr">
        <is>
          <t>{"value":0.5,"unit":"s","kind":"thoi_gian","linh_vuc":"01","code":"Countermeasures.FlareGraceSeconds"}</t>
        </is>
      </c>
    </row>
    <row r="18">
      <c r="A18" t="inlineStr">
        <is>
          <t>weapons.damageRules.edgeFalloff</t>
        </is>
      </c>
      <c r="B18" t="inlineStr">
        <is>
          <t>damageRules</t>
        </is>
      </c>
      <c r="C18" t="inlineStr">
        <is>
          <t>edgeFalloff</t>
        </is>
      </c>
      <c r="D18" t="n">
        <v>0.25</v>
      </c>
      <c r="F18" t="inlineStr">
        <is>
          <t>share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DamageSystem.EdgeFalloff</t>
        </is>
      </c>
      <c r="J18" t="inlineStr">
        <is>
          <t>Assets/MachineBrigade/Resources/Data/tunables.json: weapons.damageRules.edgeFalloff</t>
        </is>
      </c>
      <c r="K18" t="inlineStr">
        <is>
          <t>{"value":0.25,"unit":"share","kind":"sat_thuong","linh_vuc":"01","code":"DamageSystem.EdgeFalloff"}</t>
        </is>
      </c>
    </row>
    <row r="19">
      <c r="A19" t="inlineStr">
        <is>
          <t>weapons.damageSystem.engineerBreach</t>
        </is>
      </c>
      <c r="B19" t="inlineStr">
        <is>
          <t>damageSystem</t>
        </is>
      </c>
      <c r="C19" t="inlineStr">
        <is>
          <t>engineerBreach</t>
        </is>
      </c>
      <c r="D19" t="n">
        <v>3</v>
      </c>
      <c r="F19" t="inlineStr">
        <is>
          <t>x</t>
        </is>
      </c>
      <c r="G19" t="inlineStr">
        <is>
          <t>nguong</t>
        </is>
      </c>
      <c r="H19" t="inlineStr">
        <is>
          <t>01</t>
        </is>
      </c>
      <c r="I19" t="inlineStr">
        <is>
          <t>DamageSystem.EngineerBreach</t>
        </is>
      </c>
      <c r="J19" t="inlineStr">
        <is>
          <t>Assets/MachineBrigade/Resources/Data/tunables.json: weapons.damageSystem.engineerBreach</t>
        </is>
      </c>
      <c r="K19" t="inlineStr">
        <is>
          <t>{"value":3.0,"unit":"x","kind":"nguong","linh_vuc":"01","code":"DamageSystem.EngineerBreach"}</t>
        </is>
      </c>
    </row>
    <row r="20">
      <c r="A20" t="inlineStr">
        <is>
          <t>weapons.damageSystem.fireAfterburn</t>
        </is>
      </c>
      <c r="B20" t="inlineStr">
        <is>
          <t>damageSystem</t>
        </is>
      </c>
      <c r="C20" t="inlineStr">
        <is>
          <t>fireAfterburn</t>
        </is>
      </c>
      <c r="D20" t="n">
        <v>0.3</v>
      </c>
      <c r="F20" t="inlineStr">
        <is>
          <t>share</t>
        </is>
      </c>
      <c r="G20" t="inlineStr">
        <is>
          <t>thoi_gian</t>
        </is>
      </c>
      <c r="H20" t="inlineStr">
        <is>
          <t>01</t>
        </is>
      </c>
      <c r="I20" t="inlineStr">
        <is>
          <t>DamageSystem.FireAfterburn</t>
        </is>
      </c>
      <c r="J20" t="inlineStr">
        <is>
          <t>Assets/MachineBrigade/Resources/Data/tunables.json: weapons.damageSystem.fireAfterburn</t>
        </is>
      </c>
      <c r="K20" t="inlineStr">
        <is>
          <t>{"value":0.3,"unit":"share","kind":"thoi_gian","linh_vuc":"01","code":"DamageSystem.FireAfterburn"}</t>
        </is>
      </c>
    </row>
    <row r="21">
      <c r="A21" t="inlineStr">
        <is>
          <t>weapons.damageSystem.fireBurnSeconds</t>
        </is>
      </c>
      <c r="B21" t="inlineStr">
        <is>
          <t>damageSystem</t>
        </is>
      </c>
      <c r="C21" t="inlineStr">
        <is>
          <t>fireBurnSeconds</t>
        </is>
      </c>
      <c r="D21" t="n">
        <v>3</v>
      </c>
      <c r="F21" t="inlineStr">
        <is>
          <t>s</t>
        </is>
      </c>
      <c r="G21" t="inlineStr">
        <is>
          <t>thoi_gian</t>
        </is>
      </c>
      <c r="H21" t="inlineStr">
        <is>
          <t>01</t>
        </is>
      </c>
      <c r="I21" t="inlineStr">
        <is>
          <t>DamageSystem.FireBurnSeconds</t>
        </is>
      </c>
      <c r="J21" t="inlineStr">
        <is>
          <t>Assets/MachineBrigade/Resources/Data/tunables.json: weapons.damageSystem.fireBurnSeconds</t>
        </is>
      </c>
      <c r="K21" t="inlineStr">
        <is>
          <t>{"value":3.0,"unit":"s","kind":"thoi_gian","linh_vuc":"01","code":"DamageSystem.FireBurnSeconds"}</t>
        </is>
      </c>
    </row>
    <row r="22">
      <c r="A22" t="inlineStr">
        <is>
          <t>weapons.damageSystem.smokeEnergyCut</t>
        </is>
      </c>
      <c r="B22" t="inlineStr">
        <is>
          <t>damageSystem</t>
        </is>
      </c>
      <c r="C22" t="inlineStr">
        <is>
          <t>smokeEnergyCut</t>
        </is>
      </c>
      <c r="D22" t="n">
        <v>0.8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DamageSystem.SmokeEnergyCut</t>
        </is>
      </c>
      <c r="J22" t="inlineStr">
        <is>
          <t>Assets/MachineBrigade/Resources/Data/tunables.json: weapons.damageSystem.smokeEnergyCut</t>
        </is>
      </c>
      <c r="K22" t="inlineStr">
        <is>
          <t>{"value":0.8,"unit":"share","kind":"nguong","linh_vuc":"01","code":"DamageSystem.SmokeEnergyCut"}</t>
        </is>
      </c>
    </row>
    <row r="23">
      <c r="A23" t="inlineStr">
        <is>
          <t>weapons.damageTable.defaultPenetration</t>
        </is>
      </c>
      <c r="B23" t="inlineStr">
        <is>
          <t>damageTable</t>
        </is>
      </c>
      <c r="C23" t="inlineStr">
        <is>
          <t>defaultPenetration</t>
        </is>
      </c>
      <c r="E23" t="inlineStr">
        <is>
          <t>1.2;1.0;0.85;0.65;0.4;0.15;0.08</t>
        </is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DamageTable.DefaultPenetration</t>
        </is>
      </c>
      <c r="J23" t="inlineStr">
        <is>
          <t>Assets/MachineBrigade/Resources/Data/tunables.json: weapons.damageTable.defaultPenetration</t>
        </is>
      </c>
      <c r="K23" t="inlineStr">
        <is>
          <t>{"value":[1.2,1.0,0.85,0.65,0.4,0.15,0.08],"unit":"x","kind":"sat_thuong","linh_vuc":"01","code":"DamageTable.DefaultPenetration"}</t>
        </is>
      </c>
    </row>
    <row r="24">
      <c r="A24" t="inlineStr">
        <is>
          <t>weapons.damageTable.defaultTopAttack</t>
        </is>
      </c>
      <c r="B24" t="inlineStr">
        <is>
          <t>damageTable</t>
        </is>
      </c>
      <c r="C24" t="inlineStr">
        <is>
          <t>defaultTopAttack</t>
        </is>
      </c>
      <c r="E24" t="inlineStr">
        <is>
          <t>1.15;1.1;0.95;0.75;0.5;0.25;0.12</t>
        </is>
      </c>
      <c r="F24" t="inlineStr">
        <is>
          <t>x</t>
        </is>
      </c>
      <c r="G24" t="inlineStr">
        <is>
          <t>sat_thuong</t>
        </is>
      </c>
      <c r="H24" t="inlineStr">
        <is>
          <t>01</t>
        </is>
      </c>
      <c r="I24" t="inlineStr">
        <is>
          <t>DamageTable.DefaultTopAttack</t>
        </is>
      </c>
      <c r="J24" t="inlineStr">
        <is>
          <t>Assets/MachineBrigade/Resources/Data/tunables.json: weapons.damageTable.defaultTopAttack</t>
        </is>
      </c>
      <c r="K24" t="inlineStr">
        <is>
          <t>{"value":[1.15,1.1,0.95,0.75,0.5,0.25,0.12],"unit":"x","kind":"sat_thuong","linh_vuc":"01","code":"DamageTable.DefaultTopAttack"}</t>
        </is>
      </c>
    </row>
    <row r="25">
      <c r="A25" t="inlineStr">
        <is>
          <t>weapons.fire.firestormShare</t>
        </is>
      </c>
      <c r="B25" t="inlineStr">
        <is>
          <t>fire</t>
        </is>
      </c>
      <c r="C25" t="inlineStr">
        <is>
          <t>firestormShare</t>
        </is>
      </c>
      <c r="D25" t="n">
        <v>0.1</v>
      </c>
      <c r="F25" t="inlineStr">
        <is>
          <t>share</t>
        </is>
      </c>
      <c r="G25" t="inlineStr">
        <is>
          <t>khac</t>
        </is>
      </c>
      <c r="H25" t="inlineStr">
        <is>
          <t>01</t>
        </is>
      </c>
      <c r="I25" t="inlineStr">
        <is>
          <t>GearSystem (pack 2, was Sim/Abilities/GearSystem.cs:847)</t>
        </is>
      </c>
      <c r="J25" t="inlineStr">
        <is>
          <t>Assets/MachineBrigade/Resources/Data/tunables.json: weapons.fire.firestormShare</t>
        </is>
      </c>
      <c r="K25" t="inlineStr">
        <is>
          <t>{"value":0.1,"unit":"share","kind":"khac","linh_vuc":"01","code":"GearSystem (pack 2, was Sim/Abilities/GearSystem.cs:847)"}</t>
        </is>
      </c>
    </row>
    <row r="26">
      <c r="A26" t="inlineStr">
        <is>
          <t>weapons.fire.firestormSpreadRadiusSqM</t>
        </is>
      </c>
      <c r="B26" t="inlineStr">
        <is>
          <t>fire</t>
        </is>
      </c>
      <c r="C26" t="inlineStr">
        <is>
          <t>firestormSpreadRadiusSqM</t>
        </is>
      </c>
      <c r="D26" t="n">
        <v>36</v>
      </c>
      <c r="F26" t="inlineStr">
        <is>
          <t>m2</t>
        </is>
      </c>
      <c r="G26" t="inlineStr">
        <is>
          <t>ban_kinh</t>
        </is>
      </c>
      <c r="H26" t="inlineStr">
        <is>
          <t>01</t>
        </is>
      </c>
      <c r="I26" t="inlineStr">
        <is>
          <t>GearSystem (pack 2, was Sim/Abilities/GearSystem.cs:1256)</t>
        </is>
      </c>
      <c r="J26" t="inlineStr">
        <is>
          <t>Assets/MachineBrigade/Resources/Data/tunables.json: weapons.fire.firestormSpreadRadiusSqM</t>
        </is>
      </c>
      <c r="K26" t="inlineStr">
        <is>
          <t>{"value":36.0,"unit":"m2","kind":"ban_kinh","linh_vuc":"01","code":"GearSystem (pack 2, was Sim/Abilities/GearSystem.cs:1256)"}</t>
        </is>
      </c>
    </row>
    <row r="27">
      <c r="A27" t="inlineStr">
        <is>
          <t>weapons.fire.firestormSpreadSeconds</t>
        </is>
      </c>
      <c r="B27" t="inlineStr">
        <is>
          <t>fire</t>
        </is>
      </c>
      <c r="C27" t="inlineStr">
        <is>
          <t>firestormSpreadSeconds</t>
        </is>
      </c>
      <c r="D27" t="n">
        <v>4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GearSystem (pack 2, was Sim/Abilities/GearSystem.cs:1265)</t>
        </is>
      </c>
      <c r="J27" t="inlineStr">
        <is>
          <t>Assets/MachineBrigade/Resources/Data/tunables.json: weapons.fire.firestormSpreadSeconds</t>
        </is>
      </c>
      <c r="K27" t="inlineStr">
        <is>
          <t>{"value":4.0,"unit":"s","kind":"thoi_gian","linh_vuc":"01","code":"GearSystem (pack 2, was Sim/Abilities/GearSystem.cs:1265)"}</t>
        </is>
      </c>
    </row>
    <row r="28">
      <c r="A28" t="inlineStr">
        <is>
          <t>weapons.fire.incendiaryFlameSeconds</t>
        </is>
      </c>
      <c r="B28" t="inlineStr">
        <is>
          <t>fire</t>
        </is>
      </c>
      <c r="C28" t="inlineStr">
        <is>
          <t>incendiaryFlameSeconds</t>
        </is>
      </c>
      <c r="D28" t="n">
        <v>6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GearSystem (pack 2, was Sim/Abilities/GearSystem.cs:846)</t>
        </is>
      </c>
      <c r="J28" t="inlineStr">
        <is>
          <t>Assets/MachineBrigade/Resources/Data/tunables.json: weapons.fire.incendiaryFlameSeconds</t>
        </is>
      </c>
      <c r="K28" t="inlineStr">
        <is>
          <t>{"value":6.0,"unit":"s","kind":"thoi_gian","linh_vuc":"01","code":"GearSystem (pack 2, was Sim/Abilities/GearSystem.cs:846)"}</t>
        </is>
      </c>
    </row>
    <row r="29">
      <c r="A29" t="inlineStr">
        <is>
          <t>weapons.fire.incendiaryOtherSeconds</t>
        </is>
      </c>
      <c r="B29" t="inlineStr">
        <is>
          <t>fire</t>
        </is>
      </c>
      <c r="C29" t="inlineStr">
        <is>
          <t>incendiaryOtherSeconds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01</t>
        </is>
      </c>
      <c r="I29" t="inlineStr">
        <is>
          <t>GearSystem (pack 2, was Sim/Abilities/GearSystem.cs:846)</t>
        </is>
      </c>
      <c r="J29" t="inlineStr">
        <is>
          <t>Assets/MachineBrigade/Resources/Data/tunables.json: weapons.fire.incendiaryOtherSeconds</t>
        </is>
      </c>
      <c r="K29" t="inlineStr">
        <is>
          <t>{"value":4.0,"unit":"s","kind":"thoi_gian","linh_vuc":"01","code":"GearSystem (pack 2, was Sim/Abilities/GearSystem.cs:846)"}</t>
        </is>
      </c>
    </row>
    <row r="30">
      <c r="A30" t="inlineStr">
        <is>
          <t>weapons.guidance.baseFailChance</t>
        </is>
      </c>
      <c r="B30" t="inlineStr">
        <is>
          <t>guidance</t>
        </is>
      </c>
      <c r="C30" t="inlineStr">
        <is>
          <t>baseFailChance</t>
        </is>
      </c>
      <c r="D30" t="n">
        <v>0.02</v>
      </c>
      <c r="F30" t="inlineStr">
        <is>
          <t>share</t>
        </is>
      </c>
      <c r="G30" t="inlineStr">
        <is>
          <t>xac_suat</t>
        </is>
      </c>
      <c r="H30" t="inlineStr">
        <is>
          <t>01</t>
        </is>
      </c>
      <c r="I30" t="inlineStr">
        <is>
          <t>CombatSystem (pack 2, was Sim/Combat/CombatSystem.cs:1021)</t>
        </is>
      </c>
      <c r="J30" t="inlineStr">
        <is>
          <t>Assets/MachineBrigade/Resources/Data/tunables.json: weapons.guidance.baseFailChance</t>
        </is>
      </c>
      <c r="K30" t="inlineStr">
        <is>
          <t>{"value":0.02,"unit":"share","kind":"xac_suat","linh_vuc":"01","code":"CombatSystem (pack 2, was Sim/Combat/CombatSystem.cs:1021)"}</t>
        </is>
      </c>
    </row>
    <row r="31">
      <c r="A31" t="inlineStr">
        <is>
          <t>weapons.guidance.rangeFailCoeff</t>
        </is>
      </c>
      <c r="B31" t="inlineStr">
        <is>
          <t>guidance</t>
        </is>
      </c>
      <c r="C31" t="inlineStr">
        <is>
          <t>rangeFailCoeff</t>
        </is>
      </c>
      <c r="D31" t="n">
        <v>0.08</v>
      </c>
      <c r="F31" t="inlineStr">
        <is>
          <t>share</t>
        </is>
      </c>
      <c r="G31" t="inlineStr">
        <is>
          <t>xac_suat</t>
        </is>
      </c>
      <c r="H31" t="inlineStr">
        <is>
          <t>01</t>
        </is>
      </c>
      <c r="I31" t="inlineStr">
        <is>
          <t>CombatSystem (pack 2, was Sim/Combat/CombatSystem.cs:1021)</t>
        </is>
      </c>
      <c r="J31" t="inlineStr">
        <is>
          <t>Assets/MachineBrigade/Resources/Data/tunables.json: weapons.guidance.rangeFailCoeff</t>
        </is>
      </c>
      <c r="K31" t="inlineStr">
        <is>
          <t>{"value":0.08,"unit":"share","kind":"xac_suat","linh_vuc":"01","code":"CombatSystem (pack 2, was Sim/Combat/CombatSystem.cs:1021)"}</t>
        </is>
      </c>
    </row>
    <row r="32">
      <c r="A32" t="inlineStr">
        <is>
          <t>weapons.jamRules.guidedMissMin</t>
        </is>
      </c>
      <c r="B32" t="inlineStr">
        <is>
          <t>jamRules</t>
        </is>
      </c>
      <c r="C32" t="inlineStr">
        <is>
          <t>guidedMissMin</t>
        </is>
      </c>
      <c r="D32" t="n">
        <v>5</v>
      </c>
      <c r="F32" t="inlineStr">
        <is>
          <t>m</t>
        </is>
      </c>
      <c r="G32" t="inlineStr">
        <is>
          <t>ban_kinh</t>
        </is>
      </c>
      <c r="H32" t="inlineStr">
        <is>
          <t>01</t>
        </is>
      </c>
      <c r="I32" t="inlineStr">
        <is>
          <t>CombatSystem.Launch (jammed / lock lost)</t>
        </is>
      </c>
      <c r="J32" t="inlineStr">
        <is>
          <t>Assets/MachineBrigade/Resources/Data/tunables.json: weapons.jamRules.guidedMissMin</t>
        </is>
      </c>
      <c r="K32" t="inlineStr">
        <is>
          <t>{"value":5.0,"unit":"m","kind":"ban_kinh","linh_vuc":"01","code":"CombatSystem.Launch (jammed / lock lost)"}</t>
        </is>
      </c>
    </row>
    <row r="33">
      <c r="A33" t="inlineStr">
        <is>
          <t>weapons.jamRules.guidedMissSpread</t>
        </is>
      </c>
      <c r="B33" t="inlineStr">
        <is>
          <t>jamRules</t>
        </is>
      </c>
      <c r="C33" t="inlineStr">
        <is>
          <t>guidedMissSpread</t>
        </is>
      </c>
      <c r="D33" t="n">
        <v>6</v>
      </c>
      <c r="F33" t="inlineStr">
        <is>
          <t>m</t>
        </is>
      </c>
      <c r="G33" t="inlineStr">
        <is>
          <t>ban_kinh</t>
        </is>
      </c>
      <c r="H33" t="inlineStr">
        <is>
          <t>01</t>
        </is>
      </c>
      <c r="I33" t="inlineStr">
        <is>
          <t>CombatSystem.Launch (jammed / lock lost)</t>
        </is>
      </c>
      <c r="J33" t="inlineStr">
        <is>
          <t>Assets/MachineBrigade/Resources/Data/tunables.json: weapons.jamRules.guidedMissSpread</t>
        </is>
      </c>
      <c r="K33" t="inlineStr">
        <is>
          <t>{"value":6.0,"unit":"m","kind":"ban_kinh","linh_vuc":"01","code":"CombatSystem.Launch (jammed / lock lost)"}</t>
        </is>
      </c>
    </row>
    <row r="34">
      <c r="A34" t="inlineStr">
        <is>
          <t>weapons.jamRules.strikeScatter</t>
        </is>
      </c>
      <c r="B34" t="inlineStr">
        <is>
          <t>jamRules</t>
        </is>
      </c>
      <c r="C34" t="inlineStr">
        <is>
          <t>strikeScatter</t>
        </is>
      </c>
      <c r="D34" t="n">
        <v>2.2</v>
      </c>
      <c r="F34" t="inlineStr">
        <is>
          <t>x</t>
        </is>
      </c>
      <c r="G34" t="inlineStr">
        <is>
          <t>ban_kinh</t>
        </is>
      </c>
      <c r="H34" t="inlineStr">
        <is>
          <t>01</t>
        </is>
      </c>
      <c r="I34" t="inlineStr">
        <is>
          <t>StrikeSystem.Launch Scatter</t>
        </is>
      </c>
      <c r="J34" t="inlineStr">
        <is>
          <t>Assets/MachineBrigade/Resources/Data/tunables.json: weapons.jamRules.strikeScatter</t>
        </is>
      </c>
      <c r="K34" t="inlineStr">
        <is>
          <t>{"value":2.2,"unit":"x","kind":"ban_kinh","linh_vuc":"01","code":"StrikeSystem.Launch Scatter"}</t>
        </is>
      </c>
    </row>
    <row r="35">
      <c r="A35" t="inlineStr">
        <is>
          <t>weapons.jamRules.swarmJamChance</t>
        </is>
      </c>
      <c r="B35" t="inlineStr">
        <is>
          <t>jamRules</t>
        </is>
      </c>
      <c r="C35" t="inlineStr">
        <is>
          <t>swarmJamChance</t>
        </is>
      </c>
      <c r="D35" t="n">
        <v>0.5</v>
      </c>
      <c r="F35" t="inlineStr">
        <is>
          <t>share</t>
        </is>
      </c>
      <c r="G35" t="inlineStr">
        <is>
          <t>nguong</t>
        </is>
      </c>
      <c r="H35" t="inlineStr">
        <is>
          <t>01</t>
        </is>
      </c>
      <c r="I35" t="inlineStr">
        <is>
          <t>BossSystem.BigAttacks swarm</t>
        </is>
      </c>
      <c r="J35" t="inlineStr">
        <is>
          <t>Assets/MachineBrigade/Resources/Data/tunables.json: weapons.jamRules.swarmJamChance</t>
        </is>
      </c>
      <c r="K35" t="inlineStr">
        <is>
          <t>{"value":0.5,"unit":"share","kind":"nguong","linh_vuc":"01","code":"BossSystem.BigAttacks swarm"}</t>
        </is>
      </c>
    </row>
    <row r="36">
      <c r="A36" t="inlineStr">
        <is>
          <t>weapons.weaponDef.escapeSpeed</t>
        </is>
      </c>
      <c r="B36" t="inlineStr">
        <is>
          <t>weaponDef</t>
        </is>
      </c>
      <c r="C36" t="inlineStr">
        <is>
          <t>escapeSpeed</t>
        </is>
      </c>
      <c r="D36" t="n">
        <v>4.5</v>
      </c>
      <c r="F36" t="inlineStr">
        <is>
          <t>m/s</t>
        </is>
      </c>
      <c r="G36" t="inlineStr">
        <is>
          <t>tan_suat</t>
        </is>
      </c>
      <c r="H36" t="inlineStr">
        <is>
          <t>01</t>
        </is>
      </c>
      <c r="I36" t="inlineStr">
        <is>
          <t>WeaponDef.EscapeSpeed</t>
        </is>
      </c>
      <c r="J36" t="inlineStr">
        <is>
          <t>Assets/MachineBrigade/Resources/Data/tunables.json: weapons.weaponDef.escapeSpeed</t>
        </is>
      </c>
      <c r="K36" t="inlineStr">
        <is>
          <t>{"value":4.5,"unit":"m/s","kind":"tan_suat","linh_vuc":"01","code":"WeaponDef.EscapeSpeed"}</t>
        </is>
      </c>
    </row>
    <row r="37">
      <c r="A37" t="inlineStr">
        <is>
          <t>weapons.weaponDef.heArmourMax</t>
        </is>
      </c>
      <c r="B37" t="inlineStr">
        <is>
          <t>weaponDef</t>
        </is>
      </c>
      <c r="C37" t="inlineStr">
        <is>
          <t>heArmourMax</t>
        </is>
      </c>
      <c r="D37" t="n">
        <v>1</v>
      </c>
      <c r="F37" t="inlineStr">
        <is>
          <t>armour level</t>
        </is>
      </c>
      <c r="G37" t="inlineStr">
        <is>
          <t>sat_thuong</t>
        </is>
      </c>
      <c r="H37" t="inlineStr">
        <is>
          <t>01</t>
        </is>
      </c>
      <c r="I37" t="inlineStr">
        <is>
          <t>WeaponDef.HeArmourMax</t>
        </is>
      </c>
      <c r="J37" t="inlineStr">
        <is>
          <t>Assets/MachineBrigade/Resources/Data/tunables.json: weapons.weaponDef.heArmourMax</t>
        </is>
      </c>
      <c r="K37" t="inlineStr">
        <is>
          <t>{"value":1,"unit":"armour level","kind":"sat_thuong","linh_vuc":"01","code":"WeaponDef.HeArmourMax"}</t>
        </is>
      </c>
    </row>
    <row r="38">
      <c r="A38" t="inlineStr">
        <is>
          <t>weapons.weaponDef.maxEdge</t>
        </is>
      </c>
      <c r="B38" t="inlineStr">
        <is>
          <t>weaponDef</t>
        </is>
      </c>
      <c r="C38" t="inlineStr">
        <is>
          <t>maxEdge</t>
        </is>
      </c>
      <c r="D38" t="n">
        <v>20</v>
      </c>
      <c r="F38" t="inlineStr">
        <is>
          <t>x</t>
        </is>
      </c>
      <c r="G38" t="inlineStr">
        <is>
          <t>sat_thuong</t>
        </is>
      </c>
      <c r="H38" t="inlineStr">
        <is>
          <t>01</t>
        </is>
      </c>
      <c r="I38" t="inlineStr">
        <is>
          <t>WeaponDef.MaxEdge</t>
        </is>
      </c>
      <c r="J38" t="inlineStr">
        <is>
          <t>Assets/MachineBrigade/Resources/Data/tunables.json: weapons.weaponDef.maxEdge</t>
        </is>
      </c>
      <c r="K38" t="inlineStr">
        <is>
          <t>{"value":20.0,"unit":"x","kind":"sat_thuong","linh_vuc":"01","code":"WeaponDef.MaxEdge"}</t>
        </is>
      </c>
    </row>
    <row r="39">
      <c r="A39" t="inlineStr">
        <is>
          <t>weapons.weaponDef.maxEdgeT5</t>
        </is>
      </c>
      <c r="B39" t="inlineStr">
        <is>
          <t>weaponDef</t>
        </is>
      </c>
      <c r="C39" t="inlineStr">
        <is>
          <t>maxEdgeT5</t>
        </is>
      </c>
      <c r="D39" t="n">
        <v>28</v>
      </c>
      <c r="F39" t="inlineStr">
        <is>
          <t>x</t>
        </is>
      </c>
      <c r="G39" t="inlineStr">
        <is>
          <t>sat_thuong</t>
        </is>
      </c>
      <c r="H39" t="inlineStr">
        <is>
          <t>01</t>
        </is>
      </c>
      <c r="I39" t="inlineStr">
        <is>
          <t>WeaponDef.MaxEdgeT5</t>
        </is>
      </c>
      <c r="J39" t="inlineStr">
        <is>
          <t>Assets/MachineBrigade/Resources/Data/tunables.json: weapons.weaponDef.maxEdgeT5</t>
        </is>
      </c>
      <c r="K39" t="inlineStr">
        <is>
          <t>{"value":28.0,"unit":"x","kind":"sat_thuong","linh_vuc":"01","code":"WeaponDef.MaxEdgeT5"}</t>
        </is>
      </c>
    </row>
    <row r="40">
      <c r="A40" t="inlineStr">
        <is>
          <t>weapons.weaponDef.maxWarning</t>
        </is>
      </c>
      <c r="B40" t="inlineStr">
        <is>
          <t>weaponDef</t>
        </is>
      </c>
      <c r="C40" t="inlineStr">
        <is>
          <t>maxWarning</t>
        </is>
      </c>
      <c r="D40" t="n">
        <v>6</v>
      </c>
      <c r="F40" t="inlineStr">
        <is>
          <t>s</t>
        </is>
      </c>
      <c r="G40" t="inlineStr">
        <is>
          <t>thoi_gian</t>
        </is>
      </c>
      <c r="H40" t="inlineStr">
        <is>
          <t>01</t>
        </is>
      </c>
      <c r="I40" t="inlineStr">
        <is>
          <t>WeaponDef.MaxWarning</t>
        </is>
      </c>
      <c r="J40" t="inlineStr">
        <is>
          <t>Assets/MachineBrigade/Resources/Data/tunables.json: weapons.weaponDef.maxWarning</t>
        </is>
      </c>
      <c r="K40" t="inlineStr">
        <is>
          <t>{"value":6.0,"unit":"s","kind":"thoi_gian","linh_vuc":"01","code":"WeaponDef.MaxWarning"}</t>
        </is>
      </c>
    </row>
    <row r="41">
      <c r="A41" t="inlineStr">
        <is>
          <t>weapons.weaponDef.minSwitchSeconds</t>
        </is>
      </c>
      <c r="B41" t="inlineStr">
        <is>
          <t>weaponDef</t>
        </is>
      </c>
      <c r="C41" t="inlineStr">
        <is>
          <t>minSwitchSeconds</t>
        </is>
      </c>
      <c r="D41" t="n">
        <v>0.5</v>
      </c>
      <c r="F41" t="inlineStr">
        <is>
          <t>s</t>
        </is>
      </c>
      <c r="G41" t="inlineStr">
        <is>
          <t>thoi_gian</t>
        </is>
      </c>
      <c r="H41" t="inlineStr">
        <is>
          <t>01</t>
        </is>
      </c>
      <c r="I41" t="inlineStr">
        <is>
          <t>WeaponDef.MinSwitchSeconds</t>
        </is>
      </c>
      <c r="J41" t="inlineStr">
        <is>
          <t>Assets/MachineBrigade/Resources/Data/tunables.json: weapons.weaponDef.minSwitchSeconds</t>
        </is>
      </c>
      <c r="K41" t="inlineStr">
        <is>
          <t>{"value":0.5,"unit":"s","kind":"thoi_gian","linh_vuc":"01","code":"WeaponDef.MinSwitchSeconds"}</t>
        </is>
      </c>
    </row>
    <row r="42">
      <c r="A42" t="inlineStr">
        <is>
          <t>weapons.weaponDef.roundHoldSeconds</t>
        </is>
      </c>
      <c r="B42" t="inlineStr">
        <is>
          <t>weaponDef</t>
        </is>
      </c>
      <c r="C42" t="inlineStr">
        <is>
          <t>roundHoldSeconds</t>
        </is>
      </c>
      <c r="D42" t="n">
        <v>2</v>
      </c>
      <c r="F42" t="inlineStr">
        <is>
          <t>s</t>
        </is>
      </c>
      <c r="G42" t="inlineStr">
        <is>
          <t>thoi_gian</t>
        </is>
      </c>
      <c r="H42" t="inlineStr">
        <is>
          <t>01</t>
        </is>
      </c>
      <c r="I42" t="inlineStr">
        <is>
          <t>WeaponDef.RoundHoldSeconds</t>
        </is>
      </c>
      <c r="J42" t="inlineStr">
        <is>
          <t>Assets/MachineBrigade/Resources/Data/tunables.json: weapons.weaponDef.roundHoldSeconds</t>
        </is>
      </c>
      <c r="K42" t="inlineStr">
        <is>
          <t>{"value":2.0,"unit":"s","kind":"thoi_gian","linh_vuc":"01","code":"WeaponDef.RoundHoldSeconds"}</t>
        </is>
      </c>
    </row>
  </sheetData>
  <autoFilter ref="A1:K42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5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vehicles.gearSystem.domeRadius</t>
        </is>
      </c>
      <c r="B10" t="inlineStr">
        <is>
          <t>gearSystem</t>
        </is>
      </c>
      <c r="C10" t="inlineStr">
        <is>
          <t>domeRadius</t>
        </is>
      </c>
      <c r="D10" t="n">
        <v>10</v>
      </c>
      <c r="F10" t="inlineStr">
        <is>
          <t>m</t>
        </is>
      </c>
      <c r="G10" t="inlineStr">
        <is>
          <t>ban_kinh</t>
        </is>
      </c>
      <c r="H10" t="inlineStr">
        <is>
          <t>02</t>
        </is>
      </c>
      <c r="I10" t="inlineStr">
        <is>
          <t>GearSystem (pack 2, was Sim/Abilities/GearSystem.cs:523)</t>
        </is>
      </c>
      <c r="J10" t="inlineStr">
        <is>
          <t>Assets/MachineBrigade/Resources/Data/tunables.json: vehicles.gearSystem.domeRadius</t>
        </is>
      </c>
      <c r="K10" t="inlineStr">
        <is>
          <t>{"value":10.0,"unit":"m","kind":"ban_kinh","linh_vuc":"02","code":"GearSystem (pack 2, was Sim/Abilities/GearSystem.cs:523)"}</t>
        </is>
      </c>
    </row>
    <row r="11">
      <c r="A11" t="inlineStr">
        <is>
          <t>vehicles.gearSystem.domeUnderFireSeconds</t>
        </is>
      </c>
      <c r="B11" t="inlineStr">
        <is>
          <t>gearSystem</t>
        </is>
      </c>
      <c r="C11" t="inlineStr">
        <is>
          <t>domeUnderFireSeconds</t>
        </is>
      </c>
      <c r="D11" t="n">
        <v>1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 (pack 2, was Sim/Abilities/GearSystem.cs:526)</t>
        </is>
      </c>
      <c r="J11" t="inlineStr">
        <is>
          <t>Assets/MachineBrigade/Resources/Data/tunables.json: vehicles.gearSystem.domeUnderFireSeconds</t>
        </is>
      </c>
      <c r="K11" t="inlineStr">
        <is>
          <t>{"value":1.0,"unit":"s","kind":"thoi_gian","linh_vuc":"02","code":"GearSystem (pack 2, was Sim/Abilities/GearSystem.cs:526)"}</t>
        </is>
      </c>
    </row>
    <row r="12">
      <c r="A12" t="inlineStr">
        <is>
          <t>vehicles.gearSystem.fuelBlastCap</t>
        </is>
      </c>
      <c r="B12" t="inlineStr">
        <is>
          <t>gearSystem</t>
        </is>
      </c>
      <c r="C12" t="inlineStr">
        <is>
          <t>fuelBlastCap</t>
        </is>
      </c>
      <c r="D12" t="n">
        <v>1500</v>
      </c>
      <c r="F12" t="inlineStr">
        <is>
          <t>HP</t>
        </is>
      </c>
      <c r="G12" t="inlineStr">
        <is>
          <t>sat_thuong</t>
        </is>
      </c>
      <c r="H12" t="inlineStr">
        <is>
          <t>02</t>
        </is>
      </c>
      <c r="I12" t="inlineStr">
        <is>
          <t>GearSystem.FuelBlastCap</t>
        </is>
      </c>
      <c r="J12" t="inlineStr">
        <is>
          <t>Assets/MachineBrigade/Resources/Data/tunables.json: vehicles.gearSystem.fuelBlastCap</t>
        </is>
      </c>
      <c r="K12" t="inlineStr">
        <is>
          <t>{"value":1500.0,"unit":"HP","kind":"sat_thuong","linh_vuc":"02","code":"GearSystem.FuelBlastCap"}</t>
        </is>
      </c>
    </row>
    <row r="13">
      <c r="A13" t="inlineStr">
        <is>
          <t>vehicles.gearSystem.killReadySeconds</t>
        </is>
      </c>
      <c r="B13" t="inlineStr">
        <is>
          <t>gearSystem</t>
        </is>
      </c>
      <c r="C13" t="inlineStr">
        <is>
          <t>killReadySeconds</t>
        </is>
      </c>
      <c r="D13" t="n">
        <v>2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GearSystem.KillReadySeconds</t>
        </is>
      </c>
      <c r="J13" t="inlineStr">
        <is>
          <t>Assets/MachineBrigade/Resources/Data/tunables.json: vehicles.gearSystem.killReadySeconds</t>
        </is>
      </c>
      <c r="K13" t="inlineStr">
        <is>
          <t>{"value":2.0,"unit":"s","kind":"thoi_gian","linh_vuc":"02","code":"GearSystem.KillReadySeconds"}</t>
        </is>
      </c>
    </row>
    <row r="14">
      <c r="A14" t="inlineStr">
        <is>
          <t>vehicles.gearSystem.laserWarningCooldown</t>
        </is>
      </c>
      <c r="B14" t="inlineStr">
        <is>
          <t>gearSystem</t>
        </is>
      </c>
      <c r="C14" t="inlineStr">
        <is>
          <t>laserWarningCooldown</t>
        </is>
      </c>
      <c r="D14" t="n">
        <v>20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GearSystem.LaserWarningCooldown</t>
        </is>
      </c>
      <c r="J14" t="inlineStr">
        <is>
          <t>Assets/MachineBrigade/Resources/Data/tunables.json: vehicles.gearSystem.laserWarningCooldown</t>
        </is>
      </c>
      <c r="K14" t="inlineStr">
        <is>
          <t>{"value":20.0,"unit":"s","kind":"thoi_gian","linh_vuc":"02","code":"GearSystem.LaserWarningCooldown"}</t>
        </is>
      </c>
    </row>
    <row r="15">
      <c r="A15" t="inlineStr">
        <is>
          <t>vehicles.gearSystem.lastStandGap</t>
        </is>
      </c>
      <c r="B15" t="inlineStr">
        <is>
          <t>gearSystem</t>
        </is>
      </c>
      <c r="C15" t="inlineStr">
        <is>
          <t>lastStandGap</t>
        </is>
      </c>
      <c r="D15" t="n">
        <v>6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GearSystem.LastStandGap</t>
        </is>
      </c>
      <c r="J15" t="inlineStr">
        <is>
          <t>Assets/MachineBrigade/Resources/Data/tunables.json: vehicles.gearSystem.lastStandGap</t>
        </is>
      </c>
      <c r="K15" t="inlineStr">
        <is>
          <t>{"value":6.0,"unit":"s","kind":"thoi_gian","linh_vuc":"02","code":"GearSystem.LastStandGap"}</t>
        </is>
      </c>
    </row>
    <row r="16">
      <c r="A16" t="inlineStr">
        <is>
          <t>vehicles.gearSystem.procGap</t>
        </is>
      </c>
      <c r="B16" t="inlineStr">
        <is>
          <t>gearSystem</t>
        </is>
      </c>
      <c r="C16" t="inlineStr">
        <is>
          <t>procGap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GearSystem.ProcGap</t>
        </is>
      </c>
      <c r="J16" t="inlineStr">
        <is>
          <t>Assets/MachineBrigade/Resources/Data/tunables.json: vehicles.gearSystem.procGap</t>
        </is>
      </c>
      <c r="K16" t="inlineStr">
        <is>
          <t>{"value":2.0,"unit":"s","kind":"thoi_gian","linh_vuc":"02","code":"GearSystem.ProcGap"}</t>
        </is>
      </c>
    </row>
    <row r="17">
      <c r="A17" t="inlineStr">
        <is>
          <t>vehicles.movementSystem.answerFireSeconds</t>
        </is>
      </c>
      <c r="B17" t="inlineStr">
        <is>
          <t>movementSystem</t>
        </is>
      </c>
      <c r="C17" t="inlineStr">
        <is>
          <t>answerFireSeconds</t>
        </is>
      </c>
      <c r="D17" t="n">
        <v>5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MovementSystem.AnswerFireSeconds</t>
        </is>
      </c>
      <c r="J17" t="inlineStr">
        <is>
          <t>Assets/MachineBrigade/Resources/Data/tunables.json: vehicles.movementSystem.answerFireSeconds</t>
        </is>
      </c>
      <c r="K17" t="inlineStr">
        <is>
          <t>{"value":5.0,"unit":"s","kind":"thoi_gian","linh_vuc":"02","code":"MovementSystem.AnswerFireSeconds"}</t>
        </is>
      </c>
    </row>
    <row r="18">
      <c r="A18" t="inlineStr">
        <is>
          <t>vehicles.movementSystem.arrivalReach</t>
        </is>
      </c>
      <c r="B18" t="inlineStr">
        <is>
          <t>movementSystem</t>
        </is>
      </c>
      <c r="C18" t="inlineStr">
        <is>
          <t>arrivalReach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MovementSystem.ArrivalReach</t>
        </is>
      </c>
      <c r="J18" t="inlineStr">
        <is>
          <t>Assets/MachineBrigade/Resources/Data/tunables.json: vehicles.movementSystem.arrivalReach</t>
        </is>
      </c>
      <c r="K18" t="inlineStr">
        <is>
          <t>{"value":5.0,"unit":"m","kind":"ban_kinh","linh_vuc":"02","code":"MovementSystem.ArrivalReach"}</t>
        </is>
      </c>
    </row>
    <row r="19">
      <c r="A19" t="inlineStr">
        <is>
          <t>vehicles.movementSystem.avoidSeconds</t>
        </is>
      </c>
      <c r="B19" t="inlineStr">
        <is>
          <t>movementSystem</t>
        </is>
      </c>
      <c r="C19" t="inlineStr">
        <is>
          <t>avoidSeconds</t>
        </is>
      </c>
      <c r="D19" t="n">
        <v>0.9</v>
      </c>
      <c r="F19" t="inlineStr">
        <is>
          <t>s</t>
        </is>
      </c>
      <c r="G19" t="inlineStr">
        <is>
          <t>thoi_gian</t>
        </is>
      </c>
      <c r="H19" t="inlineStr">
        <is>
          <t>02</t>
        </is>
      </c>
      <c r="I19" t="inlineStr">
        <is>
          <t>MovementSystem.AvoidSeconds</t>
        </is>
      </c>
      <c r="J19" t="inlineStr">
        <is>
          <t>Assets/MachineBrigade/Resources/Data/tunables.json: vehicles.movementSystem.avoidSeconds</t>
        </is>
      </c>
      <c r="K19" t="inlineStr">
        <is>
          <t>{"value":0.9,"unit":"s","kind":"thoi_gian","linh_vuc":"02","code":"MovementSystem.AvoidSeconds"}</t>
        </is>
      </c>
    </row>
    <row r="20">
      <c r="A20" t="inlineStr">
        <is>
          <t>vehicles.movementSystem.backOffDistance</t>
        </is>
      </c>
      <c r="B20" t="inlineStr">
        <is>
          <t>movementSystem</t>
        </is>
      </c>
      <c r="C20" t="inlineStr">
        <is>
          <t>backOffDistance</t>
        </is>
      </c>
      <c r="D20" t="n">
        <v>4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MovementSystem.BackOffDistance</t>
        </is>
      </c>
      <c r="J20" t="inlineStr">
        <is>
          <t>Assets/MachineBrigade/Resources/Data/tunables.json: vehicles.movementSystem.backOffDistance</t>
        </is>
      </c>
      <c r="K20" t="inlineStr">
        <is>
          <t>{"value":4.0,"unit":"m","kind":"ban_kinh","linh_vuc":"02","code":"MovementSystem.BackOffDistance"}</t>
        </is>
      </c>
    </row>
    <row r="21">
      <c r="A21" t="inlineStr">
        <is>
          <t>vehicles.movementSystem.chaseShare</t>
        </is>
      </c>
      <c r="B21" t="inlineStr">
        <is>
          <t>movementSystem</t>
        </is>
      </c>
      <c r="C21" t="inlineStr">
        <is>
          <t>chaseShare</t>
        </is>
      </c>
      <c r="D21" t="n">
        <v>0.55</v>
      </c>
      <c r="F21" t="inlineStr">
        <is>
          <t>share</t>
        </is>
      </c>
      <c r="G21" t="inlineStr">
        <is>
          <t>nguong</t>
        </is>
      </c>
      <c r="H21" t="inlineStr">
        <is>
          <t>02</t>
        </is>
      </c>
      <c r="I21" t="inlineStr">
        <is>
          <t>MovementSystem.ChaseShare</t>
        </is>
      </c>
      <c r="J21" t="inlineStr">
        <is>
          <t>Assets/MachineBrigade/Resources/Data/tunables.json: vehicles.movementSystem.chaseShare</t>
        </is>
      </c>
      <c r="K21" t="inlineStr">
        <is>
          <t>{"value":0.55,"unit":"share","kind":"nguong","linh_vuc":"02","code":"MovementSystem.ChaseShare"}</t>
        </is>
      </c>
    </row>
    <row r="22">
      <c r="A22" t="inlineStr">
        <is>
          <t>vehicles.movementSystem.detourCap</t>
        </is>
      </c>
      <c r="B22" t="inlineStr">
        <is>
          <t>movementSystem</t>
        </is>
      </c>
      <c r="C22" t="inlineStr">
        <is>
          <t>detourCap</t>
        </is>
      </c>
      <c r="D22" t="n">
        <v>1.5</v>
      </c>
      <c r="F22" t="inlineStr">
        <is>
          <t>x</t>
        </is>
      </c>
      <c r="G22" t="inlineStr">
        <is>
          <t>ban_kinh</t>
        </is>
      </c>
      <c r="H22" t="inlineStr">
        <is>
          <t>02</t>
        </is>
      </c>
      <c r="I22" t="inlineStr">
        <is>
          <t>MovementSystem.DetourCap</t>
        </is>
      </c>
      <c r="J22" t="inlineStr">
        <is>
          <t>Assets/MachineBrigade/Resources/Data/tunables.json: vehicles.movementSystem.detourCap</t>
        </is>
      </c>
      <c r="K22" t="inlineStr">
        <is>
          <t>{"value":1.5,"unit":"x","kind":"ban_kinh","linh_vuc":"02","code":"MovementSystem.DetourCap"}</t>
        </is>
      </c>
    </row>
    <row r="23">
      <c r="A23" t="inlineStr">
        <is>
          <t>vehicles.movementSystem.gateHoldTicks</t>
        </is>
      </c>
      <c r="B23" t="inlineStr">
        <is>
          <t>movementSystem</t>
        </is>
      </c>
      <c r="C23" t="inlineStr">
        <is>
          <t>gateHoldTicks</t>
        </is>
      </c>
      <c r="D23" t="n">
        <v>10</v>
      </c>
      <c r="F23" t="inlineStr">
        <is>
          <t>ticks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MovementSystem.GateHoldTicks</t>
        </is>
      </c>
      <c r="J23" t="inlineStr">
        <is>
          <t>Assets/MachineBrigade/Resources/Data/tunables.json: vehicles.movementSystem.gateHoldTicks</t>
        </is>
      </c>
      <c r="K23" t="inlineStr">
        <is>
          <t>{"value":10,"unit":"ticks","kind":"thoi_gian","linh_vuc":"02","code":"MovementSystem.GateHoldTicks"}</t>
        </is>
      </c>
    </row>
    <row r="24">
      <c r="A24" t="inlineStr">
        <is>
          <t>vehicles.movementSystem.gateTurnSeconds</t>
        </is>
      </c>
      <c r="B24" t="inlineStr">
        <is>
          <t>movementSystem</t>
        </is>
      </c>
      <c r="C24" t="inlineStr">
        <is>
          <t>gateTurnSeconds</t>
        </is>
      </c>
      <c r="D24" t="n">
        <v>8</v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MovementSystem.GateTurnSeconds</t>
        </is>
      </c>
      <c r="J24" t="inlineStr">
        <is>
          <t>Assets/MachineBrigade/Resources/Data/tunables.json: vehicles.movementSystem.gateTurnSeconds</t>
        </is>
      </c>
      <c r="K24" t="inlineStr">
        <is>
          <t>{"value":8.0,"unit":"s","kind":"thoi_gian","linh_vuc":"02","code":"MovementSystem.GateTurnSeconds"}</t>
        </is>
      </c>
    </row>
    <row r="25">
      <c r="A25" t="inlineStr">
        <is>
          <t>vehicles.movementSystem.gateWaitBack</t>
        </is>
      </c>
      <c r="B25" t="inlineStr">
        <is>
          <t>movementSystem</t>
        </is>
      </c>
      <c r="C25" t="inlineStr">
        <is>
          <t>gateWaitBack</t>
        </is>
      </c>
      <c r="E25" t="inlineStr">
        <is>
          <t>0.0;3.0;6.0</t>
        </is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MovementSystem.GateWaitBack</t>
        </is>
      </c>
      <c r="J25" t="inlineStr">
        <is>
          <t>Assets/MachineBrigade/Resources/Data/tunables.json: vehicles.movementSystem.gateWaitBack</t>
        </is>
      </c>
      <c r="K25" t="inlineStr">
        <is>
          <t>{"value":[0.0,3.0,6.0],"unit":"s","kind":"thoi_gian","linh_vuc":"02","code":"MovementSystem.GateWaitBack"}</t>
        </is>
      </c>
    </row>
    <row r="26">
      <c r="A26" t="inlineStr">
        <is>
          <t>vehicles.movementSystem.gateWaitLateral</t>
        </is>
      </c>
      <c r="B26" t="inlineStr">
        <is>
          <t>movementSystem</t>
        </is>
      </c>
      <c r="C26" t="inlineStr">
        <is>
          <t>gateWaitLateral</t>
        </is>
      </c>
      <c r="E26" t="inlineStr">
        <is>
          <t>5.0;7.0;9.0</t>
        </is>
      </c>
      <c r="F26" t="inlineStr">
        <is>
          <t>s</t>
        </is>
      </c>
      <c r="G26" t="inlineStr">
        <is>
          <t>thoi_gian</t>
        </is>
      </c>
      <c r="H26" t="inlineStr">
        <is>
          <t>02</t>
        </is>
      </c>
      <c r="I26" t="inlineStr">
        <is>
          <t>MovementSystem.GateWaitLateral</t>
        </is>
      </c>
      <c r="J26" t="inlineStr">
        <is>
          <t>Assets/MachineBrigade/Resources/Data/tunables.json: vehicles.movementSystem.gateWaitLateral</t>
        </is>
      </c>
      <c r="K26" t="inlineStr">
        <is>
          <t>{"value":[5.0,7.0,9.0],"unit":"s","kind":"thoi_gian","linh_vuc":"02","code":"MovementSystem.GateWaitLateral"}</t>
        </is>
      </c>
    </row>
    <row r="27">
      <c r="A27" t="inlineStr">
        <is>
          <t>vehicles.movementSystem.gateWaitMax</t>
        </is>
      </c>
      <c r="B27" t="inlineStr">
        <is>
          <t>movementSystem</t>
        </is>
      </c>
      <c r="C27" t="inlineStr">
        <is>
          <t>gateWaitMax</t>
        </is>
      </c>
      <c r="D27" t="n">
        <v>12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MovementSystem.GateWaitMax</t>
        </is>
      </c>
      <c r="J27" t="inlineStr">
        <is>
          <t>Assets/MachineBrigade/Resources/Data/tunables.json: vehicles.movementSystem.gateWaitMax</t>
        </is>
      </c>
      <c r="K27" t="inlineStr">
        <is>
          <t>{"value":12.0,"unit":"s","kind":"thoi_gian","linh_vuc":"02","code":"MovementSystem.GateWaitMax"}</t>
        </is>
      </c>
    </row>
    <row r="28">
      <c r="A28" t="inlineStr">
        <is>
          <t>vehicles.movementSystem.gatherReach</t>
        </is>
      </c>
      <c r="B28" t="inlineStr">
        <is>
          <t>movementSystem</t>
        </is>
      </c>
      <c r="C28" t="inlineStr">
        <is>
          <t>gatherReach</t>
        </is>
      </c>
      <c r="D28" t="n">
        <v>12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MovementSystem.GatherReach</t>
        </is>
      </c>
      <c r="J28" t="inlineStr">
        <is>
          <t>Assets/MachineBrigade/Resources/Data/tunables.json: vehicles.movementSystem.gatherReach</t>
        </is>
      </c>
      <c r="K28" t="inlineStr">
        <is>
          <t>{"value":12.0,"unit":"m","kind":"ban_kinh","linh_vuc":"02","code":"MovementSystem.GatherReach"}</t>
        </is>
      </c>
    </row>
    <row r="29">
      <c r="A29" t="inlineStr">
        <is>
          <t>vehicles.movementSystem.ghostSeconds</t>
        </is>
      </c>
      <c r="B29" t="inlineStr">
        <is>
          <t>movementSystem</t>
        </is>
      </c>
      <c r="C29" t="inlineStr">
        <is>
          <t>ghostSeconds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MovementSystem.GhostSeconds</t>
        </is>
      </c>
      <c r="J29" t="inlineStr">
        <is>
          <t>Assets/MachineBrigade/Resources/Data/tunables.json: vehicles.movementSystem.ghostSeconds</t>
        </is>
      </c>
      <c r="K29" t="inlineStr">
        <is>
          <t>{"value":4.0,"unit":"s","kind":"thoi_gian","linh_vuc":"02","code":"MovementSystem.GhostSeconds"}</t>
        </is>
      </c>
    </row>
    <row r="30">
      <c r="A30" t="inlineStr">
        <is>
          <t>vehicles.movementSystem.guardLeash</t>
        </is>
      </c>
      <c r="B30" t="inlineStr">
        <is>
          <t>movementSystem</t>
        </is>
      </c>
      <c r="C30" t="inlineStr">
        <is>
          <t>guardLeash</t>
        </is>
      </c>
      <c r="D30" t="n">
        <v>16</v>
      </c>
      <c r="F30" t="inlineStr">
        <is>
          <t>m</t>
        </is>
      </c>
      <c r="G30" t="inlineStr">
        <is>
          <t>ban_kinh</t>
        </is>
      </c>
      <c r="H30" t="inlineStr">
        <is>
          <t>02</t>
        </is>
      </c>
      <c r="I30" t="inlineStr">
        <is>
          <t>MovementSystem.GuardLeash</t>
        </is>
      </c>
      <c r="J30" t="inlineStr">
        <is>
          <t>Assets/MachineBrigade/Resources/Data/tunables.json: vehicles.movementSystem.guardLeash</t>
        </is>
      </c>
      <c r="K30" t="inlineStr">
        <is>
          <t>{"value":16.0,"unit":"m","kind":"ban_kinh","linh_vuc":"02","code":"MovementSystem.GuardLeash"}</t>
        </is>
      </c>
    </row>
    <row r="31">
      <c r="A31" t="inlineStr">
        <is>
          <t>vehicles.movementSystem.headOnOpenWait</t>
        </is>
      </c>
      <c r="B31" t="inlineStr">
        <is>
          <t>movementSystem</t>
        </is>
      </c>
      <c r="C31" t="inlineStr">
        <is>
          <t>headOnOpenWait</t>
        </is>
      </c>
      <c r="D31" t="n">
        <v>1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MovementSystem.HeadOnOpenWait</t>
        </is>
      </c>
      <c r="J31" t="inlineStr">
        <is>
          <t>Assets/MachineBrigade/Resources/Data/tunables.json: vehicles.movementSystem.headOnOpenWait</t>
        </is>
      </c>
      <c r="K31" t="inlineStr">
        <is>
          <t>{"value":1.0,"unit":"s","kind":"thoi_gian","linh_vuc":"02","code":"MovementSystem.HeadOnOpenWait"}</t>
        </is>
      </c>
    </row>
    <row r="32">
      <c r="A32" t="inlineStr">
        <is>
          <t>vehicles.movementSystem.headOnReverseMax</t>
        </is>
      </c>
      <c r="B32" t="inlineStr">
        <is>
          <t>movementSystem</t>
        </is>
      </c>
      <c r="C32" t="inlineStr">
        <is>
          <t>headOnReverseMax</t>
        </is>
      </c>
      <c r="D32" t="n">
        <v>12</v>
      </c>
      <c r="F32" t="inlineStr">
        <is>
          <t>m</t>
        </is>
      </c>
      <c r="G32" t="inlineStr">
        <is>
          <t>tran</t>
        </is>
      </c>
      <c r="H32" t="inlineStr">
        <is>
          <t>02</t>
        </is>
      </c>
      <c r="I32" t="inlineStr">
        <is>
          <t>MovementSystem.HeadOnReverseMax</t>
        </is>
      </c>
      <c r="J32" t="inlineStr">
        <is>
          <t>Assets/MachineBrigade/Resources/Data/tunables.json: vehicles.movementSystem.headOnReverseMax</t>
        </is>
      </c>
      <c r="K32" t="inlineStr">
        <is>
          <t>{"value":12.0,"unit":"m","kind":"tran","linh_vuc":"02","code":"MovementSystem.HeadOnReverseMax"}</t>
        </is>
      </c>
    </row>
    <row r="33">
      <c r="A33" t="inlineStr">
        <is>
          <t>vehicles.movementSystem.headOnWait</t>
        </is>
      </c>
      <c r="B33" t="inlineStr">
        <is>
          <t>movementSystem</t>
        </is>
      </c>
      <c r="C33" t="inlineStr">
        <is>
          <t>headOnWait</t>
        </is>
      </c>
      <c r="D33" t="n">
        <v>1.5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MovementSystem.HeadOnWait</t>
        </is>
      </c>
      <c r="J33" t="inlineStr">
        <is>
          <t>Assets/MachineBrigade/Resources/Data/tunables.json: vehicles.movementSystem.headOnWait</t>
        </is>
      </c>
      <c r="K33" t="inlineStr">
        <is>
          <t>{"value":1.5,"unit":"s","kind":"thoi_gian","linh_vuc":"02","code":"MovementSystem.HeadOnWait"}</t>
        </is>
      </c>
    </row>
    <row r="34">
      <c r="A34" t="inlineStr">
        <is>
          <t>vehicles.movementSystem.hoverShare</t>
        </is>
      </c>
      <c r="B34" t="inlineStr">
        <is>
          <t>movementSystem</t>
        </is>
      </c>
      <c r="C34" t="inlineStr">
        <is>
          <t>hoverShare</t>
        </is>
      </c>
      <c r="D34" t="n">
        <v>0.6</v>
      </c>
      <c r="F34" t="inlineStr">
        <is>
          <t>share</t>
        </is>
      </c>
      <c r="G34" t="inlineStr">
        <is>
          <t>nguong</t>
        </is>
      </c>
      <c r="H34" t="inlineStr">
        <is>
          <t>02</t>
        </is>
      </c>
      <c r="I34" t="inlineStr">
        <is>
          <t>MovementSystem.HoverShare</t>
        </is>
      </c>
      <c r="J34" t="inlineStr">
        <is>
          <t>Assets/MachineBrigade/Resources/Data/tunables.json: vehicles.movementSystem.hoverShare</t>
        </is>
      </c>
      <c r="K34" t="inlineStr">
        <is>
          <t>{"value":0.6,"unit":"share","kind":"nguong","linh_vuc":"02","code":"MovementSystem.HoverShare"}</t>
        </is>
      </c>
    </row>
    <row r="35">
      <c r="A35" t="inlineStr">
        <is>
          <t>vehicles.movementSystem.manualHoldSeconds</t>
        </is>
      </c>
      <c r="B35" t="inlineStr">
        <is>
          <t>movementSystem</t>
        </is>
      </c>
      <c r="C35" t="inlineStr">
        <is>
          <t>manualHoldSeconds</t>
        </is>
      </c>
      <c r="D35" t="n">
        <v>20</v>
      </c>
      <c r="F35" t="inlineStr">
        <is>
          <t>s</t>
        </is>
      </c>
      <c r="G35" t="inlineStr">
        <is>
          <t>thoi_gian</t>
        </is>
      </c>
      <c r="H35" t="inlineStr">
        <is>
          <t>02</t>
        </is>
      </c>
      <c r="I35" t="inlineStr">
        <is>
          <t>MovementSystem.ManualHoldSeconds</t>
        </is>
      </c>
      <c r="J35" t="inlineStr">
        <is>
          <t>Assets/MachineBrigade/Resources/Data/tunables.json: vehicles.movementSystem.manualHoldSeconds</t>
        </is>
      </c>
      <c r="K35" t="inlineStr">
        <is>
          <t>{"value":20.0,"unit":"s","kind":"thoi_gian","linh_vuc":"02","code":"MovementSystem.ManualHoldSeconds"}</t>
        </is>
      </c>
    </row>
    <row r="36">
      <c r="A36" t="inlineStr">
        <is>
          <t>vehicles.movementSystem.maxNodesPerSearch</t>
        </is>
      </c>
      <c r="B36" t="inlineStr">
        <is>
          <t>movementSystem</t>
        </is>
      </c>
      <c r="C36" t="inlineStr">
        <is>
          <t>maxNodesPerSearch</t>
        </is>
      </c>
      <c r="D36" t="n">
        <v>8000</v>
      </c>
      <c r="F36" t="inlineStr">
        <is>
          <t>nodes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MovementSystem.MaxNodesPerSearch</t>
        </is>
      </c>
      <c r="J36" t="inlineStr">
        <is>
          <t>Assets/MachineBrigade/Resources/Data/tunables.json: vehicles.movementSystem.maxNodesPerSearch</t>
        </is>
      </c>
      <c r="K36" t="inlineStr">
        <is>
          <t>{"value":8000,"unit":"nodes","kind":"tran","linh_vuc":"02","code":"MovementSystem.MaxNodesPerSearch"}</t>
        </is>
      </c>
    </row>
    <row r="37">
      <c r="A37" t="inlineStr">
        <is>
          <t>vehicles.movementSystem.maxPush</t>
        </is>
      </c>
      <c r="B37" t="inlineStr">
        <is>
          <t>movementSystem</t>
        </is>
      </c>
      <c r="C37" t="inlineStr">
        <is>
          <t>maxPush</t>
        </is>
      </c>
      <c r="D37" t="n">
        <v>0.35</v>
      </c>
      <c r="F37" t="inlineStr">
        <is>
          <t>m</t>
        </is>
      </c>
      <c r="G37" t="inlineStr">
        <is>
          <t>tran</t>
        </is>
      </c>
      <c r="H37" t="inlineStr">
        <is>
          <t>02</t>
        </is>
      </c>
      <c r="I37" t="inlineStr">
        <is>
          <t>MovementSystem.MaxPush</t>
        </is>
      </c>
      <c r="J37" t="inlineStr">
        <is>
          <t>Assets/MachineBrigade/Resources/Data/tunables.json: vehicles.movementSystem.maxPush</t>
        </is>
      </c>
      <c r="K37" t="inlineStr">
        <is>
          <t>{"value":0.35,"unit":"m","kind":"tran","linh_vuc":"02","code":"MovementSystem.MaxPush"}</t>
        </is>
      </c>
    </row>
    <row r="38">
      <c r="A38" t="inlineStr">
        <is>
          <t>vehicles.movementSystem.maxYieldDepth</t>
        </is>
      </c>
      <c r="B38" t="inlineStr">
        <is>
          <t>movementSystem</t>
        </is>
      </c>
      <c r="C38" t="inlineStr">
        <is>
          <t>maxYieldDepth</t>
        </is>
      </c>
      <c r="D38" t="n">
        <v>2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MovementSystem.MaxYieldDepth</t>
        </is>
      </c>
      <c r="J38" t="inlineStr">
        <is>
          <t>Assets/MachineBrigade/Resources/Data/tunables.json: vehicles.movementSystem.maxYieldDepth</t>
        </is>
      </c>
      <c r="K38" t="inlineStr">
        <is>
          <t>{"value":2,"unit":"count","kind":"tran","linh_vuc":"02","code":"MovementSystem.MaxYieldDepth"}</t>
        </is>
      </c>
    </row>
    <row r="39">
      <c r="A39" t="inlineStr">
        <is>
          <t>vehicles.movementSystem.minCostRepathGap</t>
        </is>
      </c>
      <c r="B39" t="inlineStr">
        <is>
          <t>movementSystem</t>
        </is>
      </c>
      <c r="C39" t="inlineStr">
        <is>
          <t>minCostRepathGap</t>
        </is>
      </c>
      <c r="D39" t="n">
        <v>1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MovementSystem.MinCostRepathGap</t>
        </is>
      </c>
      <c r="J39" t="inlineStr">
        <is>
          <t>Assets/MachineBrigade/Resources/Data/tunables.json: vehicles.movementSystem.minCostRepathGap</t>
        </is>
      </c>
      <c r="K39" t="inlineStr">
        <is>
          <t>{"value":1.0,"unit":"s","kind":"thoi_gian","linh_vuc":"02","code":"MovementSystem.MinCostRepathGap"}</t>
        </is>
      </c>
    </row>
    <row r="40">
      <c r="A40" t="inlineStr">
        <is>
          <t>vehicles.movementSystem.minSearchBudget</t>
        </is>
      </c>
      <c r="B40" t="inlineStr">
        <is>
          <t>movementSystem</t>
        </is>
      </c>
      <c r="C40" t="inlineStr">
        <is>
          <t>minSearchBudget</t>
        </is>
      </c>
      <c r="D40" t="n">
        <v>2000</v>
      </c>
      <c r="F40" t="inlineStr">
        <is>
          <t>nodes</t>
        </is>
      </c>
      <c r="G40" t="inlineStr">
        <is>
          <t>tan_suat</t>
        </is>
      </c>
      <c r="H40" t="inlineStr">
        <is>
          <t>02</t>
        </is>
      </c>
      <c r="I40" t="inlineStr">
        <is>
          <t>MovementSystem.MinSearchBudget</t>
        </is>
      </c>
      <c r="J40" t="inlineStr">
        <is>
          <t>Assets/MachineBrigade/Resources/Data/tunables.json: vehicles.movementSystem.minSearchBudget</t>
        </is>
      </c>
      <c r="K40" t="inlineStr">
        <is>
          <t>{"value":2000,"unit":"nodes","kind":"tan_suat","linh_vuc":"02","code":"MovementSystem.MinSearchBudget"}</t>
        </is>
      </c>
    </row>
    <row r="41">
      <c r="A41" t="inlineStr">
        <is>
          <t>vehicles.movementSystem.noAlternativeLength</t>
        </is>
      </c>
      <c r="B41" t="inlineStr">
        <is>
          <t>movementSystem</t>
        </is>
      </c>
      <c r="C41" t="inlineStr">
        <is>
          <t>noAlternativeLength</t>
        </is>
      </c>
      <c r="D41" t="n">
        <v>12</v>
      </c>
      <c r="F41" t="inlineStr">
        <is>
          <t>m</t>
        </is>
      </c>
      <c r="G41" t="inlineStr">
        <is>
          <t>ban_kinh</t>
        </is>
      </c>
      <c r="H41" t="inlineStr">
        <is>
          <t>02</t>
        </is>
      </c>
      <c r="I41" t="inlineStr">
        <is>
          <t>MovementSystem.NoAlternativeLength</t>
        </is>
      </c>
      <c r="J41" t="inlineStr">
        <is>
          <t>Assets/MachineBrigade/Resources/Data/tunables.json: vehicles.movementSystem.noAlternativeLength</t>
        </is>
      </c>
      <c r="K41" t="inlineStr">
        <is>
          <t>{"value":12.0,"unit":"m","kind":"ban_kinh","linh_vuc":"02","code":"MovementSystem.NoAlternativeLength"}</t>
        </is>
      </c>
    </row>
    <row r="42">
      <c r="A42" t="inlineStr">
        <is>
          <t>vehicles.movementSystem.offLaneSeconds</t>
        </is>
      </c>
      <c r="B42" t="inlineStr">
        <is>
          <t>movementSystem</t>
        </is>
      </c>
      <c r="C42" t="inlineStr">
        <is>
          <t>offLaneSeconds</t>
        </is>
      </c>
      <c r="D42" t="n">
        <v>4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MovementSystem.OffLaneSeconds</t>
        </is>
      </c>
      <c r="J42" t="inlineStr">
        <is>
          <t>Assets/MachineBrigade/Resources/Data/tunables.json: vehicles.movementSystem.offLaneSeconds</t>
        </is>
      </c>
      <c r="K42" t="inlineStr">
        <is>
          <t>{"value":4.0,"unit":"s","kind":"thoi_gian","linh_vuc":"02","code":"MovementSystem.OffLaneSeconds"}</t>
        </is>
      </c>
    </row>
    <row r="43">
      <c r="A43" t="inlineStr">
        <is>
          <t>vehicles.movementSystem.pathNodeBudgetPerTick</t>
        </is>
      </c>
      <c r="B43" t="inlineStr">
        <is>
          <t>movementSystem</t>
        </is>
      </c>
      <c r="C43" t="inlineStr">
        <is>
          <t>pathNodeBudgetPerTick</t>
        </is>
      </c>
      <c r="D43" t="n">
        <v>20000</v>
      </c>
      <c r="F43" t="inlineStr">
        <is>
          <t>nodes/tick</t>
        </is>
      </c>
      <c r="G43" t="inlineStr">
        <is>
          <t>tan_suat</t>
        </is>
      </c>
      <c r="H43" t="inlineStr">
        <is>
          <t>02</t>
        </is>
      </c>
      <c r="I43" t="inlineStr">
        <is>
          <t>MovementSystem.PathNodeBudgetPerTick</t>
        </is>
      </c>
      <c r="J43" t="inlineStr">
        <is>
          <t>Assets/MachineBrigade/Resources/Data/tunables.json: vehicles.movementSystem.pathNodeBudgetPerTick</t>
        </is>
      </c>
      <c r="K43" t="inlineStr">
        <is>
          <t>{"value":20000,"unit":"nodes/tick","kind":"tan_suat","linh_vuc":"02","code":"MovementSystem.PathNodeBudgetPerTick"}</t>
        </is>
      </c>
    </row>
    <row r="44">
      <c r="A44" t="inlineStr">
        <is>
          <t>vehicles.movementSystem.queueSeconds</t>
        </is>
      </c>
      <c r="B44" t="inlineStr">
        <is>
          <t>movementSystem</t>
        </is>
      </c>
      <c r="C44" t="inlineStr">
        <is>
          <t>queueSeconds</t>
        </is>
      </c>
      <c r="D44" t="n">
        <v>6</v>
      </c>
      <c r="F44" t="inlineStr">
        <is>
          <t>s</t>
        </is>
      </c>
      <c r="G44" t="inlineStr">
        <is>
          <t>thoi_gian</t>
        </is>
      </c>
      <c r="H44" t="inlineStr">
        <is>
          <t>02</t>
        </is>
      </c>
      <c r="I44" t="inlineStr">
        <is>
          <t>MovementSystem.QueueSeconds</t>
        </is>
      </c>
      <c r="J44" t="inlineStr">
        <is>
          <t>Assets/MachineBrigade/Resources/Data/tunables.json: vehicles.movementSystem.queueSeconds</t>
        </is>
      </c>
      <c r="K44" t="inlineStr">
        <is>
          <t>{"value":6.0,"unit":"s","kind":"thoi_gian","linh_vuc":"02","code":"MovementSystem.QueueSeconds"}</t>
        </is>
      </c>
    </row>
    <row r="45">
      <c r="A45" t="inlineStr">
        <is>
          <t>vehicles.movementSystem.repathInterval</t>
        </is>
      </c>
      <c r="B45" t="inlineStr">
        <is>
          <t>movementSystem</t>
        </is>
      </c>
      <c r="C45" t="inlineStr">
        <is>
          <t>repathInterval</t>
        </is>
      </c>
      <c r="D45" t="n">
        <v>0.5</v>
      </c>
      <c r="F45" t="inlineStr">
        <is>
          <t>s</t>
        </is>
      </c>
      <c r="G45" t="inlineStr">
        <is>
          <t>thoi_gian</t>
        </is>
      </c>
      <c r="H45" t="inlineStr">
        <is>
          <t>02</t>
        </is>
      </c>
      <c r="I45" t="inlineStr">
        <is>
          <t>MovementSystem.RepathInterval</t>
        </is>
      </c>
      <c r="J45" t="inlineStr">
        <is>
          <t>Assets/MachineBrigade/Resources/Data/tunables.json: vehicles.movementSystem.repathInterval</t>
        </is>
      </c>
      <c r="K45" t="inlineStr">
        <is>
          <t>{"value":0.5,"unit":"s","kind":"thoi_gian","linh_vuc":"02","code":"MovementSystem.RepathInterval"}</t>
        </is>
      </c>
    </row>
    <row r="46">
      <c r="A46" t="inlineStr">
        <is>
          <t>vehicles.movementSystem.reverseSpeedShare</t>
        </is>
      </c>
      <c r="B46" t="inlineStr">
        <is>
          <t>movementSystem</t>
        </is>
      </c>
      <c r="C46" t="inlineStr">
        <is>
          <t>reverseSpeedShare</t>
        </is>
      </c>
      <c r="D46" t="n">
        <v>0.5</v>
      </c>
      <c r="F46" t="inlineStr">
        <is>
          <t>share</t>
        </is>
      </c>
      <c r="G46" t="inlineStr">
        <is>
          <t>tan_suat</t>
        </is>
      </c>
      <c r="H46" t="inlineStr">
        <is>
          <t>02</t>
        </is>
      </c>
      <c r="I46" t="inlineStr">
        <is>
          <t>MovementSystem.ReverseSpeedShare</t>
        </is>
      </c>
      <c r="J46" t="inlineStr">
        <is>
          <t>Assets/MachineBrigade/Resources/Data/tunables.json: vehicles.movementSystem.reverseSpeedShare</t>
        </is>
      </c>
      <c r="K46" t="inlineStr">
        <is>
          <t>{"value":0.5,"unit":"share","kind":"tan_suat","linh_vuc":"02","code":"MovementSystem.ReverseSpeedShare"}</t>
        </is>
      </c>
    </row>
    <row r="47">
      <c r="A47" t="inlineStr">
        <is>
          <t>vehicles.movementSystem.sameGoalReach</t>
        </is>
      </c>
      <c r="B47" t="inlineStr">
        <is>
          <t>movementSystem</t>
        </is>
      </c>
      <c r="C47" t="inlineStr">
        <is>
          <t>sameGoalReach</t>
        </is>
      </c>
      <c r="D47" t="n">
        <v>18</v>
      </c>
      <c r="F47" t="inlineStr">
        <is>
          <t>m</t>
        </is>
      </c>
      <c r="G47" t="inlineStr">
        <is>
          <t>ban_kinh</t>
        </is>
      </c>
      <c r="H47" t="inlineStr">
        <is>
          <t>02</t>
        </is>
      </c>
      <c r="I47" t="inlineStr">
        <is>
          <t>MovementSystem.SameGoalReach</t>
        </is>
      </c>
      <c r="J47" t="inlineStr">
        <is>
          <t>Assets/MachineBrigade/Resources/Data/tunables.json: vehicles.movementSystem.sameGoalReach</t>
        </is>
      </c>
      <c r="K47" t="inlineStr">
        <is>
          <t>{"value":18.0,"unit":"m","kind":"ban_kinh","linh_vuc":"02","code":"MovementSystem.SameGoalReach"}</t>
        </is>
      </c>
    </row>
    <row r="48">
      <c r="A48" t="inlineStr">
        <is>
          <t>vehicles.movementSystem.separationSlack</t>
        </is>
      </c>
      <c r="B48" t="inlineStr">
        <is>
          <t>movementSystem</t>
        </is>
      </c>
      <c r="C48" t="inlineStr">
        <is>
          <t>separationSlack</t>
        </is>
      </c>
      <c r="D48" t="n">
        <v>0.05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MovementSystem.SeparationSlack</t>
        </is>
      </c>
      <c r="J48" t="inlineStr">
        <is>
          <t>Assets/MachineBrigade/Resources/Data/tunables.json: vehicles.movementSystem.separationSlack</t>
        </is>
      </c>
      <c r="K48" t="inlineStr">
        <is>
          <t>{"value":0.05,"unit":"m","kind":"ban_kinh","linh_vuc":"02","code":"MovementSystem.SeparationSlack"}</t>
        </is>
      </c>
    </row>
    <row r="49">
      <c r="A49" t="inlineStr">
        <is>
          <t>vehicles.movementSystem.separationStiffness</t>
        </is>
      </c>
      <c r="B49" t="inlineStr">
        <is>
          <t>movementSystem</t>
        </is>
      </c>
      <c r="C49" t="inlineStr">
        <is>
          <t>separationStiffness</t>
        </is>
      </c>
      <c r="D49" t="n">
        <v>0.55</v>
      </c>
      <c r="F49" t="inlineStr">
        <is>
          <t>x</t>
        </is>
      </c>
      <c r="G49" t="inlineStr">
        <is>
          <t>nguong</t>
        </is>
      </c>
      <c r="H49" t="inlineStr">
        <is>
          <t>02</t>
        </is>
      </c>
      <c r="I49" t="inlineStr">
        <is>
          <t>MovementSystem.SeparationStiffness</t>
        </is>
      </c>
      <c r="J49" t="inlineStr">
        <is>
          <t>Assets/MachineBrigade/Resources/Data/tunables.json: vehicles.movementSystem.separationStiffness</t>
        </is>
      </c>
      <c r="K49" t="inlineStr">
        <is>
          <t>{"value":0.55,"unit":"x","kind":"nguong","linh_vuc":"02","code":"MovementSystem.SeparationStiffness"}</t>
        </is>
      </c>
    </row>
    <row r="50">
      <c r="A50" t="inlineStr">
        <is>
          <t>vehicles.movementSystem.settleDistance</t>
        </is>
      </c>
      <c r="B50" t="inlineStr">
        <is>
          <t>movementSystem</t>
        </is>
      </c>
      <c r="C50" t="inlineStr">
        <is>
          <t>settleDistance</t>
        </is>
      </c>
      <c r="D50" t="n">
        <v>2.5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MovementSystem.SettleDistance</t>
        </is>
      </c>
      <c r="J50" t="inlineStr">
        <is>
          <t>Assets/MachineBrigade/Resources/Data/tunables.json: vehicles.movementSystem.settleDistance</t>
        </is>
      </c>
      <c r="K50" t="inlineStr">
        <is>
          <t>{"value":2.5,"unit":"m","kind":"ban_kinh","linh_vuc":"02","code":"MovementSystem.SettleDistance"}</t>
        </is>
      </c>
    </row>
    <row r="51">
      <c r="A51" t="inlineStr">
        <is>
          <t>vehicles.movementSystem.stuckDetourDistance</t>
        </is>
      </c>
      <c r="B51" t="inlineStr">
        <is>
          <t>movementSystem</t>
        </is>
      </c>
      <c r="C51" t="inlineStr">
        <is>
          <t>stuckDetourDistance</t>
        </is>
      </c>
      <c r="D51" t="n">
        <v>3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MovementSystem.StuckDetourDistance</t>
        </is>
      </c>
      <c r="J51" t="inlineStr">
        <is>
          <t>Assets/MachineBrigade/Resources/Data/tunables.json: vehicles.movementSystem.stuckDetourDistance</t>
        </is>
      </c>
      <c r="K51" t="inlineStr">
        <is>
          <t>{"value":3.0,"unit":"m","kind":"ban_kinh","linh_vuc":"02","code":"MovementSystem.StuckDetourDistance"}</t>
        </is>
      </c>
    </row>
    <row r="52">
      <c r="A52" t="inlineStr">
        <is>
          <t>vehicles.movementSystem.stuckDistance</t>
        </is>
      </c>
      <c r="B52" t="inlineStr">
        <is>
          <t>movementSystem</t>
        </is>
      </c>
      <c r="C52" t="inlineStr">
        <is>
          <t>stuckDistance</t>
        </is>
      </c>
      <c r="D52" t="n">
        <v>0.4</v>
      </c>
      <c r="F52" t="inlineStr">
        <is>
          <t>m</t>
        </is>
      </c>
      <c r="G52" t="inlineStr">
        <is>
          <t>ban_kinh</t>
        </is>
      </c>
      <c r="H52" t="inlineStr">
        <is>
          <t>02</t>
        </is>
      </c>
      <c r="I52" t="inlineStr">
        <is>
          <t>MovementSystem.StuckDistance</t>
        </is>
      </c>
      <c r="J52" t="inlineStr">
        <is>
          <t>Assets/MachineBrigade/Resources/Data/tunables.json: vehicles.movementSystem.stuckDistance</t>
        </is>
      </c>
      <c r="K52" t="inlineStr">
        <is>
          <t>{"value":0.4,"unit":"m","kind":"ban_kinh","linh_vuc":"02","code":"MovementSystem.StuckDistance"}</t>
        </is>
      </c>
    </row>
    <row r="53">
      <c r="A53" t="inlineStr">
        <is>
          <t>vehicles.movementSystem.trafficBehindReach</t>
        </is>
      </c>
      <c r="B53" t="inlineStr">
        <is>
          <t>movementSystem</t>
        </is>
      </c>
      <c r="C53" t="inlineStr">
        <is>
          <t>trafficBehindReach</t>
        </is>
      </c>
      <c r="D53" t="n">
        <v>25</v>
      </c>
      <c r="F53" t="inlineStr">
        <is>
          <t>m</t>
        </is>
      </c>
      <c r="G53" t="inlineStr">
        <is>
          <t>ban_kinh</t>
        </is>
      </c>
      <c r="H53" t="inlineStr">
        <is>
          <t>02</t>
        </is>
      </c>
      <c r="I53" t="inlineStr">
        <is>
          <t>MovementSystem.TrafficBehindReach</t>
        </is>
      </c>
      <c r="J53" t="inlineStr">
        <is>
          <t>Assets/MachineBrigade/Resources/Data/tunables.json: vehicles.movementSystem.trafficBehindReach</t>
        </is>
      </c>
      <c r="K53" t="inlineStr">
        <is>
          <t>{"value":25.0,"unit":"m","kind":"ban_kinh","linh_vuc":"02","code":"MovementSystem.TrafficBehindReach"}</t>
        </is>
      </c>
    </row>
    <row r="54">
      <c r="A54" t="inlineStr">
        <is>
          <t>vehicles.movementSystem.yieldCooldown</t>
        </is>
      </c>
      <c r="B54" t="inlineStr">
        <is>
          <t>movementSystem</t>
        </is>
      </c>
      <c r="C54" t="inlineStr">
        <is>
          <t>yieldCooldown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MovementSystem.YieldCooldown</t>
        </is>
      </c>
      <c r="J54" t="inlineStr">
        <is>
          <t>Assets/MachineBrigade/Resources/Data/tunables.json: vehicles.movementSystem.yieldCooldown</t>
        </is>
      </c>
      <c r="K54" t="inlineStr">
        <is>
          <t>{"value":4.0,"unit":"s","kind":"thoi_gian","linh_vuc":"02","code":"MovementSystem.YieldCooldown"}</t>
        </is>
      </c>
    </row>
    <row r="55">
      <c r="A55" t="inlineStr">
        <is>
          <t>vehicles.movementSystem.yieldHoldSeconds</t>
        </is>
      </c>
      <c r="B55" t="inlineStr">
        <is>
          <t>movementSystem</t>
        </is>
      </c>
      <c r="C55" t="inlineStr">
        <is>
          <t>yieldHoldSeconds</t>
        </is>
      </c>
      <c r="D55" t="n">
        <v>2.5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MovementSystem.YieldHoldSeconds</t>
        </is>
      </c>
      <c r="J55" t="inlineStr">
        <is>
          <t>Assets/MachineBrigade/Resources/Data/tunables.json: vehicles.movementSystem.yieldHoldSeconds</t>
        </is>
      </c>
      <c r="K55" t="inlineStr">
        <is>
          <t>{"value":2.5,"unit":"s","kind":"thoi_gian","linh_vuc":"02","code":"MovementSystem.YieldHoldSeconds"}</t>
        </is>
      </c>
    </row>
    <row r="56">
      <c r="A56" t="inlineStr">
        <is>
          <t>vehicles.movementSystem.yieldMaxSeconds</t>
        </is>
      </c>
      <c r="B56" t="inlineStr">
        <is>
          <t>movementSystem</t>
        </is>
      </c>
      <c r="C56" t="inlineStr">
        <is>
          <t>yieldMaxSeconds</t>
        </is>
      </c>
      <c r="D56" t="n">
        <v>4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MovementSystem.YieldMaxSeconds</t>
        </is>
      </c>
      <c r="J56" t="inlineStr">
        <is>
          <t>Assets/MachineBrigade/Resources/Data/tunables.json: vehicles.movementSystem.yieldMaxSeconds</t>
        </is>
      </c>
      <c r="K56" t="inlineStr">
        <is>
          <t>{"value":4.0,"unit":"s","kind":"thoi_gian","linh_vuc":"02","code":"MovementSystem.YieldMaxSeconds"}</t>
        </is>
      </c>
    </row>
    <row r="57">
      <c r="A57" t="inlineStr">
        <is>
          <t>vehicles.movementSystem.yieldWaitSeconds</t>
        </is>
      </c>
      <c r="B57" t="inlineStr">
        <is>
          <t>movementSystem</t>
        </is>
      </c>
      <c r="C57" t="inlineStr">
        <is>
          <t>yieldWaitSeconds</t>
        </is>
      </c>
      <c r="D57" t="n">
        <v>3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MovementSystem.YieldWaitSeconds</t>
        </is>
      </c>
      <c r="J57" t="inlineStr">
        <is>
          <t>Assets/MachineBrigade/Resources/Data/tunables.json: vehicles.movementSystem.yieldWaitSeconds</t>
        </is>
      </c>
      <c r="K57" t="inlineStr">
        <is>
          <t>{"value":3.0,"unit":"s","kind":"thoi_gian","linh_vuc":"02","code":"MovementSystem.YieldWaitSeconds"}</t>
        </is>
      </c>
    </row>
    <row r="58">
      <c r="A58" t="inlineStr">
        <is>
          <t>vehicles.priceRules.bonusCap</t>
        </is>
      </c>
      <c r="B58" t="inlineStr">
        <is>
          <t>priceRules</t>
        </is>
      </c>
      <c r="C58" t="inlineStr">
        <is>
          <t>bonusCap</t>
        </is>
      </c>
      <c r="D58" t="n">
        <v>0.15</v>
      </c>
      <c r="F58" t="inlineStr">
        <is>
          <t>share</t>
        </is>
      </c>
      <c r="G58" t="inlineStr">
        <is>
          <t>tran</t>
        </is>
      </c>
      <c r="H58" t="inlineStr">
        <is>
          <t>02</t>
        </is>
      </c>
      <c r="I58" t="inlineStr">
        <is>
          <t>export: power bonus cap</t>
        </is>
      </c>
      <c r="J58" t="inlineStr">
        <is>
          <t>Assets/MachineBrigade/Resources/Data/tunables.json: vehicles.priceRules.bonusCap</t>
        </is>
      </c>
      <c r="K58" t="inlineStr">
        <is>
          <t>{"value":0.15,"unit":"share","kind":"tran","linh_vuc":"02","code":"export: power bonus cap"}</t>
        </is>
      </c>
    </row>
    <row r="59">
      <c r="A59" t="inlineStr">
        <is>
          <t>vehicles.priceRules.bonusFromCp</t>
        </is>
      </c>
      <c r="B59" t="inlineStr">
        <is>
          <t>priceRules</t>
        </is>
      </c>
      <c r="C59" t="inlineStr">
        <is>
          <t>bonusFromCp</t>
        </is>
      </c>
      <c r="D59" t="n">
        <v>8</v>
      </c>
      <c r="F59" t="inlineStr">
        <is>
          <t>CP</t>
        </is>
      </c>
      <c r="G59" t="inlineStr">
        <is>
          <t>sat_thuong</t>
        </is>
      </c>
      <c r="H59" t="inlineStr">
        <is>
          <t>02</t>
        </is>
      </c>
      <c r="I59" t="inlineStr">
        <is>
          <t>export: power bonus start</t>
        </is>
      </c>
      <c r="J59" t="inlineStr">
        <is>
          <t>Assets/MachineBrigade/Resources/Data/tunables.json: vehicles.priceRules.bonusFromCp</t>
        </is>
      </c>
      <c r="K59" t="inlineStr">
        <is>
          <t>{"value":8.0,"unit":"CP","kind":"sat_thuong","linh_vuc":"02","code":"export: power bonus start"}</t>
        </is>
      </c>
    </row>
    <row r="60">
      <c r="A60" t="inlineStr">
        <is>
          <t>vehicles.priceRules.bonusPerCp</t>
        </is>
      </c>
      <c r="B60" t="inlineStr">
        <is>
          <t>priceRules</t>
        </is>
      </c>
      <c r="C60" t="inlineStr">
        <is>
          <t>bonusPerCp</t>
        </is>
      </c>
      <c r="D60" t="n">
        <v>0.0125</v>
      </c>
      <c r="F60" t="inlineStr">
        <is>
          <t>share/CP</t>
        </is>
      </c>
      <c r="G60" t="inlineStr">
        <is>
          <t>sat_thuong</t>
        </is>
      </c>
      <c r="H60" t="inlineStr">
        <is>
          <t>02</t>
        </is>
      </c>
      <c r="I60" t="inlineStr">
        <is>
          <t>export: power bonus slope</t>
        </is>
      </c>
      <c r="J60" t="inlineStr">
        <is>
          <t>Assets/MachineBrigade/Resources/Data/tunables.json: vehicles.priceRules.bonusPerCp</t>
        </is>
      </c>
      <c r="K60" t="inlineStr">
        <is>
          <t>{"value":0.0125,"unit":"share/CP","kind":"sat_thuong","linh_vuc":"02","code":"export: power bonus slope"}</t>
        </is>
      </c>
    </row>
    <row r="61">
      <c r="A61" t="inlineStr">
        <is>
          <t>vehicles.priceRules.dropLargeMinCp</t>
        </is>
      </c>
      <c r="B61" t="inlineStr">
        <is>
          <t>priceRules</t>
        </is>
      </c>
      <c r="C61" t="inlineStr">
        <is>
          <t>dropLargeMinCp</t>
        </is>
      </c>
      <c r="D61" t="n">
        <v>15</v>
      </c>
      <c r="F61" t="inlineStr">
        <is>
          <t>CP</t>
        </is>
      </c>
      <c r="G61" t="inlineStr">
        <is>
          <t>nguong</t>
        </is>
      </c>
      <c r="H61" t="inlineStr">
        <is>
          <t>02</t>
        </is>
      </c>
      <c r="I61" t="inlineStr">
        <is>
          <t>export: drop time group</t>
        </is>
      </c>
      <c r="J61" t="inlineStr">
        <is>
          <t>Assets/MachineBrigade/Resources/Data/tunables.json: vehicles.priceRules.dropLargeMinCp</t>
        </is>
      </c>
      <c r="K61" t="inlineStr">
        <is>
          <t>{"value":15,"unit":"CP","kind":"nguong","linh_vuc":"02","code":"export: drop time group"}</t>
        </is>
      </c>
    </row>
    <row r="62">
      <c r="A62" t="inlineStr">
        <is>
          <t>vehicles.priceRules.dropLargeSeconds</t>
        </is>
      </c>
      <c r="B62" t="inlineStr">
        <is>
          <t>priceRules</t>
        </is>
      </c>
      <c r="C62" t="inlineStr">
        <is>
          <t>dropLargeSeconds</t>
        </is>
      </c>
      <c r="D62" t="n">
        <v>5</v>
      </c>
      <c r="F62" t="inlineStr">
        <is>
          <t>s</t>
        </is>
      </c>
      <c r="G62" t="inlineStr">
        <is>
          <t>thoi_gian</t>
        </is>
      </c>
      <c r="H62" t="inlineStr">
        <is>
          <t>02</t>
        </is>
      </c>
      <c r="I62" t="inlineStr">
        <is>
          <t>export: drop time</t>
        </is>
      </c>
      <c r="J62" t="inlineStr">
        <is>
          <t>Assets/MachineBrigade/Resources/Data/tunables.json: vehicles.priceRules.dropLargeSeconds</t>
        </is>
      </c>
      <c r="K62" t="inlineStr">
        <is>
          <t>{"value":5.0,"unit":"s","kind":"thoi_gian","linh_vuc":"02","code":"export: drop time"}</t>
        </is>
      </c>
    </row>
    <row r="63">
      <c r="A63" t="inlineStr">
        <is>
          <t>vehicles.priceRules.dropMiddleSeconds</t>
        </is>
      </c>
      <c r="B63" t="inlineStr">
        <is>
          <t>priceRules</t>
        </is>
      </c>
      <c r="C63" t="inlineStr">
        <is>
          <t>dropMiddleSeconds</t>
        </is>
      </c>
      <c r="D63" t="n">
        <v>3.5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vehicles.priceRules.dropMiddleSeconds</t>
        </is>
      </c>
      <c r="K63" t="inlineStr">
        <is>
          <t>{"value":3.5,"unit":"s","kind":"thoi_gian","linh_vuc":"02","code":"export: drop time"}</t>
        </is>
      </c>
    </row>
    <row r="64">
      <c r="A64" t="inlineStr">
        <is>
          <t>vehicles.priceRules.dropSmallMaxCp</t>
        </is>
      </c>
      <c r="B64" t="inlineStr">
        <is>
          <t>priceRules</t>
        </is>
      </c>
      <c r="C64" t="inlineStr">
        <is>
          <t>dropSmallMaxCp</t>
        </is>
      </c>
      <c r="D64" t="n">
        <v>4</v>
      </c>
      <c r="F64" t="inlineStr">
        <is>
          <t>CP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drop time group</t>
        </is>
      </c>
      <c r="J64" t="inlineStr">
        <is>
          <t>Assets/MachineBrigade/Resources/Data/tunables.json: vehicles.priceRules.dropSmallMaxCp</t>
        </is>
      </c>
      <c r="K64" t="inlineStr">
        <is>
          <t>{"value":4,"unit":"CP","kind":"nguong","linh_vuc":"02","code":"export: drop time group"}</t>
        </is>
      </c>
    </row>
    <row r="65">
      <c r="A65" t="inlineStr">
        <is>
          <t>vehicles.priceRules.dropSmallSeconds</t>
        </is>
      </c>
      <c r="B65" t="inlineStr">
        <is>
          <t>priceRules</t>
        </is>
      </c>
      <c r="C65" t="inlineStr">
        <is>
          <t>dropSmallSeconds</t>
        </is>
      </c>
      <c r="D65" t="n">
        <v>2.5</v>
      </c>
      <c r="F65" t="inlineStr">
        <is>
          <t>s</t>
        </is>
      </c>
      <c r="G65" t="inlineStr">
        <is>
          <t>thoi_gian</t>
        </is>
      </c>
      <c r="H65" t="inlineStr">
        <is>
          <t>02</t>
        </is>
      </c>
      <c r="I65" t="inlineStr">
        <is>
          <t>export: drop time</t>
        </is>
      </c>
      <c r="J65" t="inlineStr">
        <is>
          <t>Assets/MachineBrigade/Resources/Data/tunables.json: vehicles.priceRules.dropSmallSeconds</t>
        </is>
      </c>
      <c r="K65" t="inlineStr">
        <is>
          <t>{"value":2.5,"unit":"s","kind":"thoi_gian","linh_vuc":"02","code":"export: drop time"}</t>
        </is>
      </c>
    </row>
    <row r="66">
      <c r="A66" t="inlineStr">
        <is>
          <t>vehicles.priceRules.groupFactor</t>
        </is>
      </c>
      <c r="B66" t="inlineStr">
        <is>
          <t>priceRules</t>
        </is>
      </c>
      <c r="C66" t="inlineStr">
        <is>
          <t>groupFactor</t>
        </is>
      </c>
      <c r="E66" t="inlineStr">
        <is>
          <t>1.0;1.15;1.25;1.3</t>
        </is>
      </c>
      <c r="F66" t="inlineStr">
        <is>
          <t>x</t>
        </is>
      </c>
      <c r="G66" t="inlineStr">
        <is>
          <t>nguong</t>
        </is>
      </c>
      <c r="H66" t="inlineStr">
        <is>
          <t>02</t>
        </is>
      </c>
      <c r="I66" t="inlineStr">
        <is>
          <t>export: price group factors</t>
        </is>
      </c>
      <c r="J66" t="inlineStr">
        <is>
          <t>Assets/MachineBrigade/Resources/Data/tunables.json: vehicles.priceRules.groupFactor</t>
        </is>
      </c>
      <c r="K66" t="inlineStr">
        <is>
          <t>{"value":[1.0,1.15,1.25,1.3],"unit":"x","kind":"nguong","linh_vuc":"02","code":"export: price group factors"}</t>
        </is>
      </c>
    </row>
    <row r="67">
      <c r="A67" t="inlineStr">
        <is>
          <t>vehicles.priceRules.groupMaxCp</t>
        </is>
      </c>
      <c r="B67" t="inlineStr">
        <is>
          <t>priceRules</t>
        </is>
      </c>
      <c r="C67" t="inlineStr">
        <is>
          <t>groupMaxCp</t>
        </is>
      </c>
      <c r="E67" t="inlineStr">
        <is>
          <t>4;8;13</t>
        </is>
      </c>
      <c r="F67" t="inlineStr">
        <is>
          <t>CP</t>
        </is>
      </c>
      <c r="G67" t="inlineStr">
        <is>
          <t>nguong</t>
        </is>
      </c>
      <c r="H67" t="inlineStr">
        <is>
          <t>02</t>
        </is>
      </c>
      <c r="I67" t="inlineStr">
        <is>
          <t>export: price group bounds</t>
        </is>
      </c>
      <c r="J67" t="inlineStr">
        <is>
          <t>Assets/MachineBrigade/Resources/Data/tunables.json: vehicles.priceRules.groupMaxCp</t>
        </is>
      </c>
      <c r="K67" t="inlineStr">
        <is>
          <t>{"value":[4,8,13],"unit":"CP","kind":"nguong","linh_vuc":"02","code":"export: price group bounds"}</t>
        </is>
      </c>
    </row>
    <row r="68">
      <c r="A68" t="inlineStr">
        <is>
          <t>vehicles.priceRules.splashBonus</t>
        </is>
      </c>
      <c r="B68" t="inlineStr">
        <is>
          <t>priceRules</t>
        </is>
      </c>
      <c r="C68" t="inlineStr">
        <is>
          <t>splashBonus</t>
        </is>
      </c>
      <c r="D68" t="b">
        <v>0</v>
      </c>
      <c r="F68" t="inlineStr">
        <is>
          <t>flag</t>
        </is>
      </c>
      <c r="G68" t="inlineStr">
        <is>
          <t>sat_thuong</t>
        </is>
      </c>
      <c r="H68" t="inlineStr">
        <is>
          <t>02</t>
        </is>
      </c>
      <c r="I68" t="inlineStr">
        <is>
          <t>splash units get no power bonus</t>
        </is>
      </c>
      <c r="J68" t="inlineStr">
        <is>
          <t>Assets/MachineBrigade/Resources/Data/tunables.json: vehicles.priceRules.splashBonus</t>
        </is>
      </c>
      <c r="K68" t="inlineStr">
        <is>
          <t>{"value":false,"unit":"flag","kind":"sat_thuong","linh_vuc":"02","code":"splash units get no power bonus"}</t>
        </is>
      </c>
    </row>
    <row r="69">
      <c r="A69" t="inlineStr">
        <is>
          <t>vehicles.railSystem.attachReach</t>
        </is>
      </c>
      <c r="B69" t="inlineStr">
        <is>
          <t>railSystem</t>
        </is>
      </c>
      <c r="C69" t="inlineStr">
        <is>
          <t>attachReach</t>
        </is>
      </c>
      <c r="D69" t="n">
        <v>8</v>
      </c>
      <c r="F69" t="inlineStr">
        <is>
          <t>m</t>
        </is>
      </c>
      <c r="G69" t="inlineStr">
        <is>
          <t>ban_kinh</t>
        </is>
      </c>
      <c r="H69" t="inlineStr">
        <is>
          <t>02</t>
        </is>
      </c>
      <c r="I69" t="inlineStr">
        <is>
          <t>RailSystem.AttachReach</t>
        </is>
      </c>
      <c r="J69" t="inlineStr">
        <is>
          <t>Assets/MachineBrigade/Resources/Data/tunables.json: vehicles.railSystem.attachReach</t>
        </is>
      </c>
      <c r="K69" t="inlineStr">
        <is>
          <t>{"value":8.0,"unit":"m","kind":"ban_kinh","linh_vuc":"02","code":"RailSystem.AttachReach"}</t>
        </is>
      </c>
    </row>
    <row r="70">
      <c r="A70" t="inlineStr">
        <is>
          <t>vehicles.railSystem.clearHoldTicks</t>
        </is>
      </c>
      <c r="B70" t="inlineStr">
        <is>
          <t>railSystem</t>
        </is>
      </c>
      <c r="C70" t="inlineStr">
        <is>
          <t>clearHoldTicks</t>
        </is>
      </c>
      <c r="D70" t="n">
        <v>10</v>
      </c>
      <c r="F70" t="inlineStr">
        <is>
          <t>ticks</t>
        </is>
      </c>
      <c r="G70" t="inlineStr">
        <is>
          <t>thoi_gian</t>
        </is>
      </c>
      <c r="H70" t="inlineStr">
        <is>
          <t>02</t>
        </is>
      </c>
      <c r="I70" t="inlineStr">
        <is>
          <t>RailSystem.ClearHoldTicks</t>
        </is>
      </c>
      <c r="J70" t="inlineStr">
        <is>
          <t>Assets/MachineBrigade/Resources/Data/tunables.json: vehicles.railSystem.clearHoldTicks</t>
        </is>
      </c>
      <c r="K70" t="inlineStr">
        <is>
          <t>{"value":10,"unit":"ticks","kind":"thoi_gian","linh_vuc":"02","code":"RailSystem.ClearHoldTicks"}</t>
        </is>
      </c>
    </row>
    <row r="71">
      <c r="A71" t="inlineStr">
        <is>
          <t>vehicles.railSystem.minWarning</t>
        </is>
      </c>
      <c r="B71" t="inlineStr">
        <is>
          <t>railSystem</t>
        </is>
      </c>
      <c r="C71" t="inlineStr">
        <is>
          <t>minWarning</t>
        </is>
      </c>
      <c r="D71" t="n">
        <v>4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RailSystem.MinWarning</t>
        </is>
      </c>
      <c r="J71" t="inlineStr">
        <is>
          <t>Assets/MachineBrigade/Resources/Data/tunables.json: vehicles.railSystem.minWarning</t>
        </is>
      </c>
      <c r="K71" t="inlineStr">
        <is>
          <t>{"value":4.0,"unit":"s","kind":"thoi_gian","linh_vuc":"02","code":"RailSystem.MinWarning"}</t>
        </is>
      </c>
    </row>
    <row r="72">
      <c r="A72" t="inlineStr">
        <is>
          <t>vehicles.railSystem.ramDamage</t>
        </is>
      </c>
      <c r="B72" t="inlineStr">
        <is>
          <t>railSystem</t>
        </is>
      </c>
      <c r="C72" t="inlineStr">
        <is>
          <t>ramDamage</t>
        </is>
      </c>
      <c r="D72" t="n">
        <v>600</v>
      </c>
      <c r="F72" t="inlineStr">
        <is>
          <t>HP</t>
        </is>
      </c>
      <c r="G72" t="inlineStr">
        <is>
          <t>sat_thuong</t>
        </is>
      </c>
      <c r="H72" t="inlineStr">
        <is>
          <t>02</t>
        </is>
      </c>
      <c r="I72" t="inlineStr">
        <is>
          <t>RailSystem.RamDamage</t>
        </is>
      </c>
      <c r="J72" t="inlineStr">
        <is>
          <t>Assets/MachineBrigade/Resources/Data/tunables.json: vehicles.railSystem.ramDamage</t>
        </is>
      </c>
      <c r="K72" t="inlineStr">
        <is>
          <t>{"value":600.0,"unit":"HP","kind":"sat_thuong","linh_vuc":"02","code":"RailSystem.RamDamage"}</t>
        </is>
      </c>
    </row>
    <row r="73">
      <c r="A73" t="inlineStr">
        <is>
          <t>vehicles.railSystem.supportHalfWidth</t>
        </is>
      </c>
      <c r="B73" t="inlineStr">
        <is>
          <t>railSystem</t>
        </is>
      </c>
      <c r="C73" t="inlineStr">
        <is>
          <t>supportHalfWidth</t>
        </is>
      </c>
      <c r="D73" t="n">
        <v>1.8</v>
      </c>
      <c r="F73" t="inlineStr">
        <is>
          <t>m</t>
        </is>
      </c>
      <c r="G73" t="inlineStr">
        <is>
          <t>ban_kinh</t>
        </is>
      </c>
      <c r="H73" t="inlineStr">
        <is>
          <t>02</t>
        </is>
      </c>
      <c r="I73" t="inlineStr">
        <is>
          <t>RailSystem.SupportHalfWidth</t>
        </is>
      </c>
      <c r="J73" t="inlineStr">
        <is>
          <t>Assets/MachineBrigade/Resources/Data/tunables.json: vehicles.railSystem.supportHalfWidth</t>
        </is>
      </c>
      <c r="K73" t="inlineStr">
        <is>
          <t>{"value":1.8,"unit":"m","kind":"ban_kinh","linh_vuc":"02","code":"RailSystem.SupportHalfWidth"}</t>
        </is>
      </c>
    </row>
    <row r="74">
      <c r="A74" t="inlineStr">
        <is>
          <t>vehicles.railSystem.supportLength</t>
        </is>
      </c>
      <c r="B74" t="inlineStr">
        <is>
          <t>railSystem</t>
        </is>
      </c>
      <c r="C74" t="inlineStr">
        <is>
          <t>supportLength</t>
        </is>
      </c>
      <c r="D74" t="n">
        <v>50</v>
      </c>
      <c r="F74" t="inlineStr">
        <is>
          <t>m</t>
        </is>
      </c>
      <c r="G74" t="inlineStr">
        <is>
          <t>ban_kinh</t>
        </is>
      </c>
      <c r="H74" t="inlineStr">
        <is>
          <t>02</t>
        </is>
      </c>
      <c r="I74" t="inlineStr">
        <is>
          <t>RailSystem.SupportLength</t>
        </is>
      </c>
      <c r="J74" t="inlineStr">
        <is>
          <t>Assets/MachineBrigade/Resources/Data/tunables.json: vehicles.railSystem.supportLength</t>
        </is>
      </c>
      <c r="K74" t="inlineStr">
        <is>
          <t>{"value":50.0,"unit":"m","kind":"ban_kinh","linh_vuc":"02","code":"RailSystem.SupportLength"}</t>
        </is>
      </c>
    </row>
    <row r="75">
      <c r="A75" t="inlineStr">
        <is>
          <t>vehicles.railSystem.supportWait</t>
        </is>
      </c>
      <c r="B75" t="inlineStr">
        <is>
          <t>railSystem</t>
        </is>
      </c>
      <c r="C75" t="inlineStr">
        <is>
          <t>supportWait</t>
        </is>
      </c>
      <c r="D75" t="n">
        <v>7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RailSystem.SupportWait</t>
        </is>
      </c>
      <c r="J75" t="inlineStr">
        <is>
          <t>Assets/MachineBrigade/Resources/Data/tunables.json: vehicles.railSystem.supportWait</t>
        </is>
      </c>
      <c r="K75" t="inlineStr">
        <is>
          <t>{"value":7.0,"unit":"s","kind":"thoi_gian","linh_vuc":"02","code":"RailSystem.SupportWait"}</t>
        </is>
      </c>
    </row>
    <row r="76">
      <c r="A76" t="inlineStr">
        <is>
          <t>vehicles.railSystem.tellEvery</t>
        </is>
      </c>
      <c r="B76" t="inlineStr">
        <is>
          <t>railSystem</t>
        </is>
      </c>
      <c r="C76" t="inlineStr">
        <is>
          <t>tellEvery</t>
        </is>
      </c>
      <c r="D76" t="n">
        <v>1</v>
      </c>
      <c r="F76" t="inlineStr">
        <is>
          <t>s</t>
        </is>
      </c>
      <c r="G76" t="inlineStr">
        <is>
          <t>thoi_gian</t>
        </is>
      </c>
      <c r="H76" t="inlineStr">
        <is>
          <t>02</t>
        </is>
      </c>
      <c r="I76" t="inlineStr">
        <is>
          <t>RailSystem.TellEvery</t>
        </is>
      </c>
      <c r="J76" t="inlineStr">
        <is>
          <t>Assets/MachineBrigade/Resources/Data/tunables.json: vehicles.railSystem.tellEvery</t>
        </is>
      </c>
      <c r="K76" t="inlineStr">
        <is>
          <t>{"value":1.0,"unit":"s","kind":"thoi_gian","linh_vuc":"02","code":"RailSystem.TellEvery"}</t>
        </is>
      </c>
    </row>
    <row r="77">
      <c r="A77" t="inlineStr">
        <is>
          <t>vehicles.railSystem.warnFloor</t>
        </is>
      </c>
      <c r="B77" t="inlineStr">
        <is>
          <t>railSystem</t>
        </is>
      </c>
      <c r="C77" t="inlineStr">
        <is>
          <t>warnFloor</t>
        </is>
      </c>
      <c r="D77" t="n">
        <v>8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RailSystem.WarnFloor</t>
        </is>
      </c>
      <c r="J77" t="inlineStr">
        <is>
          <t>Assets/MachineBrigade/Resources/Data/tunables.json: vehicles.railSystem.warnFloor</t>
        </is>
      </c>
      <c r="K77" t="inlineStr">
        <is>
          <t>{"value":8.0,"unit":"s","kind":"thoi_gian","linh_vuc":"02","code":"RailSystem.WarnFloor"}</t>
        </is>
      </c>
    </row>
    <row r="78">
      <c r="A78" t="inlineStr">
        <is>
          <t>vehicles.relayDef.maxPerBase</t>
        </is>
      </c>
      <c r="B78" t="inlineStr">
        <is>
          <t>relayDef</t>
        </is>
      </c>
      <c r="C78" t="inlineStr">
        <is>
          <t>maxPerBase</t>
        </is>
      </c>
      <c r="D78" t="n">
        <v>2</v>
      </c>
      <c r="F78" t="inlineStr">
        <is>
          <t>count</t>
        </is>
      </c>
      <c r="G78" t="inlineStr">
        <is>
          <t>tran</t>
        </is>
      </c>
      <c r="H78" t="inlineStr">
        <is>
          <t>02</t>
        </is>
      </c>
      <c r="I78" t="inlineStr">
        <is>
          <t>RelayDef.MaxPerBase</t>
        </is>
      </c>
      <c r="J78" t="inlineStr">
        <is>
          <t>Assets/MachineBrigade/Resources/Data/tunables.json: vehicles.relayDef.maxPerBase</t>
        </is>
      </c>
      <c r="K78" t="inlineStr">
        <is>
          <t>{"value":2,"unit":"count","kind":"tran","linh_vuc":"02","code":"RelayDef.MaxPerBase"}</t>
        </is>
      </c>
    </row>
    <row r="79">
      <c r="A79" t="inlineStr">
        <is>
          <t>vehicles.supplyRules.bomberShare</t>
        </is>
      </c>
      <c r="B79" t="inlineStr">
        <is>
          <t>supplyRules</t>
        </is>
      </c>
      <c r="C79" t="inlineStr">
        <is>
          <t>bomberShare</t>
        </is>
      </c>
      <c r="D79" t="n">
        <v>0.666666687</v>
      </c>
      <c r="F79" t="inlineStr">
        <is>
          <t>share</t>
        </is>
      </c>
      <c r="G79" t="inlineStr">
        <is>
          <t>nguong</t>
        </is>
      </c>
      <c r="H79" t="inlineStr">
        <is>
          <t>02</t>
        </is>
      </c>
      <c r="I79" t="inlineStr">
        <is>
          <t>SupplyRules.BomberShare</t>
        </is>
      </c>
      <c r="J79" t="inlineStr">
        <is>
          <t>Assets/MachineBrigade/Resources/Data/tunables.json: vehicles.supplyRules.bomberShare</t>
        </is>
      </c>
      <c r="K79" t="inlineStr">
        <is>
          <t>{"value":0.666666687,"unit":"share","kind":"nguong","linh_vuc":"02","code":"SupplyRules.BomberShare"}</t>
        </is>
      </c>
    </row>
    <row r="80">
      <c r="A80" t="inlineStr">
        <is>
          <t>vehicles.supplyRules.carrierRate</t>
        </is>
      </c>
      <c r="B80" t="inlineStr">
        <is>
          <t>supplyRules</t>
        </is>
      </c>
      <c r="C80" t="inlineStr">
        <is>
          <t>carrierRate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SupplyRules.CarrierRate</t>
        </is>
      </c>
      <c r="J80" t="inlineStr">
        <is>
          <t>Assets/MachineBrigade/Resources/Data/tunables.json: vehicles.supplyRules.carrierRate</t>
        </is>
      </c>
      <c r="K80" t="inlineStr">
        <is>
          <t>{"value":2.0,"unit":"x","kind":"tan_suat","linh_vuc":"02","code":"SupplyRules.CarrierRate"}</t>
        </is>
      </c>
    </row>
    <row r="81">
      <c r="A81" t="inlineStr">
        <is>
          <t>vehicles.supplyRules.hqRate</t>
        </is>
      </c>
      <c r="B81" t="inlineStr">
        <is>
          <t>supplyRules</t>
        </is>
      </c>
      <c r="C81" t="inlineStr">
        <is>
          <t>hqRate</t>
        </is>
      </c>
      <c r="D81" t="n">
        <v>1.5</v>
      </c>
      <c r="F81" t="inlineStr">
        <is>
          <t>x</t>
        </is>
      </c>
      <c r="G81" t="inlineStr">
        <is>
          <t>tan_suat</t>
        </is>
      </c>
      <c r="H81" t="inlineStr">
        <is>
          <t>02</t>
        </is>
      </c>
      <c r="I81" t="inlineStr">
        <is>
          <t>SupplyRules.HqRate</t>
        </is>
      </c>
      <c r="J81" t="inlineStr">
        <is>
          <t>Assets/MachineBrigade/Resources/Data/tunables.json: vehicles.supplyRules.hqRate</t>
        </is>
      </c>
      <c r="K81" t="inlineStr">
        <is>
          <t>{"value":1.5,"unit":"x","kind":"tan_suat","linh_vuc":"02","code":"SupplyRules.HqRate"}</t>
        </is>
      </c>
    </row>
    <row r="82">
      <c r="A82" t="inlineStr">
        <is>
          <t>vehicles.supplyRules.padRate</t>
        </is>
      </c>
      <c r="B82" t="inlineStr">
        <is>
          <t>supplyRules</t>
        </is>
      </c>
      <c r="C82" t="inlineStr">
        <is>
          <t>padRate</t>
        </is>
      </c>
      <c r="D82" t="n">
        <v>2</v>
      </c>
      <c r="F82" t="inlineStr">
        <is>
          <t>x</t>
        </is>
      </c>
      <c r="G82" t="inlineStr">
        <is>
          <t>tan_suat</t>
        </is>
      </c>
      <c r="H82" t="inlineStr">
        <is>
          <t>02</t>
        </is>
      </c>
      <c r="I82" t="inlineStr">
        <is>
          <t>SupplyRules.PadRate</t>
        </is>
      </c>
      <c r="J82" t="inlineStr">
        <is>
          <t>Assets/MachineBrigade/Resources/Data/tunables.json: vehicles.supplyRules.padRate</t>
        </is>
      </c>
      <c r="K82" t="inlineStr">
        <is>
          <t>{"value":2.0,"unit":"x","kind":"tan_suat","linh_vuc":"02","code":"SupplyRules.PadRate"}</t>
        </is>
      </c>
    </row>
    <row r="83">
      <c r="A83" t="inlineStr">
        <is>
          <t>vehicles.supplyRules.returnShare</t>
        </is>
      </c>
      <c r="B83" t="inlineStr">
        <is>
          <t>supplyRules</t>
        </is>
      </c>
      <c r="C83" t="inlineStr">
        <is>
          <t>returnShare</t>
        </is>
      </c>
      <c r="D83" t="n">
        <v>0.5</v>
      </c>
      <c r="F83" t="inlineStr">
        <is>
          <t>share</t>
        </is>
      </c>
      <c r="G83" t="inlineStr">
        <is>
          <t>nguong</t>
        </is>
      </c>
      <c r="H83" t="inlineStr">
        <is>
          <t>02</t>
        </is>
      </c>
      <c r="I83" t="inlineStr">
        <is>
          <t>SupplyRules.ReturnShare</t>
        </is>
      </c>
      <c r="J83" t="inlineStr">
        <is>
          <t>Assets/MachineBrigade/Resources/Data/tunables.json: vehicles.supplyRules.returnShare</t>
        </is>
      </c>
      <c r="K83" t="inlineStr">
        <is>
          <t>{"value":0.5,"unit":"share","kind":"nguong","linh_vuc":"02","code":"SupplyRules.ReturnShare"}</t>
        </is>
      </c>
    </row>
    <row r="84">
      <c r="A84" t="inlineStr">
        <is>
          <t>vehicles.supplyRules.slowShare</t>
        </is>
      </c>
      <c r="B84" t="inlineStr">
        <is>
          <t>supplyRules</t>
        </is>
      </c>
      <c r="C84" t="inlineStr">
        <is>
          <t>slowShare</t>
        </is>
      </c>
      <c r="D84" t="n">
        <v>0.5</v>
      </c>
      <c r="F84" t="inlineStr">
        <is>
          <t>share</t>
        </is>
      </c>
      <c r="G84" t="inlineStr">
        <is>
          <t>nguong</t>
        </is>
      </c>
      <c r="H84" t="inlineStr">
        <is>
          <t>02</t>
        </is>
      </c>
      <c r="I84" t="inlineStr">
        <is>
          <t>SupplyRules.SlowShare</t>
        </is>
      </c>
      <c r="J84" t="inlineStr">
        <is>
          <t>Assets/MachineBrigade/Resources/Data/tunables.json: vehicles.supplyRules.slowShare</t>
        </is>
      </c>
      <c r="K84" t="inlineStr">
        <is>
          <t>{"value":0.5,"unit":"share","kind":"nguong","linh_vuc":"02","code":"SupplyRules.SlowShare"}</t>
        </is>
      </c>
    </row>
    <row r="85">
      <c r="A85" t="inlineStr">
        <is>
          <t>vehicles.supplySystem.carrierReach</t>
        </is>
      </c>
      <c r="B85" t="inlineStr">
        <is>
          <t>supplySystem</t>
        </is>
      </c>
      <c r="C85" t="inlineStr">
        <is>
          <t>carrierReach</t>
        </is>
      </c>
      <c r="D85" t="n">
        <v>12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SupplySystem.CarrierReach</t>
        </is>
      </c>
      <c r="J85" t="inlineStr">
        <is>
          <t>Assets/MachineBrigade/Resources/Data/tunables.json: vehicles.supplySystem.carrierReach</t>
        </is>
      </c>
      <c r="K85" t="inlineStr">
        <is>
          <t>{"value":12.0,"unit":"m","kind":"ban_kinh","linh_vuc":"02","code":"SupplySystem.CarrierReach"}</t>
        </is>
      </c>
    </row>
    <row r="86">
      <c r="A86" t="inlineStr">
        <is>
          <t>vehicles.supplySystem.hqHeal</t>
        </is>
      </c>
      <c r="B86" t="inlineStr">
        <is>
          <t>supplySystem</t>
        </is>
      </c>
      <c r="C86" t="inlineStr">
        <is>
          <t>hqHeal</t>
        </is>
      </c>
      <c r="D86" t="n">
        <v>0.01</v>
      </c>
      <c r="F86" t="inlineStr">
        <is>
          <t>share/s</t>
        </is>
      </c>
      <c r="G86" t="inlineStr">
        <is>
          <t>sat_thuong</t>
        </is>
      </c>
      <c r="H86" t="inlineStr">
        <is>
          <t>02</t>
        </is>
      </c>
      <c r="I86" t="inlineStr">
        <is>
          <t>SupplySystem.HqHeal</t>
        </is>
      </c>
      <c r="J86" t="inlineStr">
        <is>
          <t>Assets/MachineBrigade/Resources/Data/tunables.json: vehicles.supplySystem.hqHeal</t>
        </is>
      </c>
      <c r="K86" t="inlineStr">
        <is>
          <t>{"value":0.01,"unit":"share/s","kind":"sat_thuong","linh_vuc":"02","code":"SupplySystem.HqHeal"}</t>
        </is>
      </c>
    </row>
    <row r="87">
      <c r="A87" t="inlineStr">
        <is>
          <t>vehicles.supplySystem.hqReach</t>
        </is>
      </c>
      <c r="B87" t="inlineStr">
        <is>
          <t>supplySystem</t>
        </is>
      </c>
      <c r="C87" t="inlineStr">
        <is>
          <t>hqReach</t>
        </is>
      </c>
      <c r="D87" t="n">
        <v>20</v>
      </c>
      <c r="F87" t="inlineStr">
        <is>
          <t>m</t>
        </is>
      </c>
      <c r="G87" t="inlineStr">
        <is>
          <t>ban_kinh</t>
        </is>
      </c>
      <c r="H87" t="inlineStr">
        <is>
          <t>02</t>
        </is>
      </c>
      <c r="I87" t="inlineStr">
        <is>
          <t>SupplySystem.HqReach</t>
        </is>
      </c>
      <c r="J87" t="inlineStr">
        <is>
          <t>Assets/MachineBrigade/Resources/Data/tunables.json: vehicles.supplySystem.hqReach</t>
        </is>
      </c>
      <c r="K87" t="inlineStr">
        <is>
          <t>{"value":20.0,"unit":"m","kind":"ban_kinh","linh_vuc":"02","code":"SupplySystem.HqReach"}</t>
        </is>
      </c>
    </row>
    <row r="88">
      <c r="A88" t="inlineStr">
        <is>
          <t>vehicles.supplySystem.lowShare</t>
        </is>
      </c>
      <c r="B88" t="inlineStr">
        <is>
          <t>supplySystem</t>
        </is>
      </c>
      <c r="C88" t="inlineStr">
        <is>
          <t>lowShare</t>
        </is>
      </c>
      <c r="D88" t="n">
        <v>0.2</v>
      </c>
      <c r="F88" t="inlineStr">
        <is>
          <t>share</t>
        </is>
      </c>
      <c r="G88" t="inlineStr">
        <is>
          <t>nguong</t>
        </is>
      </c>
      <c r="H88" t="inlineStr">
        <is>
          <t>02</t>
        </is>
      </c>
      <c r="I88" t="inlineStr">
        <is>
          <t>SupplySystem.LowShare</t>
        </is>
      </c>
      <c r="J88" t="inlineStr">
        <is>
          <t>Assets/MachineBrigade/Resources/Data/tunables.json: vehicles.supplySystem.lowShare</t>
        </is>
      </c>
      <c r="K88" t="inlineStr">
        <is>
          <t>{"value":0.2,"unit":"share","kind":"nguong","linh_vuc":"02","code":"SupplySystem.LowShare"}</t>
        </is>
      </c>
    </row>
    <row r="89">
      <c r="A89" t="inlineStr">
        <is>
          <t>vehicles.supplySystem.safeSeconds</t>
        </is>
      </c>
      <c r="B89" t="inlineStr">
        <is>
          <t>supplySystem</t>
        </is>
      </c>
      <c r="C89" t="inlineStr">
        <is>
          <t>safeSeconds</t>
        </is>
      </c>
      <c r="D89" t="n">
        <v>3</v>
      </c>
      <c r="F89" t="inlineStr">
        <is>
          <t>s</t>
        </is>
      </c>
      <c r="G89" t="inlineStr">
        <is>
          <t>thoi_gian</t>
        </is>
      </c>
      <c r="H89" t="inlineStr">
        <is>
          <t>02</t>
        </is>
      </c>
      <c r="I89" t="inlineStr">
        <is>
          <t>SupplySystem.SafeSeconds</t>
        </is>
      </c>
      <c r="J89" t="inlineStr">
        <is>
          <t>Assets/MachineBrigade/Resources/Data/tunables.json: vehicles.supplySystem.safeSeconds</t>
        </is>
      </c>
      <c r="K89" t="inlineStr">
        <is>
          <t>{"value":3.0,"unit":"s","kind":"thoi_gian","linh_vuc":"02","code":"SupplySystem.SafeSeconds"}</t>
        </is>
      </c>
    </row>
    <row r="90">
      <c r="A90" t="inlineStr">
        <is>
          <t>vehicles.trophyRules.builtInExtraCharges</t>
        </is>
      </c>
      <c r="B90" t="inlineStr">
        <is>
          <t>trophyRules</t>
        </is>
      </c>
      <c r="C90" t="inlineStr">
        <is>
          <t>builtInExtraCharges</t>
        </is>
      </c>
      <c r="D90" t="n">
        <v>1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vehicles.trophyRules.builtInExtraCharges</t>
        </is>
      </c>
      <c r="K90" t="inlineStr">
        <is>
          <t>{"value":1,"unit":"count","kind":"tran","linh_vuc":"02","code":"GearSystem.TrophyAps"}</t>
        </is>
      </c>
    </row>
    <row r="91">
      <c r="A91" t="inlineStr">
        <is>
          <t>vehicles.trophyRules.builtInRechargeScale</t>
        </is>
      </c>
      <c r="B91" t="inlineStr">
        <is>
          <t>trophyRules</t>
        </is>
      </c>
      <c r="C91" t="inlineStr">
        <is>
          <t>builtInRechargeScale</t>
        </is>
      </c>
      <c r="D91" t="n">
        <v>0.75</v>
      </c>
      <c r="F91" t="inlineStr">
        <is>
          <t>x</t>
        </is>
      </c>
      <c r="G91" t="inlineStr">
        <is>
          <t>thoi_gian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vehicles.trophyRules.builtInRechargeScale</t>
        </is>
      </c>
      <c r="K91" t="inlineStr">
        <is>
          <t>{"value":0.75,"unit":"x","kind":"thoi_gian","linh_vuc":"02","code":"GearSystem.TrophyAps"}</t>
        </is>
      </c>
    </row>
    <row r="92">
      <c r="A92" t="inlineStr">
        <is>
          <t>vehicles.trophyRules.charges</t>
        </is>
      </c>
      <c r="B92" t="inlineStr">
        <is>
          <t>trophyRules</t>
        </is>
      </c>
      <c r="C92" t="inlineStr">
        <is>
          <t>charges</t>
        </is>
      </c>
      <c r="D92" t="n">
        <v>2</v>
      </c>
      <c r="F92" t="inlineStr">
        <is>
          <t>count</t>
        </is>
      </c>
      <c r="G92" t="inlineStr">
        <is>
          <t>tran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vehicles.trophyRules.charges</t>
        </is>
      </c>
      <c r="K92" t="inlineStr">
        <is>
          <t>{"value":2,"unit":"count","kind":"tran","linh_vuc":"02","code":"GearSystem.TrophyAps"}</t>
        </is>
      </c>
    </row>
    <row r="93">
      <c r="A93" t="inlineStr">
        <is>
          <t>vehicles.trophyRules.radius</t>
        </is>
      </c>
      <c r="B93" t="inlineStr">
        <is>
          <t>trophyRules</t>
        </is>
      </c>
      <c r="C93" t="inlineStr">
        <is>
          <t>radius</t>
        </is>
      </c>
      <c r="D93" t="n">
        <v>20</v>
      </c>
      <c r="F93" t="inlineStr">
        <is>
          <t>m</t>
        </is>
      </c>
      <c r="G93" t="inlineStr">
        <is>
          <t>ban_kinh</t>
        </is>
      </c>
      <c r="H93" t="inlineStr">
        <is>
          <t>02</t>
        </is>
      </c>
      <c r="I93" t="inlineStr">
        <is>
          <t>GearSystem.TrophyAps</t>
        </is>
      </c>
      <c r="J93" t="inlineStr">
        <is>
          <t>Assets/MachineBrigade/Resources/Data/tunables.json: vehicles.trophyRules.radius</t>
        </is>
      </c>
      <c r="K93" t="inlineStr">
        <is>
          <t>{"value":20.0,"unit":"m","kind":"ban_kinh","linh_vuc":"02","code":"GearSystem.TrophyAps"}</t>
        </is>
      </c>
    </row>
    <row r="94">
      <c r="A94" t="inlineStr">
        <is>
          <t>vehicles.trophyRules.recharge</t>
        </is>
      </c>
      <c r="B94" t="inlineStr">
        <is>
          <t>trophyRules</t>
        </is>
      </c>
      <c r="C94" t="inlineStr">
        <is>
          <t>recharge</t>
        </is>
      </c>
      <c r="D94" t="n">
        <v>20</v>
      </c>
      <c r="F94" t="inlineStr">
        <is>
          <t>s</t>
        </is>
      </c>
      <c r="G94" t="inlineStr">
        <is>
          <t>thoi_gian</t>
        </is>
      </c>
      <c r="H94" t="inlineStr">
        <is>
          <t>02</t>
        </is>
      </c>
      <c r="I94" t="inlineStr">
        <is>
          <t>GearSystem.TrophyAps</t>
        </is>
      </c>
      <c r="J94" t="inlineStr">
        <is>
          <t>Assets/MachineBrigade/Resources/Data/tunables.json: vehicles.trophyRules.recharge</t>
        </is>
      </c>
      <c r="K94" t="inlineStr">
        <is>
          <t>{"value":20.0,"unit":"s","kind":"thoi_gian","linh_vuc":"02","code":"GearSystem.TrophyAps"}</t>
        </is>
      </c>
    </row>
    <row r="95">
      <c r="A95" t="inlineStr">
        <is>
          <t>vehicles.vehicleDef.stealthSight</t>
        </is>
      </c>
      <c r="B95" t="inlineStr">
        <is>
          <t>vehicleDef</t>
        </is>
      </c>
      <c r="C95" t="inlineStr">
        <is>
          <t>stealthSight</t>
        </is>
      </c>
      <c r="D95" t="n">
        <v>0.4</v>
      </c>
      <c r="F95" t="inlineStr">
        <is>
          <t>x</t>
        </is>
      </c>
      <c r="G95" t="inlineStr">
        <is>
          <t>ban_kinh</t>
        </is>
      </c>
      <c r="H95" t="inlineStr">
        <is>
          <t>02</t>
        </is>
      </c>
      <c r="I95" t="inlineStr">
        <is>
          <t>VehicleDef.StealthSight</t>
        </is>
      </c>
      <c r="J95" t="inlineStr">
        <is>
          <t>Assets/MachineBrigade/Resources/Data/tunables.json: vehicles.vehicleDef.stealthSight</t>
        </is>
      </c>
      <c r="K95" t="inlineStr">
        <is>
          <t>{"value":0.4,"unit":"x","kind":"ban_kinh","linh_vuc":"02","code":"VehicleDef.StealthSight"}</t>
        </is>
      </c>
    </row>
    <row r="96">
      <c r="A96" t="inlineStr">
        <is>
          <t>vehicles.wreckRules.bossSeconds</t>
        </is>
      </c>
      <c r="B96" t="inlineStr">
        <is>
          <t>wreckRules</t>
        </is>
      </c>
      <c r="C96" t="inlineStr">
        <is>
          <t>bossSeconds</t>
        </is>
      </c>
      <c r="D96" t="n">
        <v>90</v>
      </c>
      <c r="F96" t="inlineStr">
        <is>
          <t>s</t>
        </is>
      </c>
      <c r="G96" t="inlineStr">
        <is>
          <t>thoi_gian</t>
        </is>
      </c>
      <c r="H96" t="inlineStr">
        <is>
          <t>02</t>
        </is>
      </c>
      <c r="I96" t="inlineStr">
        <is>
          <t>WreckRules.BossSeconds (play-test 14 lane J)</t>
        </is>
      </c>
      <c r="J96" t="inlineStr">
        <is>
          <t>Assets/MachineBrigade/Resources/Data/tunables.json: vehicles.wreckRules.bossSeconds</t>
        </is>
      </c>
      <c r="K96" t="inlineStr">
        <is>
          <t>{"value":90.0,"unit":"s","kind":"thoi_gian","linh_vuc":"02","code":"WreckRules.BossSeconds (play-test 14 lane J)"}</t>
        </is>
      </c>
    </row>
    <row r="97">
      <c r="A97" t="inlineStr">
        <is>
          <t>vehicles.wreckRules.groundSeconds</t>
        </is>
      </c>
      <c r="B97" t="inlineStr">
        <is>
          <t>wreckRules</t>
        </is>
      </c>
      <c r="C97" t="inlineStr">
        <is>
          <t>groundSeconds</t>
        </is>
      </c>
      <c r="D97" t="n">
        <v>30</v>
      </c>
      <c r="F97" t="inlineStr">
        <is>
          <t>s</t>
        </is>
      </c>
      <c r="G97" t="inlineStr">
        <is>
          <t>thoi_gian</t>
        </is>
      </c>
      <c r="H97" t="inlineStr">
        <is>
          <t>02</t>
        </is>
      </c>
      <c r="I97" t="inlineStr">
        <is>
          <t>WreckRules.GroundSeconds (play-test 14 lane J)</t>
        </is>
      </c>
      <c r="J97" t="inlineStr">
        <is>
          <t>Assets/MachineBrigade/Resources/Data/tunables.json: vehicles.wreckRules.groundSeconds</t>
        </is>
      </c>
      <c r="K97" t="inlineStr">
        <is>
          <t>{"value":30.0,"unit":"s","kind":"thoi_gian","linh_vuc":"02","code":"WreckRules.GroundSeconds (play-test 14 lane J)"}</t>
        </is>
      </c>
    </row>
    <row r="98">
      <c r="A98" t="inlineStr">
        <is>
          <t>vehicles.wreckRules.groundSpread</t>
        </is>
      </c>
      <c r="B98" t="inlineStr">
        <is>
          <t>wreckRules</t>
        </is>
      </c>
      <c r="C98" t="inlineStr">
        <is>
          <t>groundSpread</t>
        </is>
      </c>
      <c r="D98" t="n">
        <v>15</v>
      </c>
      <c r="F98" t="inlineStr">
        <is>
          <t>s</t>
        </is>
      </c>
      <c r="G98" t="inlineStr">
        <is>
          <t>thoi_gian</t>
        </is>
      </c>
      <c r="H98" t="inlineStr">
        <is>
          <t>02</t>
        </is>
      </c>
      <c r="I98" t="inlineStr">
        <is>
          <t>WreckRules.GroundSpread (play-test 14 lane J)</t>
        </is>
      </c>
      <c r="J98" t="inlineStr">
        <is>
          <t>Assets/MachineBrigade/Resources/Data/tunables.json: vehicles.wreckRules.groundSpread</t>
        </is>
      </c>
      <c r="K98" t="inlineStr">
        <is>
          <t>{"value":15.0,"unit":"s","kind":"thoi_gian","linh_vuc":"02","code":"WreckRules.GroundSpread (play-test 14 lane J)"}</t>
        </is>
      </c>
    </row>
    <row r="99">
      <c r="A99" t="inlineStr">
        <is>
          <t>vehicles.wreckRules.shipSeconds</t>
        </is>
      </c>
      <c r="B99" t="inlineStr">
        <is>
          <t>wreckRules</t>
        </is>
      </c>
      <c r="C99" t="inlineStr">
        <is>
          <t>shipSeconds</t>
        </is>
      </c>
      <c r="D99" t="n">
        <v>18</v>
      </c>
      <c r="F99" t="inlineStr">
        <is>
          <t>s</t>
        </is>
      </c>
      <c r="G99" t="inlineStr">
        <is>
          <t>thoi_gian</t>
        </is>
      </c>
      <c r="H99" t="inlineStr">
        <is>
          <t>02</t>
        </is>
      </c>
      <c r="I99" t="inlineStr">
        <is>
          <t>WreckRules.ShipSeconds (play-test 14 lane J)</t>
        </is>
      </c>
      <c r="J99" t="inlineStr">
        <is>
          <t>Assets/MachineBrigade/Resources/Data/tunables.json: vehicles.wreckRules.shipSeconds</t>
        </is>
      </c>
      <c r="K99" t="inlineStr">
        <is>
          <t>{"value":18.0,"unit":"s","kind":"thoi_gian","linh_vuc":"02","code":"WreckRules.ShipSeconds (play-test 14 lane J)"}</t>
        </is>
      </c>
    </row>
  </sheetData>
  <autoFilter ref="A1:K99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9" customWidth="1" min="2" max="2"/>
    <col width="10" customWidth="1" min="3" max="3"/>
    <col width="10" customWidth="1" min="4" max="4"/>
    <col width="15" customWidth="1" min="5" max="5"/>
    <col width="25" customWidth="1" min="6" max="6"/>
    <col width="12" customWidth="1" min="7" max="7"/>
    <col width="60" customWidth="1" min="8" max="8"/>
    <col width="23" customWidth="1" min="9" max="9"/>
    <col width="15" customWidth="1" min="10" max="10"/>
    <col width="16" customWidth="1" min="11" max="11"/>
    <col width="18" customWidth="1" min="12" max="12"/>
    <col width="18" customWidth="1" min="13" max="13"/>
    <col width="14" customWidth="1" min="14" max="14"/>
    <col width="8" customWidth="1" min="15" max="15"/>
    <col width="14" customWidth="1" min="16" max="16"/>
    <col width="11" customWidth="1" min="17" max="17"/>
    <col width="10" customWidth="1" min="18" max="18"/>
    <col width="10" customWidth="1" min="19" max="19"/>
    <col width="14" customWidth="1" min="20" max="20"/>
    <col width="11" customWidth="1" min="21" max="21"/>
    <col width="14" customWidth="1" min="22" max="22"/>
    <col width="23" customWidth="1" min="23" max="23"/>
    <col width="15" customWidth="1" min="24" max="24"/>
    <col width="8" customWidth="1" min="25" max="25"/>
    <col width="49" customWidth="1" min="26" max="26"/>
    <col width="22" customWidth="1" min="27" max="27"/>
    <col width="32" customWidth="1" min="28" max="28"/>
    <col width="23" customWidth="1" min="29" max="29"/>
    <col width="24" customWidth="1" min="30" max="30"/>
    <col width="31" customWidth="1" min="31" max="31"/>
    <col width="33" customWidth="1" min="32" max="32"/>
    <col width="18" customWidth="1" min="33" max="33"/>
    <col width="26" customWidth="1" min="34" max="34"/>
    <col width="23" customWidth="1" min="35" max="35"/>
    <col width="16" customWidth="1" min="36" max="36"/>
    <col width="9" customWidth="1" min="37" max="37"/>
    <col width="12" customWidth="1" min="38" max="38"/>
    <col width="14" customWidth="1" min="39" max="39"/>
    <col width="17" customWidth="1" min="40" max="40"/>
    <col width="8" customWidth="1" min="41" max="41"/>
    <col width="10" customWidth="1" min="42" max="42"/>
    <col width="15" customWidth="1" min="43" max="43"/>
    <col width="15" customWidth="1" min="44" max="44"/>
    <col width="10" customWidth="1" min="45" max="45"/>
    <col width="17" customWidth="1" min="46" max="46"/>
    <col width="8" customWidth="1" min="47" max="47"/>
    <col width="21" customWidth="1" min="48" max="48"/>
    <col width="14" customWidth="1" min="49" max="49"/>
    <col width="24" customWidth="1" min="50" max="50"/>
    <col width="17" customWidth="1" min="51" max="51"/>
    <col width="14" customWidth="1" min="52" max="52"/>
    <col width="23" customWidth="1" min="53" max="53"/>
    <col width="18" customWidth="1" min="54" max="54"/>
    <col width="22" customWidth="1" min="55" max="55"/>
    <col width="24" customWidth="1" min="56" max="56"/>
    <col width="8" customWidth="1" min="57" max="57"/>
    <col width="17" customWidth="1" min="58" max="58"/>
    <col width="22" customWidth="1" min="59" max="59"/>
    <col width="23" customWidth="1" min="60" max="60"/>
    <col width="32" customWidth="1" min="61" max="61"/>
    <col width="27" customWidth="1" min="62" max="62"/>
    <col width="17" customWidth="1" min="63" max="63"/>
    <col width="17" customWidth="1" min="64" max="64"/>
    <col width="24" customWidth="1" min="65" max="65"/>
    <col width="16" customWidth="1" min="66" max="66"/>
    <col width="24" customWidth="1" min="67" max="67"/>
    <col width="12" customWidth="1" min="68" max="68"/>
    <col width="17" customWidth="1" min="69" max="69"/>
    <col width="33" customWidth="1" min="70" max="70"/>
    <col width="23" customWidth="1" min="71" max="71"/>
    <col width="8" customWidth="1" min="72" max="72"/>
    <col width="60" customWidth="1" min="73" max="73"/>
    <col width="60" customWidth="1" min="74" max="74"/>
  </cols>
  <sheetData>
    <row r="1">
      <c r="A1" s="1" t="inlineStr">
        <is>
          <t>id</t>
        </is>
      </c>
      <c r="B1" s="1" t="inlineStr">
        <is>
          <t>bac_no</t>
        </is>
      </c>
      <c r="C1" s="1" t="inlineStr">
        <is>
          <t>bay_cong</t>
        </is>
      </c>
      <c r="D1" s="1" t="inlineStr">
        <is>
          <t>cach_tha</t>
        </is>
      </c>
      <c r="E1" s="1" t="inlineStr">
        <is>
          <t>canh_bao_dang</t>
        </is>
      </c>
      <c r="F1" s="1" t="inlineStr">
        <is>
          <t>canh_bao_theo_luat</t>
        </is>
      </c>
      <c r="G1" s="1" t="inlineStr">
        <is>
          <t>che_do_tha</t>
        </is>
      </c>
      <c r="H1" s="1" t="inlineStr">
        <is>
          <t>che_do_tha_hien_tai</t>
        </is>
      </c>
      <c r="I1" s="1" t="inlineStr">
        <is>
          <t>chu_ky_tha_giua_bom_s</t>
        </is>
      </c>
      <c r="J1" s="1" t="inlineStr">
        <is>
          <t>cluster_count</t>
        </is>
      </c>
      <c r="K1" s="1" t="inlineStr">
        <is>
          <t>cluster_damage</t>
        </is>
      </c>
      <c r="L1" s="1" t="inlineStr">
        <is>
          <t>cluster_radius_m</t>
        </is>
      </c>
      <c r="M1" s="1" t="inlineStr">
        <is>
          <t>cluster_splash_m</t>
        </is>
      </c>
      <c r="N1" s="1" t="inlineStr">
        <is>
          <t>cluster_tier</t>
        </is>
      </c>
      <c r="O1" s="1" t="inlineStr">
        <is>
          <t>co_mm</t>
        </is>
      </c>
      <c r="P1" s="1" t="inlineStr">
        <is>
          <t>cong_suat_kw</t>
        </is>
      </c>
      <c r="Q1" s="1" t="inlineStr">
        <is>
          <t>dan_huong</t>
        </is>
      </c>
      <c r="R1" s="1" t="inlineStr">
        <is>
          <t>dang_dan</t>
        </is>
      </c>
      <c r="S1" s="1" t="inlineStr">
        <is>
          <t>danh_noc</t>
        </is>
      </c>
      <c r="T1" s="1" t="inlineStr">
        <is>
          <t>dat_boi_boss</t>
        </is>
      </c>
      <c r="U1" s="1" t="inlineStr">
        <is>
          <t>dau_no_kg</t>
        </is>
      </c>
      <c r="V1" s="1" t="inlineStr">
        <is>
          <t>do_dai_dai_m</t>
        </is>
      </c>
      <c r="W1" s="1" t="inlineStr">
        <is>
          <t>do_dai_dai_m_toan_toc</t>
        </is>
      </c>
      <c r="X1" s="1" t="inlineStr">
        <is>
          <t>do_rong_dai_m</t>
        </is>
      </c>
      <c r="Y1" s="1" t="inlineStr">
        <is>
          <t>do_tan</t>
        </is>
      </c>
      <c r="Z1" s="1" t="inlineStr">
        <is>
          <t>don_vi_mang</t>
        </is>
      </c>
      <c r="AA1" s="1" t="inlineStr">
        <is>
          <t>duong_tha_theo_ma</t>
        </is>
      </c>
      <c r="AB1" s="1" t="inlineStr">
        <is>
          <t>huong_ra_tham</t>
        </is>
      </c>
      <c r="AC1" s="1" t="inlineStr">
        <is>
          <t>khoang_cach_an_toan_m</t>
        </is>
      </c>
      <c r="AD1" s="1" t="inlineStr">
        <is>
          <t>khoang_cach_giua_bom_m</t>
        </is>
      </c>
      <c r="AE1" s="1" t="inlineStr">
        <is>
          <t>khoang_cach_giua_bom_m_ga_0_8</t>
        </is>
      </c>
      <c r="AF1" s="1" t="inlineStr">
        <is>
          <t>khoang_cach_giua_bom_m_toan_toc</t>
        </is>
      </c>
      <c r="AG1" s="1" t="inlineStr">
        <is>
          <t>khoang_dan_dau_m</t>
        </is>
      </c>
      <c r="AH1" s="1" t="inlineStr">
        <is>
          <t>khoang_phat_trong_loat_s</t>
        </is>
      </c>
      <c r="AI1" s="1" t="inlineStr">
        <is>
          <t>khoang_tha_giua_bom_s</t>
        </is>
      </c>
      <c r="AJ1" s="1" t="inlineStr">
        <is>
          <t>khoang_thoat_m</t>
        </is>
      </c>
      <c r="AK1" s="1" t="inlineStr">
        <is>
          <t>kich_co</t>
        </is>
      </c>
      <c r="AL1" s="1" t="inlineStr">
        <is>
          <t>lech_doc_m</t>
        </is>
      </c>
      <c r="AM1" s="1" t="inlineStr">
        <is>
          <t>lech_ngang_m</t>
        </is>
      </c>
      <c r="AN1" s="1" t="inlineStr">
        <is>
          <t>loai_sat_thuong</t>
        </is>
      </c>
      <c r="AO1" s="1" t="inlineStr">
        <is>
          <t>loi_m</t>
        </is>
      </c>
      <c r="AP1" s="1" t="inlineStr">
        <is>
          <t>muc_tieu</t>
        </is>
      </c>
      <c r="AQ1" s="1" t="inlineStr">
        <is>
          <t>nang_luong_mj</t>
        </is>
      </c>
      <c r="AR1" s="1" t="inlineStr">
        <is>
          <t>nap_lai_kho_s</t>
        </is>
      </c>
      <c r="AS1" s="1" t="inlineStr">
        <is>
          <t>nhiet_ap</t>
        </is>
      </c>
      <c r="AT1" s="1" t="inlineStr">
        <is>
          <t>nhom</t>
        </is>
      </c>
      <c r="AU1" s="1" t="inlineStr">
        <is>
          <t>ria_m</t>
        </is>
      </c>
      <c r="AV1" s="1" t="inlineStr">
        <is>
          <t>sat_thuong_moi_phat</t>
        </is>
      </c>
      <c r="AW1" s="1" t="inlineStr">
        <is>
          <t>so_bom_dai_n</t>
        </is>
      </c>
      <c r="AX1" s="1" t="inlineStr">
        <is>
          <t>so_bom_khi_it_muc_tieu</t>
        </is>
      </c>
      <c r="AY1" s="1" t="inlineStr">
        <is>
          <t>so_bom_moi_luot</t>
        </is>
      </c>
      <c r="AZ1" s="1" t="inlineStr">
        <is>
          <t>so_loat_mang</t>
        </is>
      </c>
      <c r="BA1" s="1" t="inlineStr">
        <is>
          <t>so_muc_tieu_toi_thieu</t>
        </is>
      </c>
      <c r="BB1" s="1" t="inlineStr">
        <is>
          <t>so_phat_moi_loat</t>
        </is>
      </c>
      <c r="BC1" s="1" t="inlineStr">
        <is>
          <t>so_vien_mang_may_bay</t>
        </is>
      </c>
      <c r="BD1" s="1" t="inlineStr">
        <is>
          <t>tam_dai</t>
        </is>
      </c>
      <c r="BE1" s="1" t="inlineStr">
        <is>
          <t>tam_m</t>
        </is>
      </c>
      <c r="BF1" s="1" t="inlineStr">
        <is>
          <t>tam_toi_thieu_m</t>
        </is>
      </c>
      <c r="BG1" s="1" t="inlineStr">
        <is>
          <t>ten_that</t>
        </is>
      </c>
      <c r="BH1" s="1" t="inlineStr">
        <is>
          <t>thoi_gian_bay_thang_s</t>
        </is>
      </c>
      <c r="BI1" s="1" t="inlineStr">
        <is>
          <t>thoi_gian_canh_bao_s_theo_luat</t>
        </is>
      </c>
      <c r="BJ1" s="1" t="inlineStr">
        <is>
          <t>thoi_gian_mo_khoang_bom_s</t>
        </is>
      </c>
      <c r="BK1" s="1" t="inlineStr">
        <is>
          <t>thoi_gian_nap_s</t>
        </is>
      </c>
      <c r="BL1" s="1" t="inlineStr">
        <is>
          <t>thoi_gian_roi_s</t>
        </is>
      </c>
      <c r="BM1" s="1" t="inlineStr">
        <is>
          <t>toc_do_bay_luc_tha_m_s</t>
        </is>
      </c>
      <c r="BN1" s="1" t="inlineStr">
        <is>
          <t>toc_do_dan_m_s</t>
        </is>
      </c>
      <c r="BO1" s="1" t="inlineStr">
        <is>
          <t>toc_do_don_vi_mang_m_s</t>
        </is>
      </c>
      <c r="BP1" s="1" t="inlineStr">
        <is>
          <t>tran_ban_m</t>
        </is>
      </c>
      <c r="BQ1" s="1" t="inlineStr">
        <is>
          <t>ty_le_chong_lan</t>
        </is>
      </c>
      <c r="BR1" s="1" t="inlineStr">
        <is>
          <t>ty_le_chong_lan_loi_tren_khoang</t>
        </is>
      </c>
      <c r="BS1" s="1" t="inlineStr">
        <is>
          <t>vu_khi_id</t>
        </is>
      </c>
      <c r="BT1" s="1" t="inlineStr">
        <is>
          <t>xuyen</t>
        </is>
      </c>
      <c r="BU1" s="1" t="inlineStr">
        <is>
          <t>nguon</t>
        </is>
      </c>
      <c r="BV1" s="1" t="inlineStr">
        <is>
          <t>raw_json</t>
        </is>
      </c>
    </row>
    <row r="2">
      <c r="A2" t="inlineStr">
        <is>
          <t>air_raid</t>
        </is>
      </c>
      <c r="B2" t="inlineStr">
        <is>
          <t>Huge</t>
        </is>
      </c>
      <c r="C2" t="inlineStr"/>
      <c r="D2" t="inlineStr">
        <is>
          <t>OVERFLY</t>
        </is>
      </c>
      <c r="E2" t="inlineStr">
        <is>
          <t>STICK_RECT</t>
        </is>
      </c>
      <c r="F2" t="inlineStr">
        <is>
          <t>TRUE (vòng / dải hỗ trợ)</t>
        </is>
      </c>
      <c r="G2" t="inlineStr">
        <is>
          <t>STICK</t>
        </is>
      </c>
      <c r="H2" t="inlineStr">
        <is>
          <t>STICK (rải đều Point → Point + hướng × length; StrikeSystem.cs:250-275)</t>
        </is>
      </c>
      <c r="I2" t="n">
        <v>0.267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n">
        <v>70</v>
      </c>
      <c r="W2" t="n">
        <v>70</v>
      </c>
      <c r="X2" t="n">
        <v>22</v>
      </c>
      <c r="Y2" t="inlineStr"/>
      <c r="Z2" t="inlineStr">
        <is>
          <t>(máy bay của thẻ, không là đơn vị)</t>
        </is>
      </c>
      <c r="AA2" t="inlineStr">
        <is>
          <t>SUPPORT_AIRSTRIKE</t>
        </is>
      </c>
      <c r="AB2" t="inlineStr">
        <is>
          <t>APPROACH (hướng người chơi kéo)</t>
        </is>
      </c>
      <c r="AC2" t="inlineStr"/>
      <c r="AD2" t="n">
        <v>7.778</v>
      </c>
      <c r="AE2" t="inlineStr"/>
      <c r="AF2" t="n">
        <v>7.778</v>
      </c>
      <c r="AG2" t="inlineStr"/>
      <c r="AH2" t="n">
        <v>0.267</v>
      </c>
      <c r="AI2" t="n">
        <v>0.267</v>
      </c>
      <c r="AJ2" t="inlineStr"/>
      <c r="AK2" t="inlineStr"/>
      <c r="AL2" t="n">
        <v>0</v>
      </c>
      <c r="AM2" t="n">
        <v>3</v>
      </c>
      <c r="AN2" t="inlineStr">
        <is>
          <t>HighExplosive</t>
        </is>
      </c>
      <c r="AO2" t="n">
        <v>8</v>
      </c>
      <c r="AP2" t="inlineStr"/>
      <c r="AQ2" t="inlineStr"/>
      <c r="AR2" t="inlineStr"/>
      <c r="AS2" t="inlineStr"/>
      <c r="AT2" t="inlineStr">
        <is>
          <t>the_ho_tro</t>
        </is>
      </c>
      <c r="AU2" t="n">
        <v>0</v>
      </c>
      <c r="AV2" t="n">
        <v>200</v>
      </c>
      <c r="AW2" t="n">
        <v>10</v>
      </c>
      <c r="AX2" t="inlineStr"/>
      <c r="AY2" t="n">
        <v>10</v>
      </c>
      <c r="AZ2" t="inlineStr"/>
      <c r="BA2" t="n">
        <v>0</v>
      </c>
      <c r="BB2" t="n">
        <v>10</v>
      </c>
      <c r="BC2" t="inlineStr"/>
      <c r="BD2" t="inlineStr">
        <is>
          <t>START (Point = đầu dải)</t>
        </is>
      </c>
      <c r="BE2" t="inlineStr"/>
      <c r="BF2" t="inlineStr"/>
      <c r="BG2" t="inlineStr">
        <is>
          <t>Không kích bất ngờ</t>
        </is>
      </c>
      <c r="BH2" t="inlineStr"/>
      <c r="BI2" t="n">
        <v>4</v>
      </c>
      <c r="BJ2" t="inlineStr"/>
      <c r="BK2" t="n">
        <v>0</v>
      </c>
      <c r="BL2" t="inlineStr"/>
      <c r="BM2" t="n">
        <v>29.167</v>
      </c>
      <c r="BN2" t="inlineStr"/>
      <c r="BO2" t="n">
        <v>29.167</v>
      </c>
      <c r="BP2" t="inlineStr"/>
      <c r="BQ2" t="n">
        <v>1.029</v>
      </c>
      <c r="BR2" t="n">
        <v>1.029</v>
      </c>
      <c r="BS2" t="inlineStr"/>
      <c r="BT2" t="n">
        <v>3</v>
      </c>
      <c r="BU2" t="inlineStr">
        <is>
          <t>Assets/MachineBrigade/Resources/Data/balance.json: supports[12]</t>
        </is>
      </c>
      <c r="B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>
        <is>
          <t>BAY</t>
        </is>
      </c>
      <c r="E3" t="inlineStr">
        <is>
          <t>STICK_RECT</t>
        </is>
      </c>
      <c r="F3" t="inlineStr">
        <is>
          <t>TRUE (siêu vũ khí)</t>
        </is>
      </c>
      <c r="G3" t="inlineStr">
        <is>
          <t>STICK</t>
        </is>
      </c>
      <c r="H3" t="inlineStr">
        <is>
          <t>STICK (n quả cách đều L/n dọc hướng boss; BossSystem.BigAttacks.cs:708-720)</t>
        </is>
      </c>
      <c r="I3" t="n">
        <v>0.2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n">
        <v>75</v>
      </c>
      <c r="W3" t="n">
        <v>80</v>
      </c>
      <c r="X3" t="n">
        <v>36.4</v>
      </c>
      <c r="Y3" t="inlineStr"/>
      <c r="Z3" t="inlineStr">
        <is>
          <t>command_airship</t>
        </is>
      </c>
      <c r="AA3" t="inlineStr">
        <is>
          <t>BOSS_STRIP</t>
        </is>
      </c>
      <c r="AB3" t="inlineStr">
        <is>
          <t>APPROACH (hướng boss)</t>
        </is>
      </c>
      <c r="AC3" t="inlineStr"/>
      <c r="AD3" t="n">
        <v>5</v>
      </c>
      <c r="AE3" t="inlineStr"/>
      <c r="AF3" t="n">
        <v>5</v>
      </c>
      <c r="AG3" t="inlineStr"/>
      <c r="AH3" t="inlineStr"/>
      <c r="AI3" t="n">
        <v>0.2</v>
      </c>
      <c r="AJ3" t="inlineStr"/>
      <c r="AK3" t="inlineStr"/>
      <c r="AL3" t="n">
        <v>0</v>
      </c>
      <c r="AM3" t="n">
        <v>4.2</v>
      </c>
      <c r="AN3" t="inlineStr">
        <is>
          <t>HighExplosive</t>
        </is>
      </c>
      <c r="AO3" t="n">
        <v>7</v>
      </c>
      <c r="AP3" t="inlineStr"/>
      <c r="AQ3" t="inlineStr"/>
      <c r="AR3" t="inlineStr"/>
      <c r="AS3" t="inlineStr"/>
      <c r="AT3" t="inlineStr">
        <is>
          <t>sieu_vu_khi_boss</t>
        </is>
      </c>
      <c r="AU3" t="n">
        <v>14</v>
      </c>
      <c r="AV3" t="n">
        <v>400</v>
      </c>
      <c r="AW3" t="n">
        <v>16</v>
      </c>
      <c r="AX3" t="inlineStr"/>
      <c r="AY3" t="n">
        <v>16</v>
      </c>
      <c r="AZ3" t="inlineStr"/>
      <c r="BA3" t="n">
        <v>0</v>
      </c>
      <c r="BB3" t="n">
        <v>16</v>
      </c>
      <c r="BC3" t="inlineStr"/>
      <c r="BD3" t="inlineStr">
        <is>
          <t>CENTER</t>
        </is>
      </c>
      <c r="BE3" t="inlineStr"/>
      <c r="BF3" t="inlineStr"/>
      <c r="BG3" t="inlineStr"/>
      <c r="BH3" t="inlineStr"/>
      <c r="BI3" t="n">
        <v>4</v>
      </c>
      <c r="BJ3" t="inlineStr"/>
      <c r="BK3" t="n">
        <v>50</v>
      </c>
      <c r="BL3" t="inlineStr"/>
      <c r="BM3" t="n">
        <v>25</v>
      </c>
      <c r="BN3" t="inlineStr"/>
      <c r="BO3" t="inlineStr"/>
      <c r="BP3" t="inlineStr"/>
      <c r="BQ3" t="n">
        <v>1.4</v>
      </c>
      <c r="BR3" t="n">
        <v>1.4</v>
      </c>
      <c r="BS3" t="inlineStr"/>
      <c r="BT3" t="n">
        <v>1</v>
      </c>
      <c r="BU3" t="inlineStr">
        <is>
          <t>Assets/MachineBrigade/Resources/Data/balance.json: bigAttacks[7]; Assets/MachineBrigade/Resources/Data/balance.json: bigAttacks[7].strikes[0]</t>
        </is>
      </c>
      <c r="B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>
        <is>
          <t>Huge</t>
        </is>
      </c>
      <c r="C4" t="inlineStr"/>
      <c r="D4" t="inlineStr">
        <is>
          <t>OVERFLY</t>
        </is>
      </c>
      <c r="E4" t="inlineStr">
        <is>
          <t>STICK_RECT</t>
        </is>
      </c>
      <c r="F4" t="inlineStr">
        <is>
          <t>TRUE (vòng / dải hỗ trợ)</t>
        </is>
      </c>
      <c r="G4" t="inlineStr">
        <is>
          <t>STICK</t>
        </is>
      </c>
      <c r="H4" t="inlineStr">
        <is>
          <t>STICK (rải đều Point → Point + hướng × length; StrikeSystem.cs:250-275)</t>
        </is>
      </c>
      <c r="I4" t="n">
        <v>0.4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n">
        <v>60</v>
      </c>
      <c r="W4" t="n">
        <v>60</v>
      </c>
      <c r="X4" t="n">
        <v>26</v>
      </c>
      <c r="Y4" t="inlineStr"/>
      <c r="Z4" t="inlineStr">
        <is>
          <t>(máy bay của thẻ, không là đơn vị)</t>
        </is>
      </c>
      <c r="AA4" t="inlineStr">
        <is>
          <t>SUPPORT_AIRSTRIKE</t>
        </is>
      </c>
      <c r="AB4" t="inlineStr">
        <is>
          <t>APPROACH (hướng người chơi kéo)</t>
        </is>
      </c>
      <c r="AC4" t="inlineStr"/>
      <c r="AD4" t="n">
        <v>20</v>
      </c>
      <c r="AE4" t="inlineStr"/>
      <c r="AF4" t="n">
        <v>20</v>
      </c>
      <c r="AG4" t="inlineStr"/>
      <c r="AH4" t="n">
        <v>0.4</v>
      </c>
      <c r="AI4" t="n">
        <v>0.4</v>
      </c>
      <c r="AJ4" t="inlineStr"/>
      <c r="AK4" t="inlineStr"/>
      <c r="AL4" t="n">
        <v>0</v>
      </c>
      <c r="AM4" t="n">
        <v>3</v>
      </c>
      <c r="AN4" t="inlineStr">
        <is>
          <t>HighExplosive</t>
        </is>
      </c>
      <c r="AO4" t="n">
        <v>10</v>
      </c>
      <c r="AP4" t="inlineStr"/>
      <c r="AQ4" t="inlineStr"/>
      <c r="AR4" t="inlineStr"/>
      <c r="AS4" t="inlineStr"/>
      <c r="AT4" t="inlineStr">
        <is>
          <t>the_ho_tro</t>
        </is>
      </c>
      <c r="AU4" t="n">
        <v>0</v>
      </c>
      <c r="AV4" t="n">
        <v>210</v>
      </c>
      <c r="AW4" t="n">
        <v>4</v>
      </c>
      <c r="AX4" t="inlineStr"/>
      <c r="AY4" t="n">
        <v>4</v>
      </c>
      <c r="AZ4" t="inlineStr"/>
      <c r="BA4" t="n">
        <v>0</v>
      </c>
      <c r="BB4" t="n">
        <v>4</v>
      </c>
      <c r="BC4" t="inlineStr"/>
      <c r="BD4" t="inlineStr">
        <is>
          <t>START (Point = đầu dải)</t>
        </is>
      </c>
      <c r="BE4" t="inlineStr"/>
      <c r="BF4" t="inlineStr"/>
      <c r="BG4" t="inlineStr">
        <is>
          <t>Không kích</t>
        </is>
      </c>
      <c r="BH4" t="inlineStr"/>
      <c r="BI4" t="n">
        <v>2</v>
      </c>
      <c r="BJ4" t="inlineStr"/>
      <c r="BK4" t="n">
        <v>90</v>
      </c>
      <c r="BL4" t="inlineStr"/>
      <c r="BM4" t="n">
        <v>50</v>
      </c>
      <c r="BN4" t="inlineStr"/>
      <c r="BO4" t="n">
        <v>50</v>
      </c>
      <c r="BP4" t="inlineStr"/>
      <c r="BQ4" t="n">
        <v>0.5</v>
      </c>
      <c r="BR4" t="n">
        <v>0.5</v>
      </c>
      <c r="BS4" t="inlineStr"/>
      <c r="BT4" t="n">
        <v>3</v>
      </c>
      <c r="BU4" t="inlineStr">
        <is>
          <t>Assets/MachineBrigade/Resources/Data/balance.json: supports[1]</t>
        </is>
      </c>
      <c r="B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>
        <is>
          <t>Huge</t>
        </is>
      </c>
      <c r="C5" t="b">
        <v>0</v>
      </c>
      <c r="D5" t="inlineStr">
        <is>
          <t>OVERFLY</t>
        </is>
      </c>
      <c r="E5" t="inlineStr">
        <is>
          <t>STICK_RECT</t>
        </is>
      </c>
      <c r="F5" t="inlineStr">
        <is>
          <t>TRUE</t>
        </is>
      </c>
      <c r="G5" t="inlineStr">
        <is>
          <t>STICK</t>
        </is>
      </c>
      <c r="H5" t="inlineStr">
        <is>
          <t>STICK (quả i = đầu dải + hướng × i × spacing + lệch seed; đầu dải = máy bay lúc thả + khoảng dẫn đầu)</t>
        </is>
      </c>
      <c r="I5" t="n">
        <v>0.625</v>
      </c>
      <c r="J5" t="inlineStr"/>
      <c r="K5" t="inlineStr"/>
      <c r="L5" t="inlineStr"/>
      <c r="M5" t="inlineStr"/>
      <c r="N5" t="inlineStr"/>
      <c r="O5" t="inlineStr"/>
      <c r="P5" t="inlineStr"/>
      <c r="Q5" t="b">
        <v>0</v>
      </c>
      <c r="R5" t="inlineStr">
        <is>
          <t>Bomb</t>
        </is>
      </c>
      <c r="S5" t="b">
        <v>1</v>
      </c>
      <c r="T5" t="b">
        <v>0</v>
      </c>
      <c r="U5" t="n">
        <v>500</v>
      </c>
      <c r="V5" t="n">
        <v>66</v>
      </c>
      <c r="W5" t="n">
        <v>26.4</v>
      </c>
      <c r="X5" t="n">
        <v>25</v>
      </c>
      <c r="Y5" t="n">
        <v>7</v>
      </c>
      <c r="Z5" t="inlineStr">
        <is>
          <t>heavy_bomber</t>
        </is>
      </c>
      <c r="AA5" t="inlineStr">
        <is>
          <t>FREE_FALL_STICK</t>
        </is>
      </c>
      <c r="AB5" t="inlineStr">
        <is>
          <t>AXIS</t>
        </is>
      </c>
      <c r="AC5" t="n">
        <v>10</v>
      </c>
      <c r="AD5" t="n">
        <v>11</v>
      </c>
      <c r="AE5" t="n">
        <v>3.52</v>
      </c>
      <c r="AF5" t="n">
        <v>4.4</v>
      </c>
      <c r="AG5" t="n">
        <v>25.5</v>
      </c>
      <c r="AH5" t="n">
        <v>0.2</v>
      </c>
      <c r="AI5" t="n">
        <v>0.2</v>
      </c>
      <c r="AJ5" t="n">
        <v>40</v>
      </c>
      <c r="AK5" t="n">
        <v>500</v>
      </c>
      <c r="AL5" t="n">
        <v>1.65</v>
      </c>
      <c r="AM5" t="n">
        <v>2.5</v>
      </c>
      <c r="AN5" t="inlineStr">
        <is>
          <t>HighExplosive</t>
        </is>
      </c>
      <c r="AO5" t="n">
        <v>10</v>
      </c>
      <c r="AP5" t="inlineStr">
        <is>
          <t>Ground</t>
        </is>
      </c>
      <c r="AQ5" t="inlineStr"/>
      <c r="AR5" t="n">
        <v>0</v>
      </c>
      <c r="AS5" t="b">
        <v>0</v>
      </c>
      <c r="AT5" t="inlineStr">
        <is>
          <t>vu_khi_don_vi</t>
        </is>
      </c>
      <c r="AU5" t="n">
        <v>0</v>
      </c>
      <c r="AV5" t="n">
        <v>420</v>
      </c>
      <c r="AW5" t="n">
        <v>7</v>
      </c>
      <c r="AX5" t="n">
        <v>3</v>
      </c>
      <c r="AY5" t="n">
        <v>7</v>
      </c>
      <c r="AZ5" t="n">
        <v>0</v>
      </c>
      <c r="BA5" t="n">
        <v>3</v>
      </c>
      <c r="BB5" t="n">
        <v>7</v>
      </c>
      <c r="BC5" t="n">
        <v>7</v>
      </c>
      <c r="BD5" t="inlineStr">
        <is>
          <t>CENTER</t>
        </is>
      </c>
      <c r="BE5" t="n">
        <v>28</v>
      </c>
      <c r="BF5" t="n">
        <v>0</v>
      </c>
      <c r="BG5" t="inlineStr">
        <is>
          <t>FAB-500 (500 kg)</t>
        </is>
      </c>
      <c r="BH5" t="n">
        <v>6.2</v>
      </c>
      <c r="BI5" t="n">
        <v>2.722</v>
      </c>
      <c r="BJ5" t="n">
        <v>1.5</v>
      </c>
      <c r="BK5" t="n">
        <v>11.2</v>
      </c>
      <c r="BL5" t="n">
        <v>1.449</v>
      </c>
      <c r="BM5" t="n">
        <v>17.6</v>
      </c>
      <c r="BN5" t="n">
        <v>35</v>
      </c>
      <c r="BO5" t="inlineStr">
        <is>
          <t>22</t>
        </is>
      </c>
      <c r="BP5" t="inlineStr"/>
      <c r="BQ5" t="n">
        <v>0.909</v>
      </c>
      <c r="BR5" t="n">
        <v>2.273</v>
      </c>
      <c r="BS5" t="inlineStr">
        <is>
          <t>bomber_payload</t>
        </is>
      </c>
      <c r="BT5" t="n">
        <v>3</v>
      </c>
      <c r="BU5" t="inlineStr">
        <is>
          <t>Assets/MachineBrigade/Resources/Data/balance.json: weapons[48]</t>
        </is>
      </c>
      <c r="B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>
        <is>
          <t>TRUE (siêu vũ khí)</t>
        </is>
      </c>
      <c r="G6" t="inlineStr"/>
      <c r="H6" t="inlineStr">
        <is>
          <t>POINT (một quả lớn bay như tên lửa)</t>
        </is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>
        <is>
          <t>drone_mothership</t>
        </is>
      </c>
      <c r="AA6" t="inlineStr">
        <is>
          <t>BOSS_MISSILE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>
        <is>
          <t>HighExplosive</t>
        </is>
      </c>
      <c r="AO6" t="n">
        <v>16</v>
      </c>
      <c r="AP6" t="inlineStr"/>
      <c r="AQ6" t="inlineStr"/>
      <c r="AR6" t="inlineStr"/>
      <c r="AS6" t="inlineStr"/>
      <c r="AT6" t="inlineStr">
        <is>
          <t>sieu_vu_khi_boss</t>
        </is>
      </c>
      <c r="AU6" t="n">
        <v>20</v>
      </c>
      <c r="AV6" t="n">
        <v>1600</v>
      </c>
      <c r="AW6" t="inlineStr"/>
      <c r="AX6" t="inlineStr"/>
      <c r="AY6" t="n">
        <v>1</v>
      </c>
      <c r="AZ6" t="inlineStr"/>
      <c r="BA6" t="inlineStr"/>
      <c r="BB6" t="n">
        <v>1</v>
      </c>
      <c r="BC6" t="inlineStr"/>
      <c r="BD6" t="inlineStr"/>
      <c r="BE6" t="inlineStr"/>
      <c r="BF6" t="inlineStr"/>
      <c r="BG6" t="inlineStr">
        <is>
          <t>bomber_payload</t>
        </is>
      </c>
      <c r="BH6" t="inlineStr"/>
      <c r="BI6" t="n">
        <v>3.5</v>
      </c>
      <c r="BJ6" t="inlineStr"/>
      <c r="BK6" t="n">
        <v>45</v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n">
        <v>3</v>
      </c>
      <c r="BU6" t="inlineStr">
        <is>
          <t>Assets/MachineBrigade/Resources/Data/balance.json: bigAttacks[6]; Assets/MachineBrigade/Resources/Data/balance.json: bigAttacks[6].strikes[0]</t>
        </is>
      </c>
      <c r="BV6" t="inlineStr">
        <is>
          <t>{"shape":"missile","parts":["bomb_bay"],"count":1,"damage":1600,"type":"HighExplosive","pen":3,"structure":2,"radius":16,"weapon":"bomber_payload","hp":250,"flight":3,"targets":1}</t>
        </is>
      </c>
    </row>
    <row r="7">
      <c r="A7" t="inlineStr">
        <is>
          <t>cluster_strike</t>
        </is>
      </c>
      <c r="B7" t="inlineStr">
        <is>
          <t>Large</t>
        </is>
      </c>
      <c r="C7" t="inlineStr"/>
      <c r="D7" t="inlineStr">
        <is>
          <t>OVERFLY</t>
        </is>
      </c>
      <c r="E7" t="inlineStr">
        <is>
          <t>STICK_RECT</t>
        </is>
      </c>
      <c r="F7" t="inlineStr">
        <is>
          <t>TRUE (vòng / dải hỗ trợ)</t>
        </is>
      </c>
      <c r="G7" t="inlineStr">
        <is>
          <t>STICK</t>
        </is>
      </c>
      <c r="H7" t="inlineStr">
        <is>
          <t>STICK (rải đều Point → Point + hướng × length; StrikeSystem.cs:250-275)</t>
        </is>
      </c>
      <c r="I7" t="n">
        <v>0.076</v>
      </c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n">
        <v>60</v>
      </c>
      <c r="W7" t="n">
        <v>60</v>
      </c>
      <c r="X7" t="n">
        <v>21</v>
      </c>
      <c r="Y7" t="inlineStr"/>
      <c r="Z7" t="inlineStr">
        <is>
          <t>(máy bay của thẻ, không là đơn vị)</t>
        </is>
      </c>
      <c r="AA7" t="inlineStr">
        <is>
          <t>SUPPORT_AIRSTRIKE</t>
        </is>
      </c>
      <c r="AB7" t="inlineStr">
        <is>
          <t>APPROACH (hướng người chơi kéo)</t>
        </is>
      </c>
      <c r="AC7" t="inlineStr"/>
      <c r="AD7" t="n">
        <v>2.069</v>
      </c>
      <c r="AE7" t="inlineStr"/>
      <c r="AF7" t="n">
        <v>2.069</v>
      </c>
      <c r="AG7" t="inlineStr"/>
      <c r="AH7" t="n">
        <v>0.076</v>
      </c>
      <c r="AI7" t="n">
        <v>0.076</v>
      </c>
      <c r="AJ7" t="inlineStr"/>
      <c r="AK7" t="inlineStr"/>
      <c r="AL7" t="n">
        <v>0</v>
      </c>
      <c r="AM7" t="n">
        <v>5</v>
      </c>
      <c r="AN7" t="inlineStr">
        <is>
          <t>HighExplosive</t>
        </is>
      </c>
      <c r="AO7" t="n">
        <v>5.5</v>
      </c>
      <c r="AP7" t="inlineStr"/>
      <c r="AQ7" t="inlineStr"/>
      <c r="AR7" t="inlineStr"/>
      <c r="AS7" t="inlineStr"/>
      <c r="AT7" t="inlineStr">
        <is>
          <t>the_ho_tro</t>
        </is>
      </c>
      <c r="AU7" t="n">
        <v>0</v>
      </c>
      <c r="AV7" t="n">
        <v>90</v>
      </c>
      <c r="AW7" t="n">
        <v>30</v>
      </c>
      <c r="AX7" t="inlineStr"/>
      <c r="AY7" t="n">
        <v>30</v>
      </c>
      <c r="AZ7" t="inlineStr"/>
      <c r="BA7" t="n">
        <v>0</v>
      </c>
      <c r="BB7" t="n">
        <v>30</v>
      </c>
      <c r="BC7" t="inlineStr"/>
      <c r="BD7" t="inlineStr">
        <is>
          <t>START (Point = đầu dải)</t>
        </is>
      </c>
      <c r="BE7" t="inlineStr"/>
      <c r="BF7" t="inlineStr"/>
      <c r="BG7" t="inlineStr">
        <is>
          <t>Bom chùm</t>
        </is>
      </c>
      <c r="BH7" t="inlineStr"/>
      <c r="BI7" t="n">
        <v>2.5</v>
      </c>
      <c r="BJ7" t="inlineStr"/>
      <c r="BK7" t="n">
        <v>15</v>
      </c>
      <c r="BL7" t="inlineStr"/>
      <c r="BM7" t="n">
        <v>27.273</v>
      </c>
      <c r="BN7" t="inlineStr"/>
      <c r="BO7" t="n">
        <v>27.273</v>
      </c>
      <c r="BP7" t="inlineStr"/>
      <c r="BQ7" t="n">
        <v>2.658</v>
      </c>
      <c r="BR7" t="n">
        <v>2.658</v>
      </c>
      <c r="BS7" t="inlineStr"/>
      <c r="BT7" t="n">
        <v>2</v>
      </c>
      <c r="BU7" t="inlineStr">
        <is>
          <t>Assets/MachineBrigade/Resources/Data/balance.json: supports[17]</t>
        </is>
      </c>
      <c r="BV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>
        <is>
          <t>Huge</t>
        </is>
      </c>
      <c r="C8" t="inlineStr"/>
      <c r="D8" t="inlineStr"/>
      <c r="E8" t="inlineStr"/>
      <c r="F8" t="inlineStr">
        <is>
          <t>TRUE (vòng / dải hỗ trợ)</t>
        </is>
      </c>
      <c r="G8" t="inlineStr"/>
      <c r="H8" t="inlineStr">
        <is>
          <t>POINT (bom lượn tầm xa, mỗi quả lệch ít; StrikeSystem.cs:278-300)</t>
        </is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>
        <is>
          <t>(máy bay của thẻ, không là đơn vị)</t>
        </is>
      </c>
      <c r="AA8" t="inlineStr">
        <is>
          <t>SUPPORT_CRUISEMISSILE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>
        <is>
          <t>HighExplosive</t>
        </is>
      </c>
      <c r="AO8" t="n">
        <v>10</v>
      </c>
      <c r="AP8" t="inlineStr"/>
      <c r="AQ8" t="inlineStr"/>
      <c r="AR8" t="inlineStr"/>
      <c r="AS8" t="inlineStr"/>
      <c r="AT8" t="inlineStr">
        <is>
          <t>the_ho_tro</t>
        </is>
      </c>
      <c r="AU8" t="n">
        <v>0</v>
      </c>
      <c r="AV8" t="n">
        <v>420</v>
      </c>
      <c r="AW8" t="inlineStr"/>
      <c r="AX8" t="inlineStr"/>
      <c r="AY8" t="n">
        <v>2</v>
      </c>
      <c r="AZ8" t="inlineStr"/>
      <c r="BA8" t="inlineStr"/>
      <c r="BB8" t="n">
        <v>2</v>
      </c>
      <c r="BC8" t="inlineStr"/>
      <c r="BD8" t="inlineStr"/>
      <c r="BE8" t="inlineStr"/>
      <c r="BF8" t="inlineStr"/>
      <c r="BG8" t="inlineStr">
        <is>
          <t>Đòn bom lượn</t>
        </is>
      </c>
      <c r="BH8" t="inlineStr"/>
      <c r="BI8" t="n">
        <v>3</v>
      </c>
      <c r="BJ8" t="inlineStr"/>
      <c r="BK8" t="n">
        <v>90</v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n">
        <v>3</v>
      </c>
      <c r="BU8" t="inlineStr">
        <is>
          <t>Assets/MachineBrigade/Resources/Data/balance.json: supports[24]</t>
        </is>
      </c>
      <c r="BV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>
        <is>
          <t>Large</t>
        </is>
      </c>
      <c r="C9" t="b">
        <v>0</v>
      </c>
      <c r="D9" t="inlineStr">
        <is>
          <t>OVERFLY</t>
        </is>
      </c>
      <c r="E9" t="inlineStr">
        <is>
          <t>NONE</t>
        </is>
      </c>
      <c r="F9" t="inlineStr">
        <is>
          <t>FALSE</t>
        </is>
      </c>
      <c r="G9" t="inlineStr">
        <is>
          <t>POINT</t>
        </is>
      </c>
      <c r="H9" t="inlineStr">
        <is>
          <t>POINT (mọi quả nhắm vào mục tiêu)</t>
        </is>
      </c>
      <c r="I9" t="n">
        <v>0.1</v>
      </c>
      <c r="J9" t="inlineStr"/>
      <c r="K9" t="inlineStr"/>
      <c r="L9" t="inlineStr"/>
      <c r="M9" t="inlineStr"/>
      <c r="N9" t="inlineStr"/>
      <c r="O9" t="inlineStr"/>
      <c r="P9" t="inlineStr"/>
      <c r="Q9" t="b">
        <v>0</v>
      </c>
      <c r="R9" t="inlineStr">
        <is>
          <t>Bomb</t>
        </is>
      </c>
      <c r="S9" t="b">
        <v>1</v>
      </c>
      <c r="T9" t="b">
        <v>0</v>
      </c>
      <c r="U9" t="n">
        <v>110</v>
      </c>
      <c r="V9" t="n">
        <v>0</v>
      </c>
      <c r="W9" t="inlineStr"/>
      <c r="X9" t="n">
        <v>8</v>
      </c>
      <c r="Y9" t="n">
        <v>1</v>
      </c>
      <c r="Z9" t="inlineStr">
        <is>
          <t>stealth_fighter;strike_drone</t>
        </is>
      </c>
      <c r="AA9" t="inlineStr">
        <is>
          <t>GUIDED</t>
        </is>
      </c>
      <c r="AB9" t="inlineStr">
        <is>
          <t>APPROACH</t>
        </is>
      </c>
      <c r="AC9" t="n">
        <v>8</v>
      </c>
      <c r="AD9" t="n">
        <v>0</v>
      </c>
      <c r="AE9" t="inlineStr"/>
      <c r="AF9" t="inlineStr"/>
      <c r="AG9" t="n">
        <v>0</v>
      </c>
      <c r="AH9" t="n">
        <v>0.1</v>
      </c>
      <c r="AI9" t="inlineStr"/>
      <c r="AJ9" t="n">
        <v>0</v>
      </c>
      <c r="AK9" t="n">
        <v>110</v>
      </c>
      <c r="AL9" t="n">
        <v>0</v>
      </c>
      <c r="AM9" t="n">
        <v>0</v>
      </c>
      <c r="AN9" t="inlineStr">
        <is>
          <t>HighExplosive</t>
        </is>
      </c>
      <c r="AO9" t="n">
        <v>4</v>
      </c>
      <c r="AP9" t="inlineStr">
        <is>
          <t>Ground</t>
        </is>
      </c>
      <c r="AQ9" t="inlineStr"/>
      <c r="AR9" t="n">
        <v>0</v>
      </c>
      <c r="AS9" t="b">
        <v>0</v>
      </c>
      <c r="AT9" t="inlineStr">
        <is>
          <t>vu_khi_don_vi</t>
        </is>
      </c>
      <c r="AU9" t="n">
        <v>0</v>
      </c>
      <c r="AV9" t="n">
        <v>250</v>
      </c>
      <c r="AW9" t="n">
        <v>1</v>
      </c>
      <c r="AX9" t="inlineStr"/>
      <c r="AY9" t="n">
        <v>1</v>
      </c>
      <c r="AZ9" t="n">
        <v>0</v>
      </c>
      <c r="BA9" t="n">
        <v>0</v>
      </c>
      <c r="BB9" t="n">
        <v>1</v>
      </c>
      <c r="BC9" t="n">
        <v>2</v>
      </c>
      <c r="BD9" t="inlineStr">
        <is>
          <t>CENTER</t>
        </is>
      </c>
      <c r="BE9" t="n">
        <v>30</v>
      </c>
      <c r="BF9" t="n">
        <v>0</v>
      </c>
      <c r="BG9" t="inlineStr">
        <is>
          <t>GBU-39 SDB (110 kg)</t>
        </is>
      </c>
      <c r="BH9" t="n">
        <v>0</v>
      </c>
      <c r="BI9" t="n">
        <v>0</v>
      </c>
      <c r="BJ9" t="n">
        <v>0.5</v>
      </c>
      <c r="BK9" t="n">
        <v>6.651</v>
      </c>
      <c r="BL9" t="n">
        <v>0</v>
      </c>
      <c r="BM9" t="n">
        <v>0</v>
      </c>
      <c r="BN9" t="n">
        <v>40</v>
      </c>
      <c r="BO9" t="inlineStr">
        <is>
          <t>44;13.9</t>
        </is>
      </c>
      <c r="BP9" t="inlineStr"/>
      <c r="BQ9" t="n">
        <v>0</v>
      </c>
      <c r="BR9" t="inlineStr"/>
      <c r="BS9" t="inlineStr">
        <is>
          <t>guided_bomb</t>
        </is>
      </c>
      <c r="BT9" t="n">
        <v>3</v>
      </c>
      <c r="BU9" t="inlineStr">
        <is>
          <t>Assets/MachineBrigade/Resources/Data/balance.json: weapons[236]</t>
        </is>
      </c>
      <c r="BV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250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>
        <is>
          <t>Huge</t>
        </is>
      </c>
      <c r="C10" t="b">
        <v>0</v>
      </c>
      <c r="D10" t="inlineStr">
        <is>
          <t>OVERFLY</t>
        </is>
      </c>
      <c r="E10" t="inlineStr">
        <is>
          <t>NONE</t>
        </is>
      </c>
      <c r="F10" t="inlineStr">
        <is>
          <t>FALSE</t>
        </is>
      </c>
      <c r="G10" t="inlineStr">
        <is>
          <t>STICK</t>
        </is>
      </c>
      <c r="H10" t="inlineStr">
        <is>
          <t>STICK (quả i = đầu dải + hướng × i × spacing + lệch seed; đầu dải = máy bay lúc thả + khoảng dẫn đầu)</t>
        </is>
      </c>
      <c r="I10" t="n">
        <v>0.3438</v>
      </c>
      <c r="J10" t="inlineStr"/>
      <c r="K10" t="inlineStr"/>
      <c r="L10" t="inlineStr"/>
      <c r="M10" t="inlineStr"/>
      <c r="N10" t="inlineStr"/>
      <c r="O10" t="inlineStr"/>
      <c r="P10" t="inlineStr"/>
      <c r="Q10" t="b">
        <v>0</v>
      </c>
      <c r="R10" t="inlineStr">
        <is>
          <t>Bomb</t>
        </is>
      </c>
      <c r="S10" t="b">
        <v>1</v>
      </c>
      <c r="T10" t="b">
        <v>0</v>
      </c>
      <c r="U10" t="n">
        <v>250</v>
      </c>
      <c r="V10" t="n">
        <v>8.800000000000001</v>
      </c>
      <c r="W10" t="n">
        <v>8</v>
      </c>
      <c r="X10" t="n">
        <v>20</v>
      </c>
      <c r="Y10" t="n">
        <v>3</v>
      </c>
      <c r="Z10" t="inlineStr">
        <is>
          <t>attack_jet;elite_attack_jet;stealth_naval_strike</t>
        </is>
      </c>
      <c r="AA10" t="inlineStr">
        <is>
          <t>FREE_FALL_STICK</t>
        </is>
      </c>
      <c r="AB10" t="inlineStr">
        <is>
          <t>APPROACH</t>
        </is>
      </c>
      <c r="AC10" t="n">
        <v>8</v>
      </c>
      <c r="AD10" t="n">
        <v>8.800000000000001</v>
      </c>
      <c r="AE10" t="n">
        <v>6.4</v>
      </c>
      <c r="AF10" t="n">
        <v>8</v>
      </c>
      <c r="AG10" t="n">
        <v>31.4</v>
      </c>
      <c r="AH10" t="n">
        <v>0.25</v>
      </c>
      <c r="AI10" t="n">
        <v>0.25</v>
      </c>
      <c r="AJ10" t="n">
        <v>40</v>
      </c>
      <c r="AK10" t="n">
        <v>250</v>
      </c>
      <c r="AL10" t="n">
        <v>1.32</v>
      </c>
      <c r="AM10" t="n">
        <v>2</v>
      </c>
      <c r="AN10" t="inlineStr">
        <is>
          <t>HighExplosive</t>
        </is>
      </c>
      <c r="AO10" t="n">
        <v>8</v>
      </c>
      <c r="AP10" t="inlineStr">
        <is>
          <t>Ground</t>
        </is>
      </c>
      <c r="AQ10" t="inlineStr"/>
      <c r="AR10" t="n">
        <v>0</v>
      </c>
      <c r="AS10" t="b">
        <v>0</v>
      </c>
      <c r="AT10" t="inlineStr">
        <is>
          <t>vu_khi_don_vi</t>
        </is>
      </c>
      <c r="AU10" t="n">
        <v>0</v>
      </c>
      <c r="AV10" t="n">
        <v>310</v>
      </c>
      <c r="AW10" t="n">
        <v>2</v>
      </c>
      <c r="AX10" t="n">
        <v>2</v>
      </c>
      <c r="AY10" t="n">
        <v>2</v>
      </c>
      <c r="AZ10" t="n">
        <v>0</v>
      </c>
      <c r="BA10" t="n">
        <v>3</v>
      </c>
      <c r="BB10" t="n">
        <v>2</v>
      </c>
      <c r="BC10" t="n">
        <v>3</v>
      </c>
      <c r="BD10" t="inlineStr">
        <is>
          <t>CENTER</t>
        </is>
      </c>
      <c r="BE10" t="n">
        <v>26</v>
      </c>
      <c r="BF10" t="n">
        <v>0</v>
      </c>
      <c r="BG10" t="inlineStr">
        <is>
          <t>FAB-250 (250 kg)</t>
        </is>
      </c>
      <c r="BH10" t="n">
        <v>2.57</v>
      </c>
      <c r="BI10" t="n">
        <v>0</v>
      </c>
      <c r="BJ10" t="n">
        <v>1</v>
      </c>
      <c r="BK10" t="n">
        <v>10.05</v>
      </c>
      <c r="BL10" t="n">
        <v>1.225</v>
      </c>
      <c r="BM10" t="n">
        <v>25.6</v>
      </c>
      <c r="BN10" t="n">
        <v>35</v>
      </c>
      <c r="BO10" t="inlineStr">
        <is>
          <t>32;32;30</t>
        </is>
      </c>
      <c r="BP10" t="inlineStr"/>
      <c r="BQ10" t="n">
        <v>0.909</v>
      </c>
      <c r="BR10" t="n">
        <v>1</v>
      </c>
      <c r="BS10" t="inlineStr">
        <is>
          <t>jet_bombs</t>
        </is>
      </c>
      <c r="BT10" t="n">
        <v>2</v>
      </c>
      <c r="BU10" t="inlineStr">
        <is>
          <t>Assets/MachineBrigade/Resources/Data/balance.json: weapons[40]</t>
        </is>
      </c>
      <c r="BV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>
        <is>
          <t>BAY</t>
        </is>
      </c>
      <c r="E11" t="inlineStr">
        <is>
          <t>STICK_RECT</t>
        </is>
      </c>
      <c r="F11" t="inlineStr">
        <is>
          <t>TRUE (siêu vũ khí)</t>
        </is>
      </c>
      <c r="G11" t="inlineStr">
        <is>
          <t>STICK</t>
        </is>
      </c>
      <c r="H11" t="inlineStr">
        <is>
          <t>STICK (n quả cách đều L/n dọc hướng boss; BossSystem.BigAttacks.cs:708-720)</t>
        </is>
      </c>
      <c r="I11" t="n">
        <v>0.273</v>
      </c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n">
        <v>82.5</v>
      </c>
      <c r="W11" t="n">
        <v>90</v>
      </c>
      <c r="X11" t="n">
        <v>45.8</v>
      </c>
      <c r="Y11" t="inlineStr"/>
      <c r="Z11" t="inlineStr">
        <is>
          <t>kraken</t>
        </is>
      </c>
      <c r="AA11" t="inlineStr">
        <is>
          <t>BOSS_STRIP</t>
        </is>
      </c>
      <c r="AB11" t="inlineStr">
        <is>
          <t>APPROACH (hướng boss)</t>
        </is>
      </c>
      <c r="AC11" t="inlineStr"/>
      <c r="AD11" t="n">
        <v>7.5</v>
      </c>
      <c r="AE11" t="inlineStr"/>
      <c r="AF11" t="n">
        <v>7.5</v>
      </c>
      <c r="AG11" t="inlineStr"/>
      <c r="AH11" t="inlineStr"/>
      <c r="AI11" t="n">
        <v>0.273</v>
      </c>
      <c r="AJ11" t="inlineStr"/>
      <c r="AK11" t="inlineStr"/>
      <c r="AL11" t="n">
        <v>0</v>
      </c>
      <c r="AM11" t="n">
        <v>4.9</v>
      </c>
      <c r="AN11" t="inlineStr">
        <is>
          <t>HighExplosive</t>
        </is>
      </c>
      <c r="AO11" t="n">
        <v>9</v>
      </c>
      <c r="AP11" t="inlineStr"/>
      <c r="AQ11" t="inlineStr"/>
      <c r="AR11" t="inlineStr"/>
      <c r="AS11" t="inlineStr"/>
      <c r="AT11" t="inlineStr">
        <is>
          <t>sieu_vu_khi_boss</t>
        </is>
      </c>
      <c r="AU11" t="n">
        <v>18</v>
      </c>
      <c r="AV11" t="n">
        <v>400</v>
      </c>
      <c r="AW11" t="n">
        <v>12</v>
      </c>
      <c r="AX11" t="inlineStr"/>
      <c r="AY11" t="n">
        <v>12</v>
      </c>
      <c r="AZ11" t="inlineStr"/>
      <c r="BA11" t="n">
        <v>0</v>
      </c>
      <c r="BB11" t="n">
        <v>12</v>
      </c>
      <c r="BC11" t="inlineStr"/>
      <c r="BD11" t="inlineStr">
        <is>
          <t>CENTER</t>
        </is>
      </c>
      <c r="BE11" t="inlineStr"/>
      <c r="BF11" t="inlineStr"/>
      <c r="BG11" t="inlineStr"/>
      <c r="BH11" t="inlineStr"/>
      <c r="BI11" t="n">
        <v>4</v>
      </c>
      <c r="BJ11" t="inlineStr"/>
      <c r="BK11" t="n">
        <v>50</v>
      </c>
      <c r="BL11" t="inlineStr"/>
      <c r="BM11" t="n">
        <v>27.5</v>
      </c>
      <c r="BN11" t="inlineStr"/>
      <c r="BO11" t="inlineStr"/>
      <c r="BP11" t="inlineStr"/>
      <c r="BQ11" t="n">
        <v>1.2</v>
      </c>
      <c r="BR11" t="n">
        <v>1.2</v>
      </c>
      <c r="BS11" t="inlineStr"/>
      <c r="BT11" t="n">
        <v>2</v>
      </c>
      <c r="BU11" t="inlineStr">
        <is>
          <t>Assets/MachineBrigade/Resources/Data/balance.json: bigAttacks[12]; Assets/MachineBrigade/Resources/Data/balance.json: bigAttacks[12].strikes[0]</t>
        </is>
      </c>
      <c r="BV11" t="inlineStr">
        <is>
          <t>{"shape":"strip","parts":["flight_deck"],"count":12,"damage":400,"type":"HighExplosive","pen":2,"radius":9,"length":90,"width":14,"axis":"heading","duration":3}</t>
        </is>
      </c>
    </row>
    <row r="12">
      <c r="A12" t="inlineStr">
        <is>
          <t>napalm_strike</t>
        </is>
      </c>
      <c r="B12" t="inlineStr">
        <is>
          <t>Huge</t>
        </is>
      </c>
      <c r="C12" t="inlineStr"/>
      <c r="D12" t="inlineStr">
        <is>
          <t>OVERFLY</t>
        </is>
      </c>
      <c r="E12" t="inlineStr">
        <is>
          <t>STICK_RECT</t>
        </is>
      </c>
      <c r="F12" t="inlineStr">
        <is>
          <t>TRUE (vòng / dải hỗ trợ)</t>
        </is>
      </c>
      <c r="G12" t="inlineStr">
        <is>
          <t>STICK</t>
        </is>
      </c>
      <c r="H12" t="inlineStr">
        <is>
          <t>STICK (rải đều Point → Point + hướng × length; StrikeSystem.cs:250-275)</t>
        </is>
      </c>
      <c r="I12" t="n">
        <v>0.2</v>
      </c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n">
        <v>55</v>
      </c>
      <c r="W12" t="n">
        <v>55</v>
      </c>
      <c r="X12" t="n">
        <v>23</v>
      </c>
      <c r="Y12" t="inlineStr"/>
      <c r="Z12" t="inlineStr">
        <is>
          <t>(máy bay của thẻ, không là đơn vị)</t>
        </is>
      </c>
      <c r="AA12" t="inlineStr">
        <is>
          <t>SUPPORT_AIRSTRIKE</t>
        </is>
      </c>
      <c r="AB12" t="inlineStr">
        <is>
          <t>APPROACH (hướng người chơi kéo)</t>
        </is>
      </c>
      <c r="AC12" t="inlineStr"/>
      <c r="AD12" t="n">
        <v>7.857</v>
      </c>
      <c r="AE12" t="inlineStr"/>
      <c r="AF12" t="n">
        <v>7.857</v>
      </c>
      <c r="AG12" t="inlineStr"/>
      <c r="AH12" t="n">
        <v>0.2</v>
      </c>
      <c r="AI12" t="n">
        <v>0.2</v>
      </c>
      <c r="AJ12" t="inlineStr"/>
      <c r="AK12" t="inlineStr"/>
      <c r="AL12" t="n">
        <v>0</v>
      </c>
      <c r="AM12" t="n">
        <v>2.5</v>
      </c>
      <c r="AN12" t="inlineStr">
        <is>
          <t>Fire</t>
        </is>
      </c>
      <c r="AO12" t="n">
        <v>9</v>
      </c>
      <c r="AP12" t="inlineStr"/>
      <c r="AQ12" t="inlineStr"/>
      <c r="AR12" t="inlineStr"/>
      <c r="AS12" t="inlineStr"/>
      <c r="AT12" t="inlineStr">
        <is>
          <t>the_ho_tro</t>
        </is>
      </c>
      <c r="AU12" t="n">
        <v>0</v>
      </c>
      <c r="AV12" t="n">
        <v>150</v>
      </c>
      <c r="AW12" t="n">
        <v>8</v>
      </c>
      <c r="AX12" t="inlineStr"/>
      <c r="AY12" t="n">
        <v>8</v>
      </c>
      <c r="AZ12" t="inlineStr"/>
      <c r="BA12" t="n">
        <v>0</v>
      </c>
      <c r="BB12" t="n">
        <v>8</v>
      </c>
      <c r="BC12" t="inlineStr"/>
      <c r="BD12" t="inlineStr">
        <is>
          <t>START (Point = đầu dải)</t>
        </is>
      </c>
      <c r="BE12" t="inlineStr"/>
      <c r="BF12" t="inlineStr"/>
      <c r="BG12" t="inlineStr">
        <is>
          <t>Bom napalm</t>
        </is>
      </c>
      <c r="BH12" t="inlineStr"/>
      <c r="BI12" t="n">
        <v>2</v>
      </c>
      <c r="BJ12" t="inlineStr"/>
      <c r="BK12" t="n">
        <v>90</v>
      </c>
      <c r="BL12" t="inlineStr"/>
      <c r="BM12" t="n">
        <v>39.286</v>
      </c>
      <c r="BN12" t="inlineStr"/>
      <c r="BO12" t="n">
        <v>39.286</v>
      </c>
      <c r="BP12" t="inlineStr"/>
      <c r="BQ12" t="n">
        <v>1.145</v>
      </c>
      <c r="BR12" t="n">
        <v>1.145</v>
      </c>
      <c r="BS12" t="inlineStr"/>
      <c r="BT12" t="n">
        <v>1</v>
      </c>
      <c r="BU12" t="inlineStr">
        <is>
          <t>Assets/MachineBrigade/Resources/Data/balance.json: supports[4]</t>
        </is>
      </c>
      <c r="BV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>
        <is>
          <t>Huge</t>
        </is>
      </c>
      <c r="C13" t="b">
        <v>0</v>
      </c>
      <c r="D13" t="inlineStr">
        <is>
          <t>BAY</t>
        </is>
      </c>
      <c r="E13" t="inlineStr">
        <is>
          <t>STICK_RECT</t>
        </is>
      </c>
      <c r="F13" t="inlineStr">
        <is>
          <t>TRUE</t>
        </is>
      </c>
      <c r="G13" t="inlineStr">
        <is>
          <t>STICK</t>
        </is>
      </c>
      <c r="H13" t="inlineStr">
        <is>
          <t>STICK (khoang bom boss, dải đặt quanh điểm nhắm theo trục cụm mục tiêu; mỗi quả một điểm riêng)</t>
        </is>
      </c>
      <c r="I13" t="n">
        <v>0.3</v>
      </c>
      <c r="J13" t="inlineStr"/>
      <c r="K13" t="inlineStr"/>
      <c r="L13" t="inlineStr"/>
      <c r="M13" t="inlineStr"/>
      <c r="N13" t="inlineStr"/>
      <c r="O13" t="n">
        <v>0</v>
      </c>
      <c r="P13" t="inlineStr"/>
      <c r="Q13" t="b">
        <v>0</v>
      </c>
      <c r="R13" t="inlineStr">
        <is>
          <t>Bomb</t>
        </is>
      </c>
      <c r="S13" t="b">
        <v>1</v>
      </c>
      <c r="T13" t="b">
        <v>0</v>
      </c>
      <c r="U13" t="n">
        <v>400</v>
      </c>
      <c r="V13" t="n">
        <v>77</v>
      </c>
      <c r="W13" t="inlineStr"/>
      <c r="X13" t="n">
        <v>45</v>
      </c>
      <c r="Y13" t="n">
        <v>3</v>
      </c>
      <c r="Z13" t="inlineStr">
        <is>
          <t>argus;command_airship</t>
        </is>
      </c>
      <c r="AA13" t="inlineStr">
        <is>
          <t>BAY_STICK</t>
        </is>
      </c>
      <c r="AB13" t="inlineStr">
        <is>
          <t>AXIS</t>
        </is>
      </c>
      <c r="AC13" t="n">
        <v>10</v>
      </c>
      <c r="AD13" t="n">
        <v>11</v>
      </c>
      <c r="AE13" t="inlineStr"/>
      <c r="AF13" t="inlineStr"/>
      <c r="AG13" t="n">
        <v>0</v>
      </c>
      <c r="AH13" t="n">
        <v>0.3</v>
      </c>
      <c r="AI13" t="n">
        <v>0.3</v>
      </c>
      <c r="AJ13" t="n">
        <v>0</v>
      </c>
      <c r="AK13" t="n">
        <v>400</v>
      </c>
      <c r="AL13" t="n">
        <v>1.65</v>
      </c>
      <c r="AM13" t="n">
        <v>2.5</v>
      </c>
      <c r="AN13" t="inlineStr">
        <is>
          <t>HighExplosive</t>
        </is>
      </c>
      <c r="AO13" t="n">
        <v>10</v>
      </c>
      <c r="AP13" t="inlineStr">
        <is>
          <t>Ground</t>
        </is>
      </c>
      <c r="AQ13" t="inlineStr"/>
      <c r="AR13" t="n">
        <v>0</v>
      </c>
      <c r="AS13" t="b">
        <v>0</v>
      </c>
      <c r="AT13" t="inlineStr">
        <is>
          <t>vu_khi_don_vi</t>
        </is>
      </c>
      <c r="AU13" t="n">
        <v>20</v>
      </c>
      <c r="AV13" t="n">
        <v>700</v>
      </c>
      <c r="AW13" t="n">
        <v>8</v>
      </c>
      <c r="AX13" t="n">
        <v>3</v>
      </c>
      <c r="AY13" t="n">
        <v>8</v>
      </c>
      <c r="AZ13" t="n">
        <v>0</v>
      </c>
      <c r="BA13" t="n">
        <v>3</v>
      </c>
      <c r="BB13" t="n">
        <v>8</v>
      </c>
      <c r="BC13" t="n">
        <v>0</v>
      </c>
      <c r="BD13" t="inlineStr">
        <is>
          <t>CENTER</t>
        </is>
      </c>
      <c r="BE13" t="n">
        <v>45</v>
      </c>
      <c r="BF13" t="n">
        <v>0</v>
      </c>
      <c r="BG13" t="inlineStr">
        <is>
          <t>bomb-bay stick 400 kg</t>
        </is>
      </c>
      <c r="BH13" t="n">
        <v>0</v>
      </c>
      <c r="BI13" t="n">
        <v>2.722</v>
      </c>
      <c r="BJ13" t="n">
        <v>1.5</v>
      </c>
      <c r="BK13" t="n">
        <v>33.34</v>
      </c>
      <c r="BL13" t="n">
        <v>1.225</v>
      </c>
      <c r="BM13" t="n">
        <v>36.667</v>
      </c>
      <c r="BN13" t="n">
        <v>60</v>
      </c>
      <c r="BO13" t="inlineStr">
        <is>
          <t>4.5;4.5</t>
        </is>
      </c>
      <c r="BP13" t="inlineStr"/>
      <c r="BQ13" t="n">
        <v>0.909</v>
      </c>
      <c r="BR13" t="inlineStr"/>
      <c r="BS13" t="inlineStr">
        <is>
          <t>p26_roc_main_roc_bombs</t>
        </is>
      </c>
      <c r="BT13" t="n">
        <v>4</v>
      </c>
      <c r="BU13" t="inlineStr">
        <is>
          <t>Assets/MachineBrigade/Resources/Data/balance.json: weapons[204]</t>
        </is>
      </c>
      <c r="BV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>
        <is>
          <t>Huge</t>
        </is>
      </c>
      <c r="C14" t="b">
        <v>0</v>
      </c>
      <c r="D14" t="inlineStr">
        <is>
          <t>BAY</t>
        </is>
      </c>
      <c r="E14" t="inlineStr">
        <is>
          <t>STICK_RECT</t>
        </is>
      </c>
      <c r="F14" t="inlineStr">
        <is>
          <t>TRUE</t>
        </is>
      </c>
      <c r="G14" t="inlineStr">
        <is>
          <t>STICK</t>
        </is>
      </c>
      <c r="H14" t="inlineStr">
        <is>
          <t>STICK (khoang bom boss, dải đặt quanh điểm nhắm theo trục cụm mục tiêu; mỗi quả một điểm riêng)</t>
        </is>
      </c>
      <c r="I14" t="n">
        <v>0.3</v>
      </c>
      <c r="J14" t="inlineStr"/>
      <c r="K14" t="inlineStr"/>
      <c r="L14" t="inlineStr"/>
      <c r="M14" t="inlineStr"/>
      <c r="N14" t="inlineStr"/>
      <c r="O14" t="n">
        <v>0</v>
      </c>
      <c r="P14" t="inlineStr"/>
      <c r="Q14" t="b">
        <v>0</v>
      </c>
      <c r="R14" t="inlineStr">
        <is>
          <t>Bomb</t>
        </is>
      </c>
      <c r="S14" t="b">
        <v>1</v>
      </c>
      <c r="T14" t="b">
        <v>0</v>
      </c>
      <c r="U14" t="n">
        <v>400</v>
      </c>
      <c r="V14" t="n">
        <v>38.5</v>
      </c>
      <c r="W14" t="inlineStr"/>
      <c r="X14" t="inlineStr"/>
      <c r="Y14" t="n">
        <v>3</v>
      </c>
      <c r="Z14" t="inlineStr"/>
      <c r="AA14" t="inlineStr">
        <is>
          <t>BAY_STICK</t>
        </is>
      </c>
      <c r="AB14" t="inlineStr">
        <is>
          <t>AXIS</t>
        </is>
      </c>
      <c r="AC14" t="inlineStr"/>
      <c r="AD14" t="n">
        <v>5.5</v>
      </c>
      <c r="AE14" t="inlineStr"/>
      <c r="AF14" t="inlineStr"/>
      <c r="AG14" t="n">
        <v>0</v>
      </c>
      <c r="AH14" t="n">
        <v>0.3</v>
      </c>
      <c r="AI14" t="n">
        <v>0.3</v>
      </c>
      <c r="AJ14" t="n">
        <v>0</v>
      </c>
      <c r="AK14" t="n">
        <v>400</v>
      </c>
      <c r="AL14" t="n">
        <v>0.825</v>
      </c>
      <c r="AM14" t="inlineStr"/>
      <c r="AN14" t="inlineStr">
        <is>
          <t>HighExplosive</t>
        </is>
      </c>
      <c r="AO14" t="n">
        <v>10</v>
      </c>
      <c r="AP14" t="inlineStr">
        <is>
          <t>Ground</t>
        </is>
      </c>
      <c r="AQ14" t="inlineStr"/>
      <c r="AR14" t="n">
        <v>0</v>
      </c>
      <c r="AS14" t="b">
        <v>0</v>
      </c>
      <c r="AT14" t="inlineStr">
        <is>
          <t>vu_khi_don_vi</t>
        </is>
      </c>
      <c r="AU14" t="n">
        <v>20</v>
      </c>
      <c r="AV14" t="n">
        <v>400</v>
      </c>
      <c r="AW14" t="n">
        <v>8</v>
      </c>
      <c r="AX14" t="n">
        <v>3</v>
      </c>
      <c r="AY14" t="n">
        <v>8</v>
      </c>
      <c r="AZ14" t="n">
        <v>0</v>
      </c>
      <c r="BA14" t="n">
        <v>3</v>
      </c>
      <c r="BB14" t="n">
        <v>8</v>
      </c>
      <c r="BC14" t="n">
        <v>0</v>
      </c>
      <c r="BD14" t="inlineStr">
        <is>
          <t>CENTER</t>
        </is>
      </c>
      <c r="BE14" t="n">
        <v>45</v>
      </c>
      <c r="BF14" t="n">
        <v>0</v>
      </c>
      <c r="BG14" t="inlineStr">
        <is>
          <t>bomb-bay stick 400 kg</t>
        </is>
      </c>
      <c r="BH14" t="n">
        <v>0</v>
      </c>
      <c r="BI14" t="n">
        <v>2.722</v>
      </c>
      <c r="BJ14" t="n">
        <v>1</v>
      </c>
      <c r="BK14" t="n">
        <v>2.9</v>
      </c>
      <c r="BL14" t="n">
        <v>1.225</v>
      </c>
      <c r="BM14" t="n">
        <v>18.333</v>
      </c>
      <c r="BN14" t="n">
        <v>60</v>
      </c>
      <c r="BO14" t="inlineStr"/>
      <c r="BP14" t="inlineStr"/>
      <c r="BQ14" t="inlineStr"/>
      <c r="BR14" t="inlineStr"/>
      <c r="BS14" t="inlineStr">
        <is>
          <t>p26_roc_roc_bombs</t>
        </is>
      </c>
      <c r="BT14" t="n">
        <v>4</v>
      </c>
      <c r="BU14" t="inlineStr">
        <is>
          <t>Assets/MachineBrigade/Resources/Data/balance.json: weapons[201]</t>
        </is>
      </c>
      <c r="BV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15">
      <c r="A15" t="inlineStr">
        <is>
          <t>stealth_payload</t>
        </is>
      </c>
      <c r="B15" t="inlineStr">
        <is>
          <t>Ultimate</t>
        </is>
      </c>
      <c r="C15" t="b">
        <v>0</v>
      </c>
      <c r="D15" t="inlineStr">
        <is>
          <t>OVERFLY</t>
        </is>
      </c>
      <c r="E15" t="inlineStr">
        <is>
          <t>NONE</t>
        </is>
      </c>
      <c r="F15" t="inlineStr">
        <is>
          <t>FALSE</t>
        </is>
      </c>
      <c r="G15" t="inlineStr">
        <is>
          <t>POINT</t>
        </is>
      </c>
      <c r="H15" t="inlineStr">
        <is>
          <t>POINT (mọi quả nhắm vào mục tiêu)</t>
        </is>
      </c>
      <c r="I15" t="n">
        <v>0.3</v>
      </c>
      <c r="J15" t="inlineStr"/>
      <c r="K15" t="inlineStr"/>
      <c r="L15" t="inlineStr"/>
      <c r="M15" t="inlineStr"/>
      <c r="N15" t="inlineStr"/>
      <c r="O15" t="inlineStr"/>
      <c r="P15" t="inlineStr"/>
      <c r="Q15" t="b">
        <v>1</v>
      </c>
      <c r="R15" t="inlineStr">
        <is>
          <t>Bomb</t>
        </is>
      </c>
      <c r="S15" t="b">
        <v>1</v>
      </c>
      <c r="T15" t="b">
        <v>0</v>
      </c>
      <c r="U15" t="n">
        <v>907</v>
      </c>
      <c r="V15" t="n">
        <v>0</v>
      </c>
      <c r="W15" t="inlineStr"/>
      <c r="X15" t="n">
        <v>26</v>
      </c>
      <c r="Y15" t="n">
        <v>2</v>
      </c>
      <c r="Z15" t="inlineStr">
        <is>
          <t>stealth_bomber</t>
        </is>
      </c>
      <c r="AA15" t="inlineStr">
        <is>
          <t>GUIDED</t>
        </is>
      </c>
      <c r="AB15" t="inlineStr">
        <is>
          <t>APPROACH</t>
        </is>
      </c>
      <c r="AC15" t="n">
        <v>13</v>
      </c>
      <c r="AD15" t="n">
        <v>0</v>
      </c>
      <c r="AE15" t="inlineStr"/>
      <c r="AF15" t="inlineStr"/>
      <c r="AG15" t="n">
        <v>0</v>
      </c>
      <c r="AH15" t="n">
        <v>0.3</v>
      </c>
      <c r="AI15" t="n">
        <v>0.3</v>
      </c>
      <c r="AJ15" t="n">
        <v>0</v>
      </c>
      <c r="AK15" t="n">
        <v>907</v>
      </c>
      <c r="AL15" t="n">
        <v>0</v>
      </c>
      <c r="AM15" t="n">
        <v>0</v>
      </c>
      <c r="AN15" t="inlineStr">
        <is>
          <t>HighExplosive</t>
        </is>
      </c>
      <c r="AO15" t="n">
        <v>13</v>
      </c>
      <c r="AP15" t="inlineStr">
        <is>
          <t>Ground</t>
        </is>
      </c>
      <c r="AQ15" t="inlineStr"/>
      <c r="AR15" t="n">
        <v>0</v>
      </c>
      <c r="AS15" t="b">
        <v>0</v>
      </c>
      <c r="AT15" t="inlineStr">
        <is>
          <t>vu_khi_don_vi</t>
        </is>
      </c>
      <c r="AU15" t="n">
        <v>0</v>
      </c>
      <c r="AV15" t="n">
        <v>892</v>
      </c>
      <c r="AW15" t="n">
        <v>2</v>
      </c>
      <c r="AX15" t="inlineStr"/>
      <c r="AY15" t="n">
        <v>2</v>
      </c>
      <c r="AZ15" t="n">
        <v>0</v>
      </c>
      <c r="BA15" t="n">
        <v>0</v>
      </c>
      <c r="BB15" t="n">
        <v>2</v>
      </c>
      <c r="BC15" t="n">
        <v>2</v>
      </c>
      <c r="BD15" t="inlineStr">
        <is>
          <t>CENTER</t>
        </is>
      </c>
      <c r="BE15" t="n">
        <v>30</v>
      </c>
      <c r="BF15" t="n">
        <v>0</v>
      </c>
      <c r="BG15" t="inlineStr">
        <is>
          <t>GBU-31 JDAM (907 kg)</t>
        </is>
      </c>
      <c r="BH15" t="n">
        <v>0</v>
      </c>
      <c r="BI15" t="n">
        <v>0</v>
      </c>
      <c r="BJ15" t="n">
        <v>1.5</v>
      </c>
      <c r="BK15" t="n">
        <v>14</v>
      </c>
      <c r="BL15" t="n">
        <v>0</v>
      </c>
      <c r="BM15" t="n">
        <v>0</v>
      </c>
      <c r="BN15" t="n">
        <v>40</v>
      </c>
      <c r="BO15" t="inlineStr">
        <is>
          <t>28</t>
        </is>
      </c>
      <c r="BP15" t="inlineStr"/>
      <c r="BQ15" t="n">
        <v>0</v>
      </c>
      <c r="BR15" t="inlineStr"/>
      <c r="BS15" t="inlineStr">
        <is>
          <t>stealth_payload</t>
        </is>
      </c>
      <c r="BT15" t="n">
        <v>4</v>
      </c>
      <c r="BU15" t="inlineStr">
        <is>
          <t>Assets/MachineBrigade/Resources/Data/balance.json: weapons[50]</t>
        </is>
      </c>
      <c r="BV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BV15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supports[12]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32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32.229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8</v>
      </c>
      <c r="R4" t="inlineStr">
        <is>
          <t>Assets/MachineBrigade/Resources/Data/balance.json: vehicles[169]</t>
        </is>
      </c>
      <c r="S4" t="inlineStr">
        <is>
          <t>{"id":"argus","paint":"#5d6a75","paintFinish":[0.35,0.45],"wake":null,"variantOf":"command_airship","general":"quaden","radioSpawn":"radio.quaden.argus","hp":94850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n">
        <v>32</v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supports[17]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32.229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KHONG_AP_DUNG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8</v>
      </c>
      <c r="R7" t="inlineStr">
        <is>
          <t>Assets/MachineBrigade/Resources/Data/balance.json: vehicles[151]</t>
        </is>
      </c>
      <c r="S7" t="inlineStr">
        <is>
          <t>{"id":"command_airship","paint":"#8e9599","paintFinish":[0.3,0.5]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205875,"weaponDamage":1,"speed":4.5,"turnRate":8,"holdsToFire":true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8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{"id":"elite_attack_jet","armour":2,"rearmTime":14,"inherits":"attack_jet","elite":true,"eliteOf":"attack_jet","cp":0,"hp":621,"skills":["elite_flares"],"damageScale":1.0}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KHONG_AP_DUNG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supports[24]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n">
        <v>32</v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supports[12]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weapons[48]</t>
        </is>
      </c>
      <c r="M5" t="inlineStr"/>
    </row>
    <row r="6">
      <c r="A6" t="inlineStr">
        <is>
          <t>carrier_heavy_bomb</t>
        </is>
      </c>
      <c r="B6" t="n">
        <v>16</v>
      </c>
      <c r="C6" t="n">
        <v>20</v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n">
        <v>0</v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supports[17]</t>
        </is>
      </c>
      <c r="M7" t="inlineStr"/>
    </row>
    <row r="8">
      <c r="A8" t="inlineStr">
        <is>
          <t>glide_bomb_strike</t>
        </is>
      </c>
      <c r="B8" t="n">
        <v>10</v>
      </c>
      <c r="C8" t="n">
        <v>0</v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supports[24]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weapons[236]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weapons[40]</t>
        </is>
      </c>
      <c r="M10" t="inlineStr"/>
    </row>
    <row r="11">
      <c r="A11" t="inlineStr">
        <is>
          <t>kraken_air_raid</t>
        </is>
      </c>
      <c r="B11" t="n">
        <v>9</v>
      </c>
      <c r="C11" t="n">
        <v>18</v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n">
        <v>0</v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weapons[204]</t>
        </is>
      </c>
      <c r="M13" t="inlineStr"/>
    </row>
    <row r="14">
      <c r="A14" t="inlineStr">
        <is>
          <t>p26_roc_roc_bombs</t>
        </is>
      </c>
      <c r="B14" t="n">
        <v>10</v>
      </c>
      <c r="C14" t="n">
        <v>20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2.722</v>
      </c>
      <c r="L14" t="inlineStr">
        <is>
          <t>Assets/MachineBrigade/Resources/Data/balance.json: weapons[201]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weapons[50]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