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Ten_lua_tham_so" sheetId="15" state="visible" r:id="rId15"/>
    <sheet name="Canh_bao_vong" sheetId="16" state="visible" r:id="rId16"/>
    <sheet name="Bom_rai_tham" sheetId="17" state="visible" r:id="rId17"/>
    <sheet name="Vu_khi_suy_ra" sheetId="18" state="visible" r:id="rId18"/>
    <sheet name="Vu_khi_tham_chieu" sheetId="19" state="visible" r:id="rId19"/>
    <sheet name="Vu_khi_so_sanh_that" sheetId="20" state="visible" r:id="rId20"/>
    <sheet name="Xe" sheetId="21" state="visible" r:id="rId21"/>
    <sheet name="Xe_vu_khi" sheetId="22" state="visible" r:id="rId22"/>
    <sheet name="Xe_ten_lua" sheetId="23" state="visible" r:id="rId23"/>
    <sheet name="Xe_bo_phan" sheetId="24" state="visible" r:id="rId24"/>
    <sheet name="The_ho_tro" sheetId="25" state="visible" r:id="rId25"/>
    <sheet name="Ky_nang" sheetId="26" state="visible" r:id="rId26"/>
    <sheet name="Tinh_nhue_luat" sheetId="27" state="visible" r:id="rId27"/>
    <sheet name="Nhanh_xe" sheetId="28" state="visible" r:id="rId28"/>
    <sheet name="Do_ben" sheetId="29" state="visible" r:id="rId29"/>
    <sheet name="Trang_bi" sheetId="30" state="visible" r:id="rId30"/>
    <sheet name="Trang_bi_mo_dun" sheetId="31" state="visible" r:id="rId31"/>
    <sheet name="Trang_bi_dac_tinh" sheetId="32" state="visible" r:id="rId32"/>
    <sheet name="Trang_bi_dong_phu" sheetId="33" state="visible" r:id="rId33"/>
    <sheet name="Trang_bi_bo" sheetId="34" state="visible" r:id="rId34"/>
    <sheet name="Commander" sheetId="35" state="visible" r:id="rId35"/>
    <sheet name="Commander_noi_tai" sheetId="36" state="visible" r:id="rId36"/>
    <sheet name="Commander_gia" sheetId="37" state="visible" r:id="rId37"/>
    <sheet name="Doi_mo_man" sheetId="38" state="visible" r:id="rId38"/>
    <sheet name="Doi_mo_man_vai_tro" sheetId="39" state="visible" r:id="rId39"/>
    <sheet name="Doi_mo_man_luat" sheetId="40" state="visible" r:id="rId40"/>
    <sheet name="Xe_tham_chieu" sheetId="41" state="visible" r:id="rId41"/>
    <sheet name="xe_input_vu_khi" sheetId="42" state="visible" r:id="rId42"/>
    <sheet name="xe_input_vu_khi_suy_ra" sheetId="43" state="visible" r:id="rId43"/>
    <sheet name="xe_input_bang_xuyen_giap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'Vu_khi'!$A$1:$GE$336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'Dong_vu_khi'!$A$1:$M$56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'Khac_che'!$A$1:$AD$22</definedName>
    <definedName name="_xlnm._FilterDatabase" localSheetId="10" hidden="1">'Phao_sang'!$A$1:$S$12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'Drone'!$A$1:$S$14</definedName>
    <definedName name="_xlnm._FilterDatabase" localSheetId="14" hidden="1">'Ten_lua_tham_so'!$A$1:$U$47</definedName>
    <definedName name="_xlnm._FilterDatabase" localSheetId="15" hidden="1">'Canh_bao_vong'!$A$1:$H$14</definedName>
    <definedName name="_xlnm._FilterDatabase" localSheetId="16" hidden="1">'Bom_rai_tham'!$A$1:$Q$7</definedName>
    <definedName name="_xlnm._FilterDatabase" localSheetId="17" hidden="1">'Vu_khi_suy_ra'!$A$1:$BC$336</definedName>
    <definedName name="_xlnm._FilterDatabase" localSheetId="18" hidden="1">'Vu_khi_tham_chieu'!$A$1:$AG$336</definedName>
    <definedName name="_xlnm._FilterDatabase" localSheetId="19" hidden="1">'Vu_khi_so_sanh_that'!$A$1:$Q$250</definedName>
    <definedName name="_xlnm._FilterDatabase" localSheetId="20" hidden="1">'Xe'!$A$1:$FO$80</definedName>
    <definedName name="_xlnm._FilterDatabase" localSheetId="21" hidden="1">'Xe_vu_khi'!$A$1:$K$77</definedName>
    <definedName name="_xlnm._FilterDatabase" localSheetId="22" hidden="1">'Xe_ten_lua'!$A$1:$H$4</definedName>
    <definedName name="_xlnm._FilterDatabase" localSheetId="23" hidden="1">'Xe_bo_phan'!$A$1:$Q$7</definedName>
    <definedName name="_xlnm._FilterDatabase" localSheetId="24" hidden="1">'The_ho_tro'!$A$1:$AL$25</definedName>
    <definedName name="_xlnm._FilterDatabase" localSheetId="25" hidden="1">'Ky_nang'!$A$1:$N$23</definedName>
    <definedName name="_xlnm._FilterDatabase" localSheetId="26" hidden="1">'Tinh_nhue_luat'!$A$1:$H$21</definedName>
    <definedName name="_xlnm._FilterDatabase" localSheetId="27" hidden="1">'Nhanh_xe'!$A$1:$D$5</definedName>
    <definedName name="_xlnm._FilterDatabase" localSheetId="28" hidden="1">'Do_ben'!$A$1:$H$3</definedName>
    <definedName name="_xlnm._FilterDatabase" localSheetId="29" hidden="1">'Trang_bi'!$A$1:$P$39</definedName>
    <definedName name="_xlnm._FilterDatabase" localSheetId="30" hidden="1">'Trang_bi_mo_dun'!$A$1:$I$15</definedName>
    <definedName name="_xlnm._FilterDatabase" localSheetId="31" hidden="1">'Trang_bi_dac_tinh'!$A$1:$H$46</definedName>
    <definedName name="_xlnm._FilterDatabase" localSheetId="32" hidden="1">'Trang_bi_dong_phu'!$A$1:$G$24</definedName>
    <definedName name="_xlnm._FilterDatabase" localSheetId="33" hidden="1">'Trang_bi_bo'!$A$1:$P$14</definedName>
    <definedName name="_xlnm._FilterDatabase" localSheetId="34" hidden="1">'Commander'!$A$1:$AF$23</definedName>
    <definedName name="_xlnm._FilterDatabase" localSheetId="35" hidden="1">'Commander_noi_tai'!$A$1:$H$46</definedName>
    <definedName name="_xlnm._FilterDatabase" localSheetId="36" hidden="1">'Commander_gia'!$A$1:$G$6</definedName>
    <definedName name="_xlnm._FilterDatabase" localSheetId="37" hidden="1">'Doi_mo_man'!$A$1:$G$24</definedName>
    <definedName name="_xlnm._FilterDatabase" localSheetId="38" hidden="1">'Doi_mo_man_vai_tro'!$A$1:$G$19</definedName>
    <definedName name="_xlnm._FilterDatabase" localSheetId="39" hidden="1">'Doi_mo_man_luat'!$A$1:$H$4</definedName>
    <definedName name="_xlnm._FilterDatabase" localSheetId="40" hidden="1">'Xe_tham_chieu'!$A$1:$J$7</definedName>
    <definedName name="_xlnm._FilterDatabase" localSheetId="41" hidden="1">'xe_input_vu_khi'!$A$1:$I$66</definedName>
    <definedName name="_xlnm._FilterDatabase" localSheetId="42" hidden="1">'xe_input_vu_khi_suy_ra'!$A$1:$K$66</definedName>
    <definedName name="_xlnm._FilterDatabase" localSheetId="43" hidden="1">'xe_input_bang_xuyen_giap'!$A$1:$D$7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'Phuong_tien_tham_chieu'!$A$1:$AK$104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'Hang_so_vu_khi'!$A$1:$K$41</definedName>
    <definedName name="_xlnm._FilterDatabase" localSheetId="54" hidden="1">'Hang_so_phuong_tien'!$A$1:$K$95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2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46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2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weapons[266]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weapons[217]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weapons[229]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weapons[228]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10</v>
      </c>
      <c r="S9" t="n">
        <v>0</v>
      </c>
      <c r="T9" t="n">
        <v>0</v>
      </c>
      <c r="U9" t="n">
        <v>0</v>
      </c>
      <c r="V9" t="n">
        <v>0</v>
      </c>
      <c r="W9" t="n">
        <v>150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10</v>
      </c>
      <c r="DE9" t="n">
        <v>150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weapons[257]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150,"burst":4,"burstInterval":0.25,"cooldown":10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weapons[268]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weapons[267]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190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R12" t="n">
        <v>20</v>
      </c>
      <c r="BS12" t="n">
        <v>80</v>
      </c>
      <c r="DD12" t="n">
        <v>12.33</v>
      </c>
      <c r="DE12" t="n">
        <v>190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weapons[220]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5.21</v>
      </c>
      <c r="S22" t="n">
        <v>0</v>
      </c>
      <c r="T22" t="n">
        <v>0</v>
      </c>
      <c r="U22" t="n">
        <v>0</v>
      </c>
      <c r="V22" t="n">
        <v>0</v>
      </c>
      <c r="W22" t="n">
        <v>320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J22" t="n">
        <v>5.16</v>
      </c>
      <c r="BK22" t="n">
        <v>5.21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5.21</v>
      </c>
      <c r="DE22" t="n">
        <v>320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(twin)","family":"tank_gun","size":152,"caliberMm":152,"pen":4,"piercing":true,"damageType":"Kinetic","damage":320,"cooldown":5.21,"range":40,"spread":0.3,"impactTier":"Large","burst":1,"burstInterval":0.05,"impactScale":1.5}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5.21</v>
      </c>
      <c r="S23" t="n">
        <v>0</v>
      </c>
      <c r="T23" t="n">
        <v>0</v>
      </c>
      <c r="U23" t="n">
        <v>0</v>
      </c>
      <c r="V23" t="n">
        <v>0</v>
      </c>
      <c r="W23" t="n">
        <v>320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J23" t="n">
        <v>5.16</v>
      </c>
      <c r="BK23" t="n">
        <v>5.21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320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(twin)","damageType":"HighExplosive","pen":3,"damage":320,"splash":6.5,"form":"HeShell","piercing":false,"targets":"Ground","projectileSpeed":150,"impactTier":"Huge","roundWeight":343}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</v>
      </c>
      <c r="Y24" t="n">
        <v>0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</t>
        </is>
      </c>
      <c r="GB24" t="inlineStr">
        <is>
          <t>rkt_70_80</t>
        </is>
      </c>
      <c r="GD24" t="inlineStr">
        <is>
          <t>Assets/MachineBrigade/Resources/Data/balance.json: weapons[238]</t>
        </is>
      </c>
      <c r="GE24" t="inlineStr">
        <is>
          <t>{"id":"boat_rockets","weaponFamilyId":"rkt_70_80","weaponFamily":"s_8_80_mm","real":"S-8 80 mm","family":"rocket","size":80,"caliberMm":80,"pen":2,"projectileScale":0.9,"damageType":"HighExplosive","damage":32,"cooldown":7,"range":55,"spread":4,"impactTier":"Medium","projectile":"Rocket","burst":10,"burstInterval":0.12}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weapons[255]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weapons[227]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Large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Large</t>
        </is>
      </c>
      <c r="DY31" t="b">
        <v>1</v>
      </c>
      <c r="EB31" t="n">
        <v>4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weapons[226]</t>
        </is>
      </c>
      <c r="GE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head","family":"melee","size":2,"pen":4,"piercing":true,"melee":true,"damageType":"Kinetic","damage":260,"cooldown":1.5,"range":7,"projectileSpeed":400,"impactTier":"Large","projectile":"Bullet","targets":"Ground","bonuses":[{"armor":"Structure","mult":2}]}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weapons[215]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weapons[222]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weapons[230]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weapons[232]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weapons[136]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weapons[231]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weapons[138]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weapons[225]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behemoth_tempest;nyx</t>
        </is>
      </c>
      <c r="AU44" t="n">
        <v>2</v>
      </c>
      <c r="AV44" t="inlineStr">
        <is>
          <t>behemoth_tempest:0;nyx:0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4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weapons[224]</t>
        </is>
      </c>
      <c r="GE44" t="inlineStr">
        <is>
          <t>{"id":"boss_railgun","groundMinReach":33,"weaponFamilyId":"rail_railgun","real":"railgun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130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boss;boss_part</t>
        </is>
      </c>
      <c r="AT45" t="inlineStr">
        <is>
          <t>armored_train;rocket_pod</t>
        </is>
      </c>
      <c r="AU45" t="n">
        <v>2</v>
      </c>
      <c r="AV45" t="inlineStr">
        <is>
          <t>armored_train:1;rocket_pod:part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0.3461538461538461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130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130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weapons[137]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mm","family":"rocket","size":122,"caliberMm":122,"pen":2,"projectileModel":"grad","damageType":"HighExplosive","damage":200,"cooldown":2.44,"range":45,"projectileSpeed":130,"splash":4.5,"spread":5,"impactTier":"Medium","projectile":"Rocket","burst":13,"burstInterval":0.5}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weapons[223]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weapons[111]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weapons[130]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c_ram_gatling</t>
        </is>
      </c>
      <c r="B53" t="inlineStr">
        <is>
          <t>Phalanx M61 20 mm</t>
        </is>
      </c>
      <c r="C53" t="inlineStr">
        <is>
          <t>cal_20</t>
        </is>
      </c>
      <c r="D53" t="inlineStr"/>
      <c r="E53" t="inlineStr"/>
      <c r="F53" t="inlineStr">
        <is>
          <t>autocannon</t>
        </is>
      </c>
      <c r="G53" t="n">
        <v>20</v>
      </c>
      <c r="H53" t="inlineStr"/>
      <c r="I53" t="inlineStr"/>
      <c r="J53" t="inlineStr"/>
      <c r="K53" t="inlineStr">
        <is>
          <t>Fragmentation</t>
        </is>
      </c>
      <c r="L53" t="n">
        <v>1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0.02</v>
      </c>
      <c r="S53" t="n">
        <v>200</v>
      </c>
      <c r="T53" t="n">
        <v>3.02</v>
      </c>
      <c r="U53" t="n">
        <v>0</v>
      </c>
      <c r="V53" t="n">
        <v>0</v>
      </c>
      <c r="W53" t="n">
        <v>2</v>
      </c>
      <c r="X53" t="n">
        <v>1.2</v>
      </c>
      <c r="Y53" t="n">
        <v>0</v>
      </c>
      <c r="Z53" t="n">
        <v>380</v>
      </c>
      <c r="AA53" t="n">
        <v>32</v>
      </c>
      <c r="AB53" t="n">
        <v>0</v>
      </c>
      <c r="AC53" t="inlineStr">
        <is>
          <t>Air</t>
        </is>
      </c>
      <c r="AD53" t="inlineStr"/>
      <c r="AE53" t="n">
        <v>1.2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1</v>
      </c>
      <c r="AK53" t="b">
        <v>0</v>
      </c>
      <c r="AL53" t="b">
        <v>0</v>
      </c>
      <c r="AM53" t="b">
        <v>0</v>
      </c>
      <c r="AN53" t="n">
        <v>20</v>
      </c>
      <c r="AO53" t="n">
        <v>0</v>
      </c>
      <c r="AP53" t="inlineStr">
        <is>
          <t>T1</t>
        </is>
      </c>
      <c r="AQ53" t="inlineStr"/>
      <c r="AR53" t="inlineStr"/>
      <c r="AS53" t="inlineStr">
        <is>
          <t>thap</t>
        </is>
      </c>
      <c r="AT53" t="inlineStr">
        <is>
          <t>c_ram;c_ram.centurion</t>
        </is>
      </c>
      <c r="AU53" t="n">
        <v>2</v>
      </c>
      <c r="AV53" t="inlineStr">
        <is>
          <t>c_ram:0;c_ram.centurion:0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0.08421052631578947</v>
      </c>
      <c r="BB53" t="n">
        <v>4500</v>
      </c>
      <c r="BC53" t="inlineStr"/>
      <c r="BD53" t="inlineStr">
        <is>
          <t>aa</t>
        </is>
      </c>
      <c r="BE53" t="inlineStr">
        <is>
          <t>Wikipedia 'Phalanx CIWS': 4,500 rpm (C-RAM)</t>
        </is>
      </c>
      <c r="BG53" t="inlineStr">
        <is>
          <t>giong</t>
        </is>
      </c>
      <c r="CT53" t="n">
        <v>20</v>
      </c>
      <c r="CW53" t="n">
        <v>200</v>
      </c>
      <c r="CX53" t="n">
        <v>3.02</v>
      </c>
      <c r="DD53" t="n">
        <v>0.02</v>
      </c>
      <c r="DE53" t="n">
        <v>2</v>
      </c>
      <c r="DF53" t="inlineStr">
        <is>
          <t>Fragmentation</t>
        </is>
      </c>
      <c r="DJ53" t="inlineStr">
        <is>
          <t>autocannon</t>
        </is>
      </c>
      <c r="DS53" t="inlineStr">
        <is>
          <t>Small</t>
        </is>
      </c>
      <c r="DU53" t="b">
        <v>1</v>
      </c>
      <c r="EB53" t="n">
        <v>1</v>
      </c>
      <c r="EH53" t="inlineStr">
        <is>
          <t>Bullet</t>
        </is>
      </c>
      <c r="EK53" t="n">
        <v>380</v>
      </c>
      <c r="EP53" t="n">
        <v>32</v>
      </c>
      <c r="EQ53" t="inlineStr">
        <is>
          <t>Phalanx M61 20 mm</t>
        </is>
      </c>
      <c r="EX53" t="n">
        <v>20</v>
      </c>
      <c r="EY53" t="n">
        <v>1.2</v>
      </c>
      <c r="EZ53" t="n">
        <v>1.2</v>
      </c>
      <c r="FW53" t="inlineStr">
        <is>
          <t>Air</t>
        </is>
      </c>
      <c r="GB53" t="inlineStr">
        <is>
          <t>cal_20</t>
        </is>
      </c>
      <c r="GD53" t="inlineStr">
        <is>
          <t>Assets/MachineBrigade/Resources/Data/balance.json: weapons[107]</t>
        </is>
      </c>
      <c r="GE53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4">
      <c r="A54" t="inlineStr">
        <is>
          <t>casemate_155</t>
        </is>
      </c>
      <c r="B54" t="inlineStr">
        <is>
          <t>M284 155 mm (casemate)</t>
        </is>
      </c>
      <c r="C54" t="inlineStr">
        <is>
          <t>cal_152_155</t>
        </is>
      </c>
      <c r="D54" t="inlineStr"/>
      <c r="E54" t="inlineStr">
        <is>
          <t>m284_155_mm_2</t>
        </is>
      </c>
      <c r="F54" t="inlineStr">
        <is>
          <t>howitzer</t>
        </is>
      </c>
      <c r="G54" t="n">
        <v>155</v>
      </c>
      <c r="H54" t="inlineStr"/>
      <c r="I54" t="inlineStr"/>
      <c r="J54" t="inlineStr"/>
      <c r="K54" t="inlineStr">
        <is>
          <t>HighExplosive</t>
        </is>
      </c>
      <c r="L54" t="n">
        <v>3</v>
      </c>
      <c r="M54" t="inlineStr">
        <is>
          <t>Shell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12.81</v>
      </c>
      <c r="S54" t="n">
        <v>0</v>
      </c>
      <c r="T54" t="n">
        <v>0</v>
      </c>
      <c r="U54" t="n">
        <v>0</v>
      </c>
      <c r="V54" t="n">
        <v>0</v>
      </c>
      <c r="W54" t="n">
        <v>320</v>
      </c>
      <c r="X54" t="n">
        <v>7</v>
      </c>
      <c r="Y54" t="n">
        <v>0</v>
      </c>
      <c r="Z54" t="n">
        <v>100</v>
      </c>
      <c r="AA54" t="n">
        <v>75</v>
      </c>
      <c r="AB54" t="n">
        <v>20</v>
      </c>
      <c r="AC54" t="inlineStr">
        <is>
          <t>Ground</t>
        </is>
      </c>
      <c r="AD54" t="inlineStr"/>
      <c r="AE54" t="n">
        <v>4.5</v>
      </c>
      <c r="AF54" t="inlineStr">
        <is>
          <t>Huge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155</v>
      </c>
      <c r="AO54" t="n">
        <v>0</v>
      </c>
      <c r="AP54" t="inlineStr">
        <is>
          <t>T3</t>
        </is>
      </c>
      <c r="AQ54" t="inlineStr">
        <is>
          <t>gun_155_sph</t>
        </is>
      </c>
      <c r="AR54" t="inlineStr">
        <is>
          <t>casemate_155_guided</t>
        </is>
      </c>
      <c r="AS54" t="inlineStr">
        <is>
          <t>boss_part</t>
        </is>
      </c>
      <c r="AT54" t="inlineStr">
        <is>
          <t>casemate_155</t>
        </is>
      </c>
      <c r="AU54" t="n">
        <v>1</v>
      </c>
      <c r="AV54" t="inlineStr">
        <is>
          <t>casemate_155:part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0.75</v>
      </c>
      <c r="BB54" t="n">
        <v>4</v>
      </c>
      <c r="BC54" t="n">
        <v>1</v>
      </c>
      <c r="BD54" t="inlineStr">
        <is>
          <t>gun</t>
        </is>
      </c>
      <c r="BE54" t="inlineStr">
        <is>
          <t>US Army M109A7 fact file: 4 rpm for 3 min, 1 rpm sustained</t>
        </is>
      </c>
      <c r="BG54" t="inlineStr">
        <is>
          <t>doi</t>
        </is>
      </c>
      <c r="BR54" t="n">
        <v>45</v>
      </c>
      <c r="BS54" t="n">
        <v>100</v>
      </c>
      <c r="CN54" t="n">
        <v>0</v>
      </c>
      <c r="CT54" t="n">
        <v>155</v>
      </c>
      <c r="DJ54" t="inlineStr">
        <is>
          <t>howitzer</t>
        </is>
      </c>
      <c r="DT54" t="inlineStr">
        <is>
          <t>gun_155_sph</t>
        </is>
      </c>
      <c r="DZ54" t="n">
        <v>20</v>
      </c>
      <c r="EB54" t="n">
        <v>3</v>
      </c>
      <c r="EP54" t="n">
        <v>75</v>
      </c>
      <c r="EQ54" t="inlineStr">
        <is>
          <t>M284 155 mm (casemate)</t>
        </is>
      </c>
      <c r="ER54" t="n">
        <v>0</v>
      </c>
      <c r="EX54" t="n">
        <v>155</v>
      </c>
      <c r="GA54" t="inlineStr">
        <is>
          <t>m284_155_mm_2</t>
        </is>
      </c>
      <c r="GD54" t="inlineStr">
        <is>
          <t>Assets/MachineBrigade/Resources/Data/balance.json: weapons[250]</t>
        </is>
      </c>
      <c r="GE54" t="inlineStr">
        <is>
          <t>{"id":"casemate_155","weaponFamily":"m284_155_mm_2","inherits":"gun_155_sph","real":"M284 155 mm (casemate)","family":"howitzer","size":155,"caliberMm":155,"pen":3,"range":75,"minRange":20,"ammo":0,"reload":0}</t>
        </is>
      </c>
    </row>
    <row r="55">
      <c r="A55" t="inlineStr">
        <is>
          <t>casemate_155_guided</t>
        </is>
      </c>
      <c r="B55" t="inlineStr">
        <is>
          <t>M284 155 mm guided (casemate)</t>
        </is>
      </c>
      <c r="C55" t="inlineStr">
        <is>
          <t>cal_152_155</t>
        </is>
      </c>
      <c r="D55" t="inlineStr">
        <is>
          <t>guided</t>
        </is>
      </c>
      <c r="E55" t="inlineStr">
        <is>
          <t>m284_155_mm_guided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320</v>
      </c>
      <c r="X55" t="n">
        <v>7</v>
      </c>
      <c r="Y55" t="n">
        <v>0</v>
      </c>
      <c r="Z55" t="n">
        <v>45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0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1</v>
      </c>
      <c r="AN55" t="n">
        <v>155</v>
      </c>
      <c r="AO55" t="n">
        <v>0</v>
      </c>
      <c r="AP55" t="inlineStr">
        <is>
          <t>T3</t>
        </is>
      </c>
      <c r="AQ55" t="inlineStr">
        <is>
          <t>casemate_155</t>
        </is>
      </c>
      <c r="AR55" t="inlineStr"/>
      <c r="AS55" t="inlineStr"/>
      <c r="AT55" t="inlineStr"/>
      <c r="AU55" t="n">
        <v>0</v>
      </c>
      <c r="AV55" t="inlineStr"/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1.666666666666667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giong</t>
        </is>
      </c>
      <c r="CR55" t="n">
        <v>1</v>
      </c>
      <c r="DE55" t="n">
        <v>320</v>
      </c>
      <c r="DF55" t="inlineStr">
        <is>
          <t>HighExplosive</t>
        </is>
      </c>
      <c r="DH55" t="b">
        <v>1</v>
      </c>
      <c r="DM55" t="inlineStr">
        <is>
          <t>armour</t>
        </is>
      </c>
      <c r="DN55" t="inlineStr">
        <is>
          <t>HeShell</t>
        </is>
      </c>
      <c r="DP55" t="b">
        <v>1</v>
      </c>
      <c r="DT55" t="inlineStr">
        <is>
          <t>casemate_155</t>
        </is>
      </c>
      <c r="EB55" t="n">
        <v>3</v>
      </c>
      <c r="EQ55" t="inlineStr">
        <is>
          <t>M284 155 mm guided (casemate)</t>
        </is>
      </c>
      <c r="ES55" t="inlineStr">
        <is>
          <t>guided</t>
        </is>
      </c>
      <c r="EU55" t="inlineStr">
        <is>
          <t>casemate_155</t>
        </is>
      </c>
      <c r="EZ55" t="n">
        <v>0</v>
      </c>
      <c r="FW55" t="inlineStr">
        <is>
          <t>Ground</t>
        </is>
      </c>
      <c r="GA55" t="inlineStr">
        <is>
          <t>m284_155_mm_guided</t>
        </is>
      </c>
      <c r="GC55" t="inlineStr">
        <is>
          <t>guided</t>
        </is>
      </c>
      <c r="GD55" t="inlineStr">
        <is>
          <t>Assets/MachineBrigade/Resources/Data/balance.json: secondRounds.rounds[14]</t>
        </is>
      </c>
      <c r="GE55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(casemate)","damageType":"HighExplosive","pen":3,"damage":320,"spread":0,"burst":1,"guided":true,"form":"HeShell","targets":"Ground"}</t>
        </is>
      </c>
    </row>
    <row r="56">
      <c r="A56" t="inlineStr">
        <is>
          <t>ciws_aa</t>
        </is>
      </c>
      <c r="B56" t="inlineStr">
        <is>
          <t>AK-630 30 mm</t>
        </is>
      </c>
      <c r="C56" t="inlineStr">
        <is>
          <t>cal_30</t>
        </is>
      </c>
      <c r="D56" t="inlineStr">
        <is>
          <t>ciws</t>
        </is>
      </c>
      <c r="E56" t="inlineStr">
        <is>
          <t>ak_630_30_mm</t>
        </is>
      </c>
      <c r="F56" t="inlineStr">
        <is>
          <t>autocannon</t>
        </is>
      </c>
      <c r="G56" t="n">
        <v>30</v>
      </c>
      <c r="H56" t="inlineStr"/>
      <c r="I56" t="inlineStr"/>
      <c r="J56" t="inlineStr"/>
      <c r="K56" t="inlineStr">
        <is>
          <t>Kinetic</t>
        </is>
      </c>
      <c r="L56" t="n">
        <v>2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0.0167</v>
      </c>
      <c r="S56" t="n">
        <v>60</v>
      </c>
      <c r="T56" t="n">
        <v>5.0167</v>
      </c>
      <c r="U56" t="n">
        <v>0</v>
      </c>
      <c r="V56" t="n">
        <v>0</v>
      </c>
      <c r="W56" t="n">
        <v>12</v>
      </c>
      <c r="X56" t="n">
        <v>0</v>
      </c>
      <c r="Y56" t="n">
        <v>0</v>
      </c>
      <c r="Z56" t="n">
        <v>300</v>
      </c>
      <c r="AA56" t="n">
        <v>34</v>
      </c>
      <c r="AB56" t="n">
        <v>0</v>
      </c>
      <c r="AC56" t="inlineStr">
        <is>
          <t>Air</t>
        </is>
      </c>
      <c r="AD56" t="inlineStr"/>
      <c r="AE56" t="n">
        <v>1.3</v>
      </c>
      <c r="AF56" t="inlineStr">
        <is>
          <t>Small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30</v>
      </c>
      <c r="AO56" t="n">
        <v>0</v>
      </c>
      <c r="AP56" t="inlineStr">
        <is>
          <t>T1</t>
        </is>
      </c>
      <c r="AQ56" t="inlineStr">
        <is>
          <t>hover_ciws</t>
        </is>
      </c>
      <c r="AR56" t="inlineStr">
        <is>
          <t>ciws_aa_flak</t>
        </is>
      </c>
      <c r="AS56" t="inlineStr">
        <is>
          <t>boss</t>
        </is>
      </c>
      <c r="AT56" t="inlineStr">
        <is>
          <t>landing_hovercraft</t>
        </is>
      </c>
      <c r="AU56" t="n">
        <v>1</v>
      </c>
      <c r="AV56" t="inlineStr">
        <is>
          <t>landing_hovercraft:2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0.1133333333333333</v>
      </c>
      <c r="BB56" t="n">
        <v>5000</v>
      </c>
      <c r="BC56" t="n">
        <v>1000</v>
      </c>
      <c r="BD56" t="inlineStr">
        <is>
          <t>aa</t>
        </is>
      </c>
      <c r="BE56" t="inlineStr">
        <is>
          <t>Wikipedia 'AK-630': 4,000-5,000 rpm, 2,000-round belt</t>
        </is>
      </c>
      <c r="BG56" t="inlineStr">
        <is>
          <t>giong</t>
        </is>
      </c>
      <c r="CT56" t="n">
        <v>30</v>
      </c>
      <c r="DJ56" t="inlineStr">
        <is>
          <t>autocannon</t>
        </is>
      </c>
      <c r="DT56" t="inlineStr">
        <is>
          <t>hover_ciws</t>
        </is>
      </c>
      <c r="EB56" t="n">
        <v>2</v>
      </c>
      <c r="EQ56" t="inlineStr">
        <is>
          <t>AK-630 30 mm</t>
        </is>
      </c>
      <c r="EX56" t="n">
        <v>30</v>
      </c>
      <c r="FW56" t="inlineStr">
        <is>
          <t>Air</t>
        </is>
      </c>
      <c r="GA56" t="inlineStr">
        <is>
          <t>ak_630_30_mm</t>
        </is>
      </c>
      <c r="GD56" t="inlineStr">
        <is>
          <t>Assets/MachineBrigade/Resources/Data/balance.json: weapons[241]</t>
        </is>
      </c>
      <c r="GE56" t="inlineStr">
        <is>
          <t>{"id":"ciws_aa","weaponFamily":"ak_630_30_mm","real":"AK-630 30 mm","family":"autocannon","size":30,"caliberMm":30,"pen":2,"inherits":"hover_ciws","targets":"Air"}</t>
        </is>
      </c>
    </row>
    <row r="57">
      <c r="A57" t="inlineStr">
        <is>
          <t>ciws_aa_flak</t>
        </is>
      </c>
      <c r="B57" t="inlineStr">
        <is>
          <t>AK-630 30 mm air-burst</t>
        </is>
      </c>
      <c r="C57" t="inlineStr">
        <is>
          <t>cal_30</t>
        </is>
      </c>
      <c r="D57" t="inlineStr">
        <is>
          <t>flak</t>
        </is>
      </c>
      <c r="E57" t="inlineStr">
        <is>
          <t>ak_630_30_mm_air_burst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Fragmentation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2.5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ciws_aa</t>
        </is>
      </c>
      <c r="AR57" t="inlineStr"/>
      <c r="AS57" t="inlineStr"/>
      <c r="AT57" t="inlineStr"/>
      <c r="AU57" t="n">
        <v>0</v>
      </c>
      <c r="AV57" t="inlineStr"/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DE57" t="n">
        <v>12</v>
      </c>
      <c r="DF57" t="inlineStr">
        <is>
          <t>Fragmentation</t>
        </is>
      </c>
      <c r="DM57" t="inlineStr">
        <is>
          <t>air</t>
        </is>
      </c>
      <c r="DN57" t="inlineStr">
        <is>
          <t>Airburst</t>
        </is>
      </c>
      <c r="DT57" t="inlineStr">
        <is>
          <t>ciws_aa</t>
        </is>
      </c>
      <c r="EB57" t="n">
        <v>2</v>
      </c>
      <c r="EE57" t="b">
        <v>0</v>
      </c>
      <c r="EQ57" t="inlineStr">
        <is>
          <t>AK-630 30 mm air-burst</t>
        </is>
      </c>
      <c r="ES57" t="inlineStr">
        <is>
          <t>flak</t>
        </is>
      </c>
      <c r="EU57" t="inlineStr">
        <is>
          <t>ciws_aa</t>
        </is>
      </c>
      <c r="EY57" t="n">
        <v>2.5</v>
      </c>
      <c r="FW57" t="inlineStr">
        <is>
          <t>Air</t>
        </is>
      </c>
      <c r="GA57" t="inlineStr">
        <is>
          <t>ak_630_30_mm_air_burst</t>
        </is>
      </c>
      <c r="GC57" t="inlineStr">
        <is>
          <t>flak</t>
        </is>
      </c>
      <c r="GD57" t="inlineStr">
        <is>
          <t>Assets/MachineBrigade/Resources/Data/balance.json: secondRounds.rounds[15]</t>
        </is>
      </c>
      <c r="GE57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8">
      <c r="A58" t="inlineStr">
        <is>
          <t>coilgun</t>
        </is>
      </c>
      <c r="B58" t="inlineStr">
        <is>
          <t>coilgun (10 MJ)</t>
        </is>
      </c>
      <c r="C58" t="inlineStr">
        <is>
          <t>rail_coilgun</t>
        </is>
      </c>
      <c r="D58" t="inlineStr"/>
      <c r="E58" t="inlineStr"/>
      <c r="F58" t="inlineStr">
        <is>
          <t>railgun</t>
        </is>
      </c>
      <c r="G58" t="inlineStr"/>
      <c r="H58" t="inlineStr"/>
      <c r="I58" t="inlineStr"/>
      <c r="J58" t="n">
        <v>10</v>
      </c>
      <c r="K58" t="inlineStr">
        <is>
          <t>Kinetic</t>
        </is>
      </c>
      <c r="L58" t="n">
        <v>4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2</v>
      </c>
      <c r="Q58" t="n">
        <v>0.25</v>
      </c>
      <c r="R58" t="n">
        <v>4.54</v>
      </c>
      <c r="S58" t="n">
        <v>0</v>
      </c>
      <c r="T58" t="n">
        <v>0</v>
      </c>
      <c r="U58" t="n">
        <v>0</v>
      </c>
      <c r="V58" t="n">
        <v>0</v>
      </c>
      <c r="W58" t="n">
        <v>250</v>
      </c>
      <c r="X58" t="n">
        <v>0</v>
      </c>
      <c r="Y58" t="n">
        <v>0</v>
      </c>
      <c r="Z58" t="n">
        <v>420</v>
      </c>
      <c r="AA58" t="n">
        <v>55</v>
      </c>
      <c r="AB58" t="n">
        <v>0</v>
      </c>
      <c r="AC58" t="inlineStr">
        <is>
          <t>All</t>
        </is>
      </c>
      <c r="AD58" t="inlineStr"/>
      <c r="AE58" t="n">
        <v>0.6</v>
      </c>
      <c r="AF58" t="inlineStr">
        <is>
          <t>Large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10</v>
      </c>
      <c r="AO58" t="n">
        <v>0</v>
      </c>
      <c r="AP58" t="inlineStr">
        <is>
          <t>T3</t>
        </is>
      </c>
      <c r="AQ58" t="inlineStr"/>
      <c r="AR58" t="inlineStr"/>
      <c r="AS58" t="inlineStr">
        <is>
          <t>boss</t>
        </is>
      </c>
      <c r="AT58" t="inlineStr">
        <is>
          <t>behemoth_tempest</t>
        </is>
      </c>
      <c r="AU58" t="n">
        <v>1</v>
      </c>
      <c r="AV58" t="inlineStr">
        <is>
          <t>behemoth_tempest:1;behemoth_tempest:2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0.130952380952381</v>
      </c>
      <c r="BB58" t="inlineStr">
        <is>
          <t>NEED_SOURCE</t>
        </is>
      </c>
      <c r="BC58" t="inlineStr">
        <is>
          <t>NEED_SOURCE</t>
        </is>
      </c>
      <c r="BE58" t="inlineStr">
        <is>
          <t>NEED_SOURCE</t>
        </is>
      </c>
      <c r="BG58" t="inlineStr">
        <is>
          <t>giong</t>
        </is>
      </c>
      <c r="CR58" t="n">
        <v>2</v>
      </c>
      <c r="CS58" t="n">
        <v>0.25</v>
      </c>
      <c r="CV58" t="n">
        <v>0.5</v>
      </c>
      <c r="DD58" t="n">
        <v>4.54</v>
      </c>
      <c r="DE58" t="n">
        <v>250</v>
      </c>
      <c r="DF58" t="inlineStr">
        <is>
          <t>Kinetic</t>
        </is>
      </c>
      <c r="DI58" t="n">
        <v>10</v>
      </c>
      <c r="DJ58" t="inlineStr">
        <is>
          <t>railgun</t>
        </is>
      </c>
      <c r="DO58" t="n">
        <v>17</v>
      </c>
      <c r="DS58" t="inlineStr">
        <is>
          <t>Large</t>
        </is>
      </c>
      <c r="EB58" t="n">
        <v>4</v>
      </c>
      <c r="EE58" t="b">
        <v>1</v>
      </c>
      <c r="EH58" t="inlineStr">
        <is>
          <t>Bullet</t>
        </is>
      </c>
      <c r="EK58" t="n">
        <v>420</v>
      </c>
      <c r="EP58" t="n">
        <v>55</v>
      </c>
      <c r="EQ58" t="inlineStr">
        <is>
          <t>coilgun (10 MJ)</t>
        </is>
      </c>
      <c r="EX58" t="n">
        <v>10</v>
      </c>
      <c r="EZ58" t="n">
        <v>0.6</v>
      </c>
      <c r="FW58" t="inlineStr">
        <is>
          <t>All</t>
        </is>
      </c>
      <c r="GB58" t="inlineStr">
        <is>
          <t>rail_coilgun</t>
        </is>
      </c>
      <c r="GD58" t="inlineStr">
        <is>
          <t>Assets/MachineBrigade/Resources/Data/balance.json: weapons[132]</t>
        </is>
      </c>
      <c r="GE58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59">
      <c r="A59" t="inlineStr">
        <is>
          <t>cruise_missile_ground</t>
        </is>
      </c>
      <c r="B59" t="inlineStr">
        <is>
          <t>Typhon MRC (ground-launched Tomahawk)</t>
        </is>
      </c>
      <c r="C59" t="inlineStr">
        <is>
          <t>cruise_typhon_mrc</t>
        </is>
      </c>
      <c r="D59" t="inlineStr"/>
      <c r="E59" t="inlineStr"/>
      <c r="F59" t="inlineStr">
        <is>
          <t>cruise_missile</t>
        </is>
      </c>
      <c r="G59" t="inlineStr"/>
      <c r="H59" t="n">
        <v>450</v>
      </c>
      <c r="I59" t="inlineStr"/>
      <c r="J59" t="inlineStr"/>
      <c r="K59" t="inlineStr">
        <is>
          <t>ShapedCharge</t>
        </is>
      </c>
      <c r="L59" t="n">
        <v>4</v>
      </c>
      <c r="M59" t="inlineStr">
        <is>
          <t>Missile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15</v>
      </c>
      <c r="S59" t="n">
        <v>2</v>
      </c>
      <c r="T59" t="n">
        <v>30</v>
      </c>
      <c r="U59" t="n">
        <v>0</v>
      </c>
      <c r="V59" t="n">
        <v>0</v>
      </c>
      <c r="W59" t="n">
        <v>450</v>
      </c>
      <c r="X59" t="n">
        <v>0</v>
      </c>
      <c r="Y59" t="n">
        <v>0</v>
      </c>
      <c r="Z59" t="n">
        <v>70</v>
      </c>
      <c r="AA59" t="n">
        <v>180</v>
      </c>
      <c r="AB59" t="n">
        <v>0</v>
      </c>
      <c r="AC59" t="inlineStr">
        <is>
          <t>All</t>
        </is>
      </c>
      <c r="AD59" t="inlineStr"/>
      <c r="AE59" t="n">
        <v>0</v>
      </c>
      <c r="AF59" t="inlineStr">
        <is>
          <t>Huge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450</v>
      </c>
      <c r="AO59" t="n">
        <v>0</v>
      </c>
      <c r="AP59" t="inlineStr">
        <is>
          <t>T4</t>
        </is>
      </c>
      <c r="AQ59" t="inlineStr"/>
      <c r="AR59" t="inlineStr"/>
      <c r="AS59" t="inlineStr">
        <is>
          <t>xe</t>
        </is>
      </c>
      <c r="AT59" t="inlineStr">
        <is>
          <t>ground_cruise_missile_vehicle</t>
        </is>
      </c>
      <c r="AU59" t="n">
        <v>1</v>
      </c>
      <c r="AV59" t="inlineStr">
        <is>
          <t>ground_cruise_missile_vehicle:0</t>
        </is>
      </c>
      <c r="AW59" t="n">
        <v>2.5</v>
      </c>
      <c r="AX59" t="b">
        <v>0</v>
      </c>
      <c r="AY59" t="inlineStr"/>
      <c r="AZ59">
        <f>IF(AND($AX$59,$AW$59&gt;$AA$59/$Z$59),$AW$59,$AA$59/$Z$59)</f>
        <v/>
      </c>
      <c r="BA59" t="n">
        <v>2.571428571428572</v>
      </c>
      <c r="BB59" t="n">
        <v>20</v>
      </c>
      <c r="BC59" t="n">
        <v>6</v>
      </c>
      <c r="BD59" t="inlineStr">
        <is>
          <t>missile</t>
        </is>
      </c>
      <c r="BE59" t="inlineStr">
        <is>
          <t>cruise missiles: ~3 s between launches (est.)</t>
        </is>
      </c>
      <c r="BG59" t="inlineStr">
        <is>
          <t>doi</t>
        </is>
      </c>
      <c r="BR59" t="n">
        <v>22</v>
      </c>
      <c r="BS59" t="n">
        <v>70</v>
      </c>
      <c r="CW59" t="n">
        <v>2</v>
      </c>
      <c r="CX59" t="n">
        <v>30</v>
      </c>
      <c r="DD59" t="n">
        <v>15</v>
      </c>
      <c r="DE59" t="n">
        <v>450</v>
      </c>
      <c r="DF59" t="inlineStr">
        <is>
          <t>ShapedCharge</t>
        </is>
      </c>
      <c r="DJ59" t="inlineStr">
        <is>
          <t>cruise_missile</t>
        </is>
      </c>
      <c r="DL59" t="inlineStr">
        <is>
          <t>Loft</t>
        </is>
      </c>
      <c r="DS59" t="inlineStr">
        <is>
          <t>Huge</t>
        </is>
      </c>
      <c r="EB59" t="n">
        <v>4</v>
      </c>
      <c r="EH59" t="inlineStr">
        <is>
          <t>Missile</t>
        </is>
      </c>
      <c r="EK59" t="n">
        <v>70</v>
      </c>
      <c r="EP59" t="n">
        <v>180</v>
      </c>
      <c r="EQ59" t="inlineStr">
        <is>
          <t>Typhon MRC (ground-launched Tomahawk)</t>
        </is>
      </c>
      <c r="EX59" t="n">
        <v>450</v>
      </c>
      <c r="FW59" t="inlineStr">
        <is>
          <t>All</t>
        </is>
      </c>
      <c r="FZ59" t="n">
        <v>450</v>
      </c>
      <c r="GB59" t="inlineStr">
        <is>
          <t>cruise_typhon_mrc</t>
        </is>
      </c>
      <c r="GD59" t="inlineStr">
        <is>
          <t>Assets/MachineBrigade/Resources/Data/balance.json: weapons[263]</t>
        </is>
      </c>
      <c r="GE59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Tomahawk)","family":"cruise_missile","size":450,"warheadKg":450,"pen":4,"damageType":"ShapedCharge","damage":450,"cooldown":15,"range":180,"projectileSpeed":70,"impactTier":"Huge","projectile":"Missile","targets":"All","clip":2,"clipReload":30}</t>
        </is>
      </c>
    </row>
    <row r="60">
      <c r="A60" t="inlineStr">
        <is>
          <t>cruiser_203</t>
        </is>
      </c>
      <c r="B60" t="inlineStr">
        <is>
          <t>Mk 71 203 mm (twin)</t>
        </is>
      </c>
      <c r="C60" t="inlineStr">
        <is>
          <t>cal_203</t>
        </is>
      </c>
      <c r="D60" t="inlineStr"/>
      <c r="E60" t="inlineStr"/>
      <c r="F60" t="inlineStr">
        <is>
          <t>howitzer</t>
        </is>
      </c>
      <c r="G60" t="n">
        <v>203</v>
      </c>
      <c r="H60" t="inlineStr"/>
      <c r="I60" t="inlineStr"/>
      <c r="J60" t="inlineStr"/>
      <c r="K60" t="inlineStr">
        <is>
          <t>HighExplosive</t>
        </is>
      </c>
      <c r="L60" t="n">
        <v>4</v>
      </c>
      <c r="M60" t="inlineStr">
        <is>
          <t>Shell</t>
        </is>
      </c>
      <c r="N60" t="n">
        <v>2</v>
      </c>
      <c r="O60" t="inlineStr">
        <is>
          <t>SIMULTANEOUS</t>
        </is>
      </c>
      <c r="P60" t="n">
        <v>1</v>
      </c>
      <c r="Q60" t="n">
        <v>0.4</v>
      </c>
      <c r="R60" t="n">
        <v>11.8</v>
      </c>
      <c r="S60" t="n">
        <v>0</v>
      </c>
      <c r="T60" t="n">
        <v>0</v>
      </c>
      <c r="U60" t="n">
        <v>0</v>
      </c>
      <c r="V60" t="n">
        <v>0</v>
      </c>
      <c r="W60" t="n">
        <v>420</v>
      </c>
      <c r="X60" t="n">
        <v>8</v>
      </c>
      <c r="Y60" t="n">
        <v>0</v>
      </c>
      <c r="Z60" t="n">
        <v>110</v>
      </c>
      <c r="AA60" t="n">
        <v>105</v>
      </c>
      <c r="AB60" t="n">
        <v>0</v>
      </c>
      <c r="AC60" t="inlineStr">
        <is>
          <t>Ground</t>
        </is>
      </c>
      <c r="AD60" t="inlineStr"/>
      <c r="AE60" t="n">
        <v>2.6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203</v>
      </c>
      <c r="AO60" t="n">
        <v>0</v>
      </c>
      <c r="AP60" t="inlineStr">
        <is>
          <t>T4</t>
        </is>
      </c>
      <c r="AQ60" t="inlineStr">
        <is>
          <t>naval_76</t>
        </is>
      </c>
      <c r="AR60" t="inlineStr">
        <is>
          <t>cruiser_203_guided</t>
        </is>
      </c>
      <c r="AS60" t="inlineStr">
        <is>
          <t>xe</t>
        </is>
      </c>
      <c r="AT60" t="inlineStr">
        <is>
          <t>sea_cruiser</t>
        </is>
      </c>
      <c r="AU60" t="n">
        <v>1</v>
      </c>
      <c r="AV60" t="inlineStr">
        <is>
          <t>sea_cruiser:0;sea_cruiser:1</t>
        </is>
      </c>
      <c r="AW60" t="n">
        <v>2.5</v>
      </c>
      <c r="AX60" t="b">
        <v>1</v>
      </c>
      <c r="AY60" t="inlineStr"/>
      <c r="AZ60">
        <f>IF(AND($AX$60,$AW$60&gt;$AA$60/$Z$60),$AW$60,$AA$60/$Z$60)</f>
        <v/>
      </c>
      <c r="BA60" t="n">
        <v>2.5</v>
      </c>
      <c r="BB60" t="n">
        <v>12</v>
      </c>
      <c r="BC60" t="n">
        <v>12</v>
      </c>
      <c r="BD60" t="inlineStr">
        <is>
          <t>gun</t>
        </is>
      </c>
      <c r="BE60" t="inlineStr">
        <is>
          <t>Wikipedia '8"/55 caliber Mark 71': 12 rpm</t>
        </is>
      </c>
      <c r="BG60" t="inlineStr">
        <is>
          <t>doi</t>
        </is>
      </c>
      <c r="BJ60" t="n">
        <v>11.4</v>
      </c>
      <c r="BK60" t="n">
        <v>11.8</v>
      </c>
      <c r="BR60" t="n">
        <v>70</v>
      </c>
      <c r="BS60" t="n">
        <v>110</v>
      </c>
      <c r="BT60" t="n">
        <v>2</v>
      </c>
      <c r="BU60" t="n">
        <v>1</v>
      </c>
      <c r="BX60" t="n">
        <v>1</v>
      </c>
      <c r="BY60" t="n">
        <v>2</v>
      </c>
      <c r="BZ60" t="inlineStr">
        <is>
          <t>RIPPLE</t>
        </is>
      </c>
      <c r="CA60" t="inlineStr">
        <is>
          <t>SIMULTANEOUS</t>
        </is>
      </c>
      <c r="CO60" t="n">
        <v>2</v>
      </c>
      <c r="CR60" t="n">
        <v>1</v>
      </c>
      <c r="CS60" t="n">
        <v>0.4</v>
      </c>
      <c r="CT60" t="n">
        <v>203</v>
      </c>
      <c r="DD60" t="n">
        <v>11.8</v>
      </c>
      <c r="DE60" t="n">
        <v>420</v>
      </c>
      <c r="DJ60" t="inlineStr">
        <is>
          <t>howitzer</t>
        </is>
      </c>
      <c r="DS60" t="inlineStr">
        <is>
          <t>Huge</t>
        </is>
      </c>
      <c r="DT60" t="inlineStr">
        <is>
          <t>naval_76</t>
        </is>
      </c>
      <c r="EB60" t="n">
        <v>4</v>
      </c>
      <c r="EI60" t="inlineStr">
        <is>
          <t>shell_155</t>
        </is>
      </c>
      <c r="EJ60" t="n">
        <v>0.9455</v>
      </c>
      <c r="EK60" t="n">
        <v>110</v>
      </c>
      <c r="EP60" t="n">
        <v>105</v>
      </c>
      <c r="EQ60" t="inlineStr">
        <is>
          <t>Mk 71 203 mm (twin)</t>
        </is>
      </c>
      <c r="ET60" t="n">
        <v>1.04</v>
      </c>
      <c r="EW60" t="inlineStr">
        <is>
          <t>SIMULTANEOUS</t>
        </is>
      </c>
      <c r="EX60" t="n">
        <v>203</v>
      </c>
      <c r="EY60" t="n">
        <v>8</v>
      </c>
      <c r="EZ60" t="n">
        <v>2.6</v>
      </c>
      <c r="GB60" t="inlineStr">
        <is>
          <t>cal_203</t>
        </is>
      </c>
      <c r="GD60" t="inlineStr">
        <is>
          <t>Assets/MachineBrigade/Resources/Data/balance.json: weapons[235]</t>
        </is>
      </c>
      <c r="GE60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(twin)","family":"howitzer","size":203,"caliberMm":203,"pen":4,"projectileModel":"shell_155","roundLength":1.04,"projectileScale":0.9455,"damage":420,"cooldown":11.8,"range":105,"projectileSpeed":110,"splash":8,"spread":2.6,"impactTier":"Huge","burst":1,"burstInterval":0.4}</t>
        </is>
      </c>
    </row>
    <row r="61">
      <c r="A61" t="inlineStr">
        <is>
          <t>cruiser_203_guided</t>
        </is>
      </c>
      <c r="B61" t="inlineStr">
        <is>
          <t>Mk 71 203 mm guided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1</v>
      </c>
      <c r="O61" t="inlineStr">
        <is>
          <t>RIPPLE</t>
        </is>
      </c>
      <c r="P61" t="n">
        <v>1</v>
      </c>
      <c r="Q61" t="n">
        <v>0.4</v>
      </c>
      <c r="R61" t="n">
        <v>11.8</v>
      </c>
      <c r="S61" t="n">
        <v>0</v>
      </c>
      <c r="T61" t="n">
        <v>0</v>
      </c>
      <c r="U61" t="n">
        <v>0</v>
      </c>
      <c r="V61" t="n">
        <v>0</v>
      </c>
      <c r="W61" t="n">
        <v>420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0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1</v>
      </c>
      <c r="AN61" t="n">
        <v>203</v>
      </c>
      <c r="AO61" t="n">
        <v>0</v>
      </c>
      <c r="AP61" t="inlineStr">
        <is>
          <t>T4</t>
        </is>
      </c>
      <c r="AQ61" t="inlineStr">
        <is>
          <t>cruiser_203</t>
        </is>
      </c>
      <c r="AR61" t="inlineStr"/>
      <c r="AS61" t="inlineStr"/>
      <c r="AT61" t="inlineStr"/>
      <c r="AU61" t="n">
        <v>0</v>
      </c>
      <c r="AV61" t="inlineStr"/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J61" t="n">
        <v>11.4</v>
      </c>
      <c r="BK61" t="n">
        <v>11.8</v>
      </c>
      <c r="BR61" t="n">
        <v>70</v>
      </c>
      <c r="BS61" t="n">
        <v>110</v>
      </c>
      <c r="CO61" t="n">
        <v>1</v>
      </c>
      <c r="CR61" t="n">
        <v>1</v>
      </c>
      <c r="DE61" t="n">
        <v>420</v>
      </c>
      <c r="DF61" t="inlineStr">
        <is>
          <t>HighExplosive</t>
        </is>
      </c>
      <c r="DH61" t="b">
        <v>1</v>
      </c>
      <c r="DM61" t="inlineStr">
        <is>
          <t>armour</t>
        </is>
      </c>
      <c r="DN61" t="inlineStr">
        <is>
          <t>HeShell</t>
        </is>
      </c>
      <c r="DP61" t="b">
        <v>1</v>
      </c>
      <c r="DT61" t="inlineStr">
        <is>
          <t>cruiser_203</t>
        </is>
      </c>
      <c r="EB61" t="n">
        <v>4</v>
      </c>
      <c r="EQ61" t="inlineStr">
        <is>
          <t>Mk 71 203 mm guided (twin)</t>
        </is>
      </c>
      <c r="ES61" t="inlineStr">
        <is>
          <t>guided</t>
        </is>
      </c>
      <c r="EU61" t="inlineStr">
        <is>
          <t>cruiser_203</t>
        </is>
      </c>
      <c r="EW61" t="inlineStr">
        <is>
          <t>RIPPLE</t>
        </is>
      </c>
      <c r="EZ61" t="n">
        <v>0</v>
      </c>
      <c r="FW61" t="inlineStr">
        <is>
          <t>Ground</t>
        </is>
      </c>
      <c r="GA61" t="inlineStr"/>
      <c r="GD61" t="inlineStr">
        <is>
          <t>Assets/MachineBrigade/Resources/Data/balance.json: secondRounds.rounds[16]</t>
        </is>
      </c>
      <c r="GE61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(twin)","damageType":"HighExplosive","pen":4,"damage":420,"spread":0,"burst":1,"guided":true,"form":"HeShell","targets":"Ground"}</t>
        </is>
      </c>
    </row>
    <row r="62">
      <c r="A62" t="inlineStr">
        <is>
          <t>detonator</t>
        </is>
      </c>
      <c r="B62" t="inlineStr">
        <is>
          <t>car bomb (900 kg)</t>
        </is>
      </c>
      <c r="C62" t="inlineStr">
        <is>
          <t>bomb_car_bomb</t>
        </is>
      </c>
      <c r="D62" t="inlineStr"/>
      <c r="E62" t="inlineStr"/>
      <c r="F62" t="inlineStr">
        <is>
          <t>bomb</t>
        </is>
      </c>
      <c r="G62" t="inlineStr"/>
      <c r="H62" t="n">
        <v>900</v>
      </c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0.1</v>
      </c>
      <c r="R62" t="n">
        <v>1</v>
      </c>
      <c r="S62" t="n">
        <v>0</v>
      </c>
      <c r="T62" t="n">
        <v>0</v>
      </c>
      <c r="U62" t="n">
        <v>0</v>
      </c>
      <c r="V62" t="n">
        <v>0</v>
      </c>
      <c r="W62" t="n">
        <v>770</v>
      </c>
      <c r="X62" t="n">
        <v>10</v>
      </c>
      <c r="Y62" t="n">
        <v>0</v>
      </c>
      <c r="Z62" t="n">
        <v>100</v>
      </c>
      <c r="AA62" t="n">
        <v>3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Ultimate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900</v>
      </c>
      <c r="AO62" t="n">
        <v>0</v>
      </c>
      <c r="AP62" t="inlineStr">
        <is>
          <t>T4</t>
        </is>
      </c>
      <c r="AQ62" t="inlineStr"/>
      <c r="AR62" t="inlineStr"/>
      <c r="AS62" t="inlineStr">
        <is>
          <t>xe</t>
        </is>
      </c>
      <c r="AT62" t="inlineStr">
        <is>
          <t>vbied</t>
        </is>
      </c>
      <c r="AU62" t="n">
        <v>1</v>
      </c>
      <c r="AV62" t="inlineStr">
        <is>
          <t>vbied:0</t>
        </is>
      </c>
      <c r="AW62" t="n">
        <v>2.722222222222222</v>
      </c>
      <c r="AX62" t="b">
        <v>1</v>
      </c>
      <c r="AY62" t="inlineStr"/>
      <c r="AZ62">
        <f>IF(AND($AX$62,$AW$62&gt;$AA$62/$Z$62),$AW$62,$AA$62/$Z$62)</f>
        <v/>
      </c>
      <c r="BA62" t="n">
        <v>2.722222222222222</v>
      </c>
      <c r="BB62" t="n">
        <v>600</v>
      </c>
      <c r="BC62" t="inlineStr"/>
      <c r="BD62" t="inlineStr">
        <is>
          <t>bomb</t>
        </is>
      </c>
      <c r="BE62" t="inlineStr">
        <is>
          <t>a stick's release, 0.1 s and up (est.)</t>
        </is>
      </c>
      <c r="BG62" t="inlineStr">
        <is>
          <t>giong</t>
        </is>
      </c>
      <c r="DD62" t="n">
        <v>1</v>
      </c>
      <c r="DE62" t="n">
        <v>770</v>
      </c>
      <c r="DF62" t="inlineStr">
        <is>
          <t>HighExplosive</t>
        </is>
      </c>
      <c r="DJ62" t="inlineStr">
        <is>
          <t>bomb</t>
        </is>
      </c>
      <c r="DN62" t="inlineStr">
        <is>
          <t>CarBomb</t>
        </is>
      </c>
      <c r="DS62" t="inlineStr">
        <is>
          <t>Ultimate</t>
        </is>
      </c>
      <c r="EB62" t="n">
        <v>4</v>
      </c>
      <c r="EK62" t="n">
        <v>100</v>
      </c>
      <c r="EP62" t="n">
        <v>3</v>
      </c>
      <c r="EQ62" t="inlineStr">
        <is>
          <t>car bomb (900 kg)</t>
        </is>
      </c>
      <c r="EX62" t="n">
        <v>900</v>
      </c>
      <c r="EY62" t="n">
        <v>10</v>
      </c>
      <c r="FZ62" t="n">
        <v>900</v>
      </c>
      <c r="GB62" t="inlineStr">
        <is>
          <t>bomb_car_bomb</t>
        </is>
      </c>
      <c r="GD62" t="inlineStr">
        <is>
          <t>Assets/MachineBrigade/Resources/Data/balance.json: weapons[72]</t>
        </is>
      </c>
      <c r="GE62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3">
      <c r="A63" t="inlineStr">
        <is>
          <t>dozer_blade</t>
        </is>
      </c>
      <c r="B63" t="inlineStr">
        <is>
          <t>dozer blade</t>
        </is>
      </c>
      <c r="C63" t="inlineStr">
        <is>
          <t>melee_dozer_blade</t>
        </is>
      </c>
      <c r="D63" t="inlineStr"/>
      <c r="E63" t="inlineStr"/>
      <c r="F63" t="inlineStr">
        <is>
          <t>melee</t>
        </is>
      </c>
      <c r="G63" t="inlineStr"/>
      <c r="H63" t="inlineStr"/>
      <c r="I63" t="inlineStr"/>
      <c r="J63" t="inlineStr"/>
      <c r="K63" t="inlineStr">
        <is>
          <t>Kinetic</t>
        </is>
      </c>
      <c r="L63" t="n">
        <v>3</v>
      </c>
      <c r="M63" t="inlineStr">
        <is>
          <t>Bullet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1.6</v>
      </c>
      <c r="S63" t="n">
        <v>0</v>
      </c>
      <c r="T63" t="n">
        <v>0</v>
      </c>
      <c r="U63" t="n">
        <v>0</v>
      </c>
      <c r="V63" t="n">
        <v>0</v>
      </c>
      <c r="W63" t="n">
        <v>110</v>
      </c>
      <c r="X63" t="n">
        <v>0</v>
      </c>
      <c r="Y63" t="n">
        <v>0</v>
      </c>
      <c r="Z63" t="n">
        <v>400</v>
      </c>
      <c r="AA63" t="n">
        <v>4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Medium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1</v>
      </c>
      <c r="AO63" t="n">
        <v>0</v>
      </c>
      <c r="AP63" t="inlineStr">
        <is>
          <t>T0</t>
        </is>
      </c>
      <c r="AQ63" t="inlineStr"/>
      <c r="AR63" t="inlineStr"/>
      <c r="AS63" t="inlineStr">
        <is>
          <t>xe</t>
        </is>
      </c>
      <c r="AT63" t="inlineStr">
        <is>
          <t>armored_bulldozer</t>
        </is>
      </c>
      <c r="AU63" t="n">
        <v>1</v>
      </c>
      <c r="AV63" t="inlineStr">
        <is>
          <t>armored_bulldozer:0</t>
        </is>
      </c>
      <c r="AW63" t="n">
        <v>0</v>
      </c>
      <c r="AX63" t="b">
        <v>0</v>
      </c>
      <c r="AY63" t="inlineStr"/>
      <c r="AZ63">
        <f>IF(AND($AX$63,$AW$63&gt;$AA$63/$Z$63),$AW$63,$AA$63/$Z$63)</f>
        <v/>
      </c>
      <c r="BA63" t="n">
        <v>0.01</v>
      </c>
      <c r="BB63" t="inlineStr">
        <is>
          <t>NEED_SOURCE</t>
        </is>
      </c>
      <c r="BC63" t="inlineStr">
        <is>
          <t>NEED_SOURCE</t>
        </is>
      </c>
      <c r="BE63" t="inlineStr">
        <is>
          <t>NEED_SOURCE</t>
        </is>
      </c>
      <c r="BG63" t="inlineStr">
        <is>
          <t>giong</t>
        </is>
      </c>
      <c r="DD63" t="n">
        <v>1.6</v>
      </c>
      <c r="DE63" t="n">
        <v>110</v>
      </c>
      <c r="DF63" t="inlineStr">
        <is>
          <t>Kinetic</t>
        </is>
      </c>
      <c r="DJ63" t="inlineStr">
        <is>
          <t>melee</t>
        </is>
      </c>
      <c r="DS63" t="inlineStr">
        <is>
          <t>Medium</t>
        </is>
      </c>
      <c r="DY63" t="b">
        <v>1</v>
      </c>
      <c r="EB63" t="n">
        <v>3</v>
      </c>
      <c r="EE63" t="b">
        <v>1</v>
      </c>
      <c r="EH63" t="inlineStr">
        <is>
          <t>Bullet</t>
        </is>
      </c>
      <c r="EK63" t="n">
        <v>400</v>
      </c>
      <c r="EP63" t="n">
        <v>4</v>
      </c>
      <c r="EQ63" t="inlineStr">
        <is>
          <t>dozer blade</t>
        </is>
      </c>
      <c r="EX63" t="n">
        <v>1</v>
      </c>
      <c r="FW63" t="inlineStr">
        <is>
          <t>Ground</t>
        </is>
      </c>
      <c r="GB63" t="inlineStr">
        <is>
          <t>melee_dozer_blade</t>
        </is>
      </c>
      <c r="GD63" t="inlineStr">
        <is>
          <t>Assets/MachineBrigade/Resources/Data/balance.json: weapons[104]</t>
        </is>
      </c>
      <c r="GE63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4">
      <c r="A64" t="inlineStr">
        <is>
          <t>drone_gun</t>
        </is>
      </c>
      <c r="B64" t="inlineStr">
        <is>
          <t>M3P 12.7 mm</t>
        </is>
      </c>
      <c r="C64" t="inlineStr">
        <is>
          <t>cal_12_7</t>
        </is>
      </c>
      <c r="D64" t="inlineStr"/>
      <c r="E64" t="inlineStr"/>
      <c r="F64" t="inlineStr">
        <is>
          <t>mg</t>
        </is>
      </c>
      <c r="G64" t="n">
        <v>12.7</v>
      </c>
      <c r="H64" t="inlineStr"/>
      <c r="I64" t="inlineStr"/>
      <c r="J64" t="inlineStr"/>
      <c r="K64" t="inlineStr">
        <is>
          <t>Kinetic</t>
        </is>
      </c>
      <c r="L64" t="n">
        <v>1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0.158</v>
      </c>
      <c r="S64" t="n">
        <v>0</v>
      </c>
      <c r="T64" t="n">
        <v>0</v>
      </c>
      <c r="U64" t="n">
        <v>0</v>
      </c>
      <c r="V64" t="n">
        <v>0</v>
      </c>
      <c r="W64" t="n">
        <v>9.5</v>
      </c>
      <c r="X64" t="n">
        <v>0</v>
      </c>
      <c r="Y64" t="n">
        <v>0</v>
      </c>
      <c r="Z64" t="n">
        <v>220</v>
      </c>
      <c r="AA64" t="n">
        <v>26</v>
      </c>
      <c r="AB64" t="n">
        <v>0</v>
      </c>
      <c r="AC64" t="inlineStr">
        <is>
          <t>Ground</t>
        </is>
      </c>
      <c r="AD64" t="inlineStr"/>
      <c r="AE64" t="n">
        <v>1.4</v>
      </c>
      <c r="AF64" t="inlineStr">
        <is>
          <t>Small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12.7</v>
      </c>
      <c r="AO64" t="n">
        <v>0</v>
      </c>
      <c r="AP64" t="inlineStr">
        <is>
          <t>T0</t>
        </is>
      </c>
      <c r="AQ64" t="inlineStr"/>
      <c r="AR64" t="inlineStr"/>
      <c r="AS64" t="inlineStr"/>
      <c r="AT64" t="inlineStr"/>
      <c r="AU64" t="n">
        <v>0</v>
      </c>
      <c r="AV64" t="inlineStr"/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0.1181818181818182</v>
      </c>
      <c r="BB64" t="n">
        <v>1200</v>
      </c>
      <c r="BC64" t="n">
        <v>200</v>
      </c>
      <c r="BD64" t="inlineStr">
        <is>
          <t>mg</t>
        </is>
      </c>
      <c r="BE64" t="inlineStr">
        <is>
          <t>Wikipedia 'M3 Browning' (AN/M3): 1,100-1,250 rpm</t>
        </is>
      </c>
      <c r="BG64" t="inlineStr">
        <is>
          <t>giong</t>
        </is>
      </c>
      <c r="CT64" t="n">
        <v>12.7</v>
      </c>
      <c r="DD64" t="n">
        <v>0.158</v>
      </c>
      <c r="DE64" t="n">
        <v>9.5</v>
      </c>
      <c r="DF64" t="inlineStr">
        <is>
          <t>Kinetic</t>
        </is>
      </c>
      <c r="DJ64" t="inlineStr">
        <is>
          <t>mg</t>
        </is>
      </c>
      <c r="DS64" t="inlineStr">
        <is>
          <t>Small</t>
        </is>
      </c>
      <c r="EB64" t="n">
        <v>1</v>
      </c>
      <c r="EH64" t="inlineStr">
        <is>
          <t>Bullet</t>
        </is>
      </c>
      <c r="EK64" t="n">
        <v>220</v>
      </c>
      <c r="EP64" t="n">
        <v>26</v>
      </c>
      <c r="EQ64" t="inlineStr">
        <is>
          <t>M3P 12.7 mm</t>
        </is>
      </c>
      <c r="EV64" t="n">
        <v>12</v>
      </c>
      <c r="EX64" t="n">
        <v>12.7</v>
      </c>
      <c r="EZ64" t="n">
        <v>1.4</v>
      </c>
      <c r="GB64" t="inlineStr">
        <is>
          <t>cal_12_7</t>
        </is>
      </c>
      <c r="GD64" t="inlineStr">
        <is>
          <t>Assets/MachineBrigade/Resources/Data/balance.json: weapons[221]</t>
        </is>
      </c>
      <c r="GE64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5">
      <c r="A65" t="inlineStr">
        <is>
          <t>drone_missile</t>
        </is>
      </c>
      <c r="B65" t="inlineStr">
        <is>
          <t>AGM-114 Hellfire</t>
        </is>
      </c>
      <c r="C65" t="inlineStr">
        <is>
          <t>atgm_agm_114_hellfire</t>
        </is>
      </c>
      <c r="D65" t="inlineStr"/>
      <c r="E65" t="inlineStr">
        <is>
          <t>agm_114_hellfire</t>
        </is>
      </c>
      <c r="F65" t="inlineStr">
        <is>
          <t>atgm</t>
        </is>
      </c>
      <c r="G65" t="inlineStr"/>
      <c r="H65" t="n">
        <v>9</v>
      </c>
      <c r="I65" t="inlineStr"/>
      <c r="J65" t="inlineStr"/>
      <c r="K65" t="inlineStr">
        <is>
          <t>ShapedCharge</t>
        </is>
      </c>
      <c r="L65" t="n">
        <v>4</v>
      </c>
      <c r="M65" t="inlineStr">
        <is>
          <t>Missile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3.58</v>
      </c>
      <c r="S65" t="n">
        <v>0</v>
      </c>
      <c r="T65" t="n">
        <v>0</v>
      </c>
      <c r="U65" t="n">
        <v>0</v>
      </c>
      <c r="V65" t="n">
        <v>0</v>
      </c>
      <c r="W65" t="n">
        <v>260</v>
      </c>
      <c r="X65" t="n">
        <v>0</v>
      </c>
      <c r="Y65" t="n">
        <v>0</v>
      </c>
      <c r="Z65" t="n">
        <v>110</v>
      </c>
      <c r="AA65" t="n">
        <v>48</v>
      </c>
      <c r="AB65" t="n">
        <v>0</v>
      </c>
      <c r="AC65" t="inlineStr">
        <is>
          <t>Ground</t>
        </is>
      </c>
      <c r="AD65" t="inlineStr"/>
      <c r="AE65" t="n">
        <v>0</v>
      </c>
      <c r="AF65" t="inlineStr">
        <is>
          <t>Medium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49</v>
      </c>
      <c r="AO65" t="n">
        <v>3</v>
      </c>
      <c r="AP65" t="inlineStr">
        <is>
          <t>T2</t>
        </is>
      </c>
      <c r="AQ65" t="inlineStr"/>
      <c r="AR65" t="inlineStr"/>
      <c r="AS65" t="inlineStr">
        <is>
          <t>xe</t>
        </is>
      </c>
      <c r="AT65" t="inlineStr">
        <is>
          <t>strike_drone</t>
        </is>
      </c>
      <c r="AU65" t="n">
        <v>1</v>
      </c>
      <c r="AV65" t="inlineStr">
        <is>
          <t>strike_drone:0</t>
        </is>
      </c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0.4363636363636363</v>
      </c>
      <c r="BB65" t="n">
        <v>60</v>
      </c>
      <c r="BC65" t="n">
        <v>10</v>
      </c>
      <c r="BD65" t="inlineStr">
        <is>
          <t>atgm</t>
        </is>
      </c>
      <c r="BE65" t="inlineStr">
        <is>
          <t>air-launched: ripples ~1 s apart, est. 6 s an aimed shot</t>
        </is>
      </c>
      <c r="BG65" t="inlineStr">
        <is>
          <t>doi</t>
        </is>
      </c>
      <c r="BR65" t="n">
        <v>26</v>
      </c>
      <c r="BS65" t="n">
        <v>110</v>
      </c>
      <c r="DD65" t="n">
        <v>3.58</v>
      </c>
      <c r="DE65" t="n">
        <v>260</v>
      </c>
      <c r="DF65" t="inlineStr">
        <is>
          <t>ShapedCharge</t>
        </is>
      </c>
      <c r="DJ65" t="inlineStr">
        <is>
          <t>atgm</t>
        </is>
      </c>
      <c r="DS65" t="inlineStr">
        <is>
          <t>Medium</t>
        </is>
      </c>
      <c r="DW65" t="n">
        <v>3</v>
      </c>
      <c r="EB65" t="n">
        <v>4</v>
      </c>
      <c r="EE65" t="b">
        <v>1</v>
      </c>
      <c r="EH65" t="inlineStr">
        <is>
          <t>Missile</t>
        </is>
      </c>
      <c r="EJ65" t="n">
        <v>0.65</v>
      </c>
      <c r="EP65" t="n">
        <v>48</v>
      </c>
      <c r="EQ65" t="inlineStr">
        <is>
          <t>AGM-114 Hellfire</t>
        </is>
      </c>
      <c r="EX65" t="n">
        <v>49</v>
      </c>
      <c r="FZ65" t="n">
        <v>9</v>
      </c>
      <c r="GA65" t="inlineStr">
        <is>
          <t>agm_114_hellfire</t>
        </is>
      </c>
      <c r="GB65" t="inlineStr">
        <is>
          <t>atgm_agm_114_hellfire</t>
        </is>
      </c>
      <c r="GD65" t="inlineStr">
        <is>
          <t>Assets/MachineBrigade/Resources/Data/balance.json: weapons[41]</t>
        </is>
      </c>
      <c r="GE65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6">
      <c r="A66" t="inlineStr">
        <is>
          <t>fighter_cannon</t>
        </is>
      </c>
      <c r="B66" t="inlineStr">
        <is>
          <t>GAU-22/A 25 mm</t>
        </is>
      </c>
      <c r="C66" t="inlineStr">
        <is>
          <t>cal_25</t>
        </is>
      </c>
      <c r="D66" t="inlineStr">
        <is>
          <t>flak</t>
        </is>
      </c>
      <c r="E66" t="inlineStr"/>
      <c r="F66" t="inlineStr">
        <is>
          <t>autocannon</t>
        </is>
      </c>
      <c r="G66" t="n">
        <v>25</v>
      </c>
      <c r="H66" t="inlineStr"/>
      <c r="I66" t="inlineStr"/>
      <c r="J66" t="inlineStr"/>
      <c r="K66" t="inlineStr">
        <is>
          <t>Fragmentation</t>
        </is>
      </c>
      <c r="L66" t="n">
        <v>2</v>
      </c>
      <c r="M66" t="inlineStr">
        <is>
          <t>Bullet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0.1151</v>
      </c>
      <c r="S66" t="n">
        <v>44</v>
      </c>
      <c r="T66" t="n">
        <v>1</v>
      </c>
      <c r="U66" t="n">
        <v>0</v>
      </c>
      <c r="V66" t="n">
        <v>0</v>
      </c>
      <c r="W66" t="n">
        <v>18</v>
      </c>
      <c r="X66" t="n">
        <v>0</v>
      </c>
      <c r="Y66" t="n">
        <v>0</v>
      </c>
      <c r="Z66" t="n">
        <v>320</v>
      </c>
      <c r="AA66" t="n">
        <v>30</v>
      </c>
      <c r="AB66" t="n">
        <v>0</v>
      </c>
      <c r="AC66" t="inlineStr">
        <is>
          <t>All</t>
        </is>
      </c>
      <c r="AD66" t="inlineStr"/>
      <c r="AE66" t="n">
        <v>1.5</v>
      </c>
      <c r="AF66" t="inlineStr">
        <is>
          <t>Small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25</v>
      </c>
      <c r="AO66" t="n">
        <v>0</v>
      </c>
      <c r="AP66" t="inlineStr">
        <is>
          <t>T1</t>
        </is>
      </c>
      <c r="AQ66" t="inlineStr"/>
      <c r="AR66" t="inlineStr">
        <is>
          <t>fighter_cannon_ap</t>
        </is>
      </c>
      <c r="AS66" t="inlineStr">
        <is>
          <t>xe</t>
        </is>
      </c>
      <c r="AT66" t="inlineStr">
        <is>
          <t>fighter_jet;stealth_fighter</t>
        </is>
      </c>
      <c r="AU66" t="n">
        <v>2</v>
      </c>
      <c r="AV66" t="inlineStr">
        <is>
          <t>fighter_jet:2;stealth_fighter:2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0.09375</v>
      </c>
      <c r="BB66" t="n">
        <v>3300</v>
      </c>
      <c r="BC66" t="inlineStr"/>
      <c r="BD66" t="inlineStr">
        <is>
          <t>ac</t>
        </is>
      </c>
      <c r="BE66" t="inlineStr">
        <is>
          <t>Wikipedia 'GAU-22/A': 3,300 rpm</t>
        </is>
      </c>
      <c r="BG66" t="inlineStr">
        <is>
          <t>giong</t>
        </is>
      </c>
      <c r="CT66" t="n">
        <v>25</v>
      </c>
      <c r="CW66" t="n">
        <v>44</v>
      </c>
      <c r="CX66" t="n">
        <v>1</v>
      </c>
      <c r="DD66" t="n">
        <v>0.1151</v>
      </c>
      <c r="DE66" t="n">
        <v>18</v>
      </c>
      <c r="DF66" t="inlineStr">
        <is>
          <t>Fragmentation</t>
        </is>
      </c>
      <c r="DJ66" t="inlineStr">
        <is>
          <t>autocannon</t>
        </is>
      </c>
      <c r="DN66" t="inlineStr">
        <is>
          <t>BeltedAutocannon</t>
        </is>
      </c>
      <c r="DS66" t="inlineStr">
        <is>
          <t>Small</t>
        </is>
      </c>
      <c r="EB66" t="n">
        <v>2</v>
      </c>
      <c r="EH66" t="inlineStr">
        <is>
          <t>Bullet</t>
        </is>
      </c>
      <c r="EK66" t="n">
        <v>320</v>
      </c>
      <c r="EP66" t="n">
        <v>30</v>
      </c>
      <c r="EQ66" t="inlineStr">
        <is>
          <t>GAU-22/A 25 mm</t>
        </is>
      </c>
      <c r="EV66" t="n">
        <v>30</v>
      </c>
      <c r="EX66" t="n">
        <v>25</v>
      </c>
      <c r="EZ66" t="n">
        <v>1.5</v>
      </c>
      <c r="FW66" t="inlineStr">
        <is>
          <t>All</t>
        </is>
      </c>
      <c r="GB66" t="inlineStr">
        <is>
          <t>cal_25</t>
        </is>
      </c>
      <c r="GC66" t="inlineStr">
        <is>
          <t>flak</t>
        </is>
      </c>
      <c r="GD66" t="inlineStr">
        <is>
          <t>Assets/MachineBrigade/Resources/Data/balance.json: weapons[80]</t>
        </is>
      </c>
      <c r="GE66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7">
      <c r="A67" t="inlineStr">
        <is>
          <t>fighter_cannon_ap</t>
        </is>
      </c>
      <c r="B67" t="inlineStr">
        <is>
          <t>GAU-22/A 25 mm AP</t>
        </is>
      </c>
      <c r="C67" t="inlineStr">
        <is>
          <t>cal_25</t>
        </is>
      </c>
      <c r="D67" t="inlineStr"/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Kinetic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Ground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>
        <is>
          <t>fighter_cannon</t>
        </is>
      </c>
      <c r="AR67" t="inlineStr"/>
      <c r="AS67" t="inlineStr"/>
      <c r="AT67" t="inlineStr"/>
      <c r="AU67" t="n">
        <v>0</v>
      </c>
      <c r="AV67" t="inlineStr"/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DE67" t="n">
        <v>18</v>
      </c>
      <c r="DF67" t="inlineStr">
        <is>
          <t>Kinetic</t>
        </is>
      </c>
      <c r="DM67" t="inlineStr">
        <is>
          <t>ground</t>
        </is>
      </c>
      <c r="DN67" t="inlineStr">
        <is>
          <t>BeltedAutocannon</t>
        </is>
      </c>
      <c r="DT67" t="inlineStr">
        <is>
          <t>fighter_cannon</t>
        </is>
      </c>
      <c r="EB67" t="n">
        <v>2</v>
      </c>
      <c r="EE67" t="b">
        <v>1</v>
      </c>
      <c r="EQ67" t="inlineStr">
        <is>
          <t>GAU-22/A 25 mm AP</t>
        </is>
      </c>
      <c r="ES67" t="inlineStr">
        <is>
          <t>ap</t>
        </is>
      </c>
      <c r="EU67" t="inlineStr">
        <is>
          <t>fighter_cannon</t>
        </is>
      </c>
      <c r="EY67" t="n">
        <v>0</v>
      </c>
      <c r="FW67" t="inlineStr">
        <is>
          <t>Ground</t>
        </is>
      </c>
      <c r="GA67" t="inlineStr"/>
      <c r="GC67" t="inlineStr"/>
      <c r="GD67" t="inlineStr">
        <is>
          <t>Assets/MachineBrigade/Resources/Data/balance.json: secondRounds.rounds[17]</t>
        </is>
      </c>
      <c r="GE67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8">
      <c r="A68" t="inlineStr">
        <is>
          <t>flak_35</t>
        </is>
      </c>
      <c r="B68" t="inlineStr">
        <is>
          <t>Oerlikon KDA 35 mm (Gepard)</t>
        </is>
      </c>
      <c r="C68" t="inlineStr">
        <is>
          <t>cal_35</t>
        </is>
      </c>
      <c r="D68" t="inlineStr"/>
      <c r="E68" t="inlineStr">
        <is>
          <t>oerlikon_35_mm</t>
        </is>
      </c>
      <c r="F68" t="inlineStr">
        <is>
          <t>autocannon</t>
        </is>
      </c>
      <c r="G68" t="n">
        <v>35</v>
      </c>
      <c r="H68" t="inlineStr"/>
      <c r="I68" t="inlineStr"/>
      <c r="J68" t="inlineStr"/>
      <c r="K68" t="inlineStr">
        <is>
          <t>Fragmentation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0.25</v>
      </c>
      <c r="S68" t="n">
        <v>22</v>
      </c>
      <c r="T68" t="n">
        <v>1.25</v>
      </c>
      <c r="U68" t="n">
        <v>0</v>
      </c>
      <c r="V68" t="n">
        <v>0</v>
      </c>
      <c r="W68" t="n">
        <v>26</v>
      </c>
      <c r="X68" t="n">
        <v>2.5</v>
      </c>
      <c r="Y68" t="n">
        <v>0</v>
      </c>
      <c r="Z68" t="n">
        <v>260</v>
      </c>
      <c r="AA68" t="n">
        <v>36</v>
      </c>
      <c r="AB68" t="n">
        <v>0</v>
      </c>
      <c r="AC68" t="inlineStr">
        <is>
          <t>All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35</v>
      </c>
      <c r="AO68" t="n">
        <v>0</v>
      </c>
      <c r="AP68" t="inlineStr">
        <is>
          <t>T1</t>
        </is>
      </c>
      <c r="AQ68" t="inlineStr"/>
      <c r="AR68" t="inlineStr">
        <is>
          <t>flak_35_ap</t>
        </is>
      </c>
      <c r="AS68" t="inlineStr">
        <is>
          <t>xe</t>
        </is>
      </c>
      <c r="AT68" t="inlineStr">
        <is>
          <t>aa_vehicle</t>
        </is>
      </c>
      <c r="AU68" t="n">
        <v>1</v>
      </c>
      <c r="AV68" t="inlineStr">
        <is>
          <t>aa_vehicle:0</t>
        </is>
      </c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0.1384615384615385</v>
      </c>
      <c r="BB68" t="n">
        <v>550</v>
      </c>
      <c r="BC68" t="n">
        <v>300</v>
      </c>
      <c r="BD68" t="inlineStr">
        <is>
          <t>aa</t>
        </is>
      </c>
      <c r="BE68" t="inlineStr">
        <is>
          <t>Wikipedia 'Oerlikon GDF' / 'Gepard': 2 x 550 rpm</t>
        </is>
      </c>
      <c r="BG68" t="inlineStr">
        <is>
          <t>giong</t>
        </is>
      </c>
      <c r="CT68" t="n">
        <v>35</v>
      </c>
      <c r="CW68" t="n">
        <v>22</v>
      </c>
      <c r="CX68" t="n">
        <v>1.25</v>
      </c>
      <c r="DD68" t="n">
        <v>0.25</v>
      </c>
      <c r="DE68" t="n">
        <v>26</v>
      </c>
      <c r="DF68" t="inlineStr">
        <is>
          <t>Fragmentation</t>
        </is>
      </c>
      <c r="DJ68" t="inlineStr">
        <is>
          <t>autocannon</t>
        </is>
      </c>
      <c r="DS68" t="inlineStr">
        <is>
          <t>Small</t>
        </is>
      </c>
      <c r="EB68" t="n">
        <v>2</v>
      </c>
      <c r="EH68" t="inlineStr">
        <is>
          <t>Bullet</t>
        </is>
      </c>
      <c r="EP68" t="n">
        <v>36</v>
      </c>
      <c r="EQ68" t="inlineStr">
        <is>
          <t>Oerlikon KDA 35 mm (Gepard)</t>
        </is>
      </c>
      <c r="EX68" t="n">
        <v>35</v>
      </c>
      <c r="EZ68" t="n">
        <v>1.5</v>
      </c>
      <c r="FW68" t="inlineStr">
        <is>
          <t>All</t>
        </is>
      </c>
      <c r="GA68" t="inlineStr">
        <is>
          <t>oerlikon_35_mm</t>
        </is>
      </c>
      <c r="GB68" t="inlineStr">
        <is>
          <t>cal_35</t>
        </is>
      </c>
      <c r="GD68" t="inlineStr">
        <is>
          <t>Assets/MachineBrigade/Resources/Data/balance.json: weapons[19]</t>
        </is>
      </c>
      <c r="GE68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69">
      <c r="A69" t="inlineStr">
        <is>
          <t>flak_35_ap</t>
        </is>
      </c>
      <c r="B69" t="inlineStr">
        <is>
          <t>Oerlikon 35 mm AP (Gepard)</t>
        </is>
      </c>
      <c r="C69" t="inlineStr">
        <is>
          <t>cal_35</t>
        </is>
      </c>
      <c r="D69" t="inlineStr">
        <is>
          <t>ap</t>
        </is>
      </c>
      <c r="E69" t="inlineStr">
        <is>
          <t>oerlikon_35_mm_ap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Kinetic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0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Ground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>
        <is>
          <t>flak_35</t>
        </is>
      </c>
      <c r="AR69" t="inlineStr"/>
      <c r="AS69" t="inlineStr"/>
      <c r="AT69" t="inlineStr"/>
      <c r="AU69" t="n">
        <v>0</v>
      </c>
      <c r="AV69" t="inlineStr"/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GDF': 550 rpm a gun (the twin: 1,100)</t>
        </is>
      </c>
      <c r="BG69" t="inlineStr">
        <is>
          <t>giong</t>
        </is>
      </c>
      <c r="CQ69" t="inlineStr"/>
      <c r="DE69" t="n">
        <v>26</v>
      </c>
      <c r="DF69" t="inlineStr">
        <is>
          <t>Kinetic</t>
        </is>
      </c>
      <c r="DM69" t="inlineStr">
        <is>
          <t>ground</t>
        </is>
      </c>
      <c r="DN69" t="inlineStr">
        <is>
          <t>BeltedAutocannon</t>
        </is>
      </c>
      <c r="DT69" t="inlineStr">
        <is>
          <t>flak_35</t>
        </is>
      </c>
      <c r="EB69" t="n">
        <v>2</v>
      </c>
      <c r="EE69" t="b">
        <v>1</v>
      </c>
      <c r="EQ69" t="inlineStr">
        <is>
          <t>Oerlikon 35 mm AP (Gepard)</t>
        </is>
      </c>
      <c r="ES69" t="inlineStr">
        <is>
          <t>ap</t>
        </is>
      </c>
      <c r="EU69" t="inlineStr">
        <is>
          <t>flak_35</t>
        </is>
      </c>
      <c r="EY69" t="n">
        <v>0</v>
      </c>
      <c r="FW69" t="inlineStr">
        <is>
          <t>Ground</t>
        </is>
      </c>
      <c r="GA69" t="inlineStr">
        <is>
          <t>oerlikon_35_mm_ap</t>
        </is>
      </c>
      <c r="GC69" t="inlineStr">
        <is>
          <t>ap</t>
        </is>
      </c>
      <c r="GD69" t="inlineStr">
        <is>
          <t>Assets/MachineBrigade/Resources/Data/balance.json: secondRounds.rounds[18]</t>
        </is>
      </c>
      <c r="GE69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0">
      <c r="A70" t="inlineStr">
        <is>
          <t>flak_quad</t>
        </is>
      </c>
      <c r="B70" t="inlineStr">
        <is>
          <t>ZSU-23-4 23 mm (quad)</t>
        </is>
      </c>
      <c r="C70" t="inlineStr">
        <is>
          <t>cal_23</t>
        </is>
      </c>
      <c r="D70" t="inlineStr"/>
      <c r="E70" t="inlineStr"/>
      <c r="F70" t="inlineStr">
        <is>
          <t>autocannon</t>
        </is>
      </c>
      <c r="G70" t="n">
        <v>23</v>
      </c>
      <c r="H70" t="inlineStr"/>
      <c r="I70" t="inlineStr"/>
      <c r="J70" t="inlineStr"/>
      <c r="K70" t="inlineStr">
        <is>
          <t>Fragmentation</t>
        </is>
      </c>
      <c r="L70" t="n">
        <v>1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0.0324</v>
      </c>
      <c r="S70" t="n">
        <v>54</v>
      </c>
      <c r="T70" t="n">
        <v>1.5</v>
      </c>
      <c r="U70" t="n">
        <v>0</v>
      </c>
      <c r="V70" t="n">
        <v>0</v>
      </c>
      <c r="W70" t="n">
        <v>14</v>
      </c>
      <c r="X70" t="n">
        <v>3.5</v>
      </c>
      <c r="Y70" t="n">
        <v>0</v>
      </c>
      <c r="Z70" t="n">
        <v>300</v>
      </c>
      <c r="AA70" t="n">
        <v>46</v>
      </c>
      <c r="AB70" t="n">
        <v>0</v>
      </c>
      <c r="AC70" t="inlineStr">
        <is>
          <t>All</t>
        </is>
      </c>
      <c r="AD70" t="inlineStr"/>
      <c r="AE70" t="n">
        <v>1.6</v>
      </c>
      <c r="AF70" t="inlineStr">
        <is>
          <t>Medium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23</v>
      </c>
      <c r="AO70" t="n">
        <v>0</v>
      </c>
      <c r="AP70" t="inlineStr">
        <is>
          <t>T1</t>
        </is>
      </c>
      <c r="AQ70" t="inlineStr"/>
      <c r="AR70" t="inlineStr">
        <is>
          <t>flak_quad_ap</t>
        </is>
      </c>
      <c r="AS70" t="inlineStr">
        <is>
          <t>thap</t>
        </is>
      </c>
      <c r="AT70" t="inlineStr">
        <is>
          <t>aa_turret.flak</t>
        </is>
      </c>
      <c r="AU70" t="n">
        <v>1</v>
      </c>
      <c r="AV70" t="inlineStr">
        <is>
          <t>aa_turret.flak:0</t>
        </is>
      </c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0.1533333333333333</v>
      </c>
      <c r="BB70" t="n">
        <v>1000</v>
      </c>
      <c r="BC70" t="n">
        <v>400</v>
      </c>
      <c r="BD70" t="inlineStr">
        <is>
          <t>aa</t>
        </is>
      </c>
      <c r="BE70" t="inlineStr">
        <is>
          <t>Wikipedia 'ZSU-23-4 Shilka': 4 x 850-1,000 rpm</t>
        </is>
      </c>
      <c r="BG70" t="inlineStr">
        <is>
          <t>giong</t>
        </is>
      </c>
      <c r="CT70" t="n">
        <v>23</v>
      </c>
      <c r="CW70" t="n">
        <v>54</v>
      </c>
      <c r="CX70" t="n">
        <v>1.5</v>
      </c>
      <c r="DD70" t="n">
        <v>0.0324</v>
      </c>
      <c r="DE70" t="n">
        <v>14</v>
      </c>
      <c r="DF70" t="inlineStr">
        <is>
          <t>Fragmentation</t>
        </is>
      </c>
      <c r="DJ70" t="inlineStr">
        <is>
          <t>autocannon</t>
        </is>
      </c>
      <c r="DS70" t="inlineStr">
        <is>
          <t>Medium</t>
        </is>
      </c>
      <c r="EB70" t="n">
        <v>1</v>
      </c>
      <c r="EH70" t="inlineStr">
        <is>
          <t>Bullet</t>
        </is>
      </c>
      <c r="EK70" t="n">
        <v>300</v>
      </c>
      <c r="EP70" t="n">
        <v>46</v>
      </c>
      <c r="EQ70" t="inlineStr">
        <is>
          <t>ZSU-23-4 23 mm (quad)</t>
        </is>
      </c>
      <c r="EV70" t="n">
        <v>22</v>
      </c>
      <c r="EX70" t="n">
        <v>23</v>
      </c>
      <c r="EY70" t="n">
        <v>3.5</v>
      </c>
      <c r="EZ70" t="n">
        <v>1.6</v>
      </c>
      <c r="FW70" t="inlineStr">
        <is>
          <t>All</t>
        </is>
      </c>
      <c r="GB70" t="inlineStr">
        <is>
          <t>cal_23</t>
        </is>
      </c>
      <c r="GD70" t="inlineStr">
        <is>
          <t>Assets/MachineBrigade/Resources/Data/balance.json: weapons[86]</t>
        </is>
      </c>
      <c r="GE70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1">
      <c r="A71" t="inlineStr">
        <is>
          <t>flak_quad_ap</t>
        </is>
      </c>
      <c r="B71" t="inlineStr">
        <is>
          <t>ZSU-23-4 23 mm AP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Kinetic</t>
        </is>
      </c>
      <c r="L71" t="n">
        <v>2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0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Ground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>
        <is>
          <t>flak_quad</t>
        </is>
      </c>
      <c r="AR71" t="inlineStr"/>
      <c r="AS71" t="inlineStr"/>
      <c r="AT71" t="inlineStr"/>
      <c r="AU71" t="n">
        <v>0</v>
      </c>
      <c r="AV71" t="inlineStr"/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DE71" t="n">
        <v>14</v>
      </c>
      <c r="DF71" t="inlineStr">
        <is>
          <t>Kinetic</t>
        </is>
      </c>
      <c r="DM71" t="inlineStr">
        <is>
          <t>ground</t>
        </is>
      </c>
      <c r="DN71" t="inlineStr">
        <is>
          <t>BeltedAutocannon</t>
        </is>
      </c>
      <c r="DT71" t="inlineStr">
        <is>
          <t>flak_quad</t>
        </is>
      </c>
      <c r="EB71" t="n">
        <v>2</v>
      </c>
      <c r="EE71" t="b">
        <v>1</v>
      </c>
      <c r="EQ71" t="inlineStr">
        <is>
          <t>ZSU-23-4 23 mm AP (quad)</t>
        </is>
      </c>
      <c r="ES71" t="inlineStr">
        <is>
          <t>ap</t>
        </is>
      </c>
      <c r="EU71" t="inlineStr">
        <is>
          <t>flak_quad</t>
        </is>
      </c>
      <c r="EY71" t="n">
        <v>0</v>
      </c>
      <c r="FW71" t="inlineStr">
        <is>
          <t>Ground</t>
        </is>
      </c>
      <c r="GA71" t="inlineStr"/>
      <c r="GD71" t="inlineStr">
        <is>
          <t>Assets/MachineBrigade/Resources/Data/balance.json: secondRounds.rounds[19]</t>
        </is>
      </c>
      <c r="GE71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2">
      <c r="A72" t="inlineStr">
        <is>
          <t>flamethrower</t>
        </is>
      </c>
      <c r="B72" t="inlineStr">
        <is>
          <t>flamethrower</t>
        </is>
      </c>
      <c r="C72" t="inlineStr">
        <is>
          <t>flame_flamethrower</t>
        </is>
      </c>
      <c r="D72" t="inlineStr"/>
      <c r="E72" t="inlineStr"/>
      <c r="F72" t="inlineStr">
        <is>
          <t>flame</t>
        </is>
      </c>
      <c r="G72" t="inlineStr"/>
      <c r="H72" t="inlineStr"/>
      <c r="I72" t="inlineStr"/>
      <c r="J72" t="inlineStr"/>
      <c r="K72" t="inlineStr">
        <is>
          <t>Fire</t>
        </is>
      </c>
      <c r="L72" t="n">
        <v>1</v>
      </c>
      <c r="M72" t="inlineStr">
        <is>
          <t>Flame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0.25</v>
      </c>
      <c r="S72" t="n">
        <v>0</v>
      </c>
      <c r="T72" t="n">
        <v>0</v>
      </c>
      <c r="U72" t="n">
        <v>0</v>
      </c>
      <c r="V72" t="n">
        <v>0</v>
      </c>
      <c r="W72" t="n">
        <v>21</v>
      </c>
      <c r="X72" t="n">
        <v>2.5</v>
      </c>
      <c r="Y72" t="n">
        <v>0</v>
      </c>
      <c r="Z72" t="n">
        <v>36</v>
      </c>
      <c r="AA72" t="n">
        <v>13</v>
      </c>
      <c r="AB72" t="n">
        <v>0</v>
      </c>
      <c r="AC72" t="inlineStr">
        <is>
          <t>Ground</t>
        </is>
      </c>
      <c r="AD72" t="inlineStr"/>
      <c r="AE72" t="n">
        <v>1.2</v>
      </c>
      <c r="AF72" t="inlineStr">
        <is>
          <t>Small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1</v>
      </c>
      <c r="AO72" t="n">
        <v>0</v>
      </c>
      <c r="AP72" t="inlineStr">
        <is>
          <t>T1</t>
        </is>
      </c>
      <c r="AQ72" t="inlineStr"/>
      <c r="AR72" t="inlineStr"/>
      <c r="AS72" t="inlineStr">
        <is>
          <t>xe</t>
        </is>
      </c>
      <c r="AT72" t="inlineStr">
        <is>
          <t>flame_tank</t>
        </is>
      </c>
      <c r="AU72" t="n">
        <v>1</v>
      </c>
      <c r="AV72" t="inlineStr">
        <is>
          <t>flame_tank:0</t>
        </is>
      </c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0.3611111111111111</v>
      </c>
      <c r="BB72" t="inlineStr">
        <is>
          <t>NEED_SOURCE</t>
        </is>
      </c>
      <c r="BC72" t="inlineStr">
        <is>
          <t>NEED_SOURCE</t>
        </is>
      </c>
      <c r="BE72" t="inlineStr">
        <is>
          <t>NEED_SOURCE</t>
        </is>
      </c>
      <c r="BG72" t="inlineStr">
        <is>
          <t>giong</t>
        </is>
      </c>
      <c r="DD72" t="n">
        <v>0.25</v>
      </c>
      <c r="DE72" t="n">
        <v>21</v>
      </c>
      <c r="DF72" t="inlineStr">
        <is>
          <t>Fire</t>
        </is>
      </c>
      <c r="DJ72" t="inlineStr">
        <is>
          <t>flame</t>
        </is>
      </c>
      <c r="DS72" t="inlineStr">
        <is>
          <t>Small</t>
        </is>
      </c>
      <c r="EB72" t="n">
        <v>1</v>
      </c>
      <c r="EH72" t="inlineStr">
        <is>
          <t>Flame</t>
        </is>
      </c>
      <c r="EK72" t="n">
        <v>36</v>
      </c>
      <c r="EP72" t="n">
        <v>13</v>
      </c>
      <c r="EQ72" t="inlineStr">
        <is>
          <t>flamethrower</t>
        </is>
      </c>
      <c r="EX72" t="n">
        <v>1</v>
      </c>
      <c r="EY72" t="n">
        <v>2.5</v>
      </c>
      <c r="EZ72" t="n">
        <v>1.2</v>
      </c>
      <c r="GB72" t="inlineStr">
        <is>
          <t>flame_flamethrower</t>
        </is>
      </c>
      <c r="GD72" t="inlineStr">
        <is>
          <t>Assets/MachineBrigade/Resources/Data/balance.json: weapons[15]</t>
        </is>
      </c>
      <c r="GE72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3">
      <c r="A73" t="inlineStr">
        <is>
          <t>focus_laser</t>
        </is>
      </c>
      <c r="B73" t="inlineStr">
        <is>
          <t>focused laser (300 kW)</t>
        </is>
      </c>
      <c r="C73" t="inlineStr">
        <is>
          <t>laser_focused_laser</t>
        </is>
      </c>
      <c r="D73" t="inlineStr"/>
      <c r="E73" t="inlineStr"/>
      <c r="F73" t="inlineStr">
        <is>
          <t>laser</t>
        </is>
      </c>
      <c r="G73" t="inlineStr"/>
      <c r="H73" t="inlineStr"/>
      <c r="I73" t="n">
        <v>300</v>
      </c>
      <c r="J73" t="inlineStr"/>
      <c r="K73" t="inlineStr">
        <is>
          <t>Energy</t>
        </is>
      </c>
      <c r="L73" t="n">
        <v>4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0.1</v>
      </c>
      <c r="S73" t="n">
        <v>80</v>
      </c>
      <c r="T73" t="n">
        <v>1.5</v>
      </c>
      <c r="U73" t="n">
        <v>0</v>
      </c>
      <c r="V73" t="n">
        <v>0</v>
      </c>
      <c r="W73" t="n">
        <v>12.5</v>
      </c>
      <c r="X73" t="n">
        <v>0</v>
      </c>
      <c r="Y73" t="n">
        <v>0</v>
      </c>
      <c r="Z73" t="n">
        <v>3000</v>
      </c>
      <c r="AA73" t="n">
        <v>40</v>
      </c>
      <c r="AB73" t="n">
        <v>0</v>
      </c>
      <c r="AC73" t="inlineStr">
        <is>
          <t>Ground</t>
        </is>
      </c>
      <c r="AD73" t="inlineStr"/>
      <c r="AE73" t="n">
        <v>0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1</v>
      </c>
      <c r="AM73" t="b">
        <v>0</v>
      </c>
      <c r="AN73" t="n">
        <v>300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laser_tank</t>
        </is>
      </c>
      <c r="AU73" t="n">
        <v>1</v>
      </c>
      <c r="AV73" t="inlineStr">
        <is>
          <t>laser_tank:0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0.01333333333333333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CP73" t="b">
        <v>1</v>
      </c>
      <c r="CW73" t="n">
        <v>80</v>
      </c>
      <c r="CX73" t="n">
        <v>1.5</v>
      </c>
      <c r="DD73" t="n">
        <v>0.1</v>
      </c>
      <c r="DE73" t="n">
        <v>12.5</v>
      </c>
      <c r="DF73" t="inlineStr">
        <is>
          <t>Energy</t>
        </is>
      </c>
      <c r="DJ73" t="inlineStr">
        <is>
          <t>laser</t>
        </is>
      </c>
      <c r="DS73" t="inlineStr">
        <is>
          <t>Small</t>
        </is>
      </c>
      <c r="EB73" t="n">
        <v>4</v>
      </c>
      <c r="EF73" t="n">
        <v>300</v>
      </c>
      <c r="EH73" t="inlineStr">
        <is>
          <t>Bullet</t>
        </is>
      </c>
      <c r="EK73" t="n">
        <v>3000</v>
      </c>
      <c r="EL73" t="n">
        <v>0.3</v>
      </c>
      <c r="EM73" t="n">
        <v>2</v>
      </c>
      <c r="EN73" t="n">
        <v>4</v>
      </c>
      <c r="EO73" t="n">
        <v>2</v>
      </c>
      <c r="EP73" t="n">
        <v>40</v>
      </c>
      <c r="EQ73" t="inlineStr">
        <is>
          <t>focused laser (300 kW)</t>
        </is>
      </c>
      <c r="EX73" t="n">
        <v>300</v>
      </c>
      <c r="GB73" t="inlineStr">
        <is>
          <t>laser_focused_laser</t>
        </is>
      </c>
      <c r="GD73" t="inlineStr">
        <is>
          <t>Assets/MachineBrigade/Resources/Data/balance.json: weapons[244]</t>
        </is>
      </c>
      <c r="GE73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4">
      <c r="A74" t="inlineStr">
        <is>
          <t>fpv_hangar</t>
        </is>
      </c>
      <c r="B74" t="inlineStr">
        <is>
          <t>FPV drone (1.5 kg)</t>
        </is>
      </c>
      <c r="C74" t="inlineStr">
        <is>
          <t>drone_fpv_drone</t>
        </is>
      </c>
      <c r="D74" t="inlineStr"/>
      <c r="E74" t="inlineStr">
        <is>
          <t>fpv_drone</t>
        </is>
      </c>
      <c r="F74" t="inlineStr">
        <is>
          <t>drone</t>
        </is>
      </c>
      <c r="G74" t="inlineStr"/>
      <c r="H74" t="n">
        <v>1.5</v>
      </c>
      <c r="I74" t="inlineStr"/>
      <c r="J74" t="inlineStr"/>
      <c r="K74" t="inlineStr">
        <is>
          <t>ShapedCharge</t>
        </is>
      </c>
      <c r="L74" t="n">
        <v>3</v>
      </c>
      <c r="M74" t="inlineStr">
        <is>
          <t>Drone</t>
        </is>
      </c>
      <c r="N74" t="n">
        <v>1</v>
      </c>
      <c r="O74" t="inlineStr">
        <is>
          <t>RIPPLE</t>
        </is>
      </c>
      <c r="P74" t="n">
        <v>4</v>
      </c>
      <c r="Q74" t="n">
        <v>1</v>
      </c>
      <c r="R74" t="n">
        <v>7.5</v>
      </c>
      <c r="S74" t="n">
        <v>0</v>
      </c>
      <c r="T74" t="n">
        <v>0</v>
      </c>
      <c r="U74" t="n">
        <v>0</v>
      </c>
      <c r="V74" t="n">
        <v>9</v>
      </c>
      <c r="W74" t="n">
        <v>140</v>
      </c>
      <c r="X74" t="n">
        <v>2.5</v>
      </c>
      <c r="Y74" t="n">
        <v>0</v>
      </c>
      <c r="Z74" t="n">
        <v>26</v>
      </c>
      <c r="AA74" t="n">
        <v>70</v>
      </c>
      <c r="AB74" t="n">
        <v>8</v>
      </c>
      <c r="AC74" t="inlineStr">
        <is>
          <t>Ground</t>
        </is>
      </c>
      <c r="AD74" t="inlineStr"/>
      <c r="AE74" t="n">
        <v>0</v>
      </c>
      <c r="AF74" t="inlineStr">
        <is>
          <t>Medium</t>
        </is>
      </c>
      <c r="AG74" t="b">
        <v>1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1.5</v>
      </c>
      <c r="AO74" t="n">
        <v>0</v>
      </c>
      <c r="AP74" t="inlineStr">
        <is>
          <t>T2</t>
        </is>
      </c>
      <c r="AQ74" t="inlineStr">
        <is>
          <t>fpv_swarm</t>
        </is>
      </c>
      <c r="AR74" t="inlineStr"/>
      <c r="AS74" t="inlineStr">
        <is>
          <t>thap</t>
        </is>
      </c>
      <c r="AT74" t="inlineStr">
        <is>
          <t>drone_hangar</t>
        </is>
      </c>
      <c r="AU74" t="n">
        <v>1</v>
      </c>
      <c r="AV74" t="inlineStr">
        <is>
          <t>drone_hangar:0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2.692307692307693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N74" t="n">
        <v>0</v>
      </c>
      <c r="CR74" t="n">
        <v>4</v>
      </c>
      <c r="CS74" t="n">
        <v>1</v>
      </c>
      <c r="DD74" t="n">
        <v>7.5</v>
      </c>
      <c r="DJ74" t="inlineStr">
        <is>
          <t>drone</t>
        </is>
      </c>
      <c r="DT74" t="inlineStr">
        <is>
          <t>fpv_swarm</t>
        </is>
      </c>
      <c r="DZ74" t="n">
        <v>8</v>
      </c>
      <c r="EB74" t="n">
        <v>3</v>
      </c>
      <c r="EP74" t="n">
        <v>70</v>
      </c>
      <c r="EQ74" t="inlineStr">
        <is>
          <t>FPV drone (1.5 kg)</t>
        </is>
      </c>
      <c r="EX74" t="n">
        <v>1.5</v>
      </c>
      <c r="FY74" t="b">
        <v>1</v>
      </c>
      <c r="FZ74" t="n">
        <v>1.5</v>
      </c>
      <c r="GA74" t="inlineStr">
        <is>
          <t>fpv_drone</t>
        </is>
      </c>
      <c r="GD74" t="inlineStr">
        <is>
          <t>Assets/MachineBrigade/Resources/Data/balance.json: weapons[109]</t>
        </is>
      </c>
      <c r="GE74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5">
      <c r="A75" t="inlineStr">
        <is>
          <t>fpv_hangar_swarm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0.6</v>
      </c>
      <c r="R75" t="n">
        <v>6.1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fpv_hangar</t>
        </is>
      </c>
      <c r="AR75" t="inlineStr"/>
      <c r="AS75" t="inlineStr">
        <is>
          <t>thap</t>
        </is>
      </c>
      <c r="AT75" t="inlineStr">
        <is>
          <t>drone_hangar.swarm</t>
        </is>
      </c>
      <c r="AU75" t="n">
        <v>1</v>
      </c>
      <c r="AV75" t="inlineStr">
        <is>
          <t>drone_hangar.swarm:0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R75" t="n">
        <v>4</v>
      </c>
      <c r="CS75" t="n">
        <v>0.6</v>
      </c>
      <c r="DD75" t="n">
        <v>6.1</v>
      </c>
      <c r="DJ75" t="inlineStr">
        <is>
          <t>drone</t>
        </is>
      </c>
      <c r="DT75" t="inlineStr">
        <is>
          <t>fpv_hangar</t>
        </is>
      </c>
      <c r="EB75" t="n">
        <v>3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weapons[127]</t>
        </is>
      </c>
      <c r="GE75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6">
      <c r="A76" t="inlineStr">
        <is>
          <t>fpv_swarm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2.8</v>
      </c>
      <c r="S76" t="n">
        <v>0</v>
      </c>
      <c r="T76" t="n">
        <v>0</v>
      </c>
      <c r="U76" t="n">
        <v>16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75</v>
      </c>
      <c r="AB76" t="n">
        <v>12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/>
      <c r="AR76" t="inlineStr"/>
      <c r="AS76" t="inlineStr">
        <is>
          <t>xe</t>
        </is>
      </c>
      <c r="AT76" t="inlineStr">
        <is>
          <t>elite_fpv_carrier;fpv_carrier</t>
        </is>
      </c>
      <c r="AU76" t="n">
        <v>2</v>
      </c>
      <c r="AV76" t="inlineStr">
        <is>
          <t>elite_fpv_carrier:0;fpv_carrier:0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2.884615384615385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N76" t="n">
        <v>16</v>
      </c>
      <c r="DD76" t="n">
        <v>2.8</v>
      </c>
      <c r="DE76" t="n">
        <v>140</v>
      </c>
      <c r="DF76" t="inlineStr">
        <is>
          <t>ShapedCharge</t>
        </is>
      </c>
      <c r="DJ76" t="inlineStr">
        <is>
          <t>drone</t>
        </is>
      </c>
      <c r="DS76" t="inlineStr">
        <is>
          <t>Medium</t>
        </is>
      </c>
      <c r="DZ76" t="n">
        <v>12</v>
      </c>
      <c r="EB76" t="n">
        <v>3</v>
      </c>
      <c r="EE76" t="b">
        <v>1</v>
      </c>
      <c r="EH76" t="inlineStr">
        <is>
          <t>Drone</t>
        </is>
      </c>
      <c r="EP76" t="n">
        <v>75</v>
      </c>
      <c r="EQ76" t="inlineStr">
        <is>
          <t>FPV drone (1.5 kg)</t>
        </is>
      </c>
      <c r="ER76" t="n">
        <v>9</v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B76" t="inlineStr">
        <is>
          <t>drone_fpv_drone</t>
        </is>
      </c>
      <c r="GD76" t="inlineStr">
        <is>
          <t>Assets/MachineBrigade/Resources/Data/balance.json: weapons[61]</t>
        </is>
      </c>
      <c r="GE76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7">
      <c r="A77" t="inlineStr">
        <is>
          <t>gau_gatling</t>
        </is>
      </c>
      <c r="B77" t="inlineStr">
        <is>
          <t>GAU-8 Avenger 30 mm</t>
        </is>
      </c>
      <c r="C77" t="inlineStr">
        <is>
          <t>cal_30</t>
        </is>
      </c>
      <c r="D77" t="inlineStr"/>
      <c r="E77" t="inlineStr"/>
      <c r="F77" t="inlineStr">
        <is>
          <t>autocannon</t>
        </is>
      </c>
      <c r="G77" t="n">
        <v>30</v>
      </c>
      <c r="H77" t="inlineStr"/>
      <c r="I77" t="inlineStr"/>
      <c r="J77" t="inlineStr"/>
      <c r="K77" t="inlineStr">
        <is>
          <t>Kinetic</t>
        </is>
      </c>
      <c r="L77" t="n">
        <v>3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0.0167</v>
      </c>
      <c r="S77" t="n">
        <v>113</v>
      </c>
      <c r="T77" t="n">
        <v>2.79</v>
      </c>
      <c r="U77" t="n">
        <v>0</v>
      </c>
      <c r="V77" t="n">
        <v>0</v>
      </c>
      <c r="W77" t="n">
        <v>22</v>
      </c>
      <c r="X77" t="n">
        <v>0</v>
      </c>
      <c r="Y77" t="n">
        <v>0</v>
      </c>
      <c r="Z77" t="n">
        <v>320</v>
      </c>
      <c r="AA77" t="n">
        <v>32</v>
      </c>
      <c r="AB77" t="n">
        <v>0</v>
      </c>
      <c r="AC77" t="inlineStr">
        <is>
          <t>Ground</t>
        </is>
      </c>
      <c r="AD77" t="inlineStr"/>
      <c r="AE77" t="n">
        <v>2.2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30</v>
      </c>
      <c r="AO77" t="n">
        <v>0</v>
      </c>
      <c r="AP77" t="inlineStr">
        <is>
          <t>T1</t>
        </is>
      </c>
      <c r="AQ77" t="inlineStr"/>
      <c r="AR77" t="inlineStr"/>
      <c r="AS77" t="inlineStr"/>
      <c r="AT77" t="inlineStr"/>
      <c r="AU77" t="n">
        <v>0</v>
      </c>
      <c r="AV77" t="inlineStr"/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0.1</v>
      </c>
      <c r="BB77" t="n">
        <v>3900</v>
      </c>
      <c r="BC77" t="inlineStr"/>
      <c r="BD77" t="inlineStr">
        <is>
          <t>ac</t>
        </is>
      </c>
      <c r="BE77" t="inlineStr">
        <is>
          <t>Wikipedia 'GAU-8 Avenger': 3,900 rpm</t>
        </is>
      </c>
      <c r="BG77" t="inlineStr">
        <is>
          <t>giong</t>
        </is>
      </c>
      <c r="CT77" t="n">
        <v>30</v>
      </c>
      <c r="CW77" t="n">
        <v>113</v>
      </c>
      <c r="CX77" t="n">
        <v>2.79</v>
      </c>
      <c r="DD77" t="n">
        <v>0.0167</v>
      </c>
      <c r="DE77" t="n">
        <v>22</v>
      </c>
      <c r="DF77" t="inlineStr">
        <is>
          <t>Kinetic</t>
        </is>
      </c>
      <c r="DJ77" t="inlineStr">
        <is>
          <t>autocannon</t>
        </is>
      </c>
      <c r="DS77" t="inlineStr">
        <is>
          <t>Small</t>
        </is>
      </c>
      <c r="EB77" t="n">
        <v>3</v>
      </c>
      <c r="EE77" t="b">
        <v>1</v>
      </c>
      <c r="EH77" t="inlineStr">
        <is>
          <t>Bullet</t>
        </is>
      </c>
      <c r="EK77" t="n">
        <v>320</v>
      </c>
      <c r="EP77" t="n">
        <v>32</v>
      </c>
      <c r="EQ77" t="inlineStr">
        <is>
          <t>GAU-8 Avenger 30 mm</t>
        </is>
      </c>
      <c r="EV77" t="n">
        <v>27</v>
      </c>
      <c r="EX77" t="n">
        <v>30</v>
      </c>
      <c r="EZ77" t="n">
        <v>2.2</v>
      </c>
      <c r="GB77" t="inlineStr">
        <is>
          <t>cal_30</t>
        </is>
      </c>
      <c r="GD77" t="inlineStr">
        <is>
          <t>Assets/MachineBrigade/Resources/Data/balance.json: weapons[81]</t>
        </is>
      </c>
      <c r="GE77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8">
      <c r="A78" t="inlineStr">
        <is>
          <t>grad_cluster</t>
        </is>
      </c>
      <c r="B78" t="inlineStr">
        <is>
          <t>BM-21 Grad 122 mm (cluster)</t>
        </is>
      </c>
      <c r="C78" t="inlineStr">
        <is>
          <t>rkt_grad_122</t>
        </is>
      </c>
      <c r="D78" t="inlineStr">
        <is>
          <t>cluster</t>
        </is>
      </c>
      <c r="E78" t="inlineStr">
        <is>
          <t>bm_21_grad_122_mm_2</t>
        </is>
      </c>
      <c r="F78" t="inlineStr">
        <is>
          <t>rocket</t>
        </is>
      </c>
      <c r="G78" t="n">
        <v>122</v>
      </c>
      <c r="H78" t="inlineStr"/>
      <c r="I78" t="inlineStr"/>
      <c r="J78" t="inlineStr"/>
      <c r="K78" t="inlineStr">
        <is>
          <t>HighExplosive</t>
        </is>
      </c>
      <c r="L78" t="n">
        <v>2</v>
      </c>
      <c r="M78" t="inlineStr">
        <is>
          <t>Rocket</t>
        </is>
      </c>
      <c r="N78" t="n">
        <v>1</v>
      </c>
      <c r="O78" t="inlineStr">
        <is>
          <t>RIPPLE</t>
        </is>
      </c>
      <c r="P78" t="n">
        <v>11</v>
      </c>
      <c r="Q78" t="n">
        <v>0.5</v>
      </c>
      <c r="R78" t="n">
        <v>8</v>
      </c>
      <c r="S78" t="n">
        <v>0</v>
      </c>
      <c r="T78" t="n">
        <v>0</v>
      </c>
      <c r="U78" t="n">
        <v>3</v>
      </c>
      <c r="V78" t="n">
        <v>13.67</v>
      </c>
      <c r="W78" t="n">
        <v>57</v>
      </c>
      <c r="X78" t="n">
        <v>4</v>
      </c>
      <c r="Y78" t="n">
        <v>0</v>
      </c>
      <c r="Z78" t="n">
        <v>130</v>
      </c>
      <c r="AA78" t="n">
        <v>78</v>
      </c>
      <c r="AB78" t="n">
        <v>18</v>
      </c>
      <c r="AC78" t="inlineStr">
        <is>
          <t>Ground</t>
        </is>
      </c>
      <c r="AD78" t="inlineStr"/>
      <c r="AE78" t="n">
        <v>8</v>
      </c>
      <c r="AF78" t="inlineStr">
        <is>
          <t>Medium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122</v>
      </c>
      <c r="AO78" t="n">
        <v>0</v>
      </c>
      <c r="AP78" t="inlineStr">
        <is>
          <t>T3</t>
        </is>
      </c>
      <c r="AQ78" t="inlineStr"/>
      <c r="AR78" t="inlineStr"/>
      <c r="AS78" t="inlineStr">
        <is>
          <t>xe</t>
        </is>
      </c>
      <c r="AT78" t="inlineStr">
        <is>
          <t>elite_grad</t>
        </is>
      </c>
      <c r="AU78" t="n">
        <v>1</v>
      </c>
      <c r="AV78" t="inlineStr">
        <is>
          <t>elite_grad:0</t>
        </is>
      </c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0.6</v>
      </c>
      <c r="BB78" t="n">
        <v>120</v>
      </c>
      <c r="BC78" t="inlineStr"/>
      <c r="BD78" t="inlineStr">
        <is>
          <t>rocket</t>
        </is>
      </c>
      <c r="BE78" t="inlineStr">
        <is>
          <t>Wikipedia 'BM-21 Grad': 40 rockets in 20 s</t>
        </is>
      </c>
      <c r="BG78" t="inlineStr">
        <is>
          <t>doi</t>
        </is>
      </c>
      <c r="BR78" t="n">
        <v>45</v>
      </c>
      <c r="BS78" t="n">
        <v>130</v>
      </c>
      <c r="CN78" t="n">
        <v>3</v>
      </c>
      <c r="CR78" t="n">
        <v>11</v>
      </c>
      <c r="CS78" t="n">
        <v>0.5</v>
      </c>
      <c r="CT78" t="n">
        <v>122</v>
      </c>
      <c r="CY78" t="n">
        <v>4</v>
      </c>
      <c r="CZ78" t="n">
        <v>15</v>
      </c>
      <c r="DA78" t="n">
        <v>5</v>
      </c>
      <c r="DB78" t="n">
        <v>2.2</v>
      </c>
      <c r="DC78" t="inlineStr">
        <is>
          <t>Small</t>
        </is>
      </c>
      <c r="DD78" t="n">
        <v>8</v>
      </c>
      <c r="DE78" t="n">
        <v>57</v>
      </c>
      <c r="DF78" t="inlineStr">
        <is>
          <t>HighExplosive</t>
        </is>
      </c>
      <c r="DJ78" t="inlineStr">
        <is>
          <t>rocket</t>
        </is>
      </c>
      <c r="DS78" t="inlineStr">
        <is>
          <t>Medium</t>
        </is>
      </c>
      <c r="DZ78" t="n">
        <v>18</v>
      </c>
      <c r="EB78" t="n">
        <v>2</v>
      </c>
      <c r="EH78" t="inlineStr">
        <is>
          <t>Rocket</t>
        </is>
      </c>
      <c r="EP78" t="n">
        <v>78</v>
      </c>
      <c r="EQ78" t="inlineStr">
        <is>
          <t>BM-21 Grad 122 mm (cluster)</t>
        </is>
      </c>
      <c r="ER78" t="n">
        <v>13.67</v>
      </c>
      <c r="EX78" t="n">
        <v>122</v>
      </c>
      <c r="EZ78" t="n">
        <v>8</v>
      </c>
      <c r="GA78" t="inlineStr">
        <is>
          <t>bm_21_grad_122_mm_2</t>
        </is>
      </c>
      <c r="GB78" t="inlineStr">
        <is>
          <t>rkt_grad_122</t>
        </is>
      </c>
      <c r="GC78" t="inlineStr">
        <is>
          <t>cluster</t>
        </is>
      </c>
      <c r="GD78" t="inlineStr">
        <is>
          <t>Assets/MachineBrigade/Resources/Data/balance.json: weapons[96]</t>
        </is>
      </c>
      <c r="GE78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79">
      <c r="A79" t="inlineStr">
        <is>
          <t>grad_rockets</t>
        </is>
      </c>
      <c r="B79" t="inlineStr">
        <is>
          <t>BM-21 Grad 122 mm</t>
        </is>
      </c>
      <c r="C79" t="inlineStr">
        <is>
          <t>rkt_grad_122</t>
        </is>
      </c>
      <c r="D79" t="inlineStr"/>
      <c r="E79" t="inlineStr">
        <is>
          <t>bm_21_grad_122_mm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9</v>
      </c>
      <c r="Q79" t="n">
        <v>0.5</v>
      </c>
      <c r="R79" t="n">
        <v>11.31</v>
      </c>
      <c r="S79" t="n">
        <v>0</v>
      </c>
      <c r="T79" t="n">
        <v>0</v>
      </c>
      <c r="U79" t="n">
        <v>3</v>
      </c>
      <c r="V79" t="n">
        <v>16.6</v>
      </c>
      <c r="W79" t="n">
        <v>57</v>
      </c>
      <c r="X79" t="n">
        <v>4.5</v>
      </c>
      <c r="Y79" t="n">
        <v>0</v>
      </c>
      <c r="Z79" t="n">
        <v>130</v>
      </c>
      <c r="AA79" t="n">
        <v>55</v>
      </c>
      <c r="AB79" t="n">
        <v>18</v>
      </c>
      <c r="AC79" t="inlineStr">
        <is>
          <t>Ground</t>
        </is>
      </c>
      <c r="AD79" t="inlineStr"/>
      <c r="AE79" t="n">
        <v>7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/>
      <c r="AT79" t="inlineStr"/>
      <c r="AU79" t="n">
        <v>0</v>
      </c>
      <c r="AV79" t="inlineStr"/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0.4230769230769231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9</v>
      </c>
      <c r="CS79" t="n">
        <v>0.5</v>
      </c>
      <c r="CT79" t="n">
        <v>122</v>
      </c>
      <c r="DD79" t="n">
        <v>11.31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55</v>
      </c>
      <c r="EQ79" t="inlineStr">
        <is>
          <t>BM-21 Grad 122 mm</t>
        </is>
      </c>
      <c r="ER79" t="n">
        <v>16.6</v>
      </c>
      <c r="EX79" t="n">
        <v>122</v>
      </c>
      <c r="EZ79" t="n">
        <v>7</v>
      </c>
      <c r="GA79" t="inlineStr">
        <is>
          <t>bm_21_grad_122_mm</t>
        </is>
      </c>
      <c r="GB79" t="inlineStr">
        <is>
          <t>rkt_grad_122</t>
        </is>
      </c>
      <c r="GD79" t="inlineStr">
        <is>
          <t>Assets/MachineBrigade/Resources/Data/balance.json: weapons[33]</t>
        </is>
      </c>
      <c r="GE79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0">
      <c r="A80" t="inlineStr">
        <is>
          <t>gsh_23v</t>
        </is>
      </c>
      <c r="B80" t="inlineStr">
        <is>
          <t>GSh-23V 23 mm</t>
        </is>
      </c>
      <c r="C80" t="inlineStr">
        <is>
          <t>cal_23</t>
        </is>
      </c>
      <c r="D80" t="inlineStr"/>
      <c r="E80" t="inlineStr"/>
      <c r="F80" t="inlineStr">
        <is>
          <t>autocannon</t>
        </is>
      </c>
      <c r="G80" t="n">
        <v>23</v>
      </c>
      <c r="H80" t="inlineStr"/>
      <c r="I80" t="inlineStr"/>
      <c r="J80" t="inlineStr"/>
      <c r="K80" t="inlineStr">
        <is>
          <t>Kinetic</t>
        </is>
      </c>
      <c r="L80" t="n">
        <v>2</v>
      </c>
      <c r="M80" t="inlineStr">
        <is>
          <t>Bullet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0.0182</v>
      </c>
      <c r="S80" t="n">
        <v>44</v>
      </c>
      <c r="T80" t="n">
        <v>5.6</v>
      </c>
      <c r="U80" t="n">
        <v>0</v>
      </c>
      <c r="V80" t="n">
        <v>0</v>
      </c>
      <c r="W80" t="n">
        <v>14</v>
      </c>
      <c r="X80" t="n">
        <v>0</v>
      </c>
      <c r="Y80" t="n">
        <v>0</v>
      </c>
      <c r="Z80" t="n">
        <v>240</v>
      </c>
      <c r="AA80" t="n">
        <v>26</v>
      </c>
      <c r="AB80" t="n">
        <v>0</v>
      </c>
      <c r="AC80" t="inlineStr">
        <is>
          <t>All</t>
        </is>
      </c>
      <c r="AD80" t="inlineStr"/>
      <c r="AE80" t="n">
        <v>1.3</v>
      </c>
      <c r="AF80" t="inlineStr">
        <is>
          <t>Small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23</v>
      </c>
      <c r="AO80" t="n">
        <v>0</v>
      </c>
      <c r="AP80" t="inlineStr">
        <is>
          <t>T1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0.1083333333333333</v>
      </c>
      <c r="BB80" t="n">
        <v>3400</v>
      </c>
      <c r="BC80" t="inlineStr"/>
      <c r="BD80" t="inlineStr">
        <is>
          <t>ac</t>
        </is>
      </c>
      <c r="BE80" t="inlineStr">
        <is>
          <t>Wikipedia 'Gryazev-Shipunov GSh-23': 3,000-3,400 rpm (GSh-23V)</t>
        </is>
      </c>
      <c r="BG80" t="inlineStr">
        <is>
          <t>giong</t>
        </is>
      </c>
      <c r="CT80" t="n">
        <v>23</v>
      </c>
      <c r="CW80" t="n">
        <v>44</v>
      </c>
      <c r="CX80" t="n">
        <v>5.6</v>
      </c>
      <c r="DD80" t="n">
        <v>0.0182</v>
      </c>
      <c r="DE80" t="n">
        <v>14</v>
      </c>
      <c r="DF80" t="inlineStr">
        <is>
          <t>Kinetic</t>
        </is>
      </c>
      <c r="DJ80" t="inlineStr">
        <is>
          <t>autocannon</t>
        </is>
      </c>
      <c r="DS80" t="inlineStr">
        <is>
          <t>Small</t>
        </is>
      </c>
      <c r="EB80" t="n">
        <v>2</v>
      </c>
      <c r="EH80" t="inlineStr">
        <is>
          <t>Bullet</t>
        </is>
      </c>
      <c r="EK80" t="n">
        <v>240</v>
      </c>
      <c r="EP80" t="n">
        <v>26</v>
      </c>
      <c r="EQ80" t="inlineStr">
        <is>
          <t>GSh-23V 23 mm</t>
        </is>
      </c>
      <c r="EX80" t="n">
        <v>23</v>
      </c>
      <c r="EZ80" t="n">
        <v>1.3</v>
      </c>
      <c r="FW80" t="inlineStr">
        <is>
          <t>All</t>
        </is>
      </c>
      <c r="GB80" t="inlineStr">
        <is>
          <t>cal_23</t>
        </is>
      </c>
      <c r="GD80" t="inlineStr">
        <is>
          <t>Assets/MachineBrigade/Resources/Data/balance.json: weapons[71]</t>
        </is>
      </c>
      <c r="GE80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1">
      <c r="A81" t="inlineStr">
        <is>
          <t>guided_bomb</t>
        </is>
      </c>
      <c r="B81" t="inlineStr">
        <is>
          <t>GBU-39 SDB (110 kg)</t>
        </is>
      </c>
      <c r="C81" t="inlineStr">
        <is>
          <t>bomb_gbu_39_sdb</t>
        </is>
      </c>
      <c r="D81" t="inlineStr"/>
      <c r="E81" t="inlineStr"/>
      <c r="F81" t="inlineStr">
        <is>
          <t>bomb</t>
        </is>
      </c>
      <c r="G81" t="inlineStr"/>
      <c r="H81" t="n">
        <v>110</v>
      </c>
      <c r="I81" t="inlineStr"/>
      <c r="J81" t="inlineStr"/>
      <c r="K81" t="inlineStr">
        <is>
          <t>HighExplosive</t>
        </is>
      </c>
      <c r="L81" t="n">
        <v>3</v>
      </c>
      <c r="M81" t="inlineStr">
        <is>
          <t>Bomb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6.651</v>
      </c>
      <c r="S81" t="n">
        <v>0</v>
      </c>
      <c r="T81" t="n">
        <v>0</v>
      </c>
      <c r="U81" t="n">
        <v>0</v>
      </c>
      <c r="V81" t="n">
        <v>0</v>
      </c>
      <c r="W81" t="n">
        <v>210</v>
      </c>
      <c r="X81" t="n">
        <v>4</v>
      </c>
      <c r="Y81" t="n">
        <v>0</v>
      </c>
      <c r="Z81" t="n">
        <v>40</v>
      </c>
      <c r="AA81" t="n">
        <v>30</v>
      </c>
      <c r="AB81" t="n">
        <v>0</v>
      </c>
      <c r="AC81" t="inlineStr">
        <is>
          <t>Ground</t>
        </is>
      </c>
      <c r="AD81" t="inlineStr"/>
      <c r="AE81" t="n">
        <v>1</v>
      </c>
      <c r="AF81" t="inlineStr">
        <is>
          <t>Large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110</v>
      </c>
      <c r="AO81" t="n">
        <v>2</v>
      </c>
      <c r="AP81" t="inlineStr">
        <is>
          <t>T2</t>
        </is>
      </c>
      <c r="AQ81" t="inlineStr"/>
      <c r="AR81" t="inlineStr"/>
      <c r="AS81" t="inlineStr">
        <is>
          <t>xe</t>
        </is>
      </c>
      <c r="AT81" t="inlineStr">
        <is>
          <t>stealth_fighter;strike_drone</t>
        </is>
      </c>
      <c r="AU81" t="n">
        <v>2</v>
      </c>
      <c r="AV81" t="inlineStr">
        <is>
          <t>stealth_fighter:1;strike_drone:1</t>
        </is>
      </c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0.75</v>
      </c>
      <c r="BB81" t="n">
        <v>600</v>
      </c>
      <c r="BC81" t="inlineStr"/>
      <c r="BD81" t="inlineStr">
        <is>
          <t>bomb</t>
        </is>
      </c>
      <c r="BE81" t="inlineStr">
        <is>
          <t>a stick's release, 0.1 s and up (est.)</t>
        </is>
      </c>
      <c r="BG81" t="inlineStr">
        <is>
          <t>giong</t>
        </is>
      </c>
      <c r="DD81" t="n">
        <v>6.651</v>
      </c>
      <c r="DE81" t="n">
        <v>210</v>
      </c>
      <c r="DF81" t="inlineStr">
        <is>
          <t>HighExplosive</t>
        </is>
      </c>
      <c r="DJ81" t="inlineStr">
        <is>
          <t>bomb</t>
        </is>
      </c>
      <c r="DN81" t="inlineStr">
        <is>
          <t>GuidedBomb</t>
        </is>
      </c>
      <c r="DS81" t="inlineStr">
        <is>
          <t>Large</t>
        </is>
      </c>
      <c r="DW81" t="n">
        <v>2</v>
      </c>
      <c r="EB81" t="n">
        <v>3</v>
      </c>
      <c r="EH81" t="inlineStr">
        <is>
          <t>Bomb</t>
        </is>
      </c>
      <c r="EI81" t="inlineStr">
        <is>
          <t>gbu39</t>
        </is>
      </c>
      <c r="EJ81" t="n">
        <v>0.4091</v>
      </c>
      <c r="EK81" t="n">
        <v>40</v>
      </c>
      <c r="EP81" t="n">
        <v>30</v>
      </c>
      <c r="EQ81" t="inlineStr">
        <is>
          <t>GBU-39 SDB (110 kg)</t>
        </is>
      </c>
      <c r="ET81" t="n">
        <v>0.9</v>
      </c>
      <c r="EV81" t="n">
        <v>297</v>
      </c>
      <c r="EX81" t="n">
        <v>110</v>
      </c>
      <c r="EY81" t="n">
        <v>4</v>
      </c>
      <c r="EZ81" t="n">
        <v>1</v>
      </c>
      <c r="FA81" t="inlineStr">
        <is>
          <t>CENTER</t>
        </is>
      </c>
      <c r="FB81" t="n">
        <v>0.5</v>
      </c>
      <c r="FC81" t="n">
        <v>1</v>
      </c>
      <c r="FD81" t="inlineStr">
        <is>
          <t>OVERFLY</t>
        </is>
      </c>
      <c r="FE81" t="n">
        <v>0</v>
      </c>
      <c r="FF81" t="n">
        <v>0</v>
      </c>
      <c r="FG81" t="inlineStr">
        <is>
          <t>APPROACH</t>
        </is>
      </c>
      <c r="FH81" t="n">
        <v>0.1</v>
      </c>
      <c r="FI81" t="n">
        <v>0</v>
      </c>
      <c r="FJ81" t="n">
        <v>0</v>
      </c>
      <c r="FK81" t="n">
        <v>0</v>
      </c>
      <c r="FL81" t="n">
        <v>0</v>
      </c>
      <c r="FM81" t="n">
        <v>0</v>
      </c>
      <c r="FN81" t="inlineStr">
        <is>
          <t>POINT</t>
        </is>
      </c>
      <c r="FO81" t="n">
        <v>0</v>
      </c>
      <c r="FP81" t="n">
        <v>0</v>
      </c>
      <c r="FQ81" t="n">
        <v>8</v>
      </c>
      <c r="FR81" t="n">
        <v>0</v>
      </c>
      <c r="FS81" t="n">
        <v>0</v>
      </c>
      <c r="FT81" t="inlineStr">
        <is>
          <t>NONE</t>
        </is>
      </c>
      <c r="FU81" t="n">
        <v>8</v>
      </c>
      <c r="FZ81" t="n">
        <v>110</v>
      </c>
      <c r="GB81" t="inlineStr">
        <is>
          <t>bomb_gbu_39_sdb</t>
        </is>
      </c>
      <c r="GD81" t="inlineStr">
        <is>
          <t>Assets/MachineBrigade/Resources/Data/balance.json: weapons[219]</t>
        </is>
      </c>
      <c r="GE81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2">
      <c r="A82" t="inlineStr">
        <is>
          <t>gun_57_air</t>
        </is>
      </c>
      <c r="B82" t="inlineStr">
        <is>
          <t>AU-220 57 mm (air burst)</t>
        </is>
      </c>
      <c r="C82" t="inlineStr">
        <is>
          <t>cal_57</t>
        </is>
      </c>
      <c r="D82" t="inlineStr">
        <is>
          <t>flak</t>
        </is>
      </c>
      <c r="E82" t="inlineStr"/>
      <c r="F82" t="inlineStr">
        <is>
          <t>autocannon</t>
        </is>
      </c>
      <c r="G82" t="n">
        <v>57</v>
      </c>
      <c r="H82" t="inlineStr"/>
      <c r="I82" t="inlineStr"/>
      <c r="J82" t="inlineStr"/>
      <c r="K82" t="inlineStr">
        <is>
          <t>Fragmentation</t>
        </is>
      </c>
      <c r="L82" t="n">
        <v>2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0.5</v>
      </c>
      <c r="S82" t="n">
        <v>6</v>
      </c>
      <c r="T82" t="n">
        <v>2.4</v>
      </c>
      <c r="U82" t="n">
        <v>0</v>
      </c>
      <c r="V82" t="n">
        <v>0</v>
      </c>
      <c r="W82" t="n">
        <v>70</v>
      </c>
      <c r="X82" t="n">
        <v>3</v>
      </c>
      <c r="Y82" t="n">
        <v>0</v>
      </c>
      <c r="Z82" t="n">
        <v>260</v>
      </c>
      <c r="AA82" t="n">
        <v>40</v>
      </c>
      <c r="AB82" t="n">
        <v>0</v>
      </c>
      <c r="AC82" t="inlineStr">
        <is>
          <t>Air</t>
        </is>
      </c>
      <c r="AD82" t="inlineStr"/>
      <c r="AE82" t="n">
        <v>1.2</v>
      </c>
      <c r="AF82" t="inlineStr">
        <is>
          <t>Medium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57</v>
      </c>
      <c r="AO82" t="n">
        <v>0</v>
      </c>
      <c r="AP82" t="inlineStr">
        <is>
          <t>T2</t>
        </is>
      </c>
      <c r="AQ82" t="inlineStr"/>
      <c r="AR82" t="inlineStr"/>
      <c r="AS82" t="inlineStr"/>
      <c r="AT82" t="inlineStr"/>
      <c r="AU82" t="n">
        <v>0</v>
      </c>
      <c r="AV82" t="inlineStr"/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0.1538461538461539</v>
      </c>
      <c r="BB82" t="n">
        <v>120</v>
      </c>
      <c r="BC82" t="n">
        <v>80</v>
      </c>
      <c r="BD82" t="inlineStr">
        <is>
          <t>ac</t>
        </is>
      </c>
      <c r="BE82" t="inlineStr">
        <is>
          <t>Wikipedia 'AU-220M': 80-120 rpm</t>
        </is>
      </c>
      <c r="BG82" t="inlineStr">
        <is>
          <t>giong</t>
        </is>
      </c>
      <c r="CT82" t="n">
        <v>57</v>
      </c>
      <c r="CW82" t="n">
        <v>6</v>
      </c>
      <c r="CX82" t="n">
        <v>2.4</v>
      </c>
      <c r="DD82" t="n">
        <v>0.5</v>
      </c>
      <c r="DE82" t="n">
        <v>70</v>
      </c>
      <c r="DF82" t="inlineStr">
        <is>
          <t>Fragmentation</t>
        </is>
      </c>
      <c r="DJ82" t="inlineStr">
        <is>
          <t>autocannon</t>
        </is>
      </c>
      <c r="DS82" t="inlineStr">
        <is>
          <t>Medium</t>
        </is>
      </c>
      <c r="EB82" t="n">
        <v>2</v>
      </c>
      <c r="EH82" t="inlineStr">
        <is>
          <t>Bullet</t>
        </is>
      </c>
      <c r="EK82" t="n">
        <v>260</v>
      </c>
      <c r="EP82" t="n">
        <v>40</v>
      </c>
      <c r="EQ82" t="inlineStr">
        <is>
          <t>AU-220 57 mm (air burst)</t>
        </is>
      </c>
      <c r="EV82" t="n">
        <v>70</v>
      </c>
      <c r="EX82" t="n">
        <v>57</v>
      </c>
      <c r="EY82" t="n">
        <v>3</v>
      </c>
      <c r="EZ82" t="n">
        <v>1.2</v>
      </c>
      <c r="FW82" t="inlineStr">
        <is>
          <t>Air</t>
        </is>
      </c>
      <c r="GB82" t="inlineStr">
        <is>
          <t>cal_57</t>
        </is>
      </c>
      <c r="GC82" t="inlineStr">
        <is>
          <t>flak</t>
        </is>
      </c>
      <c r="GD82" t="inlineStr">
        <is>
          <t>Assets/MachineBrigade/Resources/Data/balance.json: weapons[115]</t>
        </is>
      </c>
      <c r="GE82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3">
      <c r="A83" t="inlineStr">
        <is>
          <t>gun_57_auto</t>
        </is>
      </c>
      <c r="B83" t="inlineStr">
        <is>
          <t>AU-220 57 mm (tower, twin)</t>
        </is>
      </c>
      <c r="C83" t="inlineStr">
        <is>
          <t>cal_57</t>
        </is>
      </c>
      <c r="D83" t="inlineStr">
        <is>
          <t>ap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Kinetic</t>
        </is>
      </c>
      <c r="L83" t="n">
        <v>2</v>
      </c>
      <c r="M83" t="inlineStr">
        <is>
          <t>Bullet</t>
        </is>
      </c>
      <c r="N83" t="n">
        <v>2</v>
      </c>
      <c r="O83" t="inlineStr">
        <is>
          <t>RIPPLE</t>
        </is>
      </c>
      <c r="P83" t="n">
        <v>1</v>
      </c>
      <c r="Q83" t="n">
        <v>0.1</v>
      </c>
      <c r="R83" t="n">
        <v>0.25</v>
      </c>
      <c r="S83" t="n">
        <v>12</v>
      </c>
      <c r="T83" t="n">
        <v>2.65</v>
      </c>
      <c r="U83" t="n">
        <v>0</v>
      </c>
      <c r="V83" t="n">
        <v>0</v>
      </c>
      <c r="W83" t="n">
        <v>35</v>
      </c>
      <c r="X83" t="n">
        <v>1.5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Ground</t>
        </is>
      </c>
      <c r="AD83" t="inlineStr"/>
      <c r="AE83" t="n">
        <v>0.9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>
        <is>
          <t>thap</t>
        </is>
      </c>
      <c r="AT83" t="inlineStr">
        <is>
          <t>gun_turret.auto</t>
        </is>
      </c>
      <c r="AU83" t="n">
        <v>1</v>
      </c>
      <c r="AV83" t="inlineStr">
        <is>
          <t>gun_turret.auto:0</t>
        </is>
      </c>
      <c r="AW83" t="n">
        <v>0</v>
      </c>
      <c r="AX83" t="b">
        <v>0</v>
      </c>
      <c r="AY83" t="inlineStr">
        <is>
          <t>KHONG_AP_DUNG</t>
        </is>
      </c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doi</t>
        </is>
      </c>
      <c r="BH83" t="n">
        <v>70</v>
      </c>
      <c r="BI83" t="n">
        <v>35</v>
      </c>
      <c r="BJ83" t="n">
        <v>0.5</v>
      </c>
      <c r="BK83" t="n">
        <v>0.25</v>
      </c>
      <c r="BX83" t="n">
        <v>1</v>
      </c>
      <c r="BY83" t="n">
        <v>2</v>
      </c>
      <c r="CF83" t="n">
        <v>6</v>
      </c>
      <c r="CG83" t="n">
        <v>12</v>
      </c>
      <c r="CH83" t="n">
        <v>2.9</v>
      </c>
      <c r="CI83" t="n">
        <v>2.65</v>
      </c>
      <c r="CL83" t="inlineStr">
        <is>
          <t>All</t>
        </is>
      </c>
      <c r="CM83" t="inlineStr">
        <is>
          <t>Ground</t>
        </is>
      </c>
      <c r="CO83" t="n">
        <v>2</v>
      </c>
      <c r="CT83" t="n">
        <v>57</v>
      </c>
      <c r="CW83" t="n">
        <v>12</v>
      </c>
      <c r="CX83" t="n">
        <v>2.65</v>
      </c>
      <c r="DD83" t="n">
        <v>0.25</v>
      </c>
      <c r="DE83" t="n">
        <v>35</v>
      </c>
      <c r="DF83" t="inlineStr">
        <is>
          <t>Kinetic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G83" t="inlineStr">
        <is>
          <t>Light</t>
        </is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(tower, twin)</t>
        </is>
      </c>
      <c r="EV83" t="n">
        <v>70</v>
      </c>
      <c r="EX83" t="n">
        <v>57</v>
      </c>
      <c r="EY83" t="n">
        <v>1.5</v>
      </c>
      <c r="EZ83" t="n">
        <v>0.9</v>
      </c>
      <c r="FW83" t="inlineStr">
        <is>
          <t>Ground</t>
        </is>
      </c>
      <c r="GB83" t="inlineStr">
        <is>
          <t>cal_57</t>
        </is>
      </c>
      <c r="GC83" t="inlineStr">
        <is>
          <t>ap</t>
        </is>
      </c>
      <c r="GD83" t="inlineStr">
        <is>
          <t>Assets/MachineBrigade/Resources/Data/balance.json: weapons[114]</t>
        </is>
      </c>
      <c r="GE83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4">
      <c r="A84" t="inlineStr">
        <is>
          <t>gun_57mm</t>
        </is>
      </c>
      <c r="B84" t="inlineStr">
        <is>
          <t>S-60 57 mm (2A91)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tank_gun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Shell</t>
        </is>
      </c>
      <c r="N84" t="n">
        <v>1</v>
      </c>
      <c r="O84" t="inlineStr">
        <is>
          <t>RIPPLE</t>
        </is>
      </c>
      <c r="P84" t="n">
        <v>2</v>
      </c>
      <c r="Q84" t="n">
        <v>0.5</v>
      </c>
      <c r="R84" t="n">
        <v>4</v>
      </c>
      <c r="S84" t="n">
        <v>0</v>
      </c>
      <c r="T84" t="n">
        <v>0</v>
      </c>
      <c r="U84" t="n">
        <v>0</v>
      </c>
      <c r="V84" t="n">
        <v>0</v>
      </c>
      <c r="W84" t="n">
        <v>77</v>
      </c>
      <c r="X84" t="n">
        <v>0</v>
      </c>
      <c r="Y84" t="n">
        <v>0</v>
      </c>
      <c r="Z84" t="n">
        <v>150</v>
      </c>
      <c r="AA84" t="n">
        <v>28</v>
      </c>
      <c r="AB84" t="n">
        <v>0</v>
      </c>
      <c r="AC84" t="inlineStr">
        <is>
          <t>Ground</t>
        </is>
      </c>
      <c r="AD84" t="inlineStr"/>
      <c r="AE84" t="n">
        <v>0.8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>
        <is>
          <t>gun_57mm_he</t>
        </is>
      </c>
      <c r="AS84" t="inlineStr">
        <is>
          <t>xe</t>
        </is>
      </c>
      <c r="AT84" t="inlineStr">
        <is>
          <t>light_tank</t>
        </is>
      </c>
      <c r="AU84" t="n">
        <v>1</v>
      </c>
      <c r="AV84" t="inlineStr">
        <is>
          <t>light_tank:0</t>
        </is>
      </c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0.1866666666666667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giong</t>
        </is>
      </c>
      <c r="CR84" t="n">
        <v>2</v>
      </c>
      <c r="CS84" t="n">
        <v>0.5</v>
      </c>
      <c r="CT84" t="n">
        <v>57</v>
      </c>
      <c r="DD84" t="n">
        <v>4</v>
      </c>
      <c r="DE84" t="n">
        <v>77</v>
      </c>
      <c r="DF84" t="inlineStr">
        <is>
          <t>Kinetic</t>
        </is>
      </c>
      <c r="DJ84" t="inlineStr">
        <is>
          <t>tank_gun</t>
        </is>
      </c>
      <c r="DS84" t="inlineStr">
        <is>
          <t>Medium</t>
        </is>
      </c>
      <c r="EB84" t="n">
        <v>2</v>
      </c>
      <c r="EE84" t="b">
        <v>1</v>
      </c>
      <c r="EK84" t="n">
        <v>150</v>
      </c>
      <c r="EP84" t="n">
        <v>28</v>
      </c>
      <c r="EQ84" t="inlineStr">
        <is>
          <t>S-60 57 mm (2A91)</t>
        </is>
      </c>
      <c r="EV84" t="n">
        <v>79</v>
      </c>
      <c r="EX84" t="n">
        <v>57</v>
      </c>
      <c r="EZ84" t="n">
        <v>0.8</v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weapons[10]</t>
        </is>
      </c>
      <c r="GE84" t="inlineStr">
        <is>
          <t>{"id":"gun_57mm","weaponFamilyId":"cal_57","weaponVariantId":"ap","burstInterval":0.5,"burst":2,"real":"S-60 57 mm (2A91)","family":"tank_gun","size":57,"caliberMm":57,"pen":2,"piercing":true,"damageType":"Kinetic","damage":77,"cooldown":4,"range":28,"projectileSpeed":150,"spread":0.8,"impactTier":"Medium","roundWeight":79}</t>
        </is>
      </c>
    </row>
    <row r="85">
      <c r="A85" t="inlineStr">
        <is>
          <t>gun_57mm_he</t>
        </is>
      </c>
      <c r="B85" t="inlineStr">
        <is>
          <t>S-60 57 mm HE (2A91)</t>
        </is>
      </c>
      <c r="C85" t="inlineStr">
        <is>
          <t>cal_57</t>
        </is>
      </c>
      <c r="D85" t="inlineStr"/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HighExplosive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4</v>
      </c>
      <c r="S85" t="n">
        <v>0</v>
      </c>
      <c r="T85" t="n">
        <v>0</v>
      </c>
      <c r="U85" t="n">
        <v>0</v>
      </c>
      <c r="V85" t="n">
        <v>0</v>
      </c>
      <c r="W85" t="n">
        <v>77</v>
      </c>
      <c r="X85" t="n">
        <v>3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Large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>
        <is>
          <t>gun_57mm</t>
        </is>
      </c>
      <c r="AR85" t="inlineStr"/>
      <c r="AS85" t="inlineStr"/>
      <c r="AT85" t="inlineStr"/>
      <c r="AU85" t="n">
        <v>0</v>
      </c>
      <c r="AV85" t="inlineStr"/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giong</t>
        </is>
      </c>
      <c r="DE85" t="n">
        <v>77</v>
      </c>
      <c r="DF85" t="inlineStr">
        <is>
          <t>HighExplosive</t>
        </is>
      </c>
      <c r="DM85" t="inlineStr">
        <is>
          <t>light;structure</t>
        </is>
      </c>
      <c r="DN85" t="inlineStr">
        <is>
          <t>HeShell</t>
        </is>
      </c>
      <c r="DS85" t="inlineStr">
        <is>
          <t>Large</t>
        </is>
      </c>
      <c r="DT85" t="inlineStr">
        <is>
          <t>gun_57mm</t>
        </is>
      </c>
      <c r="EB85" t="n">
        <v>2</v>
      </c>
      <c r="EE85" t="b">
        <v>0</v>
      </c>
      <c r="EQ85" t="inlineStr">
        <is>
          <t>S-60 57 mm HE (2A91)</t>
        </is>
      </c>
      <c r="ES85" t="inlineStr">
        <is>
          <t>he</t>
        </is>
      </c>
      <c r="EU85" t="inlineStr">
        <is>
          <t>gun_57mm</t>
        </is>
      </c>
      <c r="EY85" t="n">
        <v>3</v>
      </c>
      <c r="FW85" t="inlineStr">
        <is>
          <t>Ground</t>
        </is>
      </c>
      <c r="GA85" t="inlineStr"/>
      <c r="GC85" t="inlineStr"/>
      <c r="GD85" t="inlineStr">
        <is>
          <t>Assets/MachineBrigade/Resources/Data/balance.json: secondRounds.rounds[32]</t>
        </is>
      </c>
      <c r="GE85" t="inlineStr">
        <is>
          <t>{"id":"gun_57mm_he","roundOf":"gun_57mm","inherits":"gun_57mm","weaponVariantId":"","weaponFamily":"","round":"he","for":["light","structure"],"real":"S-60 57 mm HE (2A91)","damageType":"HighExplosive","pen":2,"damage":77,"splash":3,"form":"HeShell","piercing":false,"targets":"Ground","impactTier":"Large"}</t>
        </is>
      </c>
    </row>
    <row r="86">
      <c r="A86" t="inlineStr">
        <is>
          <t>gun_100_river</t>
        </is>
      </c>
      <c r="B86" t="inlineStr">
        <is>
          <t>A-190 100 mm (Buyan-class river gunboat)</t>
        </is>
      </c>
      <c r="C86" t="inlineStr">
        <is>
          <t>cal_100_105_he</t>
        </is>
      </c>
      <c r="D86" t="inlineStr"/>
      <c r="E86" t="inlineStr"/>
      <c r="F86" t="inlineStr">
        <is>
          <t>naval_gun</t>
        </is>
      </c>
      <c r="G86" t="n">
        <v>100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1</v>
      </c>
      <c r="Q86" t="n">
        <v>0.1</v>
      </c>
      <c r="R86" t="n">
        <v>3</v>
      </c>
      <c r="S86" t="n">
        <v>0</v>
      </c>
      <c r="T86" t="n">
        <v>0</v>
      </c>
      <c r="U86" t="n">
        <v>0</v>
      </c>
      <c r="V86" t="n">
        <v>0</v>
      </c>
      <c r="W86" t="n">
        <v>160</v>
      </c>
      <c r="X86" t="n">
        <v>4</v>
      </c>
      <c r="Y86" t="n">
        <v>0</v>
      </c>
      <c r="Z86" t="n">
        <v>170</v>
      </c>
      <c r="AA86" t="n">
        <v>70</v>
      </c>
      <c r="AB86" t="n">
        <v>0</v>
      </c>
      <c r="AC86" t="inlineStr">
        <is>
          <t>Ground</t>
        </is>
      </c>
      <c r="AD86" t="inlineStr"/>
      <c r="AE86" t="n">
        <v>0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100</v>
      </c>
      <c r="AO86" t="n">
        <v>0</v>
      </c>
      <c r="AP86" t="inlineStr">
        <is>
          <t>T2</t>
        </is>
      </c>
      <c r="AQ86" t="inlineStr"/>
      <c r="AR86" t="inlineStr"/>
      <c r="AS86" t="inlineStr">
        <is>
          <t>xe</t>
        </is>
      </c>
      <c r="AT86" t="inlineStr">
        <is>
          <t>river_gunboat</t>
        </is>
      </c>
      <c r="AU86" t="n">
        <v>1</v>
      </c>
      <c r="AV86" t="inlineStr">
        <is>
          <t>river_gunboat:0</t>
        </is>
      </c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0.4117647058823529</v>
      </c>
      <c r="BB86" t="n">
        <v>80</v>
      </c>
      <c r="BC86" t="n">
        <v>40</v>
      </c>
      <c r="BD86" t="inlineStr">
        <is>
          <t>gun</t>
        </is>
      </c>
      <c r="BE86" t="inlineStr">
        <is>
          <t>Wikipedia 'A-190': 80 rpm</t>
        </is>
      </c>
      <c r="BG86" t="inlineStr">
        <is>
          <t>doi</t>
        </is>
      </c>
      <c r="CL86" t="inlineStr">
        <is>
          <t>All</t>
        </is>
      </c>
      <c r="CM86" t="inlineStr">
        <is>
          <t>Ground</t>
        </is>
      </c>
      <c r="CT86" t="n">
        <v>100</v>
      </c>
      <c r="DD86" t="n">
        <v>3</v>
      </c>
      <c r="DE86" t="n">
        <v>160</v>
      </c>
      <c r="DF86" t="inlineStr">
        <is>
          <t>HighExplosive</t>
        </is>
      </c>
      <c r="DJ86" t="inlineStr">
        <is>
          <t>naval_gun</t>
        </is>
      </c>
      <c r="DS86" t="inlineStr">
        <is>
          <t>Large</t>
        </is>
      </c>
      <c r="EB86" t="n">
        <v>2</v>
      </c>
      <c r="EH86" t="inlineStr">
        <is>
          <t>Shell</t>
        </is>
      </c>
      <c r="EK86" t="n">
        <v>170</v>
      </c>
      <c r="EP86" t="n">
        <v>70</v>
      </c>
      <c r="EQ86" t="inlineStr">
        <is>
          <t>A-190 100 mm (Buyan-class river gunboat)</t>
        </is>
      </c>
      <c r="EX86" t="n">
        <v>100</v>
      </c>
      <c r="EY86" t="n">
        <v>4</v>
      </c>
      <c r="FW86" t="inlineStr">
        <is>
          <t>Ground</t>
        </is>
      </c>
      <c r="GB86" t="inlineStr">
        <is>
          <t>cal_100_105_he</t>
        </is>
      </c>
      <c r="GD86" t="inlineStr">
        <is>
          <t>Assets/MachineBrigade/Resources/Data/balance.json: weapons[261]</t>
        </is>
      </c>
      <c r="GE86" t="inlineStr">
        <is>
          <t>{"id":"gun_100_river","weaponFamilyId":"cal_100_105_he","real":"A-190 100 mm (Buyan-class river gunboat)","family":"naval_gun","size":100,"caliberMm":100,"pen":2,"damageType":"HighExplosive","damage":160,"cooldown":3,"range":70,"projectileSpeed":170,"splash":4,"impactTier":"Large","projectile":"Shell","targets":"Ground"}</t>
        </is>
      </c>
    </row>
    <row r="87">
      <c r="A87" t="inlineStr">
        <is>
          <t>gun_105_apfsds</t>
        </is>
      </c>
      <c r="B87" t="inlineStr">
        <is>
          <t>2A75 125 mm APFSDS</t>
        </is>
      </c>
      <c r="C87" t="inlineStr">
        <is>
          <t>cal_125_ap</t>
        </is>
      </c>
      <c r="D87" t="inlineStr"/>
      <c r="E87" t="inlineStr"/>
      <c r="F87" t="inlineStr">
        <is>
          <t>tank_gun</t>
        </is>
      </c>
      <c r="G87" t="n">
        <v>125</v>
      </c>
      <c r="H87" t="inlineStr"/>
      <c r="I87" t="inlineStr"/>
      <c r="J87" t="inlineStr"/>
      <c r="K87" t="inlineStr">
        <is>
          <t>Kinetic</t>
        </is>
      </c>
      <c r="L87" t="n">
        <v>4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3.908</v>
      </c>
      <c r="S87" t="n">
        <v>0</v>
      </c>
      <c r="T87" t="n">
        <v>0</v>
      </c>
      <c r="U87" t="n">
        <v>0</v>
      </c>
      <c r="V87" t="n">
        <v>0</v>
      </c>
      <c r="W87" t="n">
        <v>260</v>
      </c>
      <c r="X87" t="n">
        <v>0</v>
      </c>
      <c r="Y87" t="n">
        <v>0</v>
      </c>
      <c r="Z87" t="n">
        <v>260</v>
      </c>
      <c r="AA87" t="n">
        <v>46</v>
      </c>
      <c r="AB87" t="n">
        <v>0</v>
      </c>
      <c r="AC87" t="inlineStr">
        <is>
          <t>Ground</t>
        </is>
      </c>
      <c r="AD87" t="inlineStr"/>
      <c r="AE87" t="n">
        <v>0.3</v>
      </c>
      <c r="AF87" t="inlineStr">
        <is>
          <t>Medium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125</v>
      </c>
      <c r="AO87" t="n">
        <v>0</v>
      </c>
      <c r="AP87" t="inlineStr">
        <is>
          <t>T3</t>
        </is>
      </c>
      <c r="AQ87" t="inlineStr"/>
      <c r="AR87" t="inlineStr">
        <is>
          <t>gun_105_apfsds_he</t>
        </is>
      </c>
      <c r="AS87" t="inlineStr">
        <is>
          <t>xe</t>
        </is>
      </c>
      <c r="AT87" t="inlineStr">
        <is>
          <t>elite_tank_destroyer</t>
        </is>
      </c>
      <c r="AU87" t="n">
        <v>1</v>
      </c>
      <c r="AV87" t="inlineStr">
        <is>
          <t>elite_tank_destroyer:0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0.1769230769230769</v>
      </c>
      <c r="BB87" t="n">
        <v>7</v>
      </c>
      <c r="BC87" t="n">
        <v>7</v>
      </c>
      <c r="BD87" t="inlineStr">
        <is>
          <t>gun</t>
        </is>
      </c>
      <c r="BE87" t="inlineStr">
        <is>
          <t>Wikipedia '2S25 Sprut-SD': ~7 rpm</t>
        </is>
      </c>
      <c r="BG87" t="inlineStr">
        <is>
          <t>giong</t>
        </is>
      </c>
      <c r="CT87" t="n">
        <v>125</v>
      </c>
      <c r="DD87" t="n">
        <v>3.908</v>
      </c>
      <c r="DE87" t="n">
        <v>260</v>
      </c>
      <c r="DF87" t="inlineStr">
        <is>
          <t>Kinetic</t>
        </is>
      </c>
      <c r="DJ87" t="inlineStr">
        <is>
          <t>tank_gun</t>
        </is>
      </c>
      <c r="DS87" t="inlineStr">
        <is>
          <t>Medium</t>
        </is>
      </c>
      <c r="EB87" t="n">
        <v>4</v>
      </c>
      <c r="EE87" t="b">
        <v>1</v>
      </c>
      <c r="EK87" t="n">
        <v>260</v>
      </c>
      <c r="EP87" t="n">
        <v>46</v>
      </c>
      <c r="EQ87" t="inlineStr">
        <is>
          <t>2A75 125 mm APFSDS</t>
        </is>
      </c>
      <c r="EV87" t="n">
        <v>345</v>
      </c>
      <c r="EX87" t="n">
        <v>125</v>
      </c>
      <c r="EZ87" t="n">
        <v>0.3</v>
      </c>
      <c r="GB87" t="inlineStr">
        <is>
          <t>cal_125_ap</t>
        </is>
      </c>
      <c r="GD87" t="inlineStr">
        <is>
          <t>Assets/MachineBrigade/Resources/Data/balance.json: weapons[93]</t>
        </is>
      </c>
      <c r="GE87" t="inlineStr">
        <is>
          <t>{"id":"gun_105_apfsds","weaponFamilyId":"cal_125_ap","real":"2A75 125 mm APFSDS","family":"tank_gun","size":125,"caliberMm":125,"pen":4,"piercing":true,"damageType":"Kinetic","damage":260,"cooldown":3.908,"range":46,"projectileSpeed":260,"spread":0.3,"impactTier":"Medium","roundWeight":345}</t>
        </is>
      </c>
    </row>
    <row r="88">
      <c r="A88" t="inlineStr">
        <is>
          <t>gun_105_apfsds_he</t>
        </is>
      </c>
      <c r="B88" t="inlineStr">
        <is>
          <t>2A75 125 mm HE</t>
        </is>
      </c>
      <c r="C88" t="inlineStr">
        <is>
          <t>cal_125_he</t>
        </is>
      </c>
      <c r="D88" t="inlineStr"/>
      <c r="E88" t="inlineStr">
        <is>
          <t>2a75_125_mm_he</t>
        </is>
      </c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HighExplosive</t>
        </is>
      </c>
      <c r="L88" t="n">
        <v>2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3.908</v>
      </c>
      <c r="S88" t="n">
        <v>0</v>
      </c>
      <c r="T88" t="n">
        <v>0</v>
      </c>
      <c r="U88" t="n">
        <v>0</v>
      </c>
      <c r="V88" t="n">
        <v>0</v>
      </c>
      <c r="W88" t="n">
        <v>260</v>
      </c>
      <c r="X88" t="n">
        <v>3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Large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>
        <is>
          <t>gun_105_apfsds</t>
        </is>
      </c>
      <c r="AR88" t="inlineStr"/>
      <c r="AS88" t="inlineStr"/>
      <c r="AT88" t="inlineStr"/>
      <c r="AU88" t="n">
        <v>0</v>
      </c>
      <c r="AV88" t="inlineStr"/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giong</t>
        </is>
      </c>
      <c r="DE88" t="n">
        <v>260</v>
      </c>
      <c r="DF88" t="inlineStr">
        <is>
          <t>HighExplosive</t>
        </is>
      </c>
      <c r="DM88" t="inlineStr">
        <is>
          <t>light;structure</t>
        </is>
      </c>
      <c r="DN88" t="inlineStr">
        <is>
          <t>HeShell</t>
        </is>
      </c>
      <c r="DS88" t="inlineStr">
        <is>
          <t>Large</t>
        </is>
      </c>
      <c r="DT88" t="inlineStr">
        <is>
          <t>gun_105_apfsds</t>
        </is>
      </c>
      <c r="EB88" t="n">
        <v>2</v>
      </c>
      <c r="EE88" t="b">
        <v>0</v>
      </c>
      <c r="EQ88" t="inlineStr">
        <is>
          <t>2A75 125 mm HE</t>
        </is>
      </c>
      <c r="ES88" t="inlineStr">
        <is>
          <t>he</t>
        </is>
      </c>
      <c r="EU88" t="inlineStr">
        <is>
          <t>gun_105_apfsds</t>
        </is>
      </c>
      <c r="EY88" t="n">
        <v>3</v>
      </c>
      <c r="FW88" t="inlineStr">
        <is>
          <t>Ground</t>
        </is>
      </c>
      <c r="GA88" t="inlineStr">
        <is>
          <t>2a75_125_mm_he</t>
        </is>
      </c>
      <c r="GB88" t="inlineStr">
        <is>
          <t>cal_125_he</t>
        </is>
      </c>
      <c r="GD88" t="inlineStr">
        <is>
          <t>Assets/MachineBrigade/Resources/Data/balance.json: secondRounds.rounds[20]</t>
        </is>
      </c>
      <c r="GE88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HE","damageType":"HighExplosive","pen":2,"damage":260,"splash":3,"form":"HeShell","piercing":false,"targets":"Ground","impactTier":"Large"}</t>
        </is>
      </c>
    </row>
    <row r="89">
      <c r="A89" t="inlineStr">
        <is>
          <t>gun_105_bunker</t>
        </is>
      </c>
      <c r="B89" t="inlineStr">
        <is>
          <t>L7 105 mm</t>
        </is>
      </c>
      <c r="C89" t="inlineStr">
        <is>
          <t>cal_100_105_ap</t>
        </is>
      </c>
      <c r="D89" t="inlineStr"/>
      <c r="E89" t="inlineStr">
        <is>
          <t>l7_105_mm</t>
        </is>
      </c>
      <c r="F89" t="inlineStr">
        <is>
          <t>tank_gun</t>
        </is>
      </c>
      <c r="G89" t="n">
        <v>105</v>
      </c>
      <c r="H89" t="inlineStr"/>
      <c r="I89" t="inlineStr"/>
      <c r="J89" t="inlineStr"/>
      <c r="K89" t="inlineStr">
        <is>
          <t>Kinetic</t>
        </is>
      </c>
      <c r="L89" t="n">
        <v>3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4.536</v>
      </c>
      <c r="S89" t="n">
        <v>0</v>
      </c>
      <c r="T89" t="n">
        <v>0</v>
      </c>
      <c r="U89" t="n">
        <v>0</v>
      </c>
      <c r="V89" t="n">
        <v>0</v>
      </c>
      <c r="W89" t="n">
        <v>212</v>
      </c>
      <c r="X89" t="n">
        <v>1.5</v>
      </c>
      <c r="Y89" t="n">
        <v>0</v>
      </c>
      <c r="Z89" t="n">
        <v>190</v>
      </c>
      <c r="AA89" t="n">
        <v>34</v>
      </c>
      <c r="AB89" t="n">
        <v>0</v>
      </c>
      <c r="AC89" t="inlineStr">
        <is>
          <t>Ground</t>
        </is>
      </c>
      <c r="AD89" t="inlineStr"/>
      <c r="AE89" t="n">
        <v>0.6</v>
      </c>
      <c r="AF89" t="inlineStr">
        <is>
          <t>Medium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105</v>
      </c>
      <c r="AO89" t="n">
        <v>0</v>
      </c>
      <c r="AP89" t="inlineStr">
        <is>
          <t>T2</t>
        </is>
      </c>
      <c r="AQ89" t="inlineStr"/>
      <c r="AR89" t="inlineStr">
        <is>
          <t>gun_105_bunker_he</t>
        </is>
      </c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0.1789473684210526</v>
      </c>
      <c r="BB89" t="n">
        <v>10</v>
      </c>
      <c r="BC89" t="n">
        <v>6</v>
      </c>
      <c r="BD89" t="inlineStr">
        <is>
          <t>gun</t>
        </is>
      </c>
      <c r="BE89" t="inlineStr">
        <is>
          <t>Wikipedia 'Royal Ordnance L7': 6-10 rpm</t>
        </is>
      </c>
      <c r="BG89" t="inlineStr">
        <is>
          <t>giong</t>
        </is>
      </c>
      <c r="CT89" t="n">
        <v>105</v>
      </c>
      <c r="DD89" t="n">
        <v>4.536</v>
      </c>
      <c r="DE89" t="n">
        <v>212</v>
      </c>
      <c r="DF89" t="inlineStr">
        <is>
          <t>Kinetic</t>
        </is>
      </c>
      <c r="DJ89" t="inlineStr">
        <is>
          <t>tank_gun</t>
        </is>
      </c>
      <c r="DS89" t="inlineStr">
        <is>
          <t>Medium</t>
        </is>
      </c>
      <c r="EB89" t="n">
        <v>3</v>
      </c>
      <c r="EE89" t="b">
        <v>1</v>
      </c>
      <c r="EP89" t="n">
        <v>34</v>
      </c>
      <c r="EQ89" t="inlineStr">
        <is>
          <t>L7 105 mm</t>
        </is>
      </c>
      <c r="EX89" t="n">
        <v>105</v>
      </c>
      <c r="EZ89" t="n">
        <v>0.6</v>
      </c>
      <c r="GA89" t="inlineStr">
        <is>
          <t>l7_105_mm</t>
        </is>
      </c>
      <c r="GB89" t="inlineStr">
        <is>
          <t>cal_100_105_ap</t>
        </is>
      </c>
      <c r="GD89" t="inlineStr">
        <is>
          <t>Assets/MachineBrigade/Resources/Data/balance.json: weapons[246]</t>
        </is>
      </c>
      <c r="GE89" t="inlineStr">
        <is>
          <t>{"id":"gun_105_bunker","weaponFamilyId":"cal_100_105_ap","weaponFamily":"l7_105_mm","real":"L7 105 mm","family":"tank_gun","size":105,"caliberMm":105,"pen":3,"piercing":true,"damageType":"Kinetic","damage":212,"cooldown":4.536,"range":34,"spread":0.6,"impactTier":"Medium"}</t>
        </is>
      </c>
    </row>
    <row r="90">
      <c r="A90" t="inlineStr">
        <is>
          <t>gun_105_bunker_he</t>
        </is>
      </c>
      <c r="B90" t="inlineStr">
        <is>
          <t>L7 105 mm HE</t>
        </is>
      </c>
      <c r="C90" t="inlineStr">
        <is>
          <t>cal_100_105_he</t>
        </is>
      </c>
      <c r="D90" t="inlineStr"/>
      <c r="E90" t="inlineStr">
        <is>
          <t>l7_105_mm_he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HighExplosive</t>
        </is>
      </c>
      <c r="L90" t="n">
        <v>2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212</v>
      </c>
      <c r="X90" t="n">
        <v>3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Large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>
        <is>
          <t>gun_105_bunker</t>
        </is>
      </c>
      <c r="AR90" t="inlineStr"/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giong</t>
        </is>
      </c>
      <c r="DE90" t="n">
        <v>212</v>
      </c>
      <c r="DF90" t="inlineStr">
        <is>
          <t>HighExplosive</t>
        </is>
      </c>
      <c r="DM90" t="inlineStr">
        <is>
          <t>light;structure</t>
        </is>
      </c>
      <c r="DN90" t="inlineStr">
        <is>
          <t>HeShell</t>
        </is>
      </c>
      <c r="DS90" t="inlineStr">
        <is>
          <t>Large</t>
        </is>
      </c>
      <c r="DT90" t="inlineStr">
        <is>
          <t>gun_105_bunker</t>
        </is>
      </c>
      <c r="EB90" t="n">
        <v>2</v>
      </c>
      <c r="EE90" t="b">
        <v>0</v>
      </c>
      <c r="EQ90" t="inlineStr">
        <is>
          <t>L7 105 mm HE</t>
        </is>
      </c>
      <c r="ES90" t="inlineStr">
        <is>
          <t>he</t>
        </is>
      </c>
      <c r="EU90" t="inlineStr">
        <is>
          <t>gun_105_bunker</t>
        </is>
      </c>
      <c r="EY90" t="n">
        <v>3</v>
      </c>
      <c r="FW90" t="inlineStr">
        <is>
          <t>Ground</t>
        </is>
      </c>
      <c r="GA90" t="inlineStr">
        <is>
          <t>l7_105_mm_he</t>
        </is>
      </c>
      <c r="GB90" t="inlineStr">
        <is>
          <t>cal_100_105_he</t>
        </is>
      </c>
      <c r="GD90" t="inlineStr">
        <is>
          <t>Assets/MachineBrigade/Resources/Data/balance.json: secondRounds.rounds[21]</t>
        </is>
      </c>
      <c r="GE90" t="inlineStr">
        <is>
          <t>{"id":"gun_105_bunker_he","roundOf":"gun_105_bunker","inherits":"gun_105_bunker","weaponFamilyId":"cal_100_105_he","weaponFamily":"l7_105_mm_he","round":"he","for":["light","structure"],"real":"L7 105 mm HE","damageType":"HighExplosive","pen":2,"damage":212,"splash":3,"form":"HeShell","piercing":false,"targets":"Ground","impactTier":"Large"}</t>
        </is>
      </c>
    </row>
    <row r="91">
      <c r="A91" t="inlineStr">
        <is>
          <t>gun_105_long</t>
        </is>
      </c>
      <c r="B91" t="inlineStr">
        <is>
          <t>2A75 125 mm (2S25 Sprut)</t>
        </is>
      </c>
      <c r="C91" t="inlineStr">
        <is>
          <t>cal_125_ap</t>
        </is>
      </c>
      <c r="D91" t="inlineStr"/>
      <c r="E91" t="inlineStr"/>
      <c r="F91" t="inlineStr">
        <is>
          <t>tank_gun</t>
        </is>
      </c>
      <c r="G91" t="n">
        <v>125</v>
      </c>
      <c r="H91" t="inlineStr"/>
      <c r="I91" t="inlineStr"/>
      <c r="J91" t="inlineStr"/>
      <c r="K91" t="inlineStr">
        <is>
          <t>Kinetic</t>
        </is>
      </c>
      <c r="L91" t="n">
        <v>4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3.3333</v>
      </c>
      <c r="S91" t="n">
        <v>0</v>
      </c>
      <c r="T91" t="n">
        <v>0</v>
      </c>
      <c r="U91" t="n">
        <v>0</v>
      </c>
      <c r="V91" t="n">
        <v>0</v>
      </c>
      <c r="W91" t="n">
        <v>260</v>
      </c>
      <c r="X91" t="n">
        <v>0</v>
      </c>
      <c r="Y91" t="n">
        <v>0</v>
      </c>
      <c r="Z91" t="n">
        <v>220</v>
      </c>
      <c r="AA91" t="n">
        <v>46</v>
      </c>
      <c r="AB91" t="n">
        <v>0</v>
      </c>
      <c r="AC91" t="inlineStr">
        <is>
          <t>Ground</t>
        </is>
      </c>
      <c r="AD91" t="inlineStr"/>
      <c r="AE91" t="n">
        <v>0.4</v>
      </c>
      <c r="AF91" t="inlineStr">
        <is>
          <t>Medium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125</v>
      </c>
      <c r="AO91" t="n">
        <v>0</v>
      </c>
      <c r="AP91" t="inlineStr">
        <is>
          <t>T3</t>
        </is>
      </c>
      <c r="AQ91" t="inlineStr"/>
      <c r="AR91" t="inlineStr">
        <is>
          <t>gun_105_long_he</t>
        </is>
      </c>
      <c r="AS91" t="inlineStr">
        <is>
          <t>xe</t>
        </is>
      </c>
      <c r="AT91" t="inlineStr">
        <is>
          <t>tank_destroyer</t>
        </is>
      </c>
      <c r="AU91" t="n">
        <v>1</v>
      </c>
      <c r="AV91" t="inlineStr">
        <is>
          <t>tank_destroyer:0</t>
        </is>
      </c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0.2090909090909091</v>
      </c>
      <c r="BB91" t="n">
        <v>7</v>
      </c>
      <c r="BC91" t="n">
        <v>7</v>
      </c>
      <c r="BD91" t="inlineStr">
        <is>
          <t>gun</t>
        </is>
      </c>
      <c r="BE91" t="inlineStr">
        <is>
          <t>Wikipedia '2S25 Sprut-SD': ~7 rpm</t>
        </is>
      </c>
      <c r="BG91" t="inlineStr">
        <is>
          <t>giong</t>
        </is>
      </c>
      <c r="CT91" t="n">
        <v>125</v>
      </c>
      <c r="DD91" t="n">
        <v>3.3333</v>
      </c>
      <c r="DE91" t="n">
        <v>260</v>
      </c>
      <c r="DF91" t="inlineStr">
        <is>
          <t>Kinetic</t>
        </is>
      </c>
      <c r="DJ91" t="inlineStr">
        <is>
          <t>tank_gun</t>
        </is>
      </c>
      <c r="DS91" t="inlineStr">
        <is>
          <t>Medium</t>
        </is>
      </c>
      <c r="EB91" t="n">
        <v>4</v>
      </c>
      <c r="EE91" t="b">
        <v>1</v>
      </c>
      <c r="EK91" t="n">
        <v>220</v>
      </c>
      <c r="EP91" t="n">
        <v>46</v>
      </c>
      <c r="EQ91" t="inlineStr">
        <is>
          <t>2A75 125 mm (2S25 Sprut)</t>
        </is>
      </c>
      <c r="EV91" t="n">
        <v>357</v>
      </c>
      <c r="EX91" t="n">
        <v>125</v>
      </c>
      <c r="EZ91" t="n">
        <v>0.4</v>
      </c>
      <c r="GB91" t="inlineStr">
        <is>
          <t>cal_125_ap</t>
        </is>
      </c>
      <c r="GD91" t="inlineStr">
        <is>
          <t>Assets/MachineBrigade/Resources/Data/balance.json: weapons[27]</t>
        </is>
      </c>
      <c r="GE91" t="inlineStr">
        <is>
          <t>{"id":"gun_105_long","weaponFamilyId":"cal_125_ap","real":"2A75 125 mm (2S25 Sprut)","family":"tank_gun","size":125,"caliberMm":125,"pen":4,"piercing":true,"damageType":"Kinetic","damage":260,"cooldown":3.3333,"range":46,"projectileSpeed":220,"spread":0.4,"impactTier":"Medium","roundWeight":357}</t>
        </is>
      </c>
    </row>
    <row r="92">
      <c r="A92" t="inlineStr">
        <is>
          <t>gun_105_long_he</t>
        </is>
      </c>
      <c r="B92" t="inlineStr">
        <is>
          <t>2A75 125 mm HE (2S25 Sprut)</t>
        </is>
      </c>
      <c r="C92" t="inlineStr">
        <is>
          <t>cal_125_he</t>
        </is>
      </c>
      <c r="D92" t="inlineStr"/>
      <c r="E92" t="inlineStr">
        <is>
          <t>2a75_125_mm_he</t>
        </is>
      </c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HighExplosive</t>
        </is>
      </c>
      <c r="L92" t="n">
        <v>2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3.3333</v>
      </c>
      <c r="S92" t="n">
        <v>0</v>
      </c>
      <c r="T92" t="n">
        <v>0</v>
      </c>
      <c r="U92" t="n">
        <v>0</v>
      </c>
      <c r="V92" t="n">
        <v>0</v>
      </c>
      <c r="W92" t="n">
        <v>260</v>
      </c>
      <c r="X92" t="n">
        <v>3</v>
      </c>
      <c r="Y92" t="n">
        <v>0</v>
      </c>
      <c r="Z92" t="n">
        <v>260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Large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>
        <is>
          <t>gun_105_long</t>
        </is>
      </c>
      <c r="AR92" t="inlineStr"/>
      <c r="AS92" t="inlineStr"/>
      <c r="AT92" t="inlineStr"/>
      <c r="AU92" t="n">
        <v>0</v>
      </c>
      <c r="AV92" t="inlineStr"/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0.1769230769230769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giong</t>
        </is>
      </c>
      <c r="DE92" t="n">
        <v>260</v>
      </c>
      <c r="DF92" t="inlineStr">
        <is>
          <t>HighExplosive</t>
        </is>
      </c>
      <c r="DM92" t="inlineStr">
        <is>
          <t>light;structure</t>
        </is>
      </c>
      <c r="DN92" t="inlineStr">
        <is>
          <t>HeShell</t>
        </is>
      </c>
      <c r="DS92" t="inlineStr">
        <is>
          <t>Large</t>
        </is>
      </c>
      <c r="DT92" t="inlineStr">
        <is>
          <t>gun_105_long</t>
        </is>
      </c>
      <c r="EB92" t="n">
        <v>2</v>
      </c>
      <c r="EE92" t="b">
        <v>0</v>
      </c>
      <c r="EQ92" t="inlineStr">
        <is>
          <t>2A75 125 mm HE (2S25 Sprut)</t>
        </is>
      </c>
      <c r="ES92" t="inlineStr">
        <is>
          <t>he</t>
        </is>
      </c>
      <c r="EU92" t="inlineStr">
        <is>
          <t>gun_105_long</t>
        </is>
      </c>
      <c r="EY92" t="n">
        <v>3</v>
      </c>
      <c r="FW92" t="inlineStr">
        <is>
          <t>Ground</t>
        </is>
      </c>
      <c r="GA92" t="inlineStr">
        <is>
          <t>2a75_125_mm_he</t>
        </is>
      </c>
      <c r="GB92" t="inlineStr">
        <is>
          <t>cal_125_he</t>
        </is>
      </c>
      <c r="GD92" t="inlineStr">
        <is>
          <t>Assets/MachineBrigade/Resources/Data/balance.json: secondRounds.rounds[22]</t>
        </is>
      </c>
      <c r="GE92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Sprut)","damageType":"HighExplosive","pen":2,"damage":260,"splash":3,"form":"HeShell","piercing":false,"targets":"Ground","impactTier":"Large"}</t>
        </is>
      </c>
    </row>
    <row r="93">
      <c r="A93" t="inlineStr">
        <is>
          <t>gun_105_twin</t>
        </is>
      </c>
      <c r="B93" t="inlineStr">
        <is>
          <t>L7 105 mm (twin)</t>
        </is>
      </c>
      <c r="C93" t="inlineStr">
        <is>
          <t>cal_100_105_ap</t>
        </is>
      </c>
      <c r="D93" t="inlineStr"/>
      <c r="E93" t="inlineStr">
        <is>
          <t>l7_105_mm</t>
        </is>
      </c>
      <c r="F93" t="inlineStr">
        <is>
          <t>tank_gun</t>
        </is>
      </c>
      <c r="G93" t="n">
        <v>105</v>
      </c>
      <c r="H93" t="inlineStr"/>
      <c r="I93" t="inlineStr"/>
      <c r="J93" t="inlineStr"/>
      <c r="K93" t="inlineStr">
        <is>
          <t>Kinetic</t>
        </is>
      </c>
      <c r="L93" t="n">
        <v>3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2</v>
      </c>
      <c r="Q93" t="n">
        <v>0.05</v>
      </c>
      <c r="R93" t="n">
        <v>5.69</v>
      </c>
      <c r="S93" t="n">
        <v>0</v>
      </c>
      <c r="T93" t="n">
        <v>0</v>
      </c>
      <c r="U93" t="n">
        <v>0</v>
      </c>
      <c r="V93" t="n">
        <v>0</v>
      </c>
      <c r="W93" t="n">
        <v>212</v>
      </c>
      <c r="X93" t="n">
        <v>1.5</v>
      </c>
      <c r="Y93" t="n">
        <v>0</v>
      </c>
      <c r="Z93" t="n">
        <v>190</v>
      </c>
      <c r="AA93" t="n">
        <v>34</v>
      </c>
      <c r="AB93" t="n">
        <v>0</v>
      </c>
      <c r="AC93" t="inlineStr">
        <is>
          <t>Ground</t>
        </is>
      </c>
      <c r="AD93" t="inlineStr"/>
      <c r="AE93" t="n">
        <v>0.6</v>
      </c>
      <c r="AF93" t="inlineStr">
        <is>
          <t>Medium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105</v>
      </c>
      <c r="AO93" t="n">
        <v>0</v>
      </c>
      <c r="AP93" t="inlineStr">
        <is>
          <t>T2</t>
        </is>
      </c>
      <c r="AQ93" t="inlineStr"/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0.1789473684210526</v>
      </c>
      <c r="BB93" t="n">
        <v>10</v>
      </c>
      <c r="BC93" t="n">
        <v>6</v>
      </c>
      <c r="BD93" t="inlineStr">
        <is>
          <t>gun</t>
        </is>
      </c>
      <c r="BE93" t="inlineStr">
        <is>
          <t>Wikipedia 'Royal Ordnance L7': 6-10 rpm</t>
        </is>
      </c>
      <c r="BG93" t="inlineStr">
        <is>
          <t>giong</t>
        </is>
      </c>
      <c r="CR93" t="n">
        <v>2</v>
      </c>
      <c r="CS93" t="n">
        <v>0.05</v>
      </c>
      <c r="CT93" t="n">
        <v>105</v>
      </c>
      <c r="DD93" t="n">
        <v>5.69</v>
      </c>
      <c r="DE93" t="n">
        <v>212</v>
      </c>
      <c r="DF93" t="inlineStr">
        <is>
          <t>Kinetic</t>
        </is>
      </c>
      <c r="DJ93" t="inlineStr">
        <is>
          <t>tank_gun</t>
        </is>
      </c>
      <c r="DS93" t="inlineStr">
        <is>
          <t>Medium</t>
        </is>
      </c>
      <c r="EB93" t="n">
        <v>3</v>
      </c>
      <c r="EE93" t="b">
        <v>1</v>
      </c>
      <c r="EP93" t="n">
        <v>34</v>
      </c>
      <c r="EQ93" t="inlineStr">
        <is>
          <t>L7 105 mm (twin)</t>
        </is>
      </c>
      <c r="EX93" t="n">
        <v>105</v>
      </c>
      <c r="EZ93" t="n">
        <v>0.6</v>
      </c>
      <c r="GA93" t="inlineStr">
        <is>
          <t>l7_105_mm</t>
        </is>
      </c>
      <c r="GB93" t="inlineStr">
        <is>
          <t>cal_100_105_ap</t>
        </is>
      </c>
      <c r="GD93" t="inlineStr">
        <is>
          <t>Assets/MachineBrigade/Resources/Data/balance.json: weapons[54]</t>
        </is>
      </c>
      <c r="GE93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4">
      <c r="A94" t="inlineStr">
        <is>
          <t>gun_105_wheeled</t>
        </is>
      </c>
      <c r="B94" t="inlineStr">
        <is>
          <t>Centauro II 120 mm</t>
        </is>
      </c>
      <c r="C94" t="inlineStr">
        <is>
          <t>cal_120_ap</t>
        </is>
      </c>
      <c r="D94" t="inlineStr"/>
      <c r="E94" t="inlineStr"/>
      <c r="F94" t="inlineStr">
        <is>
          <t>tank_gun</t>
        </is>
      </c>
      <c r="G94" t="n">
        <v>120</v>
      </c>
      <c r="H94" t="inlineStr"/>
      <c r="I94" t="inlineStr"/>
      <c r="J94" t="inlineStr"/>
      <c r="K94" t="inlineStr">
        <is>
          <t>Kinetic</t>
        </is>
      </c>
      <c r="L94" t="n">
        <v>4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1</v>
      </c>
      <c r="Q94" t="n">
        <v>0.1</v>
      </c>
      <c r="R94" t="n">
        <v>3.7037</v>
      </c>
      <c r="S94" t="n">
        <v>0</v>
      </c>
      <c r="T94" t="n">
        <v>0</v>
      </c>
      <c r="U94" t="n">
        <v>0</v>
      </c>
      <c r="V94" t="n">
        <v>0</v>
      </c>
      <c r="W94" t="n">
        <v>258</v>
      </c>
      <c r="X94" t="n">
        <v>0</v>
      </c>
      <c r="Y94" t="n">
        <v>0</v>
      </c>
      <c r="Z94" t="n">
        <v>230</v>
      </c>
      <c r="AA94" t="n">
        <v>38</v>
      </c>
      <c r="AB94" t="n">
        <v>0</v>
      </c>
      <c r="AC94" t="inlineStr">
        <is>
          <t>Ground</t>
        </is>
      </c>
      <c r="AD94" t="inlineStr"/>
      <c r="AE94" t="n">
        <v>0.4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120</v>
      </c>
      <c r="AO94" t="n">
        <v>0</v>
      </c>
      <c r="AP94" t="inlineStr">
        <is>
          <t>T3</t>
        </is>
      </c>
      <c r="AQ94" t="inlineStr"/>
      <c r="AR94" t="inlineStr">
        <is>
          <t>gun_105_wheeled_he</t>
        </is>
      </c>
      <c r="AS94" t="inlineStr">
        <is>
          <t>xe</t>
        </is>
      </c>
      <c r="AT94" t="inlineStr">
        <is>
          <t>wheeled_gun</t>
        </is>
      </c>
      <c r="AU94" t="n">
        <v>1</v>
      </c>
      <c r="AV94" t="inlineStr">
        <is>
          <t>wheeled_gun:0</t>
        </is>
      </c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0.1652173913043478</v>
      </c>
      <c r="BB94" t="n">
        <v>8</v>
      </c>
      <c r="BC94" t="n">
        <v>6</v>
      </c>
      <c r="BD94" t="inlineStr">
        <is>
          <t>gun</t>
        </is>
      </c>
      <c r="BE94" t="inlineStr">
        <is>
          <t>Centauro II 120 mm, manual: 6-8 rpm (the sheet)</t>
        </is>
      </c>
      <c r="BG94" t="inlineStr">
        <is>
          <t>giong</t>
        </is>
      </c>
      <c r="CT94" t="n">
        <v>120</v>
      </c>
      <c r="DD94" t="n">
        <v>3.7037</v>
      </c>
      <c r="DE94" t="n">
        <v>258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4</v>
      </c>
      <c r="EE94" t="b">
        <v>1</v>
      </c>
      <c r="EK94" t="n">
        <v>230</v>
      </c>
      <c r="EP94" t="n">
        <v>38</v>
      </c>
      <c r="EQ94" t="inlineStr">
        <is>
          <t>Centauro II 120 mm</t>
        </is>
      </c>
      <c r="EV94" t="n">
        <v>300</v>
      </c>
      <c r="EX94" t="n">
        <v>120</v>
      </c>
      <c r="EZ94" t="n">
        <v>0.4</v>
      </c>
      <c r="GB94" t="inlineStr">
        <is>
          <t>cal_120_ap</t>
        </is>
      </c>
      <c r="GD94" t="inlineStr">
        <is>
          <t>Assets/MachineBrigade/Resources/Data/balance.json: weapons[100]</t>
        </is>
      </c>
      <c r="GE94" t="inlineStr">
        <is>
          <t>{"id":"gun_105_wheeled","weaponFamilyId":"cal_120_ap","real":"Centauro II 120 mm","family":"tank_gun","size":120,"caliberMm":120,"pen":4,"piercing":true,"roundWeight":300,"damageType":"Kinetic","damage":258,"cooldown":3.7037,"range":38,"projectileSpeed":230,"spread":0.4,"impactTier":"Medium","bonuses":[{"flank":true,"mult":1.25}]}</t>
        </is>
      </c>
    </row>
    <row r="95">
      <c r="A95" t="inlineStr">
        <is>
          <t>gun_105_wheeled_he</t>
        </is>
      </c>
      <c r="B95" t="inlineStr">
        <is>
          <t>Centauro II 120 mm HE</t>
        </is>
      </c>
      <c r="C95" t="inlineStr">
        <is>
          <t>cal_120_he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HighExplosive</t>
        </is>
      </c>
      <c r="L95" t="n">
        <v>2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3.7037</v>
      </c>
      <c r="S95" t="n">
        <v>0</v>
      </c>
      <c r="T95" t="n">
        <v>0</v>
      </c>
      <c r="U95" t="n">
        <v>0</v>
      </c>
      <c r="V95" t="n">
        <v>0</v>
      </c>
      <c r="W95" t="n">
        <v>258</v>
      </c>
      <c r="X95" t="n">
        <v>3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Large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>
        <is>
          <t>gun_105_wheeled</t>
        </is>
      </c>
      <c r="AR95" t="inlineStr"/>
      <c r="AS95" t="inlineStr"/>
      <c r="AT95" t="inlineStr"/>
      <c r="AU95" t="n">
        <v>0</v>
      </c>
      <c r="AV95" t="inlineStr"/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giong</t>
        </is>
      </c>
      <c r="CQ95" t="inlineStr"/>
      <c r="DE95" t="n">
        <v>258</v>
      </c>
      <c r="DF95" t="inlineStr">
        <is>
          <t>HighExplosive</t>
        </is>
      </c>
      <c r="DM95" t="inlineStr">
        <is>
          <t>light;structure</t>
        </is>
      </c>
      <c r="DN95" t="inlineStr">
        <is>
          <t>HeShell</t>
        </is>
      </c>
      <c r="DS95" t="inlineStr">
        <is>
          <t>Large</t>
        </is>
      </c>
      <c r="DT95" t="inlineStr">
        <is>
          <t>gun_105_wheeled</t>
        </is>
      </c>
      <c r="EB95" t="n">
        <v>2</v>
      </c>
      <c r="EE95" t="b">
        <v>0</v>
      </c>
      <c r="EQ95" t="inlineStr">
        <is>
          <t>Centauro II 120 mm HE</t>
        </is>
      </c>
      <c r="ES95" t="inlineStr">
        <is>
          <t>he</t>
        </is>
      </c>
      <c r="EU95" t="inlineStr">
        <is>
          <t>gun_105_wheeled</t>
        </is>
      </c>
      <c r="EY95" t="n">
        <v>3</v>
      </c>
      <c r="FW95" t="inlineStr">
        <is>
          <t>Ground</t>
        </is>
      </c>
      <c r="GA95" t="inlineStr"/>
      <c r="GB95" t="inlineStr">
        <is>
          <t>cal_120_he</t>
        </is>
      </c>
      <c r="GD95" t="inlineStr">
        <is>
          <t>Assets/MachineBrigade/Resources/Data/balance.json: secondRounds.rounds[23]</t>
        </is>
      </c>
      <c r="GE95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HE","damageType":"HighExplosive","pen":2,"damage":258,"splash":3,"form":"HeShell","piercing":false,"targets":"Ground","impactTier":"Large","bonuses":[]}</t>
        </is>
      </c>
    </row>
    <row r="96">
      <c r="A96" t="inlineStr">
        <is>
          <t>gun_120_twin</t>
        </is>
      </c>
      <c r="B96" t="inlineStr">
        <is>
          <t>Rh-120 L/44 120 mm (twin)</t>
        </is>
      </c>
      <c r="C96" t="inlineStr">
        <is>
          <t>cal_120_ap</t>
        </is>
      </c>
      <c r="D96" t="inlineStr"/>
      <c r="E96" t="inlineStr">
        <is>
          <t>rh_120_l_44_120_mm</t>
        </is>
      </c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Kinetic</t>
        </is>
      </c>
      <c r="L96" t="n">
        <v>4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2</v>
      </c>
      <c r="Q96" t="n">
        <v>0.05</v>
      </c>
      <c r="R96" t="n">
        <v>5.113</v>
      </c>
      <c r="S96" t="n">
        <v>0</v>
      </c>
      <c r="T96" t="n">
        <v>0</v>
      </c>
      <c r="U96" t="n">
        <v>0</v>
      </c>
      <c r="V96" t="n">
        <v>0</v>
      </c>
      <c r="W96" t="n">
        <v>240</v>
      </c>
      <c r="X96" t="n">
        <v>1.5</v>
      </c>
      <c r="Y96" t="n">
        <v>0</v>
      </c>
      <c r="Z96" t="n">
        <v>170</v>
      </c>
      <c r="AA96" t="n">
        <v>34</v>
      </c>
      <c r="AB96" t="n">
        <v>0</v>
      </c>
      <c r="AC96" t="inlineStr">
        <is>
          <t>Ground</t>
        </is>
      </c>
      <c r="AD96" t="inlineStr"/>
      <c r="AE96" t="n">
        <v>0.5</v>
      </c>
      <c r="AF96" t="inlineStr">
        <is>
          <t>Medium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/>
      <c r="AR96" t="inlineStr">
        <is>
          <t>gun_120_twin_he</t>
        </is>
      </c>
      <c r="AS96" t="inlineStr">
        <is>
          <t>xe</t>
        </is>
      </c>
      <c r="AT96" t="inlineStr">
        <is>
          <t>twin_tank</t>
        </is>
      </c>
      <c r="AU96" t="n">
        <v>1</v>
      </c>
      <c r="AV96" t="inlineStr">
        <is>
          <t>twin_tank:0</t>
        </is>
      </c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0.2</v>
      </c>
      <c r="BB96" t="n">
        <v>8</v>
      </c>
      <c r="BC96" t="n">
        <v>6</v>
      </c>
      <c r="BD96" t="inlineStr">
        <is>
          <t>gun</t>
        </is>
      </c>
      <c r="BE96" t="inlineStr">
        <is>
          <t>the sheet's 'Ngoài đời': Rh-120 6-8 rpm with a loader (Wikipedia 'Rheinmetall 120 mm gun')</t>
        </is>
      </c>
      <c r="BG96" t="inlineStr">
        <is>
          <t>giong</t>
        </is>
      </c>
      <c r="CR96" t="n">
        <v>2</v>
      </c>
      <c r="CS96" t="n">
        <v>0.05</v>
      </c>
      <c r="CT96" t="n">
        <v>120</v>
      </c>
      <c r="DD96" t="n">
        <v>5.113</v>
      </c>
      <c r="DE96" t="n">
        <v>240</v>
      </c>
      <c r="DF96" t="inlineStr">
        <is>
          <t>Kinetic</t>
        </is>
      </c>
      <c r="DJ96" t="inlineStr">
        <is>
          <t>tank_gun</t>
        </is>
      </c>
      <c r="DS96" t="inlineStr">
        <is>
          <t>Medium</t>
        </is>
      </c>
      <c r="EB96" t="n">
        <v>4</v>
      </c>
      <c r="EE96" t="b">
        <v>1</v>
      </c>
      <c r="EP96" t="n">
        <v>34</v>
      </c>
      <c r="EQ96" t="inlineStr">
        <is>
          <t>Rh-120 L/44 120 mm (twin)</t>
        </is>
      </c>
      <c r="EX96" t="n">
        <v>120</v>
      </c>
      <c r="EZ96" t="n">
        <v>0.5</v>
      </c>
      <c r="GA96" t="inlineStr">
        <is>
          <t>rh_120_l_44_120_mm</t>
        </is>
      </c>
      <c r="GB96" t="inlineStr">
        <is>
          <t>cal_120_ap</t>
        </is>
      </c>
      <c r="GD96" t="inlineStr">
        <is>
          <t>Assets/MachineBrigade/Resources/Data/balance.json: weapons[248]</t>
        </is>
      </c>
      <c r="GE96" t="inlineStr">
        <is>
          <t>{"id":"gun_120_twin","weaponFamilyId":"cal_120_ap","weaponFamily":"rh_120_l_44_120_mm","real":"Rh-120 L/44 120 mm (twin)","family":"tank_gun","size":120,"caliberMm":120,"pen":4,"piercing":true,"damageType":"Kinetic","damage":240,"cooldown":5.113,"range":34,"spread":0.5,"impactTier":"Medium","burst":2,"burstInterval":0.05}</t>
        </is>
      </c>
    </row>
    <row r="97">
      <c r="A97" t="inlineStr">
        <is>
          <t>gun_120_twin_he</t>
        </is>
      </c>
      <c r="B97" t="inlineStr">
        <is>
          <t>Rh-120 L/44 120 mm HE (twin)</t>
        </is>
      </c>
      <c r="C97" t="inlineStr">
        <is>
          <t>cal_120_he</t>
        </is>
      </c>
      <c r="D97" t="inlineStr"/>
      <c r="E97" t="inlineStr">
        <is>
          <t>rh_120_l_44_120_mm_he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HighExplosive</t>
        </is>
      </c>
      <c r="L97" t="n">
        <v>2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5.113</v>
      </c>
      <c r="S97" t="n">
        <v>0</v>
      </c>
      <c r="T97" t="n">
        <v>0</v>
      </c>
      <c r="U97" t="n">
        <v>0</v>
      </c>
      <c r="V97" t="n">
        <v>0</v>
      </c>
      <c r="W97" t="n">
        <v>240</v>
      </c>
      <c r="X97" t="n">
        <v>3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Large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>
        <is>
          <t>gun_120_twin</t>
        </is>
      </c>
      <c r="AR97" t="inlineStr"/>
      <c r="AS97" t="inlineStr"/>
      <c r="AT97" t="inlineStr"/>
      <c r="AU97" t="n">
        <v>0</v>
      </c>
      <c r="AV97" t="inlineStr"/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giong</t>
        </is>
      </c>
      <c r="DE97" t="n">
        <v>240</v>
      </c>
      <c r="DF97" t="inlineStr">
        <is>
          <t>HighExplosive</t>
        </is>
      </c>
      <c r="DM97" t="inlineStr">
        <is>
          <t>light;structure</t>
        </is>
      </c>
      <c r="DN97" t="inlineStr">
        <is>
          <t>HeShell</t>
        </is>
      </c>
      <c r="DS97" t="inlineStr">
        <is>
          <t>Large</t>
        </is>
      </c>
      <c r="DT97" t="inlineStr">
        <is>
          <t>gun_120_twin</t>
        </is>
      </c>
      <c r="EB97" t="n">
        <v>2</v>
      </c>
      <c r="EE97" t="b">
        <v>0</v>
      </c>
      <c r="EQ97" t="inlineStr">
        <is>
          <t>Rh-120 L/44 120 mm HE (twin)</t>
        </is>
      </c>
      <c r="ES97" t="inlineStr">
        <is>
          <t>he</t>
        </is>
      </c>
      <c r="EU97" t="inlineStr">
        <is>
          <t>gun_120_twin</t>
        </is>
      </c>
      <c r="EY97" t="n">
        <v>3</v>
      </c>
      <c r="FW97" t="inlineStr">
        <is>
          <t>Ground</t>
        </is>
      </c>
      <c r="GA97" t="inlineStr">
        <is>
          <t>rh_120_l_44_120_mm_he</t>
        </is>
      </c>
      <c r="GB97" t="inlineStr">
        <is>
          <t>cal_120_he</t>
        </is>
      </c>
      <c r="GD97" t="inlineStr">
        <is>
          <t>Assets/MachineBrigade/Resources/Data/balance.json: secondRounds.rounds[24]</t>
        </is>
      </c>
      <c r="GE97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(twin)","damageType":"HighExplosive","pen":2,"damage":240,"splash":3,"form":"HeShell","piercing":false,"targets":"Ground","impactTier":"Large"}</t>
        </is>
      </c>
    </row>
    <row r="98">
      <c r="A98" t="inlineStr">
        <is>
          <t>gun_120mm</t>
        </is>
      </c>
      <c r="B98" t="inlineStr">
        <is>
          <t>Rh-120 L/44 120 mm</t>
        </is>
      </c>
      <c r="C98" t="inlineStr">
        <is>
          <t>cal_120_ap</t>
        </is>
      </c>
      <c r="D98" t="inlineStr"/>
      <c r="E98" t="inlineStr">
        <is>
          <t>rh_120_l_44_120_mm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Kinetic</t>
        </is>
      </c>
      <c r="L98" t="n">
        <v>4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5.098</v>
      </c>
      <c r="S98" t="n">
        <v>0</v>
      </c>
      <c r="T98" t="n">
        <v>0</v>
      </c>
      <c r="U98" t="n">
        <v>0</v>
      </c>
      <c r="V98" t="n">
        <v>0</v>
      </c>
      <c r="W98" t="n">
        <v>240</v>
      </c>
      <c r="X98" t="n">
        <v>1.5</v>
      </c>
      <c r="Y98" t="n">
        <v>0</v>
      </c>
      <c r="Z98" t="n">
        <v>170</v>
      </c>
      <c r="AA98" t="n">
        <v>32</v>
      </c>
      <c r="AB98" t="n">
        <v>0</v>
      </c>
      <c r="AC98" t="inlineStr">
        <is>
          <t>Ground</t>
        </is>
      </c>
      <c r="AD98" t="inlineStr"/>
      <c r="AE98" t="n">
        <v>0.6</v>
      </c>
      <c r="AF98" t="inlineStr">
        <is>
          <t>Medium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/>
      <c r="AR98" t="inlineStr">
        <is>
          <t>gun_120mm_he</t>
        </is>
      </c>
      <c r="AS98" t="inlineStr">
        <is>
          <t>boss_part;xe</t>
        </is>
      </c>
      <c r="AT98" t="inlineStr">
        <is>
          <t>main_battle_tank;mara_behemoth;side_gun_120;turret_120</t>
        </is>
      </c>
      <c r="AU98" t="n">
        <v>4</v>
      </c>
      <c r="AV98" t="inlineStr">
        <is>
          <t>main_battle_tank:0;mara_behemoth:1;side_gun_120:part;turret_120:part</t>
        </is>
      </c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0.1882352941176471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giong</t>
        </is>
      </c>
      <c r="CT98" t="n">
        <v>120</v>
      </c>
      <c r="DD98" t="n">
        <v>5.098</v>
      </c>
      <c r="DE98" t="n">
        <v>240</v>
      </c>
      <c r="DF98" t="inlineStr">
        <is>
          <t>Kinetic</t>
        </is>
      </c>
      <c r="DJ98" t="inlineStr">
        <is>
          <t>tank_gun</t>
        </is>
      </c>
      <c r="DS98" t="inlineStr">
        <is>
          <t>Medium</t>
        </is>
      </c>
      <c r="EB98" t="n">
        <v>4</v>
      </c>
      <c r="EE98" t="b">
        <v>1</v>
      </c>
      <c r="EP98" t="n">
        <v>32</v>
      </c>
      <c r="EQ98" t="inlineStr">
        <is>
          <t>Rh-120 L/44 120 mm</t>
        </is>
      </c>
      <c r="EX98" t="n">
        <v>120</v>
      </c>
      <c r="EZ98" t="n">
        <v>0.6</v>
      </c>
      <c r="GA98" t="inlineStr">
        <is>
          <t>rh_120_l_44_120_mm</t>
        </is>
      </c>
      <c r="GB98" t="inlineStr">
        <is>
          <t>cal_120_ap</t>
        </is>
      </c>
      <c r="GD98" t="inlineStr">
        <is>
          <t>Assets/MachineBrigade/Resources/Data/balance.json: weapons[11]</t>
        </is>
      </c>
      <c r="GE98" t="inlineStr">
        <is>
          <t>{"id":"gun_120mm","weaponFamilyId":"cal_120_ap","weaponFamily":"rh_120_l_44_120_mm","real":"Rh-120 L/44 120 mm","family":"tank_gun","size":120,"caliberMm":120,"pen":4,"piercing":true,"damageType":"Kinetic","damage":240,"cooldown":5.098,"range":32,"spread":0.6,"impactTier":"Medium"}</t>
        </is>
      </c>
    </row>
    <row r="99">
      <c r="A99" t="inlineStr">
        <is>
          <t>gun_120mm_he</t>
        </is>
      </c>
      <c r="B99" t="inlineStr">
        <is>
          <t>Rh-120 L/44 120 mm HE</t>
        </is>
      </c>
      <c r="C99" t="inlineStr">
        <is>
          <t>cal_120_he</t>
        </is>
      </c>
      <c r="D99" t="inlineStr"/>
      <c r="E99" t="inlineStr">
        <is>
          <t>rh_120_l_44_120_mm_he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HighExplosive</t>
        </is>
      </c>
      <c r="L99" t="n">
        <v>2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5.098</v>
      </c>
      <c r="S99" t="n">
        <v>0</v>
      </c>
      <c r="T99" t="n">
        <v>0</v>
      </c>
      <c r="U99" t="n">
        <v>0</v>
      </c>
      <c r="V99" t="n">
        <v>0</v>
      </c>
      <c r="W99" t="n">
        <v>240</v>
      </c>
      <c r="X99" t="n">
        <v>3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Large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>
        <is>
          <t>gun_120mm</t>
        </is>
      </c>
      <c r="AR99" t="inlineStr"/>
      <c r="AS99" t="inlineStr"/>
      <c r="AT99" t="inlineStr"/>
      <c r="AU99" t="n">
        <v>0</v>
      </c>
      <c r="AV99" t="inlineStr"/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giong</t>
        </is>
      </c>
      <c r="DE99" t="n">
        <v>240</v>
      </c>
      <c r="DF99" t="inlineStr">
        <is>
          <t>HighExplosive</t>
        </is>
      </c>
      <c r="DM99" t="inlineStr">
        <is>
          <t>light;structure</t>
        </is>
      </c>
      <c r="DN99" t="inlineStr">
        <is>
          <t>HeShell</t>
        </is>
      </c>
      <c r="DS99" t="inlineStr">
        <is>
          <t>Large</t>
        </is>
      </c>
      <c r="DT99" t="inlineStr">
        <is>
          <t>gun_120mm</t>
        </is>
      </c>
      <c r="EB99" t="n">
        <v>2</v>
      </c>
      <c r="EE99" t="b">
        <v>0</v>
      </c>
      <c r="EQ99" t="inlineStr">
        <is>
          <t>Rh-120 L/44 120 mm HE</t>
        </is>
      </c>
      <c r="ES99" t="inlineStr">
        <is>
          <t>he</t>
        </is>
      </c>
      <c r="EU99" t="inlineStr">
        <is>
          <t>gun_120mm</t>
        </is>
      </c>
      <c r="EY99" t="n">
        <v>3</v>
      </c>
      <c r="FW99" t="inlineStr">
        <is>
          <t>Ground</t>
        </is>
      </c>
      <c r="GA99" t="inlineStr">
        <is>
          <t>rh_120_l_44_120_mm_he</t>
        </is>
      </c>
      <c r="GB99" t="inlineStr">
        <is>
          <t>cal_120_he</t>
        </is>
      </c>
      <c r="GD99" t="inlineStr">
        <is>
          <t>Assets/MachineBrigade/Resources/Data/balance.json: secondRounds.rounds[25]</t>
        </is>
      </c>
      <c r="GE99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HE","damageType":"HighExplosive","pen":2,"damage":240,"splash":3,"form":"HeShell","piercing":false,"targets":"Ground","impactTier":"Large"}</t>
        </is>
      </c>
    </row>
    <row r="100">
      <c r="A100" t="inlineStr">
        <is>
          <t>gun_125_armata_ke</t>
        </is>
      </c>
      <c r="B100" t="inlineStr">
        <is>
          <t>125 mm smoothbore (T-14 Armata)</t>
        </is>
      </c>
      <c r="C100" t="inlineStr">
        <is>
          <t>cal_125_ap</t>
        </is>
      </c>
      <c r="D100" t="inlineStr"/>
      <c r="E100" t="inlineStr"/>
      <c r="F100" t="inlineStr">
        <is>
          <t>tank_gun</t>
        </is>
      </c>
      <c r="G100" t="n">
        <v>125</v>
      </c>
      <c r="H100" t="inlineStr"/>
      <c r="I100" t="inlineStr"/>
      <c r="J100" t="inlineStr"/>
      <c r="K100" t="inlineStr">
        <is>
          <t>Kinetic</t>
        </is>
      </c>
      <c r="L100" t="n">
        <v>4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5</v>
      </c>
      <c r="S100" t="n">
        <v>0</v>
      </c>
      <c r="T100" t="n">
        <v>0</v>
      </c>
      <c r="U100" t="n">
        <v>0</v>
      </c>
      <c r="V100" t="n">
        <v>0</v>
      </c>
      <c r="W100" t="n">
        <v>260</v>
      </c>
      <c r="X100" t="n">
        <v>0</v>
      </c>
      <c r="Y100" t="n">
        <v>0</v>
      </c>
      <c r="Z100" t="n">
        <v>210</v>
      </c>
      <c r="AA100" t="n">
        <v>34</v>
      </c>
      <c r="AB100" t="n">
        <v>0</v>
      </c>
      <c r="AC100" t="inlineStr">
        <is>
          <t>All</t>
        </is>
      </c>
      <c r="AD100" t="inlineStr"/>
      <c r="AE100" t="n">
        <v>0.8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125</v>
      </c>
      <c r="AO100" t="n">
        <v>0</v>
      </c>
      <c r="AP100" t="inlineStr">
        <is>
          <t>T3</t>
        </is>
      </c>
      <c r="AQ100" t="inlineStr"/>
      <c r="AR100" t="inlineStr"/>
      <c r="AS100" t="inlineStr">
        <is>
          <t>xe</t>
        </is>
      </c>
      <c r="AT100" t="inlineStr">
        <is>
          <t>next_gen_tank</t>
        </is>
      </c>
      <c r="AU100" t="n">
        <v>1</v>
      </c>
      <c r="AV100" t="inlineStr">
        <is>
          <t>next_gen_tank:0</t>
        </is>
      </c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0.1619047619047619</v>
      </c>
      <c r="BB100" t="n">
        <v>8</v>
      </c>
      <c r="BC100" t="n">
        <v>7</v>
      </c>
      <c r="BD100" t="inlineStr">
        <is>
          <t>gun</t>
        </is>
      </c>
      <c r="BE100" t="inlineStr">
        <is>
          <t>Wikipedia '2A46': 7-8 rpm with the autoloader</t>
        </is>
      </c>
      <c r="BG100" t="inlineStr">
        <is>
          <t>giong</t>
        </is>
      </c>
      <c r="CT100" t="n">
        <v>125</v>
      </c>
      <c r="DD100" t="n">
        <v>5</v>
      </c>
      <c r="DE100" t="n">
        <v>260</v>
      </c>
      <c r="DF100" t="inlineStr">
        <is>
          <t>Kinetic</t>
        </is>
      </c>
      <c r="DJ100" t="inlineStr">
        <is>
          <t>tank_gun</t>
        </is>
      </c>
      <c r="DS100" t="inlineStr">
        <is>
          <t>Large</t>
        </is>
      </c>
      <c r="EB100" t="n">
        <v>4</v>
      </c>
      <c r="EH100" t="inlineStr">
        <is>
          <t>Shell</t>
        </is>
      </c>
      <c r="EK100" t="n">
        <v>210</v>
      </c>
      <c r="EP100" t="n">
        <v>34</v>
      </c>
      <c r="EQ100" t="inlineStr">
        <is>
          <t>125 mm smoothbore (T-14 Armata)</t>
        </is>
      </c>
      <c r="EX100" t="n">
        <v>125</v>
      </c>
      <c r="EZ100" t="n">
        <v>0.8</v>
      </c>
      <c r="FW100" t="inlineStr">
        <is>
          <t>All</t>
        </is>
      </c>
      <c r="GB100" t="inlineStr">
        <is>
          <t>cal_125_ap</t>
        </is>
      </c>
      <c r="GD100" t="inlineStr">
        <is>
          <t>Assets/MachineBrigade/Resources/Data/balance.json: weapons[260]</t>
        </is>
      </c>
      <c r="GE100" t="inlineStr">
        <is>
          <t>{"id":"gun_125_armata_ke","weaponFamilyId":"cal_125_ap","real":"125 mm smoothbore (T-14 Armata)","family":"tank_gun","size":125,"caliberMm":125,"pen":4,"damageType":"Kinetic","damage":260,"cooldown":5,"range":34,"projectileSpeed":210,"spread":0.8,"impactTier":"Large","projectile":"Shell","targets":"All"}</t>
        </is>
      </c>
    </row>
    <row r="101">
      <c r="A101" t="inlineStr">
        <is>
          <t>gun_125_elite</t>
        </is>
      </c>
      <c r="B101" t="inlineStr">
        <is>
          <t>2A46M-5 125 mm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5.66</v>
      </c>
      <c r="S101" t="n">
        <v>0</v>
      </c>
      <c r="T101" t="n">
        <v>0</v>
      </c>
      <c r="U101" t="n">
        <v>0</v>
      </c>
      <c r="V101" t="n">
        <v>0</v>
      </c>
      <c r="W101" t="n">
        <v>260</v>
      </c>
      <c r="X101" t="n">
        <v>1.5</v>
      </c>
      <c r="Y101" t="n">
        <v>0</v>
      </c>
      <c r="Z101" t="n">
        <v>190</v>
      </c>
      <c r="AA101" t="n">
        <v>34</v>
      </c>
      <c r="AB101" t="n">
        <v>0</v>
      </c>
      <c r="AC101" t="inlineStr">
        <is>
          <t>Ground</t>
        </is>
      </c>
      <c r="AD101" t="inlineStr"/>
      <c r="AE101" t="n">
        <v>0.5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>
        <is>
          <t>gun_125_elite_he</t>
        </is>
      </c>
      <c r="AS101" t="inlineStr">
        <is>
          <t>xe</t>
        </is>
      </c>
      <c r="AT101" t="inlineStr">
        <is>
          <t>elite_mbt</t>
        </is>
      </c>
      <c r="AU101" t="n">
        <v>1</v>
      </c>
      <c r="AV101" t="inlineStr">
        <is>
          <t>elite_mbt:0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0.1789473684210526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giong</t>
        </is>
      </c>
      <c r="CT101" t="n">
        <v>125</v>
      </c>
      <c r="DD101" t="n">
        <v>5.66</v>
      </c>
      <c r="DE101" t="n">
        <v>260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4</v>
      </c>
      <c r="EE101" t="b">
        <v>1</v>
      </c>
      <c r="EK101" t="n">
        <v>190</v>
      </c>
      <c r="EP101" t="n">
        <v>34</v>
      </c>
      <c r="EQ101" t="inlineStr">
        <is>
          <t>2A46M-5 125 mm</t>
        </is>
      </c>
      <c r="EX101" t="n">
        <v>125</v>
      </c>
      <c r="EY101" t="n">
        <v>1.5</v>
      </c>
      <c r="EZ101" t="n">
        <v>0.5</v>
      </c>
      <c r="GB101" t="inlineStr">
        <is>
          <t>cal_125_ap</t>
        </is>
      </c>
      <c r="GD101" t="inlineStr">
        <is>
          <t>Assets/MachineBrigade/Resources/Data/balance.json: weapons[97]</t>
        </is>
      </c>
      <c r="GE101" t="inlineStr">
        <is>
          <t>{"id":"gun_125_elite","weaponFamilyId":"cal_125_ap","real":"2A46M-5 125 mm","family":"tank_gun","size":125,"caliberMm":125,"pen":4,"piercing":true,"damageType":"Kinetic","damage":260,"cooldown":5.66,"range":34,"projectileSpeed":190,"splash":1.5,"spread":0.5,"impactTier":"Large"}</t>
        </is>
      </c>
    </row>
    <row r="102">
      <c r="A102" t="inlineStr">
        <is>
          <t>gun_125_elite_he</t>
        </is>
      </c>
      <c r="B102" t="inlineStr">
        <is>
          <t>2A46M-5 125 mm HE</t>
        </is>
      </c>
      <c r="C102" t="inlineStr">
        <is>
          <t>cal_125_he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HighExplosive</t>
        </is>
      </c>
      <c r="L102" t="n">
        <v>2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5.66</v>
      </c>
      <c r="S102" t="n">
        <v>0</v>
      </c>
      <c r="T102" t="n">
        <v>0</v>
      </c>
      <c r="U102" t="n">
        <v>0</v>
      </c>
      <c r="V102" t="n">
        <v>0</v>
      </c>
      <c r="W102" t="n">
        <v>260</v>
      </c>
      <c r="X102" t="n">
        <v>3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Huge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>
        <is>
          <t>gun_125_elite</t>
        </is>
      </c>
      <c r="AR102" t="inlineStr"/>
      <c r="AS102" t="inlineStr"/>
      <c r="AT102" t="inlineStr"/>
      <c r="AU102" t="n">
        <v>0</v>
      </c>
      <c r="AV102" t="inlineStr"/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giong</t>
        </is>
      </c>
      <c r="DE102" t="n">
        <v>260</v>
      </c>
      <c r="DF102" t="inlineStr">
        <is>
          <t>HighExplosive</t>
        </is>
      </c>
      <c r="DM102" t="inlineStr">
        <is>
          <t>light;structure</t>
        </is>
      </c>
      <c r="DN102" t="inlineStr">
        <is>
          <t>HeShell</t>
        </is>
      </c>
      <c r="DS102" t="inlineStr">
        <is>
          <t>Huge</t>
        </is>
      </c>
      <c r="DT102" t="inlineStr">
        <is>
          <t>gun_125_elite</t>
        </is>
      </c>
      <c r="EB102" t="n">
        <v>2</v>
      </c>
      <c r="EE102" t="b">
        <v>0</v>
      </c>
      <c r="EQ102" t="inlineStr">
        <is>
          <t>2A46M-5 125 mm HE</t>
        </is>
      </c>
      <c r="ES102" t="inlineStr">
        <is>
          <t>he</t>
        </is>
      </c>
      <c r="EU102" t="inlineStr">
        <is>
          <t>gun_125_elite</t>
        </is>
      </c>
      <c r="EY102" t="n">
        <v>3</v>
      </c>
      <c r="FW102" t="inlineStr">
        <is>
          <t>Ground</t>
        </is>
      </c>
      <c r="GA102" t="inlineStr"/>
      <c r="GB102" t="inlineStr">
        <is>
          <t>cal_125_he</t>
        </is>
      </c>
      <c r="GD102" t="inlineStr">
        <is>
          <t>Assets/MachineBrigade/Resources/Data/balance.json: secondRounds.rounds[26]</t>
        </is>
      </c>
      <c r="GE102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HE","damageType":"HighExplosive","pen":2,"damage":260,"splash":3,"form":"HeShell","piercing":false,"targets":"Ground","impactTier":"Huge"}</t>
        </is>
      </c>
    </row>
    <row r="103">
      <c r="A103" t="inlineStr">
        <is>
          <t>gun_140_twin</t>
        </is>
      </c>
      <c r="B103" t="inlineStr">
        <is>
          <t>NPzK 140 mm (twin)</t>
        </is>
      </c>
      <c r="C103" t="inlineStr">
        <is>
          <t>cal_140</t>
        </is>
      </c>
      <c r="D103" t="inlineStr"/>
      <c r="E103" t="inlineStr"/>
      <c r="F103" t="inlineStr">
        <is>
          <t>tank_gun</t>
        </is>
      </c>
      <c r="G103" t="n">
        <v>140</v>
      </c>
      <c r="H103" t="inlineStr"/>
      <c r="I103" t="inlineStr"/>
      <c r="J103" t="inlineStr"/>
      <c r="K103" t="inlineStr">
        <is>
          <t>Kinetic</t>
        </is>
      </c>
      <c r="L103" t="n">
        <v>4</v>
      </c>
      <c r="M103" t="inlineStr">
        <is>
          <t>Shell</t>
        </is>
      </c>
      <c r="N103" t="n">
        <v>2</v>
      </c>
      <c r="O103" t="inlineStr">
        <is>
          <t>SIMULTANEOUS</t>
        </is>
      </c>
      <c r="P103" t="n">
        <v>1</v>
      </c>
      <c r="Q103" t="n">
        <v>0.05</v>
      </c>
      <c r="R103" t="n">
        <v>4.537</v>
      </c>
      <c r="S103" t="n">
        <v>0</v>
      </c>
      <c r="T103" t="n">
        <v>0</v>
      </c>
      <c r="U103" t="n">
        <v>0</v>
      </c>
      <c r="V103" t="n">
        <v>0</v>
      </c>
      <c r="W103" t="n">
        <v>290</v>
      </c>
      <c r="X103" t="n">
        <v>2</v>
      </c>
      <c r="Y103" t="n">
        <v>0</v>
      </c>
      <c r="Z103" t="n">
        <v>200</v>
      </c>
      <c r="AA103" t="n">
        <v>40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Large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140</v>
      </c>
      <c r="AO103" t="n">
        <v>0</v>
      </c>
      <c r="AP103" t="inlineStr">
        <is>
          <t>T3</t>
        </is>
      </c>
      <c r="AQ103" t="inlineStr"/>
      <c r="AR103" t="inlineStr">
        <is>
          <t>gun_140_twin_he</t>
        </is>
      </c>
      <c r="AS103" t="inlineStr">
        <is>
          <t>xe</t>
        </is>
      </c>
      <c r="AT103" t="inlineStr">
        <is>
          <t>titan_tank</t>
        </is>
      </c>
      <c r="AU103" t="n">
        <v>1</v>
      </c>
      <c r="AV103" t="inlineStr">
        <is>
          <t>titan_tank:0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0.2</v>
      </c>
      <c r="BB103" t="n">
        <v>10</v>
      </c>
      <c r="BC103" t="n">
        <v>8</v>
      </c>
      <c r="BD103" t="inlineStr">
        <is>
          <t>gun</t>
        </is>
      </c>
      <c r="BE103" t="inlineStr">
        <is>
          <t>NPzK 140 mm (experimental), est. 10 rpm with an autoloader (Leclerc-class)</t>
        </is>
      </c>
      <c r="BG103" t="inlineStr">
        <is>
          <t>doi</t>
        </is>
      </c>
      <c r="BJ103" t="n">
        <v>4.487</v>
      </c>
      <c r="BK103" t="n">
        <v>4.537</v>
      </c>
      <c r="BT103" t="n">
        <v>2</v>
      </c>
      <c r="BU103" t="n">
        <v>1</v>
      </c>
      <c r="BX103" t="n">
        <v>1</v>
      </c>
      <c r="BY103" t="n">
        <v>2</v>
      </c>
      <c r="BZ103" t="inlineStr">
        <is>
          <t>RIPPLE</t>
        </is>
      </c>
      <c r="CA103" t="inlineStr">
        <is>
          <t>SIMULTANEOUS</t>
        </is>
      </c>
      <c r="CO103" t="n">
        <v>2</v>
      </c>
      <c r="CR103" t="n">
        <v>1</v>
      </c>
      <c r="CS103" t="n">
        <v>0.05</v>
      </c>
      <c r="CT103" t="n">
        <v>140</v>
      </c>
      <c r="DD103" t="n">
        <v>4.537</v>
      </c>
      <c r="DE103" t="n">
        <v>290</v>
      </c>
      <c r="DF103" t="inlineStr">
        <is>
          <t>Kinetic</t>
        </is>
      </c>
      <c r="DJ103" t="inlineStr">
        <is>
          <t>tank_gun</t>
        </is>
      </c>
      <c r="DS103" t="inlineStr">
        <is>
          <t>Large</t>
        </is>
      </c>
      <c r="EB103" t="n">
        <v>4</v>
      </c>
      <c r="EE103" t="b">
        <v>1</v>
      </c>
      <c r="EK103" t="n">
        <v>200</v>
      </c>
      <c r="EP103" t="n">
        <v>40</v>
      </c>
      <c r="EQ103" t="inlineStr">
        <is>
          <t>NPzK 140 mm (twin)</t>
        </is>
      </c>
      <c r="EV103" t="n">
        <v>299</v>
      </c>
      <c r="EW103" t="inlineStr">
        <is>
          <t>SIMULTANEOUS</t>
        </is>
      </c>
      <c r="EX103" t="n">
        <v>140</v>
      </c>
      <c r="EY103" t="n">
        <v>2</v>
      </c>
      <c r="EZ103" t="n">
        <v>0.5</v>
      </c>
      <c r="GB103" t="inlineStr">
        <is>
          <t>cal_140</t>
        </is>
      </c>
      <c r="GD103" t="inlineStr">
        <is>
          <t>Assets/MachineBrigade/Resources/Data/balance.json: weapons[47]</t>
        </is>
      </c>
      <c r="GE103" t="inlineStr">
        <is>
          <t>{"id":"gun_140_twin","weaponFamilyId":"cal_140","salvoMode":"SIMULTANEOUS","barrels":2,"real":"NPzK 140 mm (twin)","family":"tank_gun","size":140,"caliberMm":140,"pen":4,"piercing":true,"damageType":"Kinetic","damage":290,"cooldown":4.537,"range":40,"projectileSpeed":200,"splash":2,"spread":0.5,"impactTier":"Large","burst":1,"burstInterval":0.05,"roundWeight":299}</t>
        </is>
      </c>
    </row>
    <row r="104">
      <c r="A104" t="inlineStr">
        <is>
          <t>gun_140_twin_he</t>
        </is>
      </c>
      <c r="B104" t="inlineStr">
        <is>
          <t>NPzK 140 mm HE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HighExplosive</t>
        </is>
      </c>
      <c r="L104" t="n">
        <v>2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4.537</v>
      </c>
      <c r="S104" t="n">
        <v>0</v>
      </c>
      <c r="T104" t="n">
        <v>0</v>
      </c>
      <c r="U104" t="n">
        <v>0</v>
      </c>
      <c r="V104" t="n">
        <v>0</v>
      </c>
      <c r="W104" t="n">
        <v>290</v>
      </c>
      <c r="X104" t="n">
        <v>3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Huge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>
        <is>
          <t>gun_140_twin</t>
        </is>
      </c>
      <c r="AR104" t="inlineStr"/>
      <c r="AS104" t="inlineStr"/>
      <c r="AT104" t="inlineStr"/>
      <c r="AU104" t="n">
        <v>0</v>
      </c>
      <c r="AV104" t="inlineStr"/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J104" t="n">
        <v>4.487</v>
      </c>
      <c r="BK104" t="n">
        <v>4.537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DE104" t="n">
        <v>290</v>
      </c>
      <c r="DF104" t="inlineStr">
        <is>
          <t>HighExplosive</t>
        </is>
      </c>
      <c r="DM104" t="inlineStr">
        <is>
          <t>light;structure</t>
        </is>
      </c>
      <c r="DN104" t="inlineStr">
        <is>
          <t>HeShell</t>
        </is>
      </c>
      <c r="DS104" t="inlineStr">
        <is>
          <t>Huge</t>
        </is>
      </c>
      <c r="DT104" t="inlineStr">
        <is>
          <t>gun_140_twin</t>
        </is>
      </c>
      <c r="EB104" t="n">
        <v>2</v>
      </c>
      <c r="EE104" t="b">
        <v>0</v>
      </c>
      <c r="EQ104" t="inlineStr">
        <is>
          <t>NPzK 140 mm HE (twin)</t>
        </is>
      </c>
      <c r="ES104" t="inlineStr">
        <is>
          <t>he</t>
        </is>
      </c>
      <c r="EU104" t="inlineStr">
        <is>
          <t>gun_140_twin</t>
        </is>
      </c>
      <c r="EY104" t="n">
        <v>3</v>
      </c>
      <c r="FW104" t="inlineStr">
        <is>
          <t>Ground</t>
        </is>
      </c>
      <c r="GA104" t="inlineStr"/>
      <c r="GD104" t="inlineStr">
        <is>
          <t>Assets/MachineBrigade/Resources/Data/balance.json: secondRounds.rounds[27]</t>
        </is>
      </c>
      <c r="GE104" t="inlineStr">
        <is>
          <t>{"id":"gun_140_twin_he","roundOf":"gun_140_twin","inherits":"gun_140_twin","weaponFamily":"","round":"he","for":["light","structure"],"real":"NPzK 140 mm HE (twin)","damageType":"HighExplosive","pen":2,"damage":290,"splash":3,"form":"HeShell","piercing":false,"targets":"Ground","impactTier":"Huge"}</t>
        </is>
      </c>
    </row>
    <row r="105">
      <c r="A105" t="inlineStr">
        <is>
          <t>gun_152</t>
        </is>
      </c>
      <c r="B105" t="inlineStr">
        <is>
          <t>2A83 152 mm</t>
        </is>
      </c>
      <c r="C105" t="inlineStr">
        <is>
          <t>cal_152_155</t>
        </is>
      </c>
      <c r="D105" t="inlineStr">
        <is>
          <t>ap</t>
        </is>
      </c>
      <c r="E105" t="inlineStr">
        <is>
          <t>2a83_152_mm</t>
        </is>
      </c>
      <c r="F105" t="inlineStr">
        <is>
          <t>tank_gun</t>
        </is>
      </c>
      <c r="G105" t="n">
        <v>152</v>
      </c>
      <c r="H105" t="inlineStr"/>
      <c r="I105" t="inlineStr"/>
      <c r="J105" t="inlineStr"/>
      <c r="K105" t="inlineStr">
        <is>
          <t>Kinetic</t>
        </is>
      </c>
      <c r="L105" t="n">
        <v>4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5.714</v>
      </c>
      <c r="S105" t="n">
        <v>0</v>
      </c>
      <c r="T105" t="n">
        <v>0</v>
      </c>
      <c r="U105" t="n">
        <v>0</v>
      </c>
      <c r="V105" t="n">
        <v>0</v>
      </c>
      <c r="W105" t="n">
        <v>320</v>
      </c>
      <c r="X105" t="n">
        <v>2.5</v>
      </c>
      <c r="Y105" t="n">
        <v>0</v>
      </c>
      <c r="Z105" t="n">
        <v>160</v>
      </c>
      <c r="AA105" t="n">
        <v>34</v>
      </c>
      <c r="AB105" t="n">
        <v>0</v>
      </c>
      <c r="AC105" t="inlineStr">
        <is>
          <t>Ground</t>
        </is>
      </c>
      <c r="AD105" t="inlineStr"/>
      <c r="AE105" t="n">
        <v>0.7</v>
      </c>
      <c r="AF105" t="inlineStr">
        <is>
          <t>Large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152</v>
      </c>
      <c r="AO105" t="n">
        <v>0</v>
      </c>
      <c r="AP105" t="inlineStr">
        <is>
          <t>T3</t>
        </is>
      </c>
      <c r="AQ105" t="inlineStr"/>
      <c r="AR105" t="inlineStr">
        <is>
          <t>gun_152_he</t>
        </is>
      </c>
      <c r="AS105" t="inlineStr">
        <is>
          <t>xe</t>
        </is>
      </c>
      <c r="AT105" t="inlineStr">
        <is>
          <t>heavy_tank</t>
        </is>
      </c>
      <c r="AU105" t="n">
        <v>1</v>
      </c>
      <c r="AV105" t="inlineStr">
        <is>
          <t>heavy_tank:0</t>
        </is>
      </c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0.2125</v>
      </c>
      <c r="BB105" t="n">
        <v>10</v>
      </c>
      <c r="BC105" t="n">
        <v>8</v>
      </c>
      <c r="BD105" t="inlineStr">
        <is>
          <t>gun</t>
        </is>
      </c>
      <c r="BE105" t="inlineStr">
        <is>
          <t>Object 195 / T-14 152 mm, est. ~10 rpm (the sheet)</t>
        </is>
      </c>
      <c r="BG105" t="inlineStr">
        <is>
          <t>giong</t>
        </is>
      </c>
      <c r="CT105" t="n">
        <v>152</v>
      </c>
      <c r="DD105" t="n">
        <v>5.714</v>
      </c>
      <c r="DE105" t="n">
        <v>320</v>
      </c>
      <c r="DF105" t="inlineStr">
        <is>
          <t>Kinetic</t>
        </is>
      </c>
      <c r="DJ105" t="inlineStr">
        <is>
          <t>tank_gun</t>
        </is>
      </c>
      <c r="DQ105" t="inlineStr">
        <is>
          <t>gun_152_he</t>
        </is>
      </c>
      <c r="DS105" t="inlineStr">
        <is>
          <t>Large</t>
        </is>
      </c>
      <c r="EB105" t="n">
        <v>4</v>
      </c>
      <c r="EE105" t="b">
        <v>1</v>
      </c>
      <c r="EP105" t="n">
        <v>34</v>
      </c>
      <c r="EQ105" t="inlineStr">
        <is>
          <t>2A83 152 mm</t>
        </is>
      </c>
      <c r="EX105" t="n">
        <v>152</v>
      </c>
      <c r="EZ105" t="n">
        <v>0.7</v>
      </c>
      <c r="GA105" t="inlineStr">
        <is>
          <t>2a83_152_mm</t>
        </is>
      </c>
      <c r="GB105" t="inlineStr">
        <is>
          <t>cal_152_155</t>
        </is>
      </c>
      <c r="GC105" t="inlineStr">
        <is>
          <t>ap</t>
        </is>
      </c>
      <c r="GD105" t="inlineStr">
        <is>
          <t>Assets/MachineBrigade/Resources/Data/balance.json: weapons[28]</t>
        </is>
      </c>
      <c r="GE105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mm","family":"tank_gun","size":152,"caliberMm":152,"pen":4,"piercing":true,"he":"gun_152_he","damageType":"Kinetic","damage":320,"cooldown":5.714,"range":34,"spread":0.7,"impactTier":"Large"}</t>
        </is>
      </c>
    </row>
    <row r="106">
      <c r="A106" t="inlineStr">
        <is>
          <t>gun_152_he</t>
        </is>
      </c>
      <c r="B106" t="inlineStr">
        <is>
          <t>2A83 152 mm HE-FRAG</t>
        </is>
      </c>
      <c r="C106" t="inlineStr">
        <is>
          <t>cal_152_155</t>
        </is>
      </c>
      <c r="D106" t="inlineStr"/>
      <c r="E106" t="inlineStr">
        <is>
          <t>2a83_152_mm_he_frag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HighExplosive</t>
        </is>
      </c>
      <c r="L106" t="n">
        <v>3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6</v>
      </c>
      <c r="S106" t="n">
        <v>0</v>
      </c>
      <c r="T106" t="n">
        <v>0</v>
      </c>
      <c r="U106" t="n">
        <v>0</v>
      </c>
      <c r="V106" t="n">
        <v>0</v>
      </c>
      <c r="W106" t="n">
        <v>320</v>
      </c>
      <c r="X106" t="n">
        <v>6.5</v>
      </c>
      <c r="Y106" t="n">
        <v>0</v>
      </c>
      <c r="Z106" t="n">
        <v>150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Huge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/>
      <c r="AS106" t="inlineStr">
        <is>
          <t>boss_part</t>
        </is>
      </c>
      <c r="AT106" t="inlineStr">
        <is>
          <t>gun_152_car</t>
        </is>
      </c>
      <c r="AU106" t="n">
        <v>1</v>
      </c>
      <c r="AV106" t="inlineStr">
        <is>
          <t>gun_152_car:part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0.2266666666666667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giong</t>
        </is>
      </c>
      <c r="CT106" t="n">
        <v>152</v>
      </c>
      <c r="DD106" t="n">
        <v>6</v>
      </c>
      <c r="DE106" t="n">
        <v>320</v>
      </c>
      <c r="DF106" t="inlineStr">
        <is>
          <t>HighExplosive</t>
        </is>
      </c>
      <c r="DJ106" t="inlineStr">
        <is>
          <t>tank_gun</t>
        </is>
      </c>
      <c r="DS106" t="inlineStr">
        <is>
          <t>Huge</t>
        </is>
      </c>
      <c r="EB106" t="n">
        <v>3</v>
      </c>
      <c r="EK106" t="n">
        <v>150</v>
      </c>
      <c r="EP106" t="n">
        <v>34</v>
      </c>
      <c r="EQ106" t="inlineStr">
        <is>
          <t>2A83 152 mm HE-FRAG</t>
        </is>
      </c>
      <c r="EV106" t="n">
        <v>343</v>
      </c>
      <c r="EX106" t="n">
        <v>152</v>
      </c>
      <c r="EY106" t="n">
        <v>6.5</v>
      </c>
      <c r="EZ106" t="n">
        <v>0.7</v>
      </c>
      <c r="GA106" t="inlineStr">
        <is>
          <t>2a83_152_mm_he_frag</t>
        </is>
      </c>
      <c r="GB106" t="inlineStr">
        <is>
          <t>cal_152_155</t>
        </is>
      </c>
      <c r="GD106" t="inlineStr">
        <is>
          <t>Assets/MachineBrigade/Resources/Data/balance.json: weapons[247]</t>
        </is>
      </c>
      <c r="GE106" t="inlineStr">
        <is>
          <t>{"id":"gun_152_he","weaponFamilyId":"cal_152_155","weaponFamily":"2a83_152_mm_he_frag","real":"2A83 152 mm HE-FRAG","family":"tank_gun","size":152,"caliberMm":152,"pen":3,"damageType":"HighExplosive","damage":320,"cooldown":6,"range":34,"projectileSpeed":150,"splash":6.5,"spread":0.7,"impactTier":"Huge","roundWeight":343}</t>
        </is>
      </c>
    </row>
    <row r="107">
      <c r="A107" t="inlineStr">
        <is>
          <t>gun_152_heat</t>
        </is>
      </c>
      <c r="B107" t="inlineStr">
        <is>
          <t>2A83 152 mm HEAT</t>
        </is>
      </c>
      <c r="C107" t="inlineStr">
        <is>
          <t>cal_152_155</t>
        </is>
      </c>
      <c r="D107" t="inlineStr">
        <is>
          <t>heat</t>
        </is>
      </c>
      <c r="E107" t="inlineStr"/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ShapedCharge</t>
        </is>
      </c>
      <c r="L107" t="n">
        <v>4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6.33</v>
      </c>
      <c r="S107" t="n">
        <v>0</v>
      </c>
      <c r="T107" t="n">
        <v>0</v>
      </c>
      <c r="U107" t="n">
        <v>0</v>
      </c>
      <c r="V107" t="n">
        <v>0</v>
      </c>
      <c r="W107" t="n">
        <v>336</v>
      </c>
      <c r="X107" t="n">
        <v>3.5</v>
      </c>
      <c r="Y107" t="n">
        <v>0</v>
      </c>
      <c r="Z107" t="n">
        <v>170</v>
      </c>
      <c r="AA107" t="n">
        <v>36</v>
      </c>
      <c r="AB107" t="n">
        <v>0</v>
      </c>
      <c r="AC107" t="inlineStr">
        <is>
          <t>Ground</t>
        </is>
      </c>
      <c r="AD107" t="inlineStr"/>
      <c r="AE107" t="n">
        <v>0.6</v>
      </c>
      <c r="AF107" t="inlineStr">
        <is>
          <t>Large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>
        <is>
          <t>gun_152_heat_he</t>
        </is>
      </c>
      <c r="AS107" t="inlineStr">
        <is>
          <t>xe</t>
        </is>
      </c>
      <c r="AT107" t="inlineStr">
        <is>
          <t>elite_heavy_tank</t>
        </is>
      </c>
      <c r="AU107" t="n">
        <v>1</v>
      </c>
      <c r="AV107" t="inlineStr">
        <is>
          <t>elite_heavy_tank:0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0.2117647058823529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giong</t>
        </is>
      </c>
      <c r="CT107" t="n">
        <v>152</v>
      </c>
      <c r="DD107" t="n">
        <v>6.33</v>
      </c>
      <c r="DE107" t="n">
        <v>336</v>
      </c>
      <c r="DF107" t="inlineStr">
        <is>
          <t>ShapedCharge</t>
        </is>
      </c>
      <c r="DJ107" t="inlineStr">
        <is>
          <t>tank_gun</t>
        </is>
      </c>
      <c r="DN107" t="inlineStr">
        <is>
          <t>DoubleDart</t>
        </is>
      </c>
      <c r="DS107" t="inlineStr">
        <is>
          <t>Large</t>
        </is>
      </c>
      <c r="EB107" t="n">
        <v>4</v>
      </c>
      <c r="EE107" t="b">
        <v>1</v>
      </c>
      <c r="EK107" t="n">
        <v>170</v>
      </c>
      <c r="EP107" t="n">
        <v>36</v>
      </c>
      <c r="EQ107" t="inlineStr">
        <is>
          <t>2A83 152 mm HEAT</t>
        </is>
      </c>
      <c r="EV107" t="n">
        <v>325</v>
      </c>
      <c r="EX107" t="n">
        <v>152</v>
      </c>
      <c r="EY107" t="n">
        <v>3.5</v>
      </c>
      <c r="EZ107" t="n">
        <v>0.6</v>
      </c>
      <c r="GB107" t="inlineStr">
        <is>
          <t>cal_152_155</t>
        </is>
      </c>
      <c r="GC107" t="inlineStr">
        <is>
          <t>heat</t>
        </is>
      </c>
      <c r="GD107" t="inlineStr">
        <is>
          <t>Assets/MachineBrigade/Resources/Data/balance.json: weapons[92]</t>
        </is>
      </c>
      <c r="GE107" t="inlineStr">
        <is>
          <t>{"id":"gun_152_heat","weaponFamilyId":"cal_152_155","weaponVariantId":"heat","real":"2A83 152 mm HEAT","family":"tank_gun","size":152,"caliberMm":152,"pen":4,"form":"DoubleDart","piercing":true,"damageType":"ShapedCharge","damage":336,"cooldown":6.33,"range":36,"projectileSpeed":170,"splash":3.5,"spread":0.6,"impactTier":"Large","roundWeight":325}</t>
        </is>
      </c>
    </row>
    <row r="108">
      <c r="A108" t="inlineStr">
        <is>
          <t>gun_152_heat_he</t>
        </is>
      </c>
      <c r="B108" t="inlineStr">
        <is>
          <t>2A83 152 mm HE-FRAG</t>
        </is>
      </c>
      <c r="C108" t="inlineStr">
        <is>
          <t>cal_152_155</t>
        </is>
      </c>
      <c r="D108" t="inlineStr"/>
      <c r="E108" t="inlineStr">
        <is>
          <t>2a83_152_mm_he_frag</t>
        </is>
      </c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HighExplosive</t>
        </is>
      </c>
      <c r="L108" t="n">
        <v>3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6.33</v>
      </c>
      <c r="S108" t="n">
        <v>0</v>
      </c>
      <c r="T108" t="n">
        <v>0</v>
      </c>
      <c r="U108" t="n">
        <v>0</v>
      </c>
      <c r="V108" t="n">
        <v>0</v>
      </c>
      <c r="W108" t="n">
        <v>320</v>
      </c>
      <c r="X108" t="n">
        <v>6.5</v>
      </c>
      <c r="Y108" t="n">
        <v>0</v>
      </c>
      <c r="Z108" t="n">
        <v>150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Huge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>
        <is>
          <t>gun_152_heat</t>
        </is>
      </c>
      <c r="AR108" t="inlineStr"/>
      <c r="AS108" t="inlineStr"/>
      <c r="AT108" t="inlineStr"/>
      <c r="AU108" t="n">
        <v>0</v>
      </c>
      <c r="AV108" t="inlineStr"/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0.24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giong</t>
        </is>
      </c>
      <c r="DE108" t="n">
        <v>320</v>
      </c>
      <c r="DF108" t="inlineStr">
        <is>
          <t>HighExplosive</t>
        </is>
      </c>
      <c r="DM108" t="inlineStr">
        <is>
          <t>light;structure</t>
        </is>
      </c>
      <c r="DN108" t="inlineStr">
        <is>
          <t>HeShell</t>
        </is>
      </c>
      <c r="DS108" t="inlineStr">
        <is>
          <t>Huge</t>
        </is>
      </c>
      <c r="DT108" t="inlineStr">
        <is>
          <t>gun_152_heat</t>
        </is>
      </c>
      <c r="EB108" t="n">
        <v>3</v>
      </c>
      <c r="EE108" t="b">
        <v>0</v>
      </c>
      <c r="EK108" t="n">
        <v>150</v>
      </c>
      <c r="EQ108" t="inlineStr">
        <is>
          <t>2A83 152 mm HE-FRAG</t>
        </is>
      </c>
      <c r="ES108" t="inlineStr">
        <is>
          <t>he</t>
        </is>
      </c>
      <c r="EU108" t="inlineStr">
        <is>
          <t>gun_152_heat</t>
        </is>
      </c>
      <c r="EV108" t="n">
        <v>343</v>
      </c>
      <c r="EY108" t="n">
        <v>6.5</v>
      </c>
      <c r="FW108" t="inlineStr">
        <is>
          <t>Ground</t>
        </is>
      </c>
      <c r="GA108" t="inlineStr">
        <is>
          <t>2a83_152_mm_he_frag</t>
        </is>
      </c>
      <c r="GC108" t="inlineStr"/>
      <c r="GD108" t="inlineStr">
        <is>
          <t>Assets/MachineBrigade/Resources/Data/balance.json: secondRounds.rounds[28]</t>
        </is>
      </c>
      <c r="GE108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HE-FRAG","damageType":"HighExplosive","pen":3,"damage":320,"splash":6.5,"form":"HeShell","piercing":false,"targets":"Ground","projectileSpeed":150,"impactTier":"Huge","roundWeight":343}</t>
        </is>
      </c>
    </row>
    <row r="109">
      <c r="A109" t="inlineStr">
        <is>
          <t>gun_155_coastal</t>
        </is>
      </c>
      <c r="B109" t="inlineStr">
        <is>
          <t>M284 155 mm (coastal battery)</t>
        </is>
      </c>
      <c r="C109" t="inlineStr">
        <is>
          <t>cal_152_155</t>
        </is>
      </c>
      <c r="D109" t="inlineStr"/>
      <c r="E109" t="inlineStr">
        <is>
          <t>m284_155_mm</t>
        </is>
      </c>
      <c r="F109" t="inlineStr">
        <is>
          <t>howitzer</t>
        </is>
      </c>
      <c r="G109" t="n">
        <v>155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2</v>
      </c>
      <c r="Q109" t="n">
        <v>0.05</v>
      </c>
      <c r="R109" t="n">
        <v>8.789999999999999</v>
      </c>
      <c r="S109" t="n">
        <v>0</v>
      </c>
      <c r="T109" t="n">
        <v>0</v>
      </c>
      <c r="U109" t="n">
        <v>0</v>
      </c>
      <c r="V109" t="n">
        <v>0</v>
      </c>
      <c r="W109" t="n">
        <v>320</v>
      </c>
      <c r="X109" t="n">
        <v>7</v>
      </c>
      <c r="Y109" t="n">
        <v>0</v>
      </c>
      <c r="Z109" t="n">
        <v>150</v>
      </c>
      <c r="AA109" t="n">
        <v>135</v>
      </c>
      <c r="AB109" t="n">
        <v>0</v>
      </c>
      <c r="AC109" t="inlineStr">
        <is>
          <t>Ground</t>
        </is>
      </c>
      <c r="AD109" t="inlineStr"/>
      <c r="AE109" t="n">
        <v>0.9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155</v>
      </c>
      <c r="AO109" t="n">
        <v>0</v>
      </c>
      <c r="AP109" t="inlineStr">
        <is>
          <t>T3</t>
        </is>
      </c>
      <c r="AQ109" t="inlineStr">
        <is>
          <t>gun_155_twin</t>
        </is>
      </c>
      <c r="AR109" t="inlineStr">
        <is>
          <t>gun_155_coastal_guided</t>
        </is>
      </c>
      <c r="AS109" t="inlineStr">
        <is>
          <t>thap</t>
        </is>
      </c>
      <c r="AT109" t="inlineStr">
        <is>
          <t>coastal_battery</t>
        </is>
      </c>
      <c r="AU109" t="n">
        <v>1</v>
      </c>
      <c r="AV109" t="inlineStr">
        <is>
          <t>coastal_battery:0</t>
        </is>
      </c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0.9</v>
      </c>
      <c r="BB109" t="n">
        <v>4</v>
      </c>
      <c r="BC109" t="n">
        <v>1</v>
      </c>
      <c r="BD109" t="inlineStr">
        <is>
          <t>gun</t>
        </is>
      </c>
      <c r="BE109" t="inlineStr">
        <is>
          <t>US Army M109A7 fact file: 4 rpm for 3 min, 1 rpm sustained</t>
        </is>
      </c>
      <c r="BG109" t="inlineStr">
        <is>
          <t>giong</t>
        </is>
      </c>
      <c r="CT109" t="n">
        <v>155</v>
      </c>
      <c r="DJ109" t="inlineStr">
        <is>
          <t>howitzer</t>
        </is>
      </c>
      <c r="DT109" t="inlineStr">
        <is>
          <t>gun_155_twin</t>
        </is>
      </c>
      <c r="EB109" t="n">
        <v>3</v>
      </c>
      <c r="EP109" t="n">
        <v>135</v>
      </c>
      <c r="EQ109" t="inlineStr">
        <is>
          <t>M284 155 mm (coastal battery)</t>
        </is>
      </c>
      <c r="EX109" t="n">
        <v>155</v>
      </c>
      <c r="GA109" t="inlineStr">
        <is>
          <t>m284_155_mm</t>
        </is>
      </c>
      <c r="GD109" t="inlineStr">
        <is>
          <t>Assets/MachineBrigade/Resources/Data/balance.json: weapons[239]</t>
        </is>
      </c>
      <c r="GE109" t="inlineStr">
        <is>
          <t>{"id":"gun_155_coastal","weaponFamily":"m284_155_mm","real":"M284 155 mm (coastal battery)","family":"howitzer","size":155,"caliberMm":155,"pen":3,"inherits":"gun_155_twin","range":135}</t>
        </is>
      </c>
    </row>
    <row r="110">
      <c r="A110" t="inlineStr">
        <is>
          <t>gun_155_coastal_guided</t>
        </is>
      </c>
      <c r="B110" t="inlineStr">
        <is>
          <t>M284 155 mm guided (coastal battery)</t>
        </is>
      </c>
      <c r="C110" t="inlineStr">
        <is>
          <t>cal_152_155</t>
        </is>
      </c>
      <c r="D110" t="inlineStr">
        <is>
          <t>guided</t>
        </is>
      </c>
      <c r="E110" t="inlineStr">
        <is>
          <t>m284_155_mm_guided_direct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1</v>
      </c>
      <c r="Q110" t="n">
        <v>0.05</v>
      </c>
      <c r="R110" t="n">
        <v>8.789999999999999</v>
      </c>
      <c r="S110" t="n">
        <v>0</v>
      </c>
      <c r="T110" t="n">
        <v>0</v>
      </c>
      <c r="U110" t="n">
        <v>0</v>
      </c>
      <c r="V110" t="n">
        <v>0</v>
      </c>
      <c r="W110" t="n">
        <v>320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1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gun_155_coastal</t>
        </is>
      </c>
      <c r="AR110" t="inlineStr"/>
      <c r="AS110" t="inlineStr"/>
      <c r="AT110" t="inlineStr"/>
      <c r="AU110" t="n">
        <v>0</v>
      </c>
      <c r="AV110" t="inlineStr"/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giong</t>
        </is>
      </c>
      <c r="CR110" t="n">
        <v>1</v>
      </c>
      <c r="DE110" t="n">
        <v>320</v>
      </c>
      <c r="DF110" t="inlineStr">
        <is>
          <t>HighExplosive</t>
        </is>
      </c>
      <c r="DH110" t="b">
        <v>1</v>
      </c>
      <c r="DM110" t="inlineStr">
        <is>
          <t>armour</t>
        </is>
      </c>
      <c r="DN110" t="inlineStr">
        <is>
          <t>HeShell</t>
        </is>
      </c>
      <c r="DP110" t="b">
        <v>1</v>
      </c>
      <c r="DT110" t="inlineStr">
        <is>
          <t>gun_155_coastal</t>
        </is>
      </c>
      <c r="EB110" t="n">
        <v>3</v>
      </c>
      <c r="EQ110" t="inlineStr">
        <is>
          <t>M284 155 mm guided (coastal battery)</t>
        </is>
      </c>
      <c r="ES110" t="inlineStr">
        <is>
          <t>guided</t>
        </is>
      </c>
      <c r="EU110" t="inlineStr">
        <is>
          <t>gun_155_coastal</t>
        </is>
      </c>
      <c r="EZ110" t="n">
        <v>0</v>
      </c>
      <c r="FW110" t="inlineStr">
        <is>
          <t>Ground</t>
        </is>
      </c>
      <c r="GA110" t="inlineStr">
        <is>
          <t>m284_155_mm_guided_direct</t>
        </is>
      </c>
      <c r="GC110" t="inlineStr">
        <is>
          <t>guided</t>
        </is>
      </c>
      <c r="GD110" t="inlineStr">
        <is>
          <t>Assets/MachineBrigade/Resources/Data/balance.json: secondRounds.rounds[29]</t>
        </is>
      </c>
      <c r="GE110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battery)","damageType":"HighExplosive","pen":3,"damage":320,"spread":0,"burst":1,"guided":true,"form":"HeShell","targets":"Ground"}</t>
        </is>
      </c>
    </row>
    <row r="111">
      <c r="A111" t="inlineStr">
        <is>
          <t>gun_155_sph</t>
        </is>
      </c>
      <c r="B111" t="inlineStr">
        <is>
          <t>M284 155 mm</t>
        </is>
      </c>
      <c r="C111" t="inlineStr">
        <is>
          <t>cal_152_155</t>
        </is>
      </c>
      <c r="D111" t="inlineStr"/>
      <c r="E111" t="inlineStr">
        <is>
          <t>m284_155_mm_2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12.81</v>
      </c>
      <c r="S111" t="n">
        <v>0</v>
      </c>
      <c r="T111" t="n">
        <v>0</v>
      </c>
      <c r="U111" t="n">
        <v>16</v>
      </c>
      <c r="V111" t="n">
        <v>41.9</v>
      </c>
      <c r="W111" t="n">
        <v>320</v>
      </c>
      <c r="X111" t="n">
        <v>7</v>
      </c>
      <c r="Y111" t="n">
        <v>0</v>
      </c>
      <c r="Z111" t="n">
        <v>100</v>
      </c>
      <c r="AA111" t="n">
        <v>100</v>
      </c>
      <c r="AB111" t="n">
        <v>25</v>
      </c>
      <c r="AC111" t="inlineStr">
        <is>
          <t>Ground</t>
        </is>
      </c>
      <c r="AD111" t="inlineStr"/>
      <c r="AE111" t="n">
        <v>4.5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155</v>
      </c>
      <c r="AO111" t="n">
        <v>0</v>
      </c>
      <c r="AP111" t="inlineStr">
        <is>
          <t>T3</t>
        </is>
      </c>
      <c r="AQ111" t="inlineStr"/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1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R111" t="n">
        <v>45</v>
      </c>
      <c r="BS111" t="n">
        <v>100</v>
      </c>
      <c r="CN111" t="n">
        <v>16</v>
      </c>
      <c r="CT111" t="n">
        <v>155</v>
      </c>
      <c r="DD111" t="n">
        <v>12.81</v>
      </c>
      <c r="DE111" t="n">
        <v>320</v>
      </c>
      <c r="DF111" t="inlineStr">
        <is>
          <t>HighExplosive</t>
        </is>
      </c>
      <c r="DJ111" t="inlineStr">
        <is>
          <t>howitzer</t>
        </is>
      </c>
      <c r="DS111" t="inlineStr">
        <is>
          <t>Huge</t>
        </is>
      </c>
      <c r="DZ111" t="n">
        <v>25</v>
      </c>
      <c r="EB111" t="n">
        <v>3</v>
      </c>
      <c r="EP111" t="n">
        <v>100</v>
      </c>
      <c r="EQ111" t="inlineStr">
        <is>
          <t>M284 155 mm</t>
        </is>
      </c>
      <c r="ER111" t="n">
        <v>41.9</v>
      </c>
      <c r="EX111" t="n">
        <v>155</v>
      </c>
      <c r="EZ111" t="n">
        <v>4.5</v>
      </c>
      <c r="GA111" t="inlineStr">
        <is>
          <t>m284_155_mm_2</t>
        </is>
      </c>
      <c r="GB111" t="inlineStr">
        <is>
          <t>cal_152_155</t>
        </is>
      </c>
      <c r="GD111" t="inlineStr">
        <is>
          <t>Assets/MachineBrigade/Resources/Data/balance.json: weapons[42]</t>
        </is>
      </c>
      <c r="GE111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2">
      <c r="A112" t="inlineStr">
        <is>
          <t>gun_155_twin</t>
        </is>
      </c>
      <c r="B112" t="inlineStr">
        <is>
          <t>M284 155 mm (twin)</t>
        </is>
      </c>
      <c r="C112" t="inlineStr">
        <is>
          <t>cal_152_155</t>
        </is>
      </c>
      <c r="D112" t="inlineStr"/>
      <c r="E112" t="inlineStr">
        <is>
          <t>m284_155_mm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2</v>
      </c>
      <c r="Q112" t="n">
        <v>0.05</v>
      </c>
      <c r="R112" t="n">
        <v>8.789999999999999</v>
      </c>
      <c r="S112" t="n">
        <v>0</v>
      </c>
      <c r="T112" t="n">
        <v>0</v>
      </c>
      <c r="U112" t="n">
        <v>0</v>
      </c>
      <c r="V112" t="n">
        <v>0</v>
      </c>
      <c r="W112" t="n">
        <v>320</v>
      </c>
      <c r="X112" t="n">
        <v>7</v>
      </c>
      <c r="Y112" t="n">
        <v>0</v>
      </c>
      <c r="Z112" t="n">
        <v>150</v>
      </c>
      <c r="AA112" t="n">
        <v>50</v>
      </c>
      <c r="AB112" t="n">
        <v>0</v>
      </c>
      <c r="AC112" t="inlineStr">
        <is>
          <t>Ground</t>
        </is>
      </c>
      <c r="AD112" t="inlineStr"/>
      <c r="AE112" t="n">
        <v>0.9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0.3333333333333333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giong</t>
        </is>
      </c>
      <c r="CR112" t="n">
        <v>2</v>
      </c>
      <c r="CS112" t="n">
        <v>0.05</v>
      </c>
      <c r="CT112" t="n">
        <v>155</v>
      </c>
      <c r="DD112" t="n">
        <v>8.789999999999999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R112" t="n">
        <v>1.3</v>
      </c>
      <c r="DS112" t="inlineStr">
        <is>
          <t>Huge</t>
        </is>
      </c>
      <c r="EB112" t="n">
        <v>3</v>
      </c>
      <c r="EP112" t="n">
        <v>50</v>
      </c>
      <c r="EQ112" t="inlineStr">
        <is>
          <t>M284 155 mm (twin)</t>
        </is>
      </c>
      <c r="EX112" t="n">
        <v>155</v>
      </c>
      <c r="EZ112" t="n">
        <v>0.9</v>
      </c>
      <c r="GA112" t="inlineStr">
        <is>
          <t>m284_155_mm</t>
        </is>
      </c>
      <c r="GB112" t="inlineStr">
        <is>
          <t>cal_152_155</t>
        </is>
      </c>
      <c r="GD112" t="inlineStr">
        <is>
          <t>Assets/MachineBrigade/Resources/Data/balance.json: weapons[85]</t>
        </is>
      </c>
      <c r="GE112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3">
      <c r="A113" t="inlineStr">
        <is>
          <t>gun_155_twin_ap</t>
        </is>
      </c>
      <c r="B113" t="inlineStr">
        <is>
          <t>M284 155 mm (twin) AP</t>
        </is>
      </c>
      <c r="C113" t="inlineStr">
        <is>
          <t>cal_152_155</t>
        </is>
      </c>
      <c r="D113" t="inlineStr">
        <is>
          <t>ap</t>
        </is>
      </c>
      <c r="E113" t="inlineStr"/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Kinetic</t>
        </is>
      </c>
      <c r="L113" t="n">
        <v>4</v>
      </c>
      <c r="M113" t="inlineStr">
        <is>
          <t>Shell</t>
        </is>
      </c>
      <c r="N113" t="n">
        <v>2</v>
      </c>
      <c r="O113" t="inlineStr">
        <is>
          <t>SIMULTANEOUS</t>
        </is>
      </c>
      <c r="P113" t="n">
        <v>1</v>
      </c>
      <c r="Q113" t="n">
        <v>0.05</v>
      </c>
      <c r="R113" t="n">
        <v>5.55</v>
      </c>
      <c r="S113" t="n">
        <v>0</v>
      </c>
      <c r="T113" t="n">
        <v>0</v>
      </c>
      <c r="U113" t="n">
        <v>0</v>
      </c>
      <c r="V113" t="n">
        <v>0</v>
      </c>
      <c r="W113" t="n">
        <v>300</v>
      </c>
      <c r="X113" t="n">
        <v>0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>
        <is>
          <t>gun_155_twin_fort</t>
        </is>
      </c>
      <c r="AR113" t="inlineStr">
        <is>
          <t>gun_155_twin_fort</t>
        </is>
      </c>
      <c r="AS113" t="inlineStr">
        <is>
          <t>thap</t>
        </is>
      </c>
      <c r="AT113" t="inlineStr">
        <is>
          <t>heavy_turret;heavy_turret.bastion</t>
        </is>
      </c>
      <c r="AU113" t="n">
        <v>2</v>
      </c>
      <c r="AV113" t="inlineStr">
        <is>
          <t>heavy_turret:0;heavy_turret.bastion:0</t>
        </is>
      </c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doi</t>
        </is>
      </c>
      <c r="BJ113" t="n">
        <v>5.5</v>
      </c>
      <c r="BK113" t="n">
        <v>5.55</v>
      </c>
      <c r="BT113" t="n">
        <v>2</v>
      </c>
      <c r="BU113" t="n">
        <v>1</v>
      </c>
      <c r="BX113" t="n">
        <v>1</v>
      </c>
      <c r="BY113" t="n">
        <v>2</v>
      </c>
      <c r="BZ113" t="inlineStr">
        <is>
          <t>RIPPLE</t>
        </is>
      </c>
      <c r="CA113" t="inlineStr">
        <is>
          <t>SIMULTANEOUS</t>
        </is>
      </c>
      <c r="CO113" t="n">
        <v>2</v>
      </c>
      <c r="CR113" t="n">
        <v>1</v>
      </c>
      <c r="DD113" t="n">
        <v>5.55</v>
      </c>
      <c r="DE113" t="n">
        <v>300</v>
      </c>
      <c r="DF113" t="inlineStr">
        <is>
          <t>Kinetic</t>
        </is>
      </c>
      <c r="DQ113" t="inlineStr">
        <is>
          <t>gun_155_twin_fort</t>
        </is>
      </c>
      <c r="DT113" t="inlineStr">
        <is>
          <t>gun_155_twin_fort</t>
        </is>
      </c>
      <c r="EB113" t="n">
        <v>4</v>
      </c>
      <c r="EE113" t="b">
        <v>1</v>
      </c>
      <c r="EQ113" t="inlineStr">
        <is>
          <t>M284 155 mm (twin) AP</t>
        </is>
      </c>
      <c r="EW113" t="inlineStr">
        <is>
          <t>SIMULTANEOUS</t>
        </is>
      </c>
      <c r="EY113" t="n">
        <v>0</v>
      </c>
      <c r="GA113" t="inlineStr"/>
      <c r="GC113" t="inlineStr">
        <is>
          <t>ap</t>
        </is>
      </c>
      <c r="GD113" t="inlineStr">
        <is>
          <t>Assets/MachineBrigade/Resources/Data/balance.json: weapons[90]</t>
        </is>
      </c>
      <c r="GE113" t="inlineStr">
        <is>
          <t>{"id":"gun_155_twin_ap","weaponFamily":"","inherits":"gun_155_twin_fort","weaponVariantId":"ap","cooldown":5.55,"burst":1,"salvoMode":"SIMULTANEOUS","barrels":2,"real":"M284 155 mm (twin) AP","damageType":"Kinetic","damage":300,"pen":4,"splash":0,"piercing":true,"he":"gun_155_twin_fort"}</t>
        </is>
      </c>
    </row>
    <row r="114">
      <c r="A114" t="inlineStr">
        <is>
          <t>gun_155_twin_coastlr</t>
        </is>
      </c>
      <c r="B114" t="inlineStr">
        <is>
          <t>M284 155 mm (twin, long-range coastal)</t>
        </is>
      </c>
      <c r="C114" t="inlineStr">
        <is>
          <t>cal_152_155</t>
        </is>
      </c>
      <c r="D114" t="inlineStr"/>
      <c r="E114" t="inlineStr">
        <is>
          <t>m284_155_mm</t>
        </is>
      </c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HighExplosive</t>
        </is>
      </c>
      <c r="L114" t="n">
        <v>3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5.55</v>
      </c>
      <c r="S114" t="n">
        <v>0</v>
      </c>
      <c r="T114" t="n">
        <v>0</v>
      </c>
      <c r="U114" t="n">
        <v>0</v>
      </c>
      <c r="V114" t="n">
        <v>0</v>
      </c>
      <c r="W114" t="n">
        <v>320</v>
      </c>
      <c r="X114" t="n">
        <v>7</v>
      </c>
      <c r="Y114" t="n">
        <v>0</v>
      </c>
      <c r="Z114" t="n">
        <v>150</v>
      </c>
      <c r="AA114" t="n">
        <v>72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gun_155_twin_coastlr_guided</t>
        </is>
      </c>
      <c r="AS114" t="inlineStr">
        <is>
          <t>thap</t>
        </is>
      </c>
      <c r="AT114" t="inlineStr">
        <is>
          <t>heavy_turret.coastal</t>
        </is>
      </c>
      <c r="AU114" t="n">
        <v>1</v>
      </c>
      <c r="AV114" t="inlineStr">
        <is>
          <t>heavy_turret.coastal:0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0.48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J114" t="n">
        <v>5.5</v>
      </c>
      <c r="BK114" t="n">
        <v>5.55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CT114" t="n">
        <v>155</v>
      </c>
      <c r="DD114" t="n">
        <v>5.55</v>
      </c>
      <c r="DJ114" t="inlineStr">
        <is>
          <t>howitzer</t>
        </is>
      </c>
      <c r="DT114" t="inlineStr">
        <is>
          <t>gun_155_twin_fort</t>
        </is>
      </c>
      <c r="EB114" t="n">
        <v>3</v>
      </c>
      <c r="EP114" t="n">
        <v>72</v>
      </c>
      <c r="EQ114" t="inlineStr">
        <is>
          <t>M284 155 mm (twin, long-range coastal)</t>
        </is>
      </c>
      <c r="EW114" t="inlineStr">
        <is>
          <t>SIMULTANEOUS</t>
        </is>
      </c>
      <c r="EX114" t="n">
        <v>155</v>
      </c>
      <c r="GA114" t="inlineStr">
        <is>
          <t>m284_155_mm</t>
        </is>
      </c>
      <c r="GD114" t="inlineStr">
        <is>
          <t>Assets/MachineBrigade/Resources/Data/balance.json: weapons[240]</t>
        </is>
      </c>
      <c r="GE114" t="inlineStr">
        <is>
          <t>{"id":"gun_155_twin_coastlr","weaponFamily":"m284_155_mm","real":"M284 155 mm (twin, long-range coastal)","family":"howitzer","size":155,"caliberMm":155,"pen":3,"inherits":"gun_155_twin_fort","cooldown":5.55,"burst":1,"salvoMode":"SIMULTANEOUS","barrels":2,"range":72}</t>
        </is>
      </c>
    </row>
    <row r="115">
      <c r="A115" t="inlineStr">
        <is>
          <t>gun_155_twin_coastlr_guided</t>
        </is>
      </c>
      <c r="B115" t="inlineStr">
        <is>
          <t>M284 155 mm guided (twin, long-range coastal)</t>
        </is>
      </c>
      <c r="C115" t="inlineStr">
        <is>
          <t>cal_152_155</t>
        </is>
      </c>
      <c r="D115" t="inlineStr">
        <is>
          <t>guided</t>
        </is>
      </c>
      <c r="E115" t="inlineStr">
        <is>
          <t>m284_155_mm_guided_direct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1</v>
      </c>
      <c r="Q115" t="n">
        <v>0.05</v>
      </c>
      <c r="R115" t="n">
        <v>5.55</v>
      </c>
      <c r="S115" t="n">
        <v>0</v>
      </c>
      <c r="T115" t="n">
        <v>0</v>
      </c>
      <c r="U115" t="n">
        <v>0</v>
      </c>
      <c r="V115" t="n">
        <v>0</v>
      </c>
      <c r="W115" t="n">
        <v>320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1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gun_155_twin_coastlr</t>
        </is>
      </c>
      <c r="AR115" t="inlineStr"/>
      <c r="AS115" t="inlineStr"/>
      <c r="AT115" t="inlineStr"/>
      <c r="AU115" t="n">
        <v>0</v>
      </c>
      <c r="AV115" t="inlineStr"/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J115" t="n">
        <v>5.5</v>
      </c>
      <c r="BK115" t="n">
        <v>5.55</v>
      </c>
      <c r="CO115" t="n">
        <v>1</v>
      </c>
      <c r="CR115" t="n">
        <v>1</v>
      </c>
      <c r="DE115" t="n">
        <v>320</v>
      </c>
      <c r="DF115" t="inlineStr">
        <is>
          <t>HighExplosive</t>
        </is>
      </c>
      <c r="DH115" t="b">
        <v>1</v>
      </c>
      <c r="DM115" t="inlineStr">
        <is>
          <t>armour</t>
        </is>
      </c>
      <c r="DN115" t="inlineStr">
        <is>
          <t>HeShell</t>
        </is>
      </c>
      <c r="DP115" t="b">
        <v>1</v>
      </c>
      <c r="DT115" t="inlineStr">
        <is>
          <t>gun_155_twin_coastlr</t>
        </is>
      </c>
      <c r="EB115" t="n">
        <v>3</v>
      </c>
      <c r="EQ115" t="inlineStr">
        <is>
          <t>M284 155 mm guided (twin, long-range coastal)</t>
        </is>
      </c>
      <c r="ES115" t="inlineStr">
        <is>
          <t>guided</t>
        </is>
      </c>
      <c r="EU115" t="inlineStr">
        <is>
          <t>gun_155_twin_coastlr</t>
        </is>
      </c>
      <c r="EW115" t="inlineStr">
        <is>
          <t>RIPPLE</t>
        </is>
      </c>
      <c r="EZ115" t="n">
        <v>0</v>
      </c>
      <c r="FW115" t="inlineStr">
        <is>
          <t>Ground</t>
        </is>
      </c>
      <c r="GA115" t="inlineStr">
        <is>
          <t>m284_155_mm_guided_direct</t>
        </is>
      </c>
      <c r="GC115" t="inlineStr">
        <is>
          <t>guided</t>
        </is>
      </c>
      <c r="GD115" t="inlineStr">
        <is>
          <t>Assets/MachineBrigade/Resources/Data/balance.json: secondRounds.rounds[30]</t>
        </is>
      </c>
      <c r="GE115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coastal)","damageType":"HighExplosive","pen":3,"damage":320,"spread":0,"burst":1,"guided":true,"form":"HeShell","targets":"Ground"}</t>
        </is>
      </c>
    </row>
    <row r="116">
      <c r="A116" t="inlineStr">
        <is>
          <t>gun_155_twin_fort</t>
        </is>
      </c>
      <c r="B116" t="inlineStr">
        <is>
          <t>M284 155 mm (twin)</t>
        </is>
      </c>
      <c r="C116" t="inlineStr">
        <is>
          <t>cal_152_155</t>
        </is>
      </c>
      <c r="D116" t="inlineStr"/>
      <c r="E116" t="inlineStr">
        <is>
          <t>m284_155_mm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2</v>
      </c>
      <c r="O116" t="inlineStr">
        <is>
          <t>SIMULTANEOUS</t>
        </is>
      </c>
      <c r="P116" t="n">
        <v>1</v>
      </c>
      <c r="Q116" t="n">
        <v>0.05</v>
      </c>
      <c r="R116" t="n">
        <v>5.55</v>
      </c>
      <c r="S116" t="n">
        <v>0</v>
      </c>
      <c r="T116" t="n">
        <v>0</v>
      </c>
      <c r="U116" t="n">
        <v>0</v>
      </c>
      <c r="V116" t="n">
        <v>0</v>
      </c>
      <c r="W116" t="n">
        <v>320</v>
      </c>
      <c r="X116" t="n">
        <v>7</v>
      </c>
      <c r="Y116" t="n">
        <v>0</v>
      </c>
      <c r="Z116" t="n">
        <v>150</v>
      </c>
      <c r="AA116" t="n">
        <v>50</v>
      </c>
      <c r="AB116" t="n">
        <v>0</v>
      </c>
      <c r="AC116" t="inlineStr">
        <is>
          <t>Ground</t>
        </is>
      </c>
      <c r="AD116" t="inlineStr"/>
      <c r="AE116" t="n">
        <v>0.9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</t>
        </is>
      </c>
      <c r="AR116" t="inlineStr">
        <is>
          <t>gun_155_twin_fort_guided</t>
        </is>
      </c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0.3333333333333333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J116" t="n">
        <v>5.5</v>
      </c>
      <c r="BK116" t="n">
        <v>5.55</v>
      </c>
      <c r="BT116" t="n">
        <v>2</v>
      </c>
      <c r="BU116" t="n">
        <v>1</v>
      </c>
      <c r="BX116" t="n">
        <v>1</v>
      </c>
      <c r="BY116" t="n">
        <v>2</v>
      </c>
      <c r="BZ116" t="inlineStr">
        <is>
          <t>RIPPLE</t>
        </is>
      </c>
      <c r="CA116" t="inlineStr">
        <is>
          <t>SIMULTANEOUS</t>
        </is>
      </c>
      <c r="CO116" t="n">
        <v>2</v>
      </c>
      <c r="CR116" t="n">
        <v>1</v>
      </c>
      <c r="CT116" t="n">
        <v>155</v>
      </c>
      <c r="DD116" t="n">
        <v>5.55</v>
      </c>
      <c r="DJ116" t="inlineStr">
        <is>
          <t>howitzer</t>
        </is>
      </c>
      <c r="DT116" t="inlineStr">
        <is>
          <t>gun_155_twin</t>
        </is>
      </c>
      <c r="EB116" t="n">
        <v>3</v>
      </c>
      <c r="EQ116" t="inlineStr">
        <is>
          <t>M284 155 mm (twin)</t>
        </is>
      </c>
      <c r="EW116" t="inlineStr">
        <is>
          <t>SIMULTANEOUS</t>
        </is>
      </c>
      <c r="EX116" t="n">
        <v>155</v>
      </c>
      <c r="GA116" t="inlineStr">
        <is>
          <t>m284_155_mm</t>
        </is>
      </c>
      <c r="GD116" t="inlineStr">
        <is>
          <t>Assets/MachineBrigade/Resources/Data/balance.json: weapons[89]</t>
        </is>
      </c>
      <c r="GE116" t="inlineStr">
        <is>
          <t>{"id":"gun_155_twin_fort","weaponFamily":"m284_155_mm","real":"M284 155 mm (twin)","family":"howitzer","size":155,"caliberMm":155,"pen":3,"inherits":"gun_155_twin","burst":1,"salvoMode":"SIMULTANEOUS","barrels":2,"cooldown":5.55}</t>
        </is>
      </c>
    </row>
    <row r="117">
      <c r="A117" t="inlineStr">
        <is>
          <t>gun_155_twin_fort_guided</t>
        </is>
      </c>
      <c r="B117" t="inlineStr">
        <is>
          <t>M284 155 mm guided (twin)</t>
        </is>
      </c>
      <c r="C117" t="inlineStr">
        <is>
          <t>cal_152_155</t>
        </is>
      </c>
      <c r="D117" t="inlineStr">
        <is>
          <t>guided</t>
        </is>
      </c>
      <c r="E117" t="inlineStr">
        <is>
          <t>m284_155_mm_guided_direct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1</v>
      </c>
      <c r="Q117" t="n">
        <v>0.05</v>
      </c>
      <c r="R117" t="n">
        <v>5.55</v>
      </c>
      <c r="S117" t="n">
        <v>0</v>
      </c>
      <c r="T117" t="n">
        <v>0</v>
      </c>
      <c r="U117" t="n">
        <v>0</v>
      </c>
      <c r="V117" t="n">
        <v>0</v>
      </c>
      <c r="W117" t="n">
        <v>320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1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gun_155_twin_fort</t>
        </is>
      </c>
      <c r="AR117" t="inlineStr"/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J117" t="n">
        <v>5.5</v>
      </c>
      <c r="BK117" t="n">
        <v>5.55</v>
      </c>
      <c r="CO117" t="n">
        <v>1</v>
      </c>
      <c r="CR117" t="n">
        <v>1</v>
      </c>
      <c r="DE117" t="n">
        <v>320</v>
      </c>
      <c r="DF117" t="inlineStr">
        <is>
          <t>HighExplosive</t>
        </is>
      </c>
      <c r="DH117" t="b">
        <v>1</v>
      </c>
      <c r="DM117" t="inlineStr">
        <is>
          <t>armour</t>
        </is>
      </c>
      <c r="DN117" t="inlineStr">
        <is>
          <t>HeShell</t>
        </is>
      </c>
      <c r="DP117" t="b">
        <v>1</v>
      </c>
      <c r="DT117" t="inlineStr">
        <is>
          <t>gun_155_twin_fort</t>
        </is>
      </c>
      <c r="EB117" t="n">
        <v>3</v>
      </c>
      <c r="EQ117" t="inlineStr">
        <is>
          <t>M284 155 mm guided (twin)</t>
        </is>
      </c>
      <c r="ES117" t="inlineStr">
        <is>
          <t>guided</t>
        </is>
      </c>
      <c r="EU117" t="inlineStr">
        <is>
          <t>gun_155_twin_fort</t>
        </is>
      </c>
      <c r="EW117" t="inlineStr">
        <is>
          <t>RIPPLE</t>
        </is>
      </c>
      <c r="EZ117" t="n">
        <v>0</v>
      </c>
      <c r="FW117" t="inlineStr">
        <is>
          <t>Ground</t>
        </is>
      </c>
      <c r="GA117" t="inlineStr">
        <is>
          <t>m284_155_mm_guided_direct</t>
        </is>
      </c>
      <c r="GC117" t="inlineStr">
        <is>
          <t>guided</t>
        </is>
      </c>
      <c r="GD117" t="inlineStr">
        <is>
          <t>Assets/MachineBrigade/Resources/Data/balance.json: secondRounds.rounds[31]</t>
        </is>
      </c>
      <c r="GE117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(twin)","damageType":"HighExplosive","pen":3,"damage":320,"spread":0,"burst":1,"guided":true,"form":"HeShell","targets":"Ground"}</t>
        </is>
      </c>
    </row>
    <row r="118">
      <c r="A118" t="inlineStr">
        <is>
          <t>gun_155_twin_long</t>
        </is>
      </c>
      <c r="B118" t="inlineStr">
        <is>
          <t>M284 155 mm (twin, long)</t>
        </is>
      </c>
      <c r="C118" t="inlineStr">
        <is>
          <t>cal_152_155</t>
        </is>
      </c>
      <c r="D118" t="inlineStr"/>
      <c r="E118" t="inlineStr">
        <is>
          <t>m284_155_mm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2</v>
      </c>
      <c r="Q118" t="n">
        <v>0.05</v>
      </c>
      <c r="R118" t="n">
        <v>8.789999999999999</v>
      </c>
      <c r="S118" t="n">
        <v>0</v>
      </c>
      <c r="T118" t="n">
        <v>0</v>
      </c>
      <c r="U118" t="n">
        <v>0</v>
      </c>
      <c r="V118" t="n">
        <v>0</v>
      </c>
      <c r="W118" t="n">
        <v>320</v>
      </c>
      <c r="X118" t="n">
        <v>7</v>
      </c>
      <c r="Y118" t="n">
        <v>0</v>
      </c>
      <c r="Z118" t="n">
        <v>150</v>
      </c>
      <c r="AA118" t="n">
        <v>60</v>
      </c>
      <c r="AB118" t="n">
        <v>0</v>
      </c>
      <c r="AC118" t="inlineStr">
        <is>
          <t>Ground</t>
        </is>
      </c>
      <c r="AD118" t="inlineStr"/>
      <c r="AE118" t="n">
        <v>0.9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0.4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giong</t>
        </is>
      </c>
      <c r="CT118" t="n">
        <v>155</v>
      </c>
      <c r="DJ118" t="inlineStr">
        <is>
          <t>howitzer</t>
        </is>
      </c>
      <c r="DT118" t="inlineStr">
        <is>
          <t>gun_155_twin</t>
        </is>
      </c>
      <c r="EB118" t="n">
        <v>3</v>
      </c>
      <c r="EP118" t="n">
        <v>60</v>
      </c>
      <c r="EQ118" t="inlineStr">
        <is>
          <t>M284 155 mm (twin, long)</t>
        </is>
      </c>
      <c r="EX118" t="n">
        <v>155</v>
      </c>
      <c r="GA118" t="inlineStr">
        <is>
          <t>m284_155_mm</t>
        </is>
      </c>
      <c r="GD118" t="inlineStr">
        <is>
          <t>Assets/MachineBrigade/Resources/Data/balance.json: weapons[128]</t>
        </is>
      </c>
      <c r="GE118" t="inlineStr">
        <is>
          <t>{"id":"gun_155_twin_long","weaponFamily":"m284_155_mm","real":"M284 155 mm (twin, long)","family":"howitzer","size":155,"caliberMm":155,"pen":3,"inherits":"gun_155_twin","range":60}</t>
        </is>
      </c>
    </row>
    <row r="119">
      <c r="A119" t="inlineStr">
        <is>
          <t>gun_203_siege</t>
        </is>
      </c>
      <c r="B119" t="inlineStr">
        <is>
          <t>M110 203 mm</t>
        </is>
      </c>
      <c r="C119" t="inlineStr">
        <is>
          <t>cal_203</t>
        </is>
      </c>
      <c r="D119" t="inlineStr"/>
      <c r="E119" t="inlineStr"/>
      <c r="F119" t="inlineStr">
        <is>
          <t>howitzer</t>
        </is>
      </c>
      <c r="G119" t="n">
        <v>203</v>
      </c>
      <c r="H119" t="inlineStr"/>
      <c r="I119" t="inlineStr"/>
      <c r="J119" t="inlineStr"/>
      <c r="K119" t="inlineStr">
        <is>
          <t>HighExplosive</t>
        </is>
      </c>
      <c r="L119" t="n">
        <v>4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1</v>
      </c>
      <c r="Q119" t="n">
        <v>0.1</v>
      </c>
      <c r="R119" t="n">
        <v>9.75</v>
      </c>
      <c r="S119" t="n">
        <v>0</v>
      </c>
      <c r="T119" t="n">
        <v>0</v>
      </c>
      <c r="U119" t="n">
        <v>12</v>
      </c>
      <c r="V119" t="n">
        <v>29.4</v>
      </c>
      <c r="W119" t="n">
        <v>420</v>
      </c>
      <c r="X119" t="n">
        <v>8</v>
      </c>
      <c r="Y119" t="n">
        <v>0</v>
      </c>
      <c r="Z119" t="n">
        <v>110</v>
      </c>
      <c r="AA119" t="n">
        <v>62</v>
      </c>
      <c r="AB119" t="n">
        <v>10</v>
      </c>
      <c r="AC119" t="inlineStr">
        <is>
          <t>Ground</t>
        </is>
      </c>
      <c r="AD119" t="inlineStr"/>
      <c r="AE119" t="n">
        <v>2.5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203</v>
      </c>
      <c r="AO119" t="n">
        <v>0</v>
      </c>
      <c r="AP119" t="inlineStr">
        <is>
          <t>T4</t>
        </is>
      </c>
      <c r="AQ119" t="inlineStr"/>
      <c r="AR119" t="inlineStr"/>
      <c r="AS119" t="inlineStr"/>
      <c r="AT119" t="inlineStr"/>
      <c r="AU119" t="n">
        <v>0</v>
      </c>
      <c r="AV119" t="inlineStr"/>
      <c r="AW119" t="n">
        <v>2.5</v>
      </c>
      <c r="AX119" t="b">
        <v>1</v>
      </c>
      <c r="AY119" t="inlineStr"/>
      <c r="AZ119">
        <f>IF(AND($AX$119,$AW$119&gt;$AA$119/$Z$119),$AW$119,$AA$119/$Z$119)</f>
        <v/>
      </c>
      <c r="BA119" t="n">
        <v>2.5</v>
      </c>
      <c r="BB119" t="n">
        <v>2</v>
      </c>
      <c r="BC119" t="n">
        <v>1</v>
      </c>
      <c r="BD119" t="inlineStr">
        <is>
          <t>gun</t>
        </is>
      </c>
      <c r="BE119" t="inlineStr">
        <is>
          <t>Wikipedia 'M110 howitzer': 1.5-2 rpm</t>
        </is>
      </c>
      <c r="BG119" t="inlineStr">
        <is>
          <t>giong</t>
        </is>
      </c>
      <c r="CN119" t="n">
        <v>12</v>
      </c>
      <c r="CT119" t="n">
        <v>203</v>
      </c>
      <c r="DD119" t="n">
        <v>9.75</v>
      </c>
      <c r="DE119" t="n">
        <v>420</v>
      </c>
      <c r="DF119" t="inlineStr">
        <is>
          <t>HighExplosive</t>
        </is>
      </c>
      <c r="DJ119" t="inlineStr">
        <is>
          <t>howitzer</t>
        </is>
      </c>
      <c r="DS119" t="inlineStr">
        <is>
          <t>Huge</t>
        </is>
      </c>
      <c r="DZ119" t="n">
        <v>10</v>
      </c>
      <c r="EB119" t="n">
        <v>4</v>
      </c>
      <c r="EI119" t="inlineStr">
        <is>
          <t>shell_155</t>
        </is>
      </c>
      <c r="EJ119" t="n">
        <v>0.9455</v>
      </c>
      <c r="EK119" t="n">
        <v>110</v>
      </c>
      <c r="EP119" t="n">
        <v>62</v>
      </c>
      <c r="EQ119" t="inlineStr">
        <is>
          <t>M110 203 mm</t>
        </is>
      </c>
      <c r="ER119" t="n">
        <v>29.4</v>
      </c>
      <c r="ET119" t="n">
        <v>1.04</v>
      </c>
      <c r="EX119" t="n">
        <v>203</v>
      </c>
      <c r="EY119" t="n">
        <v>8</v>
      </c>
      <c r="EZ119" t="n">
        <v>2.5</v>
      </c>
      <c r="GB119" t="inlineStr">
        <is>
          <t>cal_203</t>
        </is>
      </c>
      <c r="GD119" t="inlineStr">
        <is>
          <t>Assets/MachineBrigade/Resources/Data/balance.json: weapons[55]</t>
        </is>
      </c>
      <c r="GE119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0">
      <c r="A120" t="inlineStr">
        <is>
          <t>gun_behemoth</t>
        </is>
      </c>
      <c r="B120" t="inlineStr">
        <is>
          <t>2A65 152 mm (twin)</t>
        </is>
      </c>
      <c r="C120" t="inlineStr">
        <is>
          <t>cal_152_155</t>
        </is>
      </c>
      <c r="D120" t="inlineStr"/>
      <c r="E120" t="inlineStr"/>
      <c r="F120" t="inlineStr">
        <is>
          <t>howitzer</t>
        </is>
      </c>
      <c r="G120" t="n">
        <v>152</v>
      </c>
      <c r="H120" t="inlineStr"/>
      <c r="I120" t="inlineStr"/>
      <c r="J120" t="inlineStr"/>
      <c r="K120" t="inlineStr">
        <is>
          <t>HighExplosive</t>
        </is>
      </c>
      <c r="L120" t="n">
        <v>3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2</v>
      </c>
      <c r="Q120" t="n">
        <v>0.05</v>
      </c>
      <c r="R120" t="n">
        <v>8.93</v>
      </c>
      <c r="S120" t="n">
        <v>0</v>
      </c>
      <c r="T120" t="n">
        <v>0</v>
      </c>
      <c r="U120" t="n">
        <v>0</v>
      </c>
      <c r="V120" t="n">
        <v>0</v>
      </c>
      <c r="W120" t="n">
        <v>320</v>
      </c>
      <c r="X120" t="n">
        <v>6.5</v>
      </c>
      <c r="Y120" t="n">
        <v>0</v>
      </c>
      <c r="Z120" t="n">
        <v>150</v>
      </c>
      <c r="AA120" t="n">
        <v>40</v>
      </c>
      <c r="AB120" t="n">
        <v>0</v>
      </c>
      <c r="AC120" t="inlineStr">
        <is>
          <t>Ground</t>
        </is>
      </c>
      <c r="AD120" t="inlineStr"/>
      <c r="AE120" t="n">
        <v>0.8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152</v>
      </c>
      <c r="AO120" t="n">
        <v>0</v>
      </c>
      <c r="AP120" t="inlineStr">
        <is>
          <t>T3</t>
        </is>
      </c>
      <c r="AQ120" t="inlineStr"/>
      <c r="AR120" t="inlineStr">
        <is>
          <t>gun_behemoth_guided</t>
        </is>
      </c>
      <c r="AS120" t="inlineStr">
        <is>
          <t>xe</t>
        </is>
      </c>
      <c r="AT120" t="inlineStr">
        <is>
          <t>mara_behemoth</t>
        </is>
      </c>
      <c r="AU120" t="n">
        <v>1</v>
      </c>
      <c r="AV120" t="inlineStr">
        <is>
          <t>mara_behemoth:0</t>
        </is>
      </c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0.2666666666666667</v>
      </c>
      <c r="BB120" t="n">
        <v>8</v>
      </c>
      <c r="BC120" t="n">
        <v>6</v>
      </c>
      <c r="BD120" t="inlineStr">
        <is>
          <t>gun</t>
        </is>
      </c>
      <c r="BE120" t="inlineStr">
        <is>
          <t>Wikipedia '2A65 Msta-B': 7-8 rpm</t>
        </is>
      </c>
      <c r="BG120" t="inlineStr">
        <is>
          <t>giong</t>
        </is>
      </c>
      <c r="CR120" t="n">
        <v>2</v>
      </c>
      <c r="CS120" t="n">
        <v>0.05</v>
      </c>
      <c r="CT120" t="n">
        <v>152</v>
      </c>
      <c r="DD120" t="n">
        <v>8.93</v>
      </c>
      <c r="DE120" t="n">
        <v>320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EB120" t="n">
        <v>3</v>
      </c>
      <c r="EK120" t="n">
        <v>150</v>
      </c>
      <c r="EP120" t="n">
        <v>40</v>
      </c>
      <c r="EQ120" t="inlineStr">
        <is>
          <t>2A65 152 mm (twin)</t>
        </is>
      </c>
      <c r="EX120" t="n">
        <v>152</v>
      </c>
      <c r="EY120" t="n">
        <v>6.5</v>
      </c>
      <c r="EZ120" t="n">
        <v>0.8</v>
      </c>
      <c r="GB120" t="inlineStr">
        <is>
          <t>cal_152_155</t>
        </is>
      </c>
      <c r="GD120" t="inlineStr">
        <is>
          <t>Assets/MachineBrigade/Resources/Data/balance.json: weapons[135]</t>
        </is>
      </c>
      <c r="GE120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1">
      <c r="A121" t="inlineStr">
        <is>
          <t>gun_behemoth_guided</t>
        </is>
      </c>
      <c r="B121" t="inlineStr">
        <is>
          <t>2A65 152 mm guided (twin)</t>
        </is>
      </c>
      <c r="C121" t="inlineStr">
        <is>
          <t>cal_152_155</t>
        </is>
      </c>
      <c r="D121" t="inlineStr">
        <is>
          <t>guided</t>
        </is>
      </c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1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1</v>
      </c>
      <c r="AN121" t="n">
        <v>152</v>
      </c>
      <c r="AO121" t="n">
        <v>0</v>
      </c>
      <c r="AP121" t="inlineStr">
        <is>
          <t>T3</t>
        </is>
      </c>
      <c r="AQ121" t="inlineStr">
        <is>
          <t>gun_behemoth</t>
        </is>
      </c>
      <c r="AR121" t="inlineStr"/>
      <c r="AS121" t="inlineStr"/>
      <c r="AT121" t="inlineStr"/>
      <c r="AU121" t="n">
        <v>0</v>
      </c>
      <c r="AV121" t="inlineStr"/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1</v>
      </c>
      <c r="DE121" t="n">
        <v>320</v>
      </c>
      <c r="DF121" t="inlineStr">
        <is>
          <t>HighExplosive</t>
        </is>
      </c>
      <c r="DH121" t="b">
        <v>1</v>
      </c>
      <c r="DM121" t="inlineStr">
        <is>
          <t>armour</t>
        </is>
      </c>
      <c r="DN121" t="inlineStr">
        <is>
          <t>HeShell</t>
        </is>
      </c>
      <c r="DP121" t="b">
        <v>1</v>
      </c>
      <c r="DT121" t="inlineStr">
        <is>
          <t>gun_behemoth</t>
        </is>
      </c>
      <c r="EB121" t="n">
        <v>3</v>
      </c>
      <c r="EQ121" t="inlineStr">
        <is>
          <t>2A65 152 mm guided (twin)</t>
        </is>
      </c>
      <c r="ES121" t="inlineStr">
        <is>
          <t>guided</t>
        </is>
      </c>
      <c r="EU121" t="inlineStr">
        <is>
          <t>gun_behemoth</t>
        </is>
      </c>
      <c r="EZ121" t="n">
        <v>0</v>
      </c>
      <c r="FW121" t="inlineStr">
        <is>
          <t>Ground</t>
        </is>
      </c>
      <c r="GA121" t="inlineStr"/>
      <c r="GC121" t="inlineStr">
        <is>
          <t>guided</t>
        </is>
      </c>
      <c r="GD121" t="inlineStr">
        <is>
          <t>Assets/MachineBrigade/Resources/Data/balance.json: secondRounds.rounds[33]</t>
        </is>
      </c>
      <c r="GE121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2">
      <c r="A122" t="inlineStr">
        <is>
          <t>gun_launched_atgm</t>
        </is>
      </c>
      <c r="B122" t="inlineStr">
        <is>
          <t>gun-launched ATGM (9M117 class)</t>
        </is>
      </c>
      <c r="C122" t="inlineStr">
        <is>
          <t>atgm_gun_launched_atgm</t>
        </is>
      </c>
      <c r="D122" t="inlineStr"/>
      <c r="E122" t="inlineStr"/>
      <c r="F122" t="inlineStr">
        <is>
          <t>atgm</t>
        </is>
      </c>
      <c r="G122" t="inlineStr"/>
      <c r="H122" t="n">
        <v>4.5</v>
      </c>
      <c r="I122" t="inlineStr"/>
      <c r="J122" t="inlineStr"/>
      <c r="K122" t="inlineStr">
        <is>
          <t>ShapedCharge</t>
        </is>
      </c>
      <c r="L122" t="n">
        <v>3</v>
      </c>
      <c r="M122" t="inlineStr">
        <is>
          <t>Missile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20</v>
      </c>
      <c r="S122" t="n">
        <v>0</v>
      </c>
      <c r="T122" t="n">
        <v>0</v>
      </c>
      <c r="U122" t="n">
        <v>0</v>
      </c>
      <c r="V122" t="n">
        <v>0</v>
      </c>
      <c r="W122" t="n">
        <v>200</v>
      </c>
      <c r="X122" t="n">
        <v>0</v>
      </c>
      <c r="Y122" t="n">
        <v>0</v>
      </c>
      <c r="Z122" t="n">
        <v>90</v>
      </c>
      <c r="AA122" t="n">
        <v>34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Medium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24</v>
      </c>
      <c r="AO122" t="n">
        <v>0</v>
      </c>
      <c r="AP122" t="inlineStr">
        <is>
          <t>T2</t>
        </is>
      </c>
      <c r="AQ122" t="inlineStr"/>
      <c r="AR122" t="inlineStr"/>
      <c r="AS122" t="inlineStr">
        <is>
          <t>xe</t>
        </is>
      </c>
      <c r="AT122" t="inlineStr">
        <is>
          <t>light_tank</t>
        </is>
      </c>
      <c r="AU122" t="n">
        <v>1</v>
      </c>
      <c r="AV122" t="inlineStr">
        <is>
          <t>light_tank:2</t>
        </is>
      </c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0.3777777777777778</v>
      </c>
      <c r="BB122" t="n">
        <v>4</v>
      </c>
      <c r="BC122" t="n">
        <v>3</v>
      </c>
      <c r="BD122" t="inlineStr">
        <is>
          <t>atgm</t>
        </is>
      </c>
      <c r="BE122" t="inlineStr">
        <is>
          <t>the gun's own rate with a loaded missile, est. 4 rpm</t>
        </is>
      </c>
      <c r="BG122" t="inlineStr">
        <is>
          <t>doi</t>
        </is>
      </c>
      <c r="BR122" t="n">
        <v>22</v>
      </c>
      <c r="BS122" t="n">
        <v>90</v>
      </c>
      <c r="DD122" t="n">
        <v>20</v>
      </c>
      <c r="DE122" t="n">
        <v>200</v>
      </c>
      <c r="DF122" t="inlineStr">
        <is>
          <t>ShapedCharge</t>
        </is>
      </c>
      <c r="DJ122" t="inlineStr">
        <is>
          <t>atgm</t>
        </is>
      </c>
      <c r="DS122" t="inlineStr">
        <is>
          <t>Medium</t>
        </is>
      </c>
      <c r="EB122" t="n">
        <v>3</v>
      </c>
      <c r="EE122" t="b">
        <v>1</v>
      </c>
      <c r="EH122" t="inlineStr">
        <is>
          <t>Missile</t>
        </is>
      </c>
      <c r="EI122" t="inlineStr">
        <is>
          <t>atgm_kornet</t>
        </is>
      </c>
      <c r="EJ122" t="n">
        <v>0.7</v>
      </c>
      <c r="EK122" t="n">
        <v>90</v>
      </c>
      <c r="EP122" t="n">
        <v>34</v>
      </c>
      <c r="EQ122" t="inlineStr">
        <is>
          <t>gun-launched ATGM (9M117 class)</t>
        </is>
      </c>
      <c r="EX122" t="n">
        <v>24</v>
      </c>
      <c r="FZ122" t="n">
        <v>4.5</v>
      </c>
      <c r="GB122" t="inlineStr">
        <is>
          <t>atgm_gun_launched_atgm</t>
        </is>
      </c>
      <c r="GD122" t="inlineStr">
        <is>
          <t>Assets/MachineBrigade/Resources/Data/balance.json: weapons[14]</t>
        </is>
      </c>
      <c r="GE122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class)","family":"atgm","size":24,"warheadKg":4.5,"pen":3,"piercing":true,"projectileModel":"atgm_kornet","projectileScale":0.7,"damageType":"ShapedCharge","damage":200,"cooldown":20,"range":34,"projectileSpeed":90,"impactTier":"Medium","projectile":"Missile"}</t>
        </is>
      </c>
    </row>
    <row r="123">
      <c r="A123" t="inlineStr">
        <is>
          <t>gun_pit_105</t>
        </is>
      </c>
      <c r="B123" t="inlineStr">
        <is>
          <t>Rh-120 L/44 120 mm (dug in)</t>
        </is>
      </c>
      <c r="C123" t="inlineStr">
        <is>
          <t>cal_120_ap</t>
        </is>
      </c>
      <c r="D123" t="inlineStr"/>
      <c r="E123" t="inlineStr">
        <is>
          <t>rh_120_l_44_120_mm</t>
        </is>
      </c>
      <c r="F123" t="inlineStr">
        <is>
          <t>tank_gun</t>
        </is>
      </c>
      <c r="G123" t="n">
        <v>120</v>
      </c>
      <c r="H123" t="inlineStr"/>
      <c r="I123" t="inlineStr"/>
      <c r="J123" t="inlineStr"/>
      <c r="K123" t="inlineStr">
        <is>
          <t>Kinetic</t>
        </is>
      </c>
      <c r="L123" t="n">
        <v>4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4.63</v>
      </c>
      <c r="S123" t="n">
        <v>0</v>
      </c>
      <c r="T123" t="n">
        <v>0</v>
      </c>
      <c r="U123" t="n">
        <v>0</v>
      </c>
      <c r="V123" t="n">
        <v>0</v>
      </c>
      <c r="W123" t="n">
        <v>240</v>
      </c>
      <c r="X123" t="n">
        <v>1.5</v>
      </c>
      <c r="Y123" t="n">
        <v>0</v>
      </c>
      <c r="Z123" t="n">
        <v>170</v>
      </c>
      <c r="AA123" t="n">
        <v>36</v>
      </c>
      <c r="AB123" t="n">
        <v>0</v>
      </c>
      <c r="AC123" t="inlineStr">
        <is>
          <t>Ground</t>
        </is>
      </c>
      <c r="AD123" t="inlineStr"/>
      <c r="AE123" t="n">
        <v>0.4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120</v>
      </c>
      <c r="AO123" t="n">
        <v>0</v>
      </c>
      <c r="AP123" t="inlineStr">
        <is>
          <t>T3</t>
        </is>
      </c>
      <c r="AQ123" t="inlineStr"/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0.2117647058823529</v>
      </c>
      <c r="BB123" t="n">
        <v>8</v>
      </c>
      <c r="BC123" t="n">
        <v>6</v>
      </c>
      <c r="BD123" t="inlineStr">
        <is>
          <t>gun</t>
        </is>
      </c>
      <c r="BE123" t="inlineStr">
        <is>
          <t>the sheet's 'Ngoài đời': Rh-120 6-8 rpm with a loader (Wikipedia 'Rheinmetall 120 mm gun')</t>
        </is>
      </c>
      <c r="BG123" t="inlineStr">
        <is>
          <t>giong</t>
        </is>
      </c>
      <c r="CT123" t="n">
        <v>120</v>
      </c>
      <c r="DD123" t="n">
        <v>4.63</v>
      </c>
      <c r="DE123" t="n">
        <v>240</v>
      </c>
      <c r="DF123" t="inlineStr">
        <is>
          <t>Kinetic</t>
        </is>
      </c>
      <c r="DJ123" t="inlineStr">
        <is>
          <t>tank_gun</t>
        </is>
      </c>
      <c r="DS123" t="inlineStr">
        <is>
          <t>Medium</t>
        </is>
      </c>
      <c r="EB123" t="n">
        <v>4</v>
      </c>
      <c r="EE123" t="b">
        <v>1</v>
      </c>
      <c r="EP123" t="n">
        <v>36</v>
      </c>
      <c r="EQ123" t="inlineStr">
        <is>
          <t>Rh-120 L/44 120 mm (dug in)</t>
        </is>
      </c>
      <c r="EX123" t="n">
        <v>120</v>
      </c>
      <c r="EZ123" t="n">
        <v>0.4</v>
      </c>
      <c r="GA123" t="inlineStr">
        <is>
          <t>rh_120_l_44_120_mm</t>
        </is>
      </c>
      <c r="GB123" t="inlineStr">
        <is>
          <t>cal_120_ap</t>
        </is>
      </c>
      <c r="GD123" t="inlineStr">
        <is>
          <t>Assets/MachineBrigade/Resources/Data/balance.json: weapons[108]</t>
        </is>
      </c>
      <c r="GE123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4">
      <c r="A124" t="inlineStr">
        <is>
          <t>gunship_25mm</t>
        </is>
      </c>
      <c r="B124" t="inlineStr">
        <is>
          <t>GAU-12 Equalizer 25 mm</t>
        </is>
      </c>
      <c r="C124" t="inlineStr">
        <is>
          <t>cal_25</t>
        </is>
      </c>
      <c r="D124" t="inlineStr"/>
      <c r="E124" t="inlineStr"/>
      <c r="F124" t="inlineStr">
        <is>
          <t>autocannon</t>
        </is>
      </c>
      <c r="G124" t="n">
        <v>25</v>
      </c>
      <c r="H124" t="inlineStr"/>
      <c r="I124" t="inlineStr"/>
      <c r="J124" t="inlineStr"/>
      <c r="K124" t="inlineStr">
        <is>
          <t>Kinetic</t>
        </is>
      </c>
      <c r="L124" t="n">
        <v>2</v>
      </c>
      <c r="M124" t="inlineStr">
        <is>
          <t>Bullet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0.0911</v>
      </c>
      <c r="S124" t="n">
        <v>56</v>
      </c>
      <c r="T124" t="n">
        <v>1</v>
      </c>
      <c r="U124" t="n">
        <v>0</v>
      </c>
      <c r="V124" t="n">
        <v>0</v>
      </c>
      <c r="W124" t="n">
        <v>17</v>
      </c>
      <c r="X124" t="n">
        <v>0</v>
      </c>
      <c r="Y124" t="n">
        <v>0</v>
      </c>
      <c r="Z124" t="n">
        <v>280</v>
      </c>
      <c r="AA124" t="n">
        <v>50</v>
      </c>
      <c r="AB124" t="n">
        <v>0</v>
      </c>
      <c r="AC124" t="inlineStr">
        <is>
          <t>Ground</t>
        </is>
      </c>
      <c r="AD124" t="inlineStr"/>
      <c r="AE124" t="n">
        <v>2.2</v>
      </c>
      <c r="AF124" t="inlineStr">
        <is>
          <t>Small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25</v>
      </c>
      <c r="AO124" t="n">
        <v>0</v>
      </c>
      <c r="AP124" t="inlineStr">
        <is>
          <t>T1</t>
        </is>
      </c>
      <c r="AQ124" t="inlineStr"/>
      <c r="AR124" t="inlineStr">
        <is>
          <t>gunship_25mm_flak</t>
        </is>
      </c>
      <c r="AS124" t="inlineStr">
        <is>
          <t>xe</t>
        </is>
      </c>
      <c r="AT124" t="inlineStr">
        <is>
          <t>sky_gunship</t>
        </is>
      </c>
      <c r="AU124" t="n">
        <v>1</v>
      </c>
      <c r="AV124" t="inlineStr">
        <is>
          <t>sky_gunship:2</t>
        </is>
      </c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0.1785714285714286</v>
      </c>
      <c r="BB124" t="n">
        <v>4200</v>
      </c>
      <c r="BC124" t="inlineStr"/>
      <c r="BD124" t="inlineStr">
        <is>
          <t>ac</t>
        </is>
      </c>
      <c r="BE124" t="inlineStr">
        <is>
          <t>Wikipedia 'GAU-12 Equalizer': 3,600-4,200 rpm (1,800 on the AC-130U)</t>
        </is>
      </c>
      <c r="BG124" t="inlineStr">
        <is>
          <t>giong</t>
        </is>
      </c>
      <c r="CT124" t="n">
        <v>25</v>
      </c>
      <c r="CW124" t="n">
        <v>56</v>
      </c>
      <c r="CX124" t="n">
        <v>1</v>
      </c>
      <c r="DD124" t="n">
        <v>0.0911</v>
      </c>
      <c r="DE124" t="n">
        <v>17</v>
      </c>
      <c r="DF124" t="inlineStr">
        <is>
          <t>Kinetic</t>
        </is>
      </c>
      <c r="DJ124" t="inlineStr">
        <is>
          <t>autocannon</t>
        </is>
      </c>
      <c r="DS124" t="inlineStr">
        <is>
          <t>Small</t>
        </is>
      </c>
      <c r="EB124" t="n">
        <v>2</v>
      </c>
      <c r="EH124" t="inlineStr">
        <is>
          <t>Bullet</t>
        </is>
      </c>
      <c r="EK124" t="n">
        <v>280</v>
      </c>
      <c r="EP124" t="n">
        <v>50</v>
      </c>
      <c r="EQ124" t="inlineStr">
        <is>
          <t>GAU-12 Equalizer 25 mm</t>
        </is>
      </c>
      <c r="EV124" t="n">
        <v>19</v>
      </c>
      <c r="EX124" t="n">
        <v>25</v>
      </c>
      <c r="EZ124" t="n">
        <v>2.2</v>
      </c>
      <c r="GB124" t="inlineStr">
        <is>
          <t>cal_25</t>
        </is>
      </c>
      <c r="GD124" t="inlineStr">
        <is>
          <t>Assets/MachineBrigade/Resources/Data/balance.json: weapons[53]</t>
        </is>
      </c>
      <c r="GE124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5">
      <c r="A125" t="inlineStr">
        <is>
          <t>gunship_25mm_flak</t>
        </is>
      </c>
      <c r="B125" t="inlineStr">
        <is>
          <t>GAU-12 Equalizer 25 mm air-burst</t>
        </is>
      </c>
      <c r="C125" t="inlineStr">
        <is>
          <t>cal_25</t>
        </is>
      </c>
      <c r="D125" t="inlineStr">
        <is>
          <t>flak</t>
        </is>
      </c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Fragmentation</t>
        </is>
      </c>
      <c r="L125" t="n">
        <v>1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2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Air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>
        <is>
          <t>gunship_25mm</t>
        </is>
      </c>
      <c r="AR125" t="inlineStr"/>
      <c r="AS125" t="inlineStr"/>
      <c r="AT125" t="inlineStr"/>
      <c r="AU125" t="n">
        <v>0</v>
      </c>
      <c r="AV125" t="inlineStr"/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DE125" t="n">
        <v>17</v>
      </c>
      <c r="DF125" t="inlineStr">
        <is>
          <t>Fragmentation</t>
        </is>
      </c>
      <c r="DM125" t="inlineStr">
        <is>
          <t>air</t>
        </is>
      </c>
      <c r="DN125" t="inlineStr">
        <is>
          <t>Airburst</t>
        </is>
      </c>
      <c r="DT125" t="inlineStr">
        <is>
          <t>gunship_25mm</t>
        </is>
      </c>
      <c r="EB125" t="n">
        <v>1</v>
      </c>
      <c r="EE125" t="b">
        <v>0</v>
      </c>
      <c r="EQ125" t="inlineStr">
        <is>
          <t>GAU-12 Equalizer 25 mm air-burst</t>
        </is>
      </c>
      <c r="ES125" t="inlineStr">
        <is>
          <t>flak</t>
        </is>
      </c>
      <c r="EU125" t="inlineStr">
        <is>
          <t>gunship_25mm</t>
        </is>
      </c>
      <c r="EY125" t="n">
        <v>2</v>
      </c>
      <c r="FW125" t="inlineStr">
        <is>
          <t>Air</t>
        </is>
      </c>
      <c r="GA125" t="inlineStr"/>
      <c r="GC125" t="inlineStr">
        <is>
          <t>flak</t>
        </is>
      </c>
      <c r="GD125" t="inlineStr">
        <is>
          <t>Assets/MachineBrigade/Resources/Data/balance.json: secondRounds.rounds[35]</t>
        </is>
      </c>
      <c r="GE125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6">
      <c r="A126" t="inlineStr">
        <is>
          <t>gunship_40mm</t>
        </is>
      </c>
      <c r="B126" t="inlineStr">
        <is>
          <t>Bofors L/60 40 mm</t>
        </is>
      </c>
      <c r="C126" t="inlineStr">
        <is>
          <t>cal_40</t>
        </is>
      </c>
      <c r="D126" t="inlineStr">
        <is>
          <t>he</t>
        </is>
      </c>
      <c r="E126" t="inlineStr"/>
      <c r="F126" t="inlineStr">
        <is>
          <t>autocannon</t>
        </is>
      </c>
      <c r="G126" t="n">
        <v>40</v>
      </c>
      <c r="H126" t="inlineStr"/>
      <c r="I126" t="inlineStr"/>
      <c r="J126" t="inlineStr"/>
      <c r="K126" t="inlineStr">
        <is>
          <t>HighExplosive</t>
        </is>
      </c>
      <c r="L126" t="n">
        <v>2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0.1783</v>
      </c>
      <c r="S126" t="n">
        <v>29</v>
      </c>
      <c r="T126" t="n">
        <v>1</v>
      </c>
      <c r="U126" t="n">
        <v>0</v>
      </c>
      <c r="V126" t="n">
        <v>0</v>
      </c>
      <c r="W126" t="n">
        <v>30</v>
      </c>
      <c r="X126" t="n">
        <v>3</v>
      </c>
      <c r="Y126" t="n">
        <v>0</v>
      </c>
      <c r="Z126" t="n">
        <v>200</v>
      </c>
      <c r="AA126" t="n">
        <v>55</v>
      </c>
      <c r="AB126" t="n">
        <v>0</v>
      </c>
      <c r="AC126" t="inlineStr">
        <is>
          <t>Ground</t>
        </is>
      </c>
      <c r="AD126" t="inlineStr"/>
      <c r="AE126" t="n">
        <v>2.5</v>
      </c>
      <c r="AF126" t="inlineStr">
        <is>
          <t>Medium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40</v>
      </c>
      <c r="AO126" t="n">
        <v>0</v>
      </c>
      <c r="AP126" t="inlineStr">
        <is>
          <t>T1</t>
        </is>
      </c>
      <c r="AQ126" t="inlineStr"/>
      <c r="AR126" t="inlineStr">
        <is>
          <t>gunship_40mm_ap;gunship_40mm_flak</t>
        </is>
      </c>
      <c r="AS126" t="inlineStr">
        <is>
          <t>xe</t>
        </is>
      </c>
      <c r="AT126" t="inlineStr">
        <is>
          <t>sky_gunship</t>
        </is>
      </c>
      <c r="AU126" t="n">
        <v>1</v>
      </c>
      <c r="AV126" t="inlineStr">
        <is>
          <t>sky_gunship:1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0.275</v>
      </c>
      <c r="BB126" t="n">
        <v>120</v>
      </c>
      <c r="BC126" t="n">
        <v>80</v>
      </c>
      <c r="BD126" t="inlineStr">
        <is>
          <t>aa</t>
        </is>
      </c>
      <c r="BE126" t="inlineStr">
        <is>
          <t>Wikipedia 'Bofors 40 mm L/60': 120 rpm</t>
        </is>
      </c>
      <c r="BG126" t="inlineStr">
        <is>
          <t>giong</t>
        </is>
      </c>
      <c r="CT126" t="n">
        <v>40</v>
      </c>
      <c r="CW126" t="n">
        <v>29</v>
      </c>
      <c r="CX126" t="n">
        <v>1</v>
      </c>
      <c r="DD126" t="n">
        <v>0.1783</v>
      </c>
      <c r="DE126" t="n">
        <v>30</v>
      </c>
      <c r="DF126" t="inlineStr">
        <is>
          <t>HighExplosive</t>
        </is>
      </c>
      <c r="DJ126" t="inlineStr">
        <is>
          <t>autocannon</t>
        </is>
      </c>
      <c r="DN126" t="inlineStr">
        <is>
          <t>BeltedAutocannon</t>
        </is>
      </c>
      <c r="DS126" t="inlineStr">
        <is>
          <t>Medium</t>
        </is>
      </c>
      <c r="EB126" t="n">
        <v>2</v>
      </c>
      <c r="EK126" t="n">
        <v>200</v>
      </c>
      <c r="EP126" t="n">
        <v>55</v>
      </c>
      <c r="EQ126" t="inlineStr">
        <is>
          <t>Bofors L/60 40 mm</t>
        </is>
      </c>
      <c r="EV126" t="n">
        <v>79</v>
      </c>
      <c r="EX126" t="n">
        <v>40</v>
      </c>
      <c r="EY126" t="n">
        <v>3</v>
      </c>
      <c r="EZ126" t="n">
        <v>2.5</v>
      </c>
      <c r="GB126" t="inlineStr">
        <is>
          <t>cal_40</t>
        </is>
      </c>
      <c r="GC126" t="inlineStr">
        <is>
          <t>he</t>
        </is>
      </c>
      <c r="GD126" t="inlineStr">
        <is>
          <t>Assets/MachineBrigade/Resources/Data/balance.json: weapons[52]</t>
        </is>
      </c>
      <c r="GE126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7">
      <c r="A127" t="inlineStr">
        <is>
          <t>gunship_40mm_ap</t>
        </is>
      </c>
      <c r="B127" t="inlineStr">
        <is>
          <t>Bofors L/60 40 mm AP</t>
        </is>
      </c>
      <c r="C127" t="inlineStr">
        <is>
          <t>cal_40</t>
        </is>
      </c>
      <c r="D127" t="inlineStr"/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Kinetic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0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>
        <is>
          <t>gunship_40mm</t>
        </is>
      </c>
      <c r="AR127" t="inlineStr"/>
      <c r="AS127" t="inlineStr"/>
      <c r="AT127" t="inlineStr"/>
      <c r="AU127" t="n">
        <v>0</v>
      </c>
      <c r="AV127" t="inlineStr"/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DE127" t="n">
        <v>30</v>
      </c>
      <c r="DF127" t="inlineStr">
        <is>
          <t>Kinetic</t>
        </is>
      </c>
      <c r="DM127" t="inlineStr">
        <is>
          <t>armour</t>
        </is>
      </c>
      <c r="DN127" t="inlineStr">
        <is>
          <t>BeltedAutocannon</t>
        </is>
      </c>
      <c r="DT127" t="inlineStr">
        <is>
          <t>gunship_40mm</t>
        </is>
      </c>
      <c r="EB127" t="n">
        <v>2</v>
      </c>
      <c r="EE127" t="b">
        <v>1</v>
      </c>
      <c r="EQ127" t="inlineStr">
        <is>
          <t>Bofors L/60 40 mm AP</t>
        </is>
      </c>
      <c r="ES127" t="inlineStr">
        <is>
          <t>ap</t>
        </is>
      </c>
      <c r="EU127" t="inlineStr">
        <is>
          <t>gunship_40mm</t>
        </is>
      </c>
      <c r="EY127" t="n">
        <v>0</v>
      </c>
      <c r="FW127" t="inlineStr">
        <is>
          <t>Ground</t>
        </is>
      </c>
      <c r="GA127" t="inlineStr"/>
      <c r="GC127" t="inlineStr"/>
      <c r="GD127" t="inlineStr">
        <is>
          <t>Assets/MachineBrigade/Resources/Data/balance.json: secondRounds.rounds[36]</t>
        </is>
      </c>
      <c r="GE127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8">
      <c r="A128" t="inlineStr">
        <is>
          <t>gunship_40mm_flak</t>
        </is>
      </c>
      <c r="B128" t="inlineStr">
        <is>
          <t>Bofors L/60 40 mm air-burst</t>
        </is>
      </c>
      <c r="C128" t="inlineStr">
        <is>
          <t>cal_40</t>
        </is>
      </c>
      <c r="D128" t="inlineStr">
        <is>
          <t>flak</t>
        </is>
      </c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Fragmentation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3.5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Air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Fragmentation</t>
        </is>
      </c>
      <c r="DM128" t="inlineStr">
        <is>
          <t>air</t>
        </is>
      </c>
      <c r="DN128" t="inlineStr">
        <is>
          <t>Airburst</t>
        </is>
      </c>
      <c r="DT128" t="inlineStr">
        <is>
          <t>gunship_40mm</t>
        </is>
      </c>
      <c r="EB128" t="n">
        <v>2</v>
      </c>
      <c r="EE128" t="b">
        <v>0</v>
      </c>
      <c r="EQ128" t="inlineStr">
        <is>
          <t>Bofors L/60 40 mm air-burst</t>
        </is>
      </c>
      <c r="ES128" t="inlineStr">
        <is>
          <t>flak</t>
        </is>
      </c>
      <c r="EU128" t="inlineStr">
        <is>
          <t>gunship_40mm</t>
        </is>
      </c>
      <c r="EY128" t="n">
        <v>3.5</v>
      </c>
      <c r="FW128" t="inlineStr">
        <is>
          <t>Air</t>
        </is>
      </c>
      <c r="GA128" t="inlineStr"/>
      <c r="GC128" t="inlineStr">
        <is>
          <t>flak</t>
        </is>
      </c>
      <c r="GD128" t="inlineStr">
        <is>
          <t>Assets/MachineBrigade/Resources/Data/balance.json: secondRounds.rounds[37]</t>
        </is>
      </c>
      <c r="GE128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29">
      <c r="A129" t="inlineStr">
        <is>
          <t>gunship_105</t>
        </is>
      </c>
      <c r="B129" t="inlineStr">
        <is>
          <t>M102 105 mm</t>
        </is>
      </c>
      <c r="C129" t="inlineStr">
        <is>
          <t>cal_100_105_he</t>
        </is>
      </c>
      <c r="D129" t="inlineStr"/>
      <c r="E129" t="inlineStr"/>
      <c r="F129" t="inlineStr">
        <is>
          <t>howitzer</t>
        </is>
      </c>
      <c r="G129" t="n">
        <v>105</v>
      </c>
      <c r="H129" t="inlineStr"/>
      <c r="I129" t="inlineStr"/>
      <c r="J129" t="inlineStr"/>
      <c r="K129" t="inlineStr">
        <is>
          <t>HighExplosive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2.743</v>
      </c>
      <c r="S129" t="n">
        <v>0</v>
      </c>
      <c r="T129" t="n">
        <v>0</v>
      </c>
      <c r="U129" t="n">
        <v>0</v>
      </c>
      <c r="V129" t="n">
        <v>0</v>
      </c>
      <c r="W129" t="n">
        <v>200</v>
      </c>
      <c r="X129" t="n">
        <v>5.5</v>
      </c>
      <c r="Y129" t="n">
        <v>0</v>
      </c>
      <c r="Z129" t="n">
        <v>120</v>
      </c>
      <c r="AA129" t="n">
        <v>58</v>
      </c>
      <c r="AB129" t="n">
        <v>0</v>
      </c>
      <c r="AC129" t="inlineStr">
        <is>
          <t>Ground</t>
        </is>
      </c>
      <c r="AD129" t="inlineStr"/>
      <c r="AE129" t="n">
        <v>3</v>
      </c>
      <c r="AF129" t="inlineStr">
        <is>
          <t>Huge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105</v>
      </c>
      <c r="AO129" t="n">
        <v>0</v>
      </c>
      <c r="AP129" t="inlineStr">
        <is>
          <t>T2</t>
        </is>
      </c>
      <c r="AQ129" t="inlineStr"/>
      <c r="AR129" t="inlineStr">
        <is>
          <t>gunship_105_guided</t>
        </is>
      </c>
      <c r="AS129" t="inlineStr">
        <is>
          <t>boss_part;xe</t>
        </is>
      </c>
      <c r="AT129" t="inlineStr">
        <is>
          <t>pod_105;sky_gunship</t>
        </is>
      </c>
      <c r="AU129" t="n">
        <v>2</v>
      </c>
      <c r="AV129" t="inlineStr">
        <is>
          <t>pod_105:part;sky_gunship:0</t>
        </is>
      </c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0.4833333333333333</v>
      </c>
      <c r="BB129" t="n">
        <v>10</v>
      </c>
      <c r="BC129" t="n">
        <v>3</v>
      </c>
      <c r="BD129" t="inlineStr">
        <is>
          <t>gun</t>
        </is>
      </c>
      <c r="BE129" t="inlineStr">
        <is>
          <t>the sheet's 'Ngoài đời': M102 10 rpm (Wikipedia 'M102 howitzer')</t>
        </is>
      </c>
      <c r="BF129" t="inlineStr">
        <is>
          <t>shared with the player's AC-130: the player rule (Docs/balance/player_weapon_waitlist.md)</t>
        </is>
      </c>
      <c r="BG129" t="inlineStr">
        <is>
          <t>giong</t>
        </is>
      </c>
      <c r="CT129" t="n">
        <v>105</v>
      </c>
      <c r="DD129" t="n">
        <v>2.743</v>
      </c>
      <c r="DE129" t="n">
        <v>200</v>
      </c>
      <c r="DF129" t="inlineStr">
        <is>
          <t>HighExplosive</t>
        </is>
      </c>
      <c r="DJ129" t="inlineStr">
        <is>
          <t>howitzer</t>
        </is>
      </c>
      <c r="DS129" t="inlineStr">
        <is>
          <t>Huge</t>
        </is>
      </c>
      <c r="EB129" t="n">
        <v>2</v>
      </c>
      <c r="EK129" t="n">
        <v>120</v>
      </c>
      <c r="EP129" t="n">
        <v>58</v>
      </c>
      <c r="EQ129" t="inlineStr">
        <is>
          <t>M102 105 mm</t>
        </is>
      </c>
      <c r="EV129" t="n">
        <v>347</v>
      </c>
      <c r="EX129" t="n">
        <v>105</v>
      </c>
      <c r="EY129" t="n">
        <v>5.5</v>
      </c>
      <c r="EZ129" t="n">
        <v>3</v>
      </c>
      <c r="GB129" t="inlineStr">
        <is>
          <t>cal_100_105_he</t>
        </is>
      </c>
      <c r="GD129" t="inlineStr">
        <is>
          <t>Assets/MachineBrigade/Resources/Data/balance.json: weapons[51]</t>
        </is>
      </c>
      <c r="GE129" t="inlineStr">
        <is>
          <t>{"id":"gunship_105","weaponFamilyId":"cal_100_105_he","real":"M102 105 mm","family":"howitzer","size":105,"caliberMm":105,"pen":2,"damageType":"HighExplosive","damage":200,"cooldown":2.743,"range":58,"projectileSpeed":120,"splash":5.5,"spread":3,"impactTier":"Huge","roundWeight":347}</t>
        </is>
      </c>
    </row>
    <row r="130">
      <c r="A130" t="inlineStr">
        <is>
          <t>gunship_105_guided</t>
        </is>
      </c>
      <c r="B130" t="inlineStr">
        <is>
          <t>M102 105 mm guided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2.743</v>
      </c>
      <c r="S130" t="n">
        <v>0</v>
      </c>
      <c r="T130" t="n">
        <v>0</v>
      </c>
      <c r="U130" t="n">
        <v>0</v>
      </c>
      <c r="V130" t="n">
        <v>0</v>
      </c>
      <c r="W130" t="n">
        <v>200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0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1</v>
      </c>
      <c r="AN130" t="n">
        <v>105</v>
      </c>
      <c r="AO130" t="n">
        <v>0</v>
      </c>
      <c r="AP130" t="inlineStr">
        <is>
          <t>T2</t>
        </is>
      </c>
      <c r="AQ130" t="inlineStr">
        <is>
          <t>gunship_105</t>
        </is>
      </c>
      <c r="AR130" t="inlineStr"/>
      <c r="AS130" t="inlineStr"/>
      <c r="AT130" t="inlineStr"/>
      <c r="AU130" t="n">
        <v>0</v>
      </c>
      <c r="AV130" t="inlineStr"/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G130" t="inlineStr">
        <is>
          <t>giong</t>
        </is>
      </c>
      <c r="CR130" t="n">
        <v>1</v>
      </c>
      <c r="DE130" t="n">
        <v>200</v>
      </c>
      <c r="DF130" t="inlineStr">
        <is>
          <t>HighExplosive</t>
        </is>
      </c>
      <c r="DH130" t="b">
        <v>1</v>
      </c>
      <c r="DM130" t="inlineStr">
        <is>
          <t>armour</t>
        </is>
      </c>
      <c r="DN130" t="inlineStr">
        <is>
          <t>HeShell</t>
        </is>
      </c>
      <c r="DP130" t="b">
        <v>1</v>
      </c>
      <c r="DT130" t="inlineStr">
        <is>
          <t>gunship_105</t>
        </is>
      </c>
      <c r="EB130" t="n">
        <v>2</v>
      </c>
      <c r="EQ130" t="inlineStr">
        <is>
          <t>M102 105 mm guided</t>
        </is>
      </c>
      <c r="ES130" t="inlineStr">
        <is>
          <t>guided</t>
        </is>
      </c>
      <c r="EU130" t="inlineStr">
        <is>
          <t>gunship_105</t>
        </is>
      </c>
      <c r="EZ130" t="n">
        <v>0</v>
      </c>
      <c r="FW130" t="inlineStr">
        <is>
          <t>Ground</t>
        </is>
      </c>
      <c r="GA130" t="inlineStr"/>
      <c r="GD130" t="inlineStr">
        <is>
          <t>Assets/MachineBrigade/Resources/Data/balance.json: secondRounds.rounds[34]</t>
        </is>
      </c>
      <c r="GE130" t="inlineStr">
        <is>
          <t>{"id":"gunship_105_guided","roundOf":"gunship_105","inherits":"gunship_105","weaponFamily":"","round":"guided","for":["armour"],"elite":true,"real":"M102 105 mm guided","damageType":"HighExplosive","pen":2,"damage":200,"spread":0,"burst":1,"guided":true,"form":"HeShell","targets":"Ground"}</t>
        </is>
      </c>
    </row>
    <row r="131">
      <c r="A131" t="inlineStr">
        <is>
          <t>gunship_rockets</t>
        </is>
      </c>
      <c r="B131" t="inlineStr">
        <is>
          <t>S-8 80 mm</t>
        </is>
      </c>
      <c r="C131" t="inlineStr">
        <is>
          <t>rkt_70_80</t>
        </is>
      </c>
      <c r="D131" t="inlineStr"/>
      <c r="E131" t="inlineStr">
        <is>
          <t>s_8_80_mm</t>
        </is>
      </c>
      <c r="F131" t="inlineStr">
        <is>
          <t>rocket</t>
        </is>
      </c>
      <c r="G131" t="n">
        <v>80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Rocket</t>
        </is>
      </c>
      <c r="N131" t="n">
        <v>1</v>
      </c>
      <c r="O131" t="inlineStr">
        <is>
          <t>RIPPLE</t>
        </is>
      </c>
      <c r="P131" t="n">
        <v>16</v>
      </c>
      <c r="Q131" t="n">
        <v>0.1</v>
      </c>
      <c r="R131" t="n">
        <v>8.271000000000001</v>
      </c>
      <c r="S131" t="n">
        <v>0</v>
      </c>
      <c r="T131" t="n">
        <v>0</v>
      </c>
      <c r="U131" t="n">
        <v>0</v>
      </c>
      <c r="V131" t="n">
        <v>0</v>
      </c>
      <c r="W131" t="n">
        <v>32</v>
      </c>
      <c r="X131" t="n">
        <v>3</v>
      </c>
      <c r="Y131" t="n">
        <v>0</v>
      </c>
      <c r="Z131" t="n">
        <v>180</v>
      </c>
      <c r="AA131" t="n">
        <v>34</v>
      </c>
      <c r="AB131" t="n">
        <v>0</v>
      </c>
      <c r="AC131" t="inlineStr">
        <is>
          <t>Ground</t>
        </is>
      </c>
      <c r="AD131" t="inlineStr"/>
      <c r="AE131" t="n">
        <v>3.5</v>
      </c>
      <c r="AF131" t="inlineStr">
        <is>
          <t>Medium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0</v>
      </c>
      <c r="AN131" t="n">
        <v>80</v>
      </c>
      <c r="AO131" t="n">
        <v>32</v>
      </c>
      <c r="AP131" t="inlineStr">
        <is>
          <t>T2</t>
        </is>
      </c>
      <c r="AQ131" t="inlineStr"/>
      <c r="AR131" t="inlineStr"/>
      <c r="AS131" t="inlineStr">
        <is>
          <t>boss</t>
        </is>
      </c>
      <c r="AT131" t="inlineStr">
        <is>
          <t>mega_gunship</t>
        </is>
      </c>
      <c r="AU131" t="n">
        <v>1</v>
      </c>
      <c r="AV131" t="inlineStr">
        <is>
          <t>mega_gunship:0;mega_gunship:4</t>
        </is>
      </c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0.1888888888888889</v>
      </c>
      <c r="BB131" t="n">
        <v>900</v>
      </c>
      <c r="BC131" t="inlineStr"/>
      <c r="BD131" t="inlineStr">
        <is>
          <t>rocket</t>
        </is>
      </c>
      <c r="BE131" t="inlineStr">
        <is>
          <t>rocket pods: ripples of 0.05-0.12 s (DECISIONS 19R)</t>
        </is>
      </c>
      <c r="BG131" t="inlineStr">
        <is>
          <t>doi</t>
        </is>
      </c>
      <c r="BR131" t="n">
        <v>40</v>
      </c>
      <c r="BS131" t="n">
        <v>180</v>
      </c>
      <c r="CR131" t="n">
        <v>16</v>
      </c>
      <c r="CS131" t="n">
        <v>0.1</v>
      </c>
      <c r="CT131" t="n">
        <v>80</v>
      </c>
      <c r="DD131" t="n">
        <v>8.271000000000001</v>
      </c>
      <c r="DE131" t="n">
        <v>32</v>
      </c>
      <c r="DF131" t="inlineStr">
        <is>
          <t>HighExplosive</t>
        </is>
      </c>
      <c r="DJ131" t="inlineStr">
        <is>
          <t>rocket</t>
        </is>
      </c>
      <c r="DO131" t="n">
        <v>9</v>
      </c>
      <c r="DS131" t="inlineStr">
        <is>
          <t>Medium</t>
        </is>
      </c>
      <c r="DW131" t="n">
        <v>32</v>
      </c>
      <c r="EB131" t="n">
        <v>2</v>
      </c>
      <c r="EH131" t="inlineStr">
        <is>
          <t>Rocket</t>
        </is>
      </c>
      <c r="EJ131" t="n">
        <v>0.9</v>
      </c>
      <c r="EP131" t="n">
        <v>34</v>
      </c>
      <c r="EQ131" t="inlineStr">
        <is>
          <t>S-8 80 mm</t>
        </is>
      </c>
      <c r="EX131" t="n">
        <v>80</v>
      </c>
      <c r="EZ131" t="n">
        <v>3.5</v>
      </c>
      <c r="GA131" t="inlineStr">
        <is>
          <t>s_8_80_mm</t>
        </is>
      </c>
      <c r="GB131" t="inlineStr">
        <is>
          <t>rkt_70_80</t>
        </is>
      </c>
      <c r="GD131" t="inlineStr">
        <is>
          <t>Assets/MachineBrigade/Resources/Data/balance.json: weapons[35]</t>
        </is>
      </c>
      <c r="GE131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2">
      <c r="A132" t="inlineStr">
        <is>
          <t>hel_beam</t>
        </is>
      </c>
      <c r="B132" t="inlineStr">
        <is>
          <t>Iron Beam laser (100 kW)</t>
        </is>
      </c>
      <c r="C132" t="inlineStr">
        <is>
          <t>laser_iron_beam_laser</t>
        </is>
      </c>
      <c r="D132" t="inlineStr"/>
      <c r="E132" t="inlineStr"/>
      <c r="F132" t="inlineStr">
        <is>
          <t>laser</t>
        </is>
      </c>
      <c r="G132" t="inlineStr"/>
      <c r="H132" t="inlineStr"/>
      <c r="I132" t="n">
        <v>100</v>
      </c>
      <c r="J132" t="inlineStr"/>
      <c r="K132" t="inlineStr">
        <is>
          <t>Energy</t>
        </is>
      </c>
      <c r="L132" t="n">
        <v>2</v>
      </c>
      <c r="M132" t="inlineStr">
        <is>
          <t>Bullet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0.0525</v>
      </c>
      <c r="S132" t="n">
        <v>0</v>
      </c>
      <c r="T132" t="n">
        <v>0</v>
      </c>
      <c r="U132" t="n">
        <v>0</v>
      </c>
      <c r="V132" t="n">
        <v>0</v>
      </c>
      <c r="W132" t="n">
        <v>10</v>
      </c>
      <c r="X132" t="n">
        <v>0</v>
      </c>
      <c r="Y132" t="n">
        <v>0</v>
      </c>
      <c r="Z132" t="n">
        <v>3000</v>
      </c>
      <c r="AA132" t="n">
        <v>45</v>
      </c>
      <c r="AB132" t="n">
        <v>0</v>
      </c>
      <c r="AC132" t="inlineStr">
        <is>
          <t>Air</t>
        </is>
      </c>
      <c r="AD132" t="inlineStr"/>
      <c r="AE132" t="n">
        <v>0</v>
      </c>
      <c r="AF132" t="inlineStr">
        <is>
          <t>Small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1</v>
      </c>
      <c r="AM132" t="b">
        <v>0</v>
      </c>
      <c r="AN132" t="n">
        <v>100</v>
      </c>
      <c r="AO132" t="n">
        <v>0</v>
      </c>
      <c r="AP132" t="inlineStr">
        <is>
          <t>T1</t>
        </is>
      </c>
      <c r="AQ132" t="inlineStr"/>
      <c r="AR132" t="inlineStr"/>
      <c r="AS132" t="inlineStr">
        <is>
          <t>xe</t>
        </is>
      </c>
      <c r="AT132" t="inlineStr">
        <is>
          <t>iron_beam</t>
        </is>
      </c>
      <c r="AU132" t="n">
        <v>1</v>
      </c>
      <c r="AV132" t="inlineStr">
        <is>
          <t>iron_beam:0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0.015</v>
      </c>
      <c r="BB132" t="inlineStr">
        <is>
          <t>NEED_SOURCE</t>
        </is>
      </c>
      <c r="BC132" t="inlineStr">
        <is>
          <t>NEED_SOURCE</t>
        </is>
      </c>
      <c r="BE132" t="inlineStr">
        <is>
          <t>NEED_SOURCE</t>
        </is>
      </c>
      <c r="BG132" t="inlineStr">
        <is>
          <t>giong</t>
        </is>
      </c>
      <c r="CP132" t="b">
        <v>1</v>
      </c>
      <c r="DD132" t="n">
        <v>0.0525</v>
      </c>
      <c r="DE132" t="n">
        <v>10</v>
      </c>
      <c r="DF132" t="inlineStr">
        <is>
          <t>Energy</t>
        </is>
      </c>
      <c r="DJ132" t="inlineStr">
        <is>
          <t>laser</t>
        </is>
      </c>
      <c r="DS132" t="inlineStr">
        <is>
          <t>Small</t>
        </is>
      </c>
      <c r="EB132" t="n">
        <v>2</v>
      </c>
      <c r="EF132" t="n">
        <v>100</v>
      </c>
      <c r="EH132" t="inlineStr">
        <is>
          <t>Bullet</t>
        </is>
      </c>
      <c r="EK132" t="n">
        <v>3000</v>
      </c>
      <c r="EP132" t="n">
        <v>45</v>
      </c>
      <c r="EQ132" t="inlineStr">
        <is>
          <t>Iron Beam laser (100 kW)</t>
        </is>
      </c>
      <c r="EX132" t="n">
        <v>100</v>
      </c>
      <c r="FW132" t="inlineStr">
        <is>
          <t>Air</t>
        </is>
      </c>
      <c r="GB132" t="inlineStr">
        <is>
          <t>laser_iron_beam_laser</t>
        </is>
      </c>
      <c r="GD132" t="inlineStr">
        <is>
          <t>Assets/MachineBrigade/Resources/Data/balance.json: weapons[76]</t>
        </is>
      </c>
      <c r="GE132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3">
      <c r="A133" t="inlineStr">
        <is>
          <t>heli_gun</t>
        </is>
      </c>
      <c r="B133" t="inlineStr">
        <is>
          <t>M230 30 mm</t>
        </is>
      </c>
      <c r="C133" t="inlineStr">
        <is>
          <t>cal_30</t>
        </is>
      </c>
      <c r="D133" t="inlineStr"/>
      <c r="E133" t="inlineStr">
        <is>
          <t>m230_30_mm</t>
        </is>
      </c>
      <c r="F133" t="inlineStr">
        <is>
          <t>autocannon</t>
        </is>
      </c>
      <c r="G133" t="n">
        <v>30</v>
      </c>
      <c r="H133" t="inlineStr"/>
      <c r="I133" t="inlineStr"/>
      <c r="J133" t="inlineStr"/>
      <c r="K133" t="inlineStr">
        <is>
          <t>Kinetic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0.1667</v>
      </c>
      <c r="S133" t="n">
        <v>40</v>
      </c>
      <c r="T133" t="n">
        <v>3.1667</v>
      </c>
      <c r="U133" t="n">
        <v>0</v>
      </c>
      <c r="V133" t="n">
        <v>0</v>
      </c>
      <c r="W133" t="n">
        <v>22</v>
      </c>
      <c r="X133" t="n">
        <v>0</v>
      </c>
      <c r="Y133" t="n">
        <v>0</v>
      </c>
      <c r="Z133" t="n">
        <v>220</v>
      </c>
      <c r="AA133" t="n">
        <v>26</v>
      </c>
      <c r="AB133" t="n">
        <v>0</v>
      </c>
      <c r="AC133" t="inlineStr">
        <is>
          <t>All</t>
        </is>
      </c>
      <c r="AD133" t="inlineStr"/>
      <c r="AE133" t="n">
        <v>1.3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30</v>
      </c>
      <c r="AO133" t="n">
        <v>0</v>
      </c>
      <c r="AP133" t="inlineStr">
        <is>
          <t>T1</t>
        </is>
      </c>
      <c r="AQ133" t="inlineStr"/>
      <c r="AR133" t="inlineStr">
        <is>
          <t>heli_gun_flak</t>
        </is>
      </c>
      <c r="AS133" t="inlineStr">
        <is>
          <t>xe</t>
        </is>
      </c>
      <c r="AT133" t="inlineStr">
        <is>
          <t>attack_helicopter;elite_attack_helicopter;twin_rotor_gunship</t>
        </is>
      </c>
      <c r="AU133" t="n">
        <v>3</v>
      </c>
      <c r="AV133" t="inlineStr">
        <is>
          <t>attack_helicopter:1;elite_attack_helicopter:1;twin_rotor_gunship:0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0.1181818181818182</v>
      </c>
      <c r="BB133" t="n">
        <v>625</v>
      </c>
      <c r="BC133" t="n">
        <v>300</v>
      </c>
      <c r="BD133" t="inlineStr">
        <is>
          <t>ac</t>
        </is>
      </c>
      <c r="BE133" t="inlineStr">
        <is>
          <t>Wikipedia 'M230 chain gun': 625 rpm</t>
        </is>
      </c>
      <c r="BG133" t="inlineStr">
        <is>
          <t>giong</t>
        </is>
      </c>
      <c r="CT133" t="n">
        <v>30</v>
      </c>
      <c r="CW133" t="n">
        <v>40</v>
      </c>
      <c r="CX133" t="n">
        <v>3.1667</v>
      </c>
      <c r="DD133" t="n">
        <v>0.1667</v>
      </c>
      <c r="DE133" t="n">
        <v>22</v>
      </c>
      <c r="DF133" t="inlineStr">
        <is>
          <t>Kinetic</t>
        </is>
      </c>
      <c r="DJ133" t="inlineStr">
        <is>
          <t>autocannon</t>
        </is>
      </c>
      <c r="DS133" t="inlineStr">
        <is>
          <t>Small</t>
        </is>
      </c>
      <c r="EB133" t="n">
        <v>2</v>
      </c>
      <c r="EH133" t="inlineStr">
        <is>
          <t>Bullet</t>
        </is>
      </c>
      <c r="EP133" t="n">
        <v>26</v>
      </c>
      <c r="EQ133" t="inlineStr">
        <is>
          <t>M230 30 mm</t>
        </is>
      </c>
      <c r="EX133" t="n">
        <v>30</v>
      </c>
      <c r="EZ133" t="n">
        <v>1.3</v>
      </c>
      <c r="FW133" t="inlineStr">
        <is>
          <t>All</t>
        </is>
      </c>
      <c r="GA133" t="inlineStr">
        <is>
          <t>m230_30_mm</t>
        </is>
      </c>
      <c r="GB133" t="inlineStr">
        <is>
          <t>cal_30</t>
        </is>
      </c>
      <c r="GD133" t="inlineStr">
        <is>
          <t>Assets/MachineBrigade/Resources/Data/balance.json: weapons[23]</t>
        </is>
      </c>
      <c r="GE133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4">
      <c r="A134" t="inlineStr">
        <is>
          <t>heli_gun_flak</t>
        </is>
      </c>
      <c r="B134" t="inlineStr">
        <is>
          <t>M230 30 mm air-burst</t>
        </is>
      </c>
      <c r="C134" t="inlineStr">
        <is>
          <t>cal_30</t>
        </is>
      </c>
      <c r="D134" t="inlineStr">
        <is>
          <t>flak</t>
        </is>
      </c>
      <c r="E134" t="inlineStr">
        <is>
          <t>m230_30_mm_air_burst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Fragmentation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2.5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Air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>
        <is>
          <t>heli_gun</t>
        </is>
      </c>
      <c r="AR134" t="inlineStr"/>
      <c r="AS134" t="inlineStr"/>
      <c r="AT134" t="inlineStr"/>
      <c r="AU134" t="n">
        <v>0</v>
      </c>
      <c r="AV134" t="inlineStr"/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DE134" t="n">
        <v>22</v>
      </c>
      <c r="DF134" t="inlineStr">
        <is>
          <t>Fragmentation</t>
        </is>
      </c>
      <c r="DM134" t="inlineStr">
        <is>
          <t>air</t>
        </is>
      </c>
      <c r="DN134" t="inlineStr">
        <is>
          <t>Airburst</t>
        </is>
      </c>
      <c r="DT134" t="inlineStr">
        <is>
          <t>heli_gun</t>
        </is>
      </c>
      <c r="EB134" t="n">
        <v>2</v>
      </c>
      <c r="EE134" t="b">
        <v>0</v>
      </c>
      <c r="EQ134" t="inlineStr">
        <is>
          <t>M230 30 mm air-burst</t>
        </is>
      </c>
      <c r="ES134" t="inlineStr">
        <is>
          <t>flak</t>
        </is>
      </c>
      <c r="EU134" t="inlineStr">
        <is>
          <t>heli_gun</t>
        </is>
      </c>
      <c r="EY134" t="n">
        <v>2.5</v>
      </c>
      <c r="FW134" t="inlineStr">
        <is>
          <t>Air</t>
        </is>
      </c>
      <c r="GA134" t="inlineStr">
        <is>
          <t>m230_30_mm_air_burst</t>
        </is>
      </c>
      <c r="GC134" t="inlineStr">
        <is>
          <t>flak</t>
        </is>
      </c>
      <c r="GD134" t="inlineStr">
        <is>
          <t>Assets/MachineBrigade/Resources/Data/balance.json: secondRounds.rounds[38]</t>
        </is>
      </c>
      <c r="GE134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5">
      <c r="A135" t="inlineStr">
        <is>
          <t>heli_rockets</t>
        </is>
      </c>
      <c r="B135" t="inlineStr">
        <is>
          <t>Hydra 70 mm</t>
        </is>
      </c>
      <c r="C135" t="inlineStr">
        <is>
          <t>rkt_70_80</t>
        </is>
      </c>
      <c r="D135" t="inlineStr"/>
      <c r="E135" t="inlineStr">
        <is>
          <t>hydra_70_mm</t>
        </is>
      </c>
      <c r="F135" t="inlineStr">
        <is>
          <t>rocket</t>
        </is>
      </c>
      <c r="G135" t="n">
        <v>70</v>
      </c>
      <c r="H135" t="inlineStr"/>
      <c r="I135" t="inlineStr"/>
      <c r="J135" t="inlineStr"/>
      <c r="K135" t="inlineStr">
        <is>
          <t>HighExplosive</t>
        </is>
      </c>
      <c r="L135" t="n">
        <v>2</v>
      </c>
      <c r="M135" t="inlineStr">
        <is>
          <t>Rocket</t>
        </is>
      </c>
      <c r="N135" t="n">
        <v>1</v>
      </c>
      <c r="O135" t="inlineStr">
        <is>
          <t>RIPPLE</t>
        </is>
      </c>
      <c r="P135" t="n">
        <v>11</v>
      </c>
      <c r="Q135" t="n">
        <v>0.12</v>
      </c>
      <c r="R135" t="n">
        <v>7.31</v>
      </c>
      <c r="S135" t="n">
        <v>0</v>
      </c>
      <c r="T135" t="n">
        <v>0</v>
      </c>
      <c r="U135" t="n">
        <v>0</v>
      </c>
      <c r="V135" t="n">
        <v>0</v>
      </c>
      <c r="W135" t="n">
        <v>30</v>
      </c>
      <c r="X135" t="n">
        <v>3</v>
      </c>
      <c r="Y135" t="n">
        <v>0</v>
      </c>
      <c r="Z135" t="n">
        <v>180</v>
      </c>
      <c r="AA135" t="n">
        <v>30</v>
      </c>
      <c r="AB135" t="n">
        <v>0</v>
      </c>
      <c r="AC135" t="inlineStr">
        <is>
          <t>Ground</t>
        </is>
      </c>
      <c r="AD135" t="inlineStr"/>
      <c r="AE135" t="n">
        <v>3</v>
      </c>
      <c r="AF135" t="inlineStr">
        <is>
          <t>Medium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70</v>
      </c>
      <c r="AO135" t="n">
        <v>22</v>
      </c>
      <c r="AP135" t="inlineStr">
        <is>
          <t>T2</t>
        </is>
      </c>
      <c r="AQ135" t="inlineStr"/>
      <c r="AR135" t="inlineStr"/>
      <c r="AS135" t="inlineStr">
        <is>
          <t>xe</t>
        </is>
      </c>
      <c r="AT135" t="inlineStr">
        <is>
          <t>attack_helicopter;elite_attack_helicopter</t>
        </is>
      </c>
      <c r="AU135" t="n">
        <v>2</v>
      </c>
      <c r="AV135" t="inlineStr">
        <is>
          <t>attack_helicopter:2;elite_attack_helicopter:2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0.1666666666666667</v>
      </c>
      <c r="BB135" t="n">
        <v>900</v>
      </c>
      <c r="BC135" t="inlineStr"/>
      <c r="BD135" t="inlineStr">
        <is>
          <t>rocket</t>
        </is>
      </c>
      <c r="BE135" t="inlineStr">
        <is>
          <t>rocket pods: ripples of 0.05-0.12 s (DECISIONS 19R)</t>
        </is>
      </c>
      <c r="BG135" t="inlineStr">
        <is>
          <t>doi</t>
        </is>
      </c>
      <c r="BR135" t="n">
        <v>40</v>
      </c>
      <c r="BS135" t="n">
        <v>180</v>
      </c>
      <c r="CR135" t="n">
        <v>11</v>
      </c>
      <c r="CS135" t="n">
        <v>0.12</v>
      </c>
      <c r="CT135" t="n">
        <v>70</v>
      </c>
      <c r="DD135" t="n">
        <v>7.31</v>
      </c>
      <c r="DE135" t="n">
        <v>30</v>
      </c>
      <c r="DF135" t="inlineStr">
        <is>
          <t>HighExplosive</t>
        </is>
      </c>
      <c r="DJ135" t="inlineStr">
        <is>
          <t>rocket</t>
        </is>
      </c>
      <c r="DS135" t="inlineStr">
        <is>
          <t>Medium</t>
        </is>
      </c>
      <c r="DW135" t="n">
        <v>22</v>
      </c>
      <c r="EB135" t="n">
        <v>2</v>
      </c>
      <c r="EH135" t="inlineStr">
        <is>
          <t>Rocket</t>
        </is>
      </c>
      <c r="EP135" t="n">
        <v>30</v>
      </c>
      <c r="EQ135" t="inlineStr">
        <is>
          <t>Hydra 70 mm</t>
        </is>
      </c>
      <c r="EX135" t="n">
        <v>70</v>
      </c>
      <c r="EZ135" t="n">
        <v>3</v>
      </c>
      <c r="GA135" t="inlineStr">
        <is>
          <t>hydra_70_mm</t>
        </is>
      </c>
      <c r="GB135" t="inlineStr">
        <is>
          <t>rkt_70_80</t>
        </is>
      </c>
      <c r="GD135" t="inlineStr">
        <is>
          <t>Assets/MachineBrigade/Resources/Data/balance.json: weapons[24]</t>
        </is>
      </c>
      <c r="GE135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6">
      <c r="A136" t="inlineStr">
        <is>
          <t>hellfire_standoff</t>
        </is>
      </c>
      <c r="B136" t="inlineStr">
        <is>
          <t>AGM-114L Hellfire Longbow</t>
        </is>
      </c>
      <c r="C136" t="inlineStr">
        <is>
          <t>atgm_agm_114l_hellfire_longbow</t>
        </is>
      </c>
      <c r="D136" t="inlineStr"/>
      <c r="E136" t="inlineStr">
        <is>
          <t>agm_114_hellfire</t>
        </is>
      </c>
      <c r="F136" t="inlineStr">
        <is>
          <t>atgm</t>
        </is>
      </c>
      <c r="G136" t="inlineStr"/>
      <c r="H136" t="n">
        <v>9</v>
      </c>
      <c r="I136" t="inlineStr"/>
      <c r="J136" t="inlineStr"/>
      <c r="K136" t="inlineStr">
        <is>
          <t>ShapedCharge</t>
        </is>
      </c>
      <c r="L136" t="n">
        <v>4</v>
      </c>
      <c r="M136" t="inlineStr">
        <is>
          <t>Missile</t>
        </is>
      </c>
      <c r="N136" t="n">
        <v>1</v>
      </c>
      <c r="O136" t="inlineStr">
        <is>
          <t>RIPPLE</t>
        </is>
      </c>
      <c r="P136" t="n">
        <v>2</v>
      </c>
      <c r="Q136" t="n">
        <v>0.45</v>
      </c>
      <c r="R136" t="n">
        <v>7.55</v>
      </c>
      <c r="S136" t="n">
        <v>0</v>
      </c>
      <c r="T136" t="n">
        <v>0</v>
      </c>
      <c r="U136" t="n">
        <v>0</v>
      </c>
      <c r="V136" t="n">
        <v>0</v>
      </c>
      <c r="W136" t="n">
        <v>260</v>
      </c>
      <c r="X136" t="n">
        <v>0</v>
      </c>
      <c r="Y136" t="n">
        <v>0</v>
      </c>
      <c r="Z136" t="n">
        <v>110</v>
      </c>
      <c r="AA136" t="n">
        <v>55</v>
      </c>
      <c r="AB136" t="n">
        <v>0</v>
      </c>
      <c r="AC136" t="inlineStr">
        <is>
          <t>Ground</t>
        </is>
      </c>
      <c r="AD136" t="inlineStr"/>
      <c r="AE136" t="n">
        <v>0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49</v>
      </c>
      <c r="AO136" t="n">
        <v>8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</t>
        </is>
      </c>
      <c r="AU136" t="n">
        <v>1</v>
      </c>
      <c r="AV136" t="inlineStr">
        <is>
          <t>attack_helicopter:0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0.5</v>
      </c>
      <c r="BB136" t="n">
        <v>60</v>
      </c>
      <c r="BC136" t="n">
        <v>10</v>
      </c>
      <c r="BD136" t="inlineStr">
        <is>
          <t>atgm</t>
        </is>
      </c>
      <c r="BE136" t="inlineStr">
        <is>
          <t>air-launched: ripples ~1 s apart, est. 6 s an aimed shot</t>
        </is>
      </c>
      <c r="BG136" t="inlineStr">
        <is>
          <t>doi</t>
        </is>
      </c>
      <c r="BR136" t="n">
        <v>26</v>
      </c>
      <c r="BS136" t="n">
        <v>110</v>
      </c>
      <c r="CR136" t="n">
        <v>2</v>
      </c>
      <c r="CS136" t="n">
        <v>0.45</v>
      </c>
      <c r="DD136" t="n">
        <v>7.55</v>
      </c>
      <c r="DE136" t="n">
        <v>260</v>
      </c>
      <c r="DF136" t="inlineStr">
        <is>
          <t>ShapedCharge</t>
        </is>
      </c>
      <c r="DJ136" t="inlineStr">
        <is>
          <t>atgm</t>
        </is>
      </c>
      <c r="DS136" t="inlineStr">
        <is>
          <t>Medium</t>
        </is>
      </c>
      <c r="DW136" t="n">
        <v>8</v>
      </c>
      <c r="EB136" t="n">
        <v>4</v>
      </c>
      <c r="EE136" t="b">
        <v>1</v>
      </c>
      <c r="EH136" t="inlineStr">
        <is>
          <t>Missile</t>
        </is>
      </c>
      <c r="EJ136" t="n">
        <v>0.65</v>
      </c>
      <c r="EP136" t="n">
        <v>55</v>
      </c>
      <c r="EQ136" t="inlineStr">
        <is>
          <t>AGM-114L Hellfire Longbow</t>
        </is>
      </c>
      <c r="EX136" t="n">
        <v>49</v>
      </c>
      <c r="FW136" t="inlineStr">
        <is>
          <t>Ground</t>
        </is>
      </c>
      <c r="FZ136" t="n">
        <v>9</v>
      </c>
      <c r="GA136" t="inlineStr">
        <is>
          <t>agm_114_hellfire</t>
        </is>
      </c>
      <c r="GB136" t="inlineStr">
        <is>
          <t>atgm_agm_114l_hellfire_longbow</t>
        </is>
      </c>
      <c r="GD136" t="inlineStr">
        <is>
          <t>Assets/MachineBrigade/Resources/Data/balance.json: weapons[249]</t>
        </is>
      </c>
      <c r="GE136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37">
      <c r="A137" t="inlineStr">
        <is>
          <t>hellfire_volley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10.64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45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elite_attack_helicopter</t>
        </is>
      </c>
      <c r="AU137" t="n">
        <v>1</v>
      </c>
      <c r="AV137" t="inlineStr">
        <is>
          <t>elite_attack_helicopter:0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0.4090909090909091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10.64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45</v>
      </c>
      <c r="EQ137" t="inlineStr">
        <is>
          <t>AGM-114L Hellfire Longbow</t>
        </is>
      </c>
      <c r="EX137" t="n">
        <v>49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weapons[94]</t>
        </is>
      </c>
      <c r="GE137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8">
      <c r="A138" t="inlineStr">
        <is>
          <t>hind_rockets</t>
        </is>
      </c>
      <c r="B138" t="inlineStr">
        <is>
          <t>S-8 80 mm</t>
        </is>
      </c>
      <c r="C138" t="inlineStr">
        <is>
          <t>rkt_70_80</t>
        </is>
      </c>
      <c r="D138" t="inlineStr"/>
      <c r="E138" t="inlineStr">
        <is>
          <t>s_8_80_mm</t>
        </is>
      </c>
      <c r="F138" t="inlineStr">
        <is>
          <t>rocket</t>
        </is>
      </c>
      <c r="G138" t="n">
        <v>80</v>
      </c>
      <c r="H138" t="inlineStr"/>
      <c r="I138" t="inlineStr"/>
      <c r="J138" t="inlineStr"/>
      <c r="K138" t="inlineStr">
        <is>
          <t>HighExplosive</t>
        </is>
      </c>
      <c r="L138" t="n">
        <v>2</v>
      </c>
      <c r="M138" t="inlineStr">
        <is>
          <t>Rocket</t>
        </is>
      </c>
      <c r="N138" t="n">
        <v>1</v>
      </c>
      <c r="O138" t="inlineStr">
        <is>
          <t>RIPPLE</t>
        </is>
      </c>
      <c r="P138" t="n">
        <v>38</v>
      </c>
      <c r="Q138" t="n">
        <v>0.07000000000000001</v>
      </c>
      <c r="R138" t="n">
        <v>6.86</v>
      </c>
      <c r="S138" t="n">
        <v>0</v>
      </c>
      <c r="T138" t="n">
        <v>0</v>
      </c>
      <c r="U138" t="n">
        <v>0</v>
      </c>
      <c r="V138" t="n">
        <v>0</v>
      </c>
      <c r="W138" t="n">
        <v>32</v>
      </c>
      <c r="X138" t="n">
        <v>3</v>
      </c>
      <c r="Y138" t="n">
        <v>0</v>
      </c>
      <c r="Z138" t="n">
        <v>180</v>
      </c>
      <c r="AA138" t="n">
        <v>36</v>
      </c>
      <c r="AB138" t="n">
        <v>0</v>
      </c>
      <c r="AC138" t="inlineStr">
        <is>
          <t>Ground</t>
        </is>
      </c>
      <c r="AD138" t="inlineStr"/>
      <c r="AE138" t="n">
        <v>3.5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80</v>
      </c>
      <c r="AO138" t="n">
        <v>0</v>
      </c>
      <c r="AP138" t="inlineStr">
        <is>
          <t>T2</t>
        </is>
      </c>
      <c r="AQ138" t="inlineStr"/>
      <c r="AR138" t="inlineStr"/>
      <c r="AS138" t="inlineStr"/>
      <c r="AT138" t="inlineStr"/>
      <c r="AU138" t="n">
        <v>0</v>
      </c>
      <c r="AV138" t="inlineStr"/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0.2</v>
      </c>
      <c r="BB138" t="n">
        <v>900</v>
      </c>
      <c r="BC138" t="inlineStr"/>
      <c r="BD138" t="inlineStr">
        <is>
          <t>rocket</t>
        </is>
      </c>
      <c r="BE138" t="inlineStr">
        <is>
          <t>rocket pods: ripples of 0.05-0.12 s (DECISIONS 19R)</t>
        </is>
      </c>
      <c r="BG138" t="inlineStr">
        <is>
          <t>doi</t>
        </is>
      </c>
      <c r="BR138" t="n">
        <v>40</v>
      </c>
      <c r="BS138" t="n">
        <v>180</v>
      </c>
      <c r="CR138" t="n">
        <v>38</v>
      </c>
      <c r="CS138" t="n">
        <v>0.07000000000000001</v>
      </c>
      <c r="CT138" t="n">
        <v>80</v>
      </c>
      <c r="DD138" t="n">
        <v>6.86</v>
      </c>
      <c r="DE138" t="n">
        <v>32</v>
      </c>
      <c r="DF138" t="inlineStr">
        <is>
          <t>HighExplosive</t>
        </is>
      </c>
      <c r="DJ138" t="inlineStr">
        <is>
          <t>rocket</t>
        </is>
      </c>
      <c r="DS138" t="inlineStr">
        <is>
          <t>Medium</t>
        </is>
      </c>
      <c r="EB138" t="n">
        <v>2</v>
      </c>
      <c r="EH138" t="inlineStr">
        <is>
          <t>Rocket</t>
        </is>
      </c>
      <c r="EJ138" t="n">
        <v>0.9</v>
      </c>
      <c r="EP138" t="n">
        <v>36</v>
      </c>
      <c r="EQ138" t="inlineStr">
        <is>
          <t>S-8 80 mm</t>
        </is>
      </c>
      <c r="EX138" t="n">
        <v>80</v>
      </c>
      <c r="EZ138" t="n">
        <v>3.5</v>
      </c>
      <c r="GA138" t="inlineStr">
        <is>
          <t>s_8_80_mm</t>
        </is>
      </c>
      <c r="GB138" t="inlineStr">
        <is>
          <t>rkt_70_80</t>
        </is>
      </c>
      <c r="GD138" t="inlineStr">
        <is>
          <t>Assets/MachineBrigade/Resources/Data/balance.json: weapons[84]</t>
        </is>
      </c>
      <c r="GE138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39">
      <c r="A139" t="inlineStr">
        <is>
          <t>hmg_roof</t>
        </is>
      </c>
      <c r="B139" t="inlineStr">
        <is>
          <t>M2 Browning 12.7 mm</t>
        </is>
      </c>
      <c r="C139" t="inlineStr">
        <is>
          <t>cal_12_7</t>
        </is>
      </c>
      <c r="D139" t="inlineStr"/>
      <c r="E139" t="inlineStr">
        <is>
          <t>m2_browning_12_7_mm</t>
        </is>
      </c>
      <c r="F139" t="inlineStr">
        <is>
          <t>mg</t>
        </is>
      </c>
      <c r="G139" t="n">
        <v>12.7</v>
      </c>
      <c r="H139" t="inlineStr"/>
      <c r="I139" t="inlineStr"/>
      <c r="J139" t="inlineStr"/>
      <c r="K139" t="inlineStr">
        <is>
          <t>Kinetic</t>
        </is>
      </c>
      <c r="L139" t="n">
        <v>1</v>
      </c>
      <c r="M139" t="inlineStr">
        <is>
          <t>Bullet</t>
        </is>
      </c>
      <c r="N139" t="n">
        <v>1</v>
      </c>
      <c r="O139" t="inlineStr">
        <is>
          <t>RIPPLE</t>
        </is>
      </c>
      <c r="P139" t="n">
        <v>1</v>
      </c>
      <c r="Q139" t="n">
        <v>0.1</v>
      </c>
      <c r="R139" t="n">
        <v>0.1111</v>
      </c>
      <c r="S139" t="n">
        <v>100</v>
      </c>
      <c r="T139" t="n">
        <v>5.1111</v>
      </c>
      <c r="U139" t="n">
        <v>0</v>
      </c>
      <c r="V139" t="n">
        <v>0</v>
      </c>
      <c r="W139" t="n">
        <v>9.5</v>
      </c>
      <c r="X139" t="n">
        <v>0</v>
      </c>
      <c r="Y139" t="n">
        <v>0</v>
      </c>
      <c r="Z139" t="n">
        <v>230</v>
      </c>
      <c r="AA139" t="n">
        <v>30</v>
      </c>
      <c r="AB139" t="n">
        <v>0</v>
      </c>
      <c r="AC139" t="inlineStr">
        <is>
          <t>All</t>
        </is>
      </c>
      <c r="AD139" t="inlineStr"/>
      <c r="AE139" t="n">
        <v>1.3</v>
      </c>
      <c r="AF139" t="inlineStr">
        <is>
          <t>Small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12.7</v>
      </c>
      <c r="AO139" t="n">
        <v>0</v>
      </c>
      <c r="AP139" t="inlineStr">
        <is>
          <t>T0</t>
        </is>
      </c>
      <c r="AQ139" t="inlineStr"/>
      <c r="AR139" t="inlineStr">
        <is>
          <t>hmg_roof_api</t>
        </is>
      </c>
      <c r="AS139" t="inlineStr">
        <is>
          <t>thap;xe</t>
        </is>
      </c>
      <c r="AT139" t="inlineStr">
        <is>
          <t>armored_bulldozer;elite_heavy_tank;elite_mbt;elite_tank_destroyer;heavy_tank;heavy_turret.bastion;landing_craft;main_battle_tank;missile_boat;tank_destroyer;titan_tank;twin_tank;wheeled_gun</t>
        </is>
      </c>
      <c r="AU139" t="n">
        <v>13</v>
      </c>
      <c r="AV139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0.1304347826086956</v>
      </c>
      <c r="BB139" t="n">
        <v>600</v>
      </c>
      <c r="BC139" t="n">
        <v>40</v>
      </c>
      <c r="BD139" t="inlineStr">
        <is>
          <t>mg</t>
        </is>
      </c>
      <c r="BE139" t="inlineStr">
        <is>
          <t>US Army FM 3-22.65: cyclic 450-600, rapid 40 rpm</t>
        </is>
      </c>
      <c r="BG139" t="inlineStr">
        <is>
          <t>giong</t>
        </is>
      </c>
      <c r="CT139" t="n">
        <v>12.7</v>
      </c>
      <c r="CW139" t="n">
        <v>100</v>
      </c>
      <c r="CX139" t="n">
        <v>5.1111</v>
      </c>
      <c r="DD139" t="n">
        <v>0.1111</v>
      </c>
      <c r="DE139" t="n">
        <v>9.5</v>
      </c>
      <c r="DF139" t="inlineStr">
        <is>
          <t>Kinetic</t>
        </is>
      </c>
      <c r="DJ139" t="inlineStr">
        <is>
          <t>mg</t>
        </is>
      </c>
      <c r="DS139" t="inlineStr">
        <is>
          <t>Small</t>
        </is>
      </c>
      <c r="EB139" t="n">
        <v>1</v>
      </c>
      <c r="EH139" t="inlineStr">
        <is>
          <t>Bullet</t>
        </is>
      </c>
      <c r="EP139" t="n">
        <v>30</v>
      </c>
      <c r="EQ139" t="inlineStr">
        <is>
          <t>M2 Browning 12.7 mm</t>
        </is>
      </c>
      <c r="EX139" t="n">
        <v>12.7</v>
      </c>
      <c r="EZ139" t="n">
        <v>1.3</v>
      </c>
      <c r="FW139" t="inlineStr">
        <is>
          <t>All</t>
        </is>
      </c>
      <c r="GA139" t="inlineStr">
        <is>
          <t>m2_browning_12_7_mm</t>
        </is>
      </c>
      <c r="GB139" t="inlineStr">
        <is>
          <t>cal_12_7</t>
        </is>
      </c>
      <c r="GD139" t="inlineStr">
        <is>
          <t>Assets/MachineBrigade/Resources/Data/balance.json: weapons[2]</t>
        </is>
      </c>
      <c r="GE139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0">
      <c r="A140" t="inlineStr">
        <is>
          <t>hmg_roof_api</t>
        </is>
      </c>
      <c r="B140" t="inlineStr">
        <is>
          <t>M2 Browning 12.7 mm API</t>
        </is>
      </c>
      <c r="C140" t="inlineStr">
        <is>
          <t>cal_12_7</t>
        </is>
      </c>
      <c r="D140" t="inlineStr"/>
      <c r="E140" t="inlineStr">
        <is>
          <t>m2_browning_12_7_mm_api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2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>
        <is>
          <t>hmg_roof</t>
        </is>
      </c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DE140" t="n">
        <v>9.5</v>
      </c>
      <c r="DF140" t="inlineStr">
        <is>
          <t>Kinetic</t>
        </is>
      </c>
      <c r="DH140" t="b">
        <v>1</v>
      </c>
      <c r="DM140" t="inlineStr">
        <is>
          <t>any</t>
        </is>
      </c>
      <c r="DN140" t="inlineStr">
        <is>
          <t>BulletBig</t>
        </is>
      </c>
      <c r="DT140" t="inlineStr">
        <is>
          <t>hmg_roof</t>
        </is>
      </c>
      <c r="EB140" t="n">
        <v>2</v>
      </c>
      <c r="EE140" t="b">
        <v>1</v>
      </c>
      <c r="EQ140" t="inlineStr">
        <is>
          <t>M2 Browning 12.7 mm API</t>
        </is>
      </c>
      <c r="ES140" t="inlineStr">
        <is>
          <t>api</t>
        </is>
      </c>
      <c r="EU140" t="inlineStr">
        <is>
          <t>hmg_roof</t>
        </is>
      </c>
      <c r="GA140" t="inlineStr">
        <is>
          <t>m2_browning_12_7_mm_api</t>
        </is>
      </c>
      <c r="GD140" t="inlineStr">
        <is>
          <t>Assets/MachineBrigade/Resources/Data/balance.json: secondRounds.rounds[39]</t>
        </is>
      </c>
      <c r="GE140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1">
      <c r="A141" t="inlineStr">
        <is>
          <t>hmg_selfdef_15</t>
        </is>
      </c>
      <c r="B141" t="inlineStr">
        <is>
          <t>M2 Browning 12.7 mm</t>
        </is>
      </c>
      <c r="C141" t="inlineStr">
        <is>
          <t>cal_12_7</t>
        </is>
      </c>
      <c r="D141" t="inlineStr"/>
      <c r="E141" t="inlineStr">
        <is>
          <t>m2_browning_12_7_mm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1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15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>
        <is>
          <t>hmg_selfdef_15_api</t>
        </is>
      </c>
      <c r="AS141" t="inlineStr">
        <is>
          <t>xe</t>
        </is>
      </c>
      <c r="AT141" t="inlineStr">
        <is>
          <t>ammo_carrier;artillery;command_vehicle;demolition_line_vehicle;elite_artillery;elite_grad;elite_mlrs;engineer_vehicle;ew_jammer;gps_jammer_vehicle;mine_layer;shahed_truck;shield_carrier</t>
        </is>
      </c>
      <c r="AU141" t="n">
        <v>13</v>
      </c>
      <c r="AV141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0.06521739130434782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T141" t="inlineStr">
        <is>
          <t>hmg_roof</t>
        </is>
      </c>
      <c r="EP141" t="n">
        <v>15</v>
      </c>
      <c r="GA141" t="inlineStr">
        <is>
          <t>m2_browning_12_7_mm</t>
        </is>
      </c>
      <c r="GD141" t="inlineStr">
        <is>
          <t>Assets/MachineBrigade/Resources/Data/balance.json: weapons[5]</t>
        </is>
      </c>
      <c r="GE141" t="inlineStr">
        <is>
          <t>{"id":"hmg_selfdef_15","weaponFamily":"m2_browning_12_7_mm","inherits":"hmg_roof","range":15}</t>
        </is>
      </c>
    </row>
    <row r="142">
      <c r="A142" t="inlineStr">
        <is>
          <t>hmg_selfdef_15_api</t>
        </is>
      </c>
      <c r="B142" t="inlineStr">
        <is>
          <t>M2 Browning 12.7 mm API</t>
        </is>
      </c>
      <c r="C142" t="inlineStr">
        <is>
          <t>cal_12_7</t>
        </is>
      </c>
      <c r="D142" t="inlineStr"/>
      <c r="E142" t="inlineStr">
        <is>
          <t>m2_browning_12_7_mm_api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2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hmg_selfdef_15</t>
        </is>
      </c>
      <c r="AR142" t="inlineStr"/>
      <c r="AS142" t="inlineStr"/>
      <c r="AT142" t="inlineStr"/>
      <c r="AU142" t="n">
        <v>0</v>
      </c>
      <c r="AV142" t="inlineStr"/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E142" t="n">
        <v>9.5</v>
      </c>
      <c r="DF142" t="inlineStr">
        <is>
          <t>Kinetic</t>
        </is>
      </c>
      <c r="DH142" t="b">
        <v>1</v>
      </c>
      <c r="DM142" t="inlineStr">
        <is>
          <t>any</t>
        </is>
      </c>
      <c r="DN142" t="inlineStr">
        <is>
          <t>BulletBig</t>
        </is>
      </c>
      <c r="DT142" t="inlineStr">
        <is>
          <t>hmg_selfdef_15</t>
        </is>
      </c>
      <c r="EB142" t="n">
        <v>2</v>
      </c>
      <c r="EE142" t="b">
        <v>1</v>
      </c>
      <c r="EQ142" t="inlineStr">
        <is>
          <t>M2 Browning 12.7 mm API</t>
        </is>
      </c>
      <c r="ES142" t="inlineStr">
        <is>
          <t>api</t>
        </is>
      </c>
      <c r="EU142" t="inlineStr">
        <is>
          <t>hmg_selfdef_15</t>
        </is>
      </c>
      <c r="GA142" t="inlineStr">
        <is>
          <t>m2_browning_12_7_mm_api</t>
        </is>
      </c>
      <c r="GD142" t="inlineStr">
        <is>
          <t>Assets/MachineBrigade/Resources/Data/balance.json: secondRounds.rounds[40]</t>
        </is>
      </c>
      <c r="GE142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3">
      <c r="A143" t="inlineStr">
        <is>
          <t>hmg_selfdef_18</t>
        </is>
      </c>
      <c r="B143" t="inlineStr">
        <is>
          <t>M2 Browning 12.7 mm</t>
        </is>
      </c>
      <c r="C143" t="inlineStr">
        <is>
          <t>cal_12_7</t>
        </is>
      </c>
      <c r="D143" t="inlineStr"/>
      <c r="E143" t="inlineStr">
        <is>
          <t>m2_browning_12_7_mm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1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18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hmg_roof</t>
        </is>
      </c>
      <c r="AR143" t="inlineStr">
        <is>
          <t>hmg_selfdef_18_api</t>
        </is>
      </c>
      <c r="AS143" t="inlineStr">
        <is>
          <t>xe</t>
        </is>
      </c>
      <c r="AT143" t="inlineStr">
        <is>
          <t>elite_fpv_carrier;fpv_carrier;mortar_carrier;sp_mortar;thermobaric_launcher</t>
        </is>
      </c>
      <c r="AU143" t="n">
        <v>5</v>
      </c>
      <c r="AV143" t="inlineStr">
        <is>
          <t>elite_fpv_carrier:1;fpv_carrier:1;mortar_carrier:1;sp_mortar:1;thermobaric_launcher:1</t>
        </is>
      </c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0.0782608695652174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T143" t="inlineStr">
        <is>
          <t>hmg_roof</t>
        </is>
      </c>
      <c r="EP143" t="n">
        <v>18</v>
      </c>
      <c r="GA143" t="inlineStr">
        <is>
          <t>m2_browning_12_7_mm</t>
        </is>
      </c>
      <c r="GD143" t="inlineStr">
        <is>
          <t>Assets/MachineBrigade/Resources/Data/balance.json: weapons[4]</t>
        </is>
      </c>
      <c r="GE143" t="inlineStr">
        <is>
          <t>{"id":"hmg_selfdef_18","weaponFamily":"m2_browning_12_7_mm","inherits":"hmg_roof","range":18}</t>
        </is>
      </c>
    </row>
    <row r="144">
      <c r="A144" t="inlineStr">
        <is>
          <t>hmg_selfdef_18_api</t>
        </is>
      </c>
      <c r="B144" t="inlineStr">
        <is>
          <t>M2 Browning 12.7 mm API</t>
        </is>
      </c>
      <c r="C144" t="inlineStr">
        <is>
          <t>cal_12_7</t>
        </is>
      </c>
      <c r="D144" t="inlineStr"/>
      <c r="E144" t="inlineStr">
        <is>
          <t>m2_browning_12_7_mm_api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2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hmg_selfdef_18</t>
        </is>
      </c>
      <c r="AR144" t="inlineStr"/>
      <c r="AS144" t="inlineStr"/>
      <c r="AT144" t="inlineStr"/>
      <c r="AU144" t="n">
        <v>0</v>
      </c>
      <c r="AV144" t="inlineStr"/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E144" t="n">
        <v>9.5</v>
      </c>
      <c r="DF144" t="inlineStr">
        <is>
          <t>Kinetic</t>
        </is>
      </c>
      <c r="DH144" t="b">
        <v>1</v>
      </c>
      <c r="DM144" t="inlineStr">
        <is>
          <t>any</t>
        </is>
      </c>
      <c r="DN144" t="inlineStr">
        <is>
          <t>BulletBig</t>
        </is>
      </c>
      <c r="DT144" t="inlineStr">
        <is>
          <t>hmg_selfdef_18</t>
        </is>
      </c>
      <c r="EB144" t="n">
        <v>2</v>
      </c>
      <c r="EE144" t="b">
        <v>1</v>
      </c>
      <c r="EQ144" t="inlineStr">
        <is>
          <t>M2 Browning 12.7 mm API</t>
        </is>
      </c>
      <c r="ES144" t="inlineStr">
        <is>
          <t>api</t>
        </is>
      </c>
      <c r="EU144" t="inlineStr">
        <is>
          <t>hmg_selfdef_18</t>
        </is>
      </c>
      <c r="GA144" t="inlineStr">
        <is>
          <t>m2_browning_12_7_mm_api</t>
        </is>
      </c>
      <c r="GD144" t="inlineStr">
        <is>
          <t>Assets/MachineBrigade/Resources/Data/balance.json: secondRounds.rounds[41]</t>
        </is>
      </c>
      <c r="GE144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5">
      <c r="A145" t="inlineStr">
        <is>
          <t>hmg_selfdef_21</t>
        </is>
      </c>
      <c r="B145" t="inlineStr">
        <is>
          <t>M2 Browning 12.7 mm</t>
        </is>
      </c>
      <c r="C145" t="inlineStr">
        <is>
          <t>cal_12_7</t>
        </is>
      </c>
      <c r="D145" t="inlineStr"/>
      <c r="E145" t="inlineStr">
        <is>
          <t>m2_browning_12_7_mm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1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21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hmg_roof</t>
        </is>
      </c>
      <c r="AR145" t="inlineStr">
        <is>
          <t>hmg_selfdef_21_api</t>
        </is>
      </c>
      <c r="AS145" t="inlineStr">
        <is>
          <t>xe</t>
        </is>
      </c>
      <c r="AT145" t="inlineStr">
        <is>
          <t>siege_tank</t>
        </is>
      </c>
      <c r="AU145" t="n">
        <v>1</v>
      </c>
      <c r="AV145" t="inlineStr">
        <is>
          <t>siege_tank:2</t>
        </is>
      </c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0.09130434782608696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T145" t="inlineStr">
        <is>
          <t>hmg_roof</t>
        </is>
      </c>
      <c r="EP145" t="n">
        <v>21</v>
      </c>
      <c r="GA145" t="inlineStr">
        <is>
          <t>m2_browning_12_7_mm</t>
        </is>
      </c>
      <c r="GD145" t="inlineStr">
        <is>
          <t>Assets/MachineBrigade/Resources/Data/balance.json: weapons[3]</t>
        </is>
      </c>
      <c r="GE145" t="inlineStr">
        <is>
          <t>{"id":"hmg_selfdef_21","weaponFamily":"m2_browning_12_7_mm","inherits":"hmg_roof","range":21}</t>
        </is>
      </c>
    </row>
    <row r="146">
      <c r="A146" t="inlineStr">
        <is>
          <t>hmg_selfdef_21_api</t>
        </is>
      </c>
      <c r="B146" t="inlineStr">
        <is>
          <t>M2 Browning 12.7 mm API</t>
        </is>
      </c>
      <c r="C146" t="inlineStr">
        <is>
          <t>cal_12_7</t>
        </is>
      </c>
      <c r="D146" t="inlineStr"/>
      <c r="E146" t="inlineStr">
        <is>
          <t>m2_browning_12_7_mm_api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2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hmg_selfdef_21</t>
        </is>
      </c>
      <c r="AR146" t="inlineStr"/>
      <c r="AS146" t="inlineStr"/>
      <c r="AT146" t="inlineStr"/>
      <c r="AU146" t="n">
        <v>0</v>
      </c>
      <c r="AV146" t="inlineStr"/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E146" t="n">
        <v>9.5</v>
      </c>
      <c r="DF146" t="inlineStr">
        <is>
          <t>Kinetic</t>
        </is>
      </c>
      <c r="DH146" t="b">
        <v>1</v>
      </c>
      <c r="DM146" t="inlineStr">
        <is>
          <t>any</t>
        </is>
      </c>
      <c r="DN146" t="inlineStr">
        <is>
          <t>BulletBig</t>
        </is>
      </c>
      <c r="DT146" t="inlineStr">
        <is>
          <t>hmg_selfdef_21</t>
        </is>
      </c>
      <c r="EB146" t="n">
        <v>2</v>
      </c>
      <c r="EE146" t="b">
        <v>1</v>
      </c>
      <c r="EQ146" t="inlineStr">
        <is>
          <t>M2 Browning 12.7 mm API</t>
        </is>
      </c>
      <c r="ES146" t="inlineStr">
        <is>
          <t>api</t>
        </is>
      </c>
      <c r="EU146" t="inlineStr">
        <is>
          <t>hmg_selfdef_21</t>
        </is>
      </c>
      <c r="GA146" t="inlineStr">
        <is>
          <t>m2_browning_12_7_mm_api</t>
        </is>
      </c>
      <c r="GD146" t="inlineStr">
        <is>
          <t>Assets/MachineBrigade/Resources/Data/balance.json: secondRounds.rounds[42]</t>
        </is>
      </c>
      <c r="GE146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7">
      <c r="A147" t="inlineStr">
        <is>
          <t>hover_ciws</t>
        </is>
      </c>
      <c r="B147" t="inlineStr">
        <is>
          <t>AK-630 30 mm</t>
        </is>
      </c>
      <c r="C147" t="inlineStr">
        <is>
          <t>cal_30</t>
        </is>
      </c>
      <c r="D147" t="inlineStr">
        <is>
          <t>ciws</t>
        </is>
      </c>
      <c r="E147" t="inlineStr">
        <is>
          <t>ak_630_30_mm</t>
        </is>
      </c>
      <c r="F147" t="inlineStr">
        <is>
          <t>autocannon</t>
        </is>
      </c>
      <c r="G147" t="n">
        <v>30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0.0167</v>
      </c>
      <c r="S147" t="n">
        <v>60</v>
      </c>
      <c r="T147" t="n">
        <v>5.0167</v>
      </c>
      <c r="U147" t="n">
        <v>0</v>
      </c>
      <c r="V147" t="n">
        <v>0</v>
      </c>
      <c r="W147" t="n">
        <v>12</v>
      </c>
      <c r="X147" t="n">
        <v>0</v>
      </c>
      <c r="Y147" t="n">
        <v>0</v>
      </c>
      <c r="Z147" t="n">
        <v>300</v>
      </c>
      <c r="AA147" t="n">
        <v>34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30</v>
      </c>
      <c r="AO147" t="n">
        <v>0</v>
      </c>
      <c r="AP147" t="inlineStr">
        <is>
          <t>T1</t>
        </is>
      </c>
      <c r="AQ147" t="inlineStr"/>
      <c r="AR147" t="inlineStr">
        <is>
          <t>hover_ciws_flak</t>
        </is>
      </c>
      <c r="AS147" t="inlineStr">
        <is>
          <t>boss;xe</t>
        </is>
      </c>
      <c r="AT147" t="inlineStr">
        <is>
          <t>hover_gunboat;landing_hovercraft;sea_corvette;sea_cruiser</t>
        </is>
      </c>
      <c r="AU147" t="n">
        <v>4</v>
      </c>
      <c r="AV147" t="inlineStr">
        <is>
          <t>hover_gunboat:0;landing_hovercraft:0;landing_hovercraft:1;sea_corvette:1;sea_cruiser:2;sea_cruiser:3</t>
        </is>
      </c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0.1133333333333333</v>
      </c>
      <c r="BB147" t="n">
        <v>5000</v>
      </c>
      <c r="BC147" t="n">
        <v>1000</v>
      </c>
      <c r="BD147" t="inlineStr">
        <is>
          <t>aa</t>
        </is>
      </c>
      <c r="BE147" t="inlineStr">
        <is>
          <t>Wikipedia 'AK-630': 4,000-5,000 rpm, 2,000-round belt</t>
        </is>
      </c>
      <c r="BG147" t="inlineStr">
        <is>
          <t>giong</t>
        </is>
      </c>
      <c r="CT147" t="n">
        <v>30</v>
      </c>
      <c r="CW147" t="n">
        <v>60</v>
      </c>
      <c r="CX147" t="n">
        <v>5.0167</v>
      </c>
      <c r="DD147" t="n">
        <v>0.0167</v>
      </c>
      <c r="DE147" t="n">
        <v>12</v>
      </c>
      <c r="DF147" t="inlineStr">
        <is>
          <t>Kinetic</t>
        </is>
      </c>
      <c r="DJ147" t="inlineStr">
        <is>
          <t>autocannon</t>
        </is>
      </c>
      <c r="DS147" t="inlineStr">
        <is>
          <t>Small</t>
        </is>
      </c>
      <c r="EB147" t="n">
        <v>2</v>
      </c>
      <c r="EH147" t="inlineStr">
        <is>
          <t>Bullet</t>
        </is>
      </c>
      <c r="EP147" t="n">
        <v>34</v>
      </c>
      <c r="EQ147" t="inlineStr">
        <is>
          <t>AK-630 30 mm</t>
        </is>
      </c>
      <c r="EX147" t="n">
        <v>30</v>
      </c>
      <c r="EZ147" t="n">
        <v>1.3</v>
      </c>
      <c r="FW147" t="inlineStr">
        <is>
          <t>All</t>
        </is>
      </c>
      <c r="GA147" t="inlineStr">
        <is>
          <t>ak_630_30_mm</t>
        </is>
      </c>
      <c r="GB147" t="inlineStr">
        <is>
          <t>cal_30</t>
        </is>
      </c>
      <c r="GC147" t="inlineStr">
        <is>
          <t>ciws</t>
        </is>
      </c>
      <c r="GD147" t="inlineStr">
        <is>
          <t>Assets/MachineBrigade/Resources/Data/balance.json: weapons[233]</t>
        </is>
      </c>
      <c r="GE147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8">
      <c r="A148" t="inlineStr">
        <is>
          <t>hover_ciws_flak</t>
        </is>
      </c>
      <c r="B148" t="inlineStr">
        <is>
          <t>AK-630 30 mm air-burst</t>
        </is>
      </c>
      <c r="C148" t="inlineStr">
        <is>
          <t>cal_30</t>
        </is>
      </c>
      <c r="D148" t="inlineStr">
        <is>
          <t>flak</t>
        </is>
      </c>
      <c r="E148" t="inlineStr">
        <is>
          <t>ak_630_30_mm_air_burst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Fragmentation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2.5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Air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>
        <is>
          <t>hover_ciws</t>
        </is>
      </c>
      <c r="AR148" t="inlineStr"/>
      <c r="AS148" t="inlineStr"/>
      <c r="AT148" t="inlineStr"/>
      <c r="AU148" t="n">
        <v>0</v>
      </c>
      <c r="AV148" t="inlineStr"/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DE148" t="n">
        <v>12</v>
      </c>
      <c r="DF148" t="inlineStr">
        <is>
          <t>Fragmentation</t>
        </is>
      </c>
      <c r="DM148" t="inlineStr">
        <is>
          <t>air</t>
        </is>
      </c>
      <c r="DN148" t="inlineStr">
        <is>
          <t>Airburst</t>
        </is>
      </c>
      <c r="DT148" t="inlineStr">
        <is>
          <t>hover_ciws</t>
        </is>
      </c>
      <c r="EB148" t="n">
        <v>2</v>
      </c>
      <c r="EE148" t="b">
        <v>0</v>
      </c>
      <c r="EQ148" t="inlineStr">
        <is>
          <t>AK-630 30 mm air-burst</t>
        </is>
      </c>
      <c r="ES148" t="inlineStr">
        <is>
          <t>flak</t>
        </is>
      </c>
      <c r="EU148" t="inlineStr">
        <is>
          <t>hover_ciws</t>
        </is>
      </c>
      <c r="EY148" t="n">
        <v>2.5</v>
      </c>
      <c r="FW148" t="inlineStr">
        <is>
          <t>Air</t>
        </is>
      </c>
      <c r="GA148" t="inlineStr">
        <is>
          <t>ak_630_30_mm_air_burst</t>
        </is>
      </c>
      <c r="GC148" t="inlineStr">
        <is>
          <t>flak</t>
        </is>
      </c>
      <c r="GD148" t="inlineStr">
        <is>
          <t>Assets/MachineBrigade/Resources/Data/balance.json: secondRounds.rounds[43]</t>
        </is>
      </c>
      <c r="GE148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49">
      <c r="A149" t="inlineStr">
        <is>
          <t>hover_rockets</t>
        </is>
      </c>
      <c r="B149" t="inlineStr">
        <is>
          <t>A-22 Ogon 140 mm</t>
        </is>
      </c>
      <c r="C149" t="inlineStr">
        <is>
          <t>rkt_140</t>
        </is>
      </c>
      <c r="D149" t="inlineStr"/>
      <c r="E149" t="inlineStr"/>
      <c r="F149" t="inlineStr">
        <is>
          <t>rocket</t>
        </is>
      </c>
      <c r="G149" t="n">
        <v>140</v>
      </c>
      <c r="H149" t="inlineStr"/>
      <c r="I149" t="inlineStr"/>
      <c r="J149" t="inlineStr"/>
      <c r="K149" t="inlineStr">
        <is>
          <t>HighExplosive</t>
        </is>
      </c>
      <c r="L149" t="n">
        <v>2</v>
      </c>
      <c r="M149" t="inlineStr">
        <is>
          <t>Rocket</t>
        </is>
      </c>
      <c r="N149" t="n">
        <v>1</v>
      </c>
      <c r="O149" t="inlineStr">
        <is>
          <t>RIPPLE</t>
        </is>
      </c>
      <c r="P149" t="n">
        <v>11</v>
      </c>
      <c r="Q149" t="n">
        <v>0.5</v>
      </c>
      <c r="R149" t="n">
        <v>22</v>
      </c>
      <c r="S149" t="n">
        <v>0</v>
      </c>
      <c r="T149" t="n">
        <v>0</v>
      </c>
      <c r="U149" t="n">
        <v>0</v>
      </c>
      <c r="V149" t="n">
        <v>0</v>
      </c>
      <c r="W149" t="n">
        <v>65</v>
      </c>
      <c r="X149" t="n">
        <v>4</v>
      </c>
      <c r="Y149" t="n">
        <v>0</v>
      </c>
      <c r="Z149" t="n">
        <v>85</v>
      </c>
      <c r="AA149" t="n">
        <v>55</v>
      </c>
      <c r="AB149" t="n">
        <v>12</v>
      </c>
      <c r="AC149" t="inlineStr">
        <is>
          <t>Ground</t>
        </is>
      </c>
      <c r="AD149" t="inlineStr"/>
      <c r="AE149" t="n">
        <v>5.5</v>
      </c>
      <c r="AF149" t="inlineStr">
        <is>
          <t>Medium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140</v>
      </c>
      <c r="AO149" t="n">
        <v>0</v>
      </c>
      <c r="AP149" t="inlineStr">
        <is>
          <t>T3</t>
        </is>
      </c>
      <c r="AQ149" t="inlineStr"/>
      <c r="AR149" t="inlineStr"/>
      <c r="AS149" t="inlineStr">
        <is>
          <t>boss</t>
        </is>
      </c>
      <c r="AT149" t="inlineStr">
        <is>
          <t>landing_hovercraft</t>
        </is>
      </c>
      <c r="AU149" t="n">
        <v>1</v>
      </c>
      <c r="AV149" t="inlineStr">
        <is>
          <t>landing_hovercraft:3;landing_hovercraft:4</t>
        </is>
      </c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0.6470588235294118</v>
      </c>
      <c r="BB149" t="n">
        <v>120</v>
      </c>
      <c r="BC149" t="inlineStr"/>
      <c r="BD149" t="inlineStr">
        <is>
          <t>rocket</t>
        </is>
      </c>
      <c r="BE149" t="inlineStr">
        <is>
          <t>A-22 Ogon 140 mm (Zubr hovercraft), est. 0.5 s a rocket</t>
        </is>
      </c>
      <c r="BF149" t="inlineStr">
        <is>
          <t>A-22 Ogon 140 mm: est. 0.5 s a rocket (0.1 s was too fast), the 22 s pause kept</t>
        </is>
      </c>
      <c r="BG149" t="inlineStr">
        <is>
          <t>doi</t>
        </is>
      </c>
      <c r="BR149" t="n">
        <v>50</v>
      </c>
      <c r="BS149" t="n">
        <v>85</v>
      </c>
      <c r="BV149" t="n">
        <v>0.1</v>
      </c>
      <c r="BW149" t="n">
        <v>0.5</v>
      </c>
      <c r="CR149" t="n">
        <v>11</v>
      </c>
      <c r="CS149" t="n">
        <v>0.5</v>
      </c>
      <c r="CT149" t="n">
        <v>140</v>
      </c>
      <c r="DD149" t="n">
        <v>22</v>
      </c>
      <c r="DE149" t="n">
        <v>65</v>
      </c>
      <c r="DF149" t="inlineStr">
        <is>
          <t>HighExplosive</t>
        </is>
      </c>
      <c r="DJ149" t="inlineStr">
        <is>
          <t>rocket</t>
        </is>
      </c>
      <c r="DS149" t="inlineStr">
        <is>
          <t>Medium</t>
        </is>
      </c>
      <c r="DZ149" t="n">
        <v>12</v>
      </c>
      <c r="EB149" t="n">
        <v>2</v>
      </c>
      <c r="EH149" t="inlineStr">
        <is>
          <t>Rocket</t>
        </is>
      </c>
      <c r="EI149" t="inlineStr">
        <is>
          <t>grad</t>
        </is>
      </c>
      <c r="EK149" t="n">
        <v>85</v>
      </c>
      <c r="EP149" t="n">
        <v>55</v>
      </c>
      <c r="EQ149" t="inlineStr">
        <is>
          <t>A-22 Ogon 140 mm</t>
        </is>
      </c>
      <c r="EX149" t="n">
        <v>140</v>
      </c>
      <c r="EY149" t="n">
        <v>4</v>
      </c>
      <c r="EZ149" t="n">
        <v>5.5</v>
      </c>
      <c r="GB149" t="inlineStr">
        <is>
          <t>rkt_140</t>
        </is>
      </c>
      <c r="GD149" t="inlineStr">
        <is>
          <t>Assets/MachineBrigade/Resources/Data/balance.json: weapons[243]</t>
        </is>
      </c>
      <c r="GE149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0">
      <c r="A150" t="inlineStr">
        <is>
          <t>howitzer</t>
        </is>
      </c>
      <c r="B150" t="inlineStr">
        <is>
          <t>M284 155 mm</t>
        </is>
      </c>
      <c r="C150" t="inlineStr">
        <is>
          <t>cal_152_155</t>
        </is>
      </c>
      <c r="D150" t="inlineStr"/>
      <c r="E150" t="inlineStr">
        <is>
          <t>m284_155_mm_2</t>
        </is>
      </c>
      <c r="F150" t="inlineStr">
        <is>
          <t>howitzer</t>
        </is>
      </c>
      <c r="G150" t="n">
        <v>155</v>
      </c>
      <c r="H150" t="inlineStr"/>
      <c r="I150" t="inlineStr"/>
      <c r="J150" t="inlineStr"/>
      <c r="K150" t="inlineStr">
        <is>
          <t>HighExplosive</t>
        </is>
      </c>
      <c r="L150" t="n">
        <v>3</v>
      </c>
      <c r="M150" t="inlineStr">
        <is>
          <t>Shell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7.1429</v>
      </c>
      <c r="S150" t="n">
        <v>0</v>
      </c>
      <c r="T150" t="n">
        <v>0</v>
      </c>
      <c r="U150" t="n">
        <v>20</v>
      </c>
      <c r="V150" t="n">
        <v>33.49</v>
      </c>
      <c r="W150" t="n">
        <v>320</v>
      </c>
      <c r="X150" t="n">
        <v>7</v>
      </c>
      <c r="Y150" t="n">
        <v>0</v>
      </c>
      <c r="Z150" t="n">
        <v>100</v>
      </c>
      <c r="AA150" t="n">
        <v>90</v>
      </c>
      <c r="AB150" t="n">
        <v>25</v>
      </c>
      <c r="AC150" t="inlineStr">
        <is>
          <t>Ground</t>
        </is>
      </c>
      <c r="AD150" t="inlineStr"/>
      <c r="AE150" t="n">
        <v>5</v>
      </c>
      <c r="AF150" t="inlineStr">
        <is>
          <t>Large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155</v>
      </c>
      <c r="AO150" t="n">
        <v>0</v>
      </c>
      <c r="AP150" t="inlineStr">
        <is>
          <t>T3</t>
        </is>
      </c>
      <c r="AQ150" t="inlineStr"/>
      <c r="AR150" t="inlineStr">
        <is>
          <t>howitzer_guided</t>
        </is>
      </c>
      <c r="AS150" t="inlineStr">
        <is>
          <t>boss;xe</t>
        </is>
      </c>
      <c r="AT150" t="inlineStr">
        <is>
          <t>artillery;elite_artillery;mobile_fortress</t>
        </is>
      </c>
      <c r="AU150" t="n">
        <v>3</v>
      </c>
      <c r="AV150" t="inlineStr">
        <is>
          <t>artillery:0;elite_artillery:0;mobile_fortress:other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0.9</v>
      </c>
      <c r="BB150" t="n">
        <v>4</v>
      </c>
      <c r="BC150" t="n">
        <v>1</v>
      </c>
      <c r="BD150" t="inlineStr">
        <is>
          <t>gun</t>
        </is>
      </c>
      <c r="BE150" t="inlineStr">
        <is>
          <t>US Army M109A7 fact file: 4 rpm for 3 min, 1 rpm sustained</t>
        </is>
      </c>
      <c r="BG150" t="inlineStr">
        <is>
          <t>doi</t>
        </is>
      </c>
      <c r="BR150" t="n">
        <v>45</v>
      </c>
      <c r="BS150" t="n">
        <v>100</v>
      </c>
      <c r="CN150" t="n">
        <v>20</v>
      </c>
      <c r="CT150" t="n">
        <v>155</v>
      </c>
      <c r="DD150" t="n">
        <v>7.1429</v>
      </c>
      <c r="DE150" t="n">
        <v>320</v>
      </c>
      <c r="DF150" t="inlineStr">
        <is>
          <t>HighExplosive</t>
        </is>
      </c>
      <c r="DJ150" t="inlineStr">
        <is>
          <t>howitzer</t>
        </is>
      </c>
      <c r="DS150" t="inlineStr">
        <is>
          <t>Large</t>
        </is>
      </c>
      <c r="DZ150" t="n">
        <v>25</v>
      </c>
      <c r="EB150" t="n">
        <v>3</v>
      </c>
      <c r="EP150" t="n">
        <v>90</v>
      </c>
      <c r="EQ150" t="inlineStr">
        <is>
          <t>M284 155 mm</t>
        </is>
      </c>
      <c r="ER150" t="n">
        <v>33.49</v>
      </c>
      <c r="EX150" t="n">
        <v>155</v>
      </c>
      <c r="EZ150" t="n">
        <v>5</v>
      </c>
      <c r="GA150" t="inlineStr">
        <is>
          <t>m284_155_mm_2</t>
        </is>
      </c>
      <c r="GB150" t="inlineStr">
        <is>
          <t>cal_152_155</t>
        </is>
      </c>
      <c r="GD150" t="inlineStr">
        <is>
          <t>Assets/MachineBrigade/Resources/Data/balance.json: weapons[16]</t>
        </is>
      </c>
      <c r="GE150" t="inlineStr">
        <is>
          <t>{"id":"howitzer","weaponFamilyId":"cal_152_155","weaponFamily":"m284_155_mm_2","real":"M284 155 mm","family":"howitzer","size":155,"caliberMm":155,"pen":3,"damageType":"HighExplosive","damage":320,"cooldown":7.1429,"range":90,"minRange":25,"spread":5,"impactTier":"Large","ammo":20,"reload":33.49}</t>
        </is>
      </c>
    </row>
    <row r="151">
      <c r="A151" t="inlineStr">
        <is>
          <t>howitzer_ext</t>
        </is>
      </c>
      <c r="B151" t="inlineStr">
        <is>
          <t>M284 155 mm (base bleed)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5.3</v>
      </c>
      <c r="S151" t="n">
        <v>0</v>
      </c>
      <c r="T151" t="n">
        <v>0</v>
      </c>
      <c r="U151" t="n">
        <v>20</v>
      </c>
      <c r="V151" t="n">
        <v>21</v>
      </c>
      <c r="W151" t="n">
        <v>320</v>
      </c>
      <c r="X151" t="n">
        <v>7</v>
      </c>
      <c r="Y151" t="n">
        <v>0</v>
      </c>
      <c r="Z151" t="n">
        <v>100</v>
      </c>
      <c r="AA151" t="n">
        <v>112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>
        <is>
          <t>howitzer_fixed</t>
        </is>
      </c>
      <c r="AR151" t="inlineStr"/>
      <c r="AS151" t="inlineStr"/>
      <c r="AT151" t="inlineStr"/>
      <c r="AU151" t="n">
        <v>0</v>
      </c>
      <c r="AV151" t="inlineStr"/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1.12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R151" t="n">
        <v>45</v>
      </c>
      <c r="BS151" t="n">
        <v>100</v>
      </c>
      <c r="CT151" t="n">
        <v>155</v>
      </c>
      <c r="DD151" t="n">
        <v>5.3</v>
      </c>
      <c r="DJ151" t="inlineStr">
        <is>
          <t>howitzer</t>
        </is>
      </c>
      <c r="DT151" t="inlineStr">
        <is>
          <t>howitzer_fixed</t>
        </is>
      </c>
      <c r="EB151" t="n">
        <v>3</v>
      </c>
      <c r="EP151" t="n">
        <v>112</v>
      </c>
      <c r="EQ151" t="inlineStr">
        <is>
          <t>M284 155 mm (base bleed)</t>
        </is>
      </c>
      <c r="ER151" t="n">
        <v>21</v>
      </c>
      <c r="EX151" t="n">
        <v>155</v>
      </c>
      <c r="GA151" t="inlineStr">
        <is>
          <t>m284_155_mm_2</t>
        </is>
      </c>
      <c r="GD151" t="inlineStr">
        <is>
          <t>Assets/MachineBrigade/Resources/Data/balance.json: weapons[123]</t>
        </is>
      </c>
      <c r="GE151" t="inlineStr">
        <is>
          <t>{"id":"howitzer_ext","weaponFamily":"m284_155_mm_2","real":"M284 155 mm (base bleed)","family":"howitzer","size":155,"caliberMm":155,"pen":3,"inherits":"howitzer_fixed","range":112,"cooldown":5.3,"reload":21}</t>
        </is>
      </c>
    </row>
    <row r="152">
      <c r="A152" t="inlineStr">
        <is>
          <t>howitzer_fixed</t>
        </is>
      </c>
      <c r="B152" t="inlineStr">
        <is>
          <t>M284 155 mm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3.9</v>
      </c>
      <c r="S152" t="n">
        <v>0</v>
      </c>
      <c r="T152" t="n">
        <v>0</v>
      </c>
      <c r="U152" t="n">
        <v>20</v>
      </c>
      <c r="V152" t="n">
        <v>13</v>
      </c>
      <c r="W152" t="n">
        <v>320</v>
      </c>
      <c r="X152" t="n">
        <v>7</v>
      </c>
      <c r="Y152" t="n">
        <v>0</v>
      </c>
      <c r="Z152" t="n">
        <v>100</v>
      </c>
      <c r="AA152" t="n">
        <v>90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</t>
        </is>
      </c>
      <c r="AR152" t="inlineStr">
        <is>
          <t>howitzer_fixed_guided</t>
        </is>
      </c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0.9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R152" t="n">
        <v>45</v>
      </c>
      <c r="BS152" t="n">
        <v>100</v>
      </c>
      <c r="CT152" t="n">
        <v>155</v>
      </c>
      <c r="DD152" t="n">
        <v>3.9</v>
      </c>
      <c r="DJ152" t="inlineStr">
        <is>
          <t>howitzer</t>
        </is>
      </c>
      <c r="DT152" t="inlineStr">
        <is>
          <t>howitzer</t>
        </is>
      </c>
      <c r="EB152" t="n">
        <v>3</v>
      </c>
      <c r="EQ152" t="inlineStr">
        <is>
          <t>M284 155 mm</t>
        </is>
      </c>
      <c r="ER152" t="n">
        <v>13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weapons[17]</t>
        </is>
      </c>
      <c r="GE152" t="inlineStr">
        <is>
          <t>{"id":"howitzer_fixed","weaponFamily":"m284_155_mm_2","real":"M284 155 mm","family":"howitzer","size":155,"caliberMm":155,"pen":3,"inherits":"howitzer","cooldown":3.9,"reload":13}</t>
        </is>
      </c>
    </row>
    <row r="153">
      <c r="A153" t="inlineStr">
        <is>
          <t>howitzer_fixed_guided</t>
        </is>
      </c>
      <c r="B153" t="inlineStr">
        <is>
          <t>M284 155 mm guided</t>
        </is>
      </c>
      <c r="C153" t="inlineStr">
        <is>
          <t>cal_152_155</t>
        </is>
      </c>
      <c r="D153" t="inlineStr">
        <is>
          <t>guided</t>
        </is>
      </c>
      <c r="E153" t="inlineStr">
        <is>
          <t>m284_155_mm_guided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3.9</v>
      </c>
      <c r="S153" t="n">
        <v>0</v>
      </c>
      <c r="T153" t="n">
        <v>0</v>
      </c>
      <c r="U153" t="n">
        <v>20</v>
      </c>
      <c r="V153" t="n">
        <v>13</v>
      </c>
      <c r="W153" t="n">
        <v>320</v>
      </c>
      <c r="X153" t="n">
        <v>7</v>
      </c>
      <c r="Y153" t="n">
        <v>0</v>
      </c>
      <c r="Z153" t="n">
        <v>45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0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1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howitzer_fixed</t>
        </is>
      </c>
      <c r="AR153" t="inlineStr"/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2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giong</t>
        </is>
      </c>
      <c r="CR153" t="n">
        <v>1</v>
      </c>
      <c r="DE153" t="n">
        <v>320</v>
      </c>
      <c r="DF153" t="inlineStr">
        <is>
          <t>HighExplosive</t>
        </is>
      </c>
      <c r="DH153" t="b">
        <v>1</v>
      </c>
      <c r="DM153" t="inlineStr">
        <is>
          <t>armour</t>
        </is>
      </c>
      <c r="DN153" t="inlineStr">
        <is>
          <t>HeShell</t>
        </is>
      </c>
      <c r="DP153" t="b">
        <v>1</v>
      </c>
      <c r="DT153" t="inlineStr">
        <is>
          <t>howitzer_fixed</t>
        </is>
      </c>
      <c r="EB153" t="n">
        <v>3</v>
      </c>
      <c r="EQ153" t="inlineStr">
        <is>
          <t>M284 155 mm guided</t>
        </is>
      </c>
      <c r="ES153" t="inlineStr">
        <is>
          <t>guided</t>
        </is>
      </c>
      <c r="EU153" t="inlineStr">
        <is>
          <t>howitzer_fixed</t>
        </is>
      </c>
      <c r="EZ153" t="n">
        <v>0</v>
      </c>
      <c r="FW153" t="inlineStr">
        <is>
          <t>Ground</t>
        </is>
      </c>
      <c r="GA153" t="inlineStr">
        <is>
          <t>m284_155_mm_guided</t>
        </is>
      </c>
      <c r="GC153" t="inlineStr">
        <is>
          <t>guided</t>
        </is>
      </c>
      <c r="GD153" t="inlineStr">
        <is>
          <t>Assets/MachineBrigade/Resources/Data/balance.json: secondRounds.rounds[45]</t>
        </is>
      </c>
      <c r="GE153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4">
      <c r="A154" t="inlineStr">
        <is>
          <t>howitzer_guided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7.1429</v>
      </c>
      <c r="S154" t="n">
        <v>0</v>
      </c>
      <c r="T154" t="n">
        <v>0</v>
      </c>
      <c r="U154" t="n">
        <v>20</v>
      </c>
      <c r="V154" t="n">
        <v>33.49</v>
      </c>
      <c r="W154" t="n">
        <v>320</v>
      </c>
      <c r="X154" t="n">
        <v>7</v>
      </c>
      <c r="Y154" t="n">
        <v>0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giong</t>
        </is>
      </c>
      <c r="CR154" t="n">
        <v>1</v>
      </c>
      <c r="DE154" t="n">
        <v>320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secondRounds.rounds[44]</t>
        </is>
      </c>
      <c r="GE154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5">
      <c r="A155" t="inlineStr">
        <is>
          <t>hq_flak</t>
        </is>
      </c>
      <c r="B155" t="inlineStr">
        <is>
          <t>2A38 30 mm (twin)</t>
        </is>
      </c>
      <c r="C155" t="inlineStr">
        <is>
          <t>cal_30</t>
        </is>
      </c>
      <c r="D155" t="inlineStr">
        <is>
          <t>flak</t>
        </is>
      </c>
      <c r="E155" t="inlineStr">
        <is>
          <t>2a38_30_mm</t>
        </is>
      </c>
      <c r="F155" t="inlineStr">
        <is>
          <t>autocannon</t>
        </is>
      </c>
      <c r="G155" t="n">
        <v>30</v>
      </c>
      <c r="H155" t="inlineStr"/>
      <c r="I155" t="inlineStr"/>
      <c r="J155" t="inlineStr"/>
      <c r="K155" t="inlineStr">
        <is>
          <t>Fragmentation</t>
        </is>
      </c>
      <c r="L155" t="n">
        <v>2</v>
      </c>
      <c r="M155" t="inlineStr">
        <is>
          <t>Bullet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0.0286</v>
      </c>
      <c r="S155" t="n">
        <v>120</v>
      </c>
      <c r="T155" t="n">
        <v>3.0286</v>
      </c>
      <c r="U155" t="n">
        <v>0</v>
      </c>
      <c r="V155" t="n">
        <v>0</v>
      </c>
      <c r="W155" t="n">
        <v>7.5</v>
      </c>
      <c r="X155" t="n">
        <v>2.5</v>
      </c>
      <c r="Y155" t="n">
        <v>0</v>
      </c>
      <c r="Z155" t="n">
        <v>280</v>
      </c>
      <c r="AA155" t="n">
        <v>42</v>
      </c>
      <c r="AB155" t="n">
        <v>0</v>
      </c>
      <c r="AC155" t="inlineStr">
        <is>
          <t>All</t>
        </is>
      </c>
      <c r="AD155" t="inlineStr"/>
      <c r="AE155" t="n">
        <v>1.4</v>
      </c>
      <c r="AF155" t="inlineStr">
        <is>
          <t>Small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30</v>
      </c>
      <c r="AO155" t="n">
        <v>0</v>
      </c>
      <c r="AP155" t="inlineStr">
        <is>
          <t>T1</t>
        </is>
      </c>
      <c r="AQ155" t="inlineStr">
        <is>
          <t>twin_30_flak</t>
        </is>
      </c>
      <c r="AR155" t="inlineStr">
        <is>
          <t>hq_flak_ap</t>
        </is>
      </c>
      <c r="AS155" t="inlineStr">
        <is>
          <t>cong_trinh</t>
        </is>
      </c>
      <c r="AT155" t="inlineStr">
        <is>
          <t>headquarters;headquarters.fortress_air;headquarters.fortress_ground;headquarters.shield</t>
        </is>
      </c>
      <c r="AU155" t="n">
        <v>4</v>
      </c>
      <c r="AV155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0.15</v>
      </c>
      <c r="BB155" t="n">
        <v>2500</v>
      </c>
      <c r="BC155" t="n">
        <v>1000</v>
      </c>
      <c r="BD155" t="inlineStr">
        <is>
          <t>aa</t>
        </is>
      </c>
      <c r="BE155" t="inlineStr">
        <is>
          <t>Wikipedia '2A38': 4,060-5,000 rpm the twin mount</t>
        </is>
      </c>
      <c r="BG155" t="inlineStr">
        <is>
          <t>giong</t>
        </is>
      </c>
      <c r="CQ155" t="inlineStr"/>
      <c r="CT155" t="n">
        <v>30</v>
      </c>
      <c r="CW155" t="n">
        <v>120</v>
      </c>
      <c r="CX155" t="n">
        <v>3.0286</v>
      </c>
      <c r="DD155" t="n">
        <v>0.0286</v>
      </c>
      <c r="DJ155" t="inlineStr">
        <is>
          <t>autocannon</t>
        </is>
      </c>
      <c r="DT155" t="inlineStr">
        <is>
          <t>twin_30_flak</t>
        </is>
      </c>
      <c r="EB155" t="n">
        <v>2</v>
      </c>
      <c r="EQ155" t="inlineStr">
        <is>
          <t>2A38 30 mm (twin)</t>
        </is>
      </c>
      <c r="EX155" t="n">
        <v>30</v>
      </c>
      <c r="GA155" t="inlineStr">
        <is>
          <t>2a38_30_mm</t>
        </is>
      </c>
      <c r="GD155" t="inlineStr">
        <is>
          <t>Assets/MachineBrigade/Resources/Data/balance.json: weapons[46]</t>
        </is>
      </c>
      <c r="GE155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6">
      <c r="A156" t="inlineStr">
        <is>
          <t>hq_flak_ap</t>
        </is>
      </c>
      <c r="B156" t="inlineStr">
        <is>
          <t>2A38 30 mm AP (twin)</t>
        </is>
      </c>
      <c r="C156" t="inlineStr">
        <is>
          <t>cal_30</t>
        </is>
      </c>
      <c r="D156" t="inlineStr"/>
      <c r="E156" t="inlineStr">
        <is>
          <t>2a38_30_mm_ap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Kinetic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0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Ground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hq_flak</t>
        </is>
      </c>
      <c r="AR156" t="inlineStr"/>
      <c r="AS156" t="inlineStr"/>
      <c r="AT156" t="inlineStr"/>
      <c r="AU156" t="n">
        <v>0</v>
      </c>
      <c r="AV156" t="inlineStr"/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DE156" t="n">
        <v>7.5</v>
      </c>
      <c r="DF156" t="inlineStr">
        <is>
          <t>Kinetic</t>
        </is>
      </c>
      <c r="DM156" t="inlineStr">
        <is>
          <t>ground</t>
        </is>
      </c>
      <c r="DN156" t="inlineStr">
        <is>
          <t>BeltedAutocannon</t>
        </is>
      </c>
      <c r="DT156" t="inlineStr">
        <is>
          <t>hq_flak</t>
        </is>
      </c>
      <c r="EB156" t="n">
        <v>2</v>
      </c>
      <c r="EE156" t="b">
        <v>1</v>
      </c>
      <c r="EQ156" t="inlineStr">
        <is>
          <t>2A38 30 mm AP (twin)</t>
        </is>
      </c>
      <c r="ES156" t="inlineStr">
        <is>
          <t>ap</t>
        </is>
      </c>
      <c r="EU156" t="inlineStr">
        <is>
          <t>hq_flak</t>
        </is>
      </c>
      <c r="EY156" t="n">
        <v>0</v>
      </c>
      <c r="FW156" t="inlineStr">
        <is>
          <t>Ground</t>
        </is>
      </c>
      <c r="GA156" t="inlineStr">
        <is>
          <t>2a38_30_mm_ap</t>
        </is>
      </c>
      <c r="GC156" t="inlineStr"/>
      <c r="GD156" t="inlineStr">
        <is>
          <t>Assets/MachineBrigade/Resources/Data/balance.json: secondRounds.rounds[46]</t>
        </is>
      </c>
      <c r="GE156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7">
      <c r="A157" t="inlineStr">
        <is>
          <t>ifv_30</t>
        </is>
      </c>
      <c r="B157" t="inlineStr">
        <is>
          <t>2A42 30 mm</t>
        </is>
      </c>
      <c r="C157" t="inlineStr">
        <is>
          <t>cal_30</t>
        </is>
      </c>
      <c r="D157" t="inlineStr"/>
      <c r="E157" t="inlineStr">
        <is>
          <t>2a42_30_mm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10</v>
      </c>
      <c r="Q157" t="n">
        <v>0.1111</v>
      </c>
      <c r="R157" t="n">
        <v>1.6111</v>
      </c>
      <c r="S157" t="n">
        <v>0</v>
      </c>
      <c r="T157" t="n">
        <v>0</v>
      </c>
      <c r="U157" t="n">
        <v>0</v>
      </c>
      <c r="V157" t="n">
        <v>0</v>
      </c>
      <c r="W157" t="n">
        <v>22</v>
      </c>
      <c r="X157" t="n">
        <v>0</v>
      </c>
      <c r="Y157" t="n">
        <v>0</v>
      </c>
      <c r="Z157" t="n">
        <v>200</v>
      </c>
      <c r="AA157" t="n">
        <v>30</v>
      </c>
      <c r="AB157" t="n">
        <v>0</v>
      </c>
      <c r="AC157" t="inlineStr">
        <is>
          <t>Ground</t>
        </is>
      </c>
      <c r="AD157" t="inlineStr"/>
      <c r="AE157" t="n">
        <v>0.8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autocannon_30</t>
        </is>
      </c>
      <c r="AR157" t="inlineStr">
        <is>
          <t>ifv_30_flak</t>
        </is>
      </c>
      <c r="AS157" t="inlineStr">
        <is>
          <t>xe</t>
        </is>
      </c>
      <c r="AT157" t="inlineStr">
        <is>
          <t>ifv</t>
        </is>
      </c>
      <c r="AU157" t="n">
        <v>1</v>
      </c>
      <c r="AV157" t="inlineStr">
        <is>
          <t>ifv:0</t>
        </is>
      </c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800</v>
      </c>
      <c r="BC157" t="n">
        <v>300</v>
      </c>
      <c r="BD157" t="inlineStr">
        <is>
          <t>ac</t>
        </is>
      </c>
      <c r="BE157" t="inlineStr">
        <is>
          <t>Wikipedia '2A42': 550-800 high, 200-300 low rpm</t>
        </is>
      </c>
      <c r="BG157" t="inlineStr">
        <is>
          <t>giong</t>
        </is>
      </c>
      <c r="CR157" t="n">
        <v>10</v>
      </c>
      <c r="CS157" t="n">
        <v>0.1111</v>
      </c>
      <c r="CT157" t="n">
        <v>30</v>
      </c>
      <c r="CW157" t="n">
        <v>0</v>
      </c>
      <c r="CX157" t="n">
        <v>0</v>
      </c>
      <c r="DD157" t="n">
        <v>1.6111</v>
      </c>
      <c r="DJ157" t="inlineStr">
        <is>
          <t>autocannon</t>
        </is>
      </c>
      <c r="DT157" t="inlineStr">
        <is>
          <t>autocannon_30</t>
        </is>
      </c>
      <c r="EB157" t="n">
        <v>2</v>
      </c>
      <c r="EQ157" t="inlineStr">
        <is>
          <t>2A42 30 mm</t>
        </is>
      </c>
      <c r="EX157" t="n">
        <v>30</v>
      </c>
      <c r="GA157" t="inlineStr">
        <is>
          <t>2a42_30_mm</t>
        </is>
      </c>
      <c r="GD157" t="inlineStr">
        <is>
          <t>Assets/MachineBrigade/Resources/Data/balance.json: weapons[9]</t>
        </is>
      </c>
      <c r="GE157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58">
      <c r="A158" t="inlineStr">
        <is>
          <t>ifv_30_flak</t>
        </is>
      </c>
      <c r="B158" t="inlineStr">
        <is>
          <t>2A42 30 mm air-burst</t>
        </is>
      </c>
      <c r="C158" t="inlineStr">
        <is>
          <t>cal_30</t>
        </is>
      </c>
      <c r="D158" t="inlineStr">
        <is>
          <t>flak</t>
        </is>
      </c>
      <c r="E158" t="inlineStr">
        <is>
          <t>2a42_30_mm_air_burst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Fragmentation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10</v>
      </c>
      <c r="Q158" t="n">
        <v>0.1111</v>
      </c>
      <c r="R158" t="n">
        <v>1.6111</v>
      </c>
      <c r="S158" t="n">
        <v>0</v>
      </c>
      <c r="T158" t="n">
        <v>0</v>
      </c>
      <c r="U158" t="n">
        <v>0</v>
      </c>
      <c r="V158" t="n">
        <v>0</v>
      </c>
      <c r="W158" t="n">
        <v>22</v>
      </c>
      <c r="X158" t="n">
        <v>2.5</v>
      </c>
      <c r="Y158" t="n">
        <v>0</v>
      </c>
      <c r="Z158" t="n">
        <v>200</v>
      </c>
      <c r="AA158" t="n">
        <v>30</v>
      </c>
      <c r="AB158" t="n">
        <v>0</v>
      </c>
      <c r="AC158" t="inlineStr">
        <is>
          <t>Air</t>
        </is>
      </c>
      <c r="AD158" t="inlineStr"/>
      <c r="AE158" t="n">
        <v>0.8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ifv_30</t>
        </is>
      </c>
      <c r="AR158" t="inlineStr"/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0.15</v>
      </c>
      <c r="BB158" t="n">
        <v>800</v>
      </c>
      <c r="BC158" t="n">
        <v>300</v>
      </c>
      <c r="BD158" t="inlineStr">
        <is>
          <t>ac</t>
        </is>
      </c>
      <c r="BE158" t="inlineStr">
        <is>
          <t>Wikipedia '2A42': 550-800 high, 200-300 low rpm</t>
        </is>
      </c>
      <c r="BG158" t="inlineStr">
        <is>
          <t>giong</t>
        </is>
      </c>
      <c r="DE158" t="n">
        <v>22</v>
      </c>
      <c r="DF158" t="inlineStr">
        <is>
          <t>Fragmentation</t>
        </is>
      </c>
      <c r="DM158" t="inlineStr">
        <is>
          <t>air</t>
        </is>
      </c>
      <c r="DN158" t="inlineStr">
        <is>
          <t>Airburst</t>
        </is>
      </c>
      <c r="DT158" t="inlineStr">
        <is>
          <t>ifv_30</t>
        </is>
      </c>
      <c r="EB158" t="n">
        <v>2</v>
      </c>
      <c r="EE158" t="b">
        <v>0</v>
      </c>
      <c r="EQ158" t="inlineStr">
        <is>
          <t>2A42 30 mm air-burst</t>
        </is>
      </c>
      <c r="ES158" t="inlineStr">
        <is>
          <t>flak</t>
        </is>
      </c>
      <c r="EU158" t="inlineStr">
        <is>
          <t>ifv_30</t>
        </is>
      </c>
      <c r="EY158" t="n">
        <v>2.5</v>
      </c>
      <c r="FW158" t="inlineStr">
        <is>
          <t>Air</t>
        </is>
      </c>
      <c r="GA158" t="inlineStr">
        <is>
          <t>2a42_30_mm_air_burst</t>
        </is>
      </c>
      <c r="GC158" t="inlineStr">
        <is>
          <t>flak</t>
        </is>
      </c>
      <c r="GD158" t="inlineStr">
        <is>
          <t>Assets/MachineBrigade/Resources/Data/balance.json: secondRounds.rounds[47]</t>
        </is>
      </c>
      <c r="GE158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59">
      <c r="A159" t="inlineStr">
        <is>
          <t>igla_v</t>
        </is>
      </c>
      <c r="B159" t="inlineStr">
        <is>
          <t>9K38 Igla-V</t>
        </is>
      </c>
      <c r="C159" t="inlineStr">
        <is>
          <t>sam_9k38_igla_v</t>
        </is>
      </c>
      <c r="D159" t="inlineStr"/>
      <c r="E159" t="inlineStr"/>
      <c r="F159" t="inlineStr">
        <is>
          <t>aa_missile</t>
        </is>
      </c>
      <c r="G159" t="inlineStr"/>
      <c r="H159" t="n">
        <v>1.2</v>
      </c>
      <c r="I159" t="inlineStr"/>
      <c r="J159" t="inlineStr"/>
      <c r="K159" t="inlineStr">
        <is>
          <t>Fragmentation</t>
        </is>
      </c>
      <c r="L159" t="n">
        <v>2</v>
      </c>
      <c r="M159" t="inlineStr">
        <is>
          <t>Missile</t>
        </is>
      </c>
      <c r="N159" t="n">
        <v>1</v>
      </c>
      <c r="O159" t="inlineStr">
        <is>
          <t>RIPPLE</t>
        </is>
      </c>
      <c r="P159" t="n">
        <v>1</v>
      </c>
      <c r="Q159" t="n">
        <v>0.1</v>
      </c>
      <c r="R159" t="n">
        <v>8.33</v>
      </c>
      <c r="S159" t="n">
        <v>0</v>
      </c>
      <c r="T159" t="n">
        <v>0</v>
      </c>
      <c r="U159" t="n">
        <v>0</v>
      </c>
      <c r="V159" t="n">
        <v>0</v>
      </c>
      <c r="W159" t="n">
        <v>150</v>
      </c>
      <c r="X159" t="n">
        <v>1.5</v>
      </c>
      <c r="Y159" t="n">
        <v>0</v>
      </c>
      <c r="Z159" t="n">
        <v>170</v>
      </c>
      <c r="AA159" t="n">
        <v>32</v>
      </c>
      <c r="AB159" t="n">
        <v>0</v>
      </c>
      <c r="AC159" t="inlineStr">
        <is>
          <t>Air</t>
        </is>
      </c>
      <c r="AD159" t="inlineStr"/>
      <c r="AE159" t="n">
        <v>0</v>
      </c>
      <c r="AF159" t="inlineStr">
        <is>
          <t>Medium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1.2</v>
      </c>
      <c r="AO159" t="n">
        <v>2</v>
      </c>
      <c r="AP159" t="inlineStr">
        <is>
          <t>T2</t>
        </is>
      </c>
      <c r="AQ159" t="inlineStr"/>
      <c r="AR159" t="inlineStr"/>
      <c r="AS159" t="inlineStr"/>
      <c r="AT159" t="inlineStr"/>
      <c r="AU159" t="n">
        <v>0</v>
      </c>
      <c r="AV159" t="inlineStr"/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0.1882352941176471</v>
      </c>
      <c r="BB159" t="n">
        <v>20</v>
      </c>
      <c r="BC159" t="n">
        <v>10</v>
      </c>
      <c r="BD159" t="inlineStr">
        <is>
          <t>missile</t>
        </is>
      </c>
      <c r="BE159" t="inlineStr">
        <is>
          <t>air-launched Igla-V pairs, est. 3 s</t>
        </is>
      </c>
      <c r="BG159" t="inlineStr">
        <is>
          <t>doi</t>
        </is>
      </c>
      <c r="BR159" t="n">
        <v>24</v>
      </c>
      <c r="BS159" t="n">
        <v>170</v>
      </c>
      <c r="DD159" t="n">
        <v>8.33</v>
      </c>
      <c r="DE159" t="n">
        <v>150</v>
      </c>
      <c r="DF159" t="inlineStr">
        <is>
          <t>Fragmentation</t>
        </is>
      </c>
      <c r="DJ159" t="inlineStr">
        <is>
          <t>aa_missile</t>
        </is>
      </c>
      <c r="DS159" t="inlineStr">
        <is>
          <t>Medium</t>
        </is>
      </c>
      <c r="DW159" t="n">
        <v>2</v>
      </c>
      <c r="EB159" t="n">
        <v>2</v>
      </c>
      <c r="EH159" t="inlineStr">
        <is>
          <t>Missile</t>
        </is>
      </c>
      <c r="EI159" t="inlineStr">
        <is>
          <t>igla</t>
        </is>
      </c>
      <c r="EJ159" t="n">
        <v>0.78</v>
      </c>
      <c r="EK159" t="n">
        <v>170</v>
      </c>
      <c r="EP159" t="n">
        <v>32</v>
      </c>
      <c r="EQ159" t="inlineStr">
        <is>
          <t>9K38 Igla-V</t>
        </is>
      </c>
      <c r="EV159" t="n">
        <v>180</v>
      </c>
      <c r="EX159" t="n">
        <v>1.2</v>
      </c>
      <c r="EY159" t="n">
        <v>1.5</v>
      </c>
      <c r="FW159" t="inlineStr">
        <is>
          <t>Air</t>
        </is>
      </c>
      <c r="FZ159" t="n">
        <v>1.2</v>
      </c>
      <c r="GB159" t="inlineStr">
        <is>
          <t>sam_9k38_igla_v</t>
        </is>
      </c>
      <c r="GD159" t="inlineStr">
        <is>
          <t>Assets/MachineBrigade/Resources/Data/balance.json: weapons[65]</t>
        </is>
      </c>
      <c r="GE159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0">
      <c r="A160" t="inlineStr">
        <is>
          <t>illum_flare</t>
        </is>
      </c>
      <c r="B160" t="inlineStr">
        <is>
          <t>Illumination flare</t>
        </is>
      </c>
      <c r="C160" t="inlineStr">
        <is>
          <t>special_illumination_flare</t>
        </is>
      </c>
      <c r="D160" t="inlineStr"/>
      <c r="E160" t="inlineStr"/>
      <c r="F160" t="inlineStr">
        <is>
          <t>special</t>
        </is>
      </c>
      <c r="G160" t="inlineStr"/>
      <c r="H160" t="inlineStr"/>
      <c r="I160" t="inlineStr"/>
      <c r="J160" t="inlineStr"/>
      <c r="K160" t="inlineStr">
        <is>
          <t>HighExplosive</t>
        </is>
      </c>
      <c r="L160" t="n">
        <v>0</v>
      </c>
      <c r="M160" t="inlineStr">
        <is>
          <t>Shell</t>
        </is>
      </c>
      <c r="N160" t="n">
        <v>1</v>
      </c>
      <c r="O160" t="inlineStr">
        <is>
          <t>RIPPLE</t>
        </is>
      </c>
      <c r="P160" t="n">
        <v>1</v>
      </c>
      <c r="Q160" t="n">
        <v>0.1</v>
      </c>
      <c r="R160" t="n">
        <v>15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35</v>
      </c>
      <c r="AA160" t="n">
        <v>40</v>
      </c>
      <c r="AB160" t="n">
        <v>0</v>
      </c>
      <c r="AC160" t="inlineStr">
        <is>
          <t>Ground</t>
        </is>
      </c>
      <c r="AD160" t="inlineStr"/>
      <c r="AE160" t="n">
        <v>0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81</v>
      </c>
      <c r="AO160" t="n">
        <v>0</v>
      </c>
      <c r="AP160" t="inlineStr">
        <is>
          <t>T0</t>
        </is>
      </c>
      <c r="AQ160" t="inlineStr"/>
      <c r="AR160" t="inlineStr"/>
      <c r="AS160" t="inlineStr">
        <is>
          <t>thap</t>
        </is>
      </c>
      <c r="AT160" t="inlineStr">
        <is>
          <t>flare_searchlight_tower;flare_tower</t>
        </is>
      </c>
      <c r="AU160" t="n">
        <v>2</v>
      </c>
      <c r="AV160" t="inlineStr">
        <is>
          <t>flare_searchlight_tower:0;flare_tower:0</t>
        </is>
      </c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1.142857142857143</v>
      </c>
      <c r="BB160" t="inlineStr">
        <is>
          <t>NEED_SOURCE</t>
        </is>
      </c>
      <c r="BC160" t="inlineStr">
        <is>
          <t>NEED_SOURCE</t>
        </is>
      </c>
      <c r="BE160" t="inlineStr">
        <is>
          <t>NEED_SOURCE</t>
        </is>
      </c>
      <c r="BG160" t="inlineStr">
        <is>
          <t>giong</t>
        </is>
      </c>
      <c r="DD160" t="n">
        <v>15</v>
      </c>
      <c r="DE160" t="n">
        <v>0</v>
      </c>
      <c r="DF160" t="inlineStr">
        <is>
          <t>HighExplosive</t>
        </is>
      </c>
      <c r="DJ160" t="inlineStr">
        <is>
          <t>special</t>
        </is>
      </c>
      <c r="DN160" t="inlineStr">
        <is>
          <t>None</t>
        </is>
      </c>
      <c r="DS160" t="inlineStr">
        <is>
          <t>Small</t>
        </is>
      </c>
      <c r="EB160" t="n">
        <v>0</v>
      </c>
      <c r="EH160" t="inlineStr">
        <is>
          <t>Shell</t>
        </is>
      </c>
      <c r="EK160" t="n">
        <v>35</v>
      </c>
      <c r="EP160" t="n">
        <v>40</v>
      </c>
      <c r="EQ160" t="inlineStr">
        <is>
          <t>Illumination flare</t>
        </is>
      </c>
      <c r="EX160" t="n">
        <v>81</v>
      </c>
      <c r="GB160" t="inlineStr">
        <is>
          <t>special_illumination_flare</t>
        </is>
      </c>
      <c r="GD160" t="inlineStr">
        <is>
          <t>Assets/MachineBrigade/Resources/Data/balance.json: weapons[258]</t>
        </is>
      </c>
      <c r="GE160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1">
      <c r="A161" t="inlineStr">
        <is>
          <t>jassm</t>
        </is>
      </c>
      <c r="B161" t="inlineStr">
        <is>
          <t>AGM-158 JASSM (450 kg)</t>
        </is>
      </c>
      <c r="C161" t="inlineStr">
        <is>
          <t>cruise_agm_158_jassm</t>
        </is>
      </c>
      <c r="D161" t="inlineStr"/>
      <c r="E161" t="inlineStr"/>
      <c r="F161" t="inlineStr">
        <is>
          <t>cruise</t>
        </is>
      </c>
      <c r="G161" t="inlineStr"/>
      <c r="H161" t="n">
        <v>450</v>
      </c>
      <c r="I161" t="inlineStr"/>
      <c r="J161" t="inlineStr"/>
      <c r="K161" t="inlineStr">
        <is>
          <t>HighExplosive</t>
        </is>
      </c>
      <c r="L161" t="n">
        <v>3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2</v>
      </c>
      <c r="Q161" t="n">
        <v>0.6</v>
      </c>
      <c r="R161" t="n">
        <v>9.84</v>
      </c>
      <c r="S161" t="n">
        <v>0</v>
      </c>
      <c r="T161" t="n">
        <v>0</v>
      </c>
      <c r="U161" t="n">
        <v>0</v>
      </c>
      <c r="V161" t="n">
        <v>0</v>
      </c>
      <c r="W161" t="n">
        <v>410</v>
      </c>
      <c r="X161" t="n">
        <v>9</v>
      </c>
      <c r="Y161" t="n">
        <v>0</v>
      </c>
      <c r="Z161" t="n">
        <v>70</v>
      </c>
      <c r="AA161" t="n">
        <v>90</v>
      </c>
      <c r="AB161" t="n">
        <v>0</v>
      </c>
      <c r="AC161" t="inlineStr">
        <is>
          <t>Ground</t>
        </is>
      </c>
      <c r="AD161" t="inlineStr"/>
      <c r="AE161" t="n">
        <v>0</v>
      </c>
      <c r="AF161" t="inlineStr">
        <is>
          <t>Huge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450</v>
      </c>
      <c r="AO161" t="n">
        <v>4</v>
      </c>
      <c r="AP161" t="inlineStr">
        <is>
          <t>T4</t>
        </is>
      </c>
      <c r="AQ161" t="inlineStr"/>
      <c r="AR161" t="inlineStr"/>
      <c r="AS161" t="inlineStr">
        <is>
          <t>xe</t>
        </is>
      </c>
      <c r="AT161" t="inlineStr">
        <is>
          <t>stealth_bomber;swarm_carrier</t>
        </is>
      </c>
      <c r="AU161" t="n">
        <v>2</v>
      </c>
      <c r="AV161" t="inlineStr">
        <is>
          <t>stealth_bomber:1;swarm_carrier:1</t>
        </is>
      </c>
      <c r="AW161" t="n">
        <v>2.5</v>
      </c>
      <c r="AX161" t="b">
        <v>0</v>
      </c>
      <c r="AY161" t="inlineStr"/>
      <c r="AZ161">
        <f>IF(AND($AX$161,$AW$161&gt;$AA$161/$Z$161),$AW$161,$AA$161/$Z$161)</f>
        <v/>
      </c>
      <c r="BA161" t="n">
        <v>1.285714285714286</v>
      </c>
      <c r="BB161" t="n">
        <v>20</v>
      </c>
      <c r="BC161" t="n">
        <v>6</v>
      </c>
      <c r="BD161" t="inlineStr">
        <is>
          <t>missile</t>
        </is>
      </c>
      <c r="BE161" t="inlineStr">
        <is>
          <t>cruise missiles: ~3 s between launches (est.)</t>
        </is>
      </c>
      <c r="BG161" t="inlineStr">
        <is>
          <t>doi</t>
        </is>
      </c>
      <c r="BR161" t="n">
        <v>20</v>
      </c>
      <c r="BS161" t="n">
        <v>70</v>
      </c>
      <c r="CR161" t="n">
        <v>2</v>
      </c>
      <c r="CS161" t="n">
        <v>0.6</v>
      </c>
      <c r="DD161" t="n">
        <v>9.84</v>
      </c>
      <c r="DE161" t="n">
        <v>410</v>
      </c>
      <c r="DF161" t="inlineStr">
        <is>
          <t>HighExplosive</t>
        </is>
      </c>
      <c r="DJ161" t="inlineStr">
        <is>
          <t>cruise</t>
        </is>
      </c>
      <c r="DS161" t="inlineStr">
        <is>
          <t>Huge</t>
        </is>
      </c>
      <c r="DW161" t="n">
        <v>4</v>
      </c>
      <c r="EB161" t="n">
        <v>3</v>
      </c>
      <c r="EH161" t="inlineStr">
        <is>
          <t>Missile</t>
        </is>
      </c>
      <c r="EI161" t="inlineStr">
        <is>
          <t>jassm</t>
        </is>
      </c>
      <c r="EJ161" t="n">
        <v>0.7091</v>
      </c>
      <c r="EK161" t="n">
        <v>70</v>
      </c>
      <c r="EP161" t="n">
        <v>90</v>
      </c>
      <c r="EQ161" t="inlineStr">
        <is>
          <t>AGM-158 JASSM (450 kg)</t>
        </is>
      </c>
      <c r="ET161" t="n">
        <v>2.135</v>
      </c>
      <c r="EV161" t="n">
        <v>420</v>
      </c>
      <c r="EX161" t="n">
        <v>450</v>
      </c>
      <c r="EY161" t="n">
        <v>9</v>
      </c>
      <c r="FZ161" t="n">
        <v>450</v>
      </c>
      <c r="GB161" t="inlineStr">
        <is>
          <t>cruise_agm_158_jassm</t>
        </is>
      </c>
      <c r="GD161" t="inlineStr">
        <is>
          <t>Assets/MachineBrigade/Resources/Data/balance.json: weapons[67]</t>
        </is>
      </c>
      <c r="GE161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2">
      <c r="A162" t="inlineStr">
        <is>
          <t>jet_bombs</t>
        </is>
      </c>
      <c r="B162" t="inlineStr">
        <is>
          <t>FAB-250 (250 kg)</t>
        </is>
      </c>
      <c r="C162" t="inlineStr">
        <is>
          <t>bomb_fab_250</t>
        </is>
      </c>
      <c r="D162" t="inlineStr"/>
      <c r="E162" t="inlineStr"/>
      <c r="F162" t="inlineStr">
        <is>
          <t>bomb</t>
        </is>
      </c>
      <c r="G162" t="inlineStr"/>
      <c r="H162" t="n">
        <v>250</v>
      </c>
      <c r="I162" t="inlineStr"/>
      <c r="J162" t="inlineStr"/>
      <c r="K162" t="inlineStr">
        <is>
          <t>HighExplosive</t>
        </is>
      </c>
      <c r="L162" t="n">
        <v>2</v>
      </c>
      <c r="M162" t="inlineStr">
        <is>
          <t>Bomb</t>
        </is>
      </c>
      <c r="N162" t="n">
        <v>1</v>
      </c>
      <c r="O162" t="inlineStr">
        <is>
          <t>RIPPLE</t>
        </is>
      </c>
      <c r="P162" t="n">
        <v>2</v>
      </c>
      <c r="Q162" t="n">
        <v>0.25</v>
      </c>
      <c r="R162" t="n">
        <v>10.05</v>
      </c>
      <c r="S162" t="n">
        <v>0</v>
      </c>
      <c r="T162" t="n">
        <v>0</v>
      </c>
      <c r="U162" t="n">
        <v>0</v>
      </c>
      <c r="V162" t="n">
        <v>0</v>
      </c>
      <c r="W162" t="n">
        <v>310</v>
      </c>
      <c r="X162" t="n">
        <v>8</v>
      </c>
      <c r="Y162" t="n">
        <v>0</v>
      </c>
      <c r="Z162" t="n">
        <v>35</v>
      </c>
      <c r="AA162" t="n">
        <v>26</v>
      </c>
      <c r="AB162" t="n">
        <v>0</v>
      </c>
      <c r="AC162" t="inlineStr">
        <is>
          <t>Ground</t>
        </is>
      </c>
      <c r="AD162" t="inlineStr"/>
      <c r="AE162" t="n">
        <v>3</v>
      </c>
      <c r="AF162" t="inlineStr">
        <is>
          <t>Huge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250</v>
      </c>
      <c r="AO162" t="n">
        <v>3</v>
      </c>
      <c r="AP162" t="inlineStr">
        <is>
          <t>T3</t>
        </is>
      </c>
      <c r="AQ162" t="inlineStr"/>
      <c r="AR162" t="inlineStr"/>
      <c r="AS162" t="inlineStr">
        <is>
          <t>xe</t>
        </is>
      </c>
      <c r="AT162" t="inlineStr">
        <is>
          <t>attack_jet;elite_attack_jet;stealth_naval_strike</t>
        </is>
      </c>
      <c r="AU162" t="n">
        <v>3</v>
      </c>
      <c r="AV162" t="inlineStr">
        <is>
          <t>attack_jet:2;elite_attack_jet:2;stealth_naval_strike:1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0.7429</v>
      </c>
      <c r="BB162" t="n">
        <v>600</v>
      </c>
      <c r="BC162" t="inlineStr"/>
      <c r="BD162" t="inlineStr">
        <is>
          <t>bomb</t>
        </is>
      </c>
      <c r="BE162" t="inlineStr">
        <is>
          <t>a stick's release, 0.1 s and up (est.)</t>
        </is>
      </c>
      <c r="BG162" t="inlineStr">
        <is>
          <t>giong</t>
        </is>
      </c>
      <c r="CR162" t="n">
        <v>2</v>
      </c>
      <c r="CS162" t="n">
        <v>0.25</v>
      </c>
      <c r="DD162" t="n">
        <v>10.05</v>
      </c>
      <c r="DE162" t="n">
        <v>310</v>
      </c>
      <c r="DF162" t="inlineStr">
        <is>
          <t>HighExplosive</t>
        </is>
      </c>
      <c r="DJ162" t="inlineStr">
        <is>
          <t>bomb</t>
        </is>
      </c>
      <c r="DS162" t="inlineStr">
        <is>
          <t>Huge</t>
        </is>
      </c>
      <c r="DW162" t="n">
        <v>3</v>
      </c>
      <c r="EB162" t="n">
        <v>2</v>
      </c>
      <c r="EH162" t="inlineStr">
        <is>
          <t>Bomb</t>
        </is>
      </c>
      <c r="EI162" t="inlineStr">
        <is>
          <t>bomb_fab</t>
        </is>
      </c>
      <c r="EJ162" t="n">
        <v>0.5444</v>
      </c>
      <c r="EK162" t="n">
        <v>35</v>
      </c>
      <c r="EP162" t="n">
        <v>26</v>
      </c>
      <c r="EQ162" t="inlineStr">
        <is>
          <t>FAB-250 (250 kg)</t>
        </is>
      </c>
      <c r="ET162" t="n">
        <v>0.98</v>
      </c>
      <c r="EV162" t="n">
        <v>351</v>
      </c>
      <c r="EX162" t="n">
        <v>250</v>
      </c>
      <c r="EY162" t="n">
        <v>8</v>
      </c>
      <c r="EZ162" t="n">
        <v>3</v>
      </c>
      <c r="FA162" t="inlineStr">
        <is>
          <t>CENTER</t>
        </is>
      </c>
      <c r="FB162" t="n">
        <v>1</v>
      </c>
      <c r="FC162" t="n">
        <v>2</v>
      </c>
      <c r="FD162" t="inlineStr">
        <is>
          <t>OVERFLY</t>
        </is>
      </c>
      <c r="FE162" t="n">
        <v>40</v>
      </c>
      <c r="FF162" t="n">
        <v>1.225</v>
      </c>
      <c r="FG162" t="inlineStr">
        <is>
          <t>APPROACH</t>
        </is>
      </c>
      <c r="FH162" t="n">
        <v>0.3438</v>
      </c>
      <c r="FI162" t="n">
        <v>2</v>
      </c>
      <c r="FJ162" t="n">
        <v>1.32</v>
      </c>
      <c r="FK162" t="n">
        <v>31.4</v>
      </c>
      <c r="FL162" t="n">
        <v>8.800000000000001</v>
      </c>
      <c r="FM162" t="n">
        <v>3</v>
      </c>
      <c r="FN162" t="inlineStr">
        <is>
          <t>STICK</t>
        </is>
      </c>
      <c r="FO162" t="n">
        <v>0.909</v>
      </c>
      <c r="FP162" t="n">
        <v>25.6</v>
      </c>
      <c r="FQ162" t="n">
        <v>8</v>
      </c>
      <c r="FR162" t="n">
        <v>8.800000000000001</v>
      </c>
      <c r="FS162" t="n">
        <v>2.57</v>
      </c>
      <c r="FT162" t="inlineStr">
        <is>
          <t>NONE</t>
        </is>
      </c>
      <c r="FU162" t="n">
        <v>20</v>
      </c>
      <c r="FZ162" t="n">
        <v>250</v>
      </c>
      <c r="GB162" t="inlineStr">
        <is>
          <t>bomb_fab_250</t>
        </is>
      </c>
      <c r="GD162" t="inlineStr">
        <is>
          <t>Assets/MachineBrigade/Resources/Data/balance.json: weapons[40]</t>
        </is>
      </c>
      <c r="GE162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3">
      <c r="A163" t="inlineStr">
        <is>
          <t>jet_cannon</t>
        </is>
      </c>
      <c r="B163" t="inlineStr">
        <is>
          <t>GSh-30-2 30 mm</t>
        </is>
      </c>
      <c r="C163" t="inlineStr">
        <is>
          <t>cal_30</t>
        </is>
      </c>
      <c r="D163" t="inlineStr"/>
      <c r="E163" t="inlineStr"/>
      <c r="F163" t="inlineStr">
        <is>
          <t>autocannon</t>
        </is>
      </c>
      <c r="G163" t="n">
        <v>30</v>
      </c>
      <c r="H163" t="inlineStr"/>
      <c r="I163" t="inlineStr"/>
      <c r="J163" t="inlineStr"/>
      <c r="K163" t="inlineStr">
        <is>
          <t>Kinetic</t>
        </is>
      </c>
      <c r="L163" t="n">
        <v>2</v>
      </c>
      <c r="M163" t="inlineStr">
        <is>
          <t>Bullet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0.0526</v>
      </c>
      <c r="S163" t="n">
        <v>70</v>
      </c>
      <c r="T163" t="n">
        <v>1.5526</v>
      </c>
      <c r="U163" t="n">
        <v>0</v>
      </c>
      <c r="V163" t="n">
        <v>0</v>
      </c>
      <c r="W163" t="n">
        <v>23</v>
      </c>
      <c r="X163" t="n">
        <v>0</v>
      </c>
      <c r="Y163" t="n">
        <v>0</v>
      </c>
      <c r="Z163" t="n">
        <v>300</v>
      </c>
      <c r="AA163" t="n">
        <v>30</v>
      </c>
      <c r="AB163" t="n">
        <v>0</v>
      </c>
      <c r="AC163" t="inlineStr">
        <is>
          <t>Ground</t>
        </is>
      </c>
      <c r="AD163" t="inlineStr"/>
      <c r="AE163" t="n">
        <v>2.5</v>
      </c>
      <c r="AF163" t="inlineStr">
        <is>
          <t>Small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30</v>
      </c>
      <c r="AO163" t="n">
        <v>0</v>
      </c>
      <c r="AP163" t="inlineStr">
        <is>
          <t>T1</t>
        </is>
      </c>
      <c r="AQ163" t="inlineStr"/>
      <c r="AR163" t="inlineStr">
        <is>
          <t>jet_cannon_flak</t>
        </is>
      </c>
      <c r="AS163" t="inlineStr">
        <is>
          <t>xe</t>
        </is>
      </c>
      <c r="AT163" t="inlineStr">
        <is>
          <t>attack_jet;elite_attack_jet</t>
        </is>
      </c>
      <c r="AU163" t="n">
        <v>2</v>
      </c>
      <c r="AV163" t="inlineStr">
        <is>
          <t>attack_jet:0;elite_attack_jet:0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0.1</v>
      </c>
      <c r="BB163" t="n">
        <v>3000</v>
      </c>
      <c r="BC163" t="inlineStr"/>
      <c r="BD163" t="inlineStr">
        <is>
          <t>ac</t>
        </is>
      </c>
      <c r="BE163" t="inlineStr">
        <is>
          <t>Wikipedia 'GSh-30-2': 3,000 rpm</t>
        </is>
      </c>
      <c r="BG163" t="inlineStr">
        <is>
          <t>giong</t>
        </is>
      </c>
      <c r="CT163" t="n">
        <v>30</v>
      </c>
      <c r="CW163" t="n">
        <v>70</v>
      </c>
      <c r="CX163" t="n">
        <v>1.5526</v>
      </c>
      <c r="DD163" t="n">
        <v>0.0526</v>
      </c>
      <c r="DE163" t="n">
        <v>23</v>
      </c>
      <c r="DF163" t="inlineStr">
        <is>
          <t>Kinetic</t>
        </is>
      </c>
      <c r="DJ163" t="inlineStr">
        <is>
          <t>autocannon</t>
        </is>
      </c>
      <c r="DS163" t="inlineStr">
        <is>
          <t>Small</t>
        </is>
      </c>
      <c r="EB163" t="n">
        <v>2</v>
      </c>
      <c r="EE163" t="b">
        <v>1</v>
      </c>
      <c r="EH163" t="inlineStr">
        <is>
          <t>Bullet</t>
        </is>
      </c>
      <c r="EK163" t="n">
        <v>300</v>
      </c>
      <c r="EP163" t="n">
        <v>30</v>
      </c>
      <c r="EQ163" t="inlineStr">
        <is>
          <t>GSh-30-2 30 mm</t>
        </is>
      </c>
      <c r="EX163" t="n">
        <v>30</v>
      </c>
      <c r="EZ163" t="n">
        <v>2.5</v>
      </c>
      <c r="GB163" t="inlineStr">
        <is>
          <t>cal_30</t>
        </is>
      </c>
      <c r="GD163" t="inlineStr">
        <is>
          <t>Assets/MachineBrigade/Resources/Data/balance.json: weapons[38]</t>
        </is>
      </c>
      <c r="GE163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4">
      <c r="A164" t="inlineStr">
        <is>
          <t>jet_cannon_flak</t>
        </is>
      </c>
      <c r="B164" t="inlineStr">
        <is>
          <t>GSh-30-2 30 mm air-burst</t>
        </is>
      </c>
      <c r="C164" t="inlineStr">
        <is>
          <t>cal_30</t>
        </is>
      </c>
      <c r="D164" t="inlineStr">
        <is>
          <t>flak</t>
        </is>
      </c>
      <c r="E164" t="inlineStr"/>
      <c r="F164" t="inlineStr">
        <is>
          <t>autocannon</t>
        </is>
      </c>
      <c r="G164" t="n">
        <v>30</v>
      </c>
      <c r="H164" t="inlineStr"/>
      <c r="I164" t="inlineStr"/>
      <c r="J164" t="inlineStr"/>
      <c r="K164" t="inlineStr">
        <is>
          <t>Fragmentation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0.0526</v>
      </c>
      <c r="S164" t="n">
        <v>70</v>
      </c>
      <c r="T164" t="n">
        <v>1.5526</v>
      </c>
      <c r="U164" t="n">
        <v>0</v>
      </c>
      <c r="V164" t="n">
        <v>0</v>
      </c>
      <c r="W164" t="n">
        <v>23</v>
      </c>
      <c r="X164" t="n">
        <v>2.5</v>
      </c>
      <c r="Y164" t="n">
        <v>0</v>
      </c>
      <c r="Z164" t="n">
        <v>300</v>
      </c>
      <c r="AA164" t="n">
        <v>30</v>
      </c>
      <c r="AB164" t="n">
        <v>0</v>
      </c>
      <c r="AC164" t="inlineStr">
        <is>
          <t>Air</t>
        </is>
      </c>
      <c r="AD164" t="inlineStr"/>
      <c r="AE164" t="n">
        <v>2.5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30</v>
      </c>
      <c r="AO164" t="n">
        <v>0</v>
      </c>
      <c r="AP164" t="inlineStr">
        <is>
          <t>T1</t>
        </is>
      </c>
      <c r="AQ164" t="inlineStr">
        <is>
          <t>jet_cannon</t>
        </is>
      </c>
      <c r="AR164" t="inlineStr"/>
      <c r="AS164" t="inlineStr"/>
      <c r="AT164" t="inlineStr"/>
      <c r="AU164" t="n">
        <v>0</v>
      </c>
      <c r="AV164" t="inlineStr"/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</v>
      </c>
      <c r="BB164" t="n">
        <v>3000</v>
      </c>
      <c r="BC164" t="inlineStr"/>
      <c r="BD164" t="inlineStr">
        <is>
          <t>ac</t>
        </is>
      </c>
      <c r="BE164" t="inlineStr">
        <is>
          <t>Wikipedia 'GSh-30-2': 3,000 rpm</t>
        </is>
      </c>
      <c r="BG164" t="inlineStr">
        <is>
          <t>giong</t>
        </is>
      </c>
      <c r="DE164" t="n">
        <v>23</v>
      </c>
      <c r="DF164" t="inlineStr">
        <is>
          <t>Fragmentation</t>
        </is>
      </c>
      <c r="DM164" t="inlineStr">
        <is>
          <t>air</t>
        </is>
      </c>
      <c r="DN164" t="inlineStr">
        <is>
          <t>Airburst</t>
        </is>
      </c>
      <c r="DT164" t="inlineStr">
        <is>
          <t>jet_cannon</t>
        </is>
      </c>
      <c r="EB164" t="n">
        <v>2</v>
      </c>
      <c r="EE164" t="b">
        <v>0</v>
      </c>
      <c r="EQ164" t="inlineStr">
        <is>
          <t>GSh-30-2 30 mm air-burst</t>
        </is>
      </c>
      <c r="ES164" t="inlineStr">
        <is>
          <t>flak</t>
        </is>
      </c>
      <c r="EU164" t="inlineStr">
        <is>
          <t>jet_cannon</t>
        </is>
      </c>
      <c r="EY164" t="n">
        <v>2.5</v>
      </c>
      <c r="FW164" t="inlineStr">
        <is>
          <t>Air</t>
        </is>
      </c>
      <c r="GA164" t="inlineStr"/>
      <c r="GC164" t="inlineStr">
        <is>
          <t>flak</t>
        </is>
      </c>
      <c r="GD164" t="inlineStr">
        <is>
          <t>Assets/MachineBrigade/Resources/Data/balance.json: secondRounds.rounds[48]</t>
        </is>
      </c>
      <c r="GE164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5">
      <c r="A165" t="inlineStr">
        <is>
          <t>jet_rockets</t>
        </is>
      </c>
      <c r="B165" t="inlineStr">
        <is>
          <t>Hydra 70 mm</t>
        </is>
      </c>
      <c r="C165" t="inlineStr">
        <is>
          <t>rkt_70_80</t>
        </is>
      </c>
      <c r="D165" t="inlineStr"/>
      <c r="E165" t="inlineStr">
        <is>
          <t>hydra_70_mm</t>
        </is>
      </c>
      <c r="F165" t="inlineStr">
        <is>
          <t>rocket</t>
        </is>
      </c>
      <c r="G165" t="n">
        <v>70</v>
      </c>
      <c r="H165" t="inlineStr"/>
      <c r="I165" t="inlineStr"/>
      <c r="J165" t="inlineStr"/>
      <c r="K165" t="inlineStr">
        <is>
          <t>HighExplosive</t>
        </is>
      </c>
      <c r="L165" t="n">
        <v>2</v>
      </c>
      <c r="M165" t="inlineStr">
        <is>
          <t>Rocket</t>
        </is>
      </c>
      <c r="N165" t="n">
        <v>1</v>
      </c>
      <c r="O165" t="inlineStr">
        <is>
          <t>RIPPLE</t>
        </is>
      </c>
      <c r="P165" t="n">
        <v>7</v>
      </c>
      <c r="Q165" t="n">
        <v>0.08</v>
      </c>
      <c r="R165" t="n">
        <v>2.55</v>
      </c>
      <c r="S165" t="n">
        <v>0</v>
      </c>
      <c r="T165" t="n">
        <v>0</v>
      </c>
      <c r="U165" t="n">
        <v>0</v>
      </c>
      <c r="V165" t="n">
        <v>0</v>
      </c>
      <c r="W165" t="n">
        <v>30</v>
      </c>
      <c r="X165" t="n">
        <v>3</v>
      </c>
      <c r="Y165" t="n">
        <v>0</v>
      </c>
      <c r="Z165" t="n">
        <v>180</v>
      </c>
      <c r="AA165" t="n">
        <v>36</v>
      </c>
      <c r="AB165" t="n">
        <v>0</v>
      </c>
      <c r="AC165" t="inlineStr">
        <is>
          <t>Ground</t>
        </is>
      </c>
      <c r="AD165" t="inlineStr"/>
      <c r="AE165" t="n">
        <v>4</v>
      </c>
      <c r="AF165" t="inlineStr">
        <is>
          <t>Medium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70</v>
      </c>
      <c r="AO165" t="n">
        <v>14</v>
      </c>
      <c r="AP165" t="inlineStr">
        <is>
          <t>T2</t>
        </is>
      </c>
      <c r="AQ165" t="inlineStr"/>
      <c r="AR165" t="inlineStr"/>
      <c r="AS165" t="inlineStr"/>
      <c r="AT165" t="inlineStr"/>
      <c r="AU165" t="n">
        <v>0</v>
      </c>
      <c r="AV165" t="inlineStr"/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0.2</v>
      </c>
      <c r="BB165" t="n">
        <v>900</v>
      </c>
      <c r="BC165" t="inlineStr"/>
      <c r="BD165" t="inlineStr">
        <is>
          <t>rocket</t>
        </is>
      </c>
      <c r="BE165" t="inlineStr">
        <is>
          <t>rocket pods: ripples of 0.05-0.12 s (DECISIONS 19R)</t>
        </is>
      </c>
      <c r="BG165" t="inlineStr">
        <is>
          <t>doi</t>
        </is>
      </c>
      <c r="BR165" t="n">
        <v>40</v>
      </c>
      <c r="BS165" t="n">
        <v>180</v>
      </c>
      <c r="CR165" t="n">
        <v>7</v>
      </c>
      <c r="CS165" t="n">
        <v>0.08</v>
      </c>
      <c r="CT165" t="n">
        <v>70</v>
      </c>
      <c r="DD165" t="n">
        <v>2.55</v>
      </c>
      <c r="DE165" t="n">
        <v>30</v>
      </c>
      <c r="DF165" t="inlineStr">
        <is>
          <t>HighExplosive</t>
        </is>
      </c>
      <c r="DJ165" t="inlineStr">
        <is>
          <t>rocket</t>
        </is>
      </c>
      <c r="DS165" t="inlineStr">
        <is>
          <t>Medium</t>
        </is>
      </c>
      <c r="DW165" t="n">
        <v>14</v>
      </c>
      <c r="EB165" t="n">
        <v>2</v>
      </c>
      <c r="EH165" t="inlineStr">
        <is>
          <t>Rocket</t>
        </is>
      </c>
      <c r="EP165" t="n">
        <v>36</v>
      </c>
      <c r="EQ165" t="inlineStr">
        <is>
          <t>Hydra 70 mm</t>
        </is>
      </c>
      <c r="EX165" t="n">
        <v>70</v>
      </c>
      <c r="EZ165" t="n">
        <v>4</v>
      </c>
      <c r="GA165" t="inlineStr">
        <is>
          <t>hydra_70_mm</t>
        </is>
      </c>
      <c r="GB165" t="inlineStr">
        <is>
          <t>rkt_70_80</t>
        </is>
      </c>
      <c r="GD165" t="inlineStr">
        <is>
          <t>Assets/MachineBrigade/Resources/Data/balance.json: weapons[39]</t>
        </is>
      </c>
      <c r="GE165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6">
      <c r="A166" t="inlineStr">
        <is>
          <t>kh29</t>
        </is>
      </c>
      <c r="B166" t="inlineStr">
        <is>
          <t>Kh-29L</t>
        </is>
      </c>
      <c r="C166" t="inlineStr">
        <is>
          <t>atgm_kh_29l</t>
        </is>
      </c>
      <c r="D166" t="inlineStr"/>
      <c r="E166" t="inlineStr"/>
      <c r="F166" t="inlineStr">
        <is>
          <t>atgm</t>
        </is>
      </c>
      <c r="G166" t="inlineStr"/>
      <c r="H166" t="n">
        <v>320</v>
      </c>
      <c r="I166" t="inlineStr"/>
      <c r="J166" t="inlineStr"/>
      <c r="K166" t="inlineStr">
        <is>
          <t>ShapedCharge</t>
        </is>
      </c>
      <c r="L166" t="n">
        <v>4</v>
      </c>
      <c r="M166" t="inlineStr">
        <is>
          <t>Missile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7.86</v>
      </c>
      <c r="S166" t="n">
        <v>0</v>
      </c>
      <c r="T166" t="n">
        <v>0</v>
      </c>
      <c r="U166" t="n">
        <v>0</v>
      </c>
      <c r="V166" t="n">
        <v>0</v>
      </c>
      <c r="W166" t="n">
        <v>378</v>
      </c>
      <c r="X166" t="n">
        <v>0</v>
      </c>
      <c r="Y166" t="n">
        <v>0</v>
      </c>
      <c r="Z166" t="n">
        <v>120</v>
      </c>
      <c r="AA166" t="n">
        <v>40</v>
      </c>
      <c r="AB166" t="n">
        <v>0</v>
      </c>
      <c r="AC166" t="inlineStr">
        <is>
          <t>Ground</t>
        </is>
      </c>
      <c r="AD166" t="inlineStr"/>
      <c r="AE166" t="n">
        <v>0</v>
      </c>
      <c r="AF166" t="inlineStr">
        <is>
          <t>Large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680</v>
      </c>
      <c r="AO166" t="n">
        <v>2</v>
      </c>
      <c r="AP166" t="inlineStr">
        <is>
          <t>T4</t>
        </is>
      </c>
      <c r="AQ166" t="inlineStr"/>
      <c r="AR166" t="inlineStr"/>
      <c r="AS166" t="inlineStr">
        <is>
          <t>xe</t>
        </is>
      </c>
      <c r="AT166" t="inlineStr">
        <is>
          <t>attack_jet;elite_attack_jet</t>
        </is>
      </c>
      <c r="AU166" t="n">
        <v>2</v>
      </c>
      <c r="AV166" t="inlineStr">
        <is>
          <t>attack_jet:3;elite_attack_jet:3</t>
        </is>
      </c>
      <c r="AW166" t="n">
        <v>2.5</v>
      </c>
      <c r="AX166" t="b">
        <v>0</v>
      </c>
      <c r="AY166" t="inlineStr"/>
      <c r="AZ166">
        <f>IF(AND($AX$166,$AW$166&gt;$AA$166/$Z$166),$AW$166,$AA$166/$Z$166)</f>
        <v/>
      </c>
      <c r="BA166" t="n">
        <v>0.3333333333333333</v>
      </c>
      <c r="BB166" t="n">
        <v>60</v>
      </c>
      <c r="BC166" t="n">
        <v>10</v>
      </c>
      <c r="BD166" t="inlineStr">
        <is>
          <t>atgm</t>
        </is>
      </c>
      <c r="BE166" t="inlineStr">
        <is>
          <t>air-launched: ripples ~1 s apart, est. 6 s an aimed shot</t>
        </is>
      </c>
      <c r="BG166" t="inlineStr">
        <is>
          <t>doi</t>
        </is>
      </c>
      <c r="BR166" t="n">
        <v>32</v>
      </c>
      <c r="BS166" t="n">
        <v>120</v>
      </c>
      <c r="DD166" t="n">
        <v>7.86</v>
      </c>
      <c r="DE166" t="n">
        <v>378</v>
      </c>
      <c r="DF166" t="inlineStr">
        <is>
          <t>ShapedCharge</t>
        </is>
      </c>
      <c r="DJ166" t="inlineStr">
        <is>
          <t>atgm</t>
        </is>
      </c>
      <c r="DS166" t="inlineStr">
        <is>
          <t>Large</t>
        </is>
      </c>
      <c r="DW166" t="n">
        <v>2</v>
      </c>
      <c r="EB166" t="n">
        <v>4</v>
      </c>
      <c r="EE166" t="b">
        <v>1</v>
      </c>
      <c r="EH166" t="inlineStr">
        <is>
          <t>Missile</t>
        </is>
      </c>
      <c r="EI166" t="inlineStr">
        <is>
          <t>kh29l</t>
        </is>
      </c>
      <c r="EJ166" t="n">
        <v>0.975</v>
      </c>
      <c r="EK166" t="n">
        <v>120</v>
      </c>
      <c r="EP166" t="n">
        <v>40</v>
      </c>
      <c r="EQ166" t="inlineStr">
        <is>
          <t>Kh-29L</t>
        </is>
      </c>
      <c r="ET166" t="n">
        <v>1.95</v>
      </c>
      <c r="EV166" t="n">
        <v>690</v>
      </c>
      <c r="EX166" t="n">
        <v>680</v>
      </c>
      <c r="FZ166" t="n">
        <v>320</v>
      </c>
      <c r="GB166" t="inlineStr">
        <is>
          <t>atgm_kh_29l</t>
        </is>
      </c>
      <c r="GD166" t="inlineStr">
        <is>
          <t>Assets/MachineBrigade/Resources/Data/balance.json: weapons[69]</t>
        </is>
      </c>
      <c r="GE166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impactTier":"Large","projectile":"Missile","roundWeight":690}</t>
        </is>
      </c>
    </row>
    <row r="167">
      <c r="A167" t="inlineStr">
        <is>
          <t>kornet_multi</t>
        </is>
      </c>
      <c r="B167" t="inlineStr">
        <is>
          <t>9M133 Kornet</t>
        </is>
      </c>
      <c r="C167" t="inlineStr">
        <is>
          <t>atgm_kornet</t>
        </is>
      </c>
      <c r="D167" t="inlineStr"/>
      <c r="E167" t="inlineStr">
        <is>
          <t>9m133_kornet</t>
        </is>
      </c>
      <c r="F167" t="inlineStr">
        <is>
          <t>atgm</t>
        </is>
      </c>
      <c r="G167" t="inlineStr"/>
      <c r="H167" t="n">
        <v>7</v>
      </c>
      <c r="I167" t="inlineStr"/>
      <c r="J167" t="inlineStr"/>
      <c r="K167" t="inlineStr">
        <is>
          <t>ShapedCharge</t>
        </is>
      </c>
      <c r="L167" t="n">
        <v>4</v>
      </c>
      <c r="M167" t="inlineStr">
        <is>
          <t>Missile</t>
        </is>
      </c>
      <c r="N167" t="n">
        <v>1</v>
      </c>
      <c r="O167" t="inlineStr">
        <is>
          <t>RIPPLE</t>
        </is>
      </c>
      <c r="P167" t="n">
        <v>2</v>
      </c>
      <c r="Q167" t="n">
        <v>0.6</v>
      </c>
      <c r="R167" t="n">
        <v>4.95</v>
      </c>
      <c r="S167" t="n">
        <v>0</v>
      </c>
      <c r="T167" t="n">
        <v>0</v>
      </c>
      <c r="U167" t="n">
        <v>0</v>
      </c>
      <c r="V167" t="n">
        <v>0</v>
      </c>
      <c r="W167" t="n">
        <v>230</v>
      </c>
      <c r="X167" t="n">
        <v>0</v>
      </c>
      <c r="Y167" t="n">
        <v>0</v>
      </c>
      <c r="Z167" t="n">
        <v>80</v>
      </c>
      <c r="AA167" t="n">
        <v>50</v>
      </c>
      <c r="AB167" t="n">
        <v>0</v>
      </c>
      <c r="AC167" t="inlineStr">
        <is>
          <t>All</t>
        </is>
      </c>
      <c r="AD167" t="inlineStr"/>
      <c r="AE167" t="n">
        <v>0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29</v>
      </c>
      <c r="AO167" t="n">
        <v>0</v>
      </c>
      <c r="AP167" t="inlineStr">
        <is>
          <t>T2</t>
        </is>
      </c>
      <c r="AQ167" t="inlineStr">
        <is>
          <t>tower_kornet</t>
        </is>
      </c>
      <c r="AR167" t="inlineStr"/>
      <c r="AS167" t="inlineStr">
        <is>
          <t>thap</t>
        </is>
      </c>
      <c r="AT167" t="inlineStr">
        <is>
          <t>atgm_tower.multi</t>
        </is>
      </c>
      <c r="AU167" t="n">
        <v>1</v>
      </c>
      <c r="AV167" t="inlineStr">
        <is>
          <t>atgm_tower.multi:0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0.625</v>
      </c>
      <c r="BB167" t="n">
        <v>3</v>
      </c>
      <c r="BC167" t="n">
        <v>3</v>
      </c>
      <c r="BD167" t="inlineStr">
        <is>
          <t>atgm</t>
        </is>
      </c>
      <c r="BE167" t="inlineStr">
        <is>
          <t>Wikipedia '9M133 Kornet': 2-3 rpm</t>
        </is>
      </c>
      <c r="BG167" t="inlineStr">
        <is>
          <t>doi</t>
        </is>
      </c>
      <c r="BR167" t="n">
        <v>22</v>
      </c>
      <c r="BS167" t="n">
        <v>80</v>
      </c>
      <c r="DD167" t="n">
        <v>4.95</v>
      </c>
      <c r="DJ167" t="inlineStr">
        <is>
          <t>atgm</t>
        </is>
      </c>
      <c r="DT167" t="inlineStr">
        <is>
          <t>tower_kornet</t>
        </is>
      </c>
      <c r="EB167" t="n">
        <v>4</v>
      </c>
      <c r="EQ167" t="inlineStr">
        <is>
          <t>9M133 Kornet</t>
        </is>
      </c>
      <c r="EX167" t="n">
        <v>29</v>
      </c>
      <c r="FW167" t="inlineStr">
        <is>
          <t>All</t>
        </is>
      </c>
      <c r="FZ167" t="n">
        <v>7</v>
      </c>
      <c r="GA167" t="inlineStr">
        <is>
          <t>9m133_kornet</t>
        </is>
      </c>
      <c r="GD167" t="inlineStr">
        <is>
          <t>Assets/MachineBrigade/Resources/Data/balance.json: weapons[117]</t>
        </is>
      </c>
      <c r="GE167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68">
      <c r="A168" t="inlineStr">
        <is>
          <t>kornet_top</t>
        </is>
      </c>
      <c r="B168" t="inlineStr">
        <is>
          <t>9M133 Kornet</t>
        </is>
      </c>
      <c r="C168" t="inlineStr">
        <is>
          <t>atgm_kornet</t>
        </is>
      </c>
      <c r="D168" t="inlineStr"/>
      <c r="E168" t="inlineStr">
        <is>
          <t>9m133_kornet</t>
        </is>
      </c>
      <c r="F168" t="inlineStr">
        <is>
          <t>atgm</t>
        </is>
      </c>
      <c r="G168" t="inlineStr"/>
      <c r="H168" t="n">
        <v>7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2</v>
      </c>
      <c r="Q168" t="n">
        <v>0.6</v>
      </c>
      <c r="R168" t="n">
        <v>4.6</v>
      </c>
      <c r="S168" t="n">
        <v>0</v>
      </c>
      <c r="T168" t="n">
        <v>0</v>
      </c>
      <c r="U168" t="n">
        <v>0</v>
      </c>
      <c r="V168" t="n">
        <v>0</v>
      </c>
      <c r="W168" t="n">
        <v>230</v>
      </c>
      <c r="X168" t="n">
        <v>0</v>
      </c>
      <c r="Y168" t="n">
        <v>0</v>
      </c>
      <c r="Z168" t="n">
        <v>80</v>
      </c>
      <c r="AA168" t="n">
        <v>50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Medium</t>
        </is>
      </c>
      <c r="AG168" t="b">
        <v>1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29</v>
      </c>
      <c r="AO168" t="n">
        <v>0</v>
      </c>
      <c r="AP168" t="inlineStr">
        <is>
          <t>T2</t>
        </is>
      </c>
      <c r="AQ168" t="inlineStr">
        <is>
          <t>tower_kornet</t>
        </is>
      </c>
      <c r="AR168" t="inlineStr"/>
      <c r="AS168" t="inlineStr">
        <is>
          <t>thap</t>
        </is>
      </c>
      <c r="AT168" t="inlineStr">
        <is>
          <t>atgm_tower.top</t>
        </is>
      </c>
      <c r="AU168" t="n">
        <v>1</v>
      </c>
      <c r="AV168" t="inlineStr">
        <is>
          <t>atgm_tower.top:0</t>
        </is>
      </c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0.625</v>
      </c>
      <c r="BB168" t="n">
        <v>3</v>
      </c>
      <c r="BC168" t="n">
        <v>3</v>
      </c>
      <c r="BD168" t="inlineStr">
        <is>
          <t>atgm</t>
        </is>
      </c>
      <c r="BE168" t="inlineStr">
        <is>
          <t>Wikipedia '9M133 Kornet': 2-3 rpm</t>
        </is>
      </c>
      <c r="BG168" t="inlineStr">
        <is>
          <t>doi</t>
        </is>
      </c>
      <c r="BR168" t="n">
        <v>22</v>
      </c>
      <c r="BS168" t="n">
        <v>80</v>
      </c>
      <c r="DD168" t="n">
        <v>4.6</v>
      </c>
      <c r="DJ168" t="inlineStr">
        <is>
          <t>atgm</t>
        </is>
      </c>
      <c r="DT168" t="inlineStr">
        <is>
          <t>tower_kornet</t>
        </is>
      </c>
      <c r="EB168" t="n">
        <v>4</v>
      </c>
      <c r="EQ168" t="inlineStr">
        <is>
          <t>9M133 Kornet</t>
        </is>
      </c>
      <c r="EX168" t="n">
        <v>29</v>
      </c>
      <c r="FY168" t="b">
        <v>1</v>
      </c>
      <c r="FZ168" t="n">
        <v>7</v>
      </c>
      <c r="GA168" t="inlineStr">
        <is>
          <t>9m133_kornet</t>
        </is>
      </c>
      <c r="GD168" t="inlineStr">
        <is>
          <t>Assets/MachineBrigade/Resources/Data/balance.json: weapons[116]</t>
        </is>
      </c>
      <c r="GE168" t="inlineStr">
        <is>
          <t>{"id":"kornet_top","weaponFamily":"9m133_kornet","cooldown":4.6,"real":"9M133 Kornet","family":"atgm","size":29,"warheadKg":7,"pen":4,"topAttack":true,"inherits":"tower_kornet"}</t>
        </is>
      </c>
    </row>
    <row r="169">
      <c r="A169" t="inlineStr">
        <is>
          <t>kornet_twin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10.51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Ground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/>
      <c r="AR169" t="inlineStr"/>
      <c r="AS169" t="inlineStr"/>
      <c r="AT169" t="inlineStr"/>
      <c r="AU169" t="n">
        <v>0</v>
      </c>
      <c r="AV169" t="inlineStr"/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CR169" t="n">
        <v>2</v>
      </c>
      <c r="CS169" t="n">
        <v>0.6</v>
      </c>
      <c r="DD169" t="n">
        <v>10.51</v>
      </c>
      <c r="DE169" t="n">
        <v>230</v>
      </c>
      <c r="DF169" t="inlineStr">
        <is>
          <t>ShapedCharge</t>
        </is>
      </c>
      <c r="DJ169" t="inlineStr">
        <is>
          <t>atgm</t>
        </is>
      </c>
      <c r="DS169" t="inlineStr">
        <is>
          <t>Medium</t>
        </is>
      </c>
      <c r="EB169" t="n">
        <v>4</v>
      </c>
      <c r="EE169" t="b">
        <v>1</v>
      </c>
      <c r="EH169" t="inlineStr">
        <is>
          <t>Missile</t>
        </is>
      </c>
      <c r="EP169" t="n">
        <v>50</v>
      </c>
      <c r="EQ169" t="inlineStr">
        <is>
          <t>9M133 Kornet</t>
        </is>
      </c>
      <c r="EX169" t="n">
        <v>29</v>
      </c>
      <c r="FZ169" t="n">
        <v>7</v>
      </c>
      <c r="GA169" t="inlineStr">
        <is>
          <t>9m133_kornet</t>
        </is>
      </c>
      <c r="GB169" t="inlineStr">
        <is>
          <t>atgm_kornet</t>
        </is>
      </c>
      <c r="GD169" t="inlineStr">
        <is>
          <t>Assets/MachineBrigade/Resources/Data/balance.json: weapons[102]</t>
        </is>
      </c>
      <c r="GE169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0">
      <c r="A170" t="inlineStr">
        <is>
          <t>lancet</t>
        </is>
      </c>
      <c r="B170" t="inlineStr">
        <is>
          <t>ZALA Lancet-3 (3 kg)</t>
        </is>
      </c>
      <c r="C170" t="inlineStr">
        <is>
          <t>drone_zala_lancet_3</t>
        </is>
      </c>
      <c r="D170" t="inlineStr"/>
      <c r="E170" t="inlineStr">
        <is>
          <t>zala_lancet_3</t>
        </is>
      </c>
      <c r="F170" t="inlineStr">
        <is>
          <t>drone</t>
        </is>
      </c>
      <c r="G170" t="inlineStr"/>
      <c r="H170" t="n">
        <v>3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Drone</t>
        </is>
      </c>
      <c r="N170" t="n">
        <v>1</v>
      </c>
      <c r="O170" t="inlineStr">
        <is>
          <t>RIPPLE</t>
        </is>
      </c>
      <c r="P170" t="n">
        <v>1</v>
      </c>
      <c r="Q170" t="n">
        <v>0.1</v>
      </c>
      <c r="R170" t="n">
        <v>8.372</v>
      </c>
      <c r="S170" t="n">
        <v>0</v>
      </c>
      <c r="T170" t="n">
        <v>0</v>
      </c>
      <c r="U170" t="n">
        <v>8</v>
      </c>
      <c r="V170" t="n">
        <v>0</v>
      </c>
      <c r="W170" t="n">
        <v>240</v>
      </c>
      <c r="X170" t="n">
        <v>3</v>
      </c>
      <c r="Y170" t="n">
        <v>0</v>
      </c>
      <c r="Z170" t="n">
        <v>28</v>
      </c>
      <c r="AA170" t="n">
        <v>100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3</v>
      </c>
      <c r="AO170" t="n">
        <v>0</v>
      </c>
      <c r="AP170" t="inlineStr">
        <is>
          <t>T2</t>
        </is>
      </c>
      <c r="AQ170" t="inlineStr"/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3.571428571428572</v>
      </c>
      <c r="BB170" t="inlineStr">
        <is>
          <t>NEED_SOURCE</t>
        </is>
      </c>
      <c r="BC170" t="inlineStr">
        <is>
          <t>NEED_SOURCE</t>
        </is>
      </c>
      <c r="BE170" t="inlineStr">
        <is>
          <t>NEED_SOURCE</t>
        </is>
      </c>
      <c r="BG170" t="inlineStr">
        <is>
          <t>giong</t>
        </is>
      </c>
      <c r="CN170" t="n">
        <v>8</v>
      </c>
      <c r="DD170" t="n">
        <v>8.372</v>
      </c>
      <c r="DE170" t="n">
        <v>240</v>
      </c>
      <c r="DF170" t="inlineStr">
        <is>
          <t>ShapedCharge</t>
        </is>
      </c>
      <c r="DJ170" t="inlineStr">
        <is>
          <t>drone</t>
        </is>
      </c>
      <c r="DR170" t="n">
        <v>1.2</v>
      </c>
      <c r="DS170" t="inlineStr">
        <is>
          <t>Medium</t>
        </is>
      </c>
      <c r="EB170" t="n">
        <v>4</v>
      </c>
      <c r="EE170" t="b">
        <v>1</v>
      </c>
      <c r="EH170" t="inlineStr">
        <is>
          <t>Drone</t>
        </is>
      </c>
      <c r="EP170" t="n">
        <v>100</v>
      </c>
      <c r="EQ170" t="inlineStr">
        <is>
          <t>ZALA Lancet-3 (3 kg)</t>
        </is>
      </c>
      <c r="EX170" t="n">
        <v>3</v>
      </c>
      <c r="FY170" t="b">
        <v>1</v>
      </c>
      <c r="FZ170" t="n">
        <v>3</v>
      </c>
      <c r="GA170" t="inlineStr">
        <is>
          <t>zala_lancet_3</t>
        </is>
      </c>
      <c r="GB170" t="inlineStr">
        <is>
          <t>drone_zala_lancet_3</t>
        </is>
      </c>
      <c r="GD170" t="inlineStr">
        <is>
          <t>Assets/MachineBrigade/Resources/Data/balance.json: weapons[74]</t>
        </is>
      </c>
      <c r="GE170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1">
      <c r="A171" t="inlineStr">
        <is>
          <t>lancet_hangar</t>
        </is>
      </c>
      <c r="B171" t="inlineStr">
        <is>
          <t>ZALA Lancet-3 (3 kg)</t>
        </is>
      </c>
      <c r="C171" t="inlineStr">
        <is>
          <t>drone_zala_lancet_3</t>
        </is>
      </c>
      <c r="D171" t="inlineStr"/>
      <c r="E171" t="inlineStr">
        <is>
          <t>zala_lancet_3</t>
        </is>
      </c>
      <c r="F171" t="inlineStr">
        <is>
          <t>drone</t>
        </is>
      </c>
      <c r="G171" t="inlineStr"/>
      <c r="H171" t="n">
        <v>3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Drone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3.6</v>
      </c>
      <c r="S171" t="n">
        <v>0</v>
      </c>
      <c r="T171" t="n">
        <v>0</v>
      </c>
      <c r="U171" t="n">
        <v>0</v>
      </c>
      <c r="V171" t="n">
        <v>0</v>
      </c>
      <c r="W171" t="n">
        <v>240</v>
      </c>
      <c r="X171" t="n">
        <v>3</v>
      </c>
      <c r="Y171" t="n">
        <v>0</v>
      </c>
      <c r="Z171" t="n">
        <v>28</v>
      </c>
      <c r="AA171" t="n">
        <v>100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1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</v>
      </c>
      <c r="AO171" t="n">
        <v>0</v>
      </c>
      <c r="AP171" t="inlineStr">
        <is>
          <t>T2</t>
        </is>
      </c>
      <c r="AQ171" t="inlineStr">
        <is>
          <t>lancet</t>
        </is>
      </c>
      <c r="AR171" t="inlineStr"/>
      <c r="AS171" t="inlineStr">
        <is>
          <t>thap</t>
        </is>
      </c>
      <c r="AT171" t="inlineStr">
        <is>
          <t>drone_hangar.lancet</t>
        </is>
      </c>
      <c r="AU171" t="n">
        <v>1</v>
      </c>
      <c r="AV171" t="inlineStr">
        <is>
          <t>drone_hangar.lancet:0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3.571428571428572</v>
      </c>
      <c r="BB171" t="inlineStr">
        <is>
          <t>NEED_SOURCE</t>
        </is>
      </c>
      <c r="BC171" t="inlineStr">
        <is>
          <t>NEED_SOURCE</t>
        </is>
      </c>
      <c r="BE171" t="inlineStr">
        <is>
          <t>NEED_SOURCE</t>
        </is>
      </c>
      <c r="BG171" t="inlineStr">
        <is>
          <t>giong</t>
        </is>
      </c>
      <c r="CN171" t="n">
        <v>0</v>
      </c>
      <c r="DD171" t="n">
        <v>3.6</v>
      </c>
      <c r="DJ171" t="inlineStr">
        <is>
          <t>drone</t>
        </is>
      </c>
      <c r="DT171" t="inlineStr">
        <is>
          <t>lancet</t>
        </is>
      </c>
      <c r="EB171" t="n">
        <v>4</v>
      </c>
      <c r="EQ171" t="inlineStr">
        <is>
          <t>ZALA Lancet-3 (3 kg)</t>
        </is>
      </c>
      <c r="EX171" t="n">
        <v>3</v>
      </c>
      <c r="FY171" t="b">
        <v>1</v>
      </c>
      <c r="FZ171" t="n">
        <v>3</v>
      </c>
      <c r="GA171" t="inlineStr">
        <is>
          <t>zala_lancet_3</t>
        </is>
      </c>
      <c r="GD171" t="inlineStr">
        <is>
          <t>Assets/MachineBrigade/Resources/Data/balance.json: weapons[126]</t>
        </is>
      </c>
      <c r="GE171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2">
      <c r="A172" t="inlineStr">
        <is>
          <t>laser_50kw</t>
        </is>
      </c>
      <c r="B172" t="inlineStr">
        <is>
          <t>50 kW laser (Iron Beam fixed site)</t>
        </is>
      </c>
      <c r="C172" t="inlineStr">
        <is>
          <t>laser_50_kw_laser</t>
        </is>
      </c>
      <c r="D172" t="inlineStr"/>
      <c r="E172" t="inlineStr"/>
      <c r="F172" t="inlineStr">
        <is>
          <t>laser</t>
        </is>
      </c>
      <c r="G172" t="inlineStr"/>
      <c r="H172" t="inlineStr"/>
      <c r="I172" t="n">
        <v>50</v>
      </c>
      <c r="J172" t="inlineStr"/>
      <c r="K172" t="inlineStr">
        <is>
          <t>Energy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0.0667</v>
      </c>
      <c r="S172" t="n">
        <v>0</v>
      </c>
      <c r="T172" t="n">
        <v>0</v>
      </c>
      <c r="U172" t="n">
        <v>0</v>
      </c>
      <c r="V172" t="n">
        <v>0</v>
      </c>
      <c r="W172" t="n">
        <v>6</v>
      </c>
      <c r="X172" t="n">
        <v>0</v>
      </c>
      <c r="Y172" t="n">
        <v>0</v>
      </c>
      <c r="Z172" t="n">
        <v>3000</v>
      </c>
      <c r="AA172" t="n">
        <v>40</v>
      </c>
      <c r="AB172" t="n">
        <v>0</v>
      </c>
      <c r="AC172" t="inlineStr">
        <is>
          <t>Air</t>
        </is>
      </c>
      <c r="AD172" t="inlineStr"/>
      <c r="AE172" t="n">
        <v>0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1</v>
      </c>
      <c r="AM172" t="b">
        <v>0</v>
      </c>
      <c r="AN172" t="n">
        <v>50</v>
      </c>
      <c r="AO172" t="n">
        <v>0</v>
      </c>
      <c r="AP172" t="inlineStr">
        <is>
          <t>T1</t>
        </is>
      </c>
      <c r="AQ172" t="inlineStr"/>
      <c r="AR172" t="inlineStr"/>
      <c r="AS172" t="inlineStr">
        <is>
          <t>thap</t>
        </is>
      </c>
      <c r="AT172" t="inlineStr">
        <is>
          <t>laser_ad_station;laser_ad_station.laser</t>
        </is>
      </c>
      <c r="AU172" t="n">
        <v>2</v>
      </c>
      <c r="AV172" t="inlineStr">
        <is>
          <t>laser_ad_station:0;laser_ad_station.laser:0</t>
        </is>
      </c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0.01333333333333333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P172" t="b">
        <v>1</v>
      </c>
      <c r="DD172" t="n">
        <v>0.0667</v>
      </c>
      <c r="DE172" t="n">
        <v>6</v>
      </c>
      <c r="DF172" t="inlineStr">
        <is>
          <t>Energy</t>
        </is>
      </c>
      <c r="DJ172" t="inlineStr">
        <is>
          <t>laser</t>
        </is>
      </c>
      <c r="DS172" t="inlineStr">
        <is>
          <t>Small</t>
        </is>
      </c>
      <c r="EB172" t="n">
        <v>2</v>
      </c>
      <c r="EF172" t="n">
        <v>50</v>
      </c>
      <c r="EG172" t="inlineStr">
        <is>
          <t>Drones</t>
        </is>
      </c>
      <c r="EH172" t="inlineStr">
        <is>
          <t>Bullet</t>
        </is>
      </c>
      <c r="EK172" t="n">
        <v>3000</v>
      </c>
      <c r="EP172" t="n">
        <v>40</v>
      </c>
      <c r="EQ172" t="inlineStr">
        <is>
          <t>50 kW laser (Iron Beam fixed site)</t>
        </is>
      </c>
      <c r="EX172" t="n">
        <v>50</v>
      </c>
      <c r="FW172" t="inlineStr">
        <is>
          <t>Air</t>
        </is>
      </c>
      <c r="GB172" t="inlineStr">
        <is>
          <t>laser_50_kw_laser</t>
        </is>
      </c>
      <c r="GD172" t="inlineStr">
        <is>
          <t>Assets/MachineBrigade/Resources/Data/balance.json: weapons[259]</t>
        </is>
      </c>
      <c r="GE172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3">
      <c r="A173" t="inlineStr">
        <is>
          <t>leviathan_460</t>
        </is>
      </c>
      <c r="B173" t="inlineStr">
        <is>
          <t>Mk 7 406 mm/50 (Iowa, triple)</t>
        </is>
      </c>
      <c r="C173" t="inlineStr">
        <is>
          <t>cal_406</t>
        </is>
      </c>
      <c r="D173" t="inlineStr"/>
      <c r="E173" t="inlineStr"/>
      <c r="F173" t="inlineStr">
        <is>
          <t>howitzer</t>
        </is>
      </c>
      <c r="G173" t="n">
        <v>406</v>
      </c>
      <c r="H173" t="inlineStr"/>
      <c r="I173" t="inlineStr"/>
      <c r="J173" t="inlineStr"/>
      <c r="K173" t="inlineStr">
        <is>
          <t>HighExplosive</t>
        </is>
      </c>
      <c r="L173" t="n">
        <v>4</v>
      </c>
      <c r="M173" t="inlineStr">
        <is>
          <t>Shell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14</v>
      </c>
      <c r="S173" t="n">
        <v>0</v>
      </c>
      <c r="T173" t="n">
        <v>0</v>
      </c>
      <c r="U173" t="n">
        <v>0</v>
      </c>
      <c r="V173" t="n">
        <v>0</v>
      </c>
      <c r="W173" t="n">
        <v>950</v>
      </c>
      <c r="X173" t="n">
        <v>13</v>
      </c>
      <c r="Y173" t="n">
        <v>0</v>
      </c>
      <c r="Z173" t="n">
        <v>200</v>
      </c>
      <c r="AA173" t="n">
        <v>160</v>
      </c>
      <c r="AB173" t="n">
        <v>0</v>
      </c>
      <c r="AC173" t="inlineStr">
        <is>
          <t>Ground</t>
        </is>
      </c>
      <c r="AD173" t="inlineStr"/>
      <c r="AE173" t="n">
        <v>3</v>
      </c>
      <c r="AF173" t="inlineStr">
        <is>
          <t>Ultimate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1</v>
      </c>
      <c r="AL173" t="b">
        <v>0</v>
      </c>
      <c r="AM173" t="b">
        <v>0</v>
      </c>
      <c r="AN173" t="n">
        <v>406</v>
      </c>
      <c r="AO173" t="n">
        <v>0</v>
      </c>
      <c r="AP173" t="inlineStr">
        <is>
          <t>T5</t>
        </is>
      </c>
      <c r="AQ173" t="inlineStr"/>
      <c r="AR173" t="inlineStr">
        <is>
          <t>leviathan_460_guided</t>
        </is>
      </c>
      <c r="AS173" t="inlineStr"/>
      <c r="AT173" t="inlineStr"/>
      <c r="AU173" t="n">
        <v>0</v>
      </c>
      <c r="AV173" t="inlineStr"/>
      <c r="AW173" t="n">
        <v>3.5</v>
      </c>
      <c r="AX173" t="b">
        <v>0</v>
      </c>
      <c r="AY173" t="inlineStr"/>
      <c r="AZ173">
        <f>IF(AND($AX$173,$AW$173&gt;$AA$173/$Z$173),$AW$173,$AA$173/$Z$173)</f>
        <v/>
      </c>
      <c r="BA173" t="n">
        <v>0.8</v>
      </c>
      <c r="BB173" t="n">
        <v>2</v>
      </c>
      <c r="BC173" t="n">
        <v>2</v>
      </c>
      <c r="BD173" t="inlineStr">
        <is>
          <t>gun</t>
        </is>
      </c>
      <c r="BE173" t="inlineStr">
        <is>
          <t>Wikipedia '16"/50 caliber Mark 7': 2 rpm a gun</t>
        </is>
      </c>
      <c r="BG173" t="inlineStr">
        <is>
          <t>doi</t>
        </is>
      </c>
      <c r="BR173" t="n">
        <v>60</v>
      </c>
      <c r="BS173" t="n">
        <v>200</v>
      </c>
      <c r="CT173" t="n">
        <v>406</v>
      </c>
      <c r="DD173" t="n">
        <v>14</v>
      </c>
      <c r="DE173" t="n">
        <v>950</v>
      </c>
      <c r="DF173" t="inlineStr">
        <is>
          <t>HighExplosive</t>
        </is>
      </c>
      <c r="DJ173" t="inlineStr">
        <is>
          <t>howitzer</t>
        </is>
      </c>
      <c r="DS173" t="inlineStr">
        <is>
          <t>Ultimate</t>
        </is>
      </c>
      <c r="DV173" t="b">
        <v>1</v>
      </c>
      <c r="EB173" t="n">
        <v>4</v>
      </c>
      <c r="EI173" t="inlineStr">
        <is>
          <t>shell_155</t>
        </is>
      </c>
      <c r="EJ173" t="n">
        <v>1.4182</v>
      </c>
      <c r="EK173" t="n">
        <v>200</v>
      </c>
      <c r="EP173" t="n">
        <v>160</v>
      </c>
      <c r="EQ173" t="inlineStr">
        <is>
          <t>Mk 7 406 mm/50 (Iowa, triple)</t>
        </is>
      </c>
      <c r="ET173" t="n">
        <v>1.56</v>
      </c>
      <c r="EX173" t="n">
        <v>406</v>
      </c>
      <c r="EY173" t="n">
        <v>13</v>
      </c>
      <c r="EZ173" t="n">
        <v>3</v>
      </c>
      <c r="GB173" t="inlineStr">
        <is>
          <t>cal_406</t>
        </is>
      </c>
      <c r="GD173" t="inlineStr">
        <is>
          <t>Assets/MachineBrigade/Resources/Data/balance.json: weapons[234]</t>
        </is>
      </c>
      <c r="GE173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4">
      <c r="A174" t="inlineStr">
        <is>
          <t>leviathan_460_guided</t>
        </is>
      </c>
      <c r="B174" t="inlineStr">
        <is>
          <t>Mk 7 406 mm/50 guided (Iowa, triple)</t>
        </is>
      </c>
      <c r="C174" t="inlineStr">
        <is>
          <t>cal_406</t>
        </is>
      </c>
      <c r="D174" t="inlineStr"/>
      <c r="E174" t="inlineStr"/>
      <c r="F174" t="inlineStr">
        <is>
          <t>howitzer</t>
        </is>
      </c>
      <c r="G174" t="n">
        <v>406</v>
      </c>
      <c r="H174" t="inlineStr"/>
      <c r="I174" t="inlineStr"/>
      <c r="J174" t="inlineStr"/>
      <c r="K174" t="inlineStr">
        <is>
          <t>HighExplosive</t>
        </is>
      </c>
      <c r="L174" t="n">
        <v>4</v>
      </c>
      <c r="M174" t="inlineStr">
        <is>
          <t>Shell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14</v>
      </c>
      <c r="S174" t="n">
        <v>0</v>
      </c>
      <c r="T174" t="n">
        <v>0</v>
      </c>
      <c r="U174" t="n">
        <v>0</v>
      </c>
      <c r="V174" t="n">
        <v>0</v>
      </c>
      <c r="W174" t="n">
        <v>950</v>
      </c>
      <c r="X174" t="n">
        <v>13</v>
      </c>
      <c r="Y174" t="n">
        <v>0</v>
      </c>
      <c r="Z174" t="n">
        <v>200</v>
      </c>
      <c r="AA174" t="n">
        <v>160</v>
      </c>
      <c r="AB174" t="n">
        <v>0</v>
      </c>
      <c r="AC174" t="inlineStr">
        <is>
          <t>Ground</t>
        </is>
      </c>
      <c r="AD174" t="inlineStr"/>
      <c r="AE174" t="n">
        <v>0</v>
      </c>
      <c r="AF174" t="inlineStr">
        <is>
          <t>Ultimate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1</v>
      </c>
      <c r="AL174" t="b">
        <v>0</v>
      </c>
      <c r="AM174" t="b">
        <v>1</v>
      </c>
      <c r="AN174" t="n">
        <v>406</v>
      </c>
      <c r="AO174" t="n">
        <v>0</v>
      </c>
      <c r="AP174" t="inlineStr">
        <is>
          <t>T5</t>
        </is>
      </c>
      <c r="AQ174" t="inlineStr">
        <is>
          <t>leviathan_460</t>
        </is>
      </c>
      <c r="AR174" t="inlineStr"/>
      <c r="AS174" t="inlineStr"/>
      <c r="AT174" t="inlineStr"/>
      <c r="AU174" t="n">
        <v>0</v>
      </c>
      <c r="AV174" t="inlineStr"/>
      <c r="AW174" t="n">
        <v>3.5</v>
      </c>
      <c r="AX174" t="b">
        <v>0</v>
      </c>
      <c r="AY174" t="inlineStr"/>
      <c r="AZ174">
        <f>IF(AND($AX$174,$AW$174&gt;$AA$174/$Z$174),$AW$174,$AA$174/$Z$174)</f>
        <v/>
      </c>
      <c r="BA174" t="n">
        <v>0.8</v>
      </c>
      <c r="BB174" t="n">
        <v>2</v>
      </c>
      <c r="BC174" t="n">
        <v>2</v>
      </c>
      <c r="BD174" t="inlineStr">
        <is>
          <t>gun</t>
        </is>
      </c>
      <c r="BE174" t="inlineStr">
        <is>
          <t>Wikipedia '16"/50 caliber Mark 7': 2 rpm a gun</t>
        </is>
      </c>
      <c r="BG174" t="inlineStr">
        <is>
          <t>doi</t>
        </is>
      </c>
      <c r="BR174" t="n">
        <v>60</v>
      </c>
      <c r="BS174" t="n">
        <v>200</v>
      </c>
      <c r="CR174" t="n">
        <v>1</v>
      </c>
      <c r="DE174" t="n">
        <v>950</v>
      </c>
      <c r="DF174" t="inlineStr">
        <is>
          <t>HighExplosive</t>
        </is>
      </c>
      <c r="DH174" t="b">
        <v>1</v>
      </c>
      <c r="DM174" t="inlineStr">
        <is>
          <t>armour</t>
        </is>
      </c>
      <c r="DN174" t="inlineStr">
        <is>
          <t>HeShell</t>
        </is>
      </c>
      <c r="DP174" t="b">
        <v>1</v>
      </c>
      <c r="DT174" t="inlineStr">
        <is>
          <t>leviathan_460</t>
        </is>
      </c>
      <c r="EB174" t="n">
        <v>4</v>
      </c>
      <c r="EQ174" t="inlineStr">
        <is>
          <t>Mk 7 406 mm/50 guided (Iowa, triple)</t>
        </is>
      </c>
      <c r="ES174" t="inlineStr">
        <is>
          <t>guided</t>
        </is>
      </c>
      <c r="EU174" t="inlineStr">
        <is>
          <t>leviathan_460</t>
        </is>
      </c>
      <c r="EZ174" t="n">
        <v>0</v>
      </c>
      <c r="FW174" t="inlineStr">
        <is>
          <t>Ground</t>
        </is>
      </c>
      <c r="GA174" t="inlineStr"/>
      <c r="GD174" t="inlineStr">
        <is>
          <t>Assets/MachineBrigade/Resources/Data/balance.json: secondRounds.rounds[49]</t>
        </is>
      </c>
      <c r="GE174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5">
      <c r="A175" t="inlineStr">
        <is>
          <t>leviathan_cruise</t>
        </is>
      </c>
      <c r="B175" t="inlineStr">
        <is>
          <t>3M-54 Kalibr</t>
        </is>
      </c>
      <c r="C175" t="inlineStr">
        <is>
          <t>cruise_3m_54_kalibr</t>
        </is>
      </c>
      <c r="D175" t="inlineStr"/>
      <c r="E175" t="inlineStr"/>
      <c r="F175" t="inlineStr">
        <is>
          <t>cruise</t>
        </is>
      </c>
      <c r="G175" t="inlineStr"/>
      <c r="H175" t="n">
        <v>200</v>
      </c>
      <c r="I175" t="inlineStr"/>
      <c r="J175" t="inlineStr"/>
      <c r="K175" t="inlineStr">
        <is>
          <t>HighExplosive</t>
        </is>
      </c>
      <c r="L175" t="n">
        <v>3</v>
      </c>
      <c r="M175" t="inlineStr">
        <is>
          <t>Missile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50</v>
      </c>
      <c r="S175" t="n">
        <v>0</v>
      </c>
      <c r="T175" t="n">
        <v>0</v>
      </c>
      <c r="U175" t="n">
        <v>0</v>
      </c>
      <c r="V175" t="n">
        <v>0</v>
      </c>
      <c r="W175" t="n">
        <v>520</v>
      </c>
      <c r="X175" t="n">
        <v>10</v>
      </c>
      <c r="Y175" t="n">
        <v>0</v>
      </c>
      <c r="Z175" t="n">
        <v>70</v>
      </c>
      <c r="AA175" t="n">
        <v>400</v>
      </c>
      <c r="AB175" t="n">
        <v>0</v>
      </c>
      <c r="AC175" t="inlineStr">
        <is>
          <t>Ground</t>
        </is>
      </c>
      <c r="AD175" t="inlineStr"/>
      <c r="AE175" t="n">
        <v>0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500</v>
      </c>
      <c r="AO175" t="n">
        <v>0</v>
      </c>
      <c r="AP175" t="inlineStr">
        <is>
          <t>T4</t>
        </is>
      </c>
      <c r="AQ175" t="inlineStr"/>
      <c r="AR175" t="inlineStr"/>
      <c r="AS175" t="inlineStr">
        <is>
          <t>boss</t>
        </is>
      </c>
      <c r="AT175" t="inlineStr">
        <is>
          <t>hydra;kraken;leviathan;nyx;scylla;typhon</t>
        </is>
      </c>
      <c r="AU175" t="n">
        <v>6</v>
      </c>
      <c r="AV175" t="inlineStr">
        <is>
          <t>hydra:other;kraken:other;leviathan:other;nyx:other;scylla:other;typhon:other</t>
        </is>
      </c>
      <c r="AW175" t="n">
        <v>2.722222222222222</v>
      </c>
      <c r="AX175" t="b">
        <v>0</v>
      </c>
      <c r="AY175" t="inlineStr"/>
      <c r="AZ175">
        <f>IF(AND($AX$175,$AW$175&gt;$AA$175/$Z$175),$AW$175,$AA$175/$Z$175)</f>
        <v/>
      </c>
      <c r="BA175" t="n">
        <v>5.714285714285714</v>
      </c>
      <c r="BB175" t="n">
        <v>20</v>
      </c>
      <c r="BC175" t="n">
        <v>6</v>
      </c>
      <c r="BD175" t="inlineStr">
        <is>
          <t>missile</t>
        </is>
      </c>
      <c r="BE175" t="inlineStr">
        <is>
          <t>cruise missiles: ~3 s between launches (est.)</t>
        </is>
      </c>
      <c r="BG175" t="inlineStr">
        <is>
          <t>doi</t>
        </is>
      </c>
      <c r="BR175" t="n">
        <v>24</v>
      </c>
      <c r="BS175" t="n">
        <v>70</v>
      </c>
      <c r="DD175" t="n">
        <v>50</v>
      </c>
      <c r="DE175" t="n">
        <v>520</v>
      </c>
      <c r="DF175" t="inlineStr">
        <is>
          <t>HighExplosive</t>
        </is>
      </c>
      <c r="DJ175" t="inlineStr">
        <is>
          <t>cruise</t>
        </is>
      </c>
      <c r="DL175" t="inlineStr">
        <is>
          <t>Loft</t>
        </is>
      </c>
      <c r="DS175" t="inlineStr">
        <is>
          <t>Ultimate</t>
        </is>
      </c>
      <c r="DV175" t="b">
        <v>1</v>
      </c>
      <c r="EB175" t="n">
        <v>3</v>
      </c>
      <c r="EH175" t="inlineStr">
        <is>
          <t>Missile</t>
        </is>
      </c>
      <c r="EI175" t="inlineStr">
        <is>
          <t>cruise_missile</t>
        </is>
      </c>
      <c r="EK175" t="n">
        <v>70</v>
      </c>
      <c r="EP175" t="n">
        <v>400</v>
      </c>
      <c r="EQ175" t="inlineStr">
        <is>
          <t>3M-54 Kalibr</t>
        </is>
      </c>
      <c r="EX175" t="n">
        <v>500</v>
      </c>
      <c r="EY175" t="n">
        <v>10</v>
      </c>
      <c r="FZ175" t="n">
        <v>200</v>
      </c>
      <c r="GB175" t="inlineStr">
        <is>
          <t>cruise_3m_54_kalibr</t>
        </is>
      </c>
      <c r="GD175" t="inlineStr">
        <is>
          <t>Assets/MachineBrigade/Resources/Data/balance.json: weapons[236]</t>
        </is>
      </c>
      <c r="GE175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6">
      <c r="A176" t="inlineStr">
        <is>
          <t>locust_drones</t>
        </is>
      </c>
      <c r="B176" t="inlineStr">
        <is>
          <t>ZALA Lancet-3 swarm</t>
        </is>
      </c>
      <c r="C176" t="inlineStr">
        <is>
          <t>drone_zala_lancet_3_swarm</t>
        </is>
      </c>
      <c r="D176" t="inlineStr"/>
      <c r="E176" t="inlineStr"/>
      <c r="F176" t="inlineStr">
        <is>
          <t>drone</t>
        </is>
      </c>
      <c r="G176" t="inlineStr"/>
      <c r="H176" t="n">
        <v>3</v>
      </c>
      <c r="I176" t="inlineStr"/>
      <c r="J176" t="inlineStr"/>
      <c r="K176" t="inlineStr">
        <is>
          <t>ShapedCharge</t>
        </is>
      </c>
      <c r="L176" t="n">
        <v>4</v>
      </c>
      <c r="M176" t="inlineStr">
        <is>
          <t>Drone</t>
        </is>
      </c>
      <c r="N176" t="n">
        <v>1</v>
      </c>
      <c r="O176" t="inlineStr">
        <is>
          <t>RIPPLE</t>
        </is>
      </c>
      <c r="P176" t="n">
        <v>1</v>
      </c>
      <c r="Q176" t="n">
        <v>0.2</v>
      </c>
      <c r="R176" t="n">
        <v>2</v>
      </c>
      <c r="S176" t="n">
        <v>0</v>
      </c>
      <c r="T176" t="n">
        <v>0</v>
      </c>
      <c r="U176" t="n">
        <v>0</v>
      </c>
      <c r="V176" t="n">
        <v>0</v>
      </c>
      <c r="W176" t="n">
        <v>320</v>
      </c>
      <c r="X176" t="n">
        <v>3</v>
      </c>
      <c r="Y176" t="n">
        <v>6</v>
      </c>
      <c r="Z176" t="n">
        <v>28</v>
      </c>
      <c r="AA176" t="n">
        <v>70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Large</t>
        </is>
      </c>
      <c r="AG176" t="b">
        <v>1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0</v>
      </c>
      <c r="AN176" t="n">
        <v>3</v>
      </c>
      <c r="AO176" t="n">
        <v>0</v>
      </c>
      <c r="AP176" t="inlineStr">
        <is>
          <t>T2</t>
        </is>
      </c>
      <c r="AQ176" t="inlineStr">
        <is>
          <t>p26_matriarch_ma_drones</t>
        </is>
      </c>
      <c r="AR176" t="inlineStr"/>
      <c r="AS176" t="inlineStr">
        <is>
          <t>boss</t>
        </is>
      </c>
      <c r="AT176" t="inlineStr">
        <is>
          <t>locust</t>
        </is>
      </c>
      <c r="AU176" t="n">
        <v>1</v>
      </c>
      <c r="AV176" t="inlineStr">
        <is>
          <t>locust:0</t>
        </is>
      </c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2.5</v>
      </c>
      <c r="BB176" t="inlineStr">
        <is>
          <t>NEED_SOURCE</t>
        </is>
      </c>
      <c r="BC176" t="inlineStr">
        <is>
          <t>NEED_SOURCE</t>
        </is>
      </c>
      <c r="BE176" t="inlineStr">
        <is>
          <t>NEED_SOURCE</t>
        </is>
      </c>
      <c r="BG176" t="inlineStr">
        <is>
          <t>moi</t>
        </is>
      </c>
      <c r="CR176" t="n">
        <v>1</v>
      </c>
      <c r="DD176" t="n">
        <v>2</v>
      </c>
      <c r="DO176" t="n">
        <v>1</v>
      </c>
      <c r="DT176" t="inlineStr">
        <is>
          <t>p26_matriarch_ma_drones</t>
        </is>
      </c>
      <c r="GD176" t="inlineStr">
        <is>
          <t>Assets/MachineBrigade/Resources/Data/balance.json: weapons[177]</t>
        </is>
      </c>
      <c r="GE176" t="inlineStr">
        <is>
          <t>{"id":"locust_drones","groundMinReach":1,"inherits":"p26_matriarch_ma_drones","burst":1,"cooldown":2}</t>
        </is>
      </c>
    </row>
    <row r="177">
      <c r="A177" t="inlineStr">
        <is>
          <t>maverick</t>
        </is>
      </c>
      <c r="B177" t="inlineStr">
        <is>
          <t>AGM-65 Maverick</t>
        </is>
      </c>
      <c r="C177" t="inlineStr">
        <is>
          <t>atgm_agm_65_maverick</t>
        </is>
      </c>
      <c r="D177" t="inlineStr"/>
      <c r="E177" t="inlineStr"/>
      <c r="F177" t="inlineStr">
        <is>
          <t>atgm</t>
        </is>
      </c>
      <c r="G177" t="inlineStr"/>
      <c r="H177" t="n">
        <v>57</v>
      </c>
      <c r="I177" t="inlineStr"/>
      <c r="J177" t="inlineStr"/>
      <c r="K177" t="inlineStr">
        <is>
          <t>ShapedCharge</t>
        </is>
      </c>
      <c r="L177" t="n">
        <v>4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7.86</v>
      </c>
      <c r="S177" t="n">
        <v>0</v>
      </c>
      <c r="T177" t="n">
        <v>0</v>
      </c>
      <c r="U177" t="n">
        <v>0</v>
      </c>
      <c r="V177" t="n">
        <v>0</v>
      </c>
      <c r="W177" t="n">
        <v>345</v>
      </c>
      <c r="X177" t="n">
        <v>0</v>
      </c>
      <c r="Y177" t="n">
        <v>0</v>
      </c>
      <c r="Z177" t="n">
        <v>90</v>
      </c>
      <c r="AA177" t="n">
        <v>40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Medium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300</v>
      </c>
      <c r="AO177" t="n">
        <v>2</v>
      </c>
      <c r="AP177" t="inlineStr">
        <is>
          <t>T3</t>
        </is>
      </c>
      <c r="AQ177" t="inlineStr"/>
      <c r="AR177" t="inlineStr"/>
      <c r="AS177" t="inlineStr"/>
      <c r="AT177" t="inlineStr"/>
      <c r="AU177" t="n">
        <v>0</v>
      </c>
      <c r="AV177" t="inlineStr"/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0.4444444444444444</v>
      </c>
      <c r="BB177" t="n">
        <v>60</v>
      </c>
      <c r="BC177" t="n">
        <v>10</v>
      </c>
      <c r="BD177" t="inlineStr">
        <is>
          <t>atgm</t>
        </is>
      </c>
      <c r="BE177" t="inlineStr">
        <is>
          <t>air-launched: ripples ~1 s apart, est. 6 s an aimed shot</t>
        </is>
      </c>
      <c r="BG177" t="inlineStr">
        <is>
          <t>doi</t>
        </is>
      </c>
      <c r="BR177" t="n">
        <v>23</v>
      </c>
      <c r="BS177" t="n">
        <v>90</v>
      </c>
      <c r="DD177" t="n">
        <v>7.86</v>
      </c>
      <c r="DE177" t="n">
        <v>345</v>
      </c>
      <c r="DF177" t="inlineStr">
        <is>
          <t>ShapedCharge</t>
        </is>
      </c>
      <c r="DJ177" t="inlineStr">
        <is>
          <t>atgm</t>
        </is>
      </c>
      <c r="DS177" t="inlineStr">
        <is>
          <t>Medium</t>
        </is>
      </c>
      <c r="DW177" t="n">
        <v>2</v>
      </c>
      <c r="EB177" t="n">
        <v>4</v>
      </c>
      <c r="EE177" t="b">
        <v>1</v>
      </c>
      <c r="EH177" t="inlineStr">
        <is>
          <t>Missile</t>
        </is>
      </c>
      <c r="EI177" t="inlineStr">
        <is>
          <t>maverick</t>
        </is>
      </c>
      <c r="EJ177" t="n">
        <v>0.58</v>
      </c>
      <c r="EK177" t="n">
        <v>90</v>
      </c>
      <c r="EP177" t="n">
        <v>40</v>
      </c>
      <c r="EQ177" t="inlineStr">
        <is>
          <t>AGM-65 Maverick</t>
        </is>
      </c>
      <c r="EV177" t="n">
        <v>351</v>
      </c>
      <c r="EX177" t="n">
        <v>300</v>
      </c>
      <c r="FZ177" t="n">
        <v>57</v>
      </c>
      <c r="GB177" t="inlineStr">
        <is>
          <t>atgm_agm_65_maverick</t>
        </is>
      </c>
      <c r="GD177" t="inlineStr">
        <is>
          <t>Assets/MachineBrigade/Resources/Data/balance.json: weapons[82]</t>
        </is>
      </c>
      <c r="GE177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impactTier":"Medium","projectile":"Missile","roundWeight":351}</t>
        </is>
      </c>
    </row>
    <row r="178">
      <c r="A178" t="inlineStr">
        <is>
          <t>mg_coax</t>
        </is>
      </c>
      <c r="B178" t="inlineStr">
        <is>
          <t>PKT / M240 7.62 mm</t>
        </is>
      </c>
      <c r="C178" t="inlineStr">
        <is>
          <t>cal_7_62</t>
        </is>
      </c>
      <c r="D178" t="inlineStr"/>
      <c r="E178" t="inlineStr">
        <is>
          <t>pkt_m240_7_62_mm</t>
        </is>
      </c>
      <c r="F178" t="inlineStr">
        <is>
          <t>mg</t>
        </is>
      </c>
      <c r="G178" t="n">
        <v>7.62</v>
      </c>
      <c r="H178" t="inlineStr"/>
      <c r="I178" t="inlineStr"/>
      <c r="J178" t="inlineStr"/>
      <c r="K178" t="inlineStr">
        <is>
          <t>Kinetic</t>
        </is>
      </c>
      <c r="L178" t="n">
        <v>0</v>
      </c>
      <c r="M178" t="inlineStr">
        <is>
          <t>Bullet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0.0833</v>
      </c>
      <c r="S178" t="n">
        <v>100</v>
      </c>
      <c r="T178" t="n">
        <v>4.0833</v>
      </c>
      <c r="U178" t="n">
        <v>0</v>
      </c>
      <c r="V178" t="n">
        <v>0</v>
      </c>
      <c r="W178" t="n">
        <v>5.5</v>
      </c>
      <c r="X178" t="n">
        <v>0</v>
      </c>
      <c r="Y178" t="n">
        <v>0</v>
      </c>
      <c r="Z178" t="n">
        <v>240</v>
      </c>
      <c r="AA178" t="n">
        <v>20</v>
      </c>
      <c r="AB178" t="n">
        <v>0</v>
      </c>
      <c r="AC178" t="inlineStr">
        <is>
          <t>All</t>
        </is>
      </c>
      <c r="AD178" t="inlineStr"/>
      <c r="AE178" t="n">
        <v>1</v>
      </c>
      <c r="AF178" t="inlineStr">
        <is>
          <t>Small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7.62</v>
      </c>
      <c r="AO178" t="n">
        <v>0</v>
      </c>
      <c r="AP178" t="inlineStr">
        <is>
          <t>T0</t>
        </is>
      </c>
      <c r="AQ178" t="inlineStr"/>
      <c r="AR178" t="inlineStr"/>
      <c r="AS178" t="inlineStr">
        <is>
          <t>cong_trinh;xe</t>
        </is>
      </c>
      <c r="AT178" t="inlineStr">
        <is>
          <t>elite_apc;elite_mbt;flame_tank;headquarters;headquarters.fortress_air;headquarters.fortress_ground;headquarters.shield;ifv;light_tank;main_battle_tank;titan_tank;twin_tank;wheeled_gun</t>
        </is>
      </c>
      <c r="AU178" t="n">
        <v>13</v>
      </c>
      <c r="AV178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0.08333333333333333</v>
      </c>
      <c r="BB178" t="n">
        <v>800</v>
      </c>
      <c r="BC178" t="n">
        <v>250</v>
      </c>
      <c r="BD178" t="inlineStr">
        <is>
          <t>mg</t>
        </is>
      </c>
      <c r="BE178" t="inlineStr">
        <is>
          <t>Wikipedia 'PK machine gun' (PKT 700-800, practical 250); M240 650-950</t>
        </is>
      </c>
      <c r="BG178" t="inlineStr">
        <is>
          <t>giong</t>
        </is>
      </c>
      <c r="CT178" t="n">
        <v>7.62</v>
      </c>
      <c r="CW178" t="n">
        <v>100</v>
      </c>
      <c r="CX178" t="n">
        <v>4.0833</v>
      </c>
      <c r="DD178" t="n">
        <v>0.0833</v>
      </c>
      <c r="DE178" t="n">
        <v>5.5</v>
      </c>
      <c r="DF178" t="inlineStr">
        <is>
          <t>Kinetic</t>
        </is>
      </c>
      <c r="DJ178" t="inlineStr">
        <is>
          <t>mg</t>
        </is>
      </c>
      <c r="DS178" t="inlineStr">
        <is>
          <t>Small</t>
        </is>
      </c>
      <c r="EB178" t="n">
        <v>0</v>
      </c>
      <c r="EH178" t="inlineStr">
        <is>
          <t>Bullet</t>
        </is>
      </c>
      <c r="EP178" t="n">
        <v>20</v>
      </c>
      <c r="EQ178" t="inlineStr">
        <is>
          <t>PKT / M240 7.62 mm</t>
        </is>
      </c>
      <c r="EV178" t="n">
        <v>6</v>
      </c>
      <c r="EX178" t="n">
        <v>7.62</v>
      </c>
      <c r="EZ178" t="n">
        <v>1</v>
      </c>
      <c r="FW178" t="inlineStr">
        <is>
          <t>All</t>
        </is>
      </c>
      <c r="GA178" t="inlineStr">
        <is>
          <t>pkt_m240_7_62_mm</t>
        </is>
      </c>
      <c r="GB178" t="inlineStr">
        <is>
          <t>cal_7_62</t>
        </is>
      </c>
      <c r="GD178" t="inlineStr">
        <is>
          <t>Assets/MachineBrigade/Resources/Data/balance.json: weapons[1]</t>
        </is>
      </c>
      <c r="GE178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79">
      <c r="A179" t="inlineStr">
        <is>
          <t>mg_coax_long</t>
        </is>
      </c>
      <c r="B179" t="inlineStr">
        <is>
          <t>PKT / M240 7.62 mm</t>
        </is>
      </c>
      <c r="C179" t="inlineStr">
        <is>
          <t>cal_7_62</t>
        </is>
      </c>
      <c r="D179" t="inlineStr"/>
      <c r="E179" t="inlineStr">
        <is>
          <t>pkt_m240_7_62_mm</t>
        </is>
      </c>
      <c r="F179" t="inlineStr">
        <is>
          <t>mg</t>
        </is>
      </c>
      <c r="G179" t="n">
        <v>7.62</v>
      </c>
      <c r="H179" t="inlineStr"/>
      <c r="I179" t="inlineStr"/>
      <c r="J179" t="inlineStr"/>
      <c r="K179" t="inlineStr">
        <is>
          <t>Kinetic</t>
        </is>
      </c>
      <c r="L179" t="n">
        <v>0</v>
      </c>
      <c r="M179" t="inlineStr">
        <is>
          <t>Bullet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0.0833</v>
      </c>
      <c r="S179" t="n">
        <v>100</v>
      </c>
      <c r="T179" t="n">
        <v>4.0833</v>
      </c>
      <c r="U179" t="n">
        <v>0</v>
      </c>
      <c r="V179" t="n">
        <v>0</v>
      </c>
      <c r="W179" t="n">
        <v>5.5</v>
      </c>
      <c r="X179" t="n">
        <v>0</v>
      </c>
      <c r="Y179" t="n">
        <v>0</v>
      </c>
      <c r="Z179" t="n">
        <v>240</v>
      </c>
      <c r="AA179" t="n">
        <v>30</v>
      </c>
      <c r="AB179" t="n">
        <v>0</v>
      </c>
      <c r="AC179" t="inlineStr">
        <is>
          <t>All</t>
        </is>
      </c>
      <c r="AD179" t="inlineStr"/>
      <c r="AE179" t="n">
        <v>1</v>
      </c>
      <c r="AF179" t="inlineStr">
        <is>
          <t>Small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7.62</v>
      </c>
      <c r="AO179" t="n">
        <v>0</v>
      </c>
      <c r="AP179" t="inlineStr">
        <is>
          <t>T0</t>
        </is>
      </c>
      <c r="AQ179" t="inlineStr">
        <is>
          <t>mg_coax</t>
        </is>
      </c>
      <c r="AR179" t="inlineStr"/>
      <c r="AS179" t="inlineStr">
        <is>
          <t>xe</t>
        </is>
      </c>
      <c r="AT179" t="inlineStr">
        <is>
          <t>armored_car</t>
        </is>
      </c>
      <c r="AU179" t="n">
        <v>1</v>
      </c>
      <c r="AV179" t="inlineStr">
        <is>
          <t>armored_car:1</t>
        </is>
      </c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0.125</v>
      </c>
      <c r="BB179" t="n">
        <v>800</v>
      </c>
      <c r="BC179" t="n">
        <v>250</v>
      </c>
      <c r="BD179" t="inlineStr">
        <is>
          <t>mg</t>
        </is>
      </c>
      <c r="BE179" t="inlineStr">
        <is>
          <t>Wikipedia 'PK machine gun' (PKT 700-800, practical 250); M240 650-950</t>
        </is>
      </c>
      <c r="BG179" t="inlineStr">
        <is>
          <t>moi</t>
        </is>
      </c>
      <c r="CT179" t="n">
        <v>7.62</v>
      </c>
      <c r="DJ179" t="inlineStr">
        <is>
          <t>mg</t>
        </is>
      </c>
      <c r="DT179" t="inlineStr">
        <is>
          <t>mg_coax</t>
        </is>
      </c>
      <c r="EB179" t="n">
        <v>0</v>
      </c>
      <c r="EP179" t="n">
        <v>30</v>
      </c>
      <c r="EQ179" t="inlineStr">
        <is>
          <t>PKT / M240 7.62 mm</t>
        </is>
      </c>
      <c r="EX179" t="n">
        <v>7.62</v>
      </c>
      <c r="GA179" t="inlineStr">
        <is>
          <t>pkt_m240_7_62_mm</t>
        </is>
      </c>
      <c r="GD179" t="inlineStr">
        <is>
          <t>Assets/MachineBrigade/Resources/Data/balance.json: weapons[106]</t>
        </is>
      </c>
      <c r="GE179" t="inlineStr">
        <is>
          <t>{"id":"mg_coax_long","weaponFamily":"pkt_m240_7_62_mm","real":"PKT / M240 7.62 mm","family":"mg","size":7.62,"caliberMm":7.62,"pen":0,"inherits":"mg_coax","range":30}</t>
        </is>
      </c>
    </row>
    <row r="180">
      <c r="A180" t="inlineStr">
        <is>
          <t>mg_jeep</t>
        </is>
      </c>
      <c r="B180" t="inlineStr">
        <is>
          <t>M2 Browning 12.7 mm</t>
        </is>
      </c>
      <c r="C180" t="inlineStr">
        <is>
          <t>cal_12_7</t>
        </is>
      </c>
      <c r="D180" t="inlineStr"/>
      <c r="E180" t="inlineStr">
        <is>
          <t>m2_browning_12_7_mm</t>
        </is>
      </c>
      <c r="F180" t="inlineStr">
        <is>
          <t>mg</t>
        </is>
      </c>
      <c r="G180" t="n">
        <v>12.7</v>
      </c>
      <c r="H180" t="inlineStr"/>
      <c r="I180" t="inlineStr"/>
      <c r="J180" t="inlineStr"/>
      <c r="K180" t="inlineStr">
        <is>
          <t>Kinetic</t>
        </is>
      </c>
      <c r="L180" t="n">
        <v>1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0.1111</v>
      </c>
      <c r="S180" t="n">
        <v>100</v>
      </c>
      <c r="T180" t="n">
        <v>5.1111</v>
      </c>
      <c r="U180" t="n">
        <v>0</v>
      </c>
      <c r="V180" t="n">
        <v>0</v>
      </c>
      <c r="W180" t="n">
        <v>9.5</v>
      </c>
      <c r="X180" t="n">
        <v>0</v>
      </c>
      <c r="Y180" t="n">
        <v>0</v>
      </c>
      <c r="Z180" t="n">
        <v>230</v>
      </c>
      <c r="AA180" t="n">
        <v>22</v>
      </c>
      <c r="AB180" t="n">
        <v>0</v>
      </c>
      <c r="AC180" t="inlineStr">
        <is>
          <t>All</t>
        </is>
      </c>
      <c r="AD180" t="inlineStr"/>
      <c r="AE180" t="n">
        <v>1.2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12.7</v>
      </c>
      <c r="AO180" t="n">
        <v>0</v>
      </c>
      <c r="AP180" t="inlineStr">
        <is>
          <t>T0</t>
        </is>
      </c>
      <c r="AQ180" t="inlineStr"/>
      <c r="AR180" t="inlineStr">
        <is>
          <t>mg_jeep_api</t>
        </is>
      </c>
      <c r="AS180" t="inlineStr">
        <is>
          <t>xe</t>
        </is>
      </c>
      <c r="AT180" t="inlineStr">
        <is>
          <t>river_patrol_boat;scout_jeep;supply_truck</t>
        </is>
      </c>
      <c r="AU180" t="n">
        <v>3</v>
      </c>
      <c r="AV180" t="inlineStr">
        <is>
          <t>river_patrol_boat:0;scout_jeep:0;supply_truck:0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0.09565217391304348</v>
      </c>
      <c r="BB180" t="n">
        <v>600</v>
      </c>
      <c r="BC180" t="n">
        <v>40</v>
      </c>
      <c r="BD180" t="inlineStr">
        <is>
          <t>mg</t>
        </is>
      </c>
      <c r="BE180" t="inlineStr">
        <is>
          <t>US Army FM 3-22.65: cyclic 450-600, rapid 40 rpm</t>
        </is>
      </c>
      <c r="BG180" t="inlineStr">
        <is>
          <t>giong</t>
        </is>
      </c>
      <c r="CT180" t="n">
        <v>12.7</v>
      </c>
      <c r="CW180" t="n">
        <v>100</v>
      </c>
      <c r="CX180" t="n">
        <v>5.1111</v>
      </c>
      <c r="DD180" t="n">
        <v>0.1111</v>
      </c>
      <c r="DE180" t="n">
        <v>9.5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1</v>
      </c>
      <c r="EH180" t="inlineStr">
        <is>
          <t>Bullet</t>
        </is>
      </c>
      <c r="EP180" t="n">
        <v>22</v>
      </c>
      <c r="EQ180" t="inlineStr">
        <is>
          <t>M2 Browning 12.7 mm</t>
        </is>
      </c>
      <c r="EX180" t="n">
        <v>12.7</v>
      </c>
      <c r="EZ180" t="n">
        <v>1.2</v>
      </c>
      <c r="FW180" t="inlineStr">
        <is>
          <t>All</t>
        </is>
      </c>
      <c r="GA180" t="inlineStr">
        <is>
          <t>m2_browning_12_7_mm</t>
        </is>
      </c>
      <c r="GB180" t="inlineStr">
        <is>
          <t>cal_12_7</t>
        </is>
      </c>
      <c r="GD180" t="inlineStr">
        <is>
          <t>Assets/MachineBrigade/Resources/Data/balance.json: weapons[0]</t>
        </is>
      </c>
      <c r="GE180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1">
      <c r="A181" t="inlineStr">
        <is>
          <t>mg_jeep_api</t>
        </is>
      </c>
      <c r="B181" t="inlineStr">
        <is>
          <t>M2 Browning 12.7 mm API</t>
        </is>
      </c>
      <c r="C181" t="inlineStr">
        <is>
          <t>cal_12_7</t>
        </is>
      </c>
      <c r="D181" t="inlineStr"/>
      <c r="E181" t="inlineStr">
        <is>
          <t>m2_browning_12_7_mm_api</t>
        </is>
      </c>
      <c r="F181" t="inlineStr">
        <is>
          <t>mg</t>
        </is>
      </c>
      <c r="G181" t="n">
        <v>12.7</v>
      </c>
      <c r="H181" t="inlineStr"/>
      <c r="I181" t="inlineStr"/>
      <c r="J181" t="inlineStr"/>
      <c r="K181" t="inlineStr">
        <is>
          <t>Kinetic</t>
        </is>
      </c>
      <c r="L181" t="n">
        <v>2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0.1111</v>
      </c>
      <c r="S181" t="n">
        <v>100</v>
      </c>
      <c r="T181" t="n">
        <v>5.1111</v>
      </c>
      <c r="U181" t="n">
        <v>0</v>
      </c>
      <c r="V181" t="n">
        <v>0</v>
      </c>
      <c r="W181" t="n">
        <v>9.5</v>
      </c>
      <c r="X181" t="n">
        <v>0</v>
      </c>
      <c r="Y181" t="n">
        <v>0</v>
      </c>
      <c r="Z181" t="n">
        <v>230</v>
      </c>
      <c r="AA181" t="n">
        <v>22</v>
      </c>
      <c r="AB181" t="n">
        <v>0</v>
      </c>
      <c r="AC181" t="inlineStr">
        <is>
          <t>All</t>
        </is>
      </c>
      <c r="AD181" t="inlineStr"/>
      <c r="AE181" t="n">
        <v>1.2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12.7</v>
      </c>
      <c r="AO181" t="n">
        <v>0</v>
      </c>
      <c r="AP181" t="inlineStr">
        <is>
          <t>T0</t>
        </is>
      </c>
      <c r="AQ181" t="inlineStr">
        <is>
          <t>mg_jeep</t>
        </is>
      </c>
      <c r="AR181" t="inlineStr"/>
      <c r="AS181" t="inlineStr"/>
      <c r="AT181" t="inlineStr"/>
      <c r="AU181" t="n">
        <v>0</v>
      </c>
      <c r="AV181" t="inlineStr"/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0.09565217391304348</v>
      </c>
      <c r="BB181" t="n">
        <v>600</v>
      </c>
      <c r="BC181" t="n">
        <v>40</v>
      </c>
      <c r="BD181" t="inlineStr">
        <is>
          <t>mg</t>
        </is>
      </c>
      <c r="BE181" t="inlineStr">
        <is>
          <t>US Army FM 3-22.65: cyclic 450-600, rapid 40 rpm</t>
        </is>
      </c>
      <c r="BG181" t="inlineStr">
        <is>
          <t>giong</t>
        </is>
      </c>
      <c r="DE181" t="n">
        <v>9.5</v>
      </c>
      <c r="DF181" t="inlineStr">
        <is>
          <t>Kinetic</t>
        </is>
      </c>
      <c r="DH181" t="b">
        <v>1</v>
      </c>
      <c r="DM181" t="inlineStr">
        <is>
          <t>any</t>
        </is>
      </c>
      <c r="DN181" t="inlineStr">
        <is>
          <t>BulletBig</t>
        </is>
      </c>
      <c r="DT181" t="inlineStr">
        <is>
          <t>mg_jeep</t>
        </is>
      </c>
      <c r="EB181" t="n">
        <v>2</v>
      </c>
      <c r="EE181" t="b">
        <v>1</v>
      </c>
      <c r="EQ181" t="inlineStr">
        <is>
          <t>M2 Browning 12.7 mm API</t>
        </is>
      </c>
      <c r="ES181" t="inlineStr">
        <is>
          <t>api</t>
        </is>
      </c>
      <c r="EU181" t="inlineStr">
        <is>
          <t>mg_jeep</t>
        </is>
      </c>
      <c r="GA181" t="inlineStr">
        <is>
          <t>m2_browning_12_7_mm_api</t>
        </is>
      </c>
      <c r="GD181" t="inlineStr">
        <is>
          <t>Assets/MachineBrigade/Resources/Data/balance.json: secondRounds.rounds[50]</t>
        </is>
      </c>
      <c r="GE181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2">
      <c r="A182" t="inlineStr">
        <is>
          <t>mg_jeep_selfdef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13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>
        <is>
          <t>mg_jeep</t>
        </is>
      </c>
      <c r="AR182" t="inlineStr">
        <is>
          <t>mg_jeep_selfdef_api</t>
        </is>
      </c>
      <c r="AS182" t="inlineStr">
        <is>
          <t>xe</t>
        </is>
      </c>
      <c r="AT182" t="inlineStr">
        <is>
          <t>rocket_technical</t>
        </is>
      </c>
      <c r="AU182" t="n">
        <v>1</v>
      </c>
      <c r="AV182" t="inlineStr">
        <is>
          <t>rocket_technical:1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0.05652173913043478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DT182" t="inlineStr">
        <is>
          <t>mg_jeep</t>
        </is>
      </c>
      <c r="EP182" t="n">
        <v>13</v>
      </c>
      <c r="GA182" t="inlineStr">
        <is>
          <t>m2_browning_12_7_mm</t>
        </is>
      </c>
      <c r="GD182" t="inlineStr">
        <is>
          <t>Assets/MachineBrigade/Resources/Data/balance.json: weapons[6]</t>
        </is>
      </c>
      <c r="GE182" t="inlineStr">
        <is>
          <t>{"id":"mg_jeep_selfdef","weaponFamily":"m2_browning_12_7_mm","inherits":"mg_jeep","range":13}</t>
        </is>
      </c>
    </row>
    <row r="183">
      <c r="A183" t="inlineStr">
        <is>
          <t>mg_jeep_selfdef_api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13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mg_jeep_selfdef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0.05652173913043478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mg_jeep_selfdef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mg_jeep_selfdef</t>
        </is>
      </c>
      <c r="GA183" t="inlineStr">
        <is>
          <t>m2_browning_12_7_mm_api</t>
        </is>
      </c>
      <c r="GD183" t="inlineStr">
        <is>
          <t>Assets/MachineBrigade/Resources/Data/balance.json: secondRounds.rounds[51]</t>
        </is>
      </c>
      <c r="GE183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minigun</t>
        </is>
      </c>
      <c r="B184" t="inlineStr">
        <is>
          <t>M134 Minigun 7.62 mm</t>
        </is>
      </c>
      <c r="C184" t="inlineStr">
        <is>
          <t>cal_7_62</t>
        </is>
      </c>
      <c r="D184" t="inlineStr"/>
      <c r="E184" t="inlineStr"/>
      <c r="F184" t="inlineStr">
        <is>
          <t>mg</t>
        </is>
      </c>
      <c r="G184" t="n">
        <v>7.62</v>
      </c>
      <c r="H184" t="inlineStr"/>
      <c r="I184" t="inlineStr"/>
      <c r="J184" t="inlineStr"/>
      <c r="K184" t="inlineStr">
        <is>
          <t>Kinetic</t>
        </is>
      </c>
      <c r="L184" t="n">
        <v>0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0.02</v>
      </c>
      <c r="S184" t="n">
        <v>200</v>
      </c>
      <c r="T184" t="n">
        <v>4.02</v>
      </c>
      <c r="U184" t="n">
        <v>0</v>
      </c>
      <c r="V184" t="n">
        <v>0</v>
      </c>
      <c r="W184" t="n">
        <v>5.5</v>
      </c>
      <c r="X184" t="n">
        <v>0</v>
      </c>
      <c r="Y184" t="n">
        <v>0</v>
      </c>
      <c r="Z184" t="n">
        <v>240</v>
      </c>
      <c r="AA184" t="n">
        <v>24</v>
      </c>
      <c r="AB184" t="n">
        <v>0</v>
      </c>
      <c r="AC184" t="inlineStr">
        <is>
          <t>All</t>
        </is>
      </c>
      <c r="AD184" t="inlineStr"/>
      <c r="AE184" t="n">
        <v>1.4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7.62</v>
      </c>
      <c r="AO184" t="n">
        <v>0</v>
      </c>
      <c r="AP184" t="inlineStr">
        <is>
          <t>T0</t>
        </is>
      </c>
      <c r="AQ184" t="inlineStr"/>
      <c r="AR184" t="inlineStr"/>
      <c r="AS184" t="inlineStr">
        <is>
          <t>boss;xe</t>
        </is>
      </c>
      <c r="AT184" t="inlineStr">
        <is>
          <t>mega_gunship;scout_heli</t>
        </is>
      </c>
      <c r="AU184" t="n">
        <v>2</v>
      </c>
      <c r="AV184" t="inlineStr">
        <is>
          <t>mega_gunship:other;scout_heli:0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</v>
      </c>
      <c r="BB184" t="n">
        <v>6000</v>
      </c>
      <c r="BC184" t="inlineStr"/>
      <c r="BD184" t="inlineStr">
        <is>
          <t>mg</t>
        </is>
      </c>
      <c r="BE184" t="inlineStr">
        <is>
          <t>Wikipedia 'M134 Minigun': 2,000-6,000 rpm (3,000 on helicopters)</t>
        </is>
      </c>
      <c r="BG184" t="inlineStr">
        <is>
          <t>giong</t>
        </is>
      </c>
      <c r="CT184" t="n">
        <v>7.62</v>
      </c>
      <c r="CW184" t="n">
        <v>200</v>
      </c>
      <c r="CX184" t="n">
        <v>4.02</v>
      </c>
      <c r="DD184" t="n">
        <v>0.02</v>
      </c>
      <c r="DE184" t="n">
        <v>5.5</v>
      </c>
      <c r="DF184" t="inlineStr">
        <is>
          <t>Kinetic</t>
        </is>
      </c>
      <c r="DJ184" t="inlineStr">
        <is>
          <t>mg</t>
        </is>
      </c>
      <c r="DS184" t="inlineStr">
        <is>
          <t>Small</t>
        </is>
      </c>
      <c r="EB184" t="n">
        <v>0</v>
      </c>
      <c r="EH184" t="inlineStr">
        <is>
          <t>Bullet</t>
        </is>
      </c>
      <c r="EK184" t="n">
        <v>240</v>
      </c>
      <c r="EP184" t="n">
        <v>24</v>
      </c>
      <c r="EQ184" t="inlineStr">
        <is>
          <t>M134 Minigun 7.62 mm</t>
        </is>
      </c>
      <c r="EV184" t="n">
        <v>7</v>
      </c>
      <c r="EX184" t="n">
        <v>7.62</v>
      </c>
      <c r="EZ184" t="n">
        <v>1.4</v>
      </c>
      <c r="FW184" t="inlineStr">
        <is>
          <t>All</t>
        </is>
      </c>
      <c r="GB184" t="inlineStr">
        <is>
          <t>cal_7_62</t>
        </is>
      </c>
      <c r="GD184" t="inlineStr">
        <is>
          <t>Assets/MachineBrigade/Resources/Data/balance.json: weapons[36]</t>
        </is>
      </c>
      <c r="GE184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5">
      <c r="A185" t="inlineStr">
        <is>
          <t>missile_57e6</t>
        </is>
      </c>
      <c r="B185" t="inlineStr">
        <is>
          <t>57E6 (Pantsir)</t>
        </is>
      </c>
      <c r="C185" t="inlineStr">
        <is>
          <t>sam_57e6</t>
        </is>
      </c>
      <c r="D185" t="inlineStr"/>
      <c r="E185" t="inlineStr"/>
      <c r="F185" t="inlineStr">
        <is>
          <t>aa_missile</t>
        </is>
      </c>
      <c r="G185" t="inlineStr"/>
      <c r="H185" t="n">
        <v>20</v>
      </c>
      <c r="I185" t="inlineStr"/>
      <c r="J185" t="inlineStr"/>
      <c r="K185" t="inlineStr">
        <is>
          <t>Fragmentation</t>
        </is>
      </c>
      <c r="L185" t="n">
        <v>3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4.452</v>
      </c>
      <c r="S185" t="n">
        <v>0</v>
      </c>
      <c r="T185" t="n">
        <v>0</v>
      </c>
      <c r="U185" t="n">
        <v>0</v>
      </c>
      <c r="V185" t="n">
        <v>0</v>
      </c>
      <c r="W185" t="n">
        <v>220</v>
      </c>
      <c r="X185" t="n">
        <v>2.5</v>
      </c>
      <c r="Y185" t="n">
        <v>0</v>
      </c>
      <c r="Z185" t="n">
        <v>300</v>
      </c>
      <c r="AA185" t="n">
        <v>55</v>
      </c>
      <c r="AB185" t="n">
        <v>0</v>
      </c>
      <c r="AC185" t="inlineStr">
        <is>
          <t>Air</t>
        </is>
      </c>
      <c r="AD185" t="inlineStr"/>
      <c r="AE185" t="n">
        <v>0</v>
      </c>
      <c r="AF185" t="inlineStr">
        <is>
          <t>Medium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7</v>
      </c>
      <c r="AO185" t="n">
        <v>0</v>
      </c>
      <c r="AP185" t="inlineStr">
        <is>
          <t>T2</t>
        </is>
      </c>
      <c r="AQ185" t="inlineStr"/>
      <c r="AR185" t="inlineStr"/>
      <c r="AS185" t="inlineStr">
        <is>
          <t>xe</t>
        </is>
      </c>
      <c r="AT185" t="inlineStr">
        <is>
          <t>heavy_aa</t>
        </is>
      </c>
      <c r="AU185" t="n">
        <v>1</v>
      </c>
      <c r="AV185" t="inlineStr">
        <is>
          <t>heavy_aa:1</t>
        </is>
      </c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0.1833333333333333</v>
      </c>
      <c r="BB185" t="n">
        <v>40</v>
      </c>
      <c r="BC185" t="n">
        <v>12</v>
      </c>
      <c r="BD185" t="inlineStr">
        <is>
          <t>missile</t>
        </is>
      </c>
      <c r="BE185" t="inlineStr">
        <is>
          <t>Wikipedia 'Pantsir': 2 missiles ~1.5 s apart (est.)</t>
        </is>
      </c>
      <c r="BG185" t="inlineStr">
        <is>
          <t>doi</t>
        </is>
      </c>
      <c r="BR185" t="n">
        <v>55</v>
      </c>
      <c r="BS185" t="n">
        <v>300</v>
      </c>
      <c r="DD185" t="n">
        <v>4.452</v>
      </c>
      <c r="DE185" t="n">
        <v>220</v>
      </c>
      <c r="DF185" t="inlineStr">
        <is>
          <t>Fragmentation</t>
        </is>
      </c>
      <c r="DJ185" t="inlineStr">
        <is>
          <t>aa_missile</t>
        </is>
      </c>
      <c r="DK185" t="n">
        <v>0.8</v>
      </c>
      <c r="DS185" t="inlineStr">
        <is>
          <t>Medium</t>
        </is>
      </c>
      <c r="EB185" t="n">
        <v>3</v>
      </c>
      <c r="EH185" t="inlineStr">
        <is>
          <t>Missile</t>
        </is>
      </c>
      <c r="EI185" t="inlineStr">
        <is>
          <t>shorad_dart</t>
        </is>
      </c>
      <c r="EJ185" t="n">
        <v>0.85</v>
      </c>
      <c r="EK185" t="n">
        <v>300</v>
      </c>
      <c r="EP185" t="n">
        <v>55</v>
      </c>
      <c r="EQ185" t="inlineStr">
        <is>
          <t>57E6 (Pantsir)</t>
        </is>
      </c>
      <c r="EX185" t="n">
        <v>7</v>
      </c>
      <c r="EY185" t="n">
        <v>2.5</v>
      </c>
      <c r="FW185" t="inlineStr">
        <is>
          <t>Air</t>
        </is>
      </c>
      <c r="FZ185" t="n">
        <v>20</v>
      </c>
      <c r="GB185" t="inlineStr">
        <is>
          <t>sam_57e6</t>
        </is>
      </c>
      <c r="GD185" t="inlineStr">
        <is>
          <t>Assets/MachineBrigade/Resources/Data/balance.json: weapons[22]</t>
        </is>
      </c>
      <c r="GE185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6">
      <c r="A186" t="inlineStr">
        <is>
          <t>mlrs_elite</t>
        </is>
      </c>
      <c r="B186" t="inlineStr">
        <is>
          <t>M30 GMLRS 227 mm (cluster)</t>
        </is>
      </c>
      <c r="C186" t="inlineStr">
        <is>
          <t>rkt_gmlrs_227</t>
        </is>
      </c>
      <c r="D186" t="inlineStr">
        <is>
          <t>cluster</t>
        </is>
      </c>
      <c r="E186" t="inlineStr"/>
      <c r="F186" t="inlineStr">
        <is>
          <t>rocket</t>
        </is>
      </c>
      <c r="G186" t="n">
        <v>227</v>
      </c>
      <c r="H186" t="inlineStr"/>
      <c r="I186" t="inlineStr"/>
      <c r="J186" t="inlineStr"/>
      <c r="K186" t="inlineStr">
        <is>
          <t>HighExplosive</t>
        </is>
      </c>
      <c r="L186" t="n">
        <v>3</v>
      </c>
      <c r="M186" t="inlineStr">
        <is>
          <t>Rocket</t>
        </is>
      </c>
      <c r="N186" t="n">
        <v>1</v>
      </c>
      <c r="O186" t="inlineStr">
        <is>
          <t>RIPPLE</t>
        </is>
      </c>
      <c r="P186" t="n">
        <v>5</v>
      </c>
      <c r="Q186" t="n">
        <v>0.14</v>
      </c>
      <c r="R186" t="n">
        <v>9.686</v>
      </c>
      <c r="S186" t="n">
        <v>0</v>
      </c>
      <c r="T186" t="n">
        <v>0</v>
      </c>
      <c r="U186" t="n">
        <v>6</v>
      </c>
      <c r="V186" t="n">
        <v>19.93</v>
      </c>
      <c r="W186" t="n">
        <v>105</v>
      </c>
      <c r="X186" t="n">
        <v>5</v>
      </c>
      <c r="Y186" t="n">
        <v>0</v>
      </c>
      <c r="Z186" t="n">
        <v>140</v>
      </c>
      <c r="AA186" t="n">
        <v>75</v>
      </c>
      <c r="AB186" t="n">
        <v>20</v>
      </c>
      <c r="AC186" t="inlineStr">
        <is>
          <t>Ground</t>
        </is>
      </c>
      <c r="AD186" t="inlineStr"/>
      <c r="AE186" t="n">
        <v>5</v>
      </c>
      <c r="AF186" t="inlineStr">
        <is>
          <t>Large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227</v>
      </c>
      <c r="AO186" t="n">
        <v>0</v>
      </c>
      <c r="AP186" t="inlineStr">
        <is>
          <t>T4</t>
        </is>
      </c>
      <c r="AQ186" t="inlineStr"/>
      <c r="AR186" t="inlineStr"/>
      <c r="AS186" t="inlineStr">
        <is>
          <t>xe</t>
        </is>
      </c>
      <c r="AT186" t="inlineStr">
        <is>
          <t>elite_mlrs</t>
        </is>
      </c>
      <c r="AU186" t="n">
        <v>1</v>
      </c>
      <c r="AV186" t="inlineStr">
        <is>
          <t>elite_mlrs:0</t>
        </is>
      </c>
      <c r="AW186" t="n">
        <v>2.5</v>
      </c>
      <c r="AX186" t="b">
        <v>1</v>
      </c>
      <c r="AY186" t="inlineStr"/>
      <c r="AZ186">
        <f>IF(AND($AX$186,$AW$186&gt;$AA$186/$Z$186),$AW$186,$AA$186/$Z$186)</f>
        <v/>
      </c>
      <c r="BA186" t="n">
        <v>2.5</v>
      </c>
      <c r="BB186" t="n">
        <v>12</v>
      </c>
      <c r="BC186" t="inlineStr"/>
      <c r="BD186" t="inlineStr">
        <is>
          <t>rocket</t>
        </is>
      </c>
      <c r="BE186" t="inlineStr">
        <is>
          <t>Wikipedia 'M270 MLRS': 12 rockets in under a minute</t>
        </is>
      </c>
      <c r="BG186" t="inlineStr">
        <is>
          <t>doi</t>
        </is>
      </c>
      <c r="BR186" t="n">
        <v>50</v>
      </c>
      <c r="BS186" t="n">
        <v>140</v>
      </c>
      <c r="CN186" t="n">
        <v>6</v>
      </c>
      <c r="CR186" t="n">
        <v>5</v>
      </c>
      <c r="CS186" t="n">
        <v>0.14</v>
      </c>
      <c r="CT186" t="n">
        <v>227</v>
      </c>
      <c r="CY186" t="n">
        <v>5</v>
      </c>
      <c r="CZ186" t="n">
        <v>6</v>
      </c>
      <c r="DA186" t="n">
        <v>6</v>
      </c>
      <c r="DB186" t="n">
        <v>2.6</v>
      </c>
      <c r="DC186" t="inlineStr">
        <is>
          <t>Small</t>
        </is>
      </c>
      <c r="DD186" t="n">
        <v>9.686</v>
      </c>
      <c r="DE186" t="n">
        <v>105</v>
      </c>
      <c r="DF186" t="inlineStr">
        <is>
          <t>HighExplosive</t>
        </is>
      </c>
      <c r="DJ186" t="inlineStr">
        <is>
          <t>rocket</t>
        </is>
      </c>
      <c r="DS186" t="inlineStr">
        <is>
          <t>Large</t>
        </is>
      </c>
      <c r="DZ186" t="n">
        <v>20</v>
      </c>
      <c r="EB186" t="n">
        <v>3</v>
      </c>
      <c r="EH186" t="inlineStr">
        <is>
          <t>Rocket</t>
        </is>
      </c>
      <c r="EI186" t="inlineStr">
        <is>
          <t>gmlrs</t>
        </is>
      </c>
      <c r="EK186" t="n">
        <v>140</v>
      </c>
      <c r="EP186" t="n">
        <v>75</v>
      </c>
      <c r="EQ186" t="inlineStr">
        <is>
          <t>M30 GMLRS 227 mm (cluster)</t>
        </is>
      </c>
      <c r="ER186" t="n">
        <v>19.93</v>
      </c>
      <c r="EX186" t="n">
        <v>227</v>
      </c>
      <c r="EY186" t="n">
        <v>5</v>
      </c>
      <c r="EZ186" t="n">
        <v>5</v>
      </c>
      <c r="GB186" t="inlineStr">
        <is>
          <t>rkt_gmlrs_227</t>
        </is>
      </c>
      <c r="GC186" t="inlineStr">
        <is>
          <t>cluster</t>
        </is>
      </c>
      <c r="GD186" t="inlineStr">
        <is>
          <t>Assets/MachineBrigade/Resources/Data/balance.json: weapons[98]</t>
        </is>
      </c>
      <c r="GE186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7">
      <c r="A187" t="inlineStr">
        <is>
          <t>mlrs_rockets</t>
        </is>
      </c>
      <c r="B187" t="inlineStr">
        <is>
          <t>M31 GMLRS 227 mm</t>
        </is>
      </c>
      <c r="C187" t="inlineStr">
        <is>
          <t>rkt_gmlrs_227</t>
        </is>
      </c>
      <c r="D187" t="inlineStr"/>
      <c r="E187" t="inlineStr">
        <is>
          <t>m31_gmlrs_227_mm</t>
        </is>
      </c>
      <c r="F187" t="inlineStr">
        <is>
          <t>rocket</t>
        </is>
      </c>
      <c r="G187" t="n">
        <v>227</v>
      </c>
      <c r="H187" t="inlineStr"/>
      <c r="I187" t="inlineStr"/>
      <c r="J187" t="inlineStr"/>
      <c r="K187" t="inlineStr">
        <is>
          <t>HighExplosive</t>
        </is>
      </c>
      <c r="L187" t="n">
        <v>3</v>
      </c>
      <c r="M187" t="inlineStr">
        <is>
          <t>Rocket</t>
        </is>
      </c>
      <c r="N187" t="n">
        <v>1</v>
      </c>
      <c r="O187" t="inlineStr">
        <is>
          <t>RIPPLE</t>
        </is>
      </c>
      <c r="P187" t="n">
        <v>5</v>
      </c>
      <c r="Q187" t="n">
        <v>0.3</v>
      </c>
      <c r="R187" t="n">
        <v>9.944000000000001</v>
      </c>
      <c r="S187" t="n">
        <v>0</v>
      </c>
      <c r="T187" t="n">
        <v>0</v>
      </c>
      <c r="U187" t="n">
        <v>4</v>
      </c>
      <c r="V187" t="n">
        <v>15.53</v>
      </c>
      <c r="W187" t="n">
        <v>100</v>
      </c>
      <c r="X187" t="n">
        <v>4.5</v>
      </c>
      <c r="Y187" t="n">
        <v>0</v>
      </c>
      <c r="Z187" t="n">
        <v>140</v>
      </c>
      <c r="AA187" t="n">
        <v>110</v>
      </c>
      <c r="AB187" t="n">
        <v>20</v>
      </c>
      <c r="AC187" t="inlineStr">
        <is>
          <t>Ground</t>
        </is>
      </c>
      <c r="AD187" t="inlineStr"/>
      <c r="AE187" t="n">
        <v>2.2</v>
      </c>
      <c r="AF187" t="inlineStr">
        <is>
          <t>Large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227</v>
      </c>
      <c r="AO187" t="n">
        <v>0</v>
      </c>
      <c r="AP187" t="inlineStr">
        <is>
          <t>T4</t>
        </is>
      </c>
      <c r="AQ187" t="inlineStr"/>
      <c r="AR187" t="inlineStr"/>
      <c r="AS187" t="inlineStr">
        <is>
          <t>xe</t>
        </is>
      </c>
      <c r="AT187" t="inlineStr">
        <is>
          <t>mlrs</t>
        </is>
      </c>
      <c r="AU187" t="n">
        <v>1</v>
      </c>
      <c r="AV187" t="inlineStr">
        <is>
          <t>mlrs:0</t>
        </is>
      </c>
      <c r="AW187" t="n">
        <v>2.5</v>
      </c>
      <c r="AX187" t="b">
        <v>1</v>
      </c>
      <c r="AY187" t="inlineStr"/>
      <c r="AZ187">
        <f>IF(AND($AX$187,$AW$187&gt;$AA$187/$Z$187),$AW$187,$AA$187/$Z$187)</f>
        <v/>
      </c>
      <c r="BA187" t="n">
        <v>2.5</v>
      </c>
      <c r="BB187" t="n">
        <v>12</v>
      </c>
      <c r="BC187" t="inlineStr"/>
      <c r="BD187" t="inlineStr">
        <is>
          <t>rocket</t>
        </is>
      </c>
      <c r="BE187" t="inlineStr">
        <is>
          <t>Wikipedia 'M270 MLRS': 12 rockets in under a minute</t>
        </is>
      </c>
      <c r="BG187" t="inlineStr">
        <is>
          <t>doi</t>
        </is>
      </c>
      <c r="BR187" t="n">
        <v>50</v>
      </c>
      <c r="BS187" t="n">
        <v>140</v>
      </c>
      <c r="CN187" t="n">
        <v>4</v>
      </c>
      <c r="CR187" t="n">
        <v>5</v>
      </c>
      <c r="CS187" t="n">
        <v>0.3</v>
      </c>
      <c r="CT187" t="n">
        <v>227</v>
      </c>
      <c r="DD187" t="n">
        <v>9.944000000000001</v>
      </c>
      <c r="DE187" t="n">
        <v>100</v>
      </c>
      <c r="DF187" t="inlineStr">
        <is>
          <t>HighExplosive</t>
        </is>
      </c>
      <c r="DJ187" t="inlineStr">
        <is>
          <t>rocket</t>
        </is>
      </c>
      <c r="DS187" t="inlineStr">
        <is>
          <t>Large</t>
        </is>
      </c>
      <c r="DZ187" t="n">
        <v>20</v>
      </c>
      <c r="EB187" t="n">
        <v>3</v>
      </c>
      <c r="EH187" t="inlineStr">
        <is>
          <t>Rocket</t>
        </is>
      </c>
      <c r="EP187" t="n">
        <v>110</v>
      </c>
      <c r="EQ187" t="inlineStr">
        <is>
          <t>M31 GMLRS 227 mm</t>
        </is>
      </c>
      <c r="ER187" t="n">
        <v>15.53</v>
      </c>
      <c r="EX187" t="n">
        <v>227</v>
      </c>
      <c r="EZ187" t="n">
        <v>2.2</v>
      </c>
      <c r="GA187" t="inlineStr">
        <is>
          <t>m31_gmlrs_227_mm</t>
        </is>
      </c>
      <c r="GB187" t="inlineStr">
        <is>
          <t>rkt_gmlrs_227</t>
        </is>
      </c>
      <c r="GD187" t="inlineStr">
        <is>
          <t>Assets/MachineBrigade/Resources/Data/balance.json: weapons[18]</t>
        </is>
      </c>
      <c r="GE187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88">
      <c r="A188" t="inlineStr">
        <is>
          <t>mortar_120</t>
        </is>
      </c>
      <c r="B188" t="inlineStr">
        <is>
          <t>2B11 120 mm</t>
        </is>
      </c>
      <c r="C188" t="inlineStr">
        <is>
          <t>cal_120_he</t>
        </is>
      </c>
      <c r="D188" t="inlineStr">
        <is>
          <t>mortar</t>
        </is>
      </c>
      <c r="E188" t="inlineStr">
        <is>
          <t>2b11_120_mm</t>
        </is>
      </c>
      <c r="F188" t="inlineStr">
        <is>
          <t>mortar</t>
        </is>
      </c>
      <c r="G188" t="n">
        <v>120</v>
      </c>
      <c r="H188" t="inlineStr"/>
      <c r="I188" t="inlineStr"/>
      <c r="J188" t="inlineStr"/>
      <c r="K188" t="inlineStr">
        <is>
          <t>HighExplosive</t>
        </is>
      </c>
      <c r="L188" t="n">
        <v>2</v>
      </c>
      <c r="M188" t="inlineStr">
        <is>
          <t>Shell</t>
        </is>
      </c>
      <c r="N188" t="n">
        <v>1</v>
      </c>
      <c r="O188" t="inlineStr">
        <is>
          <t>RIPPLE</t>
        </is>
      </c>
      <c r="P188" t="n">
        <v>1</v>
      </c>
      <c r="Q188" t="n">
        <v>0.1</v>
      </c>
      <c r="R188" t="n">
        <v>5</v>
      </c>
      <c r="S188" t="n">
        <v>0</v>
      </c>
      <c r="T188" t="n">
        <v>0</v>
      </c>
      <c r="U188" t="n">
        <v>18</v>
      </c>
      <c r="V188" t="n">
        <v>35.73</v>
      </c>
      <c r="W188" t="n">
        <v>150</v>
      </c>
      <c r="X188" t="n">
        <v>5</v>
      </c>
      <c r="Y188" t="n">
        <v>0</v>
      </c>
      <c r="Z188" t="n">
        <v>60</v>
      </c>
      <c r="AA188" t="n">
        <v>55</v>
      </c>
      <c r="AB188" t="n">
        <v>10</v>
      </c>
      <c r="AC188" t="inlineStr">
        <is>
          <t>Ground</t>
        </is>
      </c>
      <c r="AD188" t="inlineStr"/>
      <c r="AE188" t="n">
        <v>4.5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120</v>
      </c>
      <c r="AO188" t="n">
        <v>0</v>
      </c>
      <c r="AP188" t="inlineStr">
        <is>
          <t>T3</t>
        </is>
      </c>
      <c r="AQ188" t="inlineStr"/>
      <c r="AR188" t="inlineStr"/>
      <c r="AS188" t="inlineStr">
        <is>
          <t>xe</t>
        </is>
      </c>
      <c r="AT188" t="inlineStr">
        <is>
          <t>mortar_carrier</t>
        </is>
      </c>
      <c r="AU188" t="n">
        <v>1</v>
      </c>
      <c r="AV188" t="inlineStr">
        <is>
          <t>mortar_carrier:0</t>
        </is>
      </c>
      <c r="AW188" t="n">
        <v>0</v>
      </c>
      <c r="AX188" t="b">
        <v>0</v>
      </c>
      <c r="AY188" t="inlineStr"/>
      <c r="AZ188">
        <f>IF(AND($AX$188,$AW$188&gt;$AA$188/$Z$188),$AW$188,$AA$188/$Z$188)</f>
        <v/>
      </c>
      <c r="BA188" t="n">
        <v>0.9166666666666666</v>
      </c>
      <c r="BB188" t="n">
        <v>15</v>
      </c>
      <c r="BC188" t="n">
        <v>10</v>
      </c>
      <c r="BD188" t="inlineStr">
        <is>
          <t>gun</t>
        </is>
      </c>
      <c r="BE188" t="inlineStr">
        <is>
          <t>Wikipedia '2B11': 15 rpm</t>
        </is>
      </c>
      <c r="BG188" t="inlineStr">
        <is>
          <t>doi</t>
        </is>
      </c>
      <c r="BR188" t="n">
        <v>32</v>
      </c>
      <c r="BS188" t="n">
        <v>60</v>
      </c>
      <c r="CN188" t="n">
        <v>18</v>
      </c>
      <c r="CT188" t="n">
        <v>120</v>
      </c>
      <c r="DD188" t="n">
        <v>5</v>
      </c>
      <c r="DE188" t="n">
        <v>150</v>
      </c>
      <c r="DF188" t="inlineStr">
        <is>
          <t>HighExplosive</t>
        </is>
      </c>
      <c r="DJ188" t="inlineStr">
        <is>
          <t>mortar</t>
        </is>
      </c>
      <c r="DS188" t="inlineStr">
        <is>
          <t>Large</t>
        </is>
      </c>
      <c r="DZ188" t="n">
        <v>10</v>
      </c>
      <c r="EB188" t="n">
        <v>2</v>
      </c>
      <c r="EP188" t="n">
        <v>55</v>
      </c>
      <c r="EQ188" t="inlineStr">
        <is>
          <t>2B11 120 mm</t>
        </is>
      </c>
      <c r="ER188" t="n">
        <v>35.73</v>
      </c>
      <c r="EX188" t="n">
        <v>120</v>
      </c>
      <c r="EZ188" t="n">
        <v>4.5</v>
      </c>
      <c r="GA188" t="inlineStr">
        <is>
          <t>2b11_120_mm</t>
        </is>
      </c>
      <c r="GB188" t="inlineStr">
        <is>
          <t>cal_120_he</t>
        </is>
      </c>
      <c r="GC188" t="inlineStr">
        <is>
          <t>mortar</t>
        </is>
      </c>
      <c r="GD188" t="inlineStr">
        <is>
          <t>Assets/MachineBrigade/Resources/Data/balance.json: weapons[31]</t>
        </is>
      </c>
      <c r="GE188" t="inlineStr">
        <is>
          <t>{"id":"mortar_120","weaponFamilyId":"cal_120_he","weaponVariantId":"mortar","weaponFamily":"2b11_120_mm","real":"2B11 120 mm","family":"mortar","size":120,"caliberMm":120,"pen":2,"damageType":"HighExplosive","damage":150,"cooldown":5,"range":55,"minRange":10,"spread":4.5,"impactTier":"Large","ammo":18,"reload":35.73}</t>
        </is>
      </c>
    </row>
    <row r="189">
      <c r="A189" t="inlineStr">
        <is>
          <t>mortar_240</t>
        </is>
      </c>
      <c r="B189" t="inlineStr">
        <is>
          <t>2B8 240 mm</t>
        </is>
      </c>
      <c r="C189" t="inlineStr">
        <is>
          <t>cal_240</t>
        </is>
      </c>
      <c r="D189" t="inlineStr"/>
      <c r="E189" t="inlineStr">
        <is>
          <t>2b8_240_mm</t>
        </is>
      </c>
      <c r="F189" t="inlineStr">
        <is>
          <t>mortar</t>
        </is>
      </c>
      <c r="G189" t="n">
        <v>240</v>
      </c>
      <c r="H189" t="inlineStr"/>
      <c r="I189" t="inlineStr"/>
      <c r="J189" t="inlineStr"/>
      <c r="K189" t="inlineStr">
        <is>
          <t>HighExplosive</t>
        </is>
      </c>
      <c r="L189" t="n">
        <v>4</v>
      </c>
      <c r="M189" t="inlineStr">
        <is>
          <t>Shell</t>
        </is>
      </c>
      <c r="N189" t="n">
        <v>1</v>
      </c>
      <c r="O189" t="inlineStr">
        <is>
          <t>RIPPLE</t>
        </is>
      </c>
      <c r="P189" t="n">
        <v>1</v>
      </c>
      <c r="Q189" t="n">
        <v>0.1</v>
      </c>
      <c r="R189" t="n">
        <v>14.2</v>
      </c>
      <c r="S189" t="n">
        <v>0</v>
      </c>
      <c r="T189" t="n">
        <v>0</v>
      </c>
      <c r="U189" t="n">
        <v>8</v>
      </c>
      <c r="V189" t="n">
        <v>23.2</v>
      </c>
      <c r="W189" t="n">
        <v>450</v>
      </c>
      <c r="X189" t="n">
        <v>9</v>
      </c>
      <c r="Y189" t="n">
        <v>0</v>
      </c>
      <c r="Z189" t="n">
        <v>60</v>
      </c>
      <c r="AA189" t="n">
        <v>85</v>
      </c>
      <c r="AB189" t="n">
        <v>20</v>
      </c>
      <c r="AC189" t="inlineStr">
        <is>
          <t>Ground</t>
        </is>
      </c>
      <c r="AD189" t="inlineStr"/>
      <c r="AE189" t="n">
        <v>5</v>
      </c>
      <c r="AF189" t="inlineStr">
        <is>
          <t>Ultimate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240</v>
      </c>
      <c r="AO189" t="n">
        <v>0</v>
      </c>
      <c r="AP189" t="inlineStr">
        <is>
          <t>T4</t>
        </is>
      </c>
      <c r="AQ189" t="inlineStr"/>
      <c r="AR189" t="inlineStr"/>
      <c r="AS189" t="inlineStr"/>
      <c r="AT189" t="inlineStr"/>
      <c r="AU189" t="n">
        <v>0</v>
      </c>
      <c r="AV189" t="inlineStr"/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</v>
      </c>
      <c r="BC189" t="n">
        <v>1</v>
      </c>
      <c r="BD189" t="inlineStr">
        <is>
          <t>gun</t>
        </is>
      </c>
      <c r="BE189" t="inlineStr">
        <is>
          <t>Wikipedia '2S4 Tyulpan': ~1 rpm</t>
        </is>
      </c>
      <c r="BG189" t="inlineStr">
        <is>
          <t>doi</t>
        </is>
      </c>
      <c r="BR189" t="n">
        <v>38</v>
      </c>
      <c r="BS189" t="n">
        <v>60</v>
      </c>
      <c r="CN189" t="n">
        <v>8</v>
      </c>
      <c r="CT189" t="n">
        <v>240</v>
      </c>
      <c r="DD189" t="n">
        <v>14.2</v>
      </c>
      <c r="DE189" t="n">
        <v>450</v>
      </c>
      <c r="DF189" t="inlineStr">
        <is>
          <t>HighExplosive</t>
        </is>
      </c>
      <c r="DJ189" t="inlineStr">
        <is>
          <t>mortar</t>
        </is>
      </c>
      <c r="DS189" t="inlineStr">
        <is>
          <t>Ultimate</t>
        </is>
      </c>
      <c r="DZ189" t="n">
        <v>20</v>
      </c>
      <c r="EB189" t="n">
        <v>4</v>
      </c>
      <c r="EP189" t="n">
        <v>85</v>
      </c>
      <c r="EQ189" t="inlineStr">
        <is>
          <t>2B8 240 mm</t>
        </is>
      </c>
      <c r="ER189" t="n">
        <v>23.2</v>
      </c>
      <c r="EX189" t="n">
        <v>240</v>
      </c>
      <c r="EZ189" t="n">
        <v>5</v>
      </c>
      <c r="GA189" t="inlineStr">
        <is>
          <t>2b8_240_mm</t>
        </is>
      </c>
      <c r="GB189" t="inlineStr">
        <is>
          <t>cal_240</t>
        </is>
      </c>
      <c r="GD189" t="inlineStr">
        <is>
          <t>Assets/MachineBrigade/Resources/Data/balance.json: weapons[60]</t>
        </is>
      </c>
      <c r="GE189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0">
      <c r="A190" t="inlineStr">
        <is>
          <t>mothership_cannon</t>
        </is>
      </c>
      <c r="B190" t="inlineStr">
        <is>
          <t>AU-220 57 mm</t>
        </is>
      </c>
      <c r="C190" t="inlineStr">
        <is>
          <t>cal_57</t>
        </is>
      </c>
      <c r="D190" t="inlineStr"/>
      <c r="E190" t="inlineStr"/>
      <c r="F190" t="inlineStr">
        <is>
          <t>autocannon</t>
        </is>
      </c>
      <c r="G190" t="n">
        <v>57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4</v>
      </c>
      <c r="Q190" t="n">
        <v>0.5</v>
      </c>
      <c r="R190" t="n">
        <v>3.29</v>
      </c>
      <c r="S190" t="n">
        <v>0</v>
      </c>
      <c r="T190" t="n">
        <v>0</v>
      </c>
      <c r="U190" t="n">
        <v>0</v>
      </c>
      <c r="V190" t="n">
        <v>0</v>
      </c>
      <c r="W190" t="n">
        <v>70</v>
      </c>
      <c r="X190" t="n">
        <v>3.5</v>
      </c>
      <c r="Y190" t="n">
        <v>0</v>
      </c>
      <c r="Z190" t="n">
        <v>150</v>
      </c>
      <c r="AA190" t="n">
        <v>45</v>
      </c>
      <c r="AB190" t="n">
        <v>0</v>
      </c>
      <c r="AC190" t="inlineStr">
        <is>
          <t>Ground</t>
        </is>
      </c>
      <c r="AD190" t="inlineStr"/>
      <c r="AE190" t="n">
        <v>2.5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57</v>
      </c>
      <c r="AO190" t="n">
        <v>0</v>
      </c>
      <c r="AP190" t="inlineStr">
        <is>
          <t>T2</t>
        </is>
      </c>
      <c r="AQ190" t="inlineStr"/>
      <c r="AR190" t="inlineStr"/>
      <c r="AS190" t="inlineStr"/>
      <c r="AT190" t="inlineStr"/>
      <c r="AU190" t="n">
        <v>0</v>
      </c>
      <c r="AV190" t="inlineStr"/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0.3</v>
      </c>
      <c r="BB190" t="n">
        <v>120</v>
      </c>
      <c r="BC190" t="n">
        <v>80</v>
      </c>
      <c r="BD190" t="inlineStr">
        <is>
          <t>ac</t>
        </is>
      </c>
      <c r="BE190" t="inlineStr">
        <is>
          <t>Wikipedia 'AU-220M': 80-120 rpm</t>
        </is>
      </c>
      <c r="BG190" t="inlineStr">
        <is>
          <t>giong</t>
        </is>
      </c>
      <c r="CR190" t="n">
        <v>4</v>
      </c>
      <c r="CS190" t="n">
        <v>0.5</v>
      </c>
      <c r="CT190" t="n">
        <v>57</v>
      </c>
      <c r="DD190" t="n">
        <v>3.29</v>
      </c>
      <c r="DE190" t="n">
        <v>70</v>
      </c>
      <c r="DF190" t="inlineStr">
        <is>
          <t>HighExplosive</t>
        </is>
      </c>
      <c r="DJ190" t="inlineStr">
        <is>
          <t>autocannon</t>
        </is>
      </c>
      <c r="DN190" t="inlineStr">
        <is>
          <t>BeltedAutocannon</t>
        </is>
      </c>
      <c r="DS190" t="inlineStr">
        <is>
          <t>Large</t>
        </is>
      </c>
      <c r="EB190" t="n">
        <v>2</v>
      </c>
      <c r="EK190" t="n">
        <v>150</v>
      </c>
      <c r="EP190" t="n">
        <v>45</v>
      </c>
      <c r="EQ190" t="inlineStr">
        <is>
          <t>AU-220 57 mm</t>
        </is>
      </c>
      <c r="EX190" t="n">
        <v>57</v>
      </c>
      <c r="EY190" t="n">
        <v>3.5</v>
      </c>
      <c r="EZ190" t="n">
        <v>2.5</v>
      </c>
      <c r="GB190" t="inlineStr">
        <is>
          <t>cal_57</t>
        </is>
      </c>
      <c r="GD190" t="inlineStr">
        <is>
          <t>Assets/MachineBrigade/Resources/Data/balance.json: weapons[133]</t>
        </is>
      </c>
      <c r="GE190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1">
      <c r="A191" t="inlineStr">
        <is>
          <t>mothership_drones</t>
        </is>
      </c>
      <c r="B191" t="inlineStr">
        <is>
          <t>ZALA Lancet-3 (3 kg)</t>
        </is>
      </c>
      <c r="C191" t="inlineStr">
        <is>
          <t>drone_zala_lancet_3</t>
        </is>
      </c>
      <c r="D191" t="inlineStr"/>
      <c r="E191" t="inlineStr">
        <is>
          <t>zala_lancet_3</t>
        </is>
      </c>
      <c r="F191" t="inlineStr">
        <is>
          <t>drone</t>
        </is>
      </c>
      <c r="G191" t="inlineStr"/>
      <c r="H191" t="n">
        <v>3</v>
      </c>
      <c r="I191" t="inlineStr"/>
      <c r="J191" t="inlineStr"/>
      <c r="K191" t="inlineStr">
        <is>
          <t>ShapedCharge</t>
        </is>
      </c>
      <c r="L191" t="n">
        <v>4</v>
      </c>
      <c r="M191" t="inlineStr">
        <is>
          <t>Drone</t>
        </is>
      </c>
      <c r="N191" t="n">
        <v>1</v>
      </c>
      <c r="O191" t="inlineStr">
        <is>
          <t>RIPPLE</t>
        </is>
      </c>
      <c r="P191" t="n">
        <v>4</v>
      </c>
      <c r="Q191" t="n">
        <v>0.3</v>
      </c>
      <c r="R191" t="n">
        <v>8.470000000000001</v>
      </c>
      <c r="S191" t="n">
        <v>0</v>
      </c>
      <c r="T191" t="n">
        <v>0</v>
      </c>
      <c r="U191" t="n">
        <v>0</v>
      </c>
      <c r="V191" t="n">
        <v>0</v>
      </c>
      <c r="W191" t="n">
        <v>240</v>
      </c>
      <c r="X191" t="n">
        <v>3</v>
      </c>
      <c r="Y191" t="n">
        <v>0</v>
      </c>
      <c r="Z191" t="n">
        <v>28</v>
      </c>
      <c r="AA191" t="n">
        <v>70</v>
      </c>
      <c r="AB191" t="n">
        <v>0</v>
      </c>
      <c r="AC191" t="inlineStr">
        <is>
          <t>Ground</t>
        </is>
      </c>
      <c r="AD191" t="inlineStr"/>
      <c r="AE191" t="n">
        <v>0</v>
      </c>
      <c r="AF191" t="inlineStr">
        <is>
          <t>Large</t>
        </is>
      </c>
      <c r="AG191" t="b">
        <v>1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3</v>
      </c>
      <c r="AO191" t="n">
        <v>0</v>
      </c>
      <c r="AP191" t="inlineStr">
        <is>
          <t>T2</t>
        </is>
      </c>
      <c r="AQ191" t="inlineStr"/>
      <c r="AR191" t="inlineStr"/>
      <c r="AS191" t="inlineStr">
        <is>
          <t>boss_part</t>
        </is>
      </c>
      <c r="AT191" t="inlineStr">
        <is>
          <t>drone_bay</t>
        </is>
      </c>
      <c r="AU191" t="n">
        <v>1</v>
      </c>
      <c r="AV191" t="inlineStr">
        <is>
          <t>drone_bay:part</t>
        </is>
      </c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2.5</v>
      </c>
      <c r="BB191" t="inlineStr">
        <is>
          <t>NEED_SOURCE</t>
        </is>
      </c>
      <c r="BC191" t="inlineStr">
        <is>
          <t>NEED_SOURCE</t>
        </is>
      </c>
      <c r="BE191" t="inlineStr">
        <is>
          <t>NEED_SOURCE</t>
        </is>
      </c>
      <c r="BG191" t="inlineStr">
        <is>
          <t>giong</t>
        </is>
      </c>
      <c r="CR191" t="n">
        <v>4</v>
      </c>
      <c r="CS191" t="n">
        <v>0.3</v>
      </c>
      <c r="DD191" t="n">
        <v>8.470000000000001</v>
      </c>
      <c r="DE191" t="n">
        <v>240</v>
      </c>
      <c r="DF191" t="inlineStr">
        <is>
          <t>ShapedCharge</t>
        </is>
      </c>
      <c r="DJ191" t="inlineStr">
        <is>
          <t>drone</t>
        </is>
      </c>
      <c r="DS191" t="inlineStr">
        <is>
          <t>Large</t>
        </is>
      </c>
      <c r="EB191" t="n">
        <v>4</v>
      </c>
      <c r="EE191" t="b">
        <v>1</v>
      </c>
      <c r="EH191" t="inlineStr">
        <is>
          <t>Drone</t>
        </is>
      </c>
      <c r="EP191" t="n">
        <v>70</v>
      </c>
      <c r="EQ191" t="inlineStr">
        <is>
          <t>ZALA Lancet-3 (3 kg)</t>
        </is>
      </c>
      <c r="EX191" t="n">
        <v>3</v>
      </c>
      <c r="FY191" t="b">
        <v>1</v>
      </c>
      <c r="FZ191" t="n">
        <v>3</v>
      </c>
      <c r="GA191" t="inlineStr">
        <is>
          <t>zala_lancet_3</t>
        </is>
      </c>
      <c r="GB191" t="inlineStr">
        <is>
          <t>drone_zala_lancet_3</t>
        </is>
      </c>
      <c r="GD191" t="inlineStr">
        <is>
          <t>Assets/MachineBrigade/Resources/Data/balance.json: weapons[134]</t>
        </is>
      </c>
      <c r="GE191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2">
      <c r="A192" t="inlineStr">
        <is>
          <t>naval_76</t>
        </is>
      </c>
      <c r="B192" t="inlineStr">
        <is>
          <t>OTO Melara 76/62</t>
        </is>
      </c>
      <c r="C192" t="inlineStr">
        <is>
          <t>cal_76</t>
        </is>
      </c>
      <c r="D192" t="inlineStr"/>
      <c r="E192" t="inlineStr"/>
      <c r="F192" t="inlineStr">
        <is>
          <t>howitzer</t>
        </is>
      </c>
      <c r="G192" t="n">
        <v>76</v>
      </c>
      <c r="H192" t="inlineStr"/>
      <c r="I192" t="inlineStr"/>
      <c r="J192" t="inlineStr"/>
      <c r="K192" t="inlineStr">
        <is>
          <t>HighExplosive</t>
        </is>
      </c>
      <c r="L192" t="n">
        <v>3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2</v>
      </c>
      <c r="Q192" t="n">
        <v>0.5</v>
      </c>
      <c r="R192" t="n">
        <v>3.1</v>
      </c>
      <c r="S192" t="n">
        <v>0</v>
      </c>
      <c r="T192" t="n">
        <v>0</v>
      </c>
      <c r="U192" t="n">
        <v>0</v>
      </c>
      <c r="V192" t="n">
        <v>0</v>
      </c>
      <c r="W192" t="n">
        <v>120</v>
      </c>
      <c r="X192" t="n">
        <v>3</v>
      </c>
      <c r="Y192" t="n">
        <v>0</v>
      </c>
      <c r="Z192" t="n">
        <v>110</v>
      </c>
      <c r="AA192" t="n">
        <v>95</v>
      </c>
      <c r="AB192" t="n">
        <v>0</v>
      </c>
      <c r="AC192" t="inlineStr">
        <is>
          <t>Ground</t>
        </is>
      </c>
      <c r="AD192" t="inlineStr"/>
      <c r="AE192" t="n">
        <v>2.2</v>
      </c>
      <c r="AF192" t="inlineStr">
        <is>
          <t>Medium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76</v>
      </c>
      <c r="AO192" t="n">
        <v>0</v>
      </c>
      <c r="AP192" t="inlineStr">
        <is>
          <t>T2</t>
        </is>
      </c>
      <c r="AQ192" t="inlineStr"/>
      <c r="AR192" t="inlineStr">
        <is>
          <t>naval_76_guided</t>
        </is>
      </c>
      <c r="AS192" t="inlineStr">
        <is>
          <t>xe</t>
        </is>
      </c>
      <c r="AT192" t="inlineStr">
        <is>
          <t>sea_corvette</t>
        </is>
      </c>
      <c r="AU192" t="n">
        <v>1</v>
      </c>
      <c r="AV192" t="inlineStr">
        <is>
          <t>sea_corvette:0</t>
        </is>
      </c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0.8636363636363636</v>
      </c>
      <c r="BB192" t="n">
        <v>120</v>
      </c>
      <c r="BC192" t="n">
        <v>80</v>
      </c>
      <c r="BD192" t="inlineStr">
        <is>
          <t>gun</t>
        </is>
      </c>
      <c r="BE192" t="inlineStr">
        <is>
          <t>Wikipedia 'OTO Melara 76 mm': 80-120 rpm (Super Rapid)</t>
        </is>
      </c>
      <c r="BG192" t="inlineStr">
        <is>
          <t>giong</t>
        </is>
      </c>
      <c r="CR192" t="n">
        <v>2</v>
      </c>
      <c r="CS192" t="n">
        <v>0.5</v>
      </c>
      <c r="CT192" t="n">
        <v>76</v>
      </c>
      <c r="DD192" t="n">
        <v>3.1</v>
      </c>
      <c r="DE192" t="n">
        <v>120</v>
      </c>
      <c r="DF192" t="inlineStr">
        <is>
          <t>HighExplosive</t>
        </is>
      </c>
      <c r="DJ192" t="inlineStr">
        <is>
          <t>howitzer</t>
        </is>
      </c>
      <c r="DS192" t="inlineStr">
        <is>
          <t>Medium</t>
        </is>
      </c>
      <c r="EB192" t="n">
        <v>3</v>
      </c>
      <c r="EK192" t="n">
        <v>110</v>
      </c>
      <c r="EP192" t="n">
        <v>95</v>
      </c>
      <c r="EQ192" t="inlineStr">
        <is>
          <t>OTO Melara 76/62</t>
        </is>
      </c>
      <c r="EX192" t="n">
        <v>76</v>
      </c>
      <c r="EY192" t="n">
        <v>3</v>
      </c>
      <c r="EZ192" t="n">
        <v>2.2</v>
      </c>
      <c r="GB192" t="inlineStr">
        <is>
          <t>cal_76</t>
        </is>
      </c>
      <c r="GD192" t="inlineStr">
        <is>
          <t>Assets/MachineBrigade/Resources/Data/balance.json: weapons[237]</t>
        </is>
      </c>
      <c r="GE192" t="inlineStr">
        <is>
          <t>{"id":"naval_76","weaponFamilyId":"cal_76","real":"OTO Melara 76/62","family":"howitzer","size":76,"caliberMm":76,"pen":3,"damageType":"HighExplosive","damage":120,"cooldown":3.1,"range":95,"projectileSpeed":110,"splash":3,"spread":2.2,"impactTier":"Medium","burst":2,"burstInterval":0.5}</t>
        </is>
      </c>
    </row>
    <row r="193">
      <c r="A193" t="inlineStr">
        <is>
          <t>naval_76_guided</t>
        </is>
      </c>
      <c r="B193" t="inlineStr">
        <is>
          <t>OTO Melara 76/62 guided</t>
        </is>
      </c>
      <c r="C193" t="inlineStr">
        <is>
          <t>cal_76</t>
        </is>
      </c>
      <c r="D193" t="inlineStr"/>
      <c r="E193" t="inlineStr"/>
      <c r="F193" t="inlineStr">
        <is>
          <t>howitzer</t>
        </is>
      </c>
      <c r="G193" t="n">
        <v>76</v>
      </c>
      <c r="H193" t="inlineStr"/>
      <c r="I193" t="inlineStr"/>
      <c r="J193" t="inlineStr"/>
      <c r="K193" t="inlineStr">
        <is>
          <t>HighExplosive</t>
        </is>
      </c>
      <c r="L193" t="n">
        <v>3</v>
      </c>
      <c r="M193" t="inlineStr">
        <is>
          <t>Shell</t>
        </is>
      </c>
      <c r="N193" t="n">
        <v>1</v>
      </c>
      <c r="O193" t="inlineStr">
        <is>
          <t>RIPPLE</t>
        </is>
      </c>
      <c r="P193" t="n">
        <v>1</v>
      </c>
      <c r="Q193" t="n">
        <v>0.5</v>
      </c>
      <c r="R193" t="n">
        <v>3.1</v>
      </c>
      <c r="S193" t="n">
        <v>0</v>
      </c>
      <c r="T193" t="n">
        <v>0</v>
      </c>
      <c r="U193" t="n">
        <v>0</v>
      </c>
      <c r="V193" t="n">
        <v>0</v>
      </c>
      <c r="W193" t="n">
        <v>120</v>
      </c>
      <c r="X193" t="n">
        <v>3</v>
      </c>
      <c r="Y193" t="n">
        <v>0</v>
      </c>
      <c r="Z193" t="n">
        <v>110</v>
      </c>
      <c r="AA193" t="n">
        <v>95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Medium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1</v>
      </c>
      <c r="AN193" t="n">
        <v>76</v>
      </c>
      <c r="AO193" t="n">
        <v>0</v>
      </c>
      <c r="AP193" t="inlineStr">
        <is>
          <t>T2</t>
        </is>
      </c>
      <c r="AQ193" t="inlineStr">
        <is>
          <t>naval_76</t>
        </is>
      </c>
      <c r="AR193" t="inlineStr"/>
      <c r="AS193" t="inlineStr"/>
      <c r="AT193" t="inlineStr"/>
      <c r="AU193" t="n">
        <v>0</v>
      </c>
      <c r="AV193" t="inlineStr"/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0.8636363636363636</v>
      </c>
      <c r="BB193" t="n">
        <v>120</v>
      </c>
      <c r="BC193" t="n">
        <v>80</v>
      </c>
      <c r="BD193" t="inlineStr">
        <is>
          <t>gun</t>
        </is>
      </c>
      <c r="BE193" t="inlineStr">
        <is>
          <t>Wikipedia 'OTO Melara 76 mm': 80-120 rpm (Super Rapid)</t>
        </is>
      </c>
      <c r="BG193" t="inlineStr">
        <is>
          <t>giong</t>
        </is>
      </c>
      <c r="CR193" t="n">
        <v>1</v>
      </c>
      <c r="DE193" t="n">
        <v>120</v>
      </c>
      <c r="DF193" t="inlineStr">
        <is>
          <t>HighExplosive</t>
        </is>
      </c>
      <c r="DH193" t="b">
        <v>1</v>
      </c>
      <c r="DM193" t="inlineStr">
        <is>
          <t>armour</t>
        </is>
      </c>
      <c r="DN193" t="inlineStr">
        <is>
          <t>HeShell</t>
        </is>
      </c>
      <c r="DP193" t="b">
        <v>1</v>
      </c>
      <c r="DT193" t="inlineStr">
        <is>
          <t>naval_76</t>
        </is>
      </c>
      <c r="EB193" t="n">
        <v>3</v>
      </c>
      <c r="EQ193" t="inlineStr">
        <is>
          <t>OTO Melara 76/62 guided</t>
        </is>
      </c>
      <c r="ES193" t="inlineStr">
        <is>
          <t>guided</t>
        </is>
      </c>
      <c r="EU193" t="inlineStr">
        <is>
          <t>naval_76</t>
        </is>
      </c>
      <c r="EZ193" t="n">
        <v>0</v>
      </c>
      <c r="FW193" t="inlineStr">
        <is>
          <t>Ground</t>
        </is>
      </c>
      <c r="GA193" t="inlineStr"/>
      <c r="GD193" t="inlineStr">
        <is>
          <t>Assets/MachineBrigade/Resources/Data/balance.json: secondRounds.rounds[54]</t>
        </is>
      </c>
      <c r="GE193" t="inlineStr">
        <is>
          <t>{"id":"naval_76_guided","roundOf":"naval_76","inherits":"naval_76","weaponFamily":"","round":"guided","for":["armour"],"elite":true,"real":"OTO Melara 76/62 guided","damageType":"HighExplosive","pen":3,"damage":120,"spread":0,"burst":1,"guided":true,"form":"HeShell","targets":"Ground"}</t>
        </is>
      </c>
    </row>
    <row r="194">
      <c r="A194" t="inlineStr">
        <is>
          <t>naval_100</t>
        </is>
      </c>
      <c r="B194" t="inlineStr">
        <is>
          <t>AK-100 100 mm</t>
        </is>
      </c>
      <c r="C194" t="inlineStr">
        <is>
          <t>cal_100_105_he</t>
        </is>
      </c>
      <c r="D194" t="inlineStr"/>
      <c r="E194" t="inlineStr"/>
      <c r="F194" t="inlineStr">
        <is>
          <t>howitzer</t>
        </is>
      </c>
      <c r="G194" t="n">
        <v>100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3.5</v>
      </c>
      <c r="S194" t="n">
        <v>0</v>
      </c>
      <c r="T194" t="n">
        <v>0</v>
      </c>
      <c r="U194" t="n">
        <v>0</v>
      </c>
      <c r="V194" t="n">
        <v>0</v>
      </c>
      <c r="W194" t="n">
        <v>160</v>
      </c>
      <c r="X194" t="n">
        <v>3.5</v>
      </c>
      <c r="Y194" t="n">
        <v>0</v>
      </c>
      <c r="Z194" t="n">
        <v>110</v>
      </c>
      <c r="AA194" t="n">
        <v>90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Large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100</v>
      </c>
      <c r="AO194" t="n">
        <v>0</v>
      </c>
      <c r="AP194" t="inlineStr">
        <is>
          <t>T2</t>
        </is>
      </c>
      <c r="AQ194" t="inlineStr">
        <is>
          <t>naval_76</t>
        </is>
      </c>
      <c r="AR194" t="inlineStr">
        <is>
          <t>naval_100_guided</t>
        </is>
      </c>
      <c r="AS194" t="inlineStr">
        <is>
          <t>boss_part</t>
        </is>
      </c>
      <c r="AT194" t="inlineStr">
        <is>
          <t>deck_gun_100</t>
        </is>
      </c>
      <c r="AU194" t="n">
        <v>1</v>
      </c>
      <c r="AV194" t="inlineStr">
        <is>
          <t>deck_gun_100:part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0.8181818181818182</v>
      </c>
      <c r="BB194" t="n">
        <v>60</v>
      </c>
      <c r="BC194" t="n">
        <v>30</v>
      </c>
      <c r="BD194" t="inlineStr">
        <is>
          <t>gun</t>
        </is>
      </c>
      <c r="BE194" t="inlineStr">
        <is>
          <t>Wikipedia 'AK-100 (naval gun)': 60 rpm</t>
        </is>
      </c>
      <c r="BG194" t="inlineStr">
        <is>
          <t>giong</t>
        </is>
      </c>
      <c r="CT194" t="n">
        <v>100</v>
      </c>
      <c r="DD194" t="n">
        <v>3.5</v>
      </c>
      <c r="DE194" t="n">
        <v>160</v>
      </c>
      <c r="DJ194" t="inlineStr">
        <is>
          <t>howitzer</t>
        </is>
      </c>
      <c r="DS194" t="inlineStr">
        <is>
          <t>Large</t>
        </is>
      </c>
      <c r="DT194" t="inlineStr">
        <is>
          <t>naval_76</t>
        </is>
      </c>
      <c r="EB194" t="n">
        <v>3</v>
      </c>
      <c r="EP194" t="n">
        <v>90</v>
      </c>
      <c r="EQ194" t="inlineStr">
        <is>
          <t>AK-100 100 mm</t>
        </is>
      </c>
      <c r="EX194" t="n">
        <v>100</v>
      </c>
      <c r="EY194" t="n">
        <v>3.5</v>
      </c>
      <c r="GB194" t="inlineStr">
        <is>
          <t>cal_100_105_he</t>
        </is>
      </c>
      <c r="GD194" t="inlineStr">
        <is>
          <t>Assets/MachineBrigade/Resources/Data/balance.json: weapons[252]</t>
        </is>
      </c>
      <c r="GE194" t="inlineStr">
        <is>
          <t>{"id":"naval_100","inherits":"naval_76","weaponFamilyId":"cal_100_105_he","real":"AK-100 100 mm","family":"howitzer","size":100,"caliberMm":100,"pen":3,"damage":160,"cooldown":3.5,"range":90,"splash":3.5,"impactTier":"Large"}</t>
        </is>
      </c>
    </row>
    <row r="195">
      <c r="A195" t="inlineStr">
        <is>
          <t>naval_100_guided</t>
        </is>
      </c>
      <c r="B195" t="inlineStr">
        <is>
          <t>AK-100 100 mm guided</t>
        </is>
      </c>
      <c r="C195" t="inlineStr">
        <is>
          <t>cal_100_105_he</t>
        </is>
      </c>
      <c r="D195" t="inlineStr"/>
      <c r="E195" t="inlineStr"/>
      <c r="F195" t="inlineStr">
        <is>
          <t>howitzer</t>
        </is>
      </c>
      <c r="G195" t="n">
        <v>100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3.5</v>
      </c>
      <c r="S195" t="n">
        <v>0</v>
      </c>
      <c r="T195" t="n">
        <v>0</v>
      </c>
      <c r="U195" t="n">
        <v>0</v>
      </c>
      <c r="V195" t="n">
        <v>0</v>
      </c>
      <c r="W195" t="n">
        <v>160</v>
      </c>
      <c r="X195" t="n">
        <v>3.5</v>
      </c>
      <c r="Y195" t="n">
        <v>0</v>
      </c>
      <c r="Z195" t="n">
        <v>110</v>
      </c>
      <c r="AA195" t="n">
        <v>90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Large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100</v>
      </c>
      <c r="AO195" t="n">
        <v>0</v>
      </c>
      <c r="AP195" t="inlineStr">
        <is>
          <t>T2</t>
        </is>
      </c>
      <c r="AQ195" t="inlineStr">
        <is>
          <t>naval_100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0.8181818181818182</v>
      </c>
      <c r="BB195" t="n">
        <v>60</v>
      </c>
      <c r="BC195" t="n">
        <v>30</v>
      </c>
      <c r="BD195" t="inlineStr">
        <is>
          <t>gun</t>
        </is>
      </c>
      <c r="BE195" t="inlineStr">
        <is>
          <t>Wikipedia 'AK-100 (naval gun)': 60 rpm</t>
        </is>
      </c>
      <c r="BG195" t="inlineStr">
        <is>
          <t>giong</t>
        </is>
      </c>
      <c r="CR195" t="n">
        <v>1</v>
      </c>
      <c r="DE195" t="n">
        <v>160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naval_100</t>
        </is>
      </c>
      <c r="EB195" t="n">
        <v>3</v>
      </c>
      <c r="EQ195" t="inlineStr">
        <is>
          <t>AK-100 100 mm guided</t>
        </is>
      </c>
      <c r="ES195" t="inlineStr">
        <is>
          <t>guided</t>
        </is>
      </c>
      <c r="EU195" t="inlineStr">
        <is>
          <t>naval_100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secondRounds.rounds[52]</t>
        </is>
      </c>
      <c r="GE195" t="inlineStr">
        <is>
          <t>{"id":"naval_100_guided","roundOf":"naval_100","inherits":"naval_100","weaponFamily":"","round":"guided","for":["armour"],"elite":true,"real":"AK-100 100 mm guided","damageType":"HighExplosive","pen":3,"damage":160,"spread":0,"burst":1,"guided":true,"form":"HeShell","targets":"Ground"}</t>
        </is>
      </c>
    </row>
    <row r="196">
      <c r="A196" t="inlineStr">
        <is>
          <t>naval_127</t>
        </is>
      </c>
      <c r="B196" t="inlineStr">
        <is>
          <t>Mk 45 127 mm</t>
        </is>
      </c>
      <c r="C196" t="inlineStr">
        <is>
          <t>cal_127_130</t>
        </is>
      </c>
      <c r="D196" t="inlineStr"/>
      <c r="E196" t="inlineStr"/>
      <c r="F196" t="inlineStr">
        <is>
          <t>howitzer</t>
        </is>
      </c>
      <c r="G196" t="n">
        <v>127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3.6</v>
      </c>
      <c r="S196" t="n">
        <v>0</v>
      </c>
      <c r="T196" t="n">
        <v>0</v>
      </c>
      <c r="U196" t="n">
        <v>0</v>
      </c>
      <c r="V196" t="n">
        <v>0</v>
      </c>
      <c r="W196" t="n">
        <v>200</v>
      </c>
      <c r="X196" t="n">
        <v>6</v>
      </c>
      <c r="Y196" t="n">
        <v>0</v>
      </c>
      <c r="Z196" t="n">
        <v>110</v>
      </c>
      <c r="AA196" t="n">
        <v>110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127</v>
      </c>
      <c r="AO196" t="n">
        <v>0</v>
      </c>
      <c r="AP196" t="inlineStr">
        <is>
          <t>T3</t>
        </is>
      </c>
      <c r="AQ196" t="inlineStr">
        <is>
          <t>naval_76</t>
        </is>
      </c>
      <c r="AR196" t="inlineStr"/>
      <c r="AS196" t="inlineStr">
        <is>
          <t>boss_part</t>
        </is>
      </c>
      <c r="AT196" t="inlineStr">
        <is>
          <t>naval_127</t>
        </is>
      </c>
      <c r="AU196" t="n">
        <v>1</v>
      </c>
      <c r="AV196" t="inlineStr">
        <is>
          <t>naval_127:part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1</v>
      </c>
      <c r="BB196" t="n">
        <v>20</v>
      </c>
      <c r="BC196" t="n">
        <v>16</v>
      </c>
      <c r="BD196" t="inlineStr">
        <is>
          <t>gun</t>
        </is>
      </c>
      <c r="BE196" t="inlineStr">
        <is>
          <t>Wikipedia '5"/54 caliber Mark 45': 16-20 rpm</t>
        </is>
      </c>
      <c r="BG196" t="inlineStr">
        <is>
          <t>giong</t>
        </is>
      </c>
      <c r="CT196" t="n">
        <v>127</v>
      </c>
      <c r="DD196" t="n">
        <v>3.6</v>
      </c>
      <c r="DE196" t="n">
        <v>200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110</v>
      </c>
      <c r="EQ196" t="inlineStr">
        <is>
          <t>Mk 45 127 mm</t>
        </is>
      </c>
      <c r="EX196" t="n">
        <v>127</v>
      </c>
      <c r="EY196" t="n">
        <v>6</v>
      </c>
      <c r="GB196" t="inlineStr">
        <is>
          <t>cal_127_130</t>
        </is>
      </c>
      <c r="GD196" t="inlineStr">
        <is>
          <t>Assets/MachineBrigade/Resources/Data/balance.json: weapons[251]</t>
        </is>
      </c>
      <c r="GE196" t="inlineStr">
        <is>
          <t>{"id":"naval_127","inherits":"naval_76","weaponFamilyId":"cal_127_130","real":"Mk 45 127 mm","family":"howitzer","size":127,"caliberMm":127,"pen":3,"damage":200,"cooldown":3.6,"range":110,"splash":6,"impactTier":"Large"}</t>
        </is>
      </c>
    </row>
    <row r="197">
      <c r="A197" t="inlineStr">
        <is>
          <t>naval_130_twin</t>
        </is>
      </c>
      <c r="B197" t="inlineStr">
        <is>
          <t>AK-130 130 mm (twin)</t>
        </is>
      </c>
      <c r="C197" t="inlineStr">
        <is>
          <t>cal_127_130</t>
        </is>
      </c>
      <c r="D197" t="inlineStr"/>
      <c r="E197" t="inlineStr"/>
      <c r="F197" t="inlineStr">
        <is>
          <t>howitzer</t>
        </is>
      </c>
      <c r="G197" t="n">
        <v>130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2</v>
      </c>
      <c r="O197" t="inlineStr">
        <is>
          <t>SIMULTANEOUS</t>
        </is>
      </c>
      <c r="P197" t="n">
        <v>1</v>
      </c>
      <c r="Q197" t="n">
        <v>1</v>
      </c>
      <c r="R197" t="n">
        <v>3</v>
      </c>
      <c r="S197" t="n">
        <v>0</v>
      </c>
      <c r="T197" t="n">
        <v>0</v>
      </c>
      <c r="U197" t="n">
        <v>0</v>
      </c>
      <c r="V197" t="n">
        <v>0</v>
      </c>
      <c r="W197" t="n">
        <v>380</v>
      </c>
      <c r="X197" t="n">
        <v>5</v>
      </c>
      <c r="Y197" t="n">
        <v>10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2.2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130</v>
      </c>
      <c r="AO197" t="n">
        <v>0</v>
      </c>
      <c r="AP197" t="inlineStr">
        <is>
          <t>T3</t>
        </is>
      </c>
      <c r="AQ197" t="inlineStr">
        <is>
          <t>naval_100</t>
        </is>
      </c>
      <c r="AR197" t="inlineStr"/>
      <c r="AS197" t="inlineStr">
        <is>
          <t>boss</t>
        </is>
      </c>
      <c r="AT197" t="inlineStr">
        <is>
          <t>scylla</t>
        </is>
      </c>
      <c r="AU197" t="n">
        <v>1</v>
      </c>
      <c r="AV197" t="inlineStr">
        <is>
          <t>scylla:0</t>
        </is>
      </c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40</v>
      </c>
      <c r="BC197" t="n">
        <v>20</v>
      </c>
      <c r="BD197" t="inlineStr">
        <is>
          <t>gun</t>
        </is>
      </c>
      <c r="BE197" t="inlineStr">
        <is>
          <t>Wikipedia 'AK-130': 10-40 rpm a barrel</t>
        </is>
      </c>
      <c r="BF197" t="inlineStr">
        <is>
          <t>real AK-130 10-40 rpm a barrel: 20 rpm (3 s), practical; 4.75 s was too slow</t>
        </is>
      </c>
      <c r="BG197" t="inlineStr">
        <is>
          <t>doi</t>
        </is>
      </c>
      <c r="BH197" t="n">
        <v>160</v>
      </c>
      <c r="BI197" t="n">
        <v>380</v>
      </c>
      <c r="BJ197" t="n">
        <v>1</v>
      </c>
      <c r="BK197" t="n">
        <v>3</v>
      </c>
      <c r="BP197" t="n">
        <v>0</v>
      </c>
      <c r="BQ197" t="n">
        <v>10</v>
      </c>
      <c r="BT197" t="n">
        <v>2</v>
      </c>
      <c r="BU197" t="n">
        <v>1</v>
      </c>
      <c r="BX197" t="n">
        <v>1</v>
      </c>
      <c r="BY197" t="n">
        <v>2</v>
      </c>
      <c r="BZ197" t="inlineStr">
        <is>
          <t>RIPPLE</t>
        </is>
      </c>
      <c r="CA197" t="inlineStr">
        <is>
          <t>SIMULTANEOUS</t>
        </is>
      </c>
      <c r="CO197" t="n">
        <v>2</v>
      </c>
      <c r="CR197" t="n">
        <v>1</v>
      </c>
      <c r="CS197" t="n">
        <v>1</v>
      </c>
      <c r="CT197" t="n">
        <v>130</v>
      </c>
      <c r="DD197" t="n">
        <v>3</v>
      </c>
      <c r="DE197" t="n">
        <v>380</v>
      </c>
      <c r="DG197" t="n">
        <v>10</v>
      </c>
      <c r="DO197" t="n">
        <v>41</v>
      </c>
      <c r="DS197" t="inlineStr">
        <is>
          <t>Large</t>
        </is>
      </c>
      <c r="DT197" t="inlineStr">
        <is>
          <t>naval_100</t>
        </is>
      </c>
      <c r="EB197" t="n">
        <v>3</v>
      </c>
      <c r="EP197" t="n">
        <v>90</v>
      </c>
      <c r="EQ197" t="inlineStr">
        <is>
          <t>AK-130 130 mm (twin)</t>
        </is>
      </c>
      <c r="EW197" t="inlineStr">
        <is>
          <t>SIMULTANEOUS</t>
        </is>
      </c>
      <c r="EX197" t="n">
        <v>130</v>
      </c>
      <c r="EY197" t="n">
        <v>5</v>
      </c>
      <c r="GB197" t="inlineStr">
        <is>
          <t>cal_127_130</t>
        </is>
      </c>
      <c r="GD197" t="inlineStr">
        <is>
          <t>Assets/MachineBrigade/Resources/Data/balance.json: weapons[253]</t>
        </is>
      </c>
      <c r="GE197" t="inlineStr">
        <is>
          <t>{"id":"naval_130_twin","groundMinReach":41,"inherits":"naval_100","weaponFamilyId":"cal_127_130","salvoMode":"SIMULTANEOUS","barrels":2,"edge":10,"real":"AK-130 130 mm (twin)","size":130,"caliberMm":130,"pen":3,"damage":380,"burst":1,"burstInterval":1,"cooldown":3,"range":90,"splash":5,"impactTier":"Large"}</t>
        </is>
      </c>
    </row>
    <row r="198">
      <c r="A198" t="inlineStr">
        <is>
          <t>naval_155_triple</t>
        </is>
      </c>
      <c r="B198" t="inlineStr">
        <is>
          <t>155 mm/60 (triple)</t>
        </is>
      </c>
      <c r="C198" t="inlineStr">
        <is>
          <t>cal_152_155</t>
        </is>
      </c>
      <c r="D198" t="inlineStr"/>
      <c r="E198" t="inlineStr"/>
      <c r="F198" t="inlineStr">
        <is>
          <t>howitzer</t>
        </is>
      </c>
      <c r="G198" t="n">
        <v>155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3</v>
      </c>
      <c r="Q198" t="n">
        <v>0.25</v>
      </c>
      <c r="R198" t="n">
        <v>10</v>
      </c>
      <c r="S198" t="n">
        <v>0</v>
      </c>
      <c r="T198" t="n">
        <v>0</v>
      </c>
      <c r="U198" t="n">
        <v>0</v>
      </c>
      <c r="V198" t="n">
        <v>0</v>
      </c>
      <c r="W198" t="n">
        <v>320</v>
      </c>
      <c r="X198" t="n">
        <v>4.5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2.4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155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>
        <is>
          <t>naval_155_triple_guided</t>
        </is>
      </c>
      <c r="AS198" t="inlineStr"/>
      <c r="AT198" t="inlineStr"/>
      <c r="AU198" t="n">
        <v>0</v>
      </c>
      <c r="AV198" t="inlineStr"/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5</v>
      </c>
      <c r="BC198" t="n">
        <v>4</v>
      </c>
      <c r="BD198" t="inlineStr">
        <is>
          <t>gun</t>
        </is>
      </c>
      <c r="BE198" t="inlineStr">
        <is>
          <t>Wikipedia '15.5 cm/60 3rd Year Type' (Mogami): ~5 rpm a gun</t>
        </is>
      </c>
      <c r="BG198" t="inlineStr">
        <is>
          <t>giong</t>
        </is>
      </c>
      <c r="CR198" t="n">
        <v>3</v>
      </c>
      <c r="CS198" t="n">
        <v>0.25</v>
      </c>
      <c r="CT198" t="n">
        <v>155</v>
      </c>
      <c r="DD198" t="n">
        <v>10</v>
      </c>
      <c r="DE198" t="n">
        <v>320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I198" t="inlineStr">
        <is>
          <t>shell_155</t>
        </is>
      </c>
      <c r="EJ198" t="n">
        <v>0.7272999999999999</v>
      </c>
      <c r="EP198" t="n">
        <v>110</v>
      </c>
      <c r="EQ198" t="inlineStr">
        <is>
          <t>155 mm/60 (triple)</t>
        </is>
      </c>
      <c r="ET198" t="n">
        <v>0.8</v>
      </c>
      <c r="EX198" t="n">
        <v>155</v>
      </c>
      <c r="EY198" t="n">
        <v>4.5</v>
      </c>
      <c r="EZ198" t="n">
        <v>2.4</v>
      </c>
      <c r="GB198" t="inlineStr">
        <is>
          <t>cal_152_155</t>
        </is>
      </c>
      <c r="GD198" t="inlineStr">
        <is>
          <t>Assets/MachineBrigade/Resources/Data/balance.json: weapons[254]</t>
        </is>
      </c>
      <c r="GE198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199">
      <c r="A199" t="inlineStr">
        <is>
          <t>naval_155_triple_guided</t>
        </is>
      </c>
      <c r="B199" t="inlineStr">
        <is>
          <t>155 mm/60 guided (triple)</t>
        </is>
      </c>
      <c r="C199" t="inlineStr">
        <is>
          <t>cal_152_155</t>
        </is>
      </c>
      <c r="D199" t="inlineStr">
        <is>
          <t>guided</t>
        </is>
      </c>
      <c r="E199" t="inlineStr"/>
      <c r="F199" t="inlineStr">
        <is>
          <t>howitzer</t>
        </is>
      </c>
      <c r="G199" t="n">
        <v>155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1</v>
      </c>
      <c r="O199" t="inlineStr">
        <is>
          <t>RIPPLE</t>
        </is>
      </c>
      <c r="P199" t="n">
        <v>1</v>
      </c>
      <c r="Q199" t="n">
        <v>0.25</v>
      </c>
      <c r="R199" t="n">
        <v>10</v>
      </c>
      <c r="S199" t="n">
        <v>0</v>
      </c>
      <c r="T199" t="n">
        <v>0</v>
      </c>
      <c r="U199" t="n">
        <v>0</v>
      </c>
      <c r="V199" t="n">
        <v>0</v>
      </c>
      <c r="W199" t="n">
        <v>320</v>
      </c>
      <c r="X199" t="n">
        <v>4.5</v>
      </c>
      <c r="Y199" t="n">
        <v>0</v>
      </c>
      <c r="Z199" t="n">
        <v>110</v>
      </c>
      <c r="AA199" t="n">
        <v>110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1</v>
      </c>
      <c r="AN199" t="n">
        <v>155</v>
      </c>
      <c r="AO199" t="n">
        <v>0</v>
      </c>
      <c r="AP199" t="inlineStr">
        <is>
          <t>T3</t>
        </is>
      </c>
      <c r="AQ199" t="inlineStr">
        <is>
          <t>naval_155_triple</t>
        </is>
      </c>
      <c r="AR199" t="inlineStr"/>
      <c r="AS199" t="inlineStr"/>
      <c r="AT199" t="inlineStr"/>
      <c r="AU199" t="n">
        <v>0</v>
      </c>
      <c r="AV199" t="inlineStr"/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5</v>
      </c>
      <c r="BC199" t="n">
        <v>4</v>
      </c>
      <c r="BD199" t="inlineStr">
        <is>
          <t>gun</t>
        </is>
      </c>
      <c r="BE199" t="inlineStr">
        <is>
          <t>Wikipedia '15.5 cm/60 3rd Year Type' (Mogami): ~5 rpm a gun</t>
        </is>
      </c>
      <c r="BG199" t="inlineStr">
        <is>
          <t>giong</t>
        </is>
      </c>
      <c r="CR199" t="n">
        <v>1</v>
      </c>
      <c r="DE199" t="n">
        <v>320</v>
      </c>
      <c r="DF199" t="inlineStr">
        <is>
          <t>HighExplosive</t>
        </is>
      </c>
      <c r="DH199" t="b">
        <v>1</v>
      </c>
      <c r="DM199" t="inlineStr">
        <is>
          <t>armour</t>
        </is>
      </c>
      <c r="DN199" t="inlineStr">
        <is>
          <t>HeShell</t>
        </is>
      </c>
      <c r="DP199" t="b">
        <v>1</v>
      </c>
      <c r="DT199" t="inlineStr">
        <is>
          <t>naval_155_triple</t>
        </is>
      </c>
      <c r="EB199" t="n">
        <v>3</v>
      </c>
      <c r="EQ199" t="inlineStr">
        <is>
          <t>155 mm/60 guided (triple)</t>
        </is>
      </c>
      <c r="ES199" t="inlineStr">
        <is>
          <t>guided</t>
        </is>
      </c>
      <c r="EU199" t="inlineStr">
        <is>
          <t>naval_155_triple</t>
        </is>
      </c>
      <c r="EZ199" t="n">
        <v>0</v>
      </c>
      <c r="FW199" t="inlineStr">
        <is>
          <t>Ground</t>
        </is>
      </c>
      <c r="GA199" t="inlineStr"/>
      <c r="GC199" t="inlineStr">
        <is>
          <t>guided</t>
        </is>
      </c>
      <c r="GD199" t="inlineStr">
        <is>
          <t>Assets/MachineBrigade/Resources/Data/balance.json: secondRounds.rounds[53]</t>
        </is>
      </c>
      <c r="GE199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0">
      <c r="A200" t="inlineStr">
        <is>
          <t>net_zap</t>
        </is>
      </c>
      <c r="B200" t="inlineStr">
        <is>
          <t>Anti-drone net corridor</t>
        </is>
      </c>
      <c r="C200" t="inlineStr">
        <is>
          <t>special_anti_drone_net_corridor</t>
        </is>
      </c>
      <c r="D200" t="inlineStr"/>
      <c r="E200" t="inlineStr"/>
      <c r="F200" t="inlineStr">
        <is>
          <t>special</t>
        </is>
      </c>
      <c r="G200" t="inlineStr"/>
      <c r="H200" t="inlineStr"/>
      <c r="I200" t="inlineStr"/>
      <c r="J200" t="inlineStr"/>
      <c r="K200" t="inlineStr">
        <is>
          <t>Energy</t>
        </is>
      </c>
      <c r="L200" t="n">
        <v>1</v>
      </c>
      <c r="M200" t="inlineStr">
        <is>
          <t>Bullet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0.5</v>
      </c>
      <c r="S200" t="n">
        <v>0</v>
      </c>
      <c r="T200" t="n">
        <v>0</v>
      </c>
      <c r="U200" t="n">
        <v>0</v>
      </c>
      <c r="V200" t="n">
        <v>0</v>
      </c>
      <c r="W200" t="n">
        <v>999</v>
      </c>
      <c r="X200" t="n">
        <v>0</v>
      </c>
      <c r="Y200" t="n">
        <v>0</v>
      </c>
      <c r="Z200" t="n">
        <v>200</v>
      </c>
      <c r="AA200" t="n">
        <v>15</v>
      </c>
      <c r="AB200" t="n">
        <v>0</v>
      </c>
      <c r="AC200" t="inlineStr">
        <is>
          <t>Air</t>
        </is>
      </c>
      <c r="AD200" t="inlineStr"/>
      <c r="AE200" t="n">
        <v>0</v>
      </c>
      <c r="AF200" t="inlineStr">
        <is>
          <t>Small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</v>
      </c>
      <c r="AO200" t="n">
        <v>0</v>
      </c>
      <c r="AP200" t="inlineStr">
        <is>
          <t>T0</t>
        </is>
      </c>
      <c r="AQ200" t="inlineStr"/>
      <c r="AR200" t="inlineStr"/>
      <c r="AS200" t="inlineStr">
        <is>
          <t>thap</t>
        </is>
      </c>
      <c r="AT200" t="inlineStr">
        <is>
          <t>drone_net_tower</t>
        </is>
      </c>
      <c r="AU200" t="n">
        <v>1</v>
      </c>
      <c r="AV200" t="inlineStr">
        <is>
          <t>drone_net_tower:0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0.075</v>
      </c>
      <c r="BB200" t="inlineStr">
        <is>
          <t>NEED_SOURCE</t>
        </is>
      </c>
      <c r="BC200" t="inlineStr">
        <is>
          <t>NEED_SOURCE</t>
        </is>
      </c>
      <c r="BE200" t="inlineStr">
        <is>
          <t>NEED_SOURCE</t>
        </is>
      </c>
      <c r="BG200" t="inlineStr">
        <is>
          <t>giong</t>
        </is>
      </c>
      <c r="DD200" t="n">
        <v>0.5</v>
      </c>
      <c r="DE200" t="n">
        <v>999</v>
      </c>
      <c r="DF200" t="inlineStr">
        <is>
          <t>Energy</t>
        </is>
      </c>
      <c r="DJ200" t="inlineStr">
        <is>
          <t>special</t>
        </is>
      </c>
      <c r="DS200" t="inlineStr">
        <is>
          <t>Small</t>
        </is>
      </c>
      <c r="EB200" t="n">
        <v>1</v>
      </c>
      <c r="EG200" t="inlineStr">
        <is>
          <t>Drones</t>
        </is>
      </c>
      <c r="EH200" t="inlineStr">
        <is>
          <t>Bullet</t>
        </is>
      </c>
      <c r="EK200" t="n">
        <v>200</v>
      </c>
      <c r="EP200" t="n">
        <v>15</v>
      </c>
      <c r="EQ200" t="inlineStr">
        <is>
          <t>Anti-drone net corridor</t>
        </is>
      </c>
      <c r="EX200" t="n">
        <v>1</v>
      </c>
      <c r="FW200" t="inlineStr">
        <is>
          <t>Air</t>
        </is>
      </c>
      <c r="GB200" t="inlineStr">
        <is>
          <t>special_anti_drone_net_corridor</t>
        </is>
      </c>
      <c r="GD200" t="inlineStr">
        <is>
          <t>Assets/MachineBrigade/Resources/Data/balance.json: weapons[264]</t>
        </is>
      </c>
      <c r="GE200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1">
      <c r="A201" t="inlineStr">
        <is>
          <t>none</t>
        </is>
      </c>
      <c r="B201" t="inlineStr"/>
      <c r="C201" t="inlineStr">
        <is>
          <t>wpn_none</t>
        </is>
      </c>
      <c r="D201" t="inlineStr"/>
      <c r="E201" t="inlineStr"/>
      <c r="F201" t="inlineStr"/>
      <c r="G201" t="inlineStr"/>
      <c r="H201" t="inlineStr"/>
      <c r="I201" t="inlineStr"/>
      <c r="J201" t="inlineStr"/>
      <c r="K201" t="inlineStr">
        <is>
          <t>Kinetic</t>
        </is>
      </c>
      <c r="L201" t="n">
        <v>0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1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100</v>
      </c>
      <c r="AA201" t="n">
        <v>1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Small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0</v>
      </c>
      <c r="AN201" t="n">
        <v>0</v>
      </c>
      <c r="AO201" t="n">
        <v>0</v>
      </c>
      <c r="AP201" t="inlineStr">
        <is>
          <t>T0</t>
        </is>
      </c>
      <c r="AQ201" t="inlineStr"/>
      <c r="AR201" t="inlineStr"/>
      <c r="AS201" t="inlineStr">
        <is>
          <t>cong_trinh;thap;xe</t>
        </is>
      </c>
      <c r="AT201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1" t="n">
        <v>23</v>
      </c>
      <c r="AV201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0.01</v>
      </c>
      <c r="BB201" t="inlineStr">
        <is>
          <t>NEED_SOURCE</t>
        </is>
      </c>
      <c r="BC201" t="inlineStr">
        <is>
          <t>NEED_SOURCE</t>
        </is>
      </c>
      <c r="BE201" t="inlineStr">
        <is>
          <t>NEED_SOURCE</t>
        </is>
      </c>
      <c r="BG201" t="inlineStr">
        <is>
          <t>giong</t>
        </is>
      </c>
      <c r="DD201" t="n">
        <v>1</v>
      </c>
      <c r="DE201" t="n">
        <v>0</v>
      </c>
      <c r="DF201" t="inlineStr">
        <is>
          <t>Kinetic</t>
        </is>
      </c>
      <c r="DN201" t="inlineStr">
        <is>
          <t>None</t>
        </is>
      </c>
      <c r="DS201" t="inlineStr">
        <is>
          <t>Small</t>
        </is>
      </c>
      <c r="EB201" t="n">
        <v>0</v>
      </c>
      <c r="EK201" t="n">
        <v>100</v>
      </c>
      <c r="EP201" t="n">
        <v>1</v>
      </c>
      <c r="GB201" t="inlineStr">
        <is>
          <t>wpn_none</t>
        </is>
      </c>
      <c r="GD201" t="inlineStr">
        <is>
          <t>Assets/MachineBrigade/Resources/Data/balance.json: weapons[105]</t>
        </is>
      </c>
      <c r="GE201" t="inlineStr">
        <is>
          <t>{"id":"none","weaponFamilyId":"wpn_none","pen":0,"form":"None","damageType":"Kinetic","damage":0,"cooldown":1,"range":1,"projectileSpeed":100,"impactTier":"Small"}</t>
        </is>
      </c>
    </row>
    <row r="202">
      <c r="A202" t="inlineStr">
        <is>
          <t>one_shot_kornet</t>
        </is>
      </c>
      <c r="B202" t="inlineStr">
        <is>
          <t>9M133 Kornet</t>
        </is>
      </c>
      <c r="C202" t="inlineStr">
        <is>
          <t>atgm_kornet</t>
        </is>
      </c>
      <c r="D202" t="inlineStr"/>
      <c r="E202" t="inlineStr">
        <is>
          <t>9m133_kornet</t>
        </is>
      </c>
      <c r="F202" t="inlineStr">
        <is>
          <t>atgm</t>
        </is>
      </c>
      <c r="G202" t="inlineStr"/>
      <c r="H202" t="n">
        <v>7</v>
      </c>
      <c r="I202" t="inlineStr"/>
      <c r="J202" t="inlineStr"/>
      <c r="K202" t="inlineStr">
        <is>
          <t>ShapedCharge</t>
        </is>
      </c>
      <c r="L202" t="n">
        <v>4</v>
      </c>
      <c r="M202" t="inlineStr">
        <is>
          <t>Missile</t>
        </is>
      </c>
      <c r="N202" t="n">
        <v>1</v>
      </c>
      <c r="O202" t="inlineStr">
        <is>
          <t>RIPPLE</t>
        </is>
      </c>
      <c r="P202" t="n">
        <v>1</v>
      </c>
      <c r="Q202" t="n">
        <v>0.6</v>
      </c>
      <c r="R202" t="n">
        <v>1.2</v>
      </c>
      <c r="S202" t="n">
        <v>8</v>
      </c>
      <c r="T202" t="n">
        <v>999999</v>
      </c>
      <c r="U202" t="n">
        <v>0</v>
      </c>
      <c r="V202" t="n">
        <v>0</v>
      </c>
      <c r="W202" t="n">
        <v>230</v>
      </c>
      <c r="X202" t="n">
        <v>0</v>
      </c>
      <c r="Y202" t="n">
        <v>0</v>
      </c>
      <c r="Z202" t="n">
        <v>80</v>
      </c>
      <c r="AA202" t="n">
        <v>50</v>
      </c>
      <c r="AB202" t="n">
        <v>0</v>
      </c>
      <c r="AC202" t="inlineStr">
        <is>
          <t>Ground</t>
        </is>
      </c>
      <c r="AD202" t="inlineStr"/>
      <c r="AE202" t="n">
        <v>0</v>
      </c>
      <c r="AF202" t="inlineStr">
        <is>
          <t>Medium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29</v>
      </c>
      <c r="AO202" t="n">
        <v>0</v>
      </c>
      <c r="AP202" t="inlineStr">
        <is>
          <t>T2</t>
        </is>
      </c>
      <c r="AQ202" t="inlineStr">
        <is>
          <t>tower_kornet</t>
        </is>
      </c>
      <c r="AR202" t="inlineStr"/>
      <c r="AS202" t="inlineStr">
        <is>
          <t>thap</t>
        </is>
      </c>
      <c r="AT202" t="inlineStr">
        <is>
          <t>one_shot_atgm_tower</t>
        </is>
      </c>
      <c r="AU202" t="n">
        <v>1</v>
      </c>
      <c r="AV202" t="inlineStr">
        <is>
          <t>one_shot_atgm_tower:0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0.625</v>
      </c>
      <c r="BB202" t="n">
        <v>3</v>
      </c>
      <c r="BC202" t="n">
        <v>3</v>
      </c>
      <c r="BD202" t="inlineStr">
        <is>
          <t>atgm</t>
        </is>
      </c>
      <c r="BE202" t="inlineStr">
        <is>
          <t>Wikipedia '9M133 Kornet': 2-3 rpm</t>
        </is>
      </c>
      <c r="BG202" t="inlineStr">
        <is>
          <t>doi</t>
        </is>
      </c>
      <c r="BR202" t="n">
        <v>22</v>
      </c>
      <c r="BS202" t="n">
        <v>80</v>
      </c>
      <c r="CR202" t="n">
        <v>1</v>
      </c>
      <c r="CW202" t="n">
        <v>8</v>
      </c>
      <c r="CX202" t="n">
        <v>999999</v>
      </c>
      <c r="DD202" t="n">
        <v>1.2</v>
      </c>
      <c r="DT202" t="inlineStr">
        <is>
          <t>tower_kornet</t>
        </is>
      </c>
      <c r="EQ202" t="inlineStr">
        <is>
          <t>9M133 Kornet</t>
        </is>
      </c>
      <c r="GD202" t="inlineStr">
        <is>
          <t>Assets/MachineBrigade/Resources/Data/balance.json: weapons[265]</t>
        </is>
      </c>
      <c r="GE202" t="inlineStr">
        <is>
          <t>{"id":"one_shot_kornet","inherits":"tower_kornet","real":"9M133 Kornet","burst":1,"cooldown":1.2,"clip":8,"clipReload":999999}</t>
        </is>
      </c>
    </row>
    <row r="203">
      <c r="A203" t="inlineStr">
        <is>
          <t>orbital_laser</t>
        </is>
      </c>
      <c r="B203" t="inlineStr">
        <is>
          <t>laser (150 kW)</t>
        </is>
      </c>
      <c r="C203" t="inlineStr">
        <is>
          <t>laser_laser</t>
        </is>
      </c>
      <c r="D203" t="inlineStr"/>
      <c r="E203" t="inlineStr"/>
      <c r="F203" t="inlineStr">
        <is>
          <t>laser</t>
        </is>
      </c>
      <c r="G203" t="inlineStr"/>
      <c r="H203" t="inlineStr"/>
      <c r="I203" t="n">
        <v>150</v>
      </c>
      <c r="J203" t="inlineStr"/>
      <c r="K203" t="inlineStr">
        <is>
          <t>Energy</t>
        </is>
      </c>
      <c r="L203" t="n">
        <v>4</v>
      </c>
      <c r="M203" t="inlineStr">
        <is>
          <t>Bullet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0.1</v>
      </c>
      <c r="S203" t="n">
        <v>0</v>
      </c>
      <c r="T203" t="n">
        <v>0</v>
      </c>
      <c r="U203" t="n">
        <v>0</v>
      </c>
      <c r="V203" t="n">
        <v>0</v>
      </c>
      <c r="W203" t="n">
        <v>9</v>
      </c>
      <c r="X203" t="n">
        <v>1.5</v>
      </c>
      <c r="Y203" t="n">
        <v>0</v>
      </c>
      <c r="Z203" t="n">
        <v>3000</v>
      </c>
      <c r="AA203" t="n">
        <v>36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1</v>
      </c>
      <c r="AM203" t="b">
        <v>0</v>
      </c>
      <c r="AN203" t="n">
        <v>150</v>
      </c>
      <c r="AO203" t="n">
        <v>0</v>
      </c>
      <c r="AP203" t="inlineStr">
        <is>
          <t>T1</t>
        </is>
      </c>
      <c r="AQ203" t="inlineStr"/>
      <c r="AR203" t="inlineStr"/>
      <c r="AS203" t="inlineStr"/>
      <c r="AT203" t="inlineStr"/>
      <c r="AU203" t="n">
        <v>0</v>
      </c>
      <c r="AV203" t="inlineStr"/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0.012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CP203" t="b">
        <v>1</v>
      </c>
      <c r="DD203" t="n">
        <v>0.1</v>
      </c>
      <c r="DE203" t="n">
        <v>9</v>
      </c>
      <c r="DF203" t="inlineStr">
        <is>
          <t>Energy</t>
        </is>
      </c>
      <c r="DJ203" t="inlineStr">
        <is>
          <t>laser</t>
        </is>
      </c>
      <c r="DS203" t="inlineStr">
        <is>
          <t>Small</t>
        </is>
      </c>
      <c r="EB203" t="n">
        <v>4</v>
      </c>
      <c r="EF203" t="n">
        <v>150</v>
      </c>
      <c r="EH203" t="inlineStr">
        <is>
          <t>Bullet</t>
        </is>
      </c>
      <c r="EK203" t="n">
        <v>3000</v>
      </c>
      <c r="EP203" t="n">
        <v>36</v>
      </c>
      <c r="EQ203" t="inlineStr">
        <is>
          <t>laser (150 kW)</t>
        </is>
      </c>
      <c r="EX203" t="n">
        <v>150</v>
      </c>
      <c r="EY203" t="n">
        <v>1.5</v>
      </c>
      <c r="GB203" t="inlineStr">
        <is>
          <t>laser_laser</t>
        </is>
      </c>
      <c r="GD203" t="inlineStr">
        <is>
          <t>Assets/MachineBrigade/Resources/Data/balance.json: weapons[131]</t>
        </is>
      </c>
      <c r="GE203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4">
      <c r="A204" t="inlineStr">
        <is>
          <t>p26_bastion_b100</t>
        </is>
      </c>
      <c r="B204" t="inlineStr">
        <is>
          <t>D-10 100 mm</t>
        </is>
      </c>
      <c r="C204" t="inlineStr">
        <is>
          <t>cal_100_105_ap</t>
        </is>
      </c>
      <c r="D204" t="inlineStr"/>
      <c r="E204" t="inlineStr"/>
      <c r="F204" t="inlineStr">
        <is>
          <t>tank_gun</t>
        </is>
      </c>
      <c r="G204" t="n">
        <v>100</v>
      </c>
      <c r="H204" t="inlineStr"/>
      <c r="I204" t="inlineStr"/>
      <c r="J204" t="inlineStr"/>
      <c r="K204" t="inlineStr">
        <is>
          <t>Kinetic</t>
        </is>
      </c>
      <c r="L204" t="n">
        <v>5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4</v>
      </c>
      <c r="S204" t="n">
        <v>0</v>
      </c>
      <c r="T204" t="n">
        <v>0</v>
      </c>
      <c r="U204" t="n">
        <v>0</v>
      </c>
      <c r="V204" t="n">
        <v>0</v>
      </c>
      <c r="W204" t="n">
        <v>240</v>
      </c>
      <c r="X204" t="n">
        <v>0</v>
      </c>
      <c r="Y204" t="n">
        <v>0</v>
      </c>
      <c r="Z204" t="n">
        <v>170</v>
      </c>
      <c r="AA204" t="n">
        <v>36</v>
      </c>
      <c r="AB204" t="n">
        <v>0</v>
      </c>
      <c r="AC204" t="inlineStr">
        <is>
          <t>Ground</t>
        </is>
      </c>
      <c r="AD204" t="inlineStr"/>
      <c r="AE204" t="n">
        <v>0.6</v>
      </c>
      <c r="AF204" t="inlineStr">
        <is>
          <t>Medium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100</v>
      </c>
      <c r="AO204" t="n">
        <v>0</v>
      </c>
      <c r="AP204" t="inlineStr">
        <is>
          <t>T2</t>
        </is>
      </c>
      <c r="AQ204" t="inlineStr">
        <is>
          <t>gun_120mm</t>
        </is>
      </c>
      <c r="AR204" t="inlineStr"/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0.2117647058823529</v>
      </c>
      <c r="BB204" t="n">
        <v>7</v>
      </c>
      <c r="BC204" t="n">
        <v>4</v>
      </c>
      <c r="BD204" t="inlineStr">
        <is>
          <t>gun</t>
        </is>
      </c>
      <c r="BE204" t="inlineStr">
        <is>
          <t>Wikipedia 'D-10 tank gun' (T-55): 4-7 rpm</t>
        </is>
      </c>
      <c r="BG204" t="inlineStr">
        <is>
          <t>giong</t>
        </is>
      </c>
      <c r="CT204" t="n">
        <v>100</v>
      </c>
      <c r="DD204" t="n">
        <v>4</v>
      </c>
      <c r="DE204" t="n">
        <v>240</v>
      </c>
      <c r="DT204" t="inlineStr">
        <is>
          <t>gun_120mm</t>
        </is>
      </c>
      <c r="EB204" t="n">
        <v>5</v>
      </c>
      <c r="EP204" t="n">
        <v>36</v>
      </c>
      <c r="EQ204" t="inlineStr">
        <is>
          <t>D-10 100 mm</t>
        </is>
      </c>
      <c r="EX204" t="n">
        <v>100</v>
      </c>
      <c r="EY204" t="n">
        <v>0</v>
      </c>
      <c r="GA204" t="inlineStr"/>
      <c r="GB204" t="inlineStr">
        <is>
          <t>cal_100_105_ap</t>
        </is>
      </c>
      <c r="GD204" t="inlineStr">
        <is>
          <t>Assets/MachineBrigade/Resources/Data/balance.json: weapons[141]</t>
        </is>
      </c>
      <c r="GE204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05">
      <c r="A205" t="inlineStr">
        <is>
          <t>p26_bastion_b155</t>
        </is>
      </c>
      <c r="B205" t="inlineStr">
        <is>
          <t>M284 155 mm (Bastion)</t>
        </is>
      </c>
      <c r="C205" t="inlineStr">
        <is>
          <t>cal_152_155</t>
        </is>
      </c>
      <c r="D205" t="inlineStr"/>
      <c r="E205" t="inlineStr"/>
      <c r="F205" t="inlineStr">
        <is>
          <t>howitzer</t>
        </is>
      </c>
      <c r="G205" t="n">
        <v>155</v>
      </c>
      <c r="H205" t="inlineStr"/>
      <c r="I205" t="inlineStr"/>
      <c r="J205" t="inlineStr"/>
      <c r="K205" t="inlineStr">
        <is>
          <t>HighExplosive</t>
        </is>
      </c>
      <c r="L205" t="n">
        <v>4</v>
      </c>
      <c r="M205" t="inlineStr">
        <is>
          <t>Shell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2</v>
      </c>
      <c r="S205" t="n">
        <v>0</v>
      </c>
      <c r="T205" t="n">
        <v>0</v>
      </c>
      <c r="U205" t="n">
        <v>0</v>
      </c>
      <c r="V205" t="n">
        <v>0</v>
      </c>
      <c r="W205" t="n">
        <v>540</v>
      </c>
      <c r="X205" t="n">
        <v>8.5</v>
      </c>
      <c r="Y205" t="n">
        <v>17</v>
      </c>
      <c r="Z205" t="n">
        <v>100</v>
      </c>
      <c r="AA205" t="n">
        <v>75</v>
      </c>
      <c r="AB205" t="n">
        <v>20</v>
      </c>
      <c r="AC205" t="inlineStr">
        <is>
          <t>Ground</t>
        </is>
      </c>
      <c r="AD205" t="inlineStr"/>
      <c r="AE205" t="n">
        <v>4.5</v>
      </c>
      <c r="AF205" t="inlineStr">
        <is>
          <t>Huge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155</v>
      </c>
      <c r="AO205" t="n">
        <v>0</v>
      </c>
      <c r="AP205" t="inlineStr">
        <is>
          <t>T3</t>
        </is>
      </c>
      <c r="AQ205" t="inlineStr">
        <is>
          <t>casemate_155</t>
        </is>
      </c>
      <c r="AR205" t="inlineStr"/>
      <c r="AS205" t="inlineStr"/>
      <c r="AT205" t="inlineStr"/>
      <c r="AU205" t="n">
        <v>0</v>
      </c>
      <c r="AV205" t="inlineStr"/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0.75</v>
      </c>
      <c r="BB205" t="n">
        <v>4</v>
      </c>
      <c r="BC205" t="n">
        <v>1</v>
      </c>
      <c r="BD205" t="inlineStr">
        <is>
          <t>gun</t>
        </is>
      </c>
      <c r="BE205" t="inlineStr">
        <is>
          <t>US Army M109A7 fact file: 4 rpm for 3 min, 1 rpm sustained</t>
        </is>
      </c>
      <c r="BG205" t="inlineStr">
        <is>
          <t>doi</t>
        </is>
      </c>
      <c r="BR205" t="n">
        <v>45</v>
      </c>
      <c r="BS205" t="n">
        <v>100</v>
      </c>
      <c r="CR205" t="n">
        <v>1</v>
      </c>
      <c r="DD205" t="n">
        <v>2</v>
      </c>
      <c r="DE205" t="n">
        <v>540</v>
      </c>
      <c r="DG205" t="n">
        <v>17</v>
      </c>
      <c r="DT205" t="inlineStr">
        <is>
          <t>casemate_155</t>
        </is>
      </c>
      <c r="EB205" t="n">
        <v>4</v>
      </c>
      <c r="EQ205" t="inlineStr">
        <is>
          <t>M284 155 mm (Bastion)</t>
        </is>
      </c>
      <c r="EY205" t="n">
        <v>8.5</v>
      </c>
      <c r="GA205" t="inlineStr"/>
      <c r="GD205" t="inlineStr">
        <is>
          <t>Assets/MachineBrigade/Resources/Data/balance.json: weapons[139]</t>
        </is>
      </c>
      <c r="GE205" t="inlineStr">
        <is>
          <t>{"id":"p26_bastion_b155","inherits":"casemate_155","weaponFamily":"","real":"M284 155 mm (Bastion)","damage":540,"cooldown":2,"burst":1,"splash":8.5,"edge":17,"pen":4}</t>
        </is>
      </c>
    </row>
    <row r="206">
      <c r="A206" t="inlineStr">
        <is>
          <t>p26_bastion_b240</t>
        </is>
      </c>
      <c r="B206" t="inlineStr">
        <is>
          <t>2B8 240 mm</t>
        </is>
      </c>
      <c r="C206" t="inlineStr">
        <is>
          <t>cal_240</t>
        </is>
      </c>
      <c r="D206" t="inlineStr"/>
      <c r="E206" t="inlineStr"/>
      <c r="F206" t="inlineStr">
        <is>
          <t>mortar</t>
        </is>
      </c>
      <c r="G206" t="n">
        <v>240</v>
      </c>
      <c r="H206" t="inlineStr"/>
      <c r="I206" t="inlineStr"/>
      <c r="J206" t="inlineStr"/>
      <c r="K206" t="inlineStr">
        <is>
          <t>HighExplosive</t>
        </is>
      </c>
      <c r="L206" t="n">
        <v>4</v>
      </c>
      <c r="M206" t="inlineStr">
        <is>
          <t>Shell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5</v>
      </c>
      <c r="S206" t="n">
        <v>0</v>
      </c>
      <c r="T206" t="n">
        <v>0</v>
      </c>
      <c r="U206" t="n">
        <v>0</v>
      </c>
      <c r="V206" t="n">
        <v>0</v>
      </c>
      <c r="W206" t="n">
        <v>750</v>
      </c>
      <c r="X206" t="n">
        <v>10</v>
      </c>
      <c r="Y206" t="n">
        <v>20</v>
      </c>
      <c r="Z206" t="n">
        <v>60</v>
      </c>
      <c r="AA206" t="n">
        <v>80</v>
      </c>
      <c r="AB206" t="n">
        <v>12</v>
      </c>
      <c r="AC206" t="inlineStr">
        <is>
          <t>Ground</t>
        </is>
      </c>
      <c r="AD206" t="inlineStr"/>
      <c r="AE206" t="n">
        <v>3.5</v>
      </c>
      <c r="AF206" t="inlineStr">
        <is>
          <t>Huge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240</v>
      </c>
      <c r="AO206" t="n">
        <v>0</v>
      </c>
      <c r="AP206" t="inlineStr">
        <is>
          <t>T4</t>
        </is>
      </c>
      <c r="AQ206" t="inlineStr">
        <is>
          <t>boss_mortar</t>
        </is>
      </c>
      <c r="AR206" t="inlineStr"/>
      <c r="AS206" t="inlineStr"/>
      <c r="AT206" t="inlineStr"/>
      <c r="AU206" t="n">
        <v>0</v>
      </c>
      <c r="AV206" t="inlineStr"/>
      <c r="AW206" t="n">
        <v>2.722222222222222</v>
      </c>
      <c r="AX206" t="b">
        <v>1</v>
      </c>
      <c r="AY206" t="inlineStr"/>
      <c r="AZ206">
        <f>IF(AND($AX$206,$AW$206&gt;$AA$206/$Z$206),$AW$206,$AA$206/$Z$206)</f>
        <v/>
      </c>
      <c r="BA206" t="n">
        <v>2.722222222222222</v>
      </c>
      <c r="BB206" t="n">
        <v>1</v>
      </c>
      <c r="BC206" t="n">
        <v>1</v>
      </c>
      <c r="BD206" t="inlineStr">
        <is>
          <t>gun</t>
        </is>
      </c>
      <c r="BE206" t="inlineStr">
        <is>
          <t>Wikipedia '2S4 Tyulpan': ~1 rpm</t>
        </is>
      </c>
      <c r="BG206" t="inlineStr">
        <is>
          <t>doi</t>
        </is>
      </c>
      <c r="BR206" t="n">
        <v>38</v>
      </c>
      <c r="BS206" t="n">
        <v>60</v>
      </c>
      <c r="DD206" t="n">
        <v>5</v>
      </c>
      <c r="DE206" t="n">
        <v>750</v>
      </c>
      <c r="DG206" t="n">
        <v>20</v>
      </c>
      <c r="DT206" t="inlineStr">
        <is>
          <t>boss_mortar</t>
        </is>
      </c>
      <c r="EQ206" t="inlineStr">
        <is>
          <t>2B8 240 mm</t>
        </is>
      </c>
      <c r="EY206" t="n">
        <v>10</v>
      </c>
      <c r="GA206" t="inlineStr"/>
      <c r="GD206" t="inlineStr">
        <is>
          <t>Assets/MachineBrigade/Resources/Data/balance.json: weapons[140]</t>
        </is>
      </c>
      <c r="GE206" t="inlineStr">
        <is>
          <t>{"id":"p26_bastion_b240","inherits":"boss_mortar","weaponFamily":"","real":"2B8 240 mm","damage":750,"cooldown":5,"splash":10,"edge":20}</t>
        </is>
      </c>
    </row>
    <row r="207">
      <c r="A207" t="inlineStr">
        <is>
          <t>p26_bastion_close_boss_hmg</t>
        </is>
      </c>
      <c r="B207" t="inlineStr">
        <is>
          <t>NSV 12.7 mm</t>
        </is>
      </c>
      <c r="C207" t="inlineStr">
        <is>
          <t>cal_12_7</t>
        </is>
      </c>
      <c r="D207" t="inlineStr"/>
      <c r="E207" t="inlineStr"/>
      <c r="F207" t="inlineStr">
        <is>
          <t>mg</t>
        </is>
      </c>
      <c r="G207" t="n">
        <v>12.7</v>
      </c>
      <c r="H207" t="inlineStr"/>
      <c r="I207" t="inlineStr"/>
      <c r="J207" t="inlineStr"/>
      <c r="K207" t="inlineStr">
        <is>
          <t>Kinetic</t>
        </is>
      </c>
      <c r="L207" t="n">
        <v>1</v>
      </c>
      <c r="M207" t="inlineStr">
        <is>
          <t>Bullet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0.0833</v>
      </c>
      <c r="S207" t="n">
        <v>100</v>
      </c>
      <c r="T207" t="n">
        <v>5</v>
      </c>
      <c r="U207" t="n">
        <v>0</v>
      </c>
      <c r="V207" t="n">
        <v>0</v>
      </c>
      <c r="W207" t="n">
        <v>15</v>
      </c>
      <c r="X207" t="n">
        <v>0</v>
      </c>
      <c r="Y207" t="n">
        <v>0</v>
      </c>
      <c r="Z207" t="n">
        <v>240</v>
      </c>
      <c r="AA207" t="n">
        <v>30</v>
      </c>
      <c r="AB207" t="n">
        <v>0</v>
      </c>
      <c r="AC207" t="inlineStr">
        <is>
          <t>All</t>
        </is>
      </c>
      <c r="AD207" t="inlineStr"/>
      <c r="AE207" t="n">
        <v>1.3</v>
      </c>
      <c r="AF207" t="inlineStr">
        <is>
          <t>Small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12.7</v>
      </c>
      <c r="AO207" t="n">
        <v>0</v>
      </c>
      <c r="AP207" t="inlineStr">
        <is>
          <t>T0</t>
        </is>
      </c>
      <c r="AQ207" t="inlineStr">
        <is>
          <t>boss_hmg</t>
        </is>
      </c>
      <c r="AR207" t="inlineStr"/>
      <c r="AS207" t="inlineStr">
        <is>
          <t>boss</t>
        </is>
      </c>
      <c r="AT207" t="inlineStr">
        <is>
          <t>fortress_bastion;monster</t>
        </is>
      </c>
      <c r="AU207" t="n">
        <v>2</v>
      </c>
      <c r="AV207" t="inlineStr">
        <is>
          <t>fortress_bastion:6;fortress_bastion:7;monster:6;monster:7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0.125</v>
      </c>
      <c r="BB207" t="n">
        <v>800</v>
      </c>
      <c r="BC207" t="n">
        <v>100</v>
      </c>
      <c r="BD207" t="inlineStr">
        <is>
          <t>mg</t>
        </is>
      </c>
      <c r="BE207" t="inlineStr">
        <is>
          <t>Wikipedia 'NSV machine gun': 700-800 cyclic, 100 practical</t>
        </is>
      </c>
      <c r="BF207" t="inlineStr">
        <is>
          <t>wave 1 boss_hmg: 100 rounds at 720 rpm, changed in 5 s (NSV 700-800 rpm)</t>
        </is>
      </c>
      <c r="BG207" t="inlineStr">
        <is>
          <t>doi</t>
        </is>
      </c>
      <c r="CH207" t="n">
        <v>5.0833</v>
      </c>
      <c r="CI207" t="n">
        <v>5</v>
      </c>
      <c r="CX207" t="n">
        <v>5</v>
      </c>
      <c r="DE207" t="n">
        <v>15</v>
      </c>
      <c r="DT207" t="inlineStr">
        <is>
          <t>boss_hmg</t>
        </is>
      </c>
      <c r="GA207" t="inlineStr"/>
      <c r="GD207" t="inlineStr">
        <is>
          <t>Assets/MachineBrigade/Resources/Data/balance.json: weapons[145]</t>
        </is>
      </c>
      <c r="GE207" t="inlineStr">
        <is>
          <t>{"id":"p26_bastion_close_boss_hmg","inherits":"boss_hmg","clipReload":5,"weaponFamily":"","damage":15}</t>
        </is>
      </c>
    </row>
    <row r="208">
      <c r="A208" t="inlineStr">
        <is>
          <t>p26_bastion_direct_b100</t>
        </is>
      </c>
      <c r="B208" t="inlineStr">
        <is>
          <t>D-10 100 mm (twin casemate)</t>
        </is>
      </c>
      <c r="C208" t="inlineStr">
        <is>
          <t>cal_100_105_ap</t>
        </is>
      </c>
      <c r="D208" t="inlineStr"/>
      <c r="E208" t="inlineStr"/>
      <c r="F208" t="inlineStr">
        <is>
          <t>tank_gun</t>
        </is>
      </c>
      <c r="G208" t="n">
        <v>100</v>
      </c>
      <c r="H208" t="inlineStr"/>
      <c r="I208" t="inlineStr"/>
      <c r="J208" t="inlineStr"/>
      <c r="K208" t="inlineStr">
        <is>
          <t>Kinetic</t>
        </is>
      </c>
      <c r="L208" t="n">
        <v>5</v>
      </c>
      <c r="M208" t="inlineStr">
        <is>
          <t>Shell</t>
        </is>
      </c>
      <c r="N208" t="n">
        <v>2</v>
      </c>
      <c r="O208" t="inlineStr">
        <is>
          <t>SIMULTANEOUS</t>
        </is>
      </c>
      <c r="P208" t="n">
        <v>1</v>
      </c>
      <c r="Q208" t="n">
        <v>0.1</v>
      </c>
      <c r="R208" t="n">
        <v>8.6</v>
      </c>
      <c r="S208" t="n">
        <v>0</v>
      </c>
      <c r="T208" t="n">
        <v>0</v>
      </c>
      <c r="U208" t="n">
        <v>0</v>
      </c>
      <c r="V208" t="n">
        <v>0</v>
      </c>
      <c r="W208" t="n">
        <v>240</v>
      </c>
      <c r="X208" t="n">
        <v>0</v>
      </c>
      <c r="Y208" t="n">
        <v>0</v>
      </c>
      <c r="Z208" t="n">
        <v>170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0.6</v>
      </c>
      <c r="AF208" t="inlineStr">
        <is>
          <t>Medium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100</v>
      </c>
      <c r="AO208" t="n">
        <v>0</v>
      </c>
      <c r="AP208" t="inlineStr">
        <is>
          <t>T2</t>
        </is>
      </c>
      <c r="AQ208" t="inlineStr">
        <is>
          <t>p26_bastion_b100</t>
        </is>
      </c>
      <c r="AR208" t="inlineStr"/>
      <c r="AS208" t="inlineStr">
        <is>
          <t>boss</t>
        </is>
      </c>
      <c r="AT208" t="inlineStr">
        <is>
          <t>bastion_mk0;fortress_bastion;monster</t>
        </is>
      </c>
      <c r="AU208" t="n">
        <v>3</v>
      </c>
      <c r="AV208" t="inlineStr">
        <is>
          <t>bastion_mk0:1;bastion_mk0:2;fortress_bastion:1;fortress_bastion:2;monster:1;monster:2</t>
        </is>
      </c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0.2117647058823529</v>
      </c>
      <c r="BB208" t="n">
        <v>7</v>
      </c>
      <c r="BC208" t="n">
        <v>4</v>
      </c>
      <c r="BD208" t="inlineStr">
        <is>
          <t>gun</t>
        </is>
      </c>
      <c r="BE208" t="inlineStr">
        <is>
          <t>Wikipedia 'D-10 tank gun' (T-55): 4-7 rpm</t>
        </is>
      </c>
      <c r="BF208" t="inlineStr">
        <is>
          <t>real D-10 4-7 rpm (8.6 s at 7); made up: the twin D-10 casemates the fortress model already has</t>
        </is>
      </c>
      <c r="BG208" t="inlineStr">
        <is>
          <t>doi</t>
        </is>
      </c>
      <c r="BJ208" t="n">
        <v>5</v>
      </c>
      <c r="BK208" t="n">
        <v>8.6</v>
      </c>
      <c r="BX208" t="n">
        <v>1</v>
      </c>
      <c r="BY208" t="n">
        <v>2</v>
      </c>
      <c r="BZ208" t="inlineStr">
        <is>
          <t>RIPPLE</t>
        </is>
      </c>
      <c r="CA208" t="inlineStr">
        <is>
          <t>SIMULTANEOUS</t>
        </is>
      </c>
      <c r="CO208" t="n">
        <v>2</v>
      </c>
      <c r="DD208" t="n">
        <v>8.6</v>
      </c>
      <c r="DE208" t="n">
        <v>240</v>
      </c>
      <c r="DO208" t="n">
        <v>19</v>
      </c>
      <c r="DT208" t="inlineStr">
        <is>
          <t>p26_bastion_b100</t>
        </is>
      </c>
      <c r="EQ208" t="inlineStr">
        <is>
          <t>D-10 100 mm (twin casemate)</t>
        </is>
      </c>
      <c r="EW208" t="inlineStr">
        <is>
          <t>SIMULTANEOUS</t>
        </is>
      </c>
      <c r="GD208" t="inlineStr">
        <is>
          <t>Assets/MachineBrigade/Resources/Data/balance.json: weapons[144]</t>
        </is>
      </c>
      <c r="GE208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09">
      <c r="A209" t="inlineStr">
        <is>
          <t>p26_bastion_main_b155</t>
        </is>
      </c>
      <c r="B209" t="inlineStr">
        <is>
          <t>M284 155 mm (Bastion)</t>
        </is>
      </c>
      <c r="C209" t="inlineStr">
        <is>
          <t>cal_152_155</t>
        </is>
      </c>
      <c r="D209" t="inlineStr"/>
      <c r="E209" t="inlineStr"/>
      <c r="F209" t="inlineStr">
        <is>
          <t>howitzer</t>
        </is>
      </c>
      <c r="G209" t="n">
        <v>155</v>
      </c>
      <c r="H209" t="inlineStr"/>
      <c r="I209" t="inlineStr"/>
      <c r="J209" t="inlineStr"/>
      <c r="K209" t="inlineStr">
        <is>
          <t>HighExplosive</t>
        </is>
      </c>
      <c r="L209" t="n">
        <v>4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15</v>
      </c>
      <c r="S209" t="n">
        <v>0</v>
      </c>
      <c r="T209" t="n">
        <v>0</v>
      </c>
      <c r="U209" t="n">
        <v>0</v>
      </c>
      <c r="V209" t="n">
        <v>0</v>
      </c>
      <c r="W209" t="n">
        <v>600</v>
      </c>
      <c r="X209" t="n">
        <v>7</v>
      </c>
      <c r="Y209" t="n">
        <v>14</v>
      </c>
      <c r="Z209" t="n">
        <v>150</v>
      </c>
      <c r="AA209" t="n">
        <v>75</v>
      </c>
      <c r="AB209" t="n">
        <v>20</v>
      </c>
      <c r="AC209" t="inlineStr">
        <is>
          <t>Ground</t>
        </is>
      </c>
      <c r="AD209" t="inlineStr"/>
      <c r="AE209" t="n">
        <v>4.5</v>
      </c>
      <c r="AF209" t="inlineStr">
        <is>
          <t>Huge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155</v>
      </c>
      <c r="AO209" t="n">
        <v>0</v>
      </c>
      <c r="AP209" t="inlineStr">
        <is>
          <t>T3</t>
        </is>
      </c>
      <c r="AQ209" t="inlineStr">
        <is>
          <t>p26_bastion_b155</t>
        </is>
      </c>
      <c r="AR209" t="inlineStr"/>
      <c r="AS209" t="inlineStr">
        <is>
          <t>boss</t>
        </is>
      </c>
      <c r="AT209" t="inlineStr">
        <is>
          <t>fortress_bastion;monster</t>
        </is>
      </c>
      <c r="AU209" t="n">
        <v>2</v>
      </c>
      <c r="AV209" t="inlineStr">
        <is>
          <t>fortress_bastion:8;monster:8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0.5</v>
      </c>
      <c r="BB209" t="n">
        <v>4</v>
      </c>
      <c r="BC209" t="n">
        <v>1</v>
      </c>
      <c r="BD209" t="inlineStr">
        <is>
          <t>gun</t>
        </is>
      </c>
      <c r="BE209" t="inlineStr">
        <is>
          <t>US Army M109A7 fact file: 4 rpm for 3 min, 1 rpm sustained</t>
        </is>
      </c>
      <c r="BF209" t="inlineStr">
        <is>
          <t>real M109A7 4 rpm (15 s) at its maximum; wave 1's 12.5 s is too fast after the 30 % rule</t>
        </is>
      </c>
      <c r="BG209" t="inlineStr">
        <is>
          <t>doi</t>
        </is>
      </c>
      <c r="BH209" t="n">
        <v>515</v>
      </c>
      <c r="BI209" t="n">
        <v>600</v>
      </c>
      <c r="BJ209" t="n">
        <v>2</v>
      </c>
      <c r="BK209" t="n">
        <v>15</v>
      </c>
      <c r="BN209" t="n">
        <v>8.5</v>
      </c>
      <c r="BO209" t="n">
        <v>7</v>
      </c>
      <c r="BP209" t="n">
        <v>17</v>
      </c>
      <c r="BQ209" t="n">
        <v>14</v>
      </c>
      <c r="BR209" t="n">
        <v>45</v>
      </c>
      <c r="BS209" t="n">
        <v>150</v>
      </c>
      <c r="DD209" t="n">
        <v>15</v>
      </c>
      <c r="DE209" t="n">
        <v>600</v>
      </c>
      <c r="DG209" t="n">
        <v>14</v>
      </c>
      <c r="DT209" t="inlineStr">
        <is>
          <t>p26_bastion_b155</t>
        </is>
      </c>
      <c r="EK209" t="n">
        <v>150</v>
      </c>
      <c r="EY209" t="n">
        <v>7</v>
      </c>
      <c r="GD209" t="inlineStr">
        <is>
          <t>Assets/MachineBrigade/Resources/Data/balance.json: weapons[142]</t>
        </is>
      </c>
      <c r="GE209" t="inlineStr">
        <is>
          <t>{"id":"p26_bastion_main_b155","inherits":"p26_bastion_b155","cooldown":15,"projectileSpeed":150,"edge":14,"splash":7,"damage":600}</t>
        </is>
      </c>
    </row>
    <row r="210">
      <c r="A210" t="inlineStr">
        <is>
          <t>p26_bastion_sec_b240</t>
        </is>
      </c>
      <c r="B210" t="inlineStr">
        <is>
          <t>2B8 240 mm</t>
        </is>
      </c>
      <c r="C210" t="inlineStr">
        <is>
          <t>cal_240</t>
        </is>
      </c>
      <c r="D210" t="inlineStr"/>
      <c r="E210" t="inlineStr"/>
      <c r="F210" t="inlineStr">
        <is>
          <t>mortar</t>
        </is>
      </c>
      <c r="G210" t="n">
        <v>240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60</v>
      </c>
      <c r="S210" t="n">
        <v>0</v>
      </c>
      <c r="T210" t="n">
        <v>0</v>
      </c>
      <c r="U210" t="n">
        <v>0</v>
      </c>
      <c r="V210" t="n">
        <v>0</v>
      </c>
      <c r="W210" t="n">
        <v>1100</v>
      </c>
      <c r="X210" t="n">
        <v>10</v>
      </c>
      <c r="Y210" t="n">
        <v>20</v>
      </c>
      <c r="Z210" t="n">
        <v>60</v>
      </c>
      <c r="AA210" t="n">
        <v>80</v>
      </c>
      <c r="AB210" t="n">
        <v>14</v>
      </c>
      <c r="AC210" t="inlineStr">
        <is>
          <t>Ground</t>
        </is>
      </c>
      <c r="AD210" t="inlineStr"/>
      <c r="AE210" t="n">
        <v>3.5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240</v>
      </c>
      <c r="AO210" t="n">
        <v>0</v>
      </c>
      <c r="AP210" t="inlineStr">
        <is>
          <t>T4</t>
        </is>
      </c>
      <c r="AQ210" t="inlineStr">
        <is>
          <t>p26_bastion_b240</t>
        </is>
      </c>
      <c r="AR210" t="inlineStr"/>
      <c r="AS210" t="inlineStr">
        <is>
          <t>boss</t>
        </is>
      </c>
      <c r="AT210" t="inlineStr">
        <is>
          <t>bastion_mk0;fortress_bastion;monster</t>
        </is>
      </c>
      <c r="AU210" t="n">
        <v>3</v>
      </c>
      <c r="AV210" t="inlineStr">
        <is>
          <t>bastion_mk0:0;fortress_bastion:0;monster:0</t>
        </is>
      </c>
      <c r="AW210" t="n">
        <v>2.722222222222222</v>
      </c>
      <c r="AX210" t="b">
        <v>1</v>
      </c>
      <c r="AY210" t="inlineStr"/>
      <c r="AZ210">
        <f>IF(AND($AX$210,$AW$210&gt;$AA$210/$Z$210),$AW$210,$AA$210/$Z$210)</f>
        <v/>
      </c>
      <c r="BA210" t="n">
        <v>2.722222222222222</v>
      </c>
      <c r="BB210" t="n">
        <v>1</v>
      </c>
      <c r="BC210" t="n">
        <v>1</v>
      </c>
      <c r="BD210" t="inlineStr">
        <is>
          <t>gun</t>
        </is>
      </c>
      <c r="BE210" t="inlineStr">
        <is>
          <t>Wikipedia '2S4 Tyulpan': ~1 rpm</t>
        </is>
      </c>
      <c r="BF210" t="inlineStr">
        <is>
          <t>real 2S4 Tyulpan ~1 rpm (60 s); wave 1's 10 s is too fast</t>
        </is>
      </c>
      <c r="BG210" t="inlineStr">
        <is>
          <t>doi</t>
        </is>
      </c>
      <c r="BH210" t="n">
        <v>715</v>
      </c>
      <c r="BI210" t="n">
        <v>1100</v>
      </c>
      <c r="BJ210" t="n">
        <v>5</v>
      </c>
      <c r="BK210" t="n">
        <v>60</v>
      </c>
      <c r="BR210" t="n">
        <v>38</v>
      </c>
      <c r="BS210" t="n">
        <v>60</v>
      </c>
      <c r="DD210" t="n">
        <v>60</v>
      </c>
      <c r="DE210" t="n">
        <v>1100</v>
      </c>
      <c r="DT210" t="inlineStr">
        <is>
          <t>p26_bastion_b240</t>
        </is>
      </c>
      <c r="DZ210" t="n">
        <v>14</v>
      </c>
      <c r="GD210" t="inlineStr">
        <is>
          <t>Assets/MachineBrigade/Resources/Data/balance.json: weapons[143]</t>
        </is>
      </c>
      <c r="GE210" t="inlineStr">
        <is>
          <t>{"id":"p26_bastion_sec_b240","minRange":14,"inherits":"p26_bastion_b240","cooldown":60,"damage":1100}</t>
        </is>
      </c>
    </row>
    <row r="211">
      <c r="A211" t="inlineStr">
        <is>
          <t>p26_bastion_tiny_autocannon_40</t>
        </is>
      </c>
      <c r="B211" t="inlineStr">
        <is>
          <t>Bofors 40 mm</t>
        </is>
      </c>
      <c r="C211" t="inlineStr">
        <is>
          <t>cal_40</t>
        </is>
      </c>
      <c r="D211" t="inlineStr"/>
      <c r="E211" t="inlineStr"/>
      <c r="F211" t="inlineStr">
        <is>
          <t>autocannon</t>
        </is>
      </c>
      <c r="G211" t="n">
        <v>40</v>
      </c>
      <c r="H211" t="inlineStr"/>
      <c r="I211" t="inlineStr"/>
      <c r="J211" t="inlineStr"/>
      <c r="K211" t="inlineStr">
        <is>
          <t>Kinetic</t>
        </is>
      </c>
      <c r="L211" t="n">
        <v>2</v>
      </c>
      <c r="M211" t="inlineStr">
        <is>
          <t>Bullet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0.2</v>
      </c>
      <c r="S211" t="n">
        <v>10</v>
      </c>
      <c r="T211" t="n">
        <v>1.52</v>
      </c>
      <c r="U211" t="n">
        <v>0</v>
      </c>
      <c r="V211" t="n">
        <v>0</v>
      </c>
      <c r="W211" t="n">
        <v>30</v>
      </c>
      <c r="X211" t="n">
        <v>0</v>
      </c>
      <c r="Y211" t="n">
        <v>0</v>
      </c>
      <c r="Z211" t="n">
        <v>210</v>
      </c>
      <c r="AA211" t="n">
        <v>28</v>
      </c>
      <c r="AB211" t="n">
        <v>0</v>
      </c>
      <c r="AC211" t="inlineStr">
        <is>
          <t>All</t>
        </is>
      </c>
      <c r="AD211" t="inlineStr"/>
      <c r="AE211" t="n">
        <v>0.8</v>
      </c>
      <c r="AF211" t="inlineStr">
        <is>
          <t>Small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40</v>
      </c>
      <c r="AO211" t="n">
        <v>0</v>
      </c>
      <c r="AP211" t="inlineStr">
        <is>
          <t>T1</t>
        </is>
      </c>
      <c r="AQ211" t="inlineStr">
        <is>
          <t>autocannon_40</t>
        </is>
      </c>
      <c r="AR211" t="inlineStr"/>
      <c r="AS211" t="inlineStr">
        <is>
          <t>boss</t>
        </is>
      </c>
      <c r="AT211" t="inlineStr">
        <is>
          <t>fortress_bastion;monster</t>
        </is>
      </c>
      <c r="AU211" t="n">
        <v>2</v>
      </c>
      <c r="AV211" t="inlineStr">
        <is>
          <t>fortress_bastion:3;fortress_bastion:4;monster:3;monster:4</t>
        </is>
      </c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0.1333333333333333</v>
      </c>
      <c r="BB211" t="n">
        <v>330</v>
      </c>
      <c r="BC211" t="n">
        <v>120</v>
      </c>
      <c r="BD211" t="inlineStr">
        <is>
          <t>aa</t>
        </is>
      </c>
      <c r="BE211" t="inlineStr">
        <is>
          <t>Wikipedia 'Bofors 40 mm L/70': 240-330 rpm</t>
        </is>
      </c>
      <c r="BF211" t="inlineStr">
        <is>
          <t>wave 1 autocannon_40: 10 rounds at 300 rpm, changed in 1.52 s (Bofors L/70 240-330 rpm)</t>
        </is>
      </c>
      <c r="BG211" t="inlineStr">
        <is>
          <t>doi</t>
        </is>
      </c>
      <c r="BH211" t="n">
        <v>6</v>
      </c>
      <c r="BI211" t="n">
        <v>30</v>
      </c>
      <c r="BN211" t="n">
        <v>1</v>
      </c>
      <c r="BO211" t="n">
        <v>0</v>
      </c>
      <c r="CH211" t="n">
        <v>1.72</v>
      </c>
      <c r="CI211" t="n">
        <v>1.52</v>
      </c>
      <c r="CX211" t="n">
        <v>1.52</v>
      </c>
      <c r="DE211" t="n">
        <v>30</v>
      </c>
      <c r="DT211" t="inlineStr">
        <is>
          <t>autocannon_40</t>
        </is>
      </c>
      <c r="EY211" t="n">
        <v>0</v>
      </c>
      <c r="GD211" t="inlineStr">
        <is>
          <t>Assets/MachineBrigade/Resources/Data/balance.json: weapons[146]</t>
        </is>
      </c>
      <c r="GE211" t="inlineStr">
        <is>
          <t>{"id":"p26_bastion_tiny_autocannon_40","inherits":"autocannon_40","clipReload":1.52,"splash":0,"damage":30}</t>
        </is>
      </c>
    </row>
    <row r="212">
      <c r="A212" t="inlineStr">
        <is>
          <t>p26_bastion_tiny_kornet_twin</t>
        </is>
      </c>
      <c r="B212" t="inlineStr">
        <is>
          <t>9M133 Kornet</t>
        </is>
      </c>
      <c r="C212" t="inlineStr">
        <is>
          <t>atgm_kornet</t>
        </is>
      </c>
      <c r="D212" t="inlineStr"/>
      <c r="E212" t="inlineStr"/>
      <c r="F212" t="inlineStr">
        <is>
          <t>atgm</t>
        </is>
      </c>
      <c r="G212" t="inlineStr"/>
      <c r="H212" t="n">
        <v>7</v>
      </c>
      <c r="I212" t="inlineStr"/>
      <c r="J212" t="inlineStr"/>
      <c r="K212" t="inlineStr">
        <is>
          <t>ShapedCharge</t>
        </is>
      </c>
      <c r="L212" t="n">
        <v>4</v>
      </c>
      <c r="M212" t="inlineStr">
        <is>
          <t>Missile</t>
        </is>
      </c>
      <c r="N212" t="n">
        <v>1</v>
      </c>
      <c r="O212" t="inlineStr">
        <is>
          <t>RIPPLE</t>
        </is>
      </c>
      <c r="P212" t="n">
        <v>2</v>
      </c>
      <c r="Q212" t="n">
        <v>0.6</v>
      </c>
      <c r="R212" t="n">
        <v>19.4</v>
      </c>
      <c r="S212" t="n">
        <v>0</v>
      </c>
      <c r="T212" t="n">
        <v>0</v>
      </c>
      <c r="U212" t="n">
        <v>0</v>
      </c>
      <c r="V212" t="n">
        <v>0</v>
      </c>
      <c r="W212" t="n">
        <v>230</v>
      </c>
      <c r="X212" t="n">
        <v>0</v>
      </c>
      <c r="Y212" t="n">
        <v>0</v>
      </c>
      <c r="Z212" t="n">
        <v>80</v>
      </c>
      <c r="AA212" t="n">
        <v>50</v>
      </c>
      <c r="AB212" t="n">
        <v>0</v>
      </c>
      <c r="AC212" t="inlineStr">
        <is>
          <t>Ground</t>
        </is>
      </c>
      <c r="AD212" t="inlineStr"/>
      <c r="AE212" t="n">
        <v>0</v>
      </c>
      <c r="AF212" t="inlineStr">
        <is>
          <t>Medium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29</v>
      </c>
      <c r="AO212" t="n">
        <v>0</v>
      </c>
      <c r="AP212" t="inlineStr">
        <is>
          <t>T2</t>
        </is>
      </c>
      <c r="AQ212" t="inlineStr">
        <is>
          <t>kornet_twin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fortress_bastion:5;monster:5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0.625</v>
      </c>
      <c r="BB212" t="n">
        <v>3</v>
      </c>
      <c r="BC212" t="n">
        <v>3</v>
      </c>
      <c r="BD212" t="inlineStr">
        <is>
          <t>atgm</t>
        </is>
      </c>
      <c r="BE212" t="inlineStr">
        <is>
          <t>Wikipedia '9M133 Kornet': 2-3 rpm</t>
        </is>
      </c>
      <c r="BF212" t="inlineStr">
        <is>
          <t>a twin Kornet launcher: the pair 0.6 s apart, every 20 s (3 rpm a rail); 55.6 s was too slow</t>
        </is>
      </c>
      <c r="BG212" t="inlineStr">
        <is>
          <t>doi</t>
        </is>
      </c>
      <c r="BH212" t="n">
        <v>46</v>
      </c>
      <c r="BI212" t="n">
        <v>230</v>
      </c>
      <c r="BJ212" t="n">
        <v>10.51</v>
      </c>
      <c r="BK212" t="n">
        <v>19.4</v>
      </c>
      <c r="BR212" t="n">
        <v>22</v>
      </c>
      <c r="BS212" t="n">
        <v>80</v>
      </c>
      <c r="DD212" t="n">
        <v>19.4</v>
      </c>
      <c r="DE212" t="n">
        <v>230</v>
      </c>
      <c r="DO212" t="n">
        <v>1</v>
      </c>
      <c r="DT212" t="inlineStr">
        <is>
          <t>kornet_twin</t>
        </is>
      </c>
      <c r="GA212" t="inlineStr"/>
      <c r="GD212" t="inlineStr">
        <is>
          <t>Assets/MachineBrigade/Resources/Data/balance.json: weapons[147]</t>
        </is>
      </c>
      <c r="GE212" t="inlineStr">
        <is>
          <t>{"id":"p26_bastion_tiny_kornet_twin","groundMinReach":1,"inherits":"kornet_twin","cooldown":19.4,"weaponFamily":"","damage":230}</t>
        </is>
      </c>
    </row>
    <row r="213">
      <c r="A213" t="inlineStr">
        <is>
          <t>p26_bastion_tiny_zu23</t>
        </is>
      </c>
      <c r="B213" t="inlineStr">
        <is>
          <t>ZU-23-2 23 mm</t>
        </is>
      </c>
      <c r="C213" t="inlineStr">
        <is>
          <t>cal_23</t>
        </is>
      </c>
      <c r="D213" t="inlineStr"/>
      <c r="E213" t="inlineStr"/>
      <c r="F213" t="inlineStr">
        <is>
          <t>autocannon</t>
        </is>
      </c>
      <c r="G213" t="n">
        <v>23</v>
      </c>
      <c r="H213" t="inlineStr"/>
      <c r="I213" t="inlineStr"/>
      <c r="J213" t="inlineStr"/>
      <c r="K213" t="inlineStr">
        <is>
          <t>Fragmentation</t>
        </is>
      </c>
      <c r="L213" t="n">
        <v>1</v>
      </c>
      <c r="M213" t="inlineStr">
        <is>
          <t>Bullet</t>
        </is>
      </c>
      <c r="N213" t="n">
        <v>2</v>
      </c>
      <c r="O213" t="inlineStr">
        <is>
          <t>RIPPLE</t>
        </is>
      </c>
      <c r="P213" t="n">
        <v>1</v>
      </c>
      <c r="Q213" t="n">
        <v>0.1</v>
      </c>
      <c r="R213" t="n">
        <v>0.02</v>
      </c>
      <c r="S213" t="n">
        <v>100</v>
      </c>
      <c r="T213" t="n">
        <v>2.98</v>
      </c>
      <c r="U213" t="n">
        <v>0</v>
      </c>
      <c r="V213" t="n">
        <v>0</v>
      </c>
      <c r="W213" t="n">
        <v>3.5</v>
      </c>
      <c r="X213" t="n">
        <v>0</v>
      </c>
      <c r="Y213" t="n">
        <v>0</v>
      </c>
      <c r="Z213" t="n">
        <v>240</v>
      </c>
      <c r="AA213" t="n">
        <v>38</v>
      </c>
      <c r="AB213" t="n">
        <v>0</v>
      </c>
      <c r="AC213" t="inlineStr">
        <is>
          <t>All</t>
        </is>
      </c>
      <c r="AD213" t="inlineStr"/>
      <c r="AE213" t="n">
        <v>1.6</v>
      </c>
      <c r="AF213" t="inlineStr">
        <is>
          <t>Small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23</v>
      </c>
      <c r="AO213" t="n">
        <v>0</v>
      </c>
      <c r="AP213" t="inlineStr">
        <is>
          <t>T1</t>
        </is>
      </c>
      <c r="AQ213" t="inlineStr">
        <is>
          <t>zu23</t>
        </is>
      </c>
      <c r="AR213" t="inlineStr"/>
      <c r="AS213" t="inlineStr">
        <is>
          <t>boss</t>
        </is>
      </c>
      <c r="AT213" t="inlineStr">
        <is>
          <t>fortress_bastion;monster</t>
        </is>
      </c>
      <c r="AU213" t="n">
        <v>2</v>
      </c>
      <c r="AV213" t="inlineStr">
        <is>
          <t>fortress_bastion:10;fortress_bastion:9;monster:10;monster:9</t>
        </is>
      </c>
      <c r="AW213" t="n">
        <v>0</v>
      </c>
      <c r="AX213" t="b">
        <v>0</v>
      </c>
      <c r="AY213" t="inlineStr">
        <is>
          <t>KHONG_AP_DUNG</t>
        </is>
      </c>
      <c r="AZ213">
        <f>IF(AND($AX$213,$AW$213&gt;$AA$213/$Z$213),$AW$213,$AA$213/$Z$213)</f>
        <v/>
      </c>
      <c r="BA213" t="n">
        <v>0.1583333333333333</v>
      </c>
      <c r="BB213" t="n">
        <v>1000</v>
      </c>
      <c r="BC213" t="n">
        <v>400</v>
      </c>
      <c r="BD213" t="inlineStr">
        <is>
          <t>aa</t>
        </is>
      </c>
      <c r="BE213" t="inlineStr">
        <is>
          <t>Wikipedia 'ZU-23-2': 2 x 800-1,000 rpm</t>
        </is>
      </c>
      <c r="BF213" t="inlineStr">
        <is>
          <t>wave 1 zu23: 50 rounds at 1,500 rpm, changed in 3 s (ZU-23-2 2 x 800-1,000 rpm)</t>
        </is>
      </c>
      <c r="BG213" t="inlineStr">
        <is>
          <t>doi</t>
        </is>
      </c>
      <c r="BH213" t="n">
        <v>1.4</v>
      </c>
      <c r="BI213" t="n">
        <v>3.5</v>
      </c>
      <c r="BJ213" t="n">
        <v>0.04</v>
      </c>
      <c r="BK213" t="n">
        <v>0.02</v>
      </c>
      <c r="BX213" t="n">
        <v>1</v>
      </c>
      <c r="BY213" t="n">
        <v>2</v>
      </c>
      <c r="CF213" t="n">
        <v>50</v>
      </c>
      <c r="CG213" t="n">
        <v>100</v>
      </c>
      <c r="CH213" t="n">
        <v>3.04</v>
      </c>
      <c r="CI213" t="n">
        <v>2.98</v>
      </c>
      <c r="CX213" t="n">
        <v>2.98</v>
      </c>
      <c r="DE213" t="n">
        <v>3.5</v>
      </c>
      <c r="DT213" t="inlineStr">
        <is>
          <t>zu23</t>
        </is>
      </c>
      <c r="GD213" t="inlineStr">
        <is>
          <t>Assets/MachineBrigade/Resources/Data/balance.json: weapons[148]</t>
        </is>
      </c>
      <c r="GE213" t="inlineStr">
        <is>
          <t>{"id":"p26_bastion_tiny_zu23","inherits":"zu23","clipReload":2.98,"damage":3.5}</t>
        </is>
      </c>
    </row>
    <row r="214">
      <c r="A214" t="inlineStr">
        <is>
          <t>p26_behemoth_be120</t>
        </is>
      </c>
      <c r="B214" t="inlineStr">
        <is>
          <t>Rh-120 L/44 120 mm</t>
        </is>
      </c>
      <c r="C214" t="inlineStr">
        <is>
          <t>cal_120_ap</t>
        </is>
      </c>
      <c r="D214" t="inlineStr"/>
      <c r="E214" t="inlineStr"/>
      <c r="F214" t="inlineStr">
        <is>
          <t>tank_gun</t>
        </is>
      </c>
      <c r="G214" t="n">
        <v>120</v>
      </c>
      <c r="H214" t="inlineStr"/>
      <c r="I214" t="inlineStr"/>
      <c r="J214" t="inlineStr"/>
      <c r="K214" t="inlineStr">
        <is>
          <t>Kinetic</t>
        </is>
      </c>
      <c r="L214" t="n">
        <v>5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4</v>
      </c>
      <c r="S214" t="n">
        <v>0</v>
      </c>
      <c r="T214" t="n">
        <v>0</v>
      </c>
      <c r="U214" t="n">
        <v>0</v>
      </c>
      <c r="V214" t="n">
        <v>0</v>
      </c>
      <c r="W214" t="n">
        <v>260</v>
      </c>
      <c r="X214" t="n">
        <v>0</v>
      </c>
      <c r="Y214" t="n">
        <v>0</v>
      </c>
      <c r="Z214" t="n">
        <v>170</v>
      </c>
      <c r="AA214" t="n">
        <v>32</v>
      </c>
      <c r="AB214" t="n">
        <v>0</v>
      </c>
      <c r="AC214" t="inlineStr">
        <is>
          <t>Ground</t>
        </is>
      </c>
      <c r="AD214" t="inlineStr"/>
      <c r="AE214" t="n">
        <v>0.6</v>
      </c>
      <c r="AF214" t="inlineStr">
        <is>
          <t>Medium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120</v>
      </c>
      <c r="AO214" t="n">
        <v>0</v>
      </c>
      <c r="AP214" t="inlineStr">
        <is>
          <t>T3</t>
        </is>
      </c>
      <c r="AQ214" t="inlineStr">
        <is>
          <t>gun_120mm</t>
        </is>
      </c>
      <c r="AR214" t="inlineStr"/>
      <c r="AS214" t="inlineStr"/>
      <c r="AT214" t="inlineStr"/>
      <c r="AU214" t="n">
        <v>0</v>
      </c>
      <c r="AV214" t="inlineStr"/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0.1882352941176471</v>
      </c>
      <c r="BB214" t="n">
        <v>8</v>
      </c>
      <c r="BC214" t="n">
        <v>6</v>
      </c>
      <c r="BD214" t="inlineStr">
        <is>
          <t>gun</t>
        </is>
      </c>
      <c r="BE214" t="inlineStr">
        <is>
          <t>the sheet's 'Ngoài đời': Rh-120 6-8 rpm with a loader (Wikipedia 'Rheinmetall 120 mm gun')</t>
        </is>
      </c>
      <c r="BG214" t="inlineStr">
        <is>
          <t>giong</t>
        </is>
      </c>
      <c r="DD214" t="n">
        <v>4</v>
      </c>
      <c r="DE214" t="n">
        <v>260</v>
      </c>
      <c r="DT214" t="inlineStr">
        <is>
          <t>gun_120mm</t>
        </is>
      </c>
      <c r="EB214" t="n">
        <v>5</v>
      </c>
      <c r="EQ214" t="inlineStr">
        <is>
          <t>Rh-120 L/44 120 mm</t>
        </is>
      </c>
      <c r="EY214" t="n">
        <v>0</v>
      </c>
      <c r="GA214" t="inlineStr"/>
      <c r="GD214" t="inlineStr">
        <is>
          <t>Assets/MachineBrigade/Resources/Data/balance.json: weapons[151]</t>
        </is>
      </c>
      <c r="GE214" t="inlineStr">
        <is>
          <t>{"id":"p26_behemoth_be120","inherits":"gun_120mm","weaponFamily":"","real":"Rh-120 L/44 120 mm","damage":260,"cooldown":4,"pen":5,"splash":0}</t>
        </is>
      </c>
    </row>
    <row r="215">
      <c r="A215" t="inlineStr">
        <is>
          <t>p26_behemoth_be152</t>
        </is>
      </c>
      <c r="B215" t="inlineStr">
        <is>
          <t>2A65 152 mm</t>
        </is>
      </c>
      <c r="C215" t="inlineStr">
        <is>
          <t>cal_152_155</t>
        </is>
      </c>
      <c r="D215" t="inlineStr"/>
      <c r="E215" t="inlineStr"/>
      <c r="F215" t="inlineStr">
        <is>
          <t>howitzer</t>
        </is>
      </c>
      <c r="G215" t="n">
        <v>152</v>
      </c>
      <c r="H215" t="inlineStr"/>
      <c r="I215" t="inlineStr"/>
      <c r="J215" t="inlineStr"/>
      <c r="K215" t="inlineStr">
        <is>
          <t>HighExplosive</t>
        </is>
      </c>
      <c r="L215" t="n">
        <v>3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0.05</v>
      </c>
      <c r="R215" t="n">
        <v>2</v>
      </c>
      <c r="S215" t="n">
        <v>0</v>
      </c>
      <c r="T215" t="n">
        <v>0</v>
      </c>
      <c r="U215" t="n">
        <v>0</v>
      </c>
      <c r="V215" t="n">
        <v>0</v>
      </c>
      <c r="W215" t="n">
        <v>590</v>
      </c>
      <c r="X215" t="n">
        <v>8.5</v>
      </c>
      <c r="Y215" t="n">
        <v>17</v>
      </c>
      <c r="Z215" t="n">
        <v>150</v>
      </c>
      <c r="AA215" t="n">
        <v>40</v>
      </c>
      <c r="AB215" t="n">
        <v>0</v>
      </c>
      <c r="AC215" t="inlineStr">
        <is>
          <t>Ground</t>
        </is>
      </c>
      <c r="AD215" t="inlineStr"/>
      <c r="AE215" t="n">
        <v>0.8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152</v>
      </c>
      <c r="AO215" t="n">
        <v>0</v>
      </c>
      <c r="AP215" t="inlineStr">
        <is>
          <t>T3</t>
        </is>
      </c>
      <c r="AQ215" t="inlineStr">
        <is>
          <t>gun_behemoth</t>
        </is>
      </c>
      <c r="AR215" t="inlineStr"/>
      <c r="AS215" t="inlineStr"/>
      <c r="AT215" t="inlineStr"/>
      <c r="AU215" t="n">
        <v>0</v>
      </c>
      <c r="AV215" t="inlineStr"/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0.2666666666666667</v>
      </c>
      <c r="BB215" t="n">
        <v>8</v>
      </c>
      <c r="BC215" t="n">
        <v>6</v>
      </c>
      <c r="BD215" t="inlineStr">
        <is>
          <t>gun</t>
        </is>
      </c>
      <c r="BE215" t="inlineStr">
        <is>
          <t>Wikipedia '2A65 Msta-B': 7-8 rpm</t>
        </is>
      </c>
      <c r="BG215" t="inlineStr">
        <is>
          <t>giong</t>
        </is>
      </c>
      <c r="CR215" t="n">
        <v>1</v>
      </c>
      <c r="DD215" t="n">
        <v>2</v>
      </c>
      <c r="DE215" t="n">
        <v>590</v>
      </c>
      <c r="DG215" t="n">
        <v>17</v>
      </c>
      <c r="DT215" t="inlineStr">
        <is>
          <t>gun_behemoth</t>
        </is>
      </c>
      <c r="EQ215" t="inlineStr">
        <is>
          <t>2A65 152 mm</t>
        </is>
      </c>
      <c r="EY215" t="n">
        <v>8.5</v>
      </c>
      <c r="GD215" t="inlineStr">
        <is>
          <t>Assets/MachineBrigade/Resources/Data/balance.json: weapons[149]</t>
        </is>
      </c>
      <c r="GE215" t="inlineStr">
        <is>
          <t>{"id":"p26_behemoth_be152","inherits":"gun_behemoth","real":"2A65 152 mm","damage":590,"cooldown":2,"burst":1,"splash":8.5,"edge":17}</t>
        </is>
      </c>
    </row>
    <row r="216">
      <c r="A216" t="inlineStr">
        <is>
          <t>p26_behemoth_be_rockets</t>
        </is>
      </c>
      <c r="B216" t="inlineStr">
        <is>
          <t>BM-21 Grad 122 mm (dorsal)</t>
        </is>
      </c>
      <c r="C216" t="inlineStr">
        <is>
          <t>rkt_grad_122</t>
        </is>
      </c>
      <c r="D216" t="inlineStr"/>
      <c r="E216" t="inlineStr"/>
      <c r="F216" t="inlineStr">
        <is>
          <t>rocket</t>
        </is>
      </c>
      <c r="G216" t="n">
        <v>122</v>
      </c>
      <c r="H216" t="inlineStr"/>
      <c r="I216" t="inlineStr"/>
      <c r="J216" t="inlineStr"/>
      <c r="K216" t="inlineStr">
        <is>
          <t>HighExplosive</t>
        </is>
      </c>
      <c r="L216" t="n">
        <v>2</v>
      </c>
      <c r="M216" t="inlineStr">
        <is>
          <t>Rocket</t>
        </is>
      </c>
      <c r="N216" t="n">
        <v>1</v>
      </c>
      <c r="O216" t="inlineStr">
        <is>
          <t>RIPPLE</t>
        </is>
      </c>
      <c r="P216" t="n">
        <v>8</v>
      </c>
      <c r="Q216" t="n">
        <v>0.3</v>
      </c>
      <c r="R216" t="n">
        <v>5.9</v>
      </c>
      <c r="S216" t="n">
        <v>0</v>
      </c>
      <c r="T216" t="n">
        <v>0</v>
      </c>
      <c r="U216" t="n">
        <v>0</v>
      </c>
      <c r="V216" t="n">
        <v>0</v>
      </c>
      <c r="W216" t="n">
        <v>160</v>
      </c>
      <c r="X216" t="n">
        <v>5</v>
      </c>
      <c r="Y216" t="n">
        <v>10</v>
      </c>
      <c r="Z216" t="n">
        <v>130</v>
      </c>
      <c r="AA216" t="n">
        <v>45</v>
      </c>
      <c r="AB216" t="n">
        <v>0</v>
      </c>
      <c r="AC216" t="inlineStr">
        <is>
          <t>Ground</t>
        </is>
      </c>
      <c r="AD216" t="inlineStr"/>
      <c r="AE216" t="n">
        <v>5</v>
      </c>
      <c r="AF216" t="inlineStr">
        <is>
          <t>Medium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122</v>
      </c>
      <c r="AO216" t="n">
        <v>0</v>
      </c>
      <c r="AP216" t="inlineStr">
        <is>
          <t>T3</t>
        </is>
      </c>
      <c r="AQ216" t="inlineStr">
        <is>
          <t>boss_rockets</t>
        </is>
      </c>
      <c r="AR216" t="inlineStr"/>
      <c r="AS216" t="inlineStr"/>
      <c r="AT216" t="inlineStr"/>
      <c r="AU216" t="n">
        <v>0</v>
      </c>
      <c r="AV216" t="inlineStr"/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0.3461538461538461</v>
      </c>
      <c r="BB216" t="n">
        <v>120</v>
      </c>
      <c r="BC216" t="inlineStr"/>
      <c r="BD216" t="inlineStr">
        <is>
          <t>rocket</t>
        </is>
      </c>
      <c r="BE216" t="inlineStr">
        <is>
          <t>Wikipedia 'BM-21 Grad': 40 rockets in 20 s</t>
        </is>
      </c>
      <c r="BG216" t="inlineStr">
        <is>
          <t>doi</t>
        </is>
      </c>
      <c r="BR216" t="n">
        <v>45</v>
      </c>
      <c r="BS216" t="n">
        <v>130</v>
      </c>
      <c r="CR216" t="n">
        <v>8</v>
      </c>
      <c r="CS216" t="n">
        <v>0.3</v>
      </c>
      <c r="DD216" t="n">
        <v>5.9</v>
      </c>
      <c r="DE216" t="n">
        <v>160</v>
      </c>
      <c r="DF216" t="inlineStr">
        <is>
          <t>HighExplosive</t>
        </is>
      </c>
      <c r="DG216" t="n">
        <v>10</v>
      </c>
      <c r="DL216" t="inlineStr">
        <is>
          <t>Ballistic</t>
        </is>
      </c>
      <c r="DO216" t="n">
        <v>0</v>
      </c>
      <c r="DT216" t="inlineStr">
        <is>
          <t>boss_rockets</t>
        </is>
      </c>
      <c r="EK216" t="n">
        <v>130</v>
      </c>
      <c r="EQ216" t="inlineStr">
        <is>
          <t>BM-21 Grad 122 mm (dorsal)</t>
        </is>
      </c>
      <c r="EY216" t="n">
        <v>5</v>
      </c>
      <c r="GD216" t="inlineStr">
        <is>
          <t>Assets/MachineBrigade/Resources/Data/balance.json: weapons[150]</t>
        </is>
      </c>
      <c r="GE216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17">
      <c r="A217" t="inlineStr">
        <is>
          <t>p26_behemoth_close_boss_flak</t>
        </is>
      </c>
      <c r="B217" t="inlineStr">
        <is>
          <t>Oerlikon 35 mm (twin)</t>
        </is>
      </c>
      <c r="C217" t="inlineStr">
        <is>
          <t>cal_35</t>
        </is>
      </c>
      <c r="D217" t="inlineStr"/>
      <c r="E217" t="inlineStr"/>
      <c r="F217" t="inlineStr">
        <is>
          <t>autocannon</t>
        </is>
      </c>
      <c r="G217" t="n">
        <v>35</v>
      </c>
      <c r="H217" t="inlineStr"/>
      <c r="I217" t="inlineStr"/>
      <c r="J217" t="inlineStr"/>
      <c r="K217" t="inlineStr">
        <is>
          <t>Fragmentation</t>
        </is>
      </c>
      <c r="L217" t="n">
        <v>2</v>
      </c>
      <c r="M217" t="inlineStr">
        <is>
          <t>Bullet</t>
        </is>
      </c>
      <c r="N217" t="n">
        <v>1</v>
      </c>
      <c r="O217" t="inlineStr">
        <is>
          <t>RIPPLE</t>
        </is>
      </c>
      <c r="P217" t="n">
        <v>1</v>
      </c>
      <c r="Q217" t="n">
        <v>0.1</v>
      </c>
      <c r="R217" t="n">
        <v>0.05</v>
      </c>
      <c r="S217" t="n">
        <v>41</v>
      </c>
      <c r="T217" t="n">
        <v>3.38</v>
      </c>
      <c r="U217" t="n">
        <v>0</v>
      </c>
      <c r="V217" t="n">
        <v>0</v>
      </c>
      <c r="W217" t="n">
        <v>25</v>
      </c>
      <c r="X217" t="n">
        <v>2.5</v>
      </c>
      <c r="Y217" t="n">
        <v>0</v>
      </c>
      <c r="Z217" t="n">
        <v>260</v>
      </c>
      <c r="AA217" t="n">
        <v>40</v>
      </c>
      <c r="AB217" t="n">
        <v>0</v>
      </c>
      <c r="AC217" t="inlineStr">
        <is>
          <t>All</t>
        </is>
      </c>
      <c r="AD217" t="inlineStr"/>
      <c r="AE217" t="n">
        <v>1.5</v>
      </c>
      <c r="AF217" t="inlineStr">
        <is>
          <t>Small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35</v>
      </c>
      <c r="AO217" t="n">
        <v>0</v>
      </c>
      <c r="AP217" t="inlineStr">
        <is>
          <t>T1</t>
        </is>
      </c>
      <c r="AQ217" t="inlineStr">
        <is>
          <t>boss_flak</t>
        </is>
      </c>
      <c r="AR217" t="inlineStr"/>
      <c r="AS217" t="inlineStr">
        <is>
          <t>boss</t>
        </is>
      </c>
      <c r="AT217" t="inlineStr">
        <is>
          <t>behemoth;behemoth_mk2</t>
        </is>
      </c>
      <c r="AU217" t="n">
        <v>2</v>
      </c>
      <c r="AV217" t="inlineStr">
        <is>
          <t>behemoth:2;behemoth:3;behemoth_mk2:1;behemoth_mk2:2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0.1538461538461539</v>
      </c>
      <c r="BB217" t="n">
        <v>550</v>
      </c>
      <c r="BC217" t="n">
        <v>300</v>
      </c>
      <c r="BD217" t="inlineStr">
        <is>
          <t>aa</t>
        </is>
      </c>
      <c r="BE217" t="inlineStr">
        <is>
          <t>Wikipedia 'Oerlikon GDF': 550 rpm a gun (the twin: 1,100)</t>
        </is>
      </c>
      <c r="BF217" t="inlineStr">
        <is>
          <t>wave 1 boss_flak: 41 rounds at 1,200 rpm, changed in 3.38 s (twin Oerlikon GDF 2 x 550 rpm)</t>
        </is>
      </c>
      <c r="BG217" t="inlineStr">
        <is>
          <t>doi</t>
        </is>
      </c>
      <c r="BH217" t="n">
        <v>16</v>
      </c>
      <c r="BI217" t="n">
        <v>25</v>
      </c>
      <c r="CX217" t="n">
        <v>3.38</v>
      </c>
      <c r="DE217" t="n">
        <v>25</v>
      </c>
      <c r="DT217" t="inlineStr">
        <is>
          <t>boss_flak</t>
        </is>
      </c>
      <c r="GA217" t="inlineStr"/>
      <c r="GD217" t="inlineStr">
        <is>
          <t>Assets/MachineBrigade/Resources/Data/balance.json: weapons[155]</t>
        </is>
      </c>
      <c r="GE217" t="inlineStr">
        <is>
          <t>{"id":"p26_behemoth_close_boss_flak","inherits":"boss_flak","clipReload":3.38,"weaponFamily":"","damage":25}</t>
        </is>
      </c>
    </row>
    <row r="218">
      <c r="A218" t="inlineStr">
        <is>
          <t>p26_behemoth_direct_be120</t>
        </is>
      </c>
      <c r="B218" t="inlineStr">
        <is>
          <t>Rh-120 L/44 120 mm (twin)</t>
        </is>
      </c>
      <c r="C218" t="inlineStr">
        <is>
          <t>cal_120_ap</t>
        </is>
      </c>
      <c r="D218" t="inlineStr"/>
      <c r="E218" t="inlineStr"/>
      <c r="F218" t="inlineStr">
        <is>
          <t>tank_gun</t>
        </is>
      </c>
      <c r="G218" t="n">
        <v>120</v>
      </c>
      <c r="H218" t="inlineStr"/>
      <c r="I218" t="inlineStr"/>
      <c r="J218" t="inlineStr"/>
      <c r="K218" t="inlineStr">
        <is>
          <t>Kinetic</t>
        </is>
      </c>
      <c r="L218" t="n">
        <v>5</v>
      </c>
      <c r="M218" t="inlineStr">
        <is>
          <t>Shell</t>
        </is>
      </c>
      <c r="N218" t="n">
        <v>2</v>
      </c>
      <c r="O218" t="inlineStr">
        <is>
          <t>SIMULTANEOUS</t>
        </is>
      </c>
      <c r="P218" t="n">
        <v>1</v>
      </c>
      <c r="Q218" t="n">
        <v>0.1</v>
      </c>
      <c r="R218" t="n">
        <v>7.5</v>
      </c>
      <c r="S218" t="n">
        <v>0</v>
      </c>
      <c r="T218" t="n">
        <v>0</v>
      </c>
      <c r="U218" t="n">
        <v>0</v>
      </c>
      <c r="V218" t="n">
        <v>0</v>
      </c>
      <c r="W218" t="n">
        <v>260</v>
      </c>
      <c r="X218" t="n">
        <v>0</v>
      </c>
      <c r="Y218" t="n">
        <v>0</v>
      </c>
      <c r="Z218" t="n">
        <v>170</v>
      </c>
      <c r="AA218" t="n">
        <v>32</v>
      </c>
      <c r="AB218" t="n">
        <v>0</v>
      </c>
      <c r="AC218" t="inlineStr">
        <is>
          <t>Ground</t>
        </is>
      </c>
      <c r="AD218" t="inlineStr"/>
      <c r="AE218" t="n">
        <v>0.6</v>
      </c>
      <c r="AF218" t="inlineStr">
        <is>
          <t>Medium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120</v>
      </c>
      <c r="AO218" t="n">
        <v>0</v>
      </c>
      <c r="AP218" t="inlineStr">
        <is>
          <t>T3</t>
        </is>
      </c>
      <c r="AQ218" t="inlineStr">
        <is>
          <t>p26_behemoth_be120</t>
        </is>
      </c>
      <c r="AR218" t="inlineStr"/>
      <c r="AS218" t="inlineStr">
        <is>
          <t>boss</t>
        </is>
      </c>
      <c r="AT218" t="inlineStr">
        <is>
          <t>behemoth;behemoth_mk0</t>
        </is>
      </c>
      <c r="AU218" t="n">
        <v>2</v>
      </c>
      <c r="AV218" t="inlineStr">
        <is>
          <t>behemoth:7;behemoth:8;behemoth_mk0:1;behemoth_mk0:2</t>
        </is>
      </c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0.1882352941176471</v>
      </c>
      <c r="BB218" t="n">
        <v>8</v>
      </c>
      <c r="BC218" t="n">
        <v>6</v>
      </c>
      <c r="BD218" t="inlineStr">
        <is>
          <t>gun</t>
        </is>
      </c>
      <c r="BE218" t="inlineStr">
        <is>
          <t>the sheet's 'Ngoài đời': Rh-120 6-8 rpm with a loader (Wikipedia 'Rheinmetall 120 mm gun')</t>
        </is>
      </c>
      <c r="BF218" t="inlineStr">
        <is>
          <t>real Rh-120 with a loader, 8 rpm (7.5 s); wave 1's 5.1 s is too fast after the 30 % rule; made up: a twin Rh-120 (wave 1's gun_120_twin)</t>
        </is>
      </c>
      <c r="BG218" t="inlineStr">
        <is>
          <t>doi</t>
        </is>
      </c>
      <c r="BH218" t="n">
        <v>255</v>
      </c>
      <c r="BI218" t="n">
        <v>260</v>
      </c>
      <c r="BJ218" t="n">
        <v>5</v>
      </c>
      <c r="BK218" t="n">
        <v>7.5</v>
      </c>
      <c r="BX218" t="n">
        <v>1</v>
      </c>
      <c r="BY218" t="n">
        <v>2</v>
      </c>
      <c r="BZ218" t="inlineStr">
        <is>
          <t>RIPPLE</t>
        </is>
      </c>
      <c r="CA218" t="inlineStr">
        <is>
          <t>SIMULTANEOUS</t>
        </is>
      </c>
      <c r="CO218" t="n">
        <v>2</v>
      </c>
      <c r="DD218" t="n">
        <v>7.5</v>
      </c>
      <c r="DE218" t="n">
        <v>260</v>
      </c>
      <c r="DO218" t="n">
        <v>21</v>
      </c>
      <c r="DT218" t="inlineStr">
        <is>
          <t>p26_behemoth_be120</t>
        </is>
      </c>
      <c r="EQ218" t="inlineStr">
        <is>
          <t>Rh-120 L/44 120 mm (twin)</t>
        </is>
      </c>
      <c r="EW218" t="inlineStr">
        <is>
          <t>SIMULTANEOUS</t>
        </is>
      </c>
      <c r="GD218" t="inlineStr">
        <is>
          <t>Assets/MachineBrigade/Resources/Data/balance.json: weapons[154]</t>
        </is>
      </c>
      <c r="GE218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19">
      <c r="A219" t="inlineStr">
        <is>
          <t>p26_behemoth_main_be152</t>
        </is>
      </c>
      <c r="B219" t="inlineStr">
        <is>
          <t>2A65 152 mm</t>
        </is>
      </c>
      <c r="C219" t="inlineStr">
        <is>
          <t>cal_152_155</t>
        </is>
      </c>
      <c r="D219" t="inlineStr"/>
      <c r="E219" t="inlineStr"/>
      <c r="F219" t="inlineStr">
        <is>
          <t>howitzer</t>
        </is>
      </c>
      <c r="G219" t="n">
        <v>152</v>
      </c>
      <c r="H219" t="inlineStr"/>
      <c r="I219" t="inlineStr"/>
      <c r="J219" t="inlineStr"/>
      <c r="K219" t="inlineStr">
        <is>
          <t>HighExplosive</t>
        </is>
      </c>
      <c r="L219" t="n">
        <v>3</v>
      </c>
      <c r="M219" t="inlineStr">
        <is>
          <t>Shell</t>
        </is>
      </c>
      <c r="N219" t="n">
        <v>2</v>
      </c>
      <c r="O219" t="inlineStr">
        <is>
          <t>SIMULTANEOUS</t>
        </is>
      </c>
      <c r="P219" t="n">
        <v>1</v>
      </c>
      <c r="Q219" t="n">
        <v>0.05</v>
      </c>
      <c r="R219" t="n">
        <v>8.98</v>
      </c>
      <c r="S219" t="n">
        <v>0</v>
      </c>
      <c r="T219" t="n">
        <v>0</v>
      </c>
      <c r="U219" t="n">
        <v>0</v>
      </c>
      <c r="V219" t="n">
        <v>0</v>
      </c>
      <c r="W219" t="n">
        <v>600</v>
      </c>
      <c r="X219" t="n">
        <v>7</v>
      </c>
      <c r="Y219" t="n">
        <v>14</v>
      </c>
      <c r="Z219" t="n">
        <v>150</v>
      </c>
      <c r="AA219" t="n">
        <v>40</v>
      </c>
      <c r="AB219" t="n">
        <v>0</v>
      </c>
      <c r="AC219" t="inlineStr">
        <is>
          <t>Ground</t>
        </is>
      </c>
      <c r="AD219" t="inlineStr"/>
      <c r="AE219" t="n">
        <v>0.8</v>
      </c>
      <c r="AF219" t="inlineStr">
        <is>
          <t>Huge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152</v>
      </c>
      <c r="AO219" t="n">
        <v>0</v>
      </c>
      <c r="AP219" t="inlineStr">
        <is>
          <t>T3</t>
        </is>
      </c>
      <c r="AQ219" t="inlineStr">
        <is>
          <t>p26_behemoth_be152</t>
        </is>
      </c>
      <c r="AR219" t="inlineStr"/>
      <c r="AS219" t="inlineStr">
        <is>
          <t>boss</t>
        </is>
      </c>
      <c r="AT219" t="inlineStr">
        <is>
          <t>behemoth;behemoth_mk0;behemoth_mk2</t>
        </is>
      </c>
      <c r="AU219" t="n">
        <v>3</v>
      </c>
      <c r="AV219" t="inlineStr">
        <is>
          <t>behemoth:0;behemoth_mk0:0;behemoth_mk2:0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0.2666666666666667</v>
      </c>
      <c r="BB219" t="n">
        <v>8</v>
      </c>
      <c r="BC219" t="n">
        <v>6</v>
      </c>
      <c r="BD219" t="inlineStr">
        <is>
          <t>gun</t>
        </is>
      </c>
      <c r="BE219" t="inlineStr">
        <is>
          <t>Wikipedia '2A65 Msta-B': 7-8 rpm</t>
        </is>
      </c>
      <c r="BF219" t="inlineStr">
        <is>
          <t>wave 1 gun_behemoth: the twin 2A65, 2 rounds every 8.98 s (real 7-8 rpm a gun, Msta-B): passes (b)</t>
        </is>
      </c>
      <c r="BG219" t="inlineStr">
        <is>
          <t>doi</t>
        </is>
      </c>
      <c r="BH219" t="n">
        <v>650</v>
      </c>
      <c r="BI219" t="n">
        <v>600</v>
      </c>
      <c r="BJ219" t="n">
        <v>2</v>
      </c>
      <c r="BK219" t="n">
        <v>8.98</v>
      </c>
      <c r="BN219" t="n">
        <v>8.5</v>
      </c>
      <c r="BO219" t="n">
        <v>7</v>
      </c>
      <c r="BP219" t="n">
        <v>17</v>
      </c>
      <c r="BQ219" t="n">
        <v>14</v>
      </c>
      <c r="BX219" t="n">
        <v>1</v>
      </c>
      <c r="BY219" t="n">
        <v>2</v>
      </c>
      <c r="BZ219" t="inlineStr">
        <is>
          <t>RIPPLE</t>
        </is>
      </c>
      <c r="CA219" t="inlineStr">
        <is>
          <t>SIMULTANEOUS</t>
        </is>
      </c>
      <c r="CO219" t="n">
        <v>2</v>
      </c>
      <c r="DD219" t="n">
        <v>8.98</v>
      </c>
      <c r="DE219" t="n">
        <v>600</v>
      </c>
      <c r="DG219" t="n">
        <v>14</v>
      </c>
      <c r="DO219" t="n">
        <v>32</v>
      </c>
      <c r="DT219" t="inlineStr">
        <is>
          <t>p26_behemoth_be152</t>
        </is>
      </c>
      <c r="EW219" t="inlineStr">
        <is>
          <t>SIMULTANEOUS</t>
        </is>
      </c>
      <c r="EY219" t="n">
        <v>7</v>
      </c>
      <c r="GD219" t="inlineStr">
        <is>
          <t>Assets/MachineBrigade/Resources/Data/balance.json: weapons[152]</t>
        </is>
      </c>
      <c r="GE219" t="inlineStr">
        <is>
          <t>{"id":"p26_behemoth_main_be152","groundMinReach":32,"inherits":"p26_behemoth_be152","salvoMode":"SIMULTANEOUS","barrels":2,"cooldown":8.98,"edge":14,"splash":7,"damage":600}</t>
        </is>
      </c>
    </row>
    <row r="220">
      <c r="A220" t="inlineStr">
        <is>
          <t>p26_behemoth_sec_be_rockets</t>
        </is>
      </c>
      <c r="B220" t="inlineStr">
        <is>
          <t>BM-21 Grad 122 mm (dorsal)</t>
        </is>
      </c>
      <c r="C220" t="inlineStr">
        <is>
          <t>rkt_grad_122</t>
        </is>
      </c>
      <c r="D220" t="inlineStr"/>
      <c r="E220" t="inlineStr"/>
      <c r="F220" t="inlineStr">
        <is>
          <t>rocket</t>
        </is>
      </c>
      <c r="G220" t="n">
        <v>122</v>
      </c>
      <c r="H220" t="inlineStr"/>
      <c r="I220" t="inlineStr"/>
      <c r="J220" t="inlineStr"/>
      <c r="K220" t="inlineStr">
        <is>
          <t>HighExplosive</t>
        </is>
      </c>
      <c r="L220" t="n">
        <v>2</v>
      </c>
      <c r="M220" t="inlineStr">
        <is>
          <t>Rocket</t>
        </is>
      </c>
      <c r="N220" t="n">
        <v>1</v>
      </c>
      <c r="O220" t="inlineStr">
        <is>
          <t>RIPPLE</t>
        </is>
      </c>
      <c r="P220" t="n">
        <v>40</v>
      </c>
      <c r="Q220" t="n">
        <v>0.5</v>
      </c>
      <c r="R220" t="n">
        <v>2.44</v>
      </c>
      <c r="S220" t="n">
        <v>0</v>
      </c>
      <c r="T220" t="n">
        <v>0</v>
      </c>
      <c r="U220" t="n">
        <v>0</v>
      </c>
      <c r="V220" t="n">
        <v>0</v>
      </c>
      <c r="W220" t="n">
        <v>200</v>
      </c>
      <c r="X220" t="n">
        <v>4.5</v>
      </c>
      <c r="Y220" t="n">
        <v>9</v>
      </c>
      <c r="Z220" t="n">
        <v>130</v>
      </c>
      <c r="AA220" t="n">
        <v>45</v>
      </c>
      <c r="AB220" t="n">
        <v>0</v>
      </c>
      <c r="AC220" t="inlineStr">
        <is>
          <t>Ground</t>
        </is>
      </c>
      <c r="AD220" t="inlineStr"/>
      <c r="AE220" t="n">
        <v>5</v>
      </c>
      <c r="AF220" t="inlineStr">
        <is>
          <t>Medium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122</v>
      </c>
      <c r="AO220" t="n">
        <v>0</v>
      </c>
      <c r="AP220" t="inlineStr">
        <is>
          <t>T3</t>
        </is>
      </c>
      <c r="AQ220" t="inlineStr">
        <is>
          <t>p26_behemoth_be_rockets</t>
        </is>
      </c>
      <c r="AR220" t="inlineStr"/>
      <c r="AS220" t="inlineStr">
        <is>
          <t>boss</t>
        </is>
      </c>
      <c r="AT220" t="inlineStr">
        <is>
          <t>behemoth;behemoth_mk0</t>
        </is>
      </c>
      <c r="AU220" t="n">
        <v>2</v>
      </c>
      <c r="AV220" t="inlineStr">
        <is>
          <t>behemoth:9;behemoth_mk0:3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0.3461538461538461</v>
      </c>
      <c r="BB220" t="n">
        <v>120</v>
      </c>
      <c r="BC220" t="inlineStr"/>
      <c r="BD220" t="inlineStr">
        <is>
          <t>rocket</t>
        </is>
      </c>
      <c r="BE220" t="inlineStr">
        <is>
          <t>Wikipedia 'BM-21 Grad': 40 rockets in 20 s</t>
        </is>
      </c>
      <c r="BF220" t="inlineStr">
        <is>
          <t>wave 1 boss_rockets: rockets 0.5 s apart (BM-21: 40 in 20 s), 2.44 s after the ripple; each pod keeps its rockets; made up: a full BM-21 pack of 40 tubes (8 before)</t>
        </is>
      </c>
      <c r="BG220" t="inlineStr">
        <is>
          <t>doi</t>
        </is>
      </c>
      <c r="BH220" t="n">
        <v>195</v>
      </c>
      <c r="BI220" t="n">
        <v>200</v>
      </c>
      <c r="BJ220" t="n">
        <v>3</v>
      </c>
      <c r="BK220" t="n">
        <v>2.44</v>
      </c>
      <c r="BN220" t="n">
        <v>5</v>
      </c>
      <c r="BO220" t="n">
        <v>4.5</v>
      </c>
      <c r="BP220" t="n">
        <v>10</v>
      </c>
      <c r="BQ220" t="n">
        <v>9</v>
      </c>
      <c r="BR220" t="n">
        <v>45</v>
      </c>
      <c r="BS220" t="n">
        <v>130</v>
      </c>
      <c r="BT220" t="n">
        <v>8</v>
      </c>
      <c r="BU220" t="n">
        <v>40</v>
      </c>
      <c r="BV220" t="n">
        <v>0.3</v>
      </c>
      <c r="BW220" t="n">
        <v>0.5</v>
      </c>
      <c r="CR220" t="n">
        <v>40</v>
      </c>
      <c r="CS220" t="n">
        <v>0.5</v>
      </c>
      <c r="DD220" t="n">
        <v>2.44</v>
      </c>
      <c r="DE220" t="n">
        <v>200</v>
      </c>
      <c r="DG220" t="n">
        <v>9</v>
      </c>
      <c r="DO220" t="n">
        <v>23</v>
      </c>
      <c r="DT220" t="inlineStr">
        <is>
          <t>p26_behemoth_be_rockets</t>
        </is>
      </c>
      <c r="EY220" t="n">
        <v>4.5</v>
      </c>
      <c r="GD220" t="inlineStr">
        <is>
          <t>Assets/MachineBrigade/Resources/Data/balance.json: weapons[153]</t>
        </is>
      </c>
      <c r="GE220" t="inlineStr">
        <is>
          <t>{"id":"p26_behemoth_sec_be_rockets","groundMinReach":23,"inherits":"p26_behemoth_be_rockets","burstInterval":0.5,"burst":40,"edge":9,"splash":4.5,"cooldown":2.44,"damage":200}</t>
        </is>
      </c>
    </row>
    <row r="221">
      <c r="A221" t="inlineStr">
        <is>
          <t>p26_behemoth_tiny_be120</t>
        </is>
      </c>
      <c r="B221" t="inlineStr">
        <is>
          <t>Rh-120 L/44 120 mm</t>
        </is>
      </c>
      <c r="C221" t="inlineStr">
        <is>
          <t>cal_120_ap</t>
        </is>
      </c>
      <c r="D221" t="inlineStr"/>
      <c r="E221" t="inlineStr"/>
      <c r="F221" t="inlineStr">
        <is>
          <t>tank_gun</t>
        </is>
      </c>
      <c r="G221" t="n">
        <v>120</v>
      </c>
      <c r="H221" t="inlineStr"/>
      <c r="I221" t="inlineStr"/>
      <c r="J221" t="inlineStr"/>
      <c r="K221" t="inlineStr">
        <is>
          <t>Kinetic</t>
        </is>
      </c>
      <c r="L221" t="n">
        <v>5</v>
      </c>
      <c r="M221" t="inlineStr">
        <is>
          <t>Shell</t>
        </is>
      </c>
      <c r="N221" t="n">
        <v>1</v>
      </c>
      <c r="O221" t="inlineStr">
        <is>
          <t>RIPPLE</t>
        </is>
      </c>
      <c r="P221" t="n">
        <v>1</v>
      </c>
      <c r="Q221" t="n">
        <v>0.1</v>
      </c>
      <c r="R221" t="n">
        <v>7.5</v>
      </c>
      <c r="S221" t="n">
        <v>0</v>
      </c>
      <c r="T221" t="n">
        <v>0</v>
      </c>
      <c r="U221" t="n">
        <v>0</v>
      </c>
      <c r="V221" t="n">
        <v>0</v>
      </c>
      <c r="W221" t="n">
        <v>260</v>
      </c>
      <c r="X221" t="n">
        <v>0</v>
      </c>
      <c r="Y221" t="n">
        <v>0</v>
      </c>
      <c r="Z221" t="n">
        <v>170</v>
      </c>
      <c r="AA221" t="n">
        <v>32</v>
      </c>
      <c r="AB221" t="n">
        <v>0</v>
      </c>
      <c r="AC221" t="inlineStr">
        <is>
          <t>Ground</t>
        </is>
      </c>
      <c r="AD221" t="inlineStr"/>
      <c r="AE221" t="n">
        <v>0.6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120</v>
      </c>
      <c r="AO221" t="n">
        <v>0</v>
      </c>
      <c r="AP221" t="inlineStr">
        <is>
          <t>T3</t>
        </is>
      </c>
      <c r="AQ221" t="inlineStr">
        <is>
          <t>p26_behemoth_be120</t>
        </is>
      </c>
      <c r="AR221" t="inlineStr"/>
      <c r="AS221" t="inlineStr">
        <is>
          <t>boss</t>
        </is>
      </c>
      <c r="AT221" t="inlineStr">
        <is>
          <t>behemoth</t>
        </is>
      </c>
      <c r="AU221" t="n">
        <v>1</v>
      </c>
      <c r="AV221" t="inlineStr">
        <is>
          <t>behemoth:1</t>
        </is>
      </c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0.1882352941176471</v>
      </c>
      <c r="BB221" t="n">
        <v>8</v>
      </c>
      <c r="BC221" t="n">
        <v>6</v>
      </c>
      <c r="BD221" t="inlineStr">
        <is>
          <t>gun</t>
        </is>
      </c>
      <c r="BE221" t="inlineStr">
        <is>
          <t>the sheet's 'Ngoài đời': Rh-120 6-8 rpm with a loader (Wikipedia 'Rheinmetall 120 mm gun')</t>
        </is>
      </c>
      <c r="BF221" t="inlineStr">
        <is>
          <t>real Rh-120 with a loader, 8 rpm (7.5 s); wave 1's 5.1 s is too fast after the 30 % rule</t>
        </is>
      </c>
      <c r="BG221" t="inlineStr">
        <is>
          <t>doi</t>
        </is>
      </c>
      <c r="BH221" t="n">
        <v>52</v>
      </c>
      <c r="BI221" t="n">
        <v>260</v>
      </c>
      <c r="BJ221" t="n">
        <v>4</v>
      </c>
      <c r="BK221" t="n">
        <v>7.5</v>
      </c>
      <c r="DD221" t="n">
        <v>7.5</v>
      </c>
      <c r="DE221" t="n">
        <v>260</v>
      </c>
      <c r="DO221" t="n">
        <v>25</v>
      </c>
      <c r="DT221" t="inlineStr">
        <is>
          <t>p26_behemoth_be120</t>
        </is>
      </c>
      <c r="GD221" t="inlineStr">
        <is>
          <t>Assets/MachineBrigade/Resources/Data/balance.json: weapons[156]</t>
        </is>
      </c>
      <c r="GE221" t="inlineStr">
        <is>
          <t>{"id":"p26_behemoth_tiny_be120","groundMinReach":25,"inherits":"p26_behemoth_be120","cooldown":7.5,"damage":260}</t>
        </is>
      </c>
    </row>
    <row r="222">
      <c r="A222" t="inlineStr">
        <is>
          <t>p26_behemoth_tiny_boss_missiles</t>
        </is>
      </c>
      <c r="B222" t="inlineStr">
        <is>
          <t>9M133 Kornet</t>
        </is>
      </c>
      <c r="C222" t="inlineStr">
        <is>
          <t>atgm_kornet</t>
        </is>
      </c>
      <c r="D222" t="inlineStr"/>
      <c r="E222" t="inlineStr"/>
      <c r="F222" t="inlineStr">
        <is>
          <t>atgm</t>
        </is>
      </c>
      <c r="G222" t="inlineStr"/>
      <c r="H222" t="n">
        <v>7</v>
      </c>
      <c r="I222" t="inlineStr"/>
      <c r="J222" t="inlineStr"/>
      <c r="K222" t="inlineStr">
        <is>
          <t>ShapedCharge</t>
        </is>
      </c>
      <c r="L222" t="n">
        <v>4</v>
      </c>
      <c r="M222" t="inlineStr">
        <is>
          <t>Missile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20</v>
      </c>
      <c r="S222" t="n">
        <v>0</v>
      </c>
      <c r="T222" t="n">
        <v>0</v>
      </c>
      <c r="U222" t="n">
        <v>0</v>
      </c>
      <c r="V222" t="n">
        <v>0</v>
      </c>
      <c r="W222" t="n">
        <v>230</v>
      </c>
      <c r="X222" t="n">
        <v>0</v>
      </c>
      <c r="Y222" t="n">
        <v>0</v>
      </c>
      <c r="Z222" t="n">
        <v>80</v>
      </c>
      <c r="AA222" t="n">
        <v>45</v>
      </c>
      <c r="AB222" t="n">
        <v>0</v>
      </c>
      <c r="AC222" t="inlineStr">
        <is>
          <t>Ground</t>
        </is>
      </c>
      <c r="AD222" t="inlineStr"/>
      <c r="AE222" t="n">
        <v>0</v>
      </c>
      <c r="AF222" t="inlineStr">
        <is>
          <t>Medium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29</v>
      </c>
      <c r="AO222" t="n">
        <v>0</v>
      </c>
      <c r="AP222" t="inlineStr">
        <is>
          <t>T2</t>
        </is>
      </c>
      <c r="AQ222" t="inlineStr">
        <is>
          <t>boss_missiles</t>
        </is>
      </c>
      <c r="AR222" t="inlineStr"/>
      <c r="AS222" t="inlineStr">
        <is>
          <t>boss</t>
        </is>
      </c>
      <c r="AT222" t="inlineStr">
        <is>
          <t>behemoth</t>
        </is>
      </c>
      <c r="AU222" t="n">
        <v>1</v>
      </c>
      <c r="AV222" t="inlineStr">
        <is>
          <t>behemoth:4;behemoth:5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0.5625</v>
      </c>
      <c r="BB222" t="n">
        <v>3</v>
      </c>
      <c r="BC222" t="n">
        <v>3</v>
      </c>
      <c r="BD222" t="inlineStr">
        <is>
          <t>atgm</t>
        </is>
      </c>
      <c r="BE222" t="inlineStr">
        <is>
          <t>Wikipedia '9M133 Kornet': 2-3 rpm</t>
        </is>
      </c>
      <c r="BF222" t="inlineStr">
        <is>
          <t>real 9M133 Kornet 3 rpm (20 s); wave 1's 6.39 s is too fast</t>
        </is>
      </c>
      <c r="BG222" t="inlineStr">
        <is>
          <t>doi</t>
        </is>
      </c>
      <c r="BH222" t="n">
        <v>46</v>
      </c>
      <c r="BI222" t="n">
        <v>230</v>
      </c>
      <c r="BJ222" t="n">
        <v>6.39</v>
      </c>
      <c r="BK222" t="n">
        <v>20</v>
      </c>
      <c r="BR222" t="n">
        <v>22</v>
      </c>
      <c r="BS222" t="n">
        <v>80</v>
      </c>
      <c r="DD222" t="n">
        <v>20</v>
      </c>
      <c r="DE222" t="n">
        <v>230</v>
      </c>
      <c r="DO222" t="n">
        <v>1</v>
      </c>
      <c r="DT222" t="inlineStr">
        <is>
          <t>boss_missiles</t>
        </is>
      </c>
      <c r="GA222" t="inlineStr"/>
      <c r="GD222" t="inlineStr">
        <is>
          <t>Assets/MachineBrigade/Resources/Data/balance.json: weapons[157]</t>
        </is>
      </c>
      <c r="GE222" t="inlineStr">
        <is>
          <t>{"id":"p26_behemoth_tiny_boss_missiles","groundMinReach":1,"inherits":"boss_missiles","cooldown":20,"weaponFamily":"","damage":230}</t>
        </is>
      </c>
    </row>
    <row r="223">
      <c r="A223" t="inlineStr">
        <is>
          <t>p26_behemoth_tiny_kornet_twin</t>
        </is>
      </c>
      <c r="B223" t="inlineStr">
        <is>
          <t>Rh-120 L/44 120 mm (side gun)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0.1</v>
      </c>
      <c r="R223" t="n">
        <v>9.699999999999999</v>
      </c>
      <c r="S223" t="n">
        <v>0</v>
      </c>
      <c r="T223" t="n">
        <v>0</v>
      </c>
      <c r="U223" t="n">
        <v>0</v>
      </c>
      <c r="V223" t="n">
        <v>0</v>
      </c>
      <c r="W223" t="n">
        <v>230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</t>
        </is>
      </c>
      <c r="AU223" t="n">
        <v>1</v>
      </c>
      <c r="AV223" t="inlineStr">
        <is>
          <t>behemoth:6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a twin Kornet launcher: the pair 0.6 s apart, every 20 s (3 rpm a rail); 55.6 s was too slow</t>
        </is>
      </c>
      <c r="BG223" t="inlineStr">
        <is>
          <t>doi</t>
        </is>
      </c>
      <c r="BH223" t="n">
        <v>46</v>
      </c>
      <c r="BI223" t="n">
        <v>230</v>
      </c>
      <c r="BJ223" t="n">
        <v>10.51</v>
      </c>
      <c r="BK223" t="n">
        <v>9.699999999999999</v>
      </c>
      <c r="BL223" t="n">
        <v>50</v>
      </c>
      <c r="BM223" t="n">
        <v>32</v>
      </c>
      <c r="BR223" t="n">
        <v>22</v>
      </c>
      <c r="BS223" t="n">
        <v>170</v>
      </c>
      <c r="BT223" t="n">
        <v>2</v>
      </c>
      <c r="BU223" t="n">
        <v>1</v>
      </c>
      <c r="BV223" t="n">
        <v>0.6</v>
      </c>
      <c r="BW223" t="n">
        <v>0.1</v>
      </c>
      <c r="CB223" t="n">
        <v>4</v>
      </c>
      <c r="CC223" t="n">
        <v>5</v>
      </c>
      <c r="CD223" t="inlineStr">
        <is>
          <t>ShapedCharge</t>
        </is>
      </c>
      <c r="CE223" t="inlineStr">
        <is>
          <t>Kinetic</t>
        </is>
      </c>
      <c r="CJ223" t="inlineStr">
        <is>
          <t>Missile</t>
        </is>
      </c>
      <c r="CK223" t="inlineStr">
        <is>
          <t>Shell</t>
        </is>
      </c>
      <c r="DD223" t="n">
        <v>9.699999999999999</v>
      </c>
      <c r="DE223" t="n">
        <v>230</v>
      </c>
      <c r="DO223" t="n">
        <v>25</v>
      </c>
      <c r="DT223" t="inlineStr">
        <is>
          <t>p26_behemoth_be120</t>
        </is>
      </c>
      <c r="EQ223" t="inlineStr">
        <is>
          <t>Rh-120 L/44 120 mm (side gun)</t>
        </is>
      </c>
      <c r="GD223" t="inlineStr">
        <is>
          <t>Assets/MachineBrigade/Resources/Data/balance.json: weapons[158]</t>
        </is>
      </c>
      <c r="GE223" t="inlineStr">
        <is>
          <t>{"id":"p26_behemoth_tiny_kornet_twin","groundMinReach":25,"inherits":"p26_behemoth_be120","real":"Rh-120 L/44 120 mm (side gun)","damage":230,"cooldown":9.7}</t>
        </is>
      </c>
    </row>
    <row r="224">
      <c r="A224" t="inlineStr">
        <is>
          <t>p26_daedalus_dae57</t>
        </is>
      </c>
      <c r="B224" t="inlineStr">
        <is>
          <t>AU-220 57 mm (belly)</t>
        </is>
      </c>
      <c r="C224" t="inlineStr">
        <is>
          <t>cal_57</t>
        </is>
      </c>
      <c r="D224" t="inlineStr"/>
      <c r="E224" t="inlineStr"/>
      <c r="F224" t="inlineStr">
        <is>
          <t>tank_gun</t>
        </is>
      </c>
      <c r="G224" t="n">
        <v>57</v>
      </c>
      <c r="H224" t="inlineStr"/>
      <c r="I224" t="inlineStr"/>
      <c r="J224" t="inlineStr"/>
      <c r="K224" t="inlineStr">
        <is>
          <t>HighExplosive</t>
        </is>
      </c>
      <c r="L224" t="n">
        <v>4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2</v>
      </c>
      <c r="Q224" t="n">
        <v>0.2</v>
      </c>
      <c r="R224" t="n">
        <v>2.3</v>
      </c>
      <c r="S224" t="n">
        <v>0</v>
      </c>
      <c r="T224" t="n">
        <v>0</v>
      </c>
      <c r="U224" t="n">
        <v>0</v>
      </c>
      <c r="V224" t="n">
        <v>0</v>
      </c>
      <c r="W224" t="n">
        <v>120</v>
      </c>
      <c r="X224" t="n">
        <v>3.5</v>
      </c>
      <c r="Y224" t="n">
        <v>7</v>
      </c>
      <c r="Z224" t="n">
        <v>150</v>
      </c>
      <c r="AA224" t="n">
        <v>28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Medium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57</v>
      </c>
      <c r="AO224" t="n">
        <v>0</v>
      </c>
      <c r="AP224" t="inlineStr">
        <is>
          <t>T2</t>
        </is>
      </c>
      <c r="AQ224" t="inlineStr">
        <is>
          <t>gun_57mm</t>
        </is>
      </c>
      <c r="AR224" t="inlineStr"/>
      <c r="AS224" t="inlineStr"/>
      <c r="AT224" t="inlineStr"/>
      <c r="AU224" t="n">
        <v>0</v>
      </c>
      <c r="AV224" t="inlineStr"/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0.1866666666666667</v>
      </c>
      <c r="BB224" t="n">
        <v>120</v>
      </c>
      <c r="BC224" t="n">
        <v>80</v>
      </c>
      <c r="BD224" t="inlineStr">
        <is>
          <t>ac</t>
        </is>
      </c>
      <c r="BE224" t="inlineStr">
        <is>
          <t>Wikipedia 'AU-220M': 80-120 rpm</t>
        </is>
      </c>
      <c r="BG224" t="inlineStr">
        <is>
          <t>giong</t>
        </is>
      </c>
      <c r="CR224" t="n">
        <v>2</v>
      </c>
      <c r="CS224" t="n">
        <v>0.2</v>
      </c>
      <c r="DD224" t="n">
        <v>2.3</v>
      </c>
      <c r="DE224" t="n">
        <v>120</v>
      </c>
      <c r="DF224" t="inlineStr">
        <is>
          <t>HighExplosive</t>
        </is>
      </c>
      <c r="DG224" t="n">
        <v>7</v>
      </c>
      <c r="DT224" t="inlineStr">
        <is>
          <t>gun_57mm</t>
        </is>
      </c>
      <c r="EB224" t="n">
        <v>4</v>
      </c>
      <c r="EQ224" t="inlineStr">
        <is>
          <t>AU-220 57 mm (belly)</t>
        </is>
      </c>
      <c r="EY224" t="n">
        <v>3.5</v>
      </c>
      <c r="GA224" t="inlineStr"/>
      <c r="GC224" t="inlineStr"/>
      <c r="GD224" t="inlineStr">
        <is>
          <t>Assets/MachineBrigade/Resources/Data/balance.json: weapons[205]</t>
        </is>
      </c>
      <c r="GE224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25">
      <c r="A225" t="inlineStr">
        <is>
          <t>p26_daedalus_dae_laser</t>
        </is>
      </c>
      <c r="B225" t="inlineStr">
        <is>
          <t>targeting laser (300 kW)</t>
        </is>
      </c>
      <c r="C225" t="inlineStr">
        <is>
          <t>laser_targeting_laser</t>
        </is>
      </c>
      <c r="D225" t="inlineStr"/>
      <c r="E225" t="inlineStr"/>
      <c r="F225" t="inlineStr">
        <is>
          <t>laser</t>
        </is>
      </c>
      <c r="G225" t="inlineStr"/>
      <c r="H225" t="inlineStr"/>
      <c r="I225" t="n">
        <v>300</v>
      </c>
      <c r="J225" t="inlineStr"/>
      <c r="K225" t="inlineStr">
        <is>
          <t>Energy</t>
        </is>
      </c>
      <c r="L225" t="n">
        <v>4</v>
      </c>
      <c r="M225" t="inlineStr">
        <is>
          <t>Bullet</t>
        </is>
      </c>
      <c r="N225" t="n">
        <v>1</v>
      </c>
      <c r="O225" t="inlineStr">
        <is>
          <t>RIPPLE</t>
        </is>
      </c>
      <c r="P225" t="n">
        <v>1</v>
      </c>
      <c r="Q225" t="n">
        <v>0.1</v>
      </c>
      <c r="R225" t="n">
        <v>0.1</v>
      </c>
      <c r="S225" t="n">
        <v>0</v>
      </c>
      <c r="T225" t="n">
        <v>0</v>
      </c>
      <c r="U225" t="n">
        <v>0</v>
      </c>
      <c r="V225" t="n">
        <v>0</v>
      </c>
      <c r="W225" t="n">
        <v>40</v>
      </c>
      <c r="X225" t="n">
        <v>1.5</v>
      </c>
      <c r="Y225" t="n">
        <v>0</v>
      </c>
      <c r="Z225" t="n">
        <v>3000</v>
      </c>
      <c r="AA225" t="n">
        <v>36</v>
      </c>
      <c r="AB225" t="n">
        <v>0</v>
      </c>
      <c r="AC225" t="inlineStr">
        <is>
          <t>Ground</t>
        </is>
      </c>
      <c r="AD225" t="inlineStr"/>
      <c r="AE225" t="n">
        <v>0</v>
      </c>
      <c r="AF225" t="inlineStr">
        <is>
          <t>Small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1</v>
      </c>
      <c r="AM225" t="b">
        <v>0</v>
      </c>
      <c r="AN225" t="n">
        <v>300</v>
      </c>
      <c r="AO225" t="n">
        <v>0</v>
      </c>
      <c r="AP225" t="inlineStr">
        <is>
          <t>T1</t>
        </is>
      </c>
      <c r="AQ225" t="inlineStr">
        <is>
          <t>orbital_laser</t>
        </is>
      </c>
      <c r="AR225" t="inlineStr"/>
      <c r="AS225" t="inlineStr"/>
      <c r="AT225" t="inlineStr"/>
      <c r="AU225" t="n">
        <v>0</v>
      </c>
      <c r="AV225" t="inlineStr"/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0.012</v>
      </c>
      <c r="BB225" t="inlineStr">
        <is>
          <t>NEED_SOURCE</t>
        </is>
      </c>
      <c r="BC225" t="inlineStr">
        <is>
          <t>NEED_SOURCE</t>
        </is>
      </c>
      <c r="BE225" t="inlineStr">
        <is>
          <t>NEED_SOURCE</t>
        </is>
      </c>
      <c r="BG225" t="inlineStr">
        <is>
          <t>giong</t>
        </is>
      </c>
      <c r="DE225" t="n">
        <v>40</v>
      </c>
      <c r="DT225" t="inlineStr">
        <is>
          <t>orbital_laser</t>
        </is>
      </c>
      <c r="EF225" t="n">
        <v>300</v>
      </c>
      <c r="EQ225" t="inlineStr">
        <is>
          <t>targeting laser (300 kW)</t>
        </is>
      </c>
      <c r="EX225" t="n">
        <v>300</v>
      </c>
      <c r="GB225" t="inlineStr">
        <is>
          <t>laser_targeting_laser</t>
        </is>
      </c>
      <c r="GD225" t="inlineStr">
        <is>
          <t>Assets/MachineBrigade/Resources/Data/balance.json: weapons[206]</t>
        </is>
      </c>
      <c r="GE225" t="inlineStr">
        <is>
          <t>{"id":"p26_daedalus_dae_laser","inherits":"orbital_laser","weaponFamilyId":"laser_targeting_laser","real":"targeting laser (300 kW)","size":300,"powerKw":300,"damage":40}</t>
        </is>
      </c>
    </row>
    <row r="226">
      <c r="A226" t="inlineStr">
        <is>
          <t>p26_daedalus_direct_dae_laser</t>
        </is>
      </c>
      <c r="B226" t="inlineStr">
        <is>
          <t>targeting laser (300 kW)</t>
        </is>
      </c>
      <c r="C226" t="inlineStr">
        <is>
          <t>laser_targeting_laser</t>
        </is>
      </c>
      <c r="D226" t="inlineStr"/>
      <c r="E226" t="inlineStr"/>
      <c r="F226" t="inlineStr">
        <is>
          <t>laser</t>
        </is>
      </c>
      <c r="G226" t="inlineStr"/>
      <c r="H226" t="inlineStr"/>
      <c r="I226" t="n">
        <v>300</v>
      </c>
      <c r="J226" t="inlineStr"/>
      <c r="K226" t="inlineStr">
        <is>
          <t>Energy</t>
        </is>
      </c>
      <c r="L226" t="n">
        <v>4</v>
      </c>
      <c r="M226" t="inlineStr">
        <is>
          <t>Bullet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0.1</v>
      </c>
      <c r="S226" t="n">
        <v>0</v>
      </c>
      <c r="T226" t="n">
        <v>0</v>
      </c>
      <c r="U226" t="n">
        <v>0</v>
      </c>
      <c r="V226" t="n">
        <v>0</v>
      </c>
      <c r="W226" t="n">
        <v>16.5</v>
      </c>
      <c r="X226" t="n">
        <v>1.5</v>
      </c>
      <c r="Y226" t="n">
        <v>0</v>
      </c>
      <c r="Z226" t="n">
        <v>3000</v>
      </c>
      <c r="AA226" t="n">
        <v>36</v>
      </c>
      <c r="AB226" t="n">
        <v>0</v>
      </c>
      <c r="AC226" t="inlineStr">
        <is>
          <t>Ground</t>
        </is>
      </c>
      <c r="AD226" t="inlineStr"/>
      <c r="AE226" t="n">
        <v>0</v>
      </c>
      <c r="AF226" t="inlineStr">
        <is>
          <t>Small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1</v>
      </c>
      <c r="AM226" t="b">
        <v>0</v>
      </c>
      <c r="AN226" t="n">
        <v>300</v>
      </c>
      <c r="AO226" t="n">
        <v>0</v>
      </c>
      <c r="AP226" t="inlineStr">
        <is>
          <t>T1</t>
        </is>
      </c>
      <c r="AQ226" t="inlineStr">
        <is>
          <t>p26_daedalus_dae_laser</t>
        </is>
      </c>
      <c r="AR226" t="inlineStr"/>
      <c r="AS226" t="inlineStr">
        <is>
          <t>boss</t>
        </is>
      </c>
      <c r="AT226" t="inlineStr">
        <is>
          <t>daedalus</t>
        </is>
      </c>
      <c r="AU226" t="n">
        <v>1</v>
      </c>
      <c r="AV226" t="inlineStr">
        <is>
          <t>daedalus:0;daedalus:3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0.012</v>
      </c>
      <c r="BB226" t="inlineStr">
        <is>
          <t>NEED_SOURCE</t>
        </is>
      </c>
      <c r="BC226" t="inlineStr">
        <is>
          <t>NEED_SOURCE</t>
        </is>
      </c>
      <c r="BE226" t="inlineStr">
        <is>
          <t>NEED_SOURCE</t>
        </is>
      </c>
      <c r="BF226" t="inlineStr">
        <is>
          <t>a laser: no real rate</t>
        </is>
      </c>
      <c r="BG226" t="inlineStr">
        <is>
          <t>giong</t>
        </is>
      </c>
      <c r="DE226" t="n">
        <v>16.5</v>
      </c>
      <c r="DO226" t="n">
        <v>13</v>
      </c>
      <c r="DT226" t="inlineStr">
        <is>
          <t>p26_daedalus_dae_laser</t>
        </is>
      </c>
      <c r="GD226" t="inlineStr">
        <is>
          <t>Assets/MachineBrigade/Resources/Data/balance.json: weapons[208]</t>
        </is>
      </c>
      <c r="GE226" t="inlineStr">
        <is>
          <t>{"id":"p26_daedalus_direct_dae_laser","groundMinReach":13,"inherits":"p26_daedalus_dae_laser","damage":16.5}</t>
        </is>
      </c>
    </row>
    <row r="227">
      <c r="A227" t="inlineStr">
        <is>
          <t>p26_daedalus_sec_dae57</t>
        </is>
      </c>
      <c r="B227" t="inlineStr">
        <is>
          <t>AU-220 57 mm (twin belly mount)</t>
        </is>
      </c>
      <c r="C227" t="inlineStr">
        <is>
          <t>cal_57</t>
        </is>
      </c>
      <c r="D227" t="inlineStr"/>
      <c r="E227" t="inlineStr"/>
      <c r="F227" t="inlineStr">
        <is>
          <t>tank_gun</t>
        </is>
      </c>
      <c r="G227" t="n">
        <v>57</v>
      </c>
      <c r="H227" t="inlineStr"/>
      <c r="I227" t="inlineStr"/>
      <c r="J227" t="inlineStr"/>
      <c r="K227" t="inlineStr">
        <is>
          <t>HighExplosive</t>
        </is>
      </c>
      <c r="L227" t="n">
        <v>4</v>
      </c>
      <c r="M227" t="inlineStr">
        <is>
          <t>Shell</t>
        </is>
      </c>
      <c r="N227" t="n">
        <v>2</v>
      </c>
      <c r="O227" t="inlineStr">
        <is>
          <t>SIMULTANEOUS</t>
        </is>
      </c>
      <c r="P227" t="n">
        <v>4</v>
      </c>
      <c r="Q227" t="n">
        <v>0.5</v>
      </c>
      <c r="R227" t="n">
        <v>2.79</v>
      </c>
      <c r="S227" t="n">
        <v>0</v>
      </c>
      <c r="T227" t="n">
        <v>0</v>
      </c>
      <c r="U227" t="n">
        <v>0</v>
      </c>
      <c r="V227" t="n">
        <v>0</v>
      </c>
      <c r="W227" t="n">
        <v>120</v>
      </c>
      <c r="X227" t="n">
        <v>3</v>
      </c>
      <c r="Y227" t="n">
        <v>6</v>
      </c>
      <c r="Z227" t="n">
        <v>150</v>
      </c>
      <c r="AA227" t="n">
        <v>28</v>
      </c>
      <c r="AB227" t="n">
        <v>0</v>
      </c>
      <c r="AC227" t="inlineStr">
        <is>
          <t>Ground</t>
        </is>
      </c>
      <c r="AD227" t="inlineStr"/>
      <c r="AE227" t="n">
        <v>0.8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57</v>
      </c>
      <c r="AO227" t="n">
        <v>0</v>
      </c>
      <c r="AP227" t="inlineStr">
        <is>
          <t>T2</t>
        </is>
      </c>
      <c r="AQ227" t="inlineStr">
        <is>
          <t>p26_daedalus_dae57</t>
        </is>
      </c>
      <c r="AR227" t="inlineStr"/>
      <c r="AS227" t="inlineStr">
        <is>
          <t>boss</t>
        </is>
      </c>
      <c r="AT227" t="inlineStr">
        <is>
          <t>daedalus</t>
        </is>
      </c>
      <c r="AU227" t="n">
        <v>1</v>
      </c>
      <c r="AV227" t="inlineStr">
        <is>
          <t>daedalus:1;daedalus:2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0.1866666666666667</v>
      </c>
      <c r="BB227" t="n">
        <v>120</v>
      </c>
      <c r="BC227" t="n">
        <v>80</v>
      </c>
      <c r="BD227" t="inlineStr">
        <is>
          <t>ac</t>
        </is>
      </c>
      <c r="BE227" t="inlineStr">
        <is>
          <t>Wikipedia 'AU-220M': 80-120 rpm</t>
        </is>
      </c>
      <c r="BF227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27" t="inlineStr">
        <is>
          <t>doi</t>
        </is>
      </c>
      <c r="BH227" t="n">
        <v>135</v>
      </c>
      <c r="BI227" t="n">
        <v>120</v>
      </c>
      <c r="BJ227" t="n">
        <v>1.1</v>
      </c>
      <c r="BK227" t="n">
        <v>2.79</v>
      </c>
      <c r="BN227" t="n">
        <v>3.5</v>
      </c>
      <c r="BO227" t="n">
        <v>3</v>
      </c>
      <c r="BP227" t="n">
        <v>7</v>
      </c>
      <c r="BQ227" t="n">
        <v>6</v>
      </c>
      <c r="BT227" t="n">
        <v>2</v>
      </c>
      <c r="BU227" t="n">
        <v>4</v>
      </c>
      <c r="BV227" t="n">
        <v>0.2</v>
      </c>
      <c r="BW227" t="n">
        <v>0.5</v>
      </c>
      <c r="BX227" t="n">
        <v>1</v>
      </c>
      <c r="BY227" t="n">
        <v>2</v>
      </c>
      <c r="BZ227" t="inlineStr">
        <is>
          <t>RIPPLE</t>
        </is>
      </c>
      <c r="CA227" t="inlineStr">
        <is>
          <t>SIMULTANEOUS</t>
        </is>
      </c>
      <c r="CO227" t="n">
        <v>2</v>
      </c>
      <c r="CR227" t="n">
        <v>4</v>
      </c>
      <c r="CS227" t="n">
        <v>0.5</v>
      </c>
      <c r="DD227" t="n">
        <v>2.79</v>
      </c>
      <c r="DE227" t="n">
        <v>120</v>
      </c>
      <c r="DG227" t="n">
        <v>6</v>
      </c>
      <c r="DO227" t="n">
        <v>13</v>
      </c>
      <c r="DT227" t="inlineStr">
        <is>
          <t>p26_daedalus_dae57</t>
        </is>
      </c>
      <c r="EQ227" t="inlineStr">
        <is>
          <t>AU-220 57 mm (twin belly mount)</t>
        </is>
      </c>
      <c r="EW227" t="inlineStr">
        <is>
          <t>SIMULTANEOUS</t>
        </is>
      </c>
      <c r="EY227" t="n">
        <v>3</v>
      </c>
      <c r="GD227" t="inlineStr">
        <is>
          <t>Assets/MachineBrigade/Resources/Data/balance.json: weapons[207]</t>
        </is>
      </c>
      <c r="GE227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28">
      <c r="A228" t="inlineStr">
        <is>
          <t>p26_icarus_close_autocannon_40</t>
        </is>
      </c>
      <c r="B228" t="inlineStr">
        <is>
          <t>Bofors 40 mm</t>
        </is>
      </c>
      <c r="C228" t="inlineStr">
        <is>
          <t>cal_40</t>
        </is>
      </c>
      <c r="D228" t="inlineStr"/>
      <c r="E228" t="inlineStr"/>
      <c r="F228" t="inlineStr">
        <is>
          <t>autocannon</t>
        </is>
      </c>
      <c r="G228" t="n">
        <v>40</v>
      </c>
      <c r="H228" t="inlineStr"/>
      <c r="I228" t="inlineStr"/>
      <c r="J228" t="inlineStr"/>
      <c r="K228" t="inlineStr">
        <is>
          <t>Kinetic</t>
        </is>
      </c>
      <c r="L228" t="n">
        <v>2</v>
      </c>
      <c r="M228" t="inlineStr">
        <is>
          <t>Bullet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0.2</v>
      </c>
      <c r="S228" t="n">
        <v>10</v>
      </c>
      <c r="T228" t="n">
        <v>1.52</v>
      </c>
      <c r="U228" t="n">
        <v>0</v>
      </c>
      <c r="V228" t="n">
        <v>0</v>
      </c>
      <c r="W228" t="n">
        <v>30</v>
      </c>
      <c r="X228" t="n">
        <v>0</v>
      </c>
      <c r="Y228" t="n">
        <v>0</v>
      </c>
      <c r="Z228" t="n">
        <v>210</v>
      </c>
      <c r="AA228" t="n">
        <v>28</v>
      </c>
      <c r="AB228" t="n">
        <v>0</v>
      </c>
      <c r="AC228" t="inlineStr">
        <is>
          <t>All</t>
        </is>
      </c>
      <c r="AD228" t="inlineStr"/>
      <c r="AE228" t="n">
        <v>0.8</v>
      </c>
      <c r="AF228" t="inlineStr">
        <is>
          <t>Small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40</v>
      </c>
      <c r="AO228" t="n">
        <v>0</v>
      </c>
      <c r="AP228" t="inlineStr">
        <is>
          <t>T1</t>
        </is>
      </c>
      <c r="AQ228" t="inlineStr">
        <is>
          <t>autocannon_40</t>
        </is>
      </c>
      <c r="AR228" t="inlineStr"/>
      <c r="AS228" t="inlineStr">
        <is>
          <t>boss</t>
        </is>
      </c>
      <c r="AT228" t="inlineStr">
        <is>
          <t>silver_bug</t>
        </is>
      </c>
      <c r="AU228" t="n">
        <v>1</v>
      </c>
      <c r="AV228" t="inlineStr">
        <is>
          <t>silver_bug:5;silver_bug:6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0.1333333333333333</v>
      </c>
      <c r="BB228" t="n">
        <v>330</v>
      </c>
      <c r="BC228" t="n">
        <v>120</v>
      </c>
      <c r="BD228" t="inlineStr">
        <is>
          <t>aa</t>
        </is>
      </c>
      <c r="BE228" t="inlineStr">
        <is>
          <t>Wikipedia 'Bofors 40 mm L/70': 240-330 rpm</t>
        </is>
      </c>
      <c r="BF228" t="inlineStr">
        <is>
          <t>wave 1 autocannon_40: 10 rounds at 300 rpm, changed in 1.52 s (Bofors L/70 240-330 rpm)</t>
        </is>
      </c>
      <c r="BG228" t="inlineStr">
        <is>
          <t>doi</t>
        </is>
      </c>
      <c r="BH228" t="n">
        <v>56</v>
      </c>
      <c r="BI228" t="n">
        <v>30</v>
      </c>
      <c r="BN228" t="n">
        <v>1</v>
      </c>
      <c r="BO228" t="n">
        <v>0</v>
      </c>
      <c r="CH228" t="n">
        <v>1.72</v>
      </c>
      <c r="CI228" t="n">
        <v>1.52</v>
      </c>
      <c r="CX228" t="n">
        <v>1.52</v>
      </c>
      <c r="DD228" t="n">
        <v>0.2</v>
      </c>
      <c r="DE228" t="n">
        <v>30</v>
      </c>
      <c r="DT228" t="inlineStr">
        <is>
          <t>autocannon_40</t>
        </is>
      </c>
      <c r="EY228" t="n">
        <v>0</v>
      </c>
      <c r="GD228" t="inlineStr">
        <is>
          <t>Assets/MachineBrigade/Resources/Data/balance.json: weapons[214]</t>
        </is>
      </c>
      <c r="GE228" t="inlineStr">
        <is>
          <t>{"id":"p26_icarus_close_autocannon_40","inherits":"autocannon_40","clipReload":1.52,"cooldown":0.2,"splash":0,"damage":30}</t>
        </is>
      </c>
    </row>
    <row r="229">
      <c r="A229" t="inlineStr">
        <is>
          <t>p26_icarus_direct_ic_laser</t>
        </is>
      </c>
      <c r="B229" t="inlineStr">
        <is>
          <t>laser tower (300 kW)</t>
        </is>
      </c>
      <c r="C229" t="inlineStr">
        <is>
          <t>laser_tower</t>
        </is>
      </c>
      <c r="D229" t="inlineStr"/>
      <c r="E229" t="inlineStr"/>
      <c r="F229" t="inlineStr">
        <is>
          <t>laser</t>
        </is>
      </c>
      <c r="G229" t="inlineStr"/>
      <c r="H229" t="inlineStr"/>
      <c r="I229" t="n">
        <v>300</v>
      </c>
      <c r="J229" t="inlineStr"/>
      <c r="K229" t="inlineStr">
        <is>
          <t>Energy</t>
        </is>
      </c>
      <c r="L229" t="n">
        <v>4</v>
      </c>
      <c r="M229" t="inlineStr">
        <is>
          <t>Bullet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0.1</v>
      </c>
      <c r="S229" t="n">
        <v>0</v>
      </c>
      <c r="T229" t="n">
        <v>0</v>
      </c>
      <c r="U229" t="n">
        <v>0</v>
      </c>
      <c r="V229" t="n">
        <v>0</v>
      </c>
      <c r="W229" t="n">
        <v>16</v>
      </c>
      <c r="X229" t="n">
        <v>1.5</v>
      </c>
      <c r="Y229" t="n">
        <v>0</v>
      </c>
      <c r="Z229" t="n">
        <v>3000</v>
      </c>
      <c r="AA229" t="n">
        <v>36</v>
      </c>
      <c r="AB229" t="n">
        <v>0</v>
      </c>
      <c r="AC229" t="inlineStr">
        <is>
          <t>Ground</t>
        </is>
      </c>
      <c r="AD229" t="inlineStr"/>
      <c r="AE229" t="n">
        <v>0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1</v>
      </c>
      <c r="AM229" t="b">
        <v>0</v>
      </c>
      <c r="AN229" t="n">
        <v>300</v>
      </c>
      <c r="AO229" t="n">
        <v>0</v>
      </c>
      <c r="AP229" t="inlineStr">
        <is>
          <t>T1</t>
        </is>
      </c>
      <c r="AQ229" t="inlineStr">
        <is>
          <t>p26_icarus_ic_laser</t>
        </is>
      </c>
      <c r="AR229" t="inlineStr"/>
      <c r="AS229" t="inlineStr">
        <is>
          <t>boss</t>
        </is>
      </c>
      <c r="AT229" t="inlineStr">
        <is>
          <t>hyperion;silver_bug</t>
        </is>
      </c>
      <c r="AU229" t="n">
        <v>2</v>
      </c>
      <c r="AV229" t="inlineStr">
        <is>
          <t>hyperion:3;hyperion:4;silver_bug:3;silver_bug:4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0.012</v>
      </c>
      <c r="BB229" t="inlineStr">
        <is>
          <t>NEED_SOURCE</t>
        </is>
      </c>
      <c r="BC229" t="inlineStr">
        <is>
          <t>NEED_SOURCE</t>
        </is>
      </c>
      <c r="BE229" t="inlineStr">
        <is>
          <t>NEED_SOURCE</t>
        </is>
      </c>
      <c r="BF229" t="inlineStr">
        <is>
          <t>a laser: no real rate</t>
        </is>
      </c>
      <c r="BG229" t="inlineStr">
        <is>
          <t>giong</t>
        </is>
      </c>
      <c r="DE229" t="n">
        <v>16</v>
      </c>
      <c r="DO229" t="n">
        <v>18</v>
      </c>
      <c r="DT229" t="inlineStr">
        <is>
          <t>p26_icarus_ic_laser</t>
        </is>
      </c>
      <c r="GD229" t="inlineStr">
        <is>
          <t>Assets/MachineBrigade/Resources/Data/balance.json: weapons[213]</t>
        </is>
      </c>
      <c r="GE229" t="inlineStr">
        <is>
          <t>{"id":"p26_icarus_direct_ic_laser","groundMinReach":18,"inherits":"p26_icarus_ic_laser","damage":16}</t>
        </is>
      </c>
    </row>
    <row r="230">
      <c r="A230" t="inlineStr">
        <is>
          <t>p26_icarus_ic_coil</t>
        </is>
      </c>
      <c r="B230" t="inlineStr">
        <is>
          <t>coilgun (64 MJ)</t>
        </is>
      </c>
      <c r="C230" t="inlineStr">
        <is>
          <t>rail_coilgun</t>
        </is>
      </c>
      <c r="D230" t="inlineStr"/>
      <c r="E230" t="inlineStr"/>
      <c r="F230" t="inlineStr">
        <is>
          <t>railgun</t>
        </is>
      </c>
      <c r="G230" t="inlineStr"/>
      <c r="H230" t="inlineStr"/>
      <c r="I230" t="inlineStr"/>
      <c r="J230" t="n">
        <v>64</v>
      </c>
      <c r="K230" t="inlineStr">
        <is>
          <t>Kinetic</t>
        </is>
      </c>
      <c r="L230" t="n">
        <v>5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0.25</v>
      </c>
      <c r="R230" t="n">
        <v>2</v>
      </c>
      <c r="S230" t="n">
        <v>0</v>
      </c>
      <c r="T230" t="n">
        <v>0</v>
      </c>
      <c r="U230" t="n">
        <v>0</v>
      </c>
      <c r="V230" t="n">
        <v>0</v>
      </c>
      <c r="W230" t="n">
        <v>1440</v>
      </c>
      <c r="X230" t="n">
        <v>0</v>
      </c>
      <c r="Y230" t="n">
        <v>0</v>
      </c>
      <c r="Z230" t="n">
        <v>420</v>
      </c>
      <c r="AA230" t="n">
        <v>55</v>
      </c>
      <c r="AB230" t="n">
        <v>0</v>
      </c>
      <c r="AC230" t="inlineStr">
        <is>
          <t>All</t>
        </is>
      </c>
      <c r="AD230" t="inlineStr"/>
      <c r="AE230" t="n">
        <v>0.6</v>
      </c>
      <c r="AF230" t="inlineStr">
        <is>
          <t>Large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64</v>
      </c>
      <c r="AO230" t="n">
        <v>0</v>
      </c>
      <c r="AP230" t="inlineStr">
        <is>
          <t>T3</t>
        </is>
      </c>
      <c r="AQ230" t="inlineStr">
        <is>
          <t>coilgun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0.130952380952381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CR230" t="n">
        <v>1</v>
      </c>
      <c r="DD230" t="n">
        <v>2</v>
      </c>
      <c r="DE230" t="n">
        <v>1440</v>
      </c>
      <c r="DI230" t="n">
        <v>64</v>
      </c>
      <c r="DO230" t="n">
        <v>0</v>
      </c>
      <c r="DT230" t="inlineStr">
        <is>
          <t>coilgun</t>
        </is>
      </c>
      <c r="EB230" t="n">
        <v>5</v>
      </c>
      <c r="EC230" t="b">
        <v>1</v>
      </c>
      <c r="ED230" t="n">
        <v>4</v>
      </c>
      <c r="EQ230" t="inlineStr">
        <is>
          <t>coilgun (64 MJ)</t>
        </is>
      </c>
      <c r="EX230" t="n">
        <v>64</v>
      </c>
      <c r="GD230" t="inlineStr">
        <is>
          <t>Assets/MachineBrigade/Resources/Data/balance.json: weapons[209]</t>
        </is>
      </c>
      <c r="GE230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1">
      <c r="A231" t="inlineStr">
        <is>
          <t>p26_icarus_ic_laser</t>
        </is>
      </c>
      <c r="B231" t="inlineStr">
        <is>
          <t>laser tower (300 kW)</t>
        </is>
      </c>
      <c r="C231" t="inlineStr">
        <is>
          <t>laser_tower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40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orbital_laser</t>
        </is>
      </c>
      <c r="AR231" t="inlineStr"/>
      <c r="AS231" t="inlineStr"/>
      <c r="AT231" t="inlineStr"/>
      <c r="AU231" t="n">
        <v>0</v>
      </c>
      <c r="AV231" t="inlineStr"/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G231" t="inlineStr">
        <is>
          <t>giong</t>
        </is>
      </c>
      <c r="DE231" t="n">
        <v>40</v>
      </c>
      <c r="DT231" t="inlineStr">
        <is>
          <t>orbital_laser</t>
        </is>
      </c>
      <c r="EF231" t="n">
        <v>300</v>
      </c>
      <c r="EQ231" t="inlineStr">
        <is>
          <t>laser tower (300 kW)</t>
        </is>
      </c>
      <c r="EX231" t="n">
        <v>300</v>
      </c>
      <c r="GB231" t="inlineStr">
        <is>
          <t>laser_tower</t>
        </is>
      </c>
      <c r="GD231" t="inlineStr">
        <is>
          <t>Assets/MachineBrigade/Resources/Data/balance.json: weapons[210]</t>
        </is>
      </c>
      <c r="GE231" t="inlineStr">
        <is>
          <t>{"id":"p26_icarus_ic_laser","inherits":"orbital_laser","weaponFamilyId":"laser_tower","real":"laser tower (300 kW)","size":300,"powerKw":300,"damage":40}</t>
        </is>
      </c>
    </row>
    <row r="232">
      <c r="A232" t="inlineStr">
        <is>
          <t>p26_icarus_main_ic_coil</t>
        </is>
      </c>
      <c r="B232" t="inlineStr">
        <is>
          <t>heavy coilgun (64 MJ)</t>
        </is>
      </c>
      <c r="C232" t="inlineStr">
        <is>
          <t>rail_heavy_coilgun</t>
        </is>
      </c>
      <c r="D232" t="inlineStr"/>
      <c r="E232" t="inlineStr"/>
      <c r="F232" t="inlineStr">
        <is>
          <t>railgun</t>
        </is>
      </c>
      <c r="G232" t="inlineStr"/>
      <c r="H232" t="inlineStr"/>
      <c r="I232" t="inlineStr"/>
      <c r="J232" t="n">
        <v>64</v>
      </c>
      <c r="K232" t="inlineStr">
        <is>
          <t>Kinetic</t>
        </is>
      </c>
      <c r="L232" t="n">
        <v>5</v>
      </c>
      <c r="M232" t="inlineStr">
        <is>
          <t>Bullet</t>
        </is>
      </c>
      <c r="N232" t="n">
        <v>1</v>
      </c>
      <c r="O232" t="inlineStr">
        <is>
          <t>RIPPLE</t>
        </is>
      </c>
      <c r="P232" t="n">
        <v>1</v>
      </c>
      <c r="Q232" t="n">
        <v>0.25</v>
      </c>
      <c r="R232" t="n">
        <v>5</v>
      </c>
      <c r="S232" t="n">
        <v>0</v>
      </c>
      <c r="T232" t="n">
        <v>0</v>
      </c>
      <c r="U232" t="n">
        <v>0</v>
      </c>
      <c r="V232" t="n">
        <v>0</v>
      </c>
      <c r="W232" t="n">
        <v>1500</v>
      </c>
      <c r="X232" t="n">
        <v>0</v>
      </c>
      <c r="Y232" t="n">
        <v>0</v>
      </c>
      <c r="Z232" t="n">
        <v>420</v>
      </c>
      <c r="AA232" t="n">
        <v>55</v>
      </c>
      <c r="AB232" t="n">
        <v>0</v>
      </c>
      <c r="AC232" t="inlineStr">
        <is>
          <t>All</t>
        </is>
      </c>
      <c r="AD232" t="inlineStr"/>
      <c r="AE232" t="n">
        <v>0.6</v>
      </c>
      <c r="AF232" t="inlineStr">
        <is>
          <t>Large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64</v>
      </c>
      <c r="AO232" t="n">
        <v>0</v>
      </c>
      <c r="AP232" t="inlineStr">
        <is>
          <t>T3</t>
        </is>
      </c>
      <c r="AQ232" t="inlineStr">
        <is>
          <t>p26_icarus_ic_coil</t>
        </is>
      </c>
      <c r="AR232" t="inlineStr"/>
      <c r="AS232" t="inlineStr">
        <is>
          <t>boss</t>
        </is>
      </c>
      <c r="AT232" t="inlineStr">
        <is>
          <t>hyperion;silver_bug</t>
        </is>
      </c>
      <c r="AU232" t="n">
        <v>2</v>
      </c>
      <c r="AV232" t="inlineStr">
        <is>
          <t>hyperion:1;hyperion:2;silver_bug:1;silver_bug:2</t>
        </is>
      </c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0.130952380952381</v>
      </c>
      <c r="BB232" t="inlineStr">
        <is>
          <t>NEED_SOURCE</t>
        </is>
      </c>
      <c r="BC232" t="inlineStr">
        <is>
          <t>NEED_SOURCE</t>
        </is>
      </c>
      <c r="BE232" t="inlineStr">
        <is>
          <t>NEED_SOURCE</t>
        </is>
      </c>
      <c r="BF232" t="inlineStr">
        <is>
          <t>a 64 MJ coilgun, its own family (rail_heavy_coilgun): no real rate</t>
        </is>
      </c>
      <c r="BG232" t="inlineStr">
        <is>
          <t>giong</t>
        </is>
      </c>
      <c r="DD232" t="n">
        <v>5</v>
      </c>
      <c r="DE232" t="n">
        <v>1500</v>
      </c>
      <c r="DO232" t="n">
        <v>19</v>
      </c>
      <c r="DT232" t="inlineStr">
        <is>
          <t>p26_icarus_ic_coil</t>
        </is>
      </c>
      <c r="EQ232" t="inlineStr">
        <is>
          <t>heavy coilgun (64 MJ)</t>
        </is>
      </c>
      <c r="GB232" t="inlineStr">
        <is>
          <t>rail_heavy_coilgun</t>
        </is>
      </c>
      <c r="GD232" t="inlineStr">
        <is>
          <t>Assets/MachineBrigade/Resources/Data/balance.json: weapons[211]</t>
        </is>
      </c>
      <c r="GE232" t="inlineStr">
        <is>
          <t>{"id":"p26_icarus_main_ic_coil","groundMinReach":19,"inherits":"p26_icarus_ic_coil","weaponFamilyId":"rail_heavy_coilgun","real":"heavy coilgun (64 MJ)","cooldown":5,"damage":1500}</t>
        </is>
      </c>
    </row>
    <row r="233">
      <c r="A233" t="inlineStr">
        <is>
          <t>p26_icarus_sec_orbital_laser</t>
        </is>
      </c>
      <c r="B233" t="inlineStr">
        <is>
          <t>laser (150 kW)</t>
        </is>
      </c>
      <c r="C233" t="inlineStr">
        <is>
          <t>laser_laser</t>
        </is>
      </c>
      <c r="D233" t="inlineStr"/>
      <c r="E233" t="inlineStr"/>
      <c r="F233" t="inlineStr">
        <is>
          <t>laser</t>
        </is>
      </c>
      <c r="G233" t="inlineStr"/>
      <c r="H233" t="inlineStr"/>
      <c r="I233" t="n">
        <v>150</v>
      </c>
      <c r="J233" t="inlineStr"/>
      <c r="K233" t="inlineStr">
        <is>
          <t>Energy</t>
        </is>
      </c>
      <c r="L233" t="n">
        <v>4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0.1</v>
      </c>
      <c r="S233" t="n">
        <v>0</v>
      </c>
      <c r="T233" t="n">
        <v>0</v>
      </c>
      <c r="U233" t="n">
        <v>0</v>
      </c>
      <c r="V233" t="n">
        <v>0</v>
      </c>
      <c r="W233" t="n">
        <v>40</v>
      </c>
      <c r="X233" t="n">
        <v>1.5</v>
      </c>
      <c r="Y233" t="n">
        <v>0</v>
      </c>
      <c r="Z233" t="n">
        <v>3000</v>
      </c>
      <c r="AA233" t="n">
        <v>36</v>
      </c>
      <c r="AB233" t="n">
        <v>0</v>
      </c>
      <c r="AC233" t="inlineStr">
        <is>
          <t>Ground</t>
        </is>
      </c>
      <c r="AD233" t="inlineStr"/>
      <c r="AE233" t="n">
        <v>0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1</v>
      </c>
      <c r="AM233" t="b">
        <v>0</v>
      </c>
      <c r="AN233" t="n">
        <v>150</v>
      </c>
      <c r="AO233" t="n">
        <v>0</v>
      </c>
      <c r="AP233" t="inlineStr">
        <is>
          <t>T1</t>
        </is>
      </c>
      <c r="AQ233" t="inlineStr">
        <is>
          <t>orbital_laser</t>
        </is>
      </c>
      <c r="AR233" t="inlineStr"/>
      <c r="AS233" t="inlineStr">
        <is>
          <t>boss</t>
        </is>
      </c>
      <c r="AT233" t="inlineStr">
        <is>
          <t>hyperion;icarus_mk0;silver_bug</t>
        </is>
      </c>
      <c r="AU233" t="n">
        <v>3</v>
      </c>
      <c r="AV233" t="inlineStr">
        <is>
          <t>hyperion:0;icarus_mk0:0;silver_bug:0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0.012</v>
      </c>
      <c r="BB233" t="inlineStr">
        <is>
          <t>NEED_SOURCE</t>
        </is>
      </c>
      <c r="BC233" t="inlineStr">
        <is>
          <t>NEED_SOURCE</t>
        </is>
      </c>
      <c r="BE233" t="inlineStr">
        <is>
          <t>NEED_SOURCE</t>
        </is>
      </c>
      <c r="BF233" t="inlineStr">
        <is>
          <t>a laser: no real rate</t>
        </is>
      </c>
      <c r="BG233" t="inlineStr">
        <is>
          <t>giong</t>
        </is>
      </c>
      <c r="DE233" t="n">
        <v>40</v>
      </c>
      <c r="DO233" t="n">
        <v>11</v>
      </c>
      <c r="DT233" t="inlineStr">
        <is>
          <t>orbital_laser</t>
        </is>
      </c>
      <c r="GD233" t="inlineStr">
        <is>
          <t>Assets/MachineBrigade/Resources/Data/balance.json: weapons[212]</t>
        </is>
      </c>
      <c r="GE233" t="inlineStr">
        <is>
          <t>{"id":"p26_icarus_sec_orbital_laser","groundMinReach":11,"inherits":"orbital_laser","damage":40}</t>
        </is>
      </c>
    </row>
    <row r="234">
      <c r="A234" t="inlineStr">
        <is>
          <t>p26_ixion_125</t>
        </is>
      </c>
      <c r="B234" t="inlineStr">
        <is>
          <t>2A46 125 mm (turret, AP)</t>
        </is>
      </c>
      <c r="C234" t="inlineStr">
        <is>
          <t>cal_125_ap</t>
        </is>
      </c>
      <c r="D234" t="inlineStr"/>
      <c r="E234" t="inlineStr"/>
      <c r="F234" t="inlineStr">
        <is>
          <t>tank_gun</t>
        </is>
      </c>
      <c r="G234" t="n">
        <v>125</v>
      </c>
      <c r="H234" t="inlineStr"/>
      <c r="I234" t="inlineStr"/>
      <c r="J234" t="inlineStr"/>
      <c r="K234" t="inlineStr">
        <is>
          <t>Kinetic</t>
        </is>
      </c>
      <c r="L234" t="n">
        <v>4</v>
      </c>
      <c r="M234" t="inlineStr">
        <is>
          <t>Shell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7.5</v>
      </c>
      <c r="S234" t="n">
        <v>0</v>
      </c>
      <c r="T234" t="n">
        <v>0</v>
      </c>
      <c r="U234" t="n">
        <v>0</v>
      </c>
      <c r="V234" t="n">
        <v>0</v>
      </c>
      <c r="W234" t="n">
        <v>400</v>
      </c>
      <c r="X234" t="n">
        <v>0</v>
      </c>
      <c r="Y234" t="n">
        <v>0</v>
      </c>
      <c r="Z234" t="n">
        <v>170</v>
      </c>
      <c r="AA234" t="n">
        <v>38</v>
      </c>
      <c r="AB234" t="n">
        <v>0</v>
      </c>
      <c r="AC234" t="inlineStr">
        <is>
          <t>Ground</t>
        </is>
      </c>
      <c r="AD234" t="inlineStr"/>
      <c r="AE234" t="n">
        <v>0.6</v>
      </c>
      <c r="AF234" t="inlineStr">
        <is>
          <t>Medium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125</v>
      </c>
      <c r="AO234" t="n">
        <v>0</v>
      </c>
      <c r="AP234" t="inlineStr">
        <is>
          <t>T3</t>
        </is>
      </c>
      <c r="AQ234" t="inlineStr">
        <is>
          <t>gun_120mm</t>
        </is>
      </c>
      <c r="AR234" t="inlineStr">
        <is>
          <t>p26_ixion_125_he</t>
        </is>
      </c>
      <c r="AS234" t="inlineStr">
        <is>
          <t>boss</t>
        </is>
      </c>
      <c r="AT234" t="inlineStr">
        <is>
          <t>ixion</t>
        </is>
      </c>
      <c r="AU234" t="n">
        <v>1</v>
      </c>
      <c r="AV234" t="inlineStr">
        <is>
          <t>ixion:0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0.2235294117647059</v>
      </c>
      <c r="BB234" t="n">
        <v>8</v>
      </c>
      <c r="BC234" t="n">
        <v>7</v>
      </c>
      <c r="BD234" t="inlineStr">
        <is>
          <t>gun</t>
        </is>
      </c>
      <c r="BE234" t="inlineStr">
        <is>
          <t>Wikipedia '2A46': 7-8 rpm with the autoloader</t>
        </is>
      </c>
      <c r="BF234" t="inlineStr">
        <is>
          <t>real 2A46 with its autoloader, 8 rpm (7.5 s); wave 1's 5.56 s is too fast after the 30 % rule</t>
        </is>
      </c>
      <c r="BG234" t="inlineStr">
        <is>
          <t>doi</t>
        </is>
      </c>
      <c r="BH234" t="n">
        <v>780</v>
      </c>
      <c r="BI234" t="n">
        <v>400</v>
      </c>
      <c r="BJ234" t="n">
        <v>2</v>
      </c>
      <c r="BK234" t="n">
        <v>7.5</v>
      </c>
      <c r="CT234" t="n">
        <v>125</v>
      </c>
      <c r="DD234" t="n">
        <v>7.5</v>
      </c>
      <c r="DE234" t="n">
        <v>400</v>
      </c>
      <c r="DO234" t="n">
        <v>30</v>
      </c>
      <c r="DT234" t="inlineStr">
        <is>
          <t>gun_120mm</t>
        </is>
      </c>
      <c r="EB234" t="n">
        <v>4</v>
      </c>
      <c r="EP234" t="n">
        <v>38</v>
      </c>
      <c r="EQ234" t="inlineStr">
        <is>
          <t>2A46 125 mm (turret, AP)</t>
        </is>
      </c>
      <c r="EX234" t="n">
        <v>125</v>
      </c>
      <c r="EY234" t="n">
        <v>0</v>
      </c>
      <c r="GA234" t="inlineStr"/>
      <c r="GB234" t="inlineStr">
        <is>
          <t>cal_125_ap</t>
        </is>
      </c>
      <c r="GD234" t="inlineStr">
        <is>
          <t>Assets/MachineBrigade/Resources/Data/balance.json: weapons[171]</t>
        </is>
      </c>
      <c r="GE234" t="inlineStr">
        <is>
          <t>{"id":"p26_ixion_125","groundMinReach":30,"inherits":"gun_120mm","weaponFamilyId":"cal_125_ap","weaponFamily":"","real":"2A46 125 mm (turret, AP)","size":125,"caliberMm":125,"damage":400,"cooldown":7.5,"pen":4,"splash":0,"range":38}</t>
        </is>
      </c>
    </row>
    <row r="235">
      <c r="A235" t="inlineStr">
        <is>
          <t>p26_ixion_125_he</t>
        </is>
      </c>
      <c r="B235" t="inlineStr">
        <is>
          <t>2A46 125 mm HE-FRAG</t>
        </is>
      </c>
      <c r="C235" t="inlineStr">
        <is>
          <t>cal_125_he</t>
        </is>
      </c>
      <c r="D235" t="inlineStr"/>
      <c r="E235" t="inlineStr"/>
      <c r="F235" t="inlineStr">
        <is>
          <t>tank_gun</t>
        </is>
      </c>
      <c r="G235" t="n">
        <v>125</v>
      </c>
      <c r="H235" t="inlineStr"/>
      <c r="I235" t="inlineStr"/>
      <c r="J235" t="inlineStr"/>
      <c r="K235" t="inlineStr">
        <is>
          <t>HighExplosive</t>
        </is>
      </c>
      <c r="L235" t="n">
        <v>3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7.5</v>
      </c>
      <c r="S235" t="n">
        <v>0</v>
      </c>
      <c r="T235" t="n">
        <v>0</v>
      </c>
      <c r="U235" t="n">
        <v>0</v>
      </c>
      <c r="V235" t="n">
        <v>0</v>
      </c>
      <c r="W235" t="n">
        <v>400.1</v>
      </c>
      <c r="X235" t="n">
        <v>5</v>
      </c>
      <c r="Y235" t="n">
        <v>10</v>
      </c>
      <c r="Z235" t="n">
        <v>170</v>
      </c>
      <c r="AA235" t="n">
        <v>38</v>
      </c>
      <c r="AB235" t="n">
        <v>0</v>
      </c>
      <c r="AC235" t="inlineStr">
        <is>
          <t>Ground</t>
        </is>
      </c>
      <c r="AD235" t="inlineStr"/>
      <c r="AE235" t="n">
        <v>0.6</v>
      </c>
      <c r="AF235" t="inlineStr">
        <is>
          <t>Huge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125</v>
      </c>
      <c r="AO235" t="n">
        <v>0</v>
      </c>
      <c r="AP235" t="inlineStr">
        <is>
          <t>T3</t>
        </is>
      </c>
      <c r="AQ235" t="inlineStr">
        <is>
          <t>p26_ixion_125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0.2235294117647059</v>
      </c>
      <c r="BB235" t="n">
        <v>8</v>
      </c>
      <c r="BC235" t="n">
        <v>7</v>
      </c>
      <c r="BD235" t="inlineStr">
        <is>
          <t>gun</t>
        </is>
      </c>
      <c r="BE235" t="inlineStr">
        <is>
          <t>Wikipedia '2A46': 7-8 rpm with the autoloader</t>
        </is>
      </c>
      <c r="BG235" t="inlineStr">
        <is>
          <t>doi</t>
        </is>
      </c>
      <c r="BH235" t="n">
        <v>780</v>
      </c>
      <c r="BI235" t="n">
        <v>400.1</v>
      </c>
      <c r="BJ235" t="n">
        <v>2</v>
      </c>
      <c r="BK235" t="n">
        <v>7.5</v>
      </c>
      <c r="DE235" t="n">
        <v>400.1</v>
      </c>
      <c r="DF235" t="inlineStr">
        <is>
          <t>HighExplosive</t>
        </is>
      </c>
      <c r="DG235" t="n">
        <v>10</v>
      </c>
      <c r="DM235" t="inlineStr">
        <is>
          <t>cluster</t>
        </is>
      </c>
      <c r="DN235" t="inlineStr">
        <is>
          <t>HeShell</t>
        </is>
      </c>
      <c r="DS235" t="inlineStr">
        <is>
          <t>Huge</t>
        </is>
      </c>
      <c r="DT235" t="inlineStr">
        <is>
          <t>p26_ixion_125</t>
        </is>
      </c>
      <c r="EB235" t="n">
        <v>3</v>
      </c>
      <c r="EE235" t="b">
        <v>0</v>
      </c>
      <c r="EQ235" t="inlineStr">
        <is>
          <t>2A46 125 mm HE-FRAG</t>
        </is>
      </c>
      <c r="ES235" t="inlineStr">
        <is>
          <t>he</t>
        </is>
      </c>
      <c r="EU235" t="inlineStr">
        <is>
          <t>p26_ixion_125</t>
        </is>
      </c>
      <c r="EY235" t="n">
        <v>5</v>
      </c>
      <c r="FW235" t="inlineStr">
        <is>
          <t>Ground</t>
        </is>
      </c>
      <c r="GA235" t="inlineStr"/>
      <c r="GB235" t="inlineStr">
        <is>
          <t>cal_125_he</t>
        </is>
      </c>
      <c r="GD235" t="inlineStr">
        <is>
          <t>Assets/MachineBrigade/Resources/Data/balance.json: secondRounds.rounds[6]</t>
        </is>
      </c>
      <c r="GE235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36">
      <c r="A236" t="inlineStr">
        <is>
          <t>p26_ixion_mg</t>
        </is>
      </c>
      <c r="B236" t="inlineStr">
        <is>
          <t>NSV 12.7 mm</t>
        </is>
      </c>
      <c r="C236" t="inlineStr">
        <is>
          <t>cal_12_7</t>
        </is>
      </c>
      <c r="D236" t="inlineStr"/>
      <c r="E236" t="inlineStr"/>
      <c r="F236" t="inlineStr">
        <is>
          <t>mg</t>
        </is>
      </c>
      <c r="G236" t="n">
        <v>12.7</v>
      </c>
      <c r="H236" t="inlineStr"/>
      <c r="I236" t="inlineStr"/>
      <c r="J236" t="inlineStr"/>
      <c r="K236" t="inlineStr">
        <is>
          <t>Kinetic</t>
        </is>
      </c>
      <c r="L236" t="n">
        <v>1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0.0833</v>
      </c>
      <c r="S236" t="n">
        <v>100</v>
      </c>
      <c r="T236" t="n">
        <v>5</v>
      </c>
      <c r="U236" t="n">
        <v>0</v>
      </c>
      <c r="V236" t="n">
        <v>0</v>
      </c>
      <c r="W236" t="n">
        <v>15</v>
      </c>
      <c r="X236" t="n">
        <v>0</v>
      </c>
      <c r="Y236" t="n">
        <v>0</v>
      </c>
      <c r="Z236" t="n">
        <v>240</v>
      </c>
      <c r="AA236" t="n">
        <v>30</v>
      </c>
      <c r="AB236" t="n">
        <v>0</v>
      </c>
      <c r="AC236" t="inlineStr">
        <is>
          <t>All</t>
        </is>
      </c>
      <c r="AD236" t="inlineStr"/>
      <c r="AE236" t="n">
        <v>1.3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12.7</v>
      </c>
      <c r="AO236" t="n">
        <v>0</v>
      </c>
      <c r="AP236" t="inlineStr">
        <is>
          <t>T0</t>
        </is>
      </c>
      <c r="AQ236" t="inlineStr">
        <is>
          <t>boss_hmg</t>
        </is>
      </c>
      <c r="AR236" t="inlineStr"/>
      <c r="AS236" t="inlineStr">
        <is>
          <t>boss</t>
        </is>
      </c>
      <c r="AT236" t="inlineStr">
        <is>
          <t>ixion</t>
        </is>
      </c>
      <c r="AU236" t="n">
        <v>1</v>
      </c>
      <c r="AV236" t="inlineStr">
        <is>
          <t>ixion:1;ixion:2</t>
        </is>
      </c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0.125</v>
      </c>
      <c r="BB236" t="n">
        <v>800</v>
      </c>
      <c r="BC236" t="n">
        <v>100</v>
      </c>
      <c r="BD236" t="inlineStr">
        <is>
          <t>mg</t>
        </is>
      </c>
      <c r="BE236" t="inlineStr">
        <is>
          <t>Wikipedia 'NSV machine gun': 700-800 cyclic, 100 practical</t>
        </is>
      </c>
      <c r="BF236" t="inlineStr">
        <is>
          <t>wave 1 boss_hmg: 100 rounds at 720 rpm, changed in 5 s (NSV 700-800 rpm)</t>
        </is>
      </c>
      <c r="BG236" t="inlineStr">
        <is>
          <t>doi</t>
        </is>
      </c>
      <c r="CH236" t="n">
        <v>5.0833</v>
      </c>
      <c r="CI236" t="n">
        <v>5</v>
      </c>
      <c r="CX236" t="n">
        <v>5</v>
      </c>
      <c r="DE236" t="n">
        <v>15</v>
      </c>
      <c r="DT236" t="inlineStr">
        <is>
          <t>boss_hmg</t>
        </is>
      </c>
      <c r="GA236" t="inlineStr"/>
      <c r="GD236" t="inlineStr">
        <is>
          <t>Assets/MachineBrigade/Resources/Data/balance.json: weapons[167]</t>
        </is>
      </c>
      <c r="GE236" t="inlineStr">
        <is>
          <t>{"id":"p26_ixion_mg","inherits":"boss_hmg","clipReload":5,"weaponFamily":"","damage":15}</t>
        </is>
      </c>
    </row>
    <row r="237">
      <c r="A237" t="inlineStr">
        <is>
          <t>p26_jotunn_close_boss_flak</t>
        </is>
      </c>
      <c r="B237" t="inlineStr">
        <is>
          <t>Oerlikon 35 mm (twin)</t>
        </is>
      </c>
      <c r="C237" t="inlineStr">
        <is>
          <t>cal_35</t>
        </is>
      </c>
      <c r="D237" t="inlineStr"/>
      <c r="E237" t="inlineStr"/>
      <c r="F237" t="inlineStr">
        <is>
          <t>autocannon</t>
        </is>
      </c>
      <c r="G237" t="n">
        <v>35</v>
      </c>
      <c r="H237" t="inlineStr"/>
      <c r="I237" t="inlineStr"/>
      <c r="J237" t="inlineStr"/>
      <c r="K237" t="inlineStr">
        <is>
          <t>Fragmentation</t>
        </is>
      </c>
      <c r="L237" t="n">
        <v>2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0.1</v>
      </c>
      <c r="R237" t="n">
        <v>0.05</v>
      </c>
      <c r="S237" t="n">
        <v>41</v>
      </c>
      <c r="T237" t="n">
        <v>3.38</v>
      </c>
      <c r="U237" t="n">
        <v>0</v>
      </c>
      <c r="V237" t="n">
        <v>0</v>
      </c>
      <c r="W237" t="n">
        <v>25</v>
      </c>
      <c r="X237" t="n">
        <v>2.5</v>
      </c>
      <c r="Y237" t="n">
        <v>0</v>
      </c>
      <c r="Z237" t="n">
        <v>260</v>
      </c>
      <c r="AA237" t="n">
        <v>40</v>
      </c>
      <c r="AB237" t="n">
        <v>0</v>
      </c>
      <c r="AC237" t="inlineStr">
        <is>
          <t>All</t>
        </is>
      </c>
      <c r="AD237" t="inlineStr"/>
      <c r="AE237" t="n">
        <v>1.5</v>
      </c>
      <c r="AF237" t="inlineStr">
        <is>
          <t>Small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35</v>
      </c>
      <c r="AO237" t="n">
        <v>0</v>
      </c>
      <c r="AP237" t="inlineStr">
        <is>
          <t>T1</t>
        </is>
      </c>
      <c r="AQ237" t="inlineStr">
        <is>
          <t>boss_flak</t>
        </is>
      </c>
      <c r="AR237" t="inlineStr"/>
      <c r="AS237" t="inlineStr">
        <is>
          <t>boss</t>
        </is>
      </c>
      <c r="AT237" t="inlineStr">
        <is>
          <t>fenrir;mobile_fortress</t>
        </is>
      </c>
      <c r="AU237" t="n">
        <v>2</v>
      </c>
      <c r="AV237" t="inlineStr">
        <is>
          <t>fenrir:2;mobile_fortress:3;mobile_fortress:4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0.1538461538461539</v>
      </c>
      <c r="BB237" t="n">
        <v>550</v>
      </c>
      <c r="BC237" t="n">
        <v>300</v>
      </c>
      <c r="BD237" t="inlineStr">
        <is>
          <t>aa</t>
        </is>
      </c>
      <c r="BE237" t="inlineStr">
        <is>
          <t>Wikipedia 'Oerlikon GDF': 550 rpm a gun (the twin: 1,100)</t>
        </is>
      </c>
      <c r="BF237" t="inlineStr">
        <is>
          <t>wave 1 boss_flak: 41 rounds at 1,200 rpm, changed in 3.38 s (twin Oerlikon GDF 2 x 550 rpm)</t>
        </is>
      </c>
      <c r="BG237" t="inlineStr">
        <is>
          <t>doi</t>
        </is>
      </c>
      <c r="BH237" t="n">
        <v>18</v>
      </c>
      <c r="BI237" t="n">
        <v>25</v>
      </c>
      <c r="CX237" t="n">
        <v>3.38</v>
      </c>
      <c r="DE237" t="n">
        <v>25</v>
      </c>
      <c r="DT237" t="inlineStr">
        <is>
          <t>boss_flak</t>
        </is>
      </c>
      <c r="GA237" t="inlineStr"/>
      <c r="GD237" t="inlineStr">
        <is>
          <t>Assets/MachineBrigade/Resources/Data/balance.json: weapons[164]</t>
        </is>
      </c>
      <c r="GE237" t="inlineStr">
        <is>
          <t>{"id":"p26_jotunn_close_boss_flak","inherits":"boss_flak","clipReload":3.38,"weaponFamily":"","damage":25}</t>
        </is>
      </c>
    </row>
    <row r="238">
      <c r="A238" t="inlineStr">
        <is>
          <t>p26_jotunn_direct_jo125</t>
        </is>
      </c>
      <c r="B238" t="inlineStr">
        <is>
          <t>2A46 125 mm</t>
        </is>
      </c>
      <c r="C238" t="inlineStr">
        <is>
          <t>cal_125_ap</t>
        </is>
      </c>
      <c r="D238" t="inlineStr"/>
      <c r="E238" t="inlineStr"/>
      <c r="F238" t="inlineStr">
        <is>
          <t>tank_gun</t>
        </is>
      </c>
      <c r="G238" t="n">
        <v>125</v>
      </c>
      <c r="H238" t="inlineStr"/>
      <c r="I238" t="inlineStr"/>
      <c r="J238" t="inlineStr"/>
      <c r="K238" t="inlineStr">
        <is>
          <t>Kinetic</t>
        </is>
      </c>
      <c r="L238" t="n">
        <v>5</v>
      </c>
      <c r="M238" t="inlineStr">
        <is>
          <t>Shell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7.5</v>
      </c>
      <c r="S238" t="n">
        <v>0</v>
      </c>
      <c r="T238" t="n">
        <v>0</v>
      </c>
      <c r="U238" t="n">
        <v>0</v>
      </c>
      <c r="V238" t="n">
        <v>0</v>
      </c>
      <c r="W238" t="n">
        <v>400</v>
      </c>
      <c r="X238" t="n">
        <v>0</v>
      </c>
      <c r="Y238" t="n">
        <v>0</v>
      </c>
      <c r="Z238" t="n">
        <v>170</v>
      </c>
      <c r="AA238" t="n">
        <v>38</v>
      </c>
      <c r="AB238" t="n">
        <v>0</v>
      </c>
      <c r="AC238" t="inlineStr">
        <is>
          <t>Ground</t>
        </is>
      </c>
      <c r="AD238" t="inlineStr"/>
      <c r="AE238" t="n">
        <v>0.6</v>
      </c>
      <c r="AF238" t="inlineStr">
        <is>
          <t>Medium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125</v>
      </c>
      <c r="AO238" t="n">
        <v>0</v>
      </c>
      <c r="AP238" t="inlineStr">
        <is>
          <t>T3</t>
        </is>
      </c>
      <c r="AQ238" t="inlineStr">
        <is>
          <t>p26_jotunn_jo125</t>
        </is>
      </c>
      <c r="AR238" t="inlineStr"/>
      <c r="AS238" t="inlineStr">
        <is>
          <t>boss</t>
        </is>
      </c>
      <c r="AT238" t="inlineStr">
        <is>
          <t>mobile_fortress</t>
        </is>
      </c>
      <c r="AU238" t="n">
        <v>1</v>
      </c>
      <c r="AV238" t="inlineStr">
        <is>
          <t>mobile_fortress:5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0.2235294117647059</v>
      </c>
      <c r="BB238" t="n">
        <v>8</v>
      </c>
      <c r="BC238" t="n">
        <v>7</v>
      </c>
      <c r="BD238" t="inlineStr">
        <is>
          <t>gun</t>
        </is>
      </c>
      <c r="BE238" t="inlineStr">
        <is>
          <t>Wikipedia '2A46': 7-8 rpm with the autoloader</t>
        </is>
      </c>
      <c r="BF238" t="inlineStr">
        <is>
          <t>real 2A46 with its autoloader, 8 rpm (7.5 s); wave 1's 5.56 s is too fast after the 30 % rule</t>
        </is>
      </c>
      <c r="BG238" t="inlineStr">
        <is>
          <t>doi</t>
        </is>
      </c>
      <c r="BH238" t="n">
        <v>290</v>
      </c>
      <c r="BI238" t="n">
        <v>400</v>
      </c>
      <c r="BJ238" t="n">
        <v>2.5</v>
      </c>
      <c r="BK238" t="n">
        <v>7.5</v>
      </c>
      <c r="DD238" t="n">
        <v>7.5</v>
      </c>
      <c r="DE238" t="n">
        <v>400</v>
      </c>
      <c r="DO238" t="n">
        <v>30</v>
      </c>
      <c r="DT238" t="inlineStr">
        <is>
          <t>p26_jotunn_jo125</t>
        </is>
      </c>
      <c r="GD238" t="inlineStr">
        <is>
          <t>Assets/MachineBrigade/Resources/Data/balance.json: weapons[163]</t>
        </is>
      </c>
      <c r="GE238" t="inlineStr">
        <is>
          <t>{"id":"p26_jotunn_direct_jo125","groundMinReach":30,"inherits":"p26_jotunn_jo125","cooldown":7.5,"damage":400}</t>
        </is>
      </c>
    </row>
    <row r="239">
      <c r="A239" t="inlineStr">
        <is>
          <t>p26_jotunn_jo125</t>
        </is>
      </c>
      <c r="B239" t="inlineStr">
        <is>
          <t>2A46 125 mm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2</v>
      </c>
      <c r="S239" t="n">
        <v>0</v>
      </c>
      <c r="T239" t="n">
        <v>0</v>
      </c>
      <c r="U239" t="n">
        <v>0</v>
      </c>
      <c r="V239" t="n">
        <v>0</v>
      </c>
      <c r="W239" t="n">
        <v>280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/>
      <c r="AS239" t="inlineStr"/>
      <c r="AT239" t="inlineStr"/>
      <c r="AU239" t="n">
        <v>0</v>
      </c>
      <c r="AV239" t="inlineStr"/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G239" t="inlineStr">
        <is>
          <t>giong</t>
        </is>
      </c>
      <c r="CT239" t="n">
        <v>125</v>
      </c>
      <c r="DD239" t="n">
        <v>2</v>
      </c>
      <c r="DE239" t="n">
        <v>280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weapons[161]</t>
        </is>
      </c>
      <c r="GE239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0">
      <c r="A240" t="inlineStr">
        <is>
          <t>p26_jotunn_jo203</t>
        </is>
      </c>
      <c r="B240" t="inlineStr">
        <is>
          <t>2A44 203 mm</t>
        </is>
      </c>
      <c r="C240" t="inlineStr">
        <is>
          <t>cal_203</t>
        </is>
      </c>
      <c r="D240" t="inlineStr"/>
      <c r="E240" t="inlineStr"/>
      <c r="F240" t="inlineStr">
        <is>
          <t>howitzer</t>
        </is>
      </c>
      <c r="G240" t="n">
        <v>203</v>
      </c>
      <c r="H240" t="inlineStr"/>
      <c r="I240" t="inlineStr"/>
      <c r="J240" t="inlineStr"/>
      <c r="K240" t="inlineStr">
        <is>
          <t>HighExplosive</t>
        </is>
      </c>
      <c r="L240" t="n">
        <v>4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24</v>
      </c>
      <c r="S240" t="n">
        <v>0</v>
      </c>
      <c r="T240" t="n">
        <v>0</v>
      </c>
      <c r="U240" t="n">
        <v>0</v>
      </c>
      <c r="V240" t="n">
        <v>0</v>
      </c>
      <c r="W240" t="n">
        <v>900</v>
      </c>
      <c r="X240" t="n">
        <v>8.5</v>
      </c>
      <c r="Y240" t="n">
        <v>17</v>
      </c>
      <c r="Z240" t="n">
        <v>100</v>
      </c>
      <c r="AA240" t="n">
        <v>60</v>
      </c>
      <c r="AB240" t="n">
        <v>0</v>
      </c>
      <c r="AC240" t="inlineStr">
        <is>
          <t>Ground</t>
        </is>
      </c>
      <c r="AD240" t="inlineStr"/>
      <c r="AE240" t="n">
        <v>3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203</v>
      </c>
      <c r="AO240" t="n">
        <v>0</v>
      </c>
      <c r="AP240" t="inlineStr">
        <is>
          <t>T4</t>
        </is>
      </c>
      <c r="AQ240" t="inlineStr">
        <is>
          <t>boss_howitzer</t>
        </is>
      </c>
      <c r="AR240" t="inlineStr"/>
      <c r="AS240" t="inlineStr">
        <is>
          <t>boss</t>
        </is>
      </c>
      <c r="AT240" t="inlineStr">
        <is>
          <t>mobile_fortress</t>
        </is>
      </c>
      <c r="AU240" t="n">
        <v>1</v>
      </c>
      <c r="AV240" t="inlineStr">
        <is>
          <t>mobile_fortress:0;mobile_fortress:7</t>
        </is>
      </c>
      <c r="AW240" t="n">
        <v>2.5</v>
      </c>
      <c r="AX240" t="b">
        <v>1</v>
      </c>
      <c r="AY240" t="inlineStr"/>
      <c r="AZ240">
        <f>IF(AND($AX$240,$AW$240&gt;$AA$240/$Z$240),$AW$240,$AA$240/$Z$240)</f>
        <v/>
      </c>
      <c r="BA240" t="n">
        <v>2.5</v>
      </c>
      <c r="BB240" t="n">
        <v>2.5</v>
      </c>
      <c r="BC240" t="n">
        <v>1</v>
      </c>
      <c r="BD240" t="inlineStr">
        <is>
          <t>gun</t>
        </is>
      </c>
      <c r="BE240" t="inlineStr">
        <is>
          <t>Wikipedia '2S7 Pion': 1.5 rpm (2S7M Malka 2.5)</t>
        </is>
      </c>
      <c r="BF240" t="inlineStr">
        <is>
          <t>real 2S7M Malka 2.5 rpm (24 s); wave 1's 9.44 s is too fast</t>
        </is>
      </c>
      <c r="BG240" t="inlineStr">
        <is>
          <t>doi</t>
        </is>
      </c>
      <c r="BH240" t="n">
        <v>790</v>
      </c>
      <c r="BI240" t="n">
        <v>900</v>
      </c>
      <c r="BJ240" t="n">
        <v>5</v>
      </c>
      <c r="BK240" t="n">
        <v>24</v>
      </c>
      <c r="BN240" t="n">
        <v>10</v>
      </c>
      <c r="BO240" t="n">
        <v>8.5</v>
      </c>
      <c r="BP240" t="n">
        <v>20</v>
      </c>
      <c r="BQ240" t="n">
        <v>17</v>
      </c>
      <c r="BR240" t="n">
        <v>60</v>
      </c>
      <c r="BS240" t="n">
        <v>100</v>
      </c>
      <c r="DD240" t="n">
        <v>24</v>
      </c>
      <c r="DE240" t="n">
        <v>900</v>
      </c>
      <c r="DG240" t="n">
        <v>17</v>
      </c>
      <c r="DO240" t="n">
        <v>48</v>
      </c>
      <c r="DT240" t="inlineStr">
        <is>
          <t>boss_howitzer</t>
        </is>
      </c>
      <c r="EQ240" t="inlineStr">
        <is>
          <t>2A44 203 mm</t>
        </is>
      </c>
      <c r="EY240" t="n">
        <v>8.5</v>
      </c>
      <c r="GD240" t="inlineStr">
        <is>
          <t>Assets/MachineBrigade/Resources/Data/balance.json: weapons[159]</t>
        </is>
      </c>
      <c r="GE240" t="inlineStr">
        <is>
          <t>{"id":"p26_jotunn_jo203","groundMinReach":48,"inherits":"boss_howitzer","real":"2A44 203 mm","damage":900,"cooldown":24,"splash":8.5,"edge":17}</t>
        </is>
      </c>
    </row>
    <row r="241">
      <c r="A241" t="inlineStr">
        <is>
          <t>p26_jotunn_jo_rockets</t>
        </is>
      </c>
      <c r="B241" t="inlineStr">
        <is>
          <t>BM-30 Smerch 300 mm (pod)</t>
        </is>
      </c>
      <c r="C241" t="inlineStr">
        <is>
          <t>rkt_smerch_300</t>
        </is>
      </c>
      <c r="D241" t="inlineStr"/>
      <c r="E241" t="inlineStr"/>
      <c r="F241" t="inlineStr">
        <is>
          <t>rocket</t>
        </is>
      </c>
      <c r="G241" t="n">
        <v>300</v>
      </c>
      <c r="H241" t="inlineStr"/>
      <c r="I241" t="inlineStr"/>
      <c r="J241" t="inlineStr"/>
      <c r="K241" t="inlineStr">
        <is>
          <t>HighExplosive</t>
        </is>
      </c>
      <c r="L241" t="n">
        <v>2</v>
      </c>
      <c r="M241" t="inlineStr">
        <is>
          <t>Rocket</t>
        </is>
      </c>
      <c r="N241" t="n">
        <v>1</v>
      </c>
      <c r="O241" t="inlineStr">
        <is>
          <t>RIPPLE</t>
        </is>
      </c>
      <c r="P241" t="n">
        <v>8</v>
      </c>
      <c r="Q241" t="n">
        <v>0.3</v>
      </c>
      <c r="R241" t="n">
        <v>7.9</v>
      </c>
      <c r="S241" t="n">
        <v>0</v>
      </c>
      <c r="T241" t="n">
        <v>0</v>
      </c>
      <c r="U241" t="n">
        <v>0</v>
      </c>
      <c r="V241" t="n">
        <v>0</v>
      </c>
      <c r="W241" t="n">
        <v>110</v>
      </c>
      <c r="X241" t="n">
        <v>5</v>
      </c>
      <c r="Y241" t="n">
        <v>10</v>
      </c>
      <c r="Z241" t="n">
        <v>120</v>
      </c>
      <c r="AA241" t="n">
        <v>45</v>
      </c>
      <c r="AB241" t="n">
        <v>0</v>
      </c>
      <c r="AC241" t="inlineStr">
        <is>
          <t>Ground</t>
        </is>
      </c>
      <c r="AD241" t="inlineStr"/>
      <c r="AE241" t="n">
        <v>5</v>
      </c>
      <c r="AF241" t="inlineStr">
        <is>
          <t>Medium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300</v>
      </c>
      <c r="AO241" t="n">
        <v>0</v>
      </c>
      <c r="AP241" t="inlineStr">
        <is>
          <t>T4</t>
        </is>
      </c>
      <c r="AQ241" t="inlineStr">
        <is>
          <t>boss_rockets</t>
        </is>
      </c>
      <c r="AR241" t="inlineStr"/>
      <c r="AS241" t="inlineStr"/>
      <c r="AT241" t="inlineStr"/>
      <c r="AU241" t="n">
        <v>0</v>
      </c>
      <c r="AV241" t="inlineStr"/>
      <c r="AW241" t="n">
        <v>2.5</v>
      </c>
      <c r="AX241" t="b">
        <v>1</v>
      </c>
      <c r="AY241" t="inlineStr"/>
      <c r="AZ241">
        <f>IF(AND($AX$241,$AW$241&gt;$AA$241/$Z$241),$AW$241,$AA$241/$Z$241)</f>
        <v/>
      </c>
      <c r="BA241" t="n">
        <v>2.5</v>
      </c>
      <c r="BB241" t="n">
        <v>19</v>
      </c>
      <c r="BC241" t="inlineStr"/>
      <c r="BD241" t="inlineStr">
        <is>
          <t>rocket</t>
        </is>
      </c>
      <c r="BE241" t="inlineStr">
        <is>
          <t>Wikipedia 'BM-30 Smerch': 12 rockets in 38 s</t>
        </is>
      </c>
      <c r="BG241" t="inlineStr">
        <is>
          <t>doi</t>
        </is>
      </c>
      <c r="BR241" t="n">
        <v>45</v>
      </c>
      <c r="BS241" t="n">
        <v>120</v>
      </c>
      <c r="CR241" t="n">
        <v>8</v>
      </c>
      <c r="CS241" t="n">
        <v>0.3</v>
      </c>
      <c r="CT241" t="n">
        <v>300</v>
      </c>
      <c r="DD241" t="n">
        <v>7.9</v>
      </c>
      <c r="DE241" t="n">
        <v>110</v>
      </c>
      <c r="DF241" t="inlineStr">
        <is>
          <t>HighExplosive</t>
        </is>
      </c>
      <c r="DG241" t="n">
        <v>10</v>
      </c>
      <c r="DL241" t="inlineStr">
        <is>
          <t>Ballistic</t>
        </is>
      </c>
      <c r="DO241" t="n">
        <v>0</v>
      </c>
      <c r="DT241" t="inlineStr">
        <is>
          <t>boss_rockets</t>
        </is>
      </c>
      <c r="EK241" t="n">
        <v>120</v>
      </c>
      <c r="EQ241" t="inlineStr">
        <is>
          <t>BM-30 Smerch 300 mm (pod)</t>
        </is>
      </c>
      <c r="EX241" t="n">
        <v>300</v>
      </c>
      <c r="EY241" t="n">
        <v>5</v>
      </c>
      <c r="GB241" t="inlineStr">
        <is>
          <t>rkt_smerch_300</t>
        </is>
      </c>
      <c r="GD241" t="inlineStr">
        <is>
          <t>Assets/MachineBrigade/Resources/Data/balance.json: weapons[160]</t>
        </is>
      </c>
      <c r="GE241" t="inlineStr">
        <is>
          <t>{"id":"p26_jotunn_jo_rockets","groundMinReach":0,"flightProfile":"Ballistic","inherits":"boss_rockets","weaponFamilyId":"rkt_smerch_300","damageType":"HighExplosive","projectileSpeed":120,"real":"BM-30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2">
      <c r="A242" t="inlineStr">
        <is>
          <t>p26_jotunn_sec_jo_rockets</t>
        </is>
      </c>
      <c r="B242" t="inlineStr">
        <is>
          <t>BM-30 Smerch 300 mm (pod)</t>
        </is>
      </c>
      <c r="C242" t="inlineStr">
        <is>
          <t>rkt_smerch_300</t>
        </is>
      </c>
      <c r="D242" t="inlineStr"/>
      <c r="E242" t="inlineStr"/>
      <c r="F242" t="inlineStr">
        <is>
          <t>rocket</t>
        </is>
      </c>
      <c r="G242" t="n">
        <v>300</v>
      </c>
      <c r="H242" t="inlineStr"/>
      <c r="I242" t="inlineStr"/>
      <c r="J242" t="inlineStr"/>
      <c r="K242" t="inlineStr">
        <is>
          <t>HighExplosive</t>
        </is>
      </c>
      <c r="L242" t="n">
        <v>2</v>
      </c>
      <c r="M242" t="inlineStr">
        <is>
          <t>Rocket</t>
        </is>
      </c>
      <c r="N242" t="n">
        <v>1</v>
      </c>
      <c r="O242" t="inlineStr">
        <is>
          <t>RIPPLE</t>
        </is>
      </c>
      <c r="P242" t="n">
        <v>8</v>
      </c>
      <c r="Q242" t="n">
        <v>3.17</v>
      </c>
      <c r="R242" t="n">
        <v>15.76</v>
      </c>
      <c r="S242" t="n">
        <v>0</v>
      </c>
      <c r="T242" t="n">
        <v>0</v>
      </c>
      <c r="U242" t="n">
        <v>0</v>
      </c>
      <c r="V242" t="n">
        <v>0</v>
      </c>
      <c r="W242" t="n">
        <v>450</v>
      </c>
      <c r="X242" t="n">
        <v>8</v>
      </c>
      <c r="Y242" t="n">
        <v>16</v>
      </c>
      <c r="Z242" t="n">
        <v>120</v>
      </c>
      <c r="AA242" t="n">
        <v>45</v>
      </c>
      <c r="AB242" t="n">
        <v>0</v>
      </c>
      <c r="AC242" t="inlineStr">
        <is>
          <t>Ground</t>
        </is>
      </c>
      <c r="AD242" t="inlineStr"/>
      <c r="AE242" t="n">
        <v>5</v>
      </c>
      <c r="AF242" t="inlineStr">
        <is>
          <t>Medium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300</v>
      </c>
      <c r="AO242" t="n">
        <v>0</v>
      </c>
      <c r="AP242" t="inlineStr">
        <is>
          <t>T4</t>
        </is>
      </c>
      <c r="AQ242" t="inlineStr">
        <is>
          <t>p26_jotunn_jo_rockets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fenrir:0;fenrir:1;mobile_fortress:1;mobile_fortress:2</t>
        </is>
      </c>
      <c r="AW242" t="n">
        <v>2.5</v>
      </c>
      <c r="AX242" t="b">
        <v>1</v>
      </c>
      <c r="AY242" t="inlineStr"/>
      <c r="AZ242">
        <f>IF(AND($AX$242,$AW$242&gt;$AA$242/$Z$242),$AW$242,$AA$242/$Z$242)</f>
        <v/>
      </c>
      <c r="BA242" t="n">
        <v>2.5</v>
      </c>
      <c r="BB242" t="n">
        <v>19</v>
      </c>
      <c r="BC242" t="inlineStr"/>
      <c r="BD242" t="inlineStr">
        <is>
          <t>rocket</t>
        </is>
      </c>
      <c r="BE242" t="inlineStr">
        <is>
          <t>Wikipedia 'BM-30 Smerch': 12 rockets in 38 s</t>
        </is>
      </c>
      <c r="BF242" t="inlineStr">
        <is>
          <t>real BM-30 Smerch 12 rockets in 38 s (3.17 s apart), wave 1 rockets_300mm's 15.76 s after the ripple</t>
        </is>
      </c>
      <c r="BG242" t="inlineStr">
        <is>
          <t>doi</t>
        </is>
      </c>
      <c r="BH242" t="n">
        <v>130</v>
      </c>
      <c r="BI242" t="n">
        <v>450</v>
      </c>
      <c r="BJ242" t="n">
        <v>4</v>
      </c>
      <c r="BK242" t="n">
        <v>15.76</v>
      </c>
      <c r="BN242" t="n">
        <v>5</v>
      </c>
      <c r="BO242" t="n">
        <v>8</v>
      </c>
      <c r="BP242" t="n">
        <v>10</v>
      </c>
      <c r="BQ242" t="n">
        <v>16</v>
      </c>
      <c r="BR242" t="n">
        <v>45</v>
      </c>
      <c r="BS242" t="n">
        <v>120</v>
      </c>
      <c r="BV242" t="n">
        <v>0.3</v>
      </c>
      <c r="BW242" t="n">
        <v>3.17</v>
      </c>
      <c r="CS242" t="n">
        <v>3.17</v>
      </c>
      <c r="DD242" t="n">
        <v>15.76</v>
      </c>
      <c r="DE242" t="n">
        <v>450</v>
      </c>
      <c r="DG242" t="n">
        <v>16</v>
      </c>
      <c r="DO242" t="n">
        <v>12</v>
      </c>
      <c r="DT242" t="inlineStr">
        <is>
          <t>p26_jotunn_jo_rockets</t>
        </is>
      </c>
      <c r="EY242" t="n">
        <v>8</v>
      </c>
      <c r="GD242" t="inlineStr">
        <is>
          <t>Assets/MachineBrigade/Resources/Data/balance.json: weapons[162]</t>
        </is>
      </c>
      <c r="GE242" t="inlineStr">
        <is>
          <t>{"id":"p26_jotunn_sec_jo_rockets","groundMinReach":12,"inherits":"p26_jotunn_jo_rockets","burstInterval":3.17,"edge":16,"splash":8,"cooldown":15.76,"damage":450}</t>
        </is>
      </c>
    </row>
    <row r="243">
      <c r="A243" t="inlineStr">
        <is>
          <t>p26_jotunn_tiny_twin_30_flak</t>
        </is>
      </c>
      <c r="B243" t="inlineStr">
        <is>
          <t>2A38 30 mm (twin)</t>
        </is>
      </c>
      <c r="C243" t="inlineStr">
        <is>
          <t>cal_30</t>
        </is>
      </c>
      <c r="D243" t="inlineStr">
        <is>
          <t>flak</t>
        </is>
      </c>
      <c r="E243" t="inlineStr"/>
      <c r="F243" t="inlineStr">
        <is>
          <t>autocannon</t>
        </is>
      </c>
      <c r="G243" t="n">
        <v>30</v>
      </c>
      <c r="H243" t="inlineStr"/>
      <c r="I243" t="inlineStr"/>
      <c r="J243" t="inlineStr"/>
      <c r="K243" t="inlineStr">
        <is>
          <t>Fragmentation</t>
        </is>
      </c>
      <c r="L243" t="n">
        <v>2</v>
      </c>
      <c r="M243" t="inlineStr">
        <is>
          <t>Bullet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0.025</v>
      </c>
      <c r="S243" t="n">
        <v>160</v>
      </c>
      <c r="T243" t="n">
        <v>3</v>
      </c>
      <c r="U243" t="n">
        <v>0</v>
      </c>
      <c r="V243" t="n">
        <v>0</v>
      </c>
      <c r="W243" t="n">
        <v>22</v>
      </c>
      <c r="X243" t="n">
        <v>2.5</v>
      </c>
      <c r="Y243" t="n">
        <v>0</v>
      </c>
      <c r="Z243" t="n">
        <v>280</v>
      </c>
      <c r="AA243" t="n">
        <v>42</v>
      </c>
      <c r="AB243" t="n">
        <v>0</v>
      </c>
      <c r="AC243" t="inlineStr">
        <is>
          <t>All</t>
        </is>
      </c>
      <c r="AD243" t="inlineStr"/>
      <c r="AE243" t="n">
        <v>1.4</v>
      </c>
      <c r="AF243" t="inlineStr">
        <is>
          <t>Small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30</v>
      </c>
      <c r="AO243" t="n">
        <v>0</v>
      </c>
      <c r="AP243" t="inlineStr">
        <is>
          <t>T1</t>
        </is>
      </c>
      <c r="AQ243" t="inlineStr">
        <is>
          <t>twin_30_flak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mobile_fortress:6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0.15</v>
      </c>
      <c r="BB243" t="n">
        <v>2500</v>
      </c>
      <c r="BC243" t="n">
        <v>1000</v>
      </c>
      <c r="BD243" t="inlineStr">
        <is>
          <t>aa</t>
        </is>
      </c>
      <c r="BE243" t="inlineStr">
        <is>
          <t>Wikipedia '2A38': 4,060-5,000 rpm the twin mount</t>
        </is>
      </c>
      <c r="BF243" t="inlineStr">
        <is>
          <t>wave 1 twin_30_flak: 160 rounds at 2,400 rpm, changed in 3 s (2A38M 4,060-5,000 rpm the pair)</t>
        </is>
      </c>
      <c r="BG243" t="inlineStr">
        <is>
          <t>doi</t>
        </is>
      </c>
      <c r="BH243" t="n">
        <v>1.5</v>
      </c>
      <c r="BI243" t="n">
        <v>22</v>
      </c>
      <c r="CH243" t="n">
        <v>3.025</v>
      </c>
      <c r="CI243" t="n">
        <v>3</v>
      </c>
      <c r="CX243" t="n">
        <v>3</v>
      </c>
      <c r="DE243" t="n">
        <v>22</v>
      </c>
      <c r="DT243" t="inlineStr">
        <is>
          <t>twin_30_flak</t>
        </is>
      </c>
      <c r="GA243" t="inlineStr"/>
      <c r="GD243" t="inlineStr">
        <is>
          <t>Assets/MachineBrigade/Resources/Data/balance.json: weapons[165]</t>
        </is>
      </c>
      <c r="GE243" t="inlineStr">
        <is>
          <t>{"id":"p26_jotunn_tiny_twin_30_flak","inherits":"twin_30_flak","clipReload":3,"weaponFamily":"","damage":22}</t>
        </is>
      </c>
    </row>
    <row r="244">
      <c r="A244" t="inlineStr">
        <is>
          <t>p26_leviathan_direct_lev127</t>
        </is>
      </c>
      <c r="B244" t="inlineStr">
        <is>
          <t>AK-127 127 mm</t>
        </is>
      </c>
      <c r="C244" t="inlineStr">
        <is>
          <t>cal_127_130</t>
        </is>
      </c>
      <c r="D244" t="inlineStr">
        <is>
          <t>ap</t>
        </is>
      </c>
      <c r="E244" t="inlineStr"/>
      <c r="F244" t="inlineStr">
        <is>
          <t>howitzer</t>
        </is>
      </c>
      <c r="G244" t="n">
        <v>127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0.5</v>
      </c>
      <c r="R244" t="n">
        <v>3</v>
      </c>
      <c r="S244" t="n">
        <v>0</v>
      </c>
      <c r="T244" t="n">
        <v>0</v>
      </c>
      <c r="U244" t="n">
        <v>0</v>
      </c>
      <c r="V244" t="n">
        <v>0</v>
      </c>
      <c r="W244" t="n">
        <v>380</v>
      </c>
      <c r="X244" t="n">
        <v>0</v>
      </c>
      <c r="Y244" t="n">
        <v>0</v>
      </c>
      <c r="Z244" t="n">
        <v>110</v>
      </c>
      <c r="AA244" t="n">
        <v>90</v>
      </c>
      <c r="AB244" t="n">
        <v>0</v>
      </c>
      <c r="AC244" t="inlineStr">
        <is>
          <t>Ground</t>
        </is>
      </c>
      <c r="AD244" t="inlineStr"/>
      <c r="AE244" t="n">
        <v>2.2</v>
      </c>
      <c r="AF244" t="inlineStr">
        <is>
          <t>Large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127</v>
      </c>
      <c r="AO244" t="n">
        <v>0</v>
      </c>
      <c r="AP244" t="inlineStr">
        <is>
          <t>T3</t>
        </is>
      </c>
      <c r="AQ244" t="inlineStr">
        <is>
          <t>p26_leviathan_lev127</t>
        </is>
      </c>
      <c r="AR244" t="inlineStr"/>
      <c r="AS244" t="inlineStr">
        <is>
          <t>boss</t>
        </is>
      </c>
      <c r="AT244" t="inlineStr">
        <is>
          <t>kraken;leviathan;nyx;scylla</t>
        </is>
      </c>
      <c r="AU244" t="n">
        <v>4</v>
      </c>
      <c r="AV244" t="inlineStr">
        <is>
          <t>kraken:5;kraken:6;leviathan:5;leviathan:6;nyx:1;nyx:2;scylla:1</t>
        </is>
      </c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0.8181818181818182</v>
      </c>
      <c r="BB244" t="n">
        <v>30</v>
      </c>
      <c r="BC244" t="n">
        <v>20</v>
      </c>
      <c r="BD244" t="inlineStr">
        <is>
          <t>gun</t>
        </is>
      </c>
      <c r="BE244" t="inlineStr">
        <is>
          <t>the A-192 'Armat' 130 mm class, 30 rpm (Wikipedia 'A-192')</t>
        </is>
      </c>
      <c r="BF244" t="inlineStr">
        <is>
          <t>an A-192 class 130 mm, 30 rpm max: 20 rpm practical (3 s)</t>
        </is>
      </c>
      <c r="BG244" t="inlineStr">
        <is>
          <t>doi</t>
        </is>
      </c>
      <c r="BH244" t="n">
        <v>335</v>
      </c>
      <c r="BI244" t="n">
        <v>380</v>
      </c>
      <c r="BJ244" t="n">
        <v>4.5</v>
      </c>
      <c r="BK244" t="n">
        <v>3</v>
      </c>
      <c r="DD244" t="n">
        <v>3</v>
      </c>
      <c r="DE244" t="n">
        <v>380</v>
      </c>
      <c r="DO244" t="n">
        <v>23</v>
      </c>
      <c r="DT244" t="inlineStr">
        <is>
          <t>p26_leviathan_lev127</t>
        </is>
      </c>
      <c r="GD244" t="inlineStr">
        <is>
          <t>Assets/MachineBrigade/Resources/Data/balance.json: weapons[175]</t>
        </is>
      </c>
      <c r="GE244" t="inlineStr">
        <is>
          <t>{"id":"p26_leviathan_direct_lev127","groundMinReach":23,"inherits":"p26_leviathan_lev127","cooldown":3,"damage":380}</t>
        </is>
      </c>
    </row>
    <row r="245">
      <c r="A245" t="inlineStr">
        <is>
          <t>p26_leviathan_lev127</t>
        </is>
      </c>
      <c r="B245" t="inlineStr">
        <is>
          <t>AK-127 127 mm</t>
        </is>
      </c>
      <c r="C245" t="inlineStr">
        <is>
          <t>cal_127_130</t>
        </is>
      </c>
      <c r="D245" t="inlineStr">
        <is>
          <t>ap</t>
        </is>
      </c>
      <c r="E245" t="inlineStr"/>
      <c r="F245" t="inlineStr">
        <is>
          <t>howitzer</t>
        </is>
      </c>
      <c r="G245" t="n">
        <v>127</v>
      </c>
      <c r="H245" t="inlineStr"/>
      <c r="I245" t="inlineStr"/>
      <c r="J245" t="inlineStr"/>
      <c r="K245" t="inlineStr">
        <is>
          <t>Kinetic</t>
        </is>
      </c>
      <c r="L245" t="n">
        <v>5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0.5</v>
      </c>
      <c r="R245" t="n">
        <v>2</v>
      </c>
      <c r="S245" t="n">
        <v>0</v>
      </c>
      <c r="T245" t="n">
        <v>0</v>
      </c>
      <c r="U245" t="n">
        <v>0</v>
      </c>
      <c r="V245" t="n">
        <v>0</v>
      </c>
      <c r="W245" t="n">
        <v>320</v>
      </c>
      <c r="X245" t="n">
        <v>0</v>
      </c>
      <c r="Y245" t="n">
        <v>0</v>
      </c>
      <c r="Z245" t="n">
        <v>110</v>
      </c>
      <c r="AA245" t="n">
        <v>90</v>
      </c>
      <c r="AB245" t="n">
        <v>0</v>
      </c>
      <c r="AC245" t="inlineStr">
        <is>
          <t>Ground</t>
        </is>
      </c>
      <c r="AD245" t="inlineStr"/>
      <c r="AE245" t="n">
        <v>2.2</v>
      </c>
      <c r="AF245" t="inlineStr">
        <is>
          <t>Large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127</v>
      </c>
      <c r="AO245" t="n">
        <v>0</v>
      </c>
      <c r="AP245" t="inlineStr">
        <is>
          <t>T3</t>
        </is>
      </c>
      <c r="AQ245" t="inlineStr">
        <is>
          <t>naval_100</t>
        </is>
      </c>
      <c r="AR245" t="inlineStr"/>
      <c r="AS245" t="inlineStr"/>
      <c r="AT245" t="inlineStr"/>
      <c r="AU245" t="n">
        <v>0</v>
      </c>
      <c r="AV245" t="inlineStr"/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0.8181818181818182</v>
      </c>
      <c r="BB245" t="n">
        <v>30</v>
      </c>
      <c r="BC245" t="n">
        <v>20</v>
      </c>
      <c r="BD245" t="inlineStr">
        <is>
          <t>gun</t>
        </is>
      </c>
      <c r="BE245" t="inlineStr">
        <is>
          <t>the A-192 'Armat' 130 mm class, 30 rpm (Wikipedia 'A-192')</t>
        </is>
      </c>
      <c r="BG245" t="inlineStr">
        <is>
          <t>giong</t>
        </is>
      </c>
      <c r="CR245" t="n">
        <v>1</v>
      </c>
      <c r="CT245" t="n">
        <v>127</v>
      </c>
      <c r="DD245" t="n">
        <v>2</v>
      </c>
      <c r="DE245" t="n">
        <v>320</v>
      </c>
      <c r="DF245" t="inlineStr">
        <is>
          <t>Kinetic</t>
        </is>
      </c>
      <c r="DT245" t="inlineStr">
        <is>
          <t>naval_100</t>
        </is>
      </c>
      <c r="EB245" t="n">
        <v>5</v>
      </c>
      <c r="EQ245" t="inlineStr">
        <is>
          <t>AK-127 127 mm</t>
        </is>
      </c>
      <c r="EX245" t="n">
        <v>127</v>
      </c>
      <c r="EY245" t="n">
        <v>0</v>
      </c>
      <c r="GA245" t="inlineStr"/>
      <c r="GB245" t="inlineStr">
        <is>
          <t>cal_127_130</t>
        </is>
      </c>
      <c r="GC245" t="inlineStr">
        <is>
          <t>ap</t>
        </is>
      </c>
      <c r="GD245" t="inlineStr">
        <is>
          <t>Assets/MachineBrigade/Resources/Data/balance.json: weapons[173]</t>
        </is>
      </c>
      <c r="GE245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46">
      <c r="A246" t="inlineStr">
        <is>
          <t>p26_leviathan_lev155</t>
        </is>
      </c>
      <c r="B246" t="inlineStr">
        <is>
          <t>155 mm/60 (triple)</t>
        </is>
      </c>
      <c r="C246" t="inlineStr">
        <is>
          <t>cal_152_155</t>
        </is>
      </c>
      <c r="D246" t="inlineStr"/>
      <c r="E246" t="inlineStr"/>
      <c r="F246" t="inlineStr">
        <is>
          <t>howitzer</t>
        </is>
      </c>
      <c r="G246" t="n">
        <v>155</v>
      </c>
      <c r="H246" t="inlineStr"/>
      <c r="I246" t="inlineStr"/>
      <c r="J246" t="inlineStr"/>
      <c r="K246" t="inlineStr">
        <is>
          <t>HighExplosive</t>
        </is>
      </c>
      <c r="L246" t="n">
        <v>3</v>
      </c>
      <c r="M246" t="inlineStr">
        <is>
          <t>Shell</t>
        </is>
      </c>
      <c r="N246" t="n">
        <v>1</v>
      </c>
      <c r="O246" t="inlineStr">
        <is>
          <t>RIPPLE</t>
        </is>
      </c>
      <c r="P246" t="n">
        <v>3</v>
      </c>
      <c r="Q246" t="n">
        <v>0.25</v>
      </c>
      <c r="R246" t="n">
        <v>4.5</v>
      </c>
      <c r="S246" t="n">
        <v>0</v>
      </c>
      <c r="T246" t="n">
        <v>0</v>
      </c>
      <c r="U246" t="n">
        <v>0</v>
      </c>
      <c r="V246" t="n">
        <v>0</v>
      </c>
      <c r="W246" t="n">
        <v>170</v>
      </c>
      <c r="X246" t="n">
        <v>8.5</v>
      </c>
      <c r="Y246" t="n">
        <v>17</v>
      </c>
      <c r="Z246" t="n">
        <v>110</v>
      </c>
      <c r="AA246" t="n">
        <v>110</v>
      </c>
      <c r="AB246" t="n">
        <v>0</v>
      </c>
      <c r="AC246" t="inlineStr">
        <is>
          <t>Ground</t>
        </is>
      </c>
      <c r="AD246" t="inlineStr"/>
      <c r="AE246" t="n">
        <v>2.4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155</v>
      </c>
      <c r="AO246" t="n">
        <v>0</v>
      </c>
      <c r="AP246" t="inlineStr">
        <is>
          <t>T3</t>
        </is>
      </c>
      <c r="AQ246" t="inlineStr">
        <is>
          <t>naval_155_triple</t>
        </is>
      </c>
      <c r="AR246" t="inlineStr"/>
      <c r="AS246" t="inlineStr"/>
      <c r="AT246" t="inlineStr"/>
      <c r="AU246" t="n">
        <v>0</v>
      </c>
      <c r="AV246" t="inlineStr"/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1</v>
      </c>
      <c r="BB246" t="n">
        <v>5</v>
      </c>
      <c r="BC246" t="n">
        <v>4</v>
      </c>
      <c r="BD246" t="inlineStr">
        <is>
          <t>gun</t>
        </is>
      </c>
      <c r="BE246" t="inlineStr">
        <is>
          <t>Wikipedia '15.5 cm/60 3rd Year Type' (Mogami): ~5 rpm a gun</t>
        </is>
      </c>
      <c r="BG246" t="inlineStr">
        <is>
          <t>giong</t>
        </is>
      </c>
      <c r="CR246" t="n">
        <v>3</v>
      </c>
      <c r="CS246" t="n">
        <v>0.25</v>
      </c>
      <c r="DD246" t="n">
        <v>4.5</v>
      </c>
      <c r="DE246" t="n">
        <v>170</v>
      </c>
      <c r="DG246" t="n">
        <v>17</v>
      </c>
      <c r="DT246" t="inlineStr">
        <is>
          <t>naval_155_triple</t>
        </is>
      </c>
      <c r="EQ246" t="inlineStr">
        <is>
          <t>155 mm/60 (triple)</t>
        </is>
      </c>
      <c r="EY246" t="n">
        <v>8.5</v>
      </c>
      <c r="GA246" t="inlineStr"/>
      <c r="GD246" t="inlineStr">
        <is>
          <t>Assets/MachineBrigade/Resources/Data/balance.json: weapons[172]</t>
        </is>
      </c>
      <c r="GE246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47">
      <c r="A247" t="inlineStr">
        <is>
          <t>p26_leviathan_lev406</t>
        </is>
      </c>
      <c r="B247" t="inlineStr">
        <is>
          <t>Mk 7 406 mm/50 (Iowa, triple)</t>
        </is>
      </c>
      <c r="C247" t="inlineStr">
        <is>
          <t>cal_406</t>
        </is>
      </c>
      <c r="D247" t="inlineStr"/>
      <c r="E247" t="inlineStr"/>
      <c r="F247" t="inlineStr">
        <is>
          <t>howitzer</t>
        </is>
      </c>
      <c r="G247" t="n">
        <v>406</v>
      </c>
      <c r="H247" t="inlineStr"/>
      <c r="I247" t="inlineStr"/>
      <c r="J247" t="inlineStr"/>
      <c r="K247" t="inlineStr">
        <is>
          <t>HighExplosive</t>
        </is>
      </c>
      <c r="L247" t="n">
        <v>4</v>
      </c>
      <c r="M247" t="inlineStr">
        <is>
          <t>Shell</t>
        </is>
      </c>
      <c r="N247" t="n">
        <v>3</v>
      </c>
      <c r="O247" t="inlineStr">
        <is>
          <t>SIMULTANEOUS</t>
        </is>
      </c>
      <c r="P247" t="n">
        <v>1</v>
      </c>
      <c r="Q247" t="n">
        <v>0.1</v>
      </c>
      <c r="R247" t="n">
        <v>60</v>
      </c>
      <c r="S247" t="n">
        <v>0</v>
      </c>
      <c r="T247" t="n">
        <v>0</v>
      </c>
      <c r="U247" t="n">
        <v>0</v>
      </c>
      <c r="V247" t="n">
        <v>0</v>
      </c>
      <c r="W247" t="n">
        <v>2400</v>
      </c>
      <c r="X247" t="n">
        <v>14</v>
      </c>
      <c r="Y247" t="n">
        <v>24</v>
      </c>
      <c r="Z247" t="n">
        <v>200</v>
      </c>
      <c r="AA247" t="n">
        <v>160</v>
      </c>
      <c r="AB247" t="n">
        <v>0</v>
      </c>
      <c r="AC247" t="inlineStr">
        <is>
          <t>Ground</t>
        </is>
      </c>
      <c r="AD247" t="inlineStr"/>
      <c r="AE247" t="n">
        <v>3</v>
      </c>
      <c r="AF247" t="inlineStr">
        <is>
          <t>Ultimate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1</v>
      </c>
      <c r="AL247" t="b">
        <v>0</v>
      </c>
      <c r="AM247" t="b">
        <v>0</v>
      </c>
      <c r="AN247" t="n">
        <v>406</v>
      </c>
      <c r="AO247" t="n">
        <v>0</v>
      </c>
      <c r="AP247" t="inlineStr">
        <is>
          <t>T5</t>
        </is>
      </c>
      <c r="AQ247" t="inlineStr">
        <is>
          <t>leviathan_460</t>
        </is>
      </c>
      <c r="AR247" t="inlineStr"/>
      <c r="AS247" t="inlineStr">
        <is>
          <t>boss</t>
        </is>
      </c>
      <c r="AT247" t="inlineStr">
        <is>
          <t>kraken;leviathan</t>
        </is>
      </c>
      <c r="AU247" t="n">
        <v>2</v>
      </c>
      <c r="AV247" t="inlineStr">
        <is>
          <t>kraken:0;kraken:1;kraken:2;leviathan:0;leviathan:1;leviathan:2</t>
        </is>
      </c>
      <c r="AW247" t="n">
        <v>3.611111111111111</v>
      </c>
      <c r="AX247" t="b">
        <v>0</v>
      </c>
      <c r="AY247" t="inlineStr"/>
      <c r="AZ247">
        <f>IF(AND($AX$247,$AW$247&gt;$AA$247/$Z$247),$AW$247,$AA$247/$Z$247)</f>
        <v/>
      </c>
      <c r="BA247" t="n">
        <v>0.8</v>
      </c>
      <c r="BB247" t="n">
        <v>2</v>
      </c>
      <c r="BC247" t="n">
        <v>2</v>
      </c>
      <c r="BD247" t="inlineStr">
        <is>
          <t>gun</t>
        </is>
      </c>
      <c r="BE247" t="inlineStr">
        <is>
          <t>Wikipedia '16"/50 caliber Mark 7': 2 rpm a gun</t>
        </is>
      </c>
      <c r="BF247" t="inlineStr">
        <is>
          <t>the 406 mm salvo every 60 s</t>
        </is>
      </c>
      <c r="BG247" t="inlineStr">
        <is>
          <t>doi</t>
        </is>
      </c>
      <c r="BH247" t="n">
        <v>1200</v>
      </c>
      <c r="BI247" t="n">
        <v>2400</v>
      </c>
      <c r="BJ247" t="n">
        <v>10</v>
      </c>
      <c r="BK247" t="n">
        <v>60</v>
      </c>
      <c r="BN247" t="n">
        <v>12</v>
      </c>
      <c r="BO247" t="n">
        <v>14</v>
      </c>
      <c r="BP247" t="n">
        <v>20</v>
      </c>
      <c r="BQ247" t="n">
        <v>24</v>
      </c>
      <c r="BR247" t="n">
        <v>60</v>
      </c>
      <c r="BS247" t="n">
        <v>200</v>
      </c>
      <c r="BX247" t="n">
        <v>1</v>
      </c>
      <c r="BY247" t="n">
        <v>3</v>
      </c>
      <c r="BZ247" t="inlineStr">
        <is>
          <t>RIPPLE</t>
        </is>
      </c>
      <c r="CA247" t="inlineStr">
        <is>
          <t>SIMULTANEOUS</t>
        </is>
      </c>
      <c r="CO247" t="n">
        <v>3</v>
      </c>
      <c r="CT247" t="n">
        <v>406</v>
      </c>
      <c r="DD247" t="n">
        <v>60</v>
      </c>
      <c r="DE247" t="n">
        <v>2400</v>
      </c>
      <c r="DG247" t="n">
        <v>24</v>
      </c>
      <c r="DO247" t="n">
        <v>72</v>
      </c>
      <c r="DT247" t="inlineStr">
        <is>
          <t>leviathan_460</t>
        </is>
      </c>
      <c r="EQ247" t="inlineStr">
        <is>
          <t>Mk 7 406 mm/50 (Iowa, triple)</t>
        </is>
      </c>
      <c r="EW247" t="inlineStr">
        <is>
          <t>SIMULTANEOUS</t>
        </is>
      </c>
      <c r="EX247" t="n">
        <v>406</v>
      </c>
      <c r="EY247" t="n">
        <v>14</v>
      </c>
      <c r="GA247" t="inlineStr"/>
      <c r="GD247" t="inlineStr">
        <is>
          <t>Assets/MachineBrigade/Resources/Data/balance.json: weapons[166]</t>
        </is>
      </c>
      <c r="GE247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48">
      <c r="A248" t="inlineStr">
        <is>
          <t>p26_leviathan_sec_lev155</t>
        </is>
      </c>
      <c r="B248" t="inlineStr">
        <is>
          <t>155 mm/60 (triple)</t>
        </is>
      </c>
      <c r="C248" t="inlineStr">
        <is>
          <t>cal_152_155</t>
        </is>
      </c>
      <c r="D248" t="inlineStr"/>
      <c r="E248" t="inlineStr"/>
      <c r="F248" t="inlineStr">
        <is>
          <t>howitzer</t>
        </is>
      </c>
      <c r="G248" t="n">
        <v>155</v>
      </c>
      <c r="H248" t="inlineStr"/>
      <c r="I248" t="inlineStr"/>
      <c r="J248" t="inlineStr"/>
      <c r="K248" t="inlineStr">
        <is>
          <t>HighExplosive</t>
        </is>
      </c>
      <c r="L248" t="n">
        <v>3</v>
      </c>
      <c r="M248" t="inlineStr">
        <is>
          <t>Shell</t>
        </is>
      </c>
      <c r="N248" t="n">
        <v>3</v>
      </c>
      <c r="O248" t="inlineStr">
        <is>
          <t>SIMULTANEOUS</t>
        </is>
      </c>
      <c r="P248" t="n">
        <v>1</v>
      </c>
      <c r="Q248" t="n">
        <v>0.25</v>
      </c>
      <c r="R248" t="n">
        <v>10.5</v>
      </c>
      <c r="S248" t="n">
        <v>0</v>
      </c>
      <c r="T248" t="n">
        <v>0</v>
      </c>
      <c r="U248" t="n">
        <v>0</v>
      </c>
      <c r="V248" t="n">
        <v>0</v>
      </c>
      <c r="W248" t="n">
        <v>600</v>
      </c>
      <c r="X248" t="n">
        <v>7</v>
      </c>
      <c r="Y248" t="n">
        <v>14</v>
      </c>
      <c r="Z248" t="n">
        <v>150</v>
      </c>
      <c r="AA248" t="n">
        <v>110</v>
      </c>
      <c r="AB248" t="n">
        <v>0</v>
      </c>
      <c r="AC248" t="inlineStr">
        <is>
          <t>Ground</t>
        </is>
      </c>
      <c r="AD248" t="inlineStr"/>
      <c r="AE248" t="n">
        <v>2.4</v>
      </c>
      <c r="AF248" t="inlineStr">
        <is>
          <t>Large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155</v>
      </c>
      <c r="AO248" t="n">
        <v>0</v>
      </c>
      <c r="AP248" t="inlineStr">
        <is>
          <t>T3</t>
        </is>
      </c>
      <c r="AQ248" t="inlineStr">
        <is>
          <t>p26_leviathan_lev155</t>
        </is>
      </c>
      <c r="AR248" t="inlineStr"/>
      <c r="AS248" t="inlineStr">
        <is>
          <t>boss</t>
        </is>
      </c>
      <c r="AT248" t="inlineStr">
        <is>
          <t>kraken;leviathan</t>
        </is>
      </c>
      <c r="AU248" t="n">
        <v>2</v>
      </c>
      <c r="AV248" t="inlineStr">
        <is>
          <t>kraken:3;kraken:4;leviathan:3;leviathan:4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0.7333333333333333</v>
      </c>
      <c r="BB248" t="n">
        <v>5</v>
      </c>
      <c r="BC248" t="n">
        <v>4</v>
      </c>
      <c r="BD248" t="inlineStr">
        <is>
          <t>gun</t>
        </is>
      </c>
      <c r="BE248" t="inlineStr">
        <is>
          <t>Wikipedia '15.5 cm/60 3rd Year Type' (Mogami): ~5 rpm a gun</t>
        </is>
      </c>
      <c r="BF248" t="inlineStr">
        <is>
          <t>wave 1 naval_155_triple: the triple turret, 3 rounds every 10.5 s (real ~5 rpm a gun): passes (b)</t>
        </is>
      </c>
      <c r="BG248" t="inlineStr">
        <is>
          <t>doi</t>
        </is>
      </c>
      <c r="BH248" t="n">
        <v>175</v>
      </c>
      <c r="BI248" t="n">
        <v>600</v>
      </c>
      <c r="BJ248" t="n">
        <v>3.5</v>
      </c>
      <c r="BK248" t="n">
        <v>10.5</v>
      </c>
      <c r="BN248" t="n">
        <v>8.5</v>
      </c>
      <c r="BO248" t="n">
        <v>7</v>
      </c>
      <c r="BP248" t="n">
        <v>17</v>
      </c>
      <c r="BQ248" t="n">
        <v>14</v>
      </c>
      <c r="BR248" t="n">
        <v>110</v>
      </c>
      <c r="BS248" t="n">
        <v>150</v>
      </c>
      <c r="BT248" t="n">
        <v>3</v>
      </c>
      <c r="BU248" t="n">
        <v>1</v>
      </c>
      <c r="BX248" t="n">
        <v>1</v>
      </c>
      <c r="BY248" t="n">
        <v>3</v>
      </c>
      <c r="BZ248" t="inlineStr">
        <is>
          <t>RIPPLE</t>
        </is>
      </c>
      <c r="CA248" t="inlineStr">
        <is>
          <t>SIMULTANEOUS</t>
        </is>
      </c>
      <c r="CO248" t="n">
        <v>3</v>
      </c>
      <c r="CR248" t="n">
        <v>1</v>
      </c>
      <c r="DD248" t="n">
        <v>10.5</v>
      </c>
      <c r="DE248" t="n">
        <v>600</v>
      </c>
      <c r="DG248" t="n">
        <v>14</v>
      </c>
      <c r="DO248" t="n">
        <v>87</v>
      </c>
      <c r="DT248" t="inlineStr">
        <is>
          <t>p26_leviathan_lev155</t>
        </is>
      </c>
      <c r="EK248" t="n">
        <v>150</v>
      </c>
      <c r="EW248" t="inlineStr">
        <is>
          <t>SIMULTANEOUS</t>
        </is>
      </c>
      <c r="EY248" t="n">
        <v>7</v>
      </c>
      <c r="GD248" t="inlineStr">
        <is>
          <t>Assets/MachineBrigade/Resources/Data/balance.json: weapons[174]</t>
        </is>
      </c>
      <c r="GE248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49">
      <c r="A249" t="inlineStr">
        <is>
          <t>p26_matriarch_close_boss_flak</t>
        </is>
      </c>
      <c r="B249" t="inlineStr">
        <is>
          <t>Oerlikon 35 mm (twin)</t>
        </is>
      </c>
      <c r="C249" t="inlineStr">
        <is>
          <t>cal_35</t>
        </is>
      </c>
      <c r="D249" t="inlineStr"/>
      <c r="E249" t="inlineStr"/>
      <c r="F249" t="inlineStr">
        <is>
          <t>autocannon</t>
        </is>
      </c>
      <c r="G249" t="n">
        <v>35</v>
      </c>
      <c r="H249" t="inlineStr"/>
      <c r="I249" t="inlineStr"/>
      <c r="J249" t="inlineStr"/>
      <c r="K249" t="inlineStr">
        <is>
          <t>Fragmentation</t>
        </is>
      </c>
      <c r="L249" t="n">
        <v>2</v>
      </c>
      <c r="M249" t="inlineStr">
        <is>
          <t>Bullet</t>
        </is>
      </c>
      <c r="N249" t="n">
        <v>1</v>
      </c>
      <c r="O249" t="inlineStr">
        <is>
          <t>RIPPLE</t>
        </is>
      </c>
      <c r="P249" t="n">
        <v>1</v>
      </c>
      <c r="Q249" t="n">
        <v>0.1</v>
      </c>
      <c r="R249" t="n">
        <v>0.05</v>
      </c>
      <c r="S249" t="n">
        <v>41</v>
      </c>
      <c r="T249" t="n">
        <v>3.38</v>
      </c>
      <c r="U249" t="n">
        <v>0</v>
      </c>
      <c r="V249" t="n">
        <v>0</v>
      </c>
      <c r="W249" t="n">
        <v>25</v>
      </c>
      <c r="X249" t="n">
        <v>2.5</v>
      </c>
      <c r="Y249" t="n">
        <v>0</v>
      </c>
      <c r="Z249" t="n">
        <v>260</v>
      </c>
      <c r="AA249" t="n">
        <v>40</v>
      </c>
      <c r="AB249" t="n">
        <v>0</v>
      </c>
      <c r="AC249" t="inlineStr">
        <is>
          <t>All</t>
        </is>
      </c>
      <c r="AD249" t="inlineStr"/>
      <c r="AE249" t="n">
        <v>1.5</v>
      </c>
      <c r="AF249" t="inlineStr">
        <is>
          <t>Small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35</v>
      </c>
      <c r="AO249" t="n">
        <v>0</v>
      </c>
      <c r="AP249" t="inlineStr">
        <is>
          <t>T1</t>
        </is>
      </c>
      <c r="AQ249" t="inlineStr">
        <is>
          <t>boss_flak</t>
        </is>
      </c>
      <c r="AR249" t="inlineStr"/>
      <c r="AS249" t="inlineStr">
        <is>
          <t>boss</t>
        </is>
      </c>
      <c r="AT249" t="inlineStr">
        <is>
          <t>drone_mothership;locust</t>
        </is>
      </c>
      <c r="AU249" t="n">
        <v>2</v>
      </c>
      <c r="AV249" t="inlineStr">
        <is>
          <t>drone_mothership:2;drone_mothership:3;locust:1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0.1538461538461539</v>
      </c>
      <c r="BB249" t="n">
        <v>550</v>
      </c>
      <c r="BC249" t="n">
        <v>300</v>
      </c>
      <c r="BD249" t="inlineStr">
        <is>
          <t>aa</t>
        </is>
      </c>
      <c r="BE249" t="inlineStr">
        <is>
          <t>Wikipedia 'Oerlikon GDF': 550 rpm a gun (the twin: 1,100)</t>
        </is>
      </c>
      <c r="BF249" t="inlineStr">
        <is>
          <t>wave 1 boss_flak: 41 rounds at 1,200 rpm, changed in 3.38 s (twin Oerlikon GDF 2 x 550 rpm)</t>
        </is>
      </c>
      <c r="BG249" t="inlineStr">
        <is>
          <t>doi</t>
        </is>
      </c>
      <c r="BH249" t="n">
        <v>22</v>
      </c>
      <c r="BI249" t="n">
        <v>25</v>
      </c>
      <c r="CX249" t="n">
        <v>3.38</v>
      </c>
      <c r="DE249" t="n">
        <v>25</v>
      </c>
      <c r="DT249" t="inlineStr">
        <is>
          <t>boss_flak</t>
        </is>
      </c>
      <c r="GA249" t="inlineStr"/>
      <c r="GD249" t="inlineStr">
        <is>
          <t>Assets/MachineBrigade/Resources/Data/balance.json: weapons[181]</t>
        </is>
      </c>
      <c r="GE249" t="inlineStr">
        <is>
          <t>{"id":"p26_matriarch_close_boss_flak","inherits":"boss_flak","clipReload":3.38,"weaponFamily":"","damage":25}</t>
        </is>
      </c>
    </row>
    <row r="250">
      <c r="A250" t="inlineStr">
        <is>
          <t>p26_matriarch_direct_ma_atgm</t>
        </is>
      </c>
      <c r="B250" t="inlineStr">
        <is>
          <t>9M133 Kornet</t>
        </is>
      </c>
      <c r="C250" t="inlineStr">
        <is>
          <t>atgm_kornet</t>
        </is>
      </c>
      <c r="D250" t="inlineStr"/>
      <c r="E250" t="inlineStr"/>
      <c r="F250" t="inlineStr">
        <is>
          <t>atgm</t>
        </is>
      </c>
      <c r="G250" t="inlineStr"/>
      <c r="H250" t="n">
        <v>7</v>
      </c>
      <c r="I250" t="inlineStr"/>
      <c r="J250" t="inlineStr"/>
      <c r="K250" t="inlineStr">
        <is>
          <t>ShapedCharge</t>
        </is>
      </c>
      <c r="L250" t="n">
        <v>5</v>
      </c>
      <c r="M250" t="inlineStr">
        <is>
          <t>Missile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20</v>
      </c>
      <c r="S250" t="n">
        <v>0</v>
      </c>
      <c r="T250" t="n">
        <v>0</v>
      </c>
      <c r="U250" t="n">
        <v>0</v>
      </c>
      <c r="V250" t="n">
        <v>0</v>
      </c>
      <c r="W250" t="n">
        <v>230</v>
      </c>
      <c r="X250" t="n">
        <v>0</v>
      </c>
      <c r="Y250" t="n">
        <v>0</v>
      </c>
      <c r="Z250" t="n">
        <v>80</v>
      </c>
      <c r="AA250" t="n">
        <v>55</v>
      </c>
      <c r="AB250" t="n">
        <v>0</v>
      </c>
      <c r="AC250" t="inlineStr">
        <is>
          <t>Ground</t>
        </is>
      </c>
      <c r="AD250" t="inlineStr"/>
      <c r="AE250" t="n">
        <v>0</v>
      </c>
      <c r="AF250" t="inlineStr">
        <is>
          <t>Medium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29</v>
      </c>
      <c r="AO250" t="n">
        <v>0</v>
      </c>
      <c r="AP250" t="inlineStr">
        <is>
          <t>T2</t>
        </is>
      </c>
      <c r="AQ250" t="inlineStr">
        <is>
          <t>p26_matriarch_ma_atgm</t>
        </is>
      </c>
      <c r="AR250" t="inlineStr"/>
      <c r="AS250" t="inlineStr">
        <is>
          <t>boss</t>
        </is>
      </c>
      <c r="AT250" t="inlineStr">
        <is>
          <t>drone_mothership</t>
        </is>
      </c>
      <c r="AU250" t="n">
        <v>1</v>
      </c>
      <c r="AV250" t="inlineStr">
        <is>
          <t>drone_mothership:5;drone_mothership:8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0.6875</v>
      </c>
      <c r="BB250" t="n">
        <v>3</v>
      </c>
      <c r="BC250" t="n">
        <v>3</v>
      </c>
      <c r="BD250" t="inlineStr">
        <is>
          <t>atgm</t>
        </is>
      </c>
      <c r="BE250" t="inlineStr">
        <is>
          <t>Wikipedia '9M133 Kornet': 2-3 rpm</t>
        </is>
      </c>
      <c r="BF250" t="inlineStr">
        <is>
          <t>real 9M133 Kornet 3 rpm (20 s); wave 1's 6.39 s is too fast</t>
        </is>
      </c>
      <c r="BG250" t="inlineStr">
        <is>
          <t>doi</t>
        </is>
      </c>
      <c r="BH250" t="n">
        <v>350</v>
      </c>
      <c r="BI250" t="n">
        <v>230</v>
      </c>
      <c r="BJ250" t="n">
        <v>5</v>
      </c>
      <c r="BK250" t="n">
        <v>20</v>
      </c>
      <c r="BR250" t="n">
        <v>22</v>
      </c>
      <c r="BS250" t="n">
        <v>80</v>
      </c>
      <c r="DD250" t="n">
        <v>20</v>
      </c>
      <c r="DE250" t="n">
        <v>230</v>
      </c>
      <c r="DO250" t="n">
        <v>1</v>
      </c>
      <c r="DT250" t="inlineStr">
        <is>
          <t>p26_matriarch_ma_atgm</t>
        </is>
      </c>
      <c r="GD250" t="inlineStr">
        <is>
          <t>Assets/MachineBrigade/Resources/Data/balance.json: weapons[180]</t>
        </is>
      </c>
      <c r="GE250" t="inlineStr">
        <is>
          <t>{"id":"p26_matriarch_direct_ma_atgm","groundMinReach":1,"inherits":"p26_matriarch_ma_atgm","cooldown":20,"damage":230}</t>
        </is>
      </c>
    </row>
    <row r="251">
      <c r="A251" t="inlineStr">
        <is>
          <t>p26_matriarch_ma_atgm</t>
        </is>
      </c>
      <c r="B251" t="inlineStr">
        <is>
          <t>9M133 Kornet</t>
        </is>
      </c>
      <c r="C251" t="inlineStr">
        <is>
          <t>atgm_kornet</t>
        </is>
      </c>
      <c r="D251" t="inlineStr"/>
      <c r="E251" t="inlineStr"/>
      <c r="F251" t="inlineStr">
        <is>
          <t>atgm</t>
        </is>
      </c>
      <c r="G251" t="inlineStr"/>
      <c r="H251" t="n">
        <v>7</v>
      </c>
      <c r="I251" t="inlineStr"/>
      <c r="J251" t="inlineStr"/>
      <c r="K251" t="inlineStr">
        <is>
          <t>ShapedCharge</t>
        </is>
      </c>
      <c r="L251" t="n">
        <v>5</v>
      </c>
      <c r="M251" t="inlineStr">
        <is>
          <t>Missile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2</v>
      </c>
      <c r="S251" t="n">
        <v>0</v>
      </c>
      <c r="T251" t="n">
        <v>0</v>
      </c>
      <c r="U251" t="n">
        <v>0</v>
      </c>
      <c r="V251" t="n">
        <v>0</v>
      </c>
      <c r="W251" t="n">
        <v>340</v>
      </c>
      <c r="X251" t="n">
        <v>0</v>
      </c>
      <c r="Y251" t="n">
        <v>0</v>
      </c>
      <c r="Z251" t="n">
        <v>80</v>
      </c>
      <c r="AA251" t="n">
        <v>55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Medium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29</v>
      </c>
      <c r="AO251" t="n">
        <v>0</v>
      </c>
      <c r="AP251" t="inlineStr">
        <is>
          <t>T2</t>
        </is>
      </c>
      <c r="AQ251" t="inlineStr">
        <is>
          <t>boss_missiles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0.6875</v>
      </c>
      <c r="BB251" t="n">
        <v>3</v>
      </c>
      <c r="BC251" t="n">
        <v>3</v>
      </c>
      <c r="BD251" t="inlineStr">
        <is>
          <t>atgm</t>
        </is>
      </c>
      <c r="BE251" t="inlineStr">
        <is>
          <t>Wikipedia '9M133 Kornet': 2-3 rpm</t>
        </is>
      </c>
      <c r="BG251" t="inlineStr">
        <is>
          <t>doi</t>
        </is>
      </c>
      <c r="BR251" t="n">
        <v>22</v>
      </c>
      <c r="BS251" t="n">
        <v>80</v>
      </c>
      <c r="DD251" t="n">
        <v>2</v>
      </c>
      <c r="DE251" t="n">
        <v>340</v>
      </c>
      <c r="DT251" t="inlineStr">
        <is>
          <t>boss_missiles</t>
        </is>
      </c>
      <c r="EB251" t="n">
        <v>5</v>
      </c>
      <c r="EP251" t="n">
        <v>55</v>
      </c>
      <c r="EQ251" t="inlineStr">
        <is>
          <t>9M133 Kornet</t>
        </is>
      </c>
      <c r="GA251" t="inlineStr"/>
      <c r="GD251" t="inlineStr">
        <is>
          <t>Assets/MachineBrigade/Resources/Data/balance.json: weapons[178]</t>
        </is>
      </c>
      <c r="GE251" t="inlineStr">
        <is>
          <t>{"id":"p26_matriarch_ma_atgm","inherits":"boss_missiles","weaponFamily":"","real":"9M133 Kornet","damage":340,"cooldown":2,"pen":5,"range":55}</t>
        </is>
      </c>
    </row>
    <row r="252">
      <c r="A252" t="inlineStr">
        <is>
          <t>p26_matriarch_ma_drones</t>
        </is>
      </c>
      <c r="B252" t="inlineStr">
        <is>
          <t>ZALA Lancet-3 swarm</t>
        </is>
      </c>
      <c r="C252" t="inlineStr">
        <is>
          <t>drone_zala_lancet_3_swarm</t>
        </is>
      </c>
      <c r="D252" t="inlineStr"/>
      <c r="E252" t="inlineStr"/>
      <c r="F252" t="inlineStr">
        <is>
          <t>drone</t>
        </is>
      </c>
      <c r="G252" t="inlineStr"/>
      <c r="H252" t="n">
        <v>3</v>
      </c>
      <c r="I252" t="inlineStr"/>
      <c r="J252" t="inlineStr"/>
      <c r="K252" t="inlineStr">
        <is>
          <t>ShapedCharge</t>
        </is>
      </c>
      <c r="L252" t="n">
        <v>4</v>
      </c>
      <c r="M252" t="inlineStr">
        <is>
          <t>Drone</t>
        </is>
      </c>
      <c r="N252" t="n">
        <v>1</v>
      </c>
      <c r="O252" t="inlineStr">
        <is>
          <t>RIPPLE</t>
        </is>
      </c>
      <c r="P252" t="n">
        <v>6</v>
      </c>
      <c r="Q252" t="n">
        <v>0.2</v>
      </c>
      <c r="R252" t="n">
        <v>4</v>
      </c>
      <c r="S252" t="n">
        <v>0</v>
      </c>
      <c r="T252" t="n">
        <v>0</v>
      </c>
      <c r="U252" t="n">
        <v>0</v>
      </c>
      <c r="V252" t="n">
        <v>0</v>
      </c>
      <c r="W252" t="n">
        <v>320</v>
      </c>
      <c r="X252" t="n">
        <v>3</v>
      </c>
      <c r="Y252" t="n">
        <v>6</v>
      </c>
      <c r="Z252" t="n">
        <v>28</v>
      </c>
      <c r="AA252" t="n">
        <v>70</v>
      </c>
      <c r="AB252" t="n">
        <v>0</v>
      </c>
      <c r="AC252" t="inlineStr">
        <is>
          <t>Ground</t>
        </is>
      </c>
      <c r="AD252" t="inlineStr"/>
      <c r="AE252" t="n">
        <v>0</v>
      </c>
      <c r="AF252" t="inlineStr">
        <is>
          <t>Large</t>
        </is>
      </c>
      <c r="AG252" t="b">
        <v>1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3</v>
      </c>
      <c r="AO252" t="n">
        <v>0</v>
      </c>
      <c r="AP252" t="inlineStr">
        <is>
          <t>T2</t>
        </is>
      </c>
      <c r="AQ252" t="inlineStr">
        <is>
          <t>mothership_drones</t>
        </is>
      </c>
      <c r="AR252" t="inlineStr"/>
      <c r="AS252" t="inlineStr">
        <is>
          <t>boss</t>
        </is>
      </c>
      <c r="AT252" t="inlineStr">
        <is>
          <t>drone_mothership</t>
        </is>
      </c>
      <c r="AU252" t="n">
        <v>1</v>
      </c>
      <c r="AV252" t="inlineStr">
        <is>
          <t>drone_mothership:1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2.5</v>
      </c>
      <c r="BB252" t="inlineStr">
        <is>
          <t>NEED_SOURCE</t>
        </is>
      </c>
      <c r="BC252" t="inlineStr">
        <is>
          <t>NEED_SOURCE</t>
        </is>
      </c>
      <c r="BE252" t="inlineStr">
        <is>
          <t>NEED_SOURCE</t>
        </is>
      </c>
      <c r="BF252" t="inlineStr">
        <is>
          <t>a six-drone swarm: no real rate and no wave 1 row (wave 1's mothership_drones is a 4-drone salvo)</t>
        </is>
      </c>
      <c r="BG252" t="inlineStr">
        <is>
          <t>giong</t>
        </is>
      </c>
      <c r="CR252" t="n">
        <v>6</v>
      </c>
      <c r="CS252" t="n">
        <v>0.2</v>
      </c>
      <c r="DD252" t="n">
        <v>4</v>
      </c>
      <c r="DE252" t="n">
        <v>320</v>
      </c>
      <c r="DG252" t="n">
        <v>6</v>
      </c>
      <c r="DO252" t="n">
        <v>1</v>
      </c>
      <c r="DT252" t="inlineStr">
        <is>
          <t>mothership_drones</t>
        </is>
      </c>
      <c r="EQ252" t="inlineStr">
        <is>
          <t>ZALA Lancet-3 swarm</t>
        </is>
      </c>
      <c r="EY252" t="n">
        <v>3</v>
      </c>
      <c r="GA252" t="inlineStr"/>
      <c r="GB252" t="inlineStr">
        <is>
          <t>drone_zala_lancet_3_swarm</t>
        </is>
      </c>
      <c r="GD252" t="inlineStr">
        <is>
          <t>Assets/MachineBrigade/Resources/Data/balance.json: weapons[176]</t>
        </is>
      </c>
      <c r="GE252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3">
      <c r="A253" t="inlineStr">
        <is>
          <t>p26_matriarch_sec_autocannon_30</t>
        </is>
      </c>
      <c r="B253" t="inlineStr">
        <is>
          <t>2A42 30 mm</t>
        </is>
      </c>
      <c r="C253" t="inlineStr">
        <is>
          <t>cal_30</t>
        </is>
      </c>
      <c r="D253" t="inlineStr"/>
      <c r="E253" t="inlineStr"/>
      <c r="F253" t="inlineStr">
        <is>
          <t>autocannon</t>
        </is>
      </c>
      <c r="G253" t="n">
        <v>30</v>
      </c>
      <c r="H253" t="inlineStr"/>
      <c r="I253" t="inlineStr"/>
      <c r="J253" t="inlineStr"/>
      <c r="K253" t="inlineStr">
        <is>
          <t>Kinetic</t>
        </is>
      </c>
      <c r="L253" t="n">
        <v>2</v>
      </c>
      <c r="M253" t="inlineStr">
        <is>
          <t>Bullet</t>
        </is>
      </c>
      <c r="N253" t="n">
        <v>1</v>
      </c>
      <c r="O253" t="inlineStr">
        <is>
          <t>RIPPLE</t>
        </is>
      </c>
      <c r="P253" t="n">
        <v>10</v>
      </c>
      <c r="Q253" t="n">
        <v>0.1111</v>
      </c>
      <c r="R253" t="n">
        <v>1.5</v>
      </c>
      <c r="S253" t="n">
        <v>0</v>
      </c>
      <c r="T253" t="n">
        <v>0</v>
      </c>
      <c r="U253" t="n">
        <v>0</v>
      </c>
      <c r="V253" t="n">
        <v>0</v>
      </c>
      <c r="W253" t="n">
        <v>22</v>
      </c>
      <c r="X253" t="n">
        <v>0</v>
      </c>
      <c r="Y253" t="n">
        <v>0</v>
      </c>
      <c r="Z253" t="n">
        <v>200</v>
      </c>
      <c r="AA253" t="n">
        <v>30</v>
      </c>
      <c r="AB253" t="n">
        <v>0</v>
      </c>
      <c r="AC253" t="inlineStr">
        <is>
          <t>Ground</t>
        </is>
      </c>
      <c r="AD253" t="inlineStr"/>
      <c r="AE253" t="n">
        <v>0.8</v>
      </c>
      <c r="AF253" t="inlineStr">
        <is>
          <t>Small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30</v>
      </c>
      <c r="AO253" t="n">
        <v>0</v>
      </c>
      <c r="AP253" t="inlineStr">
        <is>
          <t>T1</t>
        </is>
      </c>
      <c r="AQ253" t="inlineStr">
        <is>
          <t>autocannon_30</t>
        </is>
      </c>
      <c r="AR253" t="inlineStr"/>
      <c r="AS253" t="inlineStr">
        <is>
          <t>boss</t>
        </is>
      </c>
      <c r="AT253" t="inlineStr">
        <is>
          <t>drone_mothership</t>
        </is>
      </c>
      <c r="AU253" t="n">
        <v>1</v>
      </c>
      <c r="AV253" t="inlineStr">
        <is>
          <t>drone_mothership:6;drone_mothership:7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0.15</v>
      </c>
      <c r="BB253" t="n">
        <v>800</v>
      </c>
      <c r="BC253" t="n">
        <v>300</v>
      </c>
      <c r="BD253" t="inlineStr">
        <is>
          <t>ac</t>
        </is>
      </c>
      <c r="BE253" t="inlineStr">
        <is>
          <t>Wikipedia '2A42': 550-800 high, 200-300 low rpm</t>
        </is>
      </c>
      <c r="BF253" t="inlineStr">
        <is>
          <t>wave 1 autocannon_30: 10 rounds at 540 rpm every 2.5 s (2A42 550-800 rpm)</t>
        </is>
      </c>
      <c r="BG253" t="inlineStr">
        <is>
          <t>doi</t>
        </is>
      </c>
      <c r="BH253" t="n">
        <v>42</v>
      </c>
      <c r="BI253" t="n">
        <v>22</v>
      </c>
      <c r="BJ253" t="n">
        <v>1</v>
      </c>
      <c r="BK253" t="n">
        <v>1.5</v>
      </c>
      <c r="CS253" t="n">
        <v>0.1111</v>
      </c>
      <c r="DD253" t="n">
        <v>1.5</v>
      </c>
      <c r="DE253" t="n">
        <v>22</v>
      </c>
      <c r="DT253" t="inlineStr">
        <is>
          <t>autocannon_30</t>
        </is>
      </c>
      <c r="GA253" t="inlineStr"/>
      <c r="GD253" t="inlineStr">
        <is>
          <t>Assets/MachineBrigade/Resources/Data/balance.json: weapons[179]</t>
        </is>
      </c>
      <c r="GE253" t="inlineStr">
        <is>
          <t>{"id":"p26_matriarch_sec_autocannon_30","inherits":"autocannon_30","burstInterval":0.1111,"weaponFamily":"","cooldown":1.5,"damage":22}</t>
        </is>
      </c>
    </row>
    <row r="254">
      <c r="A254" t="inlineStr">
        <is>
          <t>p26_matriarch_tiny_mothership_cannon</t>
        </is>
      </c>
      <c r="B254" t="inlineStr">
        <is>
          <t>AU-220 57 mm</t>
        </is>
      </c>
      <c r="C254" t="inlineStr">
        <is>
          <t>cal_57</t>
        </is>
      </c>
      <c r="D254" t="inlineStr"/>
      <c r="E254" t="inlineStr"/>
      <c r="F254" t="inlineStr">
        <is>
          <t>autocannon</t>
        </is>
      </c>
      <c r="G254" t="n">
        <v>57</v>
      </c>
      <c r="H254" t="inlineStr"/>
      <c r="I254" t="inlineStr"/>
      <c r="J254" t="inlineStr"/>
      <c r="K254" t="inlineStr">
        <is>
          <t>HighExplosive</t>
        </is>
      </c>
      <c r="L254" t="n">
        <v>2</v>
      </c>
      <c r="M254" t="inlineStr">
        <is>
          <t>Shell</t>
        </is>
      </c>
      <c r="N254" t="n">
        <v>1</v>
      </c>
      <c r="O254" t="inlineStr">
        <is>
          <t>RIPPLE</t>
        </is>
      </c>
      <c r="P254" t="n">
        <v>4</v>
      </c>
      <c r="Q254" t="n">
        <v>0.5</v>
      </c>
      <c r="R254" t="n">
        <v>2.79</v>
      </c>
      <c r="S254" t="n">
        <v>0</v>
      </c>
      <c r="T254" t="n">
        <v>0</v>
      </c>
      <c r="U254" t="n">
        <v>0</v>
      </c>
      <c r="V254" t="n">
        <v>0</v>
      </c>
      <c r="W254" t="n">
        <v>120</v>
      </c>
      <c r="X254" t="n">
        <v>3</v>
      </c>
      <c r="Y254" t="n">
        <v>6</v>
      </c>
      <c r="Z254" t="n">
        <v>150</v>
      </c>
      <c r="AA254" t="n">
        <v>45</v>
      </c>
      <c r="AB254" t="n">
        <v>0</v>
      </c>
      <c r="AC254" t="inlineStr">
        <is>
          <t>Ground</t>
        </is>
      </c>
      <c r="AD254" t="inlineStr"/>
      <c r="AE254" t="n">
        <v>2.5</v>
      </c>
      <c r="AF254" t="inlineStr">
        <is>
          <t>Large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57</v>
      </c>
      <c r="AO254" t="n">
        <v>0</v>
      </c>
      <c r="AP254" t="inlineStr">
        <is>
          <t>T2</t>
        </is>
      </c>
      <c r="AQ254" t="inlineStr">
        <is>
          <t>mothership_cannon</t>
        </is>
      </c>
      <c r="AR254" t="inlineStr"/>
      <c r="AS254" t="inlineStr">
        <is>
          <t>boss</t>
        </is>
      </c>
      <c r="AT254" t="inlineStr">
        <is>
          <t>drone_mothership</t>
        </is>
      </c>
      <c r="AU254" t="n">
        <v>1</v>
      </c>
      <c r="AV254" t="inlineStr">
        <is>
          <t>drone_mothership:0;drone_mothership:4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0.3</v>
      </c>
      <c r="BB254" t="n">
        <v>120</v>
      </c>
      <c r="BC254" t="n">
        <v>80</v>
      </c>
      <c r="BD254" t="inlineStr">
        <is>
          <t>ac</t>
        </is>
      </c>
      <c r="BE254" t="inlineStr">
        <is>
          <t>Wikipedia 'AU-220M': 80-120 rpm</t>
        </is>
      </c>
      <c r="BF254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4" t="inlineStr">
        <is>
          <t>doi</t>
        </is>
      </c>
      <c r="BH254" t="n">
        <v>14</v>
      </c>
      <c r="BI254" t="n">
        <v>120</v>
      </c>
      <c r="BJ254" t="n">
        <v>3.29</v>
      </c>
      <c r="BK254" t="n">
        <v>2.79</v>
      </c>
      <c r="BN254" t="n">
        <v>3.5</v>
      </c>
      <c r="BO254" t="n">
        <v>3</v>
      </c>
      <c r="BP254" t="n">
        <v>0</v>
      </c>
      <c r="BQ254" t="n">
        <v>6</v>
      </c>
      <c r="DD254" t="n">
        <v>2.79</v>
      </c>
      <c r="DE254" t="n">
        <v>120</v>
      </c>
      <c r="DG254" t="n">
        <v>6</v>
      </c>
      <c r="DO254" t="n">
        <v>11</v>
      </c>
      <c r="DT254" t="inlineStr">
        <is>
          <t>mothership_cannon</t>
        </is>
      </c>
      <c r="EY254" t="n">
        <v>3</v>
      </c>
      <c r="GD254" t="inlineStr">
        <is>
          <t>Assets/MachineBrigade/Resources/Data/balance.json: weapons[182]</t>
        </is>
      </c>
      <c r="GE254" t="inlineStr">
        <is>
          <t>{"id":"p26_matriarch_tiny_mothership_cannon","groundMinReach":11,"inherits":"mothership_cannon","cooldown":2.79,"edge":6,"splash":3,"damage":120}</t>
        </is>
      </c>
    </row>
    <row r="255">
      <c r="A255" t="inlineStr">
        <is>
          <t>p26_moloch_close_boss_flak</t>
        </is>
      </c>
      <c r="B255" t="inlineStr">
        <is>
          <t>Oerlikon 35 mm (twin)</t>
        </is>
      </c>
      <c r="C255" t="inlineStr">
        <is>
          <t>cal_35</t>
        </is>
      </c>
      <c r="D255" t="inlineStr"/>
      <c r="E255" t="inlineStr"/>
      <c r="F255" t="inlineStr">
        <is>
          <t>autocannon</t>
        </is>
      </c>
      <c r="G255" t="n">
        <v>35</v>
      </c>
      <c r="H255" t="inlineStr"/>
      <c r="I255" t="inlineStr"/>
      <c r="J255" t="inlineStr"/>
      <c r="K255" t="inlineStr">
        <is>
          <t>Fragmentation</t>
        </is>
      </c>
      <c r="L255" t="n">
        <v>2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0.05</v>
      </c>
      <c r="S255" t="n">
        <v>41</v>
      </c>
      <c r="T255" t="n">
        <v>3.38</v>
      </c>
      <c r="U255" t="n">
        <v>0</v>
      </c>
      <c r="V255" t="n">
        <v>0</v>
      </c>
      <c r="W255" t="n">
        <v>25</v>
      </c>
      <c r="X255" t="n">
        <v>2.5</v>
      </c>
      <c r="Y255" t="n">
        <v>0</v>
      </c>
      <c r="Z255" t="n">
        <v>260</v>
      </c>
      <c r="AA255" t="n">
        <v>40</v>
      </c>
      <c r="AB255" t="n">
        <v>0</v>
      </c>
      <c r="AC255" t="inlineStr">
        <is>
          <t>All</t>
        </is>
      </c>
      <c r="AD255" t="inlineStr"/>
      <c r="AE255" t="n">
        <v>1.5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35</v>
      </c>
      <c r="AO255" t="n">
        <v>0</v>
      </c>
      <c r="AP255" t="inlineStr">
        <is>
          <t>T1</t>
        </is>
      </c>
      <c r="AQ255" t="inlineStr">
        <is>
          <t>boss_flak</t>
        </is>
      </c>
      <c r="AR255" t="inlineStr"/>
      <c r="AS255" t="inlineStr">
        <is>
          <t>boss</t>
        </is>
      </c>
      <c r="AT255" t="inlineStr">
        <is>
          <t>moloch</t>
        </is>
      </c>
      <c r="AU255" t="n">
        <v>1</v>
      </c>
      <c r="AV255" t="inlineStr">
        <is>
          <t>moloch:6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0.1538461538461539</v>
      </c>
      <c r="BB255" t="n">
        <v>550</v>
      </c>
      <c r="BC255" t="n">
        <v>300</v>
      </c>
      <c r="BD255" t="inlineStr">
        <is>
          <t>aa</t>
        </is>
      </c>
      <c r="BE255" t="inlineStr">
        <is>
          <t>Wikipedia 'Oerlikon GDF': 550 rpm a gun (the twin: 1,100)</t>
        </is>
      </c>
      <c r="BF255" t="inlineStr">
        <is>
          <t>wave 1 boss_flak: 41 rounds at 1,200 rpm, changed in 3.38 s (twin Oerlikon GDF 2 x 550 rpm)</t>
        </is>
      </c>
      <c r="BG255" t="inlineStr">
        <is>
          <t>doi</t>
        </is>
      </c>
      <c r="BH255" t="n">
        <v>70</v>
      </c>
      <c r="BI255" t="n">
        <v>25</v>
      </c>
      <c r="CX255" t="n">
        <v>3.38</v>
      </c>
      <c r="DD255" t="n">
        <v>0.05</v>
      </c>
      <c r="DE255" t="n">
        <v>25</v>
      </c>
      <c r="DT255" t="inlineStr">
        <is>
          <t>boss_flak</t>
        </is>
      </c>
      <c r="GA255" t="inlineStr"/>
      <c r="GD255" t="inlineStr">
        <is>
          <t>Assets/MachineBrigade/Resources/Data/balance.json: weapons[187]</t>
        </is>
      </c>
      <c r="GE255" t="inlineStr">
        <is>
          <t>{"id":"p26_moloch_close_boss_flak","inherits":"boss_flak","clipReload":3.38,"cooldown":0.05,"weaponFamily":"","damage":25}</t>
        </is>
      </c>
    </row>
    <row r="256">
      <c r="A256" t="inlineStr">
        <is>
          <t>p26_moloch_direct_mo120ap</t>
        </is>
      </c>
      <c r="B256" t="inlineStr">
        <is>
          <t>Rh-120 L/44 120 mm AP (twin)</t>
        </is>
      </c>
      <c r="C256" t="inlineStr">
        <is>
          <t>cal_120_ap</t>
        </is>
      </c>
      <c r="D256" t="inlineStr"/>
      <c r="E256" t="inlineStr"/>
      <c r="F256" t="inlineStr">
        <is>
          <t>tank_gun</t>
        </is>
      </c>
      <c r="G256" t="n">
        <v>120</v>
      </c>
      <c r="H256" t="inlineStr"/>
      <c r="I256" t="inlineStr"/>
      <c r="J256" t="inlineStr"/>
      <c r="K256" t="inlineStr">
        <is>
          <t>Kinetic</t>
        </is>
      </c>
      <c r="L256" t="n">
        <v>5</v>
      </c>
      <c r="M256" t="inlineStr">
        <is>
          <t>Shell</t>
        </is>
      </c>
      <c r="N256" t="n">
        <v>2</v>
      </c>
      <c r="O256" t="inlineStr">
        <is>
          <t>SIMULTANEOUS</t>
        </is>
      </c>
      <c r="P256" t="n">
        <v>1</v>
      </c>
      <c r="Q256" t="n">
        <v>0.1</v>
      </c>
      <c r="R256" t="n">
        <v>7.5</v>
      </c>
      <c r="S256" t="n">
        <v>0</v>
      </c>
      <c r="T256" t="n">
        <v>0</v>
      </c>
      <c r="U256" t="n">
        <v>0</v>
      </c>
      <c r="V256" t="n">
        <v>0</v>
      </c>
      <c r="W256" t="n">
        <v>260</v>
      </c>
      <c r="X256" t="n">
        <v>0</v>
      </c>
      <c r="Y256" t="n">
        <v>0</v>
      </c>
      <c r="Z256" t="n">
        <v>170</v>
      </c>
      <c r="AA256" t="n">
        <v>32</v>
      </c>
      <c r="AB256" t="n">
        <v>0</v>
      </c>
      <c r="AC256" t="inlineStr">
        <is>
          <t>Ground</t>
        </is>
      </c>
      <c r="AD256" t="inlineStr"/>
      <c r="AE256" t="n">
        <v>0.6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120</v>
      </c>
      <c r="AO256" t="n">
        <v>0</v>
      </c>
      <c r="AP256" t="inlineStr">
        <is>
          <t>T3</t>
        </is>
      </c>
      <c r="AQ256" t="inlineStr">
        <is>
          <t>p26_moloch_mo120ap</t>
        </is>
      </c>
      <c r="AR256" t="inlineStr"/>
      <c r="AS256" t="inlineStr">
        <is>
          <t>boss</t>
        </is>
      </c>
      <c r="AT256" t="inlineStr">
        <is>
          <t>moloch</t>
        </is>
      </c>
      <c r="AU256" t="n">
        <v>1</v>
      </c>
      <c r="AV256" t="inlineStr">
        <is>
          <t>moloch:4;moloch:5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0.1882352941176471</v>
      </c>
      <c r="BB256" t="n">
        <v>8</v>
      </c>
      <c r="BC256" t="n">
        <v>6</v>
      </c>
      <c r="BD256" t="inlineStr">
        <is>
          <t>gun</t>
        </is>
      </c>
      <c r="BE256" t="inlineStr">
        <is>
          <t>the sheet's 'Ngoài đời': Rh-120 6-8 rpm with a loader (Wikipedia 'Rheinmetall 120 mm gun')</t>
        </is>
      </c>
      <c r="BF256" t="inlineStr">
        <is>
          <t>real Rh-120 with a loader, 8 rpm (7.5 s); wave 1's 5.1 s is too fast after the 30 % rule; made up: a twin Rh-120 (wave 1's gun_120_twin); made up: a twin Rh-120 (wave 1's gun_120_twin)</t>
        </is>
      </c>
      <c r="BG256" t="inlineStr">
        <is>
          <t>doi</t>
        </is>
      </c>
      <c r="BH256" t="n">
        <v>220</v>
      </c>
      <c r="BI256" t="n">
        <v>260</v>
      </c>
      <c r="BJ256" t="n">
        <v>2</v>
      </c>
      <c r="BK256" t="n">
        <v>7.5</v>
      </c>
      <c r="BX256" t="n">
        <v>1</v>
      </c>
      <c r="BY256" t="n">
        <v>2</v>
      </c>
      <c r="BZ256" t="inlineStr">
        <is>
          <t>RIPPLE</t>
        </is>
      </c>
      <c r="CA256" t="inlineStr">
        <is>
          <t>SIMULTANEOUS</t>
        </is>
      </c>
      <c r="CO256" t="n">
        <v>2</v>
      </c>
      <c r="DD256" t="n">
        <v>7.5</v>
      </c>
      <c r="DE256" t="n">
        <v>260</v>
      </c>
      <c r="DO256" t="n">
        <v>25</v>
      </c>
      <c r="DT256" t="inlineStr">
        <is>
          <t>p26_moloch_mo120ap</t>
        </is>
      </c>
      <c r="EQ256" t="inlineStr">
        <is>
          <t>Rh-120 L/44 120 mm AP (twin)</t>
        </is>
      </c>
      <c r="EW256" t="inlineStr">
        <is>
          <t>SIMULTANEOUS</t>
        </is>
      </c>
      <c r="GD256" t="inlineStr">
        <is>
          <t>Assets/MachineBrigade/Resources/Data/balance.json: weapons[186]</t>
        </is>
      </c>
      <c r="GE256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57">
      <c r="A257" t="inlineStr">
        <is>
          <t>p26_moloch_main_mo120</t>
        </is>
      </c>
      <c r="B257" t="inlineStr">
        <is>
          <t>Rh-120 L/44 120 mm HE (twin)</t>
        </is>
      </c>
      <c r="C257" t="inlineStr">
        <is>
          <t>cal_120_he</t>
        </is>
      </c>
      <c r="D257" t="inlineStr"/>
      <c r="E257" t="inlineStr"/>
      <c r="F257" t="inlineStr">
        <is>
          <t>tank_gun</t>
        </is>
      </c>
      <c r="G257" t="n">
        <v>120</v>
      </c>
      <c r="H257" t="inlineStr"/>
      <c r="I257" t="inlineStr"/>
      <c r="J257" t="inlineStr"/>
      <c r="K257" t="inlineStr">
        <is>
          <t>HighExplosive</t>
        </is>
      </c>
      <c r="L257" t="n">
        <v>4</v>
      </c>
      <c r="M257" t="inlineStr">
        <is>
          <t>Shell</t>
        </is>
      </c>
      <c r="N257" t="n">
        <v>2</v>
      </c>
      <c r="O257" t="inlineStr">
        <is>
          <t>SIMULTANEOUS</t>
        </is>
      </c>
      <c r="P257" t="n">
        <v>1</v>
      </c>
      <c r="Q257" t="n">
        <v>0.1</v>
      </c>
      <c r="R257" t="n">
        <v>7.5</v>
      </c>
      <c r="S257" t="n">
        <v>0</v>
      </c>
      <c r="T257" t="n">
        <v>0</v>
      </c>
      <c r="U257" t="n">
        <v>0</v>
      </c>
      <c r="V257" t="n">
        <v>0</v>
      </c>
      <c r="W257" t="n">
        <v>340</v>
      </c>
      <c r="X257" t="n">
        <v>5</v>
      </c>
      <c r="Y257" t="n">
        <v>10</v>
      </c>
      <c r="Z257" t="n">
        <v>170</v>
      </c>
      <c r="AA257" t="n">
        <v>32</v>
      </c>
      <c r="AB257" t="n">
        <v>0</v>
      </c>
      <c r="AC257" t="inlineStr">
        <is>
          <t>Ground</t>
        </is>
      </c>
      <c r="AD257" t="inlineStr"/>
      <c r="AE257" t="n">
        <v>0.6</v>
      </c>
      <c r="AF257" t="inlineStr">
        <is>
          <t>Medium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120</v>
      </c>
      <c r="AO257" t="n">
        <v>0</v>
      </c>
      <c r="AP257" t="inlineStr">
        <is>
          <t>T3</t>
        </is>
      </c>
      <c r="AQ257" t="inlineStr">
        <is>
          <t>p26_moloch_mo120</t>
        </is>
      </c>
      <c r="AR257" t="inlineStr"/>
      <c r="AS257" t="inlineStr">
        <is>
          <t>boss</t>
        </is>
      </c>
      <c r="AT257" t="inlineStr">
        <is>
          <t>moloch</t>
        </is>
      </c>
      <c r="AU257" t="n">
        <v>1</v>
      </c>
      <c r="AV257" t="inlineStr">
        <is>
          <t>moloch:0;moloch:3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0.1882352941176471</v>
      </c>
      <c r="BB257" t="n">
        <v>8</v>
      </c>
      <c r="BC257" t="n">
        <v>6</v>
      </c>
      <c r="BD257" t="inlineStr">
        <is>
          <t>gun</t>
        </is>
      </c>
      <c r="BE257" t="inlineStr">
        <is>
          <t>the sheet's 'Ngoài đời': Rh-120 6-8 rpm with a loader (Wikipedia 'Rheinmetall 120 mm gun')</t>
        </is>
      </c>
      <c r="BF257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57" t="inlineStr">
        <is>
          <t>doi</t>
        </is>
      </c>
      <c r="BH257" t="n">
        <v>300</v>
      </c>
      <c r="BI257" t="n">
        <v>340</v>
      </c>
      <c r="BJ257" t="n">
        <v>1</v>
      </c>
      <c r="BK257" t="n">
        <v>7.5</v>
      </c>
      <c r="BX257" t="n">
        <v>1</v>
      </c>
      <c r="BY257" t="n">
        <v>2</v>
      </c>
      <c r="BZ257" t="inlineStr">
        <is>
          <t>RIPPLE</t>
        </is>
      </c>
      <c r="CA257" t="inlineStr">
        <is>
          <t>SIMULTANEOUS</t>
        </is>
      </c>
      <c r="CO257" t="n">
        <v>2</v>
      </c>
      <c r="DD257" t="n">
        <v>7.5</v>
      </c>
      <c r="DE257" t="n">
        <v>340</v>
      </c>
      <c r="DO257" t="n">
        <v>25</v>
      </c>
      <c r="DT257" t="inlineStr">
        <is>
          <t>p26_moloch_mo120</t>
        </is>
      </c>
      <c r="EQ257" t="inlineStr">
        <is>
          <t>Rh-120 L/44 120 mm HE (twin)</t>
        </is>
      </c>
      <c r="EW257" t="inlineStr">
        <is>
          <t>SIMULTANEOUS</t>
        </is>
      </c>
      <c r="GD257" t="inlineStr">
        <is>
          <t>Assets/MachineBrigade/Resources/Data/balance.json: weapons[185]</t>
        </is>
      </c>
      <c r="GE257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58">
      <c r="A258" t="inlineStr">
        <is>
          <t>p26_moloch_mo120</t>
        </is>
      </c>
      <c r="B258" t="inlineStr">
        <is>
          <t>Rh-120 L/44 120 mm HE</t>
        </is>
      </c>
      <c r="C258" t="inlineStr">
        <is>
          <t>cal_120_he</t>
        </is>
      </c>
      <c r="D258" t="inlineStr"/>
      <c r="E258" t="inlineStr"/>
      <c r="F258" t="inlineStr">
        <is>
          <t>tank_gun</t>
        </is>
      </c>
      <c r="G258" t="n">
        <v>120</v>
      </c>
      <c r="H258" t="inlineStr"/>
      <c r="I258" t="inlineStr"/>
      <c r="J258" t="inlineStr"/>
      <c r="K258" t="inlineStr">
        <is>
          <t>HighExplosive</t>
        </is>
      </c>
      <c r="L258" t="n">
        <v>4</v>
      </c>
      <c r="M258" t="inlineStr">
        <is>
          <t>Shell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2</v>
      </c>
      <c r="S258" t="n">
        <v>0</v>
      </c>
      <c r="T258" t="n">
        <v>0</v>
      </c>
      <c r="U258" t="n">
        <v>0</v>
      </c>
      <c r="V258" t="n">
        <v>0</v>
      </c>
      <c r="W258" t="n">
        <v>225</v>
      </c>
      <c r="X258" t="n">
        <v>5</v>
      </c>
      <c r="Y258" t="n">
        <v>10</v>
      </c>
      <c r="Z258" t="n">
        <v>170</v>
      </c>
      <c r="AA258" t="n">
        <v>32</v>
      </c>
      <c r="AB258" t="n">
        <v>0</v>
      </c>
      <c r="AC258" t="inlineStr">
        <is>
          <t>Ground</t>
        </is>
      </c>
      <c r="AD258" t="inlineStr"/>
      <c r="AE258" t="n">
        <v>0.6</v>
      </c>
      <c r="AF258" t="inlineStr">
        <is>
          <t>Medium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120</v>
      </c>
      <c r="AO258" t="n">
        <v>0</v>
      </c>
      <c r="AP258" t="inlineStr">
        <is>
          <t>T3</t>
        </is>
      </c>
      <c r="AQ258" t="inlineStr">
        <is>
          <t>gun_120mm</t>
        </is>
      </c>
      <c r="AR258" t="inlineStr"/>
      <c r="AS258" t="inlineStr"/>
      <c r="AT258" t="inlineStr"/>
      <c r="AU258" t="n">
        <v>0</v>
      </c>
      <c r="AV258" t="inlineStr"/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0.1882352941176471</v>
      </c>
      <c r="BB258" t="n">
        <v>8</v>
      </c>
      <c r="BC258" t="n">
        <v>6</v>
      </c>
      <c r="BD258" t="inlineStr">
        <is>
          <t>gun</t>
        </is>
      </c>
      <c r="BE258" t="inlineStr">
        <is>
          <t>the sheet's 'Ngoài đời': Rh-120 6-8 rpm with a loader (Wikipedia 'Rheinmetall 120 mm gun')</t>
        </is>
      </c>
      <c r="BG258" t="inlineStr">
        <is>
          <t>giong</t>
        </is>
      </c>
      <c r="DD258" t="n">
        <v>2</v>
      </c>
      <c r="DE258" t="n">
        <v>225</v>
      </c>
      <c r="DF258" t="inlineStr">
        <is>
          <t>HighExplosive</t>
        </is>
      </c>
      <c r="DG258" t="n">
        <v>10</v>
      </c>
      <c r="DT258" t="inlineStr">
        <is>
          <t>gun_120mm</t>
        </is>
      </c>
      <c r="EB258" t="n">
        <v>4</v>
      </c>
      <c r="EQ258" t="inlineStr">
        <is>
          <t>Rh-120 L/44 120 mm HE</t>
        </is>
      </c>
      <c r="EY258" t="n">
        <v>5</v>
      </c>
      <c r="GA258" t="inlineStr"/>
      <c r="GB258" t="inlineStr">
        <is>
          <t>cal_120_he</t>
        </is>
      </c>
      <c r="GD258" t="inlineStr">
        <is>
          <t>Assets/MachineBrigade/Resources/Data/balance.json: weapons[183]</t>
        </is>
      </c>
      <c r="GE258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59">
      <c r="A259" t="inlineStr">
        <is>
          <t>p26_moloch_mo120ap</t>
        </is>
      </c>
      <c r="B259" t="inlineStr">
        <is>
          <t>Rh-120 L/44 120 mm AP</t>
        </is>
      </c>
      <c r="C259" t="inlineStr">
        <is>
          <t>cal_120_ap</t>
        </is>
      </c>
      <c r="D259" t="inlineStr"/>
      <c r="E259" t="inlineStr"/>
      <c r="F259" t="inlineStr">
        <is>
          <t>tank_gun</t>
        </is>
      </c>
      <c r="G259" t="n">
        <v>120</v>
      </c>
      <c r="H259" t="inlineStr"/>
      <c r="I259" t="inlineStr"/>
      <c r="J259" t="inlineStr"/>
      <c r="K259" t="inlineStr">
        <is>
          <t>Kinetic</t>
        </is>
      </c>
      <c r="L259" t="n">
        <v>5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2</v>
      </c>
      <c r="S259" t="n">
        <v>0</v>
      </c>
      <c r="T259" t="n">
        <v>0</v>
      </c>
      <c r="U259" t="n">
        <v>0</v>
      </c>
      <c r="V259" t="n">
        <v>0</v>
      </c>
      <c r="W259" t="n">
        <v>240</v>
      </c>
      <c r="X259" t="n">
        <v>0</v>
      </c>
      <c r="Y259" t="n">
        <v>0</v>
      </c>
      <c r="Z259" t="n">
        <v>170</v>
      </c>
      <c r="AA259" t="n">
        <v>32</v>
      </c>
      <c r="AB259" t="n">
        <v>0</v>
      </c>
      <c r="AC259" t="inlineStr">
        <is>
          <t>Ground</t>
        </is>
      </c>
      <c r="AD259" t="inlineStr"/>
      <c r="AE259" t="n">
        <v>0.6</v>
      </c>
      <c r="AF259" t="inlineStr">
        <is>
          <t>Medium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120</v>
      </c>
      <c r="AO259" t="n">
        <v>0</v>
      </c>
      <c r="AP259" t="inlineStr">
        <is>
          <t>T3</t>
        </is>
      </c>
      <c r="AQ259" t="inlineStr">
        <is>
          <t>gun_120mm</t>
        </is>
      </c>
      <c r="AR259" t="inlineStr"/>
      <c r="AS259" t="inlineStr"/>
      <c r="AT259" t="inlineStr"/>
      <c r="AU259" t="n">
        <v>0</v>
      </c>
      <c r="AV259" t="inlineStr"/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0.1882352941176471</v>
      </c>
      <c r="BB259" t="n">
        <v>8</v>
      </c>
      <c r="BC259" t="n">
        <v>6</v>
      </c>
      <c r="BD259" t="inlineStr">
        <is>
          <t>gun</t>
        </is>
      </c>
      <c r="BE259" t="inlineStr">
        <is>
          <t>the sheet's 'Ngoài đời': Rh-120 6-8 rpm with a loader (Wikipedia 'Rheinmetall 120 mm gun')</t>
        </is>
      </c>
      <c r="BG259" t="inlineStr">
        <is>
          <t>giong</t>
        </is>
      </c>
      <c r="DD259" t="n">
        <v>2</v>
      </c>
      <c r="DE259" t="n">
        <v>240</v>
      </c>
      <c r="DT259" t="inlineStr">
        <is>
          <t>gun_120mm</t>
        </is>
      </c>
      <c r="EB259" t="n">
        <v>5</v>
      </c>
      <c r="EQ259" t="inlineStr">
        <is>
          <t>Rh-120 L/44 120 mm AP</t>
        </is>
      </c>
      <c r="EY259" t="n">
        <v>0</v>
      </c>
      <c r="GA259" t="inlineStr"/>
      <c r="GD259" t="inlineStr">
        <is>
          <t>Assets/MachineBrigade/Resources/Data/balance.json: weapons[184]</t>
        </is>
      </c>
      <c r="GE259" t="inlineStr">
        <is>
          <t>{"id":"p26_moloch_mo120ap","inherits":"gun_120mm","weaponFamily":"","real":"Rh-120 L/44 120 mm AP","damage":240,"cooldown":2,"pen":5,"splash":0}</t>
        </is>
      </c>
    </row>
    <row r="260">
      <c r="A260" t="inlineStr">
        <is>
          <t>p26_moloch_tiny_zu23</t>
        </is>
      </c>
      <c r="B260" t="inlineStr">
        <is>
          <t>ZU-23-2 23 mm</t>
        </is>
      </c>
      <c r="C260" t="inlineStr">
        <is>
          <t>cal_23</t>
        </is>
      </c>
      <c r="D260" t="inlineStr"/>
      <c r="E260" t="inlineStr"/>
      <c r="F260" t="inlineStr">
        <is>
          <t>autocannon</t>
        </is>
      </c>
      <c r="G260" t="n">
        <v>23</v>
      </c>
      <c r="H260" t="inlineStr"/>
      <c r="I260" t="inlineStr"/>
      <c r="J260" t="inlineStr"/>
      <c r="K260" t="inlineStr">
        <is>
          <t>Fragmentation</t>
        </is>
      </c>
      <c r="L260" t="n">
        <v>1</v>
      </c>
      <c r="M260" t="inlineStr">
        <is>
          <t>Bullet</t>
        </is>
      </c>
      <c r="N260" t="n">
        <v>2</v>
      </c>
      <c r="O260" t="inlineStr">
        <is>
          <t>RIPPLE</t>
        </is>
      </c>
      <c r="P260" t="n">
        <v>1</v>
      </c>
      <c r="Q260" t="n">
        <v>0.1</v>
      </c>
      <c r="R260" t="n">
        <v>0.02</v>
      </c>
      <c r="S260" t="n">
        <v>100</v>
      </c>
      <c r="T260" t="n">
        <v>2.98</v>
      </c>
      <c r="U260" t="n">
        <v>0</v>
      </c>
      <c r="V260" t="n">
        <v>0</v>
      </c>
      <c r="W260" t="n">
        <v>3.5</v>
      </c>
      <c r="X260" t="n">
        <v>0</v>
      </c>
      <c r="Y260" t="n">
        <v>0</v>
      </c>
      <c r="Z260" t="n">
        <v>240</v>
      </c>
      <c r="AA260" t="n">
        <v>38</v>
      </c>
      <c r="AB260" t="n">
        <v>0</v>
      </c>
      <c r="AC260" t="inlineStr">
        <is>
          <t>All</t>
        </is>
      </c>
      <c r="AD260" t="inlineStr"/>
      <c r="AE260" t="n">
        <v>1.6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23</v>
      </c>
      <c r="AO260" t="n">
        <v>0</v>
      </c>
      <c r="AP260" t="inlineStr">
        <is>
          <t>T1</t>
        </is>
      </c>
      <c r="AQ260" t="inlineStr">
        <is>
          <t>zu23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moloch:1;moloch:2</t>
        </is>
      </c>
      <c r="AW260" t="n">
        <v>0</v>
      </c>
      <c r="AX260" t="b">
        <v>0</v>
      </c>
      <c r="AY260" t="inlineStr">
        <is>
          <t>KHONG_AP_DUNG</t>
        </is>
      </c>
      <c r="AZ260">
        <f>IF(AND($AX$260,$AW$260&gt;$AA$260/$Z$260),$AW$260,$AA$260/$Z$260)</f>
        <v/>
      </c>
      <c r="BA260" t="n">
        <v>0.1583333333333333</v>
      </c>
      <c r="BB260" t="n">
        <v>1000</v>
      </c>
      <c r="BC260" t="n">
        <v>400</v>
      </c>
      <c r="BD260" t="inlineStr">
        <is>
          <t>aa</t>
        </is>
      </c>
      <c r="BE260" t="inlineStr">
        <is>
          <t>Wikipedia 'ZU-23-2': 2 x 800-1,000 rpm</t>
        </is>
      </c>
      <c r="BF260" t="inlineStr">
        <is>
          <t>wave 1 zu23: 50 rounds at 1,500 rpm, changed in 3 s (ZU-23-2 2 x 800-1,000 rpm)</t>
        </is>
      </c>
      <c r="BG260" t="inlineStr">
        <is>
          <t>doi</t>
        </is>
      </c>
      <c r="BH260" t="n">
        <v>1.4</v>
      </c>
      <c r="BI260" t="n">
        <v>3.5</v>
      </c>
      <c r="BJ260" t="n">
        <v>0.04</v>
      </c>
      <c r="BK260" t="n">
        <v>0.02</v>
      </c>
      <c r="BX260" t="n">
        <v>1</v>
      </c>
      <c r="BY260" t="n">
        <v>2</v>
      </c>
      <c r="CF260" t="n">
        <v>50</v>
      </c>
      <c r="CG260" t="n">
        <v>100</v>
      </c>
      <c r="CH260" t="n">
        <v>3.04</v>
      </c>
      <c r="CI260" t="n">
        <v>2.98</v>
      </c>
      <c r="CX260" t="n">
        <v>2.98</v>
      </c>
      <c r="DE260" t="n">
        <v>3.5</v>
      </c>
      <c r="DT260" t="inlineStr">
        <is>
          <t>zu23</t>
        </is>
      </c>
      <c r="GD260" t="inlineStr">
        <is>
          <t>Assets/MachineBrigade/Resources/Data/balance.json: weapons[188]</t>
        </is>
      </c>
      <c r="GE260" t="inlineStr">
        <is>
          <t>{"id":"p26_moloch_tiny_zu23","inherits":"zu23","clipReload":2.98,"damage":3.5}</t>
        </is>
      </c>
    </row>
    <row r="261">
      <c r="A261" t="inlineStr">
        <is>
          <t>p26_nemesis_close_boss_flak</t>
        </is>
      </c>
      <c r="B261" t="inlineStr">
        <is>
          <t>Oerlikon 35 mm (twin)</t>
        </is>
      </c>
      <c r="C261" t="inlineStr">
        <is>
          <t>cal_35</t>
        </is>
      </c>
      <c r="D261" t="inlineStr"/>
      <c r="E261" t="inlineStr"/>
      <c r="F261" t="inlineStr">
        <is>
          <t>autocannon</t>
        </is>
      </c>
      <c r="G261" t="n">
        <v>35</v>
      </c>
      <c r="H261" t="inlineStr"/>
      <c r="I261" t="inlineStr"/>
      <c r="J261" t="inlineStr"/>
      <c r="K261" t="inlineStr">
        <is>
          <t>Fragmentation</t>
        </is>
      </c>
      <c r="L261" t="n">
        <v>2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0.05</v>
      </c>
      <c r="S261" t="n">
        <v>41</v>
      </c>
      <c r="T261" t="n">
        <v>3.38</v>
      </c>
      <c r="U261" t="n">
        <v>0</v>
      </c>
      <c r="V261" t="n">
        <v>0</v>
      </c>
      <c r="W261" t="n">
        <v>25</v>
      </c>
      <c r="X261" t="n">
        <v>2.5</v>
      </c>
      <c r="Y261" t="n">
        <v>0</v>
      </c>
      <c r="Z261" t="n">
        <v>260</v>
      </c>
      <c r="AA261" t="n">
        <v>40</v>
      </c>
      <c r="AB261" t="n">
        <v>0</v>
      </c>
      <c r="AC261" t="inlineStr">
        <is>
          <t>All</t>
        </is>
      </c>
      <c r="AD261" t="inlineStr"/>
      <c r="AE261" t="n">
        <v>1.5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35</v>
      </c>
      <c r="AO261" t="n">
        <v>0</v>
      </c>
      <c r="AP261" t="inlineStr">
        <is>
          <t>T1</t>
        </is>
      </c>
      <c r="AQ261" t="inlineStr">
        <is>
          <t>boss_flak</t>
        </is>
      </c>
      <c r="AR261" t="inlineStr"/>
      <c r="AS261" t="inlineStr">
        <is>
          <t>boss</t>
        </is>
      </c>
      <c r="AT261" t="inlineStr">
        <is>
          <t>nuke_train</t>
        </is>
      </c>
      <c r="AU261" t="n">
        <v>1</v>
      </c>
      <c r="AV261" t="inlineStr">
        <is>
          <t>nuke_train:1;nuke_train:2;nuke_train:6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0.1538461538461539</v>
      </c>
      <c r="BB261" t="n">
        <v>550</v>
      </c>
      <c r="BC261" t="n">
        <v>300</v>
      </c>
      <c r="BD261" t="inlineStr">
        <is>
          <t>aa</t>
        </is>
      </c>
      <c r="BE261" t="inlineStr">
        <is>
          <t>Wikipedia 'Oerlikon GDF': 550 rpm a gun (the twin: 1,100)</t>
        </is>
      </c>
      <c r="BF261" t="inlineStr">
        <is>
          <t>wave 1 boss_flak: 41 rounds at 1,200 rpm, changed in 3.38 s (twin Oerlikon GDF 2 x 550 rpm)</t>
        </is>
      </c>
      <c r="BG261" t="inlineStr">
        <is>
          <t>doi</t>
        </is>
      </c>
      <c r="BH261" t="n">
        <v>19</v>
      </c>
      <c r="BI261" t="n">
        <v>25</v>
      </c>
      <c r="CX261" t="n">
        <v>3.38</v>
      </c>
      <c r="DE261" t="n">
        <v>25</v>
      </c>
      <c r="DT261" t="inlineStr">
        <is>
          <t>boss_flak</t>
        </is>
      </c>
      <c r="GA261" t="inlineStr"/>
      <c r="GD261" t="inlineStr">
        <is>
          <t>Assets/MachineBrigade/Resources/Data/balance.json: weapons[194]</t>
        </is>
      </c>
      <c r="GE261" t="inlineStr">
        <is>
          <t>{"id":"p26_nemesis_close_boss_flak","inherits":"boss_flak","clipReload":3.38,"weaponFamily":"","damage":25}</t>
        </is>
      </c>
    </row>
    <row r="262">
      <c r="A262" t="inlineStr">
        <is>
          <t>p26_nemesis_direct_ne125</t>
        </is>
      </c>
      <c r="B262" t="inlineStr">
        <is>
          <t>2A46 125 mm</t>
        </is>
      </c>
      <c r="C262" t="inlineStr">
        <is>
          <t>cal_125_ap</t>
        </is>
      </c>
      <c r="D262" t="inlineStr"/>
      <c r="E262" t="inlineStr"/>
      <c r="F262" t="inlineStr">
        <is>
          <t>tank_gun</t>
        </is>
      </c>
      <c r="G262" t="n">
        <v>125</v>
      </c>
      <c r="H262" t="inlineStr"/>
      <c r="I262" t="inlineStr"/>
      <c r="J262" t="inlineStr"/>
      <c r="K262" t="inlineStr">
        <is>
          <t>Kinetic</t>
        </is>
      </c>
      <c r="L262" t="n">
        <v>5</v>
      </c>
      <c r="M262" t="inlineStr">
        <is>
          <t>Shell</t>
        </is>
      </c>
      <c r="N262" t="n">
        <v>1</v>
      </c>
      <c r="O262" t="inlineStr">
        <is>
          <t>RIPPLE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400</v>
      </c>
      <c r="X262" t="n">
        <v>0</v>
      </c>
      <c r="Y262" t="n">
        <v>0</v>
      </c>
      <c r="Z262" t="n">
        <v>170</v>
      </c>
      <c r="AA262" t="n">
        <v>38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125</v>
      </c>
      <c r="AO262" t="n">
        <v>0</v>
      </c>
      <c r="AP262" t="inlineStr">
        <is>
          <t>T3</t>
        </is>
      </c>
      <c r="AQ262" t="inlineStr">
        <is>
          <t>p26_nemesis_ne125</t>
        </is>
      </c>
      <c r="AR262" t="inlineStr"/>
      <c r="AS262" t="inlineStr">
        <is>
          <t>boss</t>
        </is>
      </c>
      <c r="AT262" t="inlineStr">
        <is>
          <t>nuke_train</t>
        </is>
      </c>
      <c r="AU262" t="n">
        <v>1</v>
      </c>
      <c r="AV262" t="inlineStr">
        <is>
          <t>nuke_train:5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0.2235294117647059</v>
      </c>
      <c r="BB262" t="n">
        <v>8</v>
      </c>
      <c r="BC262" t="n">
        <v>7</v>
      </c>
      <c r="BD262" t="inlineStr">
        <is>
          <t>gun</t>
        </is>
      </c>
      <c r="BE262" t="inlineStr">
        <is>
          <t>Wikipedia '2A46': 7-8 rpm with the autoloader</t>
        </is>
      </c>
      <c r="BF262" t="inlineStr">
        <is>
          <t>real 2A46 with its autoloader, 8 rpm (7.5 s); wave 1's 5.56 s is too fast after the 30 % rule</t>
        </is>
      </c>
      <c r="BG262" t="inlineStr">
        <is>
          <t>doi</t>
        </is>
      </c>
      <c r="BH262" t="n">
        <v>275</v>
      </c>
      <c r="BI262" t="n">
        <v>400</v>
      </c>
      <c r="BJ262" t="n">
        <v>1.5</v>
      </c>
      <c r="BK262" t="n">
        <v>7.5</v>
      </c>
      <c r="DD262" t="n">
        <v>7.5</v>
      </c>
      <c r="DE262" t="n">
        <v>400</v>
      </c>
      <c r="DO262" t="n">
        <v>30</v>
      </c>
      <c r="DT262" t="inlineStr">
        <is>
          <t>p26_nemesis_ne125</t>
        </is>
      </c>
      <c r="GD262" t="inlineStr">
        <is>
          <t>Assets/MachineBrigade/Resources/Data/balance.json: weapons[193]</t>
        </is>
      </c>
      <c r="GE262" t="inlineStr">
        <is>
          <t>{"id":"p26_nemesis_direct_ne125","groundMinReach":30,"inherits":"p26_nemesis_ne125","cooldown":7.5,"damage":400}</t>
        </is>
      </c>
    </row>
    <row r="263">
      <c r="A263" t="inlineStr">
        <is>
          <t>p26_nemesis_main_ne152</t>
        </is>
      </c>
      <c r="B263" t="inlineStr">
        <is>
          <t>152 mm railcar gun</t>
        </is>
      </c>
      <c r="C263" t="inlineStr">
        <is>
          <t>cal_152_155</t>
        </is>
      </c>
      <c r="D263" t="inlineStr"/>
      <c r="E263" t="inlineStr"/>
      <c r="F263" t="inlineStr">
        <is>
          <t>howitzer</t>
        </is>
      </c>
      <c r="G263" t="n">
        <v>152</v>
      </c>
      <c r="H263" t="inlineStr"/>
      <c r="I263" t="inlineStr"/>
      <c r="J263" t="inlineStr"/>
      <c r="K263" t="inlineStr">
        <is>
          <t>HighExplosive</t>
        </is>
      </c>
      <c r="L263" t="n">
        <v>3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0.5</v>
      </c>
      <c r="R263" t="n">
        <v>7.5</v>
      </c>
      <c r="S263" t="n">
        <v>0</v>
      </c>
      <c r="T263" t="n">
        <v>0</v>
      </c>
      <c r="U263" t="n">
        <v>0</v>
      </c>
      <c r="V263" t="n">
        <v>0</v>
      </c>
      <c r="W263" t="n">
        <v>600</v>
      </c>
      <c r="X263" t="n">
        <v>7</v>
      </c>
      <c r="Y263" t="n">
        <v>14</v>
      </c>
      <c r="Z263" t="n">
        <v>150</v>
      </c>
      <c r="AA263" t="n">
        <v>40</v>
      </c>
      <c r="AB263" t="n">
        <v>0</v>
      </c>
      <c r="AC263" t="inlineStr">
        <is>
          <t>Ground</t>
        </is>
      </c>
      <c r="AD263" t="inlineStr"/>
      <c r="AE263" t="n">
        <v>0.8</v>
      </c>
      <c r="AF263" t="inlineStr">
        <is>
          <t>Huge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152</v>
      </c>
      <c r="AO263" t="n">
        <v>0</v>
      </c>
      <c r="AP263" t="inlineStr">
        <is>
          <t>T3</t>
        </is>
      </c>
      <c r="AQ263" t="inlineStr">
        <is>
          <t>p26_nemesis_ne152</t>
        </is>
      </c>
      <c r="AR263" t="inlineStr"/>
      <c r="AS263" t="inlineStr">
        <is>
          <t>boss</t>
        </is>
      </c>
      <c r="AT263" t="inlineStr">
        <is>
          <t>nuke_train</t>
        </is>
      </c>
      <c r="AU263" t="n">
        <v>1</v>
      </c>
      <c r="AV263" t="inlineStr">
        <is>
          <t>nuke_train:0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0.2666666666666667</v>
      </c>
      <c r="BB263" t="n">
        <v>8</v>
      </c>
      <c r="BC263" t="n">
        <v>6</v>
      </c>
      <c r="BD263" t="inlineStr">
        <is>
          <t>gun</t>
        </is>
      </c>
      <c r="BE263" t="inlineStr">
        <is>
          <t>a 152 mm railway mount of the 2A65 class, est. 7-8 rpm</t>
        </is>
      </c>
      <c r="BF263" t="inlineStr">
        <is>
          <t>a 152 mm railway gun of the 2A65 class, 8 rpm (7.5 s); the 4-round 0.5 s salvo was 6 x too fast</t>
        </is>
      </c>
      <c r="BG263" t="inlineStr">
        <is>
          <t>doi</t>
        </is>
      </c>
      <c r="BH263" t="n">
        <v>655</v>
      </c>
      <c r="BI263" t="n">
        <v>600</v>
      </c>
      <c r="BJ263" t="n">
        <v>3</v>
      </c>
      <c r="BK263" t="n">
        <v>7.5</v>
      </c>
      <c r="BN263" t="n">
        <v>8.5</v>
      </c>
      <c r="BO263" t="n">
        <v>7</v>
      </c>
      <c r="BP263" t="n">
        <v>17</v>
      </c>
      <c r="BQ263" t="n">
        <v>14</v>
      </c>
      <c r="BT263" t="n">
        <v>4</v>
      </c>
      <c r="BU263" t="n">
        <v>1</v>
      </c>
      <c r="CR263" t="n">
        <v>1</v>
      </c>
      <c r="DD263" t="n">
        <v>7.5</v>
      </c>
      <c r="DE263" t="n">
        <v>600</v>
      </c>
      <c r="DG263" t="n">
        <v>14</v>
      </c>
      <c r="DO263" t="n">
        <v>32</v>
      </c>
      <c r="DT263" t="inlineStr">
        <is>
          <t>p26_nemesis_ne152</t>
        </is>
      </c>
      <c r="EY263" t="n">
        <v>7</v>
      </c>
      <c r="GD263" t="inlineStr">
        <is>
          <t>Assets/MachineBrigade/Resources/Data/balance.json: weapons[191]</t>
        </is>
      </c>
      <c r="GE263" t="inlineStr">
        <is>
          <t>{"id":"p26_nemesis_main_ne152","groundMinReach":32,"inherits":"p26_nemesis_ne152","burst":1,"edge":14,"splash":7,"cooldown":7.5,"damage":600}</t>
        </is>
      </c>
    </row>
    <row r="264">
      <c r="A264" t="inlineStr">
        <is>
          <t>p26_nemesis_ne125</t>
        </is>
      </c>
      <c r="B264" t="inlineStr">
        <is>
          <t>2A46 125 mm</t>
        </is>
      </c>
      <c r="C264" t="inlineStr">
        <is>
          <t>cal_125_ap</t>
        </is>
      </c>
      <c r="D264" t="inlineStr"/>
      <c r="E264" t="inlineStr"/>
      <c r="F264" t="inlineStr">
        <is>
          <t>tank_gun</t>
        </is>
      </c>
      <c r="G264" t="n">
        <v>125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280</v>
      </c>
      <c r="X264" t="n">
        <v>0</v>
      </c>
      <c r="Y264" t="n">
        <v>0</v>
      </c>
      <c r="Z264" t="n">
        <v>170</v>
      </c>
      <c r="AA264" t="n">
        <v>38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125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0.2235294117647059</v>
      </c>
      <c r="BB264" t="n">
        <v>8</v>
      </c>
      <c r="BC264" t="n">
        <v>7</v>
      </c>
      <c r="BD264" t="inlineStr">
        <is>
          <t>gun</t>
        </is>
      </c>
      <c r="BE264" t="inlineStr">
        <is>
          <t>Wikipedia '2A46': 7-8 rpm with the autoloader</t>
        </is>
      </c>
      <c r="BG264" t="inlineStr">
        <is>
          <t>giong</t>
        </is>
      </c>
      <c r="CT264" t="n">
        <v>125</v>
      </c>
      <c r="DD264" t="n">
        <v>2</v>
      </c>
      <c r="DE264" t="n">
        <v>280</v>
      </c>
      <c r="DT264" t="inlineStr">
        <is>
          <t>gun_120mm</t>
        </is>
      </c>
      <c r="EB264" t="n">
        <v>5</v>
      </c>
      <c r="EP264" t="n">
        <v>38</v>
      </c>
      <c r="EQ264" t="inlineStr">
        <is>
          <t>2A46 125 mm</t>
        </is>
      </c>
      <c r="EX264" t="n">
        <v>125</v>
      </c>
      <c r="EY264" t="n">
        <v>0</v>
      </c>
      <c r="GA264" t="inlineStr"/>
      <c r="GB264" t="inlineStr">
        <is>
          <t>cal_125_ap</t>
        </is>
      </c>
      <c r="GD264" t="inlineStr">
        <is>
          <t>Assets/MachineBrigade/Resources/Data/balance.json: weapons[190]</t>
        </is>
      </c>
      <c r="GE264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65">
      <c r="A265" t="inlineStr">
        <is>
          <t>p26_nemesis_ne152</t>
        </is>
      </c>
      <c r="B265" t="inlineStr">
        <is>
          <t>152 mm railcar gun</t>
        </is>
      </c>
      <c r="C265" t="inlineStr">
        <is>
          <t>cal_152_155</t>
        </is>
      </c>
      <c r="D265" t="inlineStr"/>
      <c r="E265" t="inlineStr"/>
      <c r="F265" t="inlineStr">
        <is>
          <t>howitzer</t>
        </is>
      </c>
      <c r="G265" t="n">
        <v>152</v>
      </c>
      <c r="H265" t="inlineStr"/>
      <c r="I265" t="inlineStr"/>
      <c r="J265" t="inlineStr"/>
      <c r="K265" t="inlineStr">
        <is>
          <t>HighExplosive</t>
        </is>
      </c>
      <c r="L265" t="n">
        <v>3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4</v>
      </c>
      <c r="Q265" t="n">
        <v>0.5</v>
      </c>
      <c r="R265" t="n">
        <v>3.5</v>
      </c>
      <c r="S265" t="n">
        <v>0</v>
      </c>
      <c r="T265" t="n">
        <v>0</v>
      </c>
      <c r="U265" t="n">
        <v>0</v>
      </c>
      <c r="V265" t="n">
        <v>0</v>
      </c>
      <c r="W265" t="n">
        <v>620</v>
      </c>
      <c r="X265" t="n">
        <v>8.5</v>
      </c>
      <c r="Y265" t="n">
        <v>17</v>
      </c>
      <c r="Z265" t="n">
        <v>150</v>
      </c>
      <c r="AA265" t="n">
        <v>40</v>
      </c>
      <c r="AB265" t="n">
        <v>0</v>
      </c>
      <c r="AC265" t="inlineStr">
        <is>
          <t>Ground</t>
        </is>
      </c>
      <c r="AD265" t="inlineStr"/>
      <c r="AE265" t="n">
        <v>0.8</v>
      </c>
      <c r="AF265" t="inlineStr">
        <is>
          <t>Huge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152</v>
      </c>
      <c r="AO265" t="n">
        <v>0</v>
      </c>
      <c r="AP265" t="inlineStr">
        <is>
          <t>T3</t>
        </is>
      </c>
      <c r="AQ265" t="inlineStr">
        <is>
          <t>gun_behemoth</t>
        </is>
      </c>
      <c r="AR265" t="inlineStr"/>
      <c r="AS265" t="inlineStr"/>
      <c r="AT265" t="inlineStr"/>
      <c r="AU265" t="n">
        <v>0</v>
      </c>
      <c r="AV265" t="inlineStr"/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0.2666666666666667</v>
      </c>
      <c r="BB265" t="n">
        <v>8</v>
      </c>
      <c r="BC265" t="n">
        <v>6</v>
      </c>
      <c r="BD265" t="inlineStr">
        <is>
          <t>gun</t>
        </is>
      </c>
      <c r="BE265" t="inlineStr">
        <is>
          <t>a 152 mm railway mount of the 2A65 class, est. 7-8 rpm</t>
        </is>
      </c>
      <c r="BG265" t="inlineStr">
        <is>
          <t>giong</t>
        </is>
      </c>
      <c r="CR265" t="n">
        <v>4</v>
      </c>
      <c r="CS265" t="n">
        <v>0.5</v>
      </c>
      <c r="DD265" t="n">
        <v>3.5</v>
      </c>
      <c r="DE265" t="n">
        <v>620</v>
      </c>
      <c r="DG265" t="n">
        <v>17</v>
      </c>
      <c r="DT265" t="inlineStr">
        <is>
          <t>gun_behemoth</t>
        </is>
      </c>
      <c r="EQ265" t="inlineStr">
        <is>
          <t>152 mm railcar gun</t>
        </is>
      </c>
      <c r="EY265" t="n">
        <v>8.5</v>
      </c>
      <c r="GD265" t="inlineStr">
        <is>
          <t>Assets/MachineBrigade/Resources/Data/balance.json: weapons[189]</t>
        </is>
      </c>
      <c r="GE265" t="inlineStr">
        <is>
          <t>{"id":"p26_nemesis_ne152","inherits":"gun_behemoth","real":"152 mm railcar gun","damage":620,"burst":4,"burstInterval":0.5,"cooldown":3.5,"splash":8.5,"edge":17}</t>
        </is>
      </c>
    </row>
    <row r="266">
      <c r="A266" t="inlineStr">
        <is>
          <t>p26_nemesis_sec_boss_rockets</t>
        </is>
      </c>
      <c r="B266" t="inlineStr">
        <is>
          <t>BM-21 Grad 122 mm</t>
        </is>
      </c>
      <c r="C266" t="inlineStr">
        <is>
          <t>rkt_grad_122</t>
        </is>
      </c>
      <c r="D266" t="inlineStr"/>
      <c r="E266" t="inlineStr"/>
      <c r="F266" t="inlineStr">
        <is>
          <t>rocket</t>
        </is>
      </c>
      <c r="G266" t="n">
        <v>122</v>
      </c>
      <c r="H266" t="inlineStr"/>
      <c r="I266" t="inlineStr"/>
      <c r="J266" t="inlineStr"/>
      <c r="K266" t="inlineStr">
        <is>
          <t>HighExplosive</t>
        </is>
      </c>
      <c r="L266" t="n">
        <v>2</v>
      </c>
      <c r="M266" t="inlineStr">
        <is>
          <t>Rocket</t>
        </is>
      </c>
      <c r="N266" t="n">
        <v>1</v>
      </c>
      <c r="O266" t="inlineStr">
        <is>
          <t>RIPPLE</t>
        </is>
      </c>
      <c r="P266" t="n">
        <v>40</v>
      </c>
      <c r="Q266" t="n">
        <v>0.5</v>
      </c>
      <c r="R266" t="n">
        <v>2.44</v>
      </c>
      <c r="S266" t="n">
        <v>0</v>
      </c>
      <c r="T266" t="n">
        <v>0</v>
      </c>
      <c r="U266" t="n">
        <v>0</v>
      </c>
      <c r="V266" t="n">
        <v>0</v>
      </c>
      <c r="W266" t="n">
        <v>200</v>
      </c>
      <c r="X266" t="n">
        <v>4.5</v>
      </c>
      <c r="Y266" t="n">
        <v>9</v>
      </c>
      <c r="Z266" t="n">
        <v>130</v>
      </c>
      <c r="AA266" t="n">
        <v>45</v>
      </c>
      <c r="AB266" t="n">
        <v>0</v>
      </c>
      <c r="AC266" t="inlineStr">
        <is>
          <t>Ground</t>
        </is>
      </c>
      <c r="AD266" t="inlineStr"/>
      <c r="AE266" t="n">
        <v>5</v>
      </c>
      <c r="AF266" t="inlineStr">
        <is>
          <t>Medium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122</v>
      </c>
      <c r="AO266" t="n">
        <v>0</v>
      </c>
      <c r="AP266" t="inlineStr">
        <is>
          <t>T3</t>
        </is>
      </c>
      <c r="AQ266" t="inlineStr">
        <is>
          <t>boss_rockets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nuke_train:3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0.3461538461538461</v>
      </c>
      <c r="BB266" t="n">
        <v>120</v>
      </c>
      <c r="BC266" t="inlineStr"/>
      <c r="BD266" t="inlineStr">
        <is>
          <t>rocket</t>
        </is>
      </c>
      <c r="BE266" t="inlineStr">
        <is>
          <t>Wikipedia 'BM-21 Grad': 40 rockets in 20 s</t>
        </is>
      </c>
      <c r="BF266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66" t="inlineStr">
        <is>
          <t>doi</t>
        </is>
      </c>
      <c r="BH266" t="n">
        <v>305</v>
      </c>
      <c r="BI266" t="n">
        <v>200</v>
      </c>
      <c r="BJ266" t="n">
        <v>1.2</v>
      </c>
      <c r="BK266" t="n">
        <v>2.44</v>
      </c>
      <c r="BP266" t="n">
        <v>0</v>
      </c>
      <c r="BQ266" t="n">
        <v>9</v>
      </c>
      <c r="BR266" t="n">
        <v>45</v>
      </c>
      <c r="BS266" t="n">
        <v>130</v>
      </c>
      <c r="BT266" t="n">
        <v>13</v>
      </c>
      <c r="BU266" t="n">
        <v>40</v>
      </c>
      <c r="CR266" t="n">
        <v>40</v>
      </c>
      <c r="CS266" t="n">
        <v>0.5</v>
      </c>
      <c r="DD266" t="n">
        <v>2.44</v>
      </c>
      <c r="DE266" t="n">
        <v>200</v>
      </c>
      <c r="DO266" t="n">
        <v>20</v>
      </c>
      <c r="DT266" t="inlineStr">
        <is>
          <t>boss_rockets</t>
        </is>
      </c>
      <c r="GD266" t="inlineStr">
        <is>
          <t>Assets/MachineBrigade/Resources/Data/balance.json: weapons[192]</t>
        </is>
      </c>
      <c r="GE266" t="inlineStr">
        <is>
          <t>{"id":"p26_nemesis_sec_boss_rockets","groundMinReach":20,"inherits":"boss_rockets","burst":40,"burstInterval":0.5,"cooldown":2.44,"damage":200}</t>
        </is>
      </c>
    </row>
    <row r="267">
      <c r="A267" t="inlineStr">
        <is>
          <t>p26_roc_close_twin_30_bmpt</t>
        </is>
      </c>
      <c r="B267" t="inlineStr">
        <is>
          <t>2A42 30 mm (twin)</t>
        </is>
      </c>
      <c r="C267" t="inlineStr">
        <is>
          <t>cal_30</t>
        </is>
      </c>
      <c r="D267" t="inlineStr"/>
      <c r="E267" t="inlineStr"/>
      <c r="F267" t="inlineStr">
        <is>
          <t>autocannon</t>
        </is>
      </c>
      <c r="G267" t="n">
        <v>30</v>
      </c>
      <c r="H267" t="inlineStr"/>
      <c r="I267" t="inlineStr"/>
      <c r="J267" t="inlineStr"/>
      <c r="K267" t="inlineStr">
        <is>
          <t>Kinetic</t>
        </is>
      </c>
      <c r="L267" t="n">
        <v>2</v>
      </c>
      <c r="M267" t="inlineStr">
        <is>
          <t>Bullet</t>
        </is>
      </c>
      <c r="N267" t="n">
        <v>1</v>
      </c>
      <c r="O267" t="inlineStr">
        <is>
          <t>RIPPLE</t>
        </is>
      </c>
      <c r="P267" t="n">
        <v>12</v>
      </c>
      <c r="Q267" t="n">
        <v>0.0833</v>
      </c>
      <c r="R267" t="n">
        <v>1.45</v>
      </c>
      <c r="S267" t="n">
        <v>0</v>
      </c>
      <c r="T267" t="n">
        <v>0</v>
      </c>
      <c r="U267" t="n">
        <v>0</v>
      </c>
      <c r="V267" t="n">
        <v>0</v>
      </c>
      <c r="W267" t="n">
        <v>22</v>
      </c>
      <c r="X267" t="n">
        <v>0</v>
      </c>
      <c r="Y267" t="n">
        <v>0</v>
      </c>
      <c r="Z267" t="n">
        <v>200</v>
      </c>
      <c r="AA267" t="n">
        <v>30</v>
      </c>
      <c r="AB267" t="n">
        <v>0</v>
      </c>
      <c r="AC267" t="inlineStr">
        <is>
          <t>Ground</t>
        </is>
      </c>
      <c r="AD267" t="inlineStr"/>
      <c r="AE267" t="n">
        <v>0.9</v>
      </c>
      <c r="AF267" t="inlineStr">
        <is>
          <t>Small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30</v>
      </c>
      <c r="AO267" t="n">
        <v>0</v>
      </c>
      <c r="AP267" t="inlineStr">
        <is>
          <t>T1</t>
        </is>
      </c>
      <c r="AQ267" t="inlineStr">
        <is>
          <t>twin_30_bmpt</t>
        </is>
      </c>
      <c r="AR267" t="inlineStr"/>
      <c r="AS267" t="inlineStr">
        <is>
          <t>boss</t>
        </is>
      </c>
      <c r="AT267" t="inlineStr">
        <is>
          <t>command_airship</t>
        </is>
      </c>
      <c r="AU267" t="n">
        <v>1</v>
      </c>
      <c r="AV267" t="inlineStr">
        <is>
          <t>command_airship:4;command_airship:5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0.15</v>
      </c>
      <c r="BB267" t="n">
        <v>800</v>
      </c>
      <c r="BC267" t="n">
        <v>300</v>
      </c>
      <c r="BD267" t="inlineStr">
        <is>
          <t>ac</t>
        </is>
      </c>
      <c r="BE267" t="inlineStr">
        <is>
          <t>Wikipedia '2A42': 550-800 high, 200-300 low rpm</t>
        </is>
      </c>
      <c r="BF267" t="inlineStr">
        <is>
          <t>wave 1 twin_30_bmpt: 12 rounds at 720 rpm, 1.45 s after (wave 1's 1.5 s is a hair over 2 x the practical rate)</t>
        </is>
      </c>
      <c r="BG267" t="inlineStr">
        <is>
          <t>doi</t>
        </is>
      </c>
      <c r="BH267" t="n">
        <v>25</v>
      </c>
      <c r="BI267" t="n">
        <v>22</v>
      </c>
      <c r="BJ267" t="n">
        <v>1.2</v>
      </c>
      <c r="BK267" t="n">
        <v>1.45</v>
      </c>
      <c r="DD267" t="n">
        <v>1.45</v>
      </c>
      <c r="DE267" t="n">
        <v>22</v>
      </c>
      <c r="DT267" t="inlineStr">
        <is>
          <t>twin_30_bmpt</t>
        </is>
      </c>
      <c r="GA267" t="inlineStr"/>
      <c r="GD267" t="inlineStr">
        <is>
          <t>Assets/MachineBrigade/Resources/Data/balance.json: weapons[204]</t>
        </is>
      </c>
      <c r="GE267" t="inlineStr">
        <is>
          <t>{"id":"p26_roc_close_twin_30_bmpt","inherits":"twin_30_bmpt","weaponFamily":"","cooldown":1.45,"damage":22}</t>
        </is>
      </c>
    </row>
    <row r="268">
      <c r="A268" t="inlineStr">
        <is>
          <t>p26_roc_direct_roc_atgm</t>
        </is>
      </c>
      <c r="B268" t="inlineStr">
        <is>
          <t>Kornet (dropped from the bay)</t>
        </is>
      </c>
      <c r="C268" t="inlineStr">
        <is>
          <t>atgm_kornet</t>
        </is>
      </c>
      <c r="D268" t="inlineStr"/>
      <c r="E268" t="inlineStr"/>
      <c r="F268" t="inlineStr">
        <is>
          <t>atgm</t>
        </is>
      </c>
      <c r="G268" t="inlineStr"/>
      <c r="H268" t="n">
        <v>7</v>
      </c>
      <c r="I268" t="inlineStr"/>
      <c r="J268" t="inlineStr"/>
      <c r="K268" t="inlineStr">
        <is>
          <t>ShapedCharge</t>
        </is>
      </c>
      <c r="L268" t="n">
        <v>5</v>
      </c>
      <c r="M268" t="inlineStr">
        <is>
          <t>Missile</t>
        </is>
      </c>
      <c r="N268" t="n">
        <v>1</v>
      </c>
      <c r="O268" t="inlineStr">
        <is>
          <t>RIPPLE</t>
        </is>
      </c>
      <c r="P268" t="n">
        <v>2</v>
      </c>
      <c r="Q268" t="n">
        <v>0.6</v>
      </c>
      <c r="R268" t="n">
        <v>19.4</v>
      </c>
      <c r="S268" t="n">
        <v>0</v>
      </c>
      <c r="T268" t="n">
        <v>0</v>
      </c>
      <c r="U268" t="n">
        <v>0</v>
      </c>
      <c r="V268" t="n">
        <v>0</v>
      </c>
      <c r="W268" t="n">
        <v>230</v>
      </c>
      <c r="X268" t="n">
        <v>0</v>
      </c>
      <c r="Y268" t="n">
        <v>0</v>
      </c>
      <c r="Z268" t="n">
        <v>80</v>
      </c>
      <c r="AA268" t="n">
        <v>55</v>
      </c>
      <c r="AB268" t="n">
        <v>0</v>
      </c>
      <c r="AC268" t="inlineStr">
        <is>
          <t>Ground</t>
        </is>
      </c>
      <c r="AD268" t="inlineStr"/>
      <c r="AE268" t="n">
        <v>0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29</v>
      </c>
      <c r="AO268" t="n">
        <v>0</v>
      </c>
      <c r="AP268" t="inlineStr">
        <is>
          <t>T2</t>
        </is>
      </c>
      <c r="AQ268" t="inlineStr">
        <is>
          <t>p26_roc_roc_atgm</t>
        </is>
      </c>
      <c r="AR268" t="inlineStr"/>
      <c r="AS268" t="inlineStr">
        <is>
          <t>boss</t>
        </is>
      </c>
      <c r="AT268" t="inlineStr">
        <is>
          <t>command_airship</t>
        </is>
      </c>
      <c r="AU268" t="n">
        <v>1</v>
      </c>
      <c r="AV268" t="inlineStr">
        <is>
          <t>command_airship:2;command_airship:3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0.6875</v>
      </c>
      <c r="BB268" t="n">
        <v>3</v>
      </c>
      <c r="BC268" t="n">
        <v>3</v>
      </c>
      <c r="BD268" t="inlineStr">
        <is>
          <t>atgm</t>
        </is>
      </c>
      <c r="BE268" t="inlineStr">
        <is>
          <t>Wikipedia '9M133 Kornet': 2-3 rpm</t>
        </is>
      </c>
      <c r="BF268" t="inlineStr">
        <is>
          <t>a twin Kornet launcher: the pair 0.6 s apart, every 20 s (3 rpm a rail); 55.6 s was too slow</t>
        </is>
      </c>
      <c r="BG268" t="inlineStr">
        <is>
          <t>doi</t>
        </is>
      </c>
      <c r="BH268" t="n">
        <v>290</v>
      </c>
      <c r="BI268" t="n">
        <v>230</v>
      </c>
      <c r="BJ268" t="n">
        <v>2.5</v>
      </c>
      <c r="BK268" t="n">
        <v>19.4</v>
      </c>
      <c r="BR268" t="n">
        <v>22</v>
      </c>
      <c r="BS268" t="n">
        <v>80</v>
      </c>
      <c r="BT268" t="n">
        <v>1</v>
      </c>
      <c r="BU268" t="n">
        <v>2</v>
      </c>
      <c r="BV268" t="n">
        <v>0.1</v>
      </c>
      <c r="BW268" t="n">
        <v>0.6</v>
      </c>
      <c r="CR268" t="n">
        <v>2</v>
      </c>
      <c r="CS268" t="n">
        <v>0.6</v>
      </c>
      <c r="DD268" t="n">
        <v>19.4</v>
      </c>
      <c r="DE268" t="n">
        <v>230</v>
      </c>
      <c r="DO268" t="n">
        <v>1</v>
      </c>
      <c r="DT268" t="inlineStr">
        <is>
          <t>p26_roc_roc_atgm</t>
        </is>
      </c>
      <c r="GD268" t="inlineStr">
        <is>
          <t>Assets/MachineBrigade/Resources/Data/balance.json: weapons[203]</t>
        </is>
      </c>
      <c r="GE268" t="inlineStr">
        <is>
          <t>{"id":"p26_roc_direct_roc_atgm","groundMinReach":1,"inherits":"p26_roc_roc_atgm","burstInterval":0.6,"burst":2,"cooldown":19.4,"damage":230}</t>
        </is>
      </c>
    </row>
    <row r="269">
      <c r="A269" t="inlineStr">
        <is>
          <t>p26_roc_main_roc_bombs</t>
        </is>
      </c>
      <c r="B269" t="inlineStr">
        <is>
          <t>bomb-bay stick 400 kg</t>
        </is>
      </c>
      <c r="C269" t="inlineStr">
        <is>
          <t>bomb_400</t>
        </is>
      </c>
      <c r="D269" t="inlineStr"/>
      <c r="E269" t="inlineStr"/>
      <c r="F269" t="inlineStr">
        <is>
          <t>bomb</t>
        </is>
      </c>
      <c r="G269" t="n">
        <v>0</v>
      </c>
      <c r="H269" t="n">
        <v>400</v>
      </c>
      <c r="I269" t="inlineStr"/>
      <c r="J269" t="inlineStr"/>
      <c r="K269" t="inlineStr">
        <is>
          <t>HighExplosive</t>
        </is>
      </c>
      <c r="L269" t="n">
        <v>4</v>
      </c>
      <c r="M269" t="inlineStr">
        <is>
          <t>Bomb</t>
        </is>
      </c>
      <c r="N269" t="n">
        <v>1</v>
      </c>
      <c r="O269" t="inlineStr">
        <is>
          <t>RIPPLE</t>
        </is>
      </c>
      <c r="P269" t="n">
        <v>8</v>
      </c>
      <c r="Q269" t="n">
        <v>0.3</v>
      </c>
      <c r="R269" t="n">
        <v>33.34</v>
      </c>
      <c r="S269" t="n">
        <v>0</v>
      </c>
      <c r="T269" t="n">
        <v>0</v>
      </c>
      <c r="U269" t="n">
        <v>0</v>
      </c>
      <c r="V269" t="n">
        <v>0</v>
      </c>
      <c r="W269" t="n">
        <v>700</v>
      </c>
      <c r="X269" t="n">
        <v>10</v>
      </c>
      <c r="Y269" t="n">
        <v>20</v>
      </c>
      <c r="Z269" t="n">
        <v>100</v>
      </c>
      <c r="AA269" t="n">
        <v>45</v>
      </c>
      <c r="AB269" t="n">
        <v>0</v>
      </c>
      <c r="AC269" t="inlineStr">
        <is>
          <t>Ground</t>
        </is>
      </c>
      <c r="AD269" t="inlineStr"/>
      <c r="AE269" t="n">
        <v>3</v>
      </c>
      <c r="AF269" t="inlineStr">
        <is>
          <t>Huge</t>
        </is>
      </c>
      <c r="AG269" t="b">
        <v>1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400</v>
      </c>
      <c r="AO269" t="n">
        <v>0</v>
      </c>
      <c r="AP269" t="inlineStr">
        <is>
          <t>T4</t>
        </is>
      </c>
      <c r="AQ269" t="inlineStr">
        <is>
          <t>p26_roc_roc_bombs</t>
        </is>
      </c>
      <c r="AR269" t="inlineStr"/>
      <c r="AS269" t="inlineStr">
        <is>
          <t>boss</t>
        </is>
      </c>
      <c r="AT269" t="inlineStr">
        <is>
          <t>argus;command_airship</t>
        </is>
      </c>
      <c r="AU269" t="n">
        <v>2</v>
      </c>
      <c r="AV269" t="inlineStr">
        <is>
          <t>argus:0;argus:1;command_airship:0;command_airship:1</t>
        </is>
      </c>
      <c r="AW269" t="n">
        <v>2.722222222222222</v>
      </c>
      <c r="AX269" t="b">
        <v>1</v>
      </c>
      <c r="AY269" t="inlineStr"/>
      <c r="AZ269">
        <f>IF(AND($AX$269,$AW$269&gt;$AA$269/$Z$269),$AW$269,$AA$269/$Z$269)</f>
        <v/>
      </c>
      <c r="BA269" t="n">
        <v>0.45</v>
      </c>
      <c r="BB269" t="n">
        <v>600</v>
      </c>
      <c r="BC269" t="inlineStr"/>
      <c r="BD269" t="inlineStr">
        <is>
          <t>bomb</t>
        </is>
      </c>
      <c r="BE269" t="inlineStr">
        <is>
          <t>a stick's release, 0.1 s and up (est.)</t>
        </is>
      </c>
      <c r="BF269" t="inlineStr">
        <is>
          <t>a 400 kg bomb stick from an airship's bay: no real rate for the bay's reload; the 35.4 s cycle kept</t>
        </is>
      </c>
      <c r="BG269" t="inlineStr">
        <is>
          <t>doi</t>
        </is>
      </c>
      <c r="BH269" t="n">
        <v>320</v>
      </c>
      <c r="BI269" t="n">
        <v>700</v>
      </c>
      <c r="BJ269" t="n">
        <v>6</v>
      </c>
      <c r="BK269" t="n">
        <v>33.34</v>
      </c>
      <c r="BN269" t="n">
        <v>5</v>
      </c>
      <c r="BO269" t="n">
        <v>10</v>
      </c>
      <c r="BP269" t="n">
        <v>10</v>
      </c>
      <c r="BQ269" t="n">
        <v>20</v>
      </c>
      <c r="BR269" t="n">
        <v>60</v>
      </c>
      <c r="BS269" t="n">
        <v>100</v>
      </c>
      <c r="CJ269" t="inlineStr">
        <is>
          <t>Shell</t>
        </is>
      </c>
      <c r="CK269" t="inlineStr">
        <is>
          <t>Bomb</t>
        </is>
      </c>
      <c r="CT269" t="n">
        <v>0</v>
      </c>
      <c r="DD269" t="n">
        <v>33.34</v>
      </c>
      <c r="DE269" t="n">
        <v>700</v>
      </c>
      <c r="DG269" t="n">
        <v>20</v>
      </c>
      <c r="DT269" t="inlineStr">
        <is>
          <t>p26_roc_roc_bombs</t>
        </is>
      </c>
      <c r="EY269" t="n">
        <v>10</v>
      </c>
      <c r="FA269" t="inlineStr">
        <is>
          <t>CENTER</t>
        </is>
      </c>
      <c r="FB269" t="n">
        <v>1.5</v>
      </c>
      <c r="FC269" t="n">
        <v>8</v>
      </c>
      <c r="FD269" t="inlineStr">
        <is>
          <t>BAY</t>
        </is>
      </c>
      <c r="FE269" t="n">
        <v>0</v>
      </c>
      <c r="FF269" t="n">
        <v>1.225</v>
      </c>
      <c r="FG269" t="inlineStr">
        <is>
          <t>AXIS</t>
        </is>
      </c>
      <c r="FH269" t="n">
        <v>0.3</v>
      </c>
      <c r="FI269" t="n">
        <v>2.5</v>
      </c>
      <c r="FJ269" t="n">
        <v>1.65</v>
      </c>
      <c r="FK269" t="n">
        <v>0</v>
      </c>
      <c r="FL269" t="n">
        <v>77</v>
      </c>
      <c r="FM269" t="n">
        <v>3</v>
      </c>
      <c r="FN269" t="inlineStr">
        <is>
          <t>STICK</t>
        </is>
      </c>
      <c r="FO269" t="n">
        <v>0.909</v>
      </c>
      <c r="FP269" t="n">
        <v>36.667</v>
      </c>
      <c r="FQ269" t="n">
        <v>10</v>
      </c>
      <c r="FR269" t="n">
        <v>11</v>
      </c>
      <c r="FS269" t="n">
        <v>0</v>
      </c>
      <c r="FT269" t="inlineStr">
        <is>
          <t>STICK_RECT</t>
        </is>
      </c>
      <c r="FU269" t="n">
        <v>45</v>
      </c>
      <c r="GD269" t="inlineStr">
        <is>
          <t>Assets/MachineBrigade/Resources/Data/balance.json: weapons[202]</t>
        </is>
      </c>
      <c r="GE269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0">
      <c r="A270" t="inlineStr">
        <is>
          <t>p26_roc_roc105</t>
        </is>
      </c>
      <c r="B270" t="inlineStr">
        <is>
          <t>M102 105 mm (gondola)</t>
        </is>
      </c>
      <c r="C270" t="inlineStr">
        <is>
          <t>cal_100_105_he</t>
        </is>
      </c>
      <c r="D270" t="inlineStr"/>
      <c r="E270" t="inlineStr"/>
      <c r="F270" t="inlineStr">
        <is>
          <t>howitzer</t>
        </is>
      </c>
      <c r="G270" t="n">
        <v>105</v>
      </c>
      <c r="H270" t="inlineStr"/>
      <c r="I270" t="inlineStr"/>
      <c r="J270" t="inlineStr"/>
      <c r="K270" t="inlineStr">
        <is>
          <t>HighExplosive</t>
        </is>
      </c>
      <c r="L270" t="n">
        <v>2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6</v>
      </c>
      <c r="S270" t="n">
        <v>0</v>
      </c>
      <c r="T270" t="n">
        <v>0</v>
      </c>
      <c r="U270" t="n">
        <v>0</v>
      </c>
      <c r="V270" t="n">
        <v>0</v>
      </c>
      <c r="W270" t="n">
        <v>300</v>
      </c>
      <c r="X270" t="n">
        <v>5</v>
      </c>
      <c r="Y270" t="n">
        <v>10</v>
      </c>
      <c r="Z270" t="n">
        <v>120</v>
      </c>
      <c r="AA270" t="n">
        <v>58</v>
      </c>
      <c r="AB270" t="n">
        <v>0</v>
      </c>
      <c r="AC270" t="inlineStr">
        <is>
          <t>Ground</t>
        </is>
      </c>
      <c r="AD270" t="inlineStr"/>
      <c r="AE270" t="n">
        <v>3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105</v>
      </c>
      <c r="AO270" t="n">
        <v>0</v>
      </c>
      <c r="AP270" t="inlineStr">
        <is>
          <t>T2</t>
        </is>
      </c>
      <c r="AQ270" t="inlineStr">
        <is>
          <t>gunship_105</t>
        </is>
      </c>
      <c r="AR270" t="inlineStr"/>
      <c r="AS270" t="inlineStr">
        <is>
          <t>boss</t>
        </is>
      </c>
      <c r="AT270" t="inlineStr">
        <is>
          <t>command_airship</t>
        </is>
      </c>
      <c r="AU270" t="n">
        <v>1</v>
      </c>
      <c r="AV270" t="inlineStr">
        <is>
          <t>command_airship:6;command_airship:7</t>
        </is>
      </c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0.4833333333333333</v>
      </c>
      <c r="BB270" t="n">
        <v>10</v>
      </c>
      <c r="BC270" t="n">
        <v>3</v>
      </c>
      <c r="BD270" t="inlineStr">
        <is>
          <t>gun</t>
        </is>
      </c>
      <c r="BE270" t="inlineStr">
        <is>
          <t>the sheet's 'Ngoài đời': M102 10 rpm (Wikipedia 'M102 howitzer')</t>
        </is>
      </c>
      <c r="BF270" t="inlineStr">
        <is>
          <t>real M102 10 rpm (6 s); wave 1's 2.74 s is too fast after the 30 % rule</t>
        </is>
      </c>
      <c r="BG270" t="inlineStr">
        <is>
          <t>doi</t>
        </is>
      </c>
      <c r="BH270" t="n">
        <v>700</v>
      </c>
      <c r="BI270" t="n">
        <v>300</v>
      </c>
      <c r="BJ270" t="n">
        <v>2</v>
      </c>
      <c r="BK270" t="n">
        <v>6</v>
      </c>
      <c r="BN270" t="n">
        <v>6</v>
      </c>
      <c r="BO270" t="n">
        <v>5</v>
      </c>
      <c r="BP270" t="n">
        <v>12</v>
      </c>
      <c r="BQ270" t="n">
        <v>10</v>
      </c>
      <c r="DD270" t="n">
        <v>6</v>
      </c>
      <c r="DE270" t="n">
        <v>300</v>
      </c>
      <c r="DG270" t="n">
        <v>10</v>
      </c>
      <c r="DO270" t="n">
        <v>22</v>
      </c>
      <c r="DT270" t="inlineStr">
        <is>
          <t>gunship_105</t>
        </is>
      </c>
      <c r="EQ270" t="inlineStr">
        <is>
          <t>M102 105 mm (gondola)</t>
        </is>
      </c>
      <c r="EY270" t="n">
        <v>5</v>
      </c>
      <c r="GD270" t="inlineStr">
        <is>
          <t>Assets/MachineBrigade/Resources/Data/balance.json: weapons[200]</t>
        </is>
      </c>
      <c r="GE270" t="inlineStr">
        <is>
          <t>{"id":"p26_roc_roc105","groundMinReach":22,"inherits":"gunship_105","real":"M102 105 mm (gondola)","damage":300,"cooldown":6,"splash":5,"edge":10}</t>
        </is>
      </c>
    </row>
    <row r="271">
      <c r="A271" t="inlineStr">
        <is>
          <t>p26_roc_roc_atgm</t>
        </is>
      </c>
      <c r="B271" t="inlineStr">
        <is>
          <t>Kornet (dropped from the bay)</t>
        </is>
      </c>
      <c r="C271" t="inlineStr">
        <is>
          <t>atgm_kornet</t>
        </is>
      </c>
      <c r="D271" t="inlineStr"/>
      <c r="E271" t="inlineStr"/>
      <c r="F271" t="inlineStr">
        <is>
          <t>atgm</t>
        </is>
      </c>
      <c r="G271" t="inlineStr"/>
      <c r="H271" t="n">
        <v>7</v>
      </c>
      <c r="I271" t="inlineStr"/>
      <c r="J271" t="inlineStr"/>
      <c r="K271" t="inlineStr">
        <is>
          <t>ShapedCharge</t>
        </is>
      </c>
      <c r="L271" t="n">
        <v>5</v>
      </c>
      <c r="M271" t="inlineStr">
        <is>
          <t>Missile</t>
        </is>
      </c>
      <c r="N271" t="n">
        <v>1</v>
      </c>
      <c r="O271" t="inlineStr">
        <is>
          <t>RIPPLE</t>
        </is>
      </c>
      <c r="P271" t="n">
        <v>1</v>
      </c>
      <c r="Q271" t="n">
        <v>0.1</v>
      </c>
      <c r="R271" t="n">
        <v>2</v>
      </c>
      <c r="S271" t="n">
        <v>0</v>
      </c>
      <c r="T271" t="n">
        <v>0</v>
      </c>
      <c r="U271" t="n">
        <v>0</v>
      </c>
      <c r="V271" t="n">
        <v>0</v>
      </c>
      <c r="W271" t="n">
        <v>300</v>
      </c>
      <c r="X271" t="n">
        <v>0</v>
      </c>
      <c r="Y271" t="n">
        <v>0</v>
      </c>
      <c r="Z271" t="n">
        <v>80</v>
      </c>
      <c r="AA271" t="n">
        <v>55</v>
      </c>
      <c r="AB271" t="n">
        <v>0</v>
      </c>
      <c r="AC271" t="inlineStr">
        <is>
          <t>Ground</t>
        </is>
      </c>
      <c r="AD271" t="inlineStr"/>
      <c r="AE271" t="n">
        <v>0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29</v>
      </c>
      <c r="AO271" t="n">
        <v>0</v>
      </c>
      <c r="AP271" t="inlineStr">
        <is>
          <t>T2</t>
        </is>
      </c>
      <c r="AQ271" t="inlineStr">
        <is>
          <t>boss_missiles</t>
        </is>
      </c>
      <c r="AR271" t="inlineStr"/>
      <c r="AS271" t="inlineStr"/>
      <c r="AT271" t="inlineStr"/>
      <c r="AU271" t="n">
        <v>0</v>
      </c>
      <c r="AV271" t="inlineStr"/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0.6875</v>
      </c>
      <c r="BB271" t="n">
        <v>3</v>
      </c>
      <c r="BC271" t="n">
        <v>3</v>
      </c>
      <c r="BD271" t="inlineStr">
        <is>
          <t>atgm</t>
        </is>
      </c>
      <c r="BE271" t="inlineStr">
        <is>
          <t>Wikipedia '9M133 Kornet': 2-3 rpm</t>
        </is>
      </c>
      <c r="BG271" t="inlineStr">
        <is>
          <t>doi</t>
        </is>
      </c>
      <c r="BR271" t="n">
        <v>22</v>
      </c>
      <c r="BS271" t="n">
        <v>80</v>
      </c>
      <c r="DD271" t="n">
        <v>2</v>
      </c>
      <c r="DE271" t="n">
        <v>300</v>
      </c>
      <c r="DT271" t="inlineStr">
        <is>
          <t>boss_missiles</t>
        </is>
      </c>
      <c r="EB271" t="n">
        <v>5</v>
      </c>
      <c r="EP271" t="n">
        <v>55</v>
      </c>
      <c r="EQ271" t="inlineStr">
        <is>
          <t>Kornet (dropped from the bay)</t>
        </is>
      </c>
      <c r="GA271" t="inlineStr"/>
      <c r="GD271" t="inlineStr">
        <is>
          <t>Assets/MachineBrigade/Resources/Data/balance.json: weapons[201]</t>
        </is>
      </c>
      <c r="GE271" t="inlineStr">
        <is>
          <t>{"id":"p26_roc_roc_atgm","inherits":"boss_missiles","weaponFamily":"","real":"Kornet (dropped from the bay)","damage":300,"cooldown":2,"pen":5,"range":55}</t>
        </is>
      </c>
    </row>
    <row r="272">
      <c r="A272" t="inlineStr">
        <is>
          <t>p26_roc_roc_bombs</t>
        </is>
      </c>
      <c r="B272" t="inlineStr">
        <is>
          <t>bomb-bay stick 400 kg</t>
        </is>
      </c>
      <c r="C272" t="inlineStr">
        <is>
          <t>bomb_400</t>
        </is>
      </c>
      <c r="D272" t="inlineStr"/>
      <c r="E272" t="inlineStr"/>
      <c r="F272" t="inlineStr">
        <is>
          <t>bomb</t>
        </is>
      </c>
      <c r="G272" t="n">
        <v>0</v>
      </c>
      <c r="H272" t="n">
        <v>400</v>
      </c>
      <c r="I272" t="inlineStr"/>
      <c r="J272" t="inlineStr"/>
      <c r="K272" t="inlineStr">
        <is>
          <t>HighExplosive</t>
        </is>
      </c>
      <c r="L272" t="n">
        <v>4</v>
      </c>
      <c r="M272" t="inlineStr">
        <is>
          <t>Bomb</t>
        </is>
      </c>
      <c r="N272" t="n">
        <v>1</v>
      </c>
      <c r="O272" t="inlineStr">
        <is>
          <t>RIPPLE</t>
        </is>
      </c>
      <c r="P272" t="n">
        <v>8</v>
      </c>
      <c r="Q272" t="n">
        <v>0.3</v>
      </c>
      <c r="R272" t="n">
        <v>2.9</v>
      </c>
      <c r="S272" t="n">
        <v>0</v>
      </c>
      <c r="T272" t="n">
        <v>0</v>
      </c>
      <c r="U272" t="n">
        <v>0</v>
      </c>
      <c r="V272" t="n">
        <v>0</v>
      </c>
      <c r="W272" t="n">
        <v>400</v>
      </c>
      <c r="X272" t="n">
        <v>5</v>
      </c>
      <c r="Y272" t="n">
        <v>10</v>
      </c>
      <c r="Z272" t="n">
        <v>100</v>
      </c>
      <c r="AA272" t="n">
        <v>45</v>
      </c>
      <c r="AB272" t="n">
        <v>0</v>
      </c>
      <c r="AC272" t="inlineStr">
        <is>
          <t>Ground</t>
        </is>
      </c>
      <c r="AD272" t="inlineStr"/>
      <c r="AE272" t="n">
        <v>3</v>
      </c>
      <c r="AF272" t="inlineStr">
        <is>
          <t>Huge</t>
        </is>
      </c>
      <c r="AG272" t="b">
        <v>1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400</v>
      </c>
      <c r="AO272" t="n">
        <v>0</v>
      </c>
      <c r="AP272" t="inlineStr">
        <is>
          <t>T4</t>
        </is>
      </c>
      <c r="AQ272" t="inlineStr">
        <is>
          <t>boss_howitzer</t>
        </is>
      </c>
      <c r="AR272" t="inlineStr"/>
      <c r="AS272" t="inlineStr"/>
      <c r="AT272" t="inlineStr"/>
      <c r="AU272" t="n">
        <v>0</v>
      </c>
      <c r="AV272" t="inlineStr"/>
      <c r="AW272" t="n">
        <v>2.5</v>
      </c>
      <c r="AX272" t="b">
        <v>1</v>
      </c>
      <c r="AY272" t="inlineStr"/>
      <c r="AZ272">
        <f>IF(AND($AX$272,$AW$272&gt;$AA$272/$Z$272),$AW$272,$AA$272/$Z$272)</f>
        <v/>
      </c>
      <c r="BA272" t="n">
        <v>0.45</v>
      </c>
      <c r="BB272" t="n">
        <v>600</v>
      </c>
      <c r="BC272" t="inlineStr"/>
      <c r="BD272" t="inlineStr">
        <is>
          <t>bomb</t>
        </is>
      </c>
      <c r="BE272" t="inlineStr">
        <is>
          <t>a stick's release, 0.1 s and up (est.)</t>
        </is>
      </c>
      <c r="BG272" t="inlineStr">
        <is>
          <t>doi</t>
        </is>
      </c>
      <c r="BR272" t="n">
        <v>60</v>
      </c>
      <c r="BS272" t="n">
        <v>100</v>
      </c>
      <c r="CJ272" t="inlineStr">
        <is>
          <t>Shell</t>
        </is>
      </c>
      <c r="CK272" t="inlineStr">
        <is>
          <t>Bomb</t>
        </is>
      </c>
      <c r="CR272" t="n">
        <v>8</v>
      </c>
      <c r="CS272" t="n">
        <v>0.3</v>
      </c>
      <c r="CT272" t="n">
        <v>0</v>
      </c>
      <c r="DD272" t="n">
        <v>2.9</v>
      </c>
      <c r="DE272" t="n">
        <v>400</v>
      </c>
      <c r="DG272" t="n">
        <v>10</v>
      </c>
      <c r="DJ272" t="inlineStr">
        <is>
          <t>bomb</t>
        </is>
      </c>
      <c r="DT272" t="inlineStr">
        <is>
          <t>boss_howitzer</t>
        </is>
      </c>
      <c r="DZ272" t="n">
        <v>0</v>
      </c>
      <c r="EH272" t="inlineStr">
        <is>
          <t>Bomb</t>
        </is>
      </c>
      <c r="EP272" t="n">
        <v>45</v>
      </c>
      <c r="EQ272" t="inlineStr">
        <is>
          <t>bomb-bay stick 400 kg</t>
        </is>
      </c>
      <c r="EX272" t="n">
        <v>400</v>
      </c>
      <c r="EY272" t="n">
        <v>5</v>
      </c>
      <c r="FA272" t="inlineStr">
        <is>
          <t>CENTER</t>
        </is>
      </c>
      <c r="FB272" t="n">
        <v>1</v>
      </c>
      <c r="FC272" t="n">
        <v>8</v>
      </c>
      <c r="FD272" t="inlineStr">
        <is>
          <t>BAY</t>
        </is>
      </c>
      <c r="FE272" t="n">
        <v>0</v>
      </c>
      <c r="FF272" t="n">
        <v>1.225</v>
      </c>
      <c r="FG272" t="inlineStr">
        <is>
          <t>AXIS</t>
        </is>
      </c>
      <c r="FH272" t="n">
        <v>0.3</v>
      </c>
      <c r="FI272" t="n">
        <v>1.25</v>
      </c>
      <c r="FJ272" t="n">
        <v>0.825</v>
      </c>
      <c r="FK272" t="n">
        <v>0</v>
      </c>
      <c r="FL272" t="n">
        <v>38.5</v>
      </c>
      <c r="FM272" t="n">
        <v>3</v>
      </c>
      <c r="FN272" t="inlineStr">
        <is>
          <t>STICK</t>
        </is>
      </c>
      <c r="FO272" t="n">
        <v>0.909</v>
      </c>
      <c r="FP272" t="n">
        <v>18.333</v>
      </c>
      <c r="FQ272" t="n">
        <v>8</v>
      </c>
      <c r="FR272" t="n">
        <v>5.5</v>
      </c>
      <c r="FS272" t="n">
        <v>0</v>
      </c>
      <c r="FT272" t="inlineStr">
        <is>
          <t>STICK_RECT</t>
        </is>
      </c>
      <c r="FU272" t="n">
        <v>22.5</v>
      </c>
      <c r="FY272" t="b">
        <v>1</v>
      </c>
      <c r="FZ272" t="n">
        <v>400</v>
      </c>
      <c r="GA272" t="inlineStr"/>
      <c r="GB272" t="inlineStr">
        <is>
          <t>bomb_400</t>
        </is>
      </c>
      <c r="GD272" t="inlineStr">
        <is>
          <t>Assets/MachineBrigade/Resources/Data/balance.json: weapons[199]</t>
        </is>
      </c>
      <c r="GE272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273">
      <c r="A273" t="inlineStr">
        <is>
          <t>p26_typhon_direct_ty100</t>
        </is>
      </c>
      <c r="B273" t="inlineStr">
        <is>
          <t>AK-100 100 mm (deck)</t>
        </is>
      </c>
      <c r="C273" t="inlineStr">
        <is>
          <t>cal_100_105_he</t>
        </is>
      </c>
      <c r="D273" t="inlineStr"/>
      <c r="E273" t="inlineStr"/>
      <c r="F273" t="inlineStr">
        <is>
          <t>howitzer</t>
        </is>
      </c>
      <c r="G273" t="n">
        <v>100</v>
      </c>
      <c r="H273" t="inlineStr"/>
      <c r="I273" t="inlineStr"/>
      <c r="J273" t="inlineStr"/>
      <c r="K273" t="inlineStr">
        <is>
          <t>HighExplosive</t>
        </is>
      </c>
      <c r="L273" t="n">
        <v>4</v>
      </c>
      <c r="M273" t="inlineStr">
        <is>
          <t>Shell</t>
        </is>
      </c>
      <c r="N273" t="n">
        <v>1</v>
      </c>
      <c r="O273" t="inlineStr">
        <is>
          <t>RIPPLE</t>
        </is>
      </c>
      <c r="P273" t="n">
        <v>2</v>
      </c>
      <c r="Q273" t="n">
        <v>1</v>
      </c>
      <c r="R273" t="n">
        <v>2.5</v>
      </c>
      <c r="S273" t="n">
        <v>0</v>
      </c>
      <c r="T273" t="n">
        <v>0</v>
      </c>
      <c r="U273" t="n">
        <v>0</v>
      </c>
      <c r="V273" t="n">
        <v>0</v>
      </c>
      <c r="W273" t="n">
        <v>300</v>
      </c>
      <c r="X273" t="n">
        <v>5</v>
      </c>
      <c r="Y273" t="n">
        <v>10</v>
      </c>
      <c r="Z273" t="n">
        <v>120</v>
      </c>
      <c r="AA273" t="n">
        <v>90</v>
      </c>
      <c r="AB273" t="n">
        <v>0</v>
      </c>
      <c r="AC273" t="inlineStr">
        <is>
          <t>Ground</t>
        </is>
      </c>
      <c r="AD273" t="inlineStr"/>
      <c r="AE273" t="n">
        <v>2.2</v>
      </c>
      <c r="AF273" t="inlineStr">
        <is>
          <t>Large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100</v>
      </c>
      <c r="AO273" t="n">
        <v>0</v>
      </c>
      <c r="AP273" t="inlineStr">
        <is>
          <t>T2</t>
        </is>
      </c>
      <c r="AQ273" t="inlineStr">
        <is>
          <t>p26_typhon_ty100</t>
        </is>
      </c>
      <c r="AR273" t="inlineStr"/>
      <c r="AS273" t="inlineStr">
        <is>
          <t>boss</t>
        </is>
      </c>
      <c r="AT273" t="inlineStr">
        <is>
          <t>hydra;typhon</t>
        </is>
      </c>
      <c r="AU273" t="n">
        <v>2</v>
      </c>
      <c r="AV273" t="inlineStr">
        <is>
          <t>hydra:2;typhon:3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0.75</v>
      </c>
      <c r="BB273" t="n">
        <v>60</v>
      </c>
      <c r="BC273" t="n">
        <v>30</v>
      </c>
      <c r="BD273" t="inlineStr">
        <is>
          <t>gun</t>
        </is>
      </c>
      <c r="BE273" t="inlineStr">
        <is>
          <t>Wikipedia 'AK-100 (naval gun)': 60 rpm</t>
        </is>
      </c>
      <c r="BF273" t="inlineStr">
        <is>
          <t>wave 1 naval_100's pair every 3.5 s, the rounds 1 s apart (AK-100 60 rpm; wave 1's 0.5 s is twice the real rate)</t>
        </is>
      </c>
      <c r="BG273" t="inlineStr">
        <is>
          <t>doi</t>
        </is>
      </c>
      <c r="BH273" t="n">
        <v>580</v>
      </c>
      <c r="BI273" t="n">
        <v>300</v>
      </c>
      <c r="BJ273" t="n">
        <v>2</v>
      </c>
      <c r="BK273" t="n">
        <v>2.5</v>
      </c>
      <c r="BR273" t="n">
        <v>110</v>
      </c>
      <c r="BS273" t="n">
        <v>120</v>
      </c>
      <c r="BT273" t="n">
        <v>1</v>
      </c>
      <c r="BU273" t="n">
        <v>2</v>
      </c>
      <c r="BV273" t="n">
        <v>0.5</v>
      </c>
      <c r="BW273" t="n">
        <v>1</v>
      </c>
      <c r="CR273" t="n">
        <v>2</v>
      </c>
      <c r="CS273" t="n">
        <v>1</v>
      </c>
      <c r="DD273" t="n">
        <v>2.5</v>
      </c>
      <c r="DE273" t="n">
        <v>300</v>
      </c>
      <c r="DO273" t="n">
        <v>8</v>
      </c>
      <c r="DT273" t="inlineStr">
        <is>
          <t>p26_typhon_ty100</t>
        </is>
      </c>
      <c r="EK273" t="n">
        <v>120</v>
      </c>
      <c r="GD273" t="inlineStr">
        <is>
          <t>Assets/MachineBrigade/Resources/Data/balance.json: weapons[198]</t>
        </is>
      </c>
      <c r="GE273" t="inlineStr">
        <is>
          <t>{"id":"p26_typhon_direct_ty100","groundMinReach":8,"inherits":"p26_typhon_ty100","burstInterval":1,"burst":2,"projectileSpeed":120,"cooldown":2.5,"damage":300}</t>
        </is>
      </c>
    </row>
    <row r="274">
      <c r="A274" t="inlineStr">
        <is>
          <t>p26_typhon_sec_ty57</t>
        </is>
      </c>
      <c r="B274" t="inlineStr">
        <is>
          <t>AU-220 57 mm (twin deck mount)</t>
        </is>
      </c>
      <c r="C274" t="inlineStr">
        <is>
          <t>cal_57</t>
        </is>
      </c>
      <c r="D274" t="inlineStr"/>
      <c r="E274" t="inlineStr"/>
      <c r="F274" t="inlineStr">
        <is>
          <t>tank_gun</t>
        </is>
      </c>
      <c r="G274" t="n">
        <v>57</v>
      </c>
      <c r="H274" t="inlineStr"/>
      <c r="I274" t="inlineStr"/>
      <c r="J274" t="inlineStr"/>
      <c r="K274" t="inlineStr">
        <is>
          <t>HighExplosive</t>
        </is>
      </c>
      <c r="L274" t="n">
        <v>3</v>
      </c>
      <c r="M274" t="inlineStr">
        <is>
          <t>Shell</t>
        </is>
      </c>
      <c r="N274" t="n">
        <v>2</v>
      </c>
      <c r="O274" t="inlineStr">
        <is>
          <t>SIMULTANEOUS</t>
        </is>
      </c>
      <c r="P274" t="n">
        <v>4</v>
      </c>
      <c r="Q274" t="n">
        <v>0.5</v>
      </c>
      <c r="R274" t="n">
        <v>2.79</v>
      </c>
      <c r="S274" t="n">
        <v>0</v>
      </c>
      <c r="T274" t="n">
        <v>0</v>
      </c>
      <c r="U274" t="n">
        <v>0</v>
      </c>
      <c r="V274" t="n">
        <v>0</v>
      </c>
      <c r="W274" t="n">
        <v>120</v>
      </c>
      <c r="X274" t="n">
        <v>3</v>
      </c>
      <c r="Y274" t="n">
        <v>6</v>
      </c>
      <c r="Z274" t="n">
        <v>150</v>
      </c>
      <c r="AA274" t="n">
        <v>40</v>
      </c>
      <c r="AB274" t="n">
        <v>0</v>
      </c>
      <c r="AC274" t="inlineStr">
        <is>
          <t>Ground</t>
        </is>
      </c>
      <c r="AD274" t="inlineStr"/>
      <c r="AE274" t="n">
        <v>0.8</v>
      </c>
      <c r="AF274" t="inlineStr">
        <is>
          <t>Medium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57</v>
      </c>
      <c r="AO274" t="n">
        <v>0</v>
      </c>
      <c r="AP274" t="inlineStr">
        <is>
          <t>T2</t>
        </is>
      </c>
      <c r="AQ274" t="inlineStr">
        <is>
          <t>p26_typhon_ty57</t>
        </is>
      </c>
      <c r="AR274" t="inlineStr"/>
      <c r="AS274" t="inlineStr">
        <is>
          <t>boss</t>
        </is>
      </c>
      <c r="AT274" t="inlineStr">
        <is>
          <t>hydra;typhon</t>
        </is>
      </c>
      <c r="AU274" t="n">
        <v>2</v>
      </c>
      <c r="AV274" t="inlineStr">
        <is>
          <t>hydra:0;hydra:1;typhon:1;typhon:2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0.2666666666666667</v>
      </c>
      <c r="BB274" t="n">
        <v>120</v>
      </c>
      <c r="BC274" t="n">
        <v>80</v>
      </c>
      <c r="BD274" t="inlineStr">
        <is>
          <t>ac</t>
        </is>
      </c>
      <c r="BE274" t="inlineStr">
        <is>
          <t>Wikipedia 'AU-220M': 80-120 rpm</t>
        </is>
      </c>
      <c r="BF274" t="inlineStr">
        <is>
          <t>wave 1 mothership_cannon: 4 rounds 0.5 s apart every 4.29 s (AU-220M 120 rpm); made up: a twin 57 mm deck mount (as the real AK-725 twin 57 mm)</t>
        </is>
      </c>
      <c r="BG274" t="inlineStr">
        <is>
          <t>doi</t>
        </is>
      </c>
      <c r="BH274" t="n">
        <v>125</v>
      </c>
      <c r="BI274" t="n">
        <v>120</v>
      </c>
      <c r="BJ274" t="n">
        <v>1.1</v>
      </c>
      <c r="BK274" t="n">
        <v>2.79</v>
      </c>
      <c r="BT274" t="n">
        <v>2</v>
      </c>
      <c r="BU274" t="n">
        <v>4</v>
      </c>
      <c r="BV274" t="n">
        <v>0.1</v>
      </c>
      <c r="BW274" t="n">
        <v>0.5</v>
      </c>
      <c r="BX274" t="n">
        <v>1</v>
      </c>
      <c r="BY274" t="n">
        <v>2</v>
      </c>
      <c r="BZ274" t="inlineStr">
        <is>
          <t>RIPPLE</t>
        </is>
      </c>
      <c r="CA274" t="inlineStr">
        <is>
          <t>SIMULTANEOUS</t>
        </is>
      </c>
      <c r="CO274" t="n">
        <v>2</v>
      </c>
      <c r="CR274" t="n">
        <v>4</v>
      </c>
      <c r="CS274" t="n">
        <v>0.5</v>
      </c>
      <c r="DD274" t="n">
        <v>2.79</v>
      </c>
      <c r="DE274" t="n">
        <v>120</v>
      </c>
      <c r="DO274" t="n">
        <v>8</v>
      </c>
      <c r="DT274" t="inlineStr">
        <is>
          <t>p26_typhon_ty57</t>
        </is>
      </c>
      <c r="EQ274" t="inlineStr">
        <is>
          <t>AU-220 57 mm (twin deck mount)</t>
        </is>
      </c>
      <c r="EW274" t="inlineStr">
        <is>
          <t>SIMULTANEOUS</t>
        </is>
      </c>
      <c r="GD274" t="inlineStr">
        <is>
          <t>Assets/MachineBrigade/Resources/Data/balance.json: weapons[197]</t>
        </is>
      </c>
      <c r="GE274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75">
      <c r="A275" t="inlineStr">
        <is>
          <t>p26_typhon_ty57</t>
        </is>
      </c>
      <c r="B275" t="inlineStr">
        <is>
          <t>AU-220 57 mm (deck)</t>
        </is>
      </c>
      <c r="C275" t="inlineStr">
        <is>
          <t>cal_57</t>
        </is>
      </c>
      <c r="D275" t="inlineStr"/>
      <c r="E275" t="inlineStr"/>
      <c r="F275" t="inlineStr">
        <is>
          <t>tank_gun</t>
        </is>
      </c>
      <c r="G275" t="n">
        <v>57</v>
      </c>
      <c r="H275" t="inlineStr"/>
      <c r="I275" t="inlineStr"/>
      <c r="J275" t="inlineStr"/>
      <c r="K275" t="inlineStr">
        <is>
          <t>HighExplosive</t>
        </is>
      </c>
      <c r="L275" t="n">
        <v>3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2</v>
      </c>
      <c r="Q275" t="n">
        <v>0.1</v>
      </c>
      <c r="R275" t="n">
        <v>1.4</v>
      </c>
      <c r="S275" t="n">
        <v>0</v>
      </c>
      <c r="T275" t="n">
        <v>0</v>
      </c>
      <c r="U275" t="n">
        <v>0</v>
      </c>
      <c r="V275" t="n">
        <v>0</v>
      </c>
      <c r="W275" t="n">
        <v>130</v>
      </c>
      <c r="X275" t="n">
        <v>3</v>
      </c>
      <c r="Y275" t="n">
        <v>6</v>
      </c>
      <c r="Z275" t="n">
        <v>150</v>
      </c>
      <c r="AA275" t="n">
        <v>40</v>
      </c>
      <c r="AB275" t="n">
        <v>0</v>
      </c>
      <c r="AC275" t="inlineStr">
        <is>
          <t>Ground</t>
        </is>
      </c>
      <c r="AD275" t="inlineStr"/>
      <c r="AE275" t="n">
        <v>0.8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57</v>
      </c>
      <c r="AO275" t="n">
        <v>0</v>
      </c>
      <c r="AP275" t="inlineStr">
        <is>
          <t>T2</t>
        </is>
      </c>
      <c r="AQ275" t="inlineStr">
        <is>
          <t>gun_57mm</t>
        </is>
      </c>
      <c r="AR275" t="inlineStr"/>
      <c r="AS275" t="inlineStr"/>
      <c r="AT275" t="inlineStr"/>
      <c r="AU275" t="n">
        <v>0</v>
      </c>
      <c r="AV275" t="inlineStr"/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0.2666666666666667</v>
      </c>
      <c r="BB275" t="n">
        <v>120</v>
      </c>
      <c r="BC275" t="n">
        <v>80</v>
      </c>
      <c r="BD275" t="inlineStr">
        <is>
          <t>ac</t>
        </is>
      </c>
      <c r="BE275" t="inlineStr">
        <is>
          <t>Wikipedia 'AU-220M': 80-120 rpm</t>
        </is>
      </c>
      <c r="BG275" t="inlineStr">
        <is>
          <t>giong</t>
        </is>
      </c>
      <c r="CR275" t="n">
        <v>2</v>
      </c>
      <c r="CS275" t="n">
        <v>0.1</v>
      </c>
      <c r="DD275" t="n">
        <v>1.4</v>
      </c>
      <c r="DE275" t="n">
        <v>130</v>
      </c>
      <c r="DF275" t="inlineStr">
        <is>
          <t>HighExplosive</t>
        </is>
      </c>
      <c r="DG275" t="n">
        <v>6</v>
      </c>
      <c r="DT275" t="inlineStr">
        <is>
          <t>gun_57mm</t>
        </is>
      </c>
      <c r="EB275" t="n">
        <v>3</v>
      </c>
      <c r="EP275" t="n">
        <v>40</v>
      </c>
      <c r="EQ275" t="inlineStr">
        <is>
          <t>AU-220 57 mm (deck)</t>
        </is>
      </c>
      <c r="EY275" t="n">
        <v>3</v>
      </c>
      <c r="GA275" t="inlineStr"/>
      <c r="GC275" t="inlineStr"/>
      <c r="GD275" t="inlineStr">
        <is>
          <t>Assets/MachineBrigade/Resources/Data/balance.json: weapons[196]</t>
        </is>
      </c>
      <c r="GE275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76">
      <c r="A276" t="inlineStr">
        <is>
          <t>p26_typhon_ty100</t>
        </is>
      </c>
      <c r="B276" t="inlineStr">
        <is>
          <t>AK-100 100 mm (deck)</t>
        </is>
      </c>
      <c r="C276" t="inlineStr">
        <is>
          <t>cal_100_105_he</t>
        </is>
      </c>
      <c r="D276" t="inlineStr"/>
      <c r="E276" t="inlineStr"/>
      <c r="F276" t="inlineStr">
        <is>
          <t>howitzer</t>
        </is>
      </c>
      <c r="G276" t="n">
        <v>100</v>
      </c>
      <c r="H276" t="inlineStr"/>
      <c r="I276" t="inlineStr"/>
      <c r="J276" t="inlineStr"/>
      <c r="K276" t="inlineStr">
        <is>
          <t>HighExplosive</t>
        </is>
      </c>
      <c r="L276" t="n">
        <v>4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1</v>
      </c>
      <c r="Q276" t="n">
        <v>0.5</v>
      </c>
      <c r="R276" t="n">
        <v>2.5</v>
      </c>
      <c r="S276" t="n">
        <v>0</v>
      </c>
      <c r="T276" t="n">
        <v>0</v>
      </c>
      <c r="U276" t="n">
        <v>0</v>
      </c>
      <c r="V276" t="n">
        <v>0</v>
      </c>
      <c r="W276" t="n">
        <v>600</v>
      </c>
      <c r="X276" t="n">
        <v>5</v>
      </c>
      <c r="Y276" t="n">
        <v>10</v>
      </c>
      <c r="Z276" t="n">
        <v>110</v>
      </c>
      <c r="AA276" t="n">
        <v>90</v>
      </c>
      <c r="AB276" t="n">
        <v>0</v>
      </c>
      <c r="AC276" t="inlineStr">
        <is>
          <t>Ground</t>
        </is>
      </c>
      <c r="AD276" t="inlineStr"/>
      <c r="AE276" t="n">
        <v>2.2</v>
      </c>
      <c r="AF276" t="inlineStr">
        <is>
          <t>Large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100</v>
      </c>
      <c r="AO276" t="n">
        <v>0</v>
      </c>
      <c r="AP276" t="inlineStr">
        <is>
          <t>T2</t>
        </is>
      </c>
      <c r="AQ276" t="inlineStr">
        <is>
          <t>naval_100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0.8181818181818182</v>
      </c>
      <c r="BB276" t="n">
        <v>60</v>
      </c>
      <c r="BC276" t="n">
        <v>30</v>
      </c>
      <c r="BD276" t="inlineStr">
        <is>
          <t>gun</t>
        </is>
      </c>
      <c r="BE276" t="inlineStr">
        <is>
          <t>Wikipedia 'AK-100 (naval gun)': 60 rpm</t>
        </is>
      </c>
      <c r="BG276" t="inlineStr">
        <is>
          <t>giong</t>
        </is>
      </c>
      <c r="CR276" t="n">
        <v>1</v>
      </c>
      <c r="DD276" t="n">
        <v>2.5</v>
      </c>
      <c r="DE276" t="n">
        <v>600</v>
      </c>
      <c r="DG276" t="n">
        <v>10</v>
      </c>
      <c r="DT276" t="inlineStr">
        <is>
          <t>naval_100</t>
        </is>
      </c>
      <c r="EB276" t="n">
        <v>4</v>
      </c>
      <c r="EQ276" t="inlineStr">
        <is>
          <t>AK-100 100 mm (deck)</t>
        </is>
      </c>
      <c r="EY276" t="n">
        <v>5</v>
      </c>
      <c r="GA276" t="inlineStr"/>
      <c r="GD276" t="inlineStr">
        <is>
          <t>Assets/MachineBrigade/Resources/Data/balance.json: weapons[195]</t>
        </is>
      </c>
      <c r="GE276" t="inlineStr">
        <is>
          <t>{"id":"p26_typhon_ty100","inherits":"naval_100","weaponFamily":"","real":"AK-100 100 mm (deck)","damage":600,"burst":1,"cooldown":2.5,"pen":4,"splash":5,"edge":10}</t>
        </is>
      </c>
    </row>
    <row r="277">
      <c r="A277" t="inlineStr">
        <is>
          <t>patriot</t>
        </is>
      </c>
      <c r="B277" t="inlineStr">
        <is>
          <t>MIM-104 Patriot PAC-2</t>
        </is>
      </c>
      <c r="C277" t="inlineStr">
        <is>
          <t>sam_mim_104_patriot_pac_2</t>
        </is>
      </c>
      <c r="D277" t="inlineStr"/>
      <c r="E277" t="inlineStr">
        <is>
          <t>mim_104_patriot_pac_2</t>
        </is>
      </c>
      <c r="F277" t="inlineStr">
        <is>
          <t>aa_missile</t>
        </is>
      </c>
      <c r="G277" t="inlineStr"/>
      <c r="H277" t="n">
        <v>90</v>
      </c>
      <c r="I277" t="inlineStr"/>
      <c r="J277" t="inlineStr"/>
      <c r="K277" t="inlineStr">
        <is>
          <t>Fragmentation</t>
        </is>
      </c>
      <c r="L277" t="n">
        <v>3</v>
      </c>
      <c r="M277" t="inlineStr">
        <is>
          <t>Missile</t>
        </is>
      </c>
      <c r="N277" t="n">
        <v>1</v>
      </c>
      <c r="O277" t="inlineStr">
        <is>
          <t>RIPPLE</t>
        </is>
      </c>
      <c r="P277" t="n">
        <v>2</v>
      </c>
      <c r="Q277" t="n">
        <v>0.45</v>
      </c>
      <c r="R277" t="n">
        <v>2.75</v>
      </c>
      <c r="S277" t="n">
        <v>0</v>
      </c>
      <c r="T277" t="n">
        <v>0</v>
      </c>
      <c r="U277" t="n">
        <v>0</v>
      </c>
      <c r="V277" t="n">
        <v>0</v>
      </c>
      <c r="W277" t="n">
        <v>340</v>
      </c>
      <c r="X277" t="n">
        <v>2.5</v>
      </c>
      <c r="Y277" t="n">
        <v>0</v>
      </c>
      <c r="Z277" t="n">
        <v>300</v>
      </c>
      <c r="AA277" t="n">
        <v>90</v>
      </c>
      <c r="AB277" t="n">
        <v>20</v>
      </c>
      <c r="AC277" t="inlineStr">
        <is>
          <t>Air</t>
        </is>
      </c>
      <c r="AD277" t="inlineStr">
        <is>
          <t>high</t>
        </is>
      </c>
      <c r="AE277" t="n">
        <v>0</v>
      </c>
      <c r="AF277" t="inlineStr">
        <is>
          <t>Large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90</v>
      </c>
      <c r="AO277" t="n">
        <v>0</v>
      </c>
      <c r="AP277" t="inlineStr">
        <is>
          <t>T2</t>
        </is>
      </c>
      <c r="AQ277" t="inlineStr">
        <is>
          <t>sam_battery</t>
        </is>
      </c>
      <c r="AR277" t="inlineStr"/>
      <c r="AS277" t="inlineStr">
        <is>
          <t>thap</t>
        </is>
      </c>
      <c r="AT277" t="inlineStr">
        <is>
          <t>missile_battery</t>
        </is>
      </c>
      <c r="AU277" t="n">
        <v>1</v>
      </c>
      <c r="AV277" t="inlineStr">
        <is>
          <t>missile_battery:0</t>
        </is>
      </c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0.3</v>
      </c>
      <c r="BB277" t="n">
        <v>20</v>
      </c>
      <c r="BC277" t="n">
        <v>20</v>
      </c>
      <c r="BD277" t="inlineStr">
        <is>
          <t>missile</t>
        </is>
      </c>
      <c r="BE277" t="inlineStr">
        <is>
          <t>Wikipedia 'MIM-104 Patriot': ripples a few seconds apart (est. 3 s)</t>
        </is>
      </c>
      <c r="BG277" t="inlineStr">
        <is>
          <t>doi</t>
        </is>
      </c>
      <c r="BR277" t="n">
        <v>60</v>
      </c>
      <c r="BS277" t="n">
        <v>300</v>
      </c>
      <c r="CS277" t="n">
        <v>0.45</v>
      </c>
      <c r="DD277" t="n">
        <v>2.75</v>
      </c>
      <c r="DJ277" t="inlineStr">
        <is>
          <t>aa_missile</t>
        </is>
      </c>
      <c r="DT277" t="inlineStr">
        <is>
          <t>sam_battery</t>
        </is>
      </c>
      <c r="EB277" t="n">
        <v>3</v>
      </c>
      <c r="EQ277" t="inlineStr">
        <is>
          <t>MIM-104 Patriot PAC-2</t>
        </is>
      </c>
      <c r="EX277" t="n">
        <v>90</v>
      </c>
      <c r="FZ277" t="n">
        <v>90</v>
      </c>
      <c r="GA277" t="inlineStr">
        <is>
          <t>mim_104_patriot_pac_2</t>
        </is>
      </c>
      <c r="GD277" t="inlineStr">
        <is>
          <t>Assets/MachineBrigade/Resources/Data/balance.json: weapons[88]</t>
        </is>
      </c>
      <c r="GE277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78">
      <c r="A278" t="inlineStr">
        <is>
          <t>pt14_ixion_30</t>
        </is>
      </c>
      <c r="B278" t="inlineStr">
        <is>
          <t>2A42 30 mm (remote turret)</t>
        </is>
      </c>
      <c r="C278" t="inlineStr">
        <is>
          <t>cal_30</t>
        </is>
      </c>
      <c r="D278" t="inlineStr"/>
      <c r="E278" t="inlineStr"/>
      <c r="F278" t="inlineStr">
        <is>
          <t>autocannon</t>
        </is>
      </c>
      <c r="G278" t="n">
        <v>30</v>
      </c>
      <c r="H278" t="inlineStr"/>
      <c r="I278" t="inlineStr"/>
      <c r="J278" t="inlineStr"/>
      <c r="K278" t="inlineStr">
        <is>
          <t>Kinetic</t>
        </is>
      </c>
      <c r="L278" t="n">
        <v>2</v>
      </c>
      <c r="M278" t="inlineStr">
        <is>
          <t>Bullet</t>
        </is>
      </c>
      <c r="N278" t="n">
        <v>1</v>
      </c>
      <c r="O278" t="inlineStr">
        <is>
          <t>RIPPLE</t>
        </is>
      </c>
      <c r="P278" t="n">
        <v>8</v>
      </c>
      <c r="Q278" t="n">
        <v>0.1111</v>
      </c>
      <c r="R278" t="n">
        <v>3.5</v>
      </c>
      <c r="S278" t="n">
        <v>0</v>
      </c>
      <c r="T278" t="n">
        <v>0</v>
      </c>
      <c r="U278" t="n">
        <v>0</v>
      </c>
      <c r="V278" t="n">
        <v>0</v>
      </c>
      <c r="W278" t="n">
        <v>22</v>
      </c>
      <c r="X278" t="n">
        <v>0</v>
      </c>
      <c r="Y278" t="n">
        <v>0</v>
      </c>
      <c r="Z278" t="n">
        <v>200</v>
      </c>
      <c r="AA278" t="n">
        <v>30</v>
      </c>
      <c r="AB278" t="n">
        <v>0</v>
      </c>
      <c r="AC278" t="inlineStr">
        <is>
          <t>Ground</t>
        </is>
      </c>
      <c r="AD278" t="inlineStr"/>
      <c r="AE278" t="n">
        <v>0.8</v>
      </c>
      <c r="AF278" t="inlineStr">
        <is>
          <t>Small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30</v>
      </c>
      <c r="AO278" t="n">
        <v>0</v>
      </c>
      <c r="AP278" t="inlineStr">
        <is>
          <t>T1</t>
        </is>
      </c>
      <c r="AQ278" t="inlineStr">
        <is>
          <t>autocannon_30</t>
        </is>
      </c>
      <c r="AR278" t="inlineStr"/>
      <c r="AS278" t="inlineStr">
        <is>
          <t>boss</t>
        </is>
      </c>
      <c r="AT278" t="inlineStr">
        <is>
          <t>ixion</t>
        </is>
      </c>
      <c r="AU278" t="n">
        <v>1</v>
      </c>
      <c r="AV278" t="inlineStr">
        <is>
          <t>ixion:3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0.15</v>
      </c>
      <c r="BB278" t="n">
        <v>800</v>
      </c>
      <c r="BC278" t="n">
        <v>300</v>
      </c>
      <c r="BD278" t="inlineStr">
        <is>
          <t>ac</t>
        </is>
      </c>
      <c r="BE278" t="inlineStr">
        <is>
          <t>Wikipedia '2A42': 550-800 high, 200-300 low rpm</t>
        </is>
      </c>
      <c r="BG278" t="inlineStr">
        <is>
          <t>moi</t>
        </is>
      </c>
      <c r="CR278" t="n">
        <v>8</v>
      </c>
      <c r="DD278" t="n">
        <v>3.5</v>
      </c>
      <c r="DE278" t="n">
        <v>22</v>
      </c>
      <c r="DT278" t="inlineStr">
        <is>
          <t>autocannon_30</t>
        </is>
      </c>
      <c r="EQ278" t="inlineStr">
        <is>
          <t>2A42 30 mm (remote turret)</t>
        </is>
      </c>
      <c r="GA278" t="inlineStr"/>
      <c r="GD278" t="inlineStr">
        <is>
          <t>Assets/MachineBrigade/Resources/Data/balance.json: weapons[168]</t>
        </is>
      </c>
      <c r="GE278" t="inlineStr">
        <is>
          <t>{"id":"pt14_ixion_30","inherits":"autocannon_30","weaponFamily":"","real":"2A42 30 mm (remote turret)","burst":8,"cooldown":3.5,"damage":22}</t>
        </is>
      </c>
    </row>
    <row r="279">
      <c r="A279" t="inlineStr">
        <is>
          <t>pt14_ixion_grad</t>
        </is>
      </c>
      <c r="B279" t="inlineStr">
        <is>
          <t>BM-21V Grad-V 122 mm (12-tube pack)</t>
        </is>
      </c>
      <c r="C279" t="inlineStr">
        <is>
          <t>rkt_grad_122</t>
        </is>
      </c>
      <c r="D279" t="inlineStr"/>
      <c r="E279" t="inlineStr"/>
      <c r="F279" t="inlineStr">
        <is>
          <t>rocket</t>
        </is>
      </c>
      <c r="G279" t="n">
        <v>122</v>
      </c>
      <c r="H279" t="inlineStr"/>
      <c r="I279" t="inlineStr"/>
      <c r="J279" t="inlineStr"/>
      <c r="K279" t="inlineStr">
        <is>
          <t>HighExplosive</t>
        </is>
      </c>
      <c r="L279" t="n">
        <v>2</v>
      </c>
      <c r="M279" t="inlineStr">
        <is>
          <t>Rocket</t>
        </is>
      </c>
      <c r="N279" t="n">
        <v>1</v>
      </c>
      <c r="O279" t="inlineStr">
        <is>
          <t>RIPPLE</t>
        </is>
      </c>
      <c r="P279" t="n">
        <v>9</v>
      </c>
      <c r="Q279" t="n">
        <v>0.5</v>
      </c>
      <c r="R279" t="n">
        <v>20</v>
      </c>
      <c r="S279" t="n">
        <v>0</v>
      </c>
      <c r="T279" t="n">
        <v>0</v>
      </c>
      <c r="U279" t="n">
        <v>3</v>
      </c>
      <c r="V279" t="n">
        <v>16.6</v>
      </c>
      <c r="W279" t="n">
        <v>57</v>
      </c>
      <c r="X279" t="n">
        <v>4.5</v>
      </c>
      <c r="Y279" t="n">
        <v>0</v>
      </c>
      <c r="Z279" t="n">
        <v>130</v>
      </c>
      <c r="AA279" t="n">
        <v>55</v>
      </c>
      <c r="AB279" t="n">
        <v>18</v>
      </c>
      <c r="AC279" t="inlineStr">
        <is>
          <t>Ground</t>
        </is>
      </c>
      <c r="AD279" t="inlineStr"/>
      <c r="AE279" t="n">
        <v>7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122</v>
      </c>
      <c r="AO279" t="n">
        <v>0</v>
      </c>
      <c r="AP279" t="inlineStr">
        <is>
          <t>T3</t>
        </is>
      </c>
      <c r="AQ279" t="inlineStr">
        <is>
          <t>grad_rockets</t>
        </is>
      </c>
      <c r="AR279" t="inlineStr"/>
      <c r="AS279" t="inlineStr">
        <is>
          <t>boss</t>
        </is>
      </c>
      <c r="AT279" t="inlineStr">
        <is>
          <t>ixion</t>
        </is>
      </c>
      <c r="AU279" t="n">
        <v>1</v>
      </c>
      <c r="AV279" t="inlineStr">
        <is>
          <t>ixion:6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0.4230769230769231</v>
      </c>
      <c r="BB279" t="n">
        <v>120</v>
      </c>
      <c r="BC279" t="inlineStr"/>
      <c r="BD279" t="inlineStr">
        <is>
          <t>rocket</t>
        </is>
      </c>
      <c r="BE279" t="inlineStr">
        <is>
          <t>Wikipedia 'BM-21 Grad': 40 rockets in 20 s</t>
        </is>
      </c>
      <c r="BG279" t="inlineStr">
        <is>
          <t>moi</t>
        </is>
      </c>
      <c r="CR279" t="n">
        <v>9</v>
      </c>
      <c r="DD279" t="n">
        <v>20</v>
      </c>
      <c r="DE279" t="n">
        <v>57</v>
      </c>
      <c r="DT279" t="inlineStr">
        <is>
          <t>grad_rockets</t>
        </is>
      </c>
      <c r="EQ279" t="inlineStr">
        <is>
          <t>BM-21V Grad-V 122 mm (12-tube pack)</t>
        </is>
      </c>
      <c r="GA279" t="inlineStr"/>
      <c r="GD279" t="inlineStr">
        <is>
          <t>Assets/MachineBrigade/Resources/Data/balance.json: weapons[170]</t>
        </is>
      </c>
      <c r="GE279" t="inlineStr">
        <is>
          <t>{"id":"pt14_ixion_grad","inherits":"grad_rockets","weaponFamily":"","real":"BM-21V Grad-V 122 mm (12-tube pack)","burst":9,"cooldown":20,"damage":57}</t>
        </is>
      </c>
    </row>
    <row r="280">
      <c r="A280" t="inlineStr">
        <is>
          <t>pt14_ixion_kornet</t>
        </is>
      </c>
      <c r="B280" t="inlineStr">
        <is>
          <t>9M133 Kornet-EM (twin launcher)</t>
        </is>
      </c>
      <c r="C280" t="inlineStr">
        <is>
          <t>atgm_kornet</t>
        </is>
      </c>
      <c r="D280" t="inlineStr"/>
      <c r="E280" t="inlineStr"/>
      <c r="F280" t="inlineStr">
        <is>
          <t>atgm</t>
        </is>
      </c>
      <c r="G280" t="inlineStr"/>
      <c r="H280" t="n">
        <v>7</v>
      </c>
      <c r="I280" t="inlineStr"/>
      <c r="J280" t="inlineStr"/>
      <c r="K280" t="inlineStr">
        <is>
          <t>ShapedCharge</t>
        </is>
      </c>
      <c r="L280" t="n">
        <v>4</v>
      </c>
      <c r="M280" t="inlineStr">
        <is>
          <t>Missile</t>
        </is>
      </c>
      <c r="N280" t="n">
        <v>1</v>
      </c>
      <c r="O280" t="inlineStr">
        <is>
          <t>RIPPLE</t>
        </is>
      </c>
      <c r="P280" t="n">
        <v>1</v>
      </c>
      <c r="Q280" t="n">
        <v>0.1</v>
      </c>
      <c r="R280" t="n">
        <v>12</v>
      </c>
      <c r="S280" t="n">
        <v>0</v>
      </c>
      <c r="T280" t="n">
        <v>0</v>
      </c>
      <c r="U280" t="n">
        <v>0</v>
      </c>
      <c r="V280" t="n">
        <v>0</v>
      </c>
      <c r="W280" t="n">
        <v>230</v>
      </c>
      <c r="X280" t="n">
        <v>0</v>
      </c>
      <c r="Y280" t="n">
        <v>0</v>
      </c>
      <c r="Z280" t="n">
        <v>80</v>
      </c>
      <c r="AA280" t="n">
        <v>45</v>
      </c>
      <c r="AB280" t="n">
        <v>0</v>
      </c>
      <c r="AC280" t="inlineStr">
        <is>
          <t>Ground</t>
        </is>
      </c>
      <c r="AD280" t="inlineStr"/>
      <c r="AE280" t="n">
        <v>0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29</v>
      </c>
      <c r="AO280" t="n">
        <v>0</v>
      </c>
      <c r="AP280" t="inlineStr">
        <is>
          <t>T2</t>
        </is>
      </c>
      <c r="AQ280" t="inlineStr">
        <is>
          <t>boss_missiles</t>
        </is>
      </c>
      <c r="AR280" t="inlineStr"/>
      <c r="AS280" t="inlineStr">
        <is>
          <t>boss</t>
        </is>
      </c>
      <c r="AT280" t="inlineStr">
        <is>
          <t>ixion</t>
        </is>
      </c>
      <c r="AU280" t="n">
        <v>1</v>
      </c>
      <c r="AV280" t="inlineStr">
        <is>
          <t>ixion:4;ixion:5</t>
        </is>
      </c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0.5625</v>
      </c>
      <c r="BB280" t="n">
        <v>3</v>
      </c>
      <c r="BC280" t="n">
        <v>3</v>
      </c>
      <c r="BD280" t="inlineStr">
        <is>
          <t>atgm</t>
        </is>
      </c>
      <c r="BE280" t="inlineStr">
        <is>
          <t>Wikipedia '9M133 Kornet': 2-3 rpm</t>
        </is>
      </c>
      <c r="BG280" t="inlineStr">
        <is>
          <t>moi</t>
        </is>
      </c>
      <c r="DD280" t="n">
        <v>12</v>
      </c>
      <c r="DE280" t="n">
        <v>230</v>
      </c>
      <c r="DO280" t="n">
        <v>1</v>
      </c>
      <c r="DT280" t="inlineStr">
        <is>
          <t>boss_missiles</t>
        </is>
      </c>
      <c r="EQ280" t="inlineStr">
        <is>
          <t>9M133 Kornet-EM (twin launcher)</t>
        </is>
      </c>
      <c r="GA280" t="inlineStr"/>
      <c r="GD280" t="inlineStr">
        <is>
          <t>Assets/MachineBrigade/Resources/Data/balance.json: weapons[169]</t>
        </is>
      </c>
      <c r="GE280" t="inlineStr">
        <is>
          <t>{"id":"pt14_ixion_kornet","groundMinReach":1,"inherits":"boss_missiles","weaponFamily":"","real":"9M133 Kornet-EM (twin launcher)","cooldown":12,"damage":230}</t>
        </is>
      </c>
    </row>
    <row r="281">
      <c r="A281" t="inlineStr">
        <is>
          <t>r60</t>
        </is>
      </c>
      <c r="B281" t="inlineStr">
        <is>
          <t>R-60</t>
        </is>
      </c>
      <c r="C281" t="inlineStr">
        <is>
          <t>sam_r_60</t>
        </is>
      </c>
      <c r="D281" t="inlineStr"/>
      <c r="E281" t="inlineStr"/>
      <c r="F281" t="inlineStr">
        <is>
          <t>aa_missile</t>
        </is>
      </c>
      <c r="G281" t="inlineStr"/>
      <c r="H281" t="n">
        <v>3.5</v>
      </c>
      <c r="I281" t="inlineStr"/>
      <c r="J281" t="inlineStr"/>
      <c r="K281" t="inlineStr">
        <is>
          <t>Fragmentation</t>
        </is>
      </c>
      <c r="L281" t="n">
        <v>2</v>
      </c>
      <c r="M281" t="inlineStr">
        <is>
          <t>Missile</t>
        </is>
      </c>
      <c r="N281" t="n">
        <v>1</v>
      </c>
      <c r="O281" t="inlineStr">
        <is>
          <t>RIPPLE</t>
        </is>
      </c>
      <c r="P281" t="n">
        <v>1</v>
      </c>
      <c r="Q281" t="n">
        <v>0.1</v>
      </c>
      <c r="R281" t="n">
        <v>7</v>
      </c>
      <c r="S281" t="n">
        <v>0</v>
      </c>
      <c r="T281" t="n">
        <v>0</v>
      </c>
      <c r="U281" t="n">
        <v>0</v>
      </c>
      <c r="V281" t="n">
        <v>0</v>
      </c>
      <c r="W281" t="n">
        <v>184</v>
      </c>
      <c r="X281" t="n">
        <v>1.5</v>
      </c>
      <c r="Y281" t="n">
        <v>0</v>
      </c>
      <c r="Z281" t="n">
        <v>210</v>
      </c>
      <c r="AA281" t="n">
        <v>28</v>
      </c>
      <c r="AB281" t="n">
        <v>0</v>
      </c>
      <c r="AC281" t="inlineStr">
        <is>
          <t>Air</t>
        </is>
      </c>
      <c r="AD281" t="inlineStr"/>
      <c r="AE281" t="n">
        <v>0</v>
      </c>
      <c r="AF281" t="inlineStr">
        <is>
          <t>Medium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3.5</v>
      </c>
      <c r="AO281" t="n">
        <v>2</v>
      </c>
      <c r="AP281" t="inlineStr">
        <is>
          <t>T2</t>
        </is>
      </c>
      <c r="AQ281" t="inlineStr"/>
      <c r="AR281" t="inlineStr"/>
      <c r="AS281" t="inlineStr">
        <is>
          <t>xe</t>
        </is>
      </c>
      <c r="AT281" t="inlineStr">
        <is>
          <t>attack_jet;elite_attack_jet</t>
        </is>
      </c>
      <c r="AU281" t="n">
        <v>2</v>
      </c>
      <c r="AV281" t="inlineStr">
        <is>
          <t>attack_jet:4;elite_attack_jet:4</t>
        </is>
      </c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0.1333333333333333</v>
      </c>
      <c r="BB281" t="n">
        <v>60</v>
      </c>
      <c r="BC281" t="inlineStr"/>
      <c r="BD281" t="inlineStr">
        <is>
          <t>missile</t>
        </is>
      </c>
      <c r="BE281" t="inlineStr">
        <is>
          <t>air-to-air: ~1 s between launches (est.)</t>
        </is>
      </c>
      <c r="BG281" t="inlineStr">
        <is>
          <t>doi</t>
        </is>
      </c>
      <c r="BR281" t="n">
        <v>42</v>
      </c>
      <c r="BS281" t="n">
        <v>210</v>
      </c>
      <c r="DD281" t="n">
        <v>7</v>
      </c>
      <c r="DE281" t="n">
        <v>184</v>
      </c>
      <c r="DF281" t="inlineStr">
        <is>
          <t>Fragmentation</t>
        </is>
      </c>
      <c r="DJ281" t="inlineStr">
        <is>
          <t>aa_missile</t>
        </is>
      </c>
      <c r="DS281" t="inlineStr">
        <is>
          <t>Medium</t>
        </is>
      </c>
      <c r="DW281" t="n">
        <v>2</v>
      </c>
      <c r="EB281" t="n">
        <v>2</v>
      </c>
      <c r="EH281" t="inlineStr">
        <is>
          <t>Missile</t>
        </is>
      </c>
      <c r="EI281" t="inlineStr">
        <is>
          <t>r60</t>
        </is>
      </c>
      <c r="EJ281" t="n">
        <v>0.65</v>
      </c>
      <c r="EK281" t="n">
        <v>210</v>
      </c>
      <c r="EP281" t="n">
        <v>28</v>
      </c>
      <c r="EQ281" t="inlineStr">
        <is>
          <t>R-60</t>
        </is>
      </c>
      <c r="EV281" t="n">
        <v>200</v>
      </c>
      <c r="EX281" t="n">
        <v>3.5</v>
      </c>
      <c r="EY281" t="n">
        <v>1.5</v>
      </c>
      <c r="FW281" t="inlineStr">
        <is>
          <t>Air</t>
        </is>
      </c>
      <c r="FZ281" t="n">
        <v>3.5</v>
      </c>
      <c r="GB281" t="inlineStr">
        <is>
          <t>sam_r_60</t>
        </is>
      </c>
      <c r="GD281" t="inlineStr">
        <is>
          <t>Assets/MachineBrigade/Resources/Data/balance.json: weapons[66]</t>
        </is>
      </c>
      <c r="GE281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282">
      <c r="A282" t="inlineStr">
        <is>
          <t>railgun</t>
        </is>
      </c>
      <c r="B282" t="inlineStr">
        <is>
          <t>railgun (32 MJ)</t>
        </is>
      </c>
      <c r="C282" t="inlineStr">
        <is>
          <t>rail_railgun</t>
        </is>
      </c>
      <c r="D282" t="inlineStr"/>
      <c r="E282" t="inlineStr"/>
      <c r="F282" t="inlineStr">
        <is>
          <t>railgun</t>
        </is>
      </c>
      <c r="G282" t="inlineStr"/>
      <c r="H282" t="inlineStr"/>
      <c r="I282" t="inlineStr"/>
      <c r="J282" t="n">
        <v>32</v>
      </c>
      <c r="K282" t="inlineStr">
        <is>
          <t>Kinetic</t>
        </is>
      </c>
      <c r="L282" t="n">
        <v>4</v>
      </c>
      <c r="M282" t="inlineStr">
        <is>
          <t>Bullet</t>
        </is>
      </c>
      <c r="N282" t="n">
        <v>1</v>
      </c>
      <c r="O282" t="inlineStr">
        <is>
          <t>RIPPLE</t>
        </is>
      </c>
      <c r="P282" t="n">
        <v>1</v>
      </c>
      <c r="Q282" t="n">
        <v>0.1</v>
      </c>
      <c r="R282" t="n">
        <v>7</v>
      </c>
      <c r="S282" t="n">
        <v>0</v>
      </c>
      <c r="T282" t="n">
        <v>0</v>
      </c>
      <c r="U282" t="n">
        <v>0</v>
      </c>
      <c r="V282" t="n">
        <v>0</v>
      </c>
      <c r="W282" t="n">
        <v>510</v>
      </c>
      <c r="X282" t="n">
        <v>0</v>
      </c>
      <c r="Y282" t="n">
        <v>0</v>
      </c>
      <c r="Z282" t="n">
        <v>700</v>
      </c>
      <c r="AA282" t="n">
        <v>90</v>
      </c>
      <c r="AB282" t="n">
        <v>0</v>
      </c>
      <c r="AC282" t="inlineStr">
        <is>
          <t>Ground</t>
        </is>
      </c>
      <c r="AD282" t="inlineStr">
        <is>
          <t>low</t>
        </is>
      </c>
      <c r="AE282" t="n">
        <v>0.4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32</v>
      </c>
      <c r="AO282" t="n">
        <v>0</v>
      </c>
      <c r="AP282" t="inlineStr">
        <is>
          <t>T3</t>
        </is>
      </c>
      <c r="AQ282" t="inlineStr"/>
      <c r="AR282" t="inlineStr"/>
      <c r="AS282" t="inlineStr">
        <is>
          <t>boss;xe</t>
        </is>
      </c>
      <c r="AT282" t="inlineStr">
        <is>
          <t>behemoth_tempest;railgun_truck</t>
        </is>
      </c>
      <c r="AU282" t="n">
        <v>2</v>
      </c>
      <c r="AV282" t="inlineStr">
        <is>
          <t>behemoth_tempest:other;railgun_truck:0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0.1285714285714286</v>
      </c>
      <c r="BB282" t="inlineStr">
        <is>
          <t>NEED_SOURCE</t>
        </is>
      </c>
      <c r="BC282" t="inlineStr">
        <is>
          <t>NEED_SOURCE</t>
        </is>
      </c>
      <c r="BE282" t="inlineStr">
        <is>
          <t>NEED_SOURCE</t>
        </is>
      </c>
      <c r="BG282" t="inlineStr">
        <is>
          <t>giong</t>
        </is>
      </c>
      <c r="CU282" t="inlineStr">
        <is>
          <t>low</t>
        </is>
      </c>
      <c r="CV282" t="n">
        <v>0.9</v>
      </c>
      <c r="DD282" t="n">
        <v>7</v>
      </c>
      <c r="DE282" t="n">
        <v>510</v>
      </c>
      <c r="DF282" t="inlineStr">
        <is>
          <t>Kinetic</t>
        </is>
      </c>
      <c r="DI282" t="n">
        <v>32</v>
      </c>
      <c r="DJ282" t="inlineStr">
        <is>
          <t>railgun</t>
        </is>
      </c>
      <c r="DR282" t="n">
        <v>1.4</v>
      </c>
      <c r="DS282" t="inlineStr">
        <is>
          <t>Large</t>
        </is>
      </c>
      <c r="EB282" t="n">
        <v>4</v>
      </c>
      <c r="EC282" t="b">
        <v>1</v>
      </c>
      <c r="EE282" t="b">
        <v>1</v>
      </c>
      <c r="EH282" t="inlineStr">
        <is>
          <t>Bullet</t>
        </is>
      </c>
      <c r="EI282" t="inlineStr">
        <is>
          <t>rail_slug</t>
        </is>
      </c>
      <c r="EK282" t="n">
        <v>700</v>
      </c>
      <c r="EP282" t="n">
        <v>90</v>
      </c>
      <c r="EQ282" t="inlineStr">
        <is>
          <t>railgun (32 MJ)</t>
        </is>
      </c>
      <c r="EX282" t="n">
        <v>32</v>
      </c>
      <c r="EZ282" t="n">
        <v>0.4</v>
      </c>
      <c r="GB282" t="inlineStr">
        <is>
          <t>rail_railgun</t>
        </is>
      </c>
      <c r="GD282" t="inlineStr">
        <is>
          <t>Assets/MachineBrigade/Resources/Data/balance.json: weapons[77]</t>
        </is>
      </c>
      <c r="GE282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283">
      <c r="A283" t="inlineStr">
        <is>
          <t>recoilless_106</t>
        </is>
      </c>
      <c r="B283" t="inlineStr">
        <is>
          <t>M40 106 mm recoilless rifle</t>
        </is>
      </c>
      <c r="C283" t="inlineStr">
        <is>
          <t>rcl_106</t>
        </is>
      </c>
      <c r="D283" t="inlineStr"/>
      <c r="E283" t="inlineStr"/>
      <c r="F283" t="inlineStr">
        <is>
          <t>tank_gun</t>
        </is>
      </c>
      <c r="G283" t="n">
        <v>106</v>
      </c>
      <c r="H283" t="inlineStr"/>
      <c r="I283" t="inlineStr"/>
      <c r="J283" t="inlineStr"/>
      <c r="K283" t="inlineStr">
        <is>
          <t>ShapedCharge</t>
        </is>
      </c>
      <c r="L283" t="n">
        <v>3</v>
      </c>
      <c r="M283" t="inlineStr">
        <is>
          <t>Shell</t>
        </is>
      </c>
      <c r="N283" t="n">
        <v>1</v>
      </c>
      <c r="O283" t="inlineStr">
        <is>
          <t>RIPPLE</t>
        </is>
      </c>
      <c r="P283" t="n">
        <v>1</v>
      </c>
      <c r="Q283" t="n">
        <v>0.1</v>
      </c>
      <c r="R283" t="n">
        <v>6.6667</v>
      </c>
      <c r="S283" t="n">
        <v>0</v>
      </c>
      <c r="T283" t="n">
        <v>0</v>
      </c>
      <c r="U283" t="n">
        <v>0</v>
      </c>
      <c r="V283" t="n">
        <v>0</v>
      </c>
      <c r="W283" t="n">
        <v>220</v>
      </c>
      <c r="X283" t="n">
        <v>0</v>
      </c>
      <c r="Y283" t="n">
        <v>0</v>
      </c>
      <c r="Z283" t="n">
        <v>150</v>
      </c>
      <c r="AA283" t="n">
        <v>32</v>
      </c>
      <c r="AB283" t="n">
        <v>0</v>
      </c>
      <c r="AC283" t="inlineStr">
        <is>
          <t>Ground</t>
        </is>
      </c>
      <c r="AD283" t="inlineStr"/>
      <c r="AE283" t="n">
        <v>0.9</v>
      </c>
      <c r="AF283" t="inlineStr">
        <is>
          <t>Medium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106</v>
      </c>
      <c r="AO283" t="n">
        <v>0</v>
      </c>
      <c r="AP283" t="inlineStr">
        <is>
          <t>T2</t>
        </is>
      </c>
      <c r="AQ283" t="inlineStr"/>
      <c r="AR283" t="inlineStr"/>
      <c r="AS283" t="inlineStr">
        <is>
          <t>xe</t>
        </is>
      </c>
      <c r="AT283" t="inlineStr">
        <is>
          <t>recoilless_jeep</t>
        </is>
      </c>
      <c r="AU283" t="n">
        <v>1</v>
      </c>
      <c r="AV283" t="inlineStr">
        <is>
          <t>recoilless_jeep:0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0.2133333333333333</v>
      </c>
      <c r="BB283" t="n">
        <v>5</v>
      </c>
      <c r="BC283" t="n">
        <v>1</v>
      </c>
      <c r="BD283" t="inlineStr">
        <is>
          <t>gun</t>
        </is>
      </c>
      <c r="BE283" t="inlineStr">
        <is>
          <t>Wikipedia 'M40 recoilless rifle': 1 rpm sustained, ~5 rpm short bursts</t>
        </is>
      </c>
      <c r="BG283" t="inlineStr">
        <is>
          <t>giong</t>
        </is>
      </c>
      <c r="CT283" t="n">
        <v>106</v>
      </c>
      <c r="DD283" t="n">
        <v>6.6667</v>
      </c>
      <c r="DE283" t="n">
        <v>220</v>
      </c>
      <c r="DF283" t="inlineStr">
        <is>
          <t>ShapedCharge</t>
        </is>
      </c>
      <c r="DJ283" t="inlineStr">
        <is>
          <t>tank_gun</t>
        </is>
      </c>
      <c r="DS283" t="inlineStr">
        <is>
          <t>Medium</t>
        </is>
      </c>
      <c r="EB283" t="n">
        <v>3</v>
      </c>
      <c r="EE283" t="b">
        <v>1</v>
      </c>
      <c r="EK283" t="n">
        <v>150</v>
      </c>
      <c r="EP283" t="n">
        <v>32</v>
      </c>
      <c r="EQ283" t="inlineStr">
        <is>
          <t>M40 106 mm recoilless rifle</t>
        </is>
      </c>
      <c r="EX283" t="n">
        <v>106</v>
      </c>
      <c r="EZ283" t="n">
        <v>0.9</v>
      </c>
      <c r="GB283" t="inlineStr">
        <is>
          <t>rcl_106</t>
        </is>
      </c>
      <c r="GD283" t="inlineStr">
        <is>
          <t>Assets/MachineBrigade/Resources/Data/balance.json: weapons[256]</t>
        </is>
      </c>
      <c r="GE283" t="inlineStr">
        <is>
          <t>{"id":"recoilless_106","weaponFamilyId":"rcl_106","real":"M40 106 mm recoilless rifle","family":"tank_gun","size":106,"caliberMm":106,"pen":3,"piercing":true,"damageType":"ShapedCharge","damage":220,"cooldown":6.6667,"range":32,"projectileSpeed":150,"spread":0.9,"impactTier":"Medium"}</t>
        </is>
      </c>
    </row>
    <row r="284">
      <c r="A284" t="inlineStr">
        <is>
          <t>recon_missile</t>
        </is>
      </c>
      <c r="B284" t="inlineStr">
        <is>
          <t>MAM-L</t>
        </is>
      </c>
      <c r="C284" t="inlineStr">
        <is>
          <t>atgm_mam_l</t>
        </is>
      </c>
      <c r="D284" t="inlineStr"/>
      <c r="E284" t="inlineStr"/>
      <c r="F284" t="inlineStr">
        <is>
          <t>atgm</t>
        </is>
      </c>
      <c r="G284" t="inlineStr"/>
      <c r="H284" t="n">
        <v>22</v>
      </c>
      <c r="I284" t="inlineStr"/>
      <c r="J284" t="inlineStr"/>
      <c r="K284" t="inlineStr">
        <is>
          <t>ShapedCharge</t>
        </is>
      </c>
      <c r="L284" t="n">
        <v>3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11.59</v>
      </c>
      <c r="S284" t="n">
        <v>0</v>
      </c>
      <c r="T284" t="n">
        <v>0</v>
      </c>
      <c r="U284" t="n">
        <v>0</v>
      </c>
      <c r="V284" t="n">
        <v>0</v>
      </c>
      <c r="W284" t="n">
        <v>190</v>
      </c>
      <c r="X284" t="n">
        <v>0</v>
      </c>
      <c r="Y284" t="n">
        <v>0</v>
      </c>
      <c r="Z284" t="n">
        <v>60</v>
      </c>
      <c r="AA284" t="n">
        <v>50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22</v>
      </c>
      <c r="AO284" t="n">
        <v>4</v>
      </c>
      <c r="AP284" t="inlineStr">
        <is>
          <t>T2</t>
        </is>
      </c>
      <c r="AQ284" t="inlineStr"/>
      <c r="AR284" t="inlineStr"/>
      <c r="AS284" t="inlineStr">
        <is>
          <t>xe</t>
        </is>
      </c>
      <c r="AT284" t="inlineStr">
        <is>
          <t>recon_drone</t>
        </is>
      </c>
      <c r="AU284" t="n">
        <v>1</v>
      </c>
      <c r="AV284" t="inlineStr">
        <is>
          <t>recon_drone:0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0.8333333333333334</v>
      </c>
      <c r="BB284" t="n">
        <v>60</v>
      </c>
      <c r="BC284" t="n">
        <v>10</v>
      </c>
      <c r="BD284" t="inlineStr">
        <is>
          <t>atgm</t>
        </is>
      </c>
      <c r="BE284" t="inlineStr">
        <is>
          <t>air-launched: ripples ~1 s apart, est. 6 s an aimed shot</t>
        </is>
      </c>
      <c r="BG284" t="inlineStr">
        <is>
          <t>doi</t>
        </is>
      </c>
      <c r="BR284" t="n">
        <v>22</v>
      </c>
      <c r="BS284" t="n">
        <v>60</v>
      </c>
      <c r="DD284" t="n">
        <v>11.59</v>
      </c>
      <c r="DE284" t="n">
        <v>190</v>
      </c>
      <c r="DF284" t="inlineStr">
        <is>
          <t>ShapedCharge</t>
        </is>
      </c>
      <c r="DJ284" t="inlineStr">
        <is>
          <t>atgm</t>
        </is>
      </c>
      <c r="DS284" t="inlineStr">
        <is>
          <t>Medium</t>
        </is>
      </c>
      <c r="DW284" t="n">
        <v>4</v>
      </c>
      <c r="EB284" t="n">
        <v>3</v>
      </c>
      <c r="EE284" t="b">
        <v>1</v>
      </c>
      <c r="EH284" t="inlineStr">
        <is>
          <t>Missile</t>
        </is>
      </c>
      <c r="EI284" t="inlineStr">
        <is>
          <t>mam_l</t>
        </is>
      </c>
      <c r="EJ284" t="n">
        <v>0.6</v>
      </c>
      <c r="EK284" t="n">
        <v>60</v>
      </c>
      <c r="EP284" t="n">
        <v>50</v>
      </c>
      <c r="EQ284" t="inlineStr">
        <is>
          <t>MAM-L</t>
        </is>
      </c>
      <c r="EX284" t="n">
        <v>22</v>
      </c>
      <c r="FZ284" t="n">
        <v>22</v>
      </c>
      <c r="GB284" t="inlineStr">
        <is>
          <t>atgm_mam_l</t>
        </is>
      </c>
      <c r="GD284" t="inlineStr">
        <is>
          <t>Assets/MachineBrigade/Resources/Data/balance.json: weapons[83]</t>
        </is>
      </c>
      <c r="GE284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285">
      <c r="A285" t="inlineStr">
        <is>
          <t>rockets_300mm</t>
        </is>
      </c>
      <c r="B285" t="inlineStr">
        <is>
          <t>9M55 Smerch 300 mm</t>
        </is>
      </c>
      <c r="C285" t="inlineStr">
        <is>
          <t>rkt_smerch_300</t>
        </is>
      </c>
      <c r="D285" t="inlineStr"/>
      <c r="E285" t="inlineStr"/>
      <c r="F285" t="inlineStr">
        <is>
          <t>rocket</t>
        </is>
      </c>
      <c r="G285" t="n">
        <v>300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Rocket</t>
        </is>
      </c>
      <c r="N285" t="n">
        <v>1</v>
      </c>
      <c r="O285" t="inlineStr">
        <is>
          <t>RIPPLE</t>
        </is>
      </c>
      <c r="P285" t="n">
        <v>11</v>
      </c>
      <c r="Q285" t="n">
        <v>0.25</v>
      </c>
      <c r="R285" t="n">
        <v>15.76</v>
      </c>
      <c r="S285" t="n">
        <v>0</v>
      </c>
      <c r="T285" t="n">
        <v>0</v>
      </c>
      <c r="U285" t="n">
        <v>3</v>
      </c>
      <c r="V285" t="n">
        <v>0</v>
      </c>
      <c r="W285" t="n">
        <v>145</v>
      </c>
      <c r="X285" t="n">
        <v>8</v>
      </c>
      <c r="Y285" t="n">
        <v>0</v>
      </c>
      <c r="Z285" t="n">
        <v>120</v>
      </c>
      <c r="AA285" t="n">
        <v>140</v>
      </c>
      <c r="AB285" t="n">
        <v>30</v>
      </c>
      <c r="AC285" t="inlineStr">
        <is>
          <t>Ground</t>
        </is>
      </c>
      <c r="AD285" t="inlineStr"/>
      <c r="AE285" t="n">
        <v>9</v>
      </c>
      <c r="AF285" t="inlineStr">
        <is>
          <t>Huge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300</v>
      </c>
      <c r="AO285" t="n">
        <v>0</v>
      </c>
      <c r="AP285" t="inlineStr">
        <is>
          <t>T4</t>
        </is>
      </c>
      <c r="AQ285" t="inlineStr"/>
      <c r="AR285" t="inlineStr"/>
      <c r="AS285" t="inlineStr">
        <is>
          <t>xe</t>
        </is>
      </c>
      <c r="AT285" t="inlineStr">
        <is>
          <t>heavy_rocket_artillery</t>
        </is>
      </c>
      <c r="AU285" t="n">
        <v>1</v>
      </c>
      <c r="AV285" t="inlineStr">
        <is>
          <t>heavy_rocket_artillery:0</t>
        </is>
      </c>
      <c r="AW285" t="n">
        <v>2.5</v>
      </c>
      <c r="AX285" t="b">
        <v>1</v>
      </c>
      <c r="AY285" t="inlineStr"/>
      <c r="AZ285">
        <f>IF(AND($AX$285,$AW$285&gt;$AA$285/$Z$285),$AW$285,$AA$285/$Z$285)</f>
        <v/>
      </c>
      <c r="BA285" t="n">
        <v>2.5</v>
      </c>
      <c r="BB285" t="n">
        <v>19</v>
      </c>
      <c r="BC285" t="inlineStr"/>
      <c r="BD285" t="inlineStr">
        <is>
          <t>rocket</t>
        </is>
      </c>
      <c r="BE285" t="inlineStr">
        <is>
          <t>Wikipedia 'BM-30 Smerch': 12 rockets in 38 s</t>
        </is>
      </c>
      <c r="BG285" t="inlineStr">
        <is>
          <t>doi</t>
        </is>
      </c>
      <c r="BR285" t="n">
        <v>55</v>
      </c>
      <c r="BS285" t="n">
        <v>120</v>
      </c>
      <c r="CN285" t="n">
        <v>3</v>
      </c>
      <c r="CR285" t="n">
        <v>11</v>
      </c>
      <c r="CS285" t="n">
        <v>0.25</v>
      </c>
      <c r="CT285" t="n">
        <v>300</v>
      </c>
      <c r="DD285" t="n">
        <v>15.76</v>
      </c>
      <c r="DE285" t="n">
        <v>145</v>
      </c>
      <c r="DF285" t="inlineStr">
        <is>
          <t>HighExplosive</t>
        </is>
      </c>
      <c r="DJ285" t="inlineStr">
        <is>
          <t>rocket</t>
        </is>
      </c>
      <c r="DS285" t="inlineStr">
        <is>
          <t>Huge</t>
        </is>
      </c>
      <c r="DZ285" t="n">
        <v>30</v>
      </c>
      <c r="EB285" t="n">
        <v>3</v>
      </c>
      <c r="EH285" t="inlineStr">
        <is>
          <t>Rocket</t>
        </is>
      </c>
      <c r="EK285" t="n">
        <v>120</v>
      </c>
      <c r="EP285" t="n">
        <v>140</v>
      </c>
      <c r="EQ285" t="inlineStr">
        <is>
          <t>9M55 Smerch 300 mm</t>
        </is>
      </c>
      <c r="EX285" t="n">
        <v>300</v>
      </c>
      <c r="EY285" t="n">
        <v>8</v>
      </c>
      <c r="EZ285" t="n">
        <v>9</v>
      </c>
      <c r="GB285" t="inlineStr">
        <is>
          <t>rkt_smerch_300</t>
        </is>
      </c>
      <c r="GD285" t="inlineStr">
        <is>
          <t>Assets/MachineBrigade/Resources/Data/balance.json: weapons[58]</t>
        </is>
      </c>
      <c r="GE285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286">
      <c r="A286" t="inlineStr">
        <is>
          <t>s8_pods</t>
        </is>
      </c>
      <c r="B286" t="inlineStr">
        <is>
          <t>S-8 80 mm</t>
        </is>
      </c>
      <c r="C286" t="inlineStr">
        <is>
          <t>rkt_70_80</t>
        </is>
      </c>
      <c r="D286" t="inlineStr"/>
      <c r="E286" t="inlineStr">
        <is>
          <t>s_8_80_mm</t>
        </is>
      </c>
      <c r="F286" t="inlineStr">
        <is>
          <t>rocket</t>
        </is>
      </c>
      <c r="G286" t="n">
        <v>80</v>
      </c>
      <c r="H286" t="inlineStr"/>
      <c r="I286" t="inlineStr"/>
      <c r="J286" t="inlineStr"/>
      <c r="K286" t="inlineStr">
        <is>
          <t>HighExplosive</t>
        </is>
      </c>
      <c r="L286" t="n">
        <v>2</v>
      </c>
      <c r="M286" t="inlineStr">
        <is>
          <t>Rocket</t>
        </is>
      </c>
      <c r="N286" t="n">
        <v>1</v>
      </c>
      <c r="O286" t="inlineStr">
        <is>
          <t>RIPPLE</t>
        </is>
      </c>
      <c r="P286" t="n">
        <v>8</v>
      </c>
      <c r="Q286" t="n">
        <v>0.05</v>
      </c>
      <c r="R286" t="n">
        <v>4.05</v>
      </c>
      <c r="S286" t="n">
        <v>0</v>
      </c>
      <c r="T286" t="n">
        <v>0</v>
      </c>
      <c r="U286" t="n">
        <v>0</v>
      </c>
      <c r="V286" t="n">
        <v>0</v>
      </c>
      <c r="W286" t="n">
        <v>32</v>
      </c>
      <c r="X286" t="n">
        <v>3</v>
      </c>
      <c r="Y286" t="n">
        <v>0</v>
      </c>
      <c r="Z286" t="n">
        <v>180</v>
      </c>
      <c r="AA286" t="n">
        <v>34</v>
      </c>
      <c r="AB286" t="n">
        <v>0</v>
      </c>
      <c r="AC286" t="inlineStr">
        <is>
          <t>Ground</t>
        </is>
      </c>
      <c r="AD286" t="inlineStr"/>
      <c r="AE286" t="n">
        <v>4.5</v>
      </c>
      <c r="AF286" t="inlineStr">
        <is>
          <t>Medium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80</v>
      </c>
      <c r="AO286" t="n">
        <v>16</v>
      </c>
      <c r="AP286" t="inlineStr">
        <is>
          <t>T2</t>
        </is>
      </c>
      <c r="AQ286" t="inlineStr"/>
      <c r="AR286" t="inlineStr"/>
      <c r="AS286" t="inlineStr">
        <is>
          <t>xe</t>
        </is>
      </c>
      <c r="AT286" t="inlineStr">
        <is>
          <t>attack_jet;elite_attack_jet</t>
        </is>
      </c>
      <c r="AU286" t="n">
        <v>2</v>
      </c>
      <c r="AV286" t="inlineStr">
        <is>
          <t>attack_jet:1;elite_attack_jet:1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0.1888888888888889</v>
      </c>
      <c r="BB286" t="n">
        <v>900</v>
      </c>
      <c r="BC286" t="inlineStr"/>
      <c r="BD286" t="inlineStr">
        <is>
          <t>rocket</t>
        </is>
      </c>
      <c r="BE286" t="inlineStr">
        <is>
          <t>rocket pods: ripples of 0.05-0.12 s (DECISIONS 19R)</t>
        </is>
      </c>
      <c r="BG286" t="inlineStr">
        <is>
          <t>doi</t>
        </is>
      </c>
      <c r="BR286" t="n">
        <v>40</v>
      </c>
      <c r="BS286" t="n">
        <v>180</v>
      </c>
      <c r="CR286" t="n">
        <v>8</v>
      </c>
      <c r="CS286" t="n">
        <v>0.05</v>
      </c>
      <c r="CT286" t="n">
        <v>80</v>
      </c>
      <c r="DD286" t="n">
        <v>4.05</v>
      </c>
      <c r="DE286" t="n">
        <v>32</v>
      </c>
      <c r="DF286" t="inlineStr">
        <is>
          <t>HighExplosive</t>
        </is>
      </c>
      <c r="DJ286" t="inlineStr">
        <is>
          <t>rocket</t>
        </is>
      </c>
      <c r="DS286" t="inlineStr">
        <is>
          <t>Medium</t>
        </is>
      </c>
      <c r="DW286" t="n">
        <v>16</v>
      </c>
      <c r="EB286" t="n">
        <v>2</v>
      </c>
      <c r="EH286" t="inlineStr">
        <is>
          <t>Rocket</t>
        </is>
      </c>
      <c r="EJ286" t="n">
        <v>0.9</v>
      </c>
      <c r="EP286" t="n">
        <v>34</v>
      </c>
      <c r="EQ286" t="inlineStr">
        <is>
          <t>S-8 80 mm</t>
        </is>
      </c>
      <c r="EX286" t="n">
        <v>80</v>
      </c>
      <c r="EZ286" t="n">
        <v>4.5</v>
      </c>
      <c r="GA286" t="inlineStr">
        <is>
          <t>s_8_80_mm</t>
        </is>
      </c>
      <c r="GB286" t="inlineStr">
        <is>
          <t>rkt_70_80</t>
        </is>
      </c>
      <c r="GD286" t="inlineStr">
        <is>
          <t>Assets/MachineBrigade/Resources/Data/balance.json: weapons[70]</t>
        </is>
      </c>
      <c r="GE286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287">
      <c r="A287" t="inlineStr">
        <is>
          <t>sam</t>
        </is>
      </c>
      <c r="B287" t="inlineStr">
        <is>
          <t>Starstreak / Stinger SHORAD</t>
        </is>
      </c>
      <c r="C287" t="inlineStr">
        <is>
          <t>sam_starstreak_stinger_shorad</t>
        </is>
      </c>
      <c r="D287" t="inlineStr"/>
      <c r="E287" t="inlineStr"/>
      <c r="F287" t="inlineStr">
        <is>
          <t>aa_missile</t>
        </is>
      </c>
      <c r="G287" t="inlineStr"/>
      <c r="H287" t="n">
        <v>1</v>
      </c>
      <c r="I287" t="inlineStr"/>
      <c r="J287" t="inlineStr"/>
      <c r="K287" t="inlineStr">
        <is>
          <t>Fragmentation</t>
        </is>
      </c>
      <c r="L287" t="n">
        <v>2</v>
      </c>
      <c r="M287" t="inlineStr">
        <is>
          <t>Missile</t>
        </is>
      </c>
      <c r="N287" t="n">
        <v>1</v>
      </c>
      <c r="O287" t="inlineStr">
        <is>
          <t>RIPPLE</t>
        </is>
      </c>
      <c r="P287" t="n">
        <v>1</v>
      </c>
      <c r="Q287" t="n">
        <v>0.1</v>
      </c>
      <c r="R287" t="n">
        <v>4.452</v>
      </c>
      <c r="S287" t="n">
        <v>0</v>
      </c>
      <c r="T287" t="n">
        <v>0</v>
      </c>
      <c r="U287" t="n">
        <v>0</v>
      </c>
      <c r="V287" t="n">
        <v>0</v>
      </c>
      <c r="W287" t="n">
        <v>170</v>
      </c>
      <c r="X287" t="n">
        <v>2</v>
      </c>
      <c r="Y287" t="n">
        <v>0</v>
      </c>
      <c r="Z287" t="n">
        <v>200</v>
      </c>
      <c r="AA287" t="n">
        <v>44</v>
      </c>
      <c r="AB287" t="n">
        <v>0</v>
      </c>
      <c r="AC287" t="inlineStr">
        <is>
          <t>Air</t>
        </is>
      </c>
      <c r="AD287" t="inlineStr"/>
      <c r="AE287" t="n">
        <v>0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3</v>
      </c>
      <c r="AO287" t="n">
        <v>0</v>
      </c>
      <c r="AP287" t="inlineStr">
        <is>
          <t>T2</t>
        </is>
      </c>
      <c r="AQ287" t="inlineStr"/>
      <c r="AR287" t="inlineStr"/>
      <c r="AS287" t="inlineStr">
        <is>
          <t>boss;thap;xe</t>
        </is>
      </c>
      <c r="AT287" t="inlineStr">
        <is>
          <t>aa_turret;aa_vehicle;elite_aa;manpads_tower;mobile_fortress;nuke_train;typhon</t>
        </is>
      </c>
      <c r="AU287" t="n">
        <v>7</v>
      </c>
      <c r="AV287" t="inlineStr">
        <is>
          <t>aa_turret:1;aa_vehicle:1;elite_aa:1;manpads_tower:0;mobile_fortress:other;nuke_train:other;typhon:other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0.22</v>
      </c>
      <c r="BB287" t="n">
        <v>20</v>
      </c>
      <c r="BC287" t="n">
        <v>10</v>
      </c>
      <c r="BD287" t="inlineStr">
        <is>
          <t>missile</t>
        </is>
      </c>
      <c r="BE287" t="inlineStr">
        <is>
          <t>Avenger / Stormer: ~3 s between rounds (est.); a MANPADS team 6-10 s</t>
        </is>
      </c>
      <c r="BG287" t="inlineStr">
        <is>
          <t>doi</t>
        </is>
      </c>
      <c r="BR287" t="n">
        <v>42</v>
      </c>
      <c r="BS287" t="n">
        <v>200</v>
      </c>
      <c r="DD287" t="n">
        <v>4.452</v>
      </c>
      <c r="DE287" t="n">
        <v>170</v>
      </c>
      <c r="DF287" t="inlineStr">
        <is>
          <t>Fragmentation</t>
        </is>
      </c>
      <c r="DJ287" t="inlineStr">
        <is>
          <t>aa_missile</t>
        </is>
      </c>
      <c r="DK287" t="n">
        <v>0.5</v>
      </c>
      <c r="DS287" t="inlineStr">
        <is>
          <t>Medium</t>
        </is>
      </c>
      <c r="EB287" t="n">
        <v>2</v>
      </c>
      <c r="EH287" t="inlineStr">
        <is>
          <t>Missile</t>
        </is>
      </c>
      <c r="EI287" t="inlineStr">
        <is>
          <t>shorad_dart</t>
        </is>
      </c>
      <c r="EJ287" t="n">
        <v>0.5527</v>
      </c>
      <c r="EK287" t="n">
        <v>200</v>
      </c>
      <c r="EP287" t="n">
        <v>44</v>
      </c>
      <c r="EQ287" t="inlineStr">
        <is>
          <t>Starstreak / Stinger SHORAD</t>
        </is>
      </c>
      <c r="ET287" t="n">
        <v>1.216</v>
      </c>
      <c r="EV287" t="n">
        <v>210</v>
      </c>
      <c r="EX287" t="n">
        <v>3</v>
      </c>
      <c r="EY287" t="n">
        <v>2</v>
      </c>
      <c r="FW287" t="inlineStr">
        <is>
          <t>Air</t>
        </is>
      </c>
      <c r="FZ287" t="n">
        <v>1</v>
      </c>
      <c r="GB287" t="inlineStr">
        <is>
          <t>sam_starstreak_stinger_shorad</t>
        </is>
      </c>
      <c r="GD287" t="inlineStr">
        <is>
          <t>Assets/MachineBrigade/Resources/Data/balance.json: weapons[20]</t>
        </is>
      </c>
      <c r="GE287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288">
      <c r="A288" t="inlineStr">
        <is>
          <t>sam_48n6</t>
        </is>
      </c>
      <c r="B288" t="inlineStr">
        <is>
          <t>S-400 48N6</t>
        </is>
      </c>
      <c r="C288" t="inlineStr">
        <is>
          <t>sam_s_400_48n6</t>
        </is>
      </c>
      <c r="D288" t="inlineStr"/>
      <c r="E288" t="inlineStr"/>
      <c r="F288" t="inlineStr">
        <is>
          <t>aa_missile</t>
        </is>
      </c>
      <c r="G288" t="inlineStr"/>
      <c r="H288" t="n">
        <v>180</v>
      </c>
      <c r="I288" t="inlineStr"/>
      <c r="J288" t="inlineStr"/>
      <c r="K288" t="inlineStr">
        <is>
          <t>Fragmentation</t>
        </is>
      </c>
      <c r="L288" t="n">
        <v>3</v>
      </c>
      <c r="M288" t="inlineStr">
        <is>
          <t>Missile</t>
        </is>
      </c>
      <c r="N288" t="n">
        <v>1</v>
      </c>
      <c r="O288" t="inlineStr">
        <is>
          <t>RIPPLE</t>
        </is>
      </c>
      <c r="P288" t="n">
        <v>1</v>
      </c>
      <c r="Q288" t="n">
        <v>0.1</v>
      </c>
      <c r="R288" t="n">
        <v>7.2</v>
      </c>
      <c r="S288" t="n">
        <v>0</v>
      </c>
      <c r="T288" t="n">
        <v>0</v>
      </c>
      <c r="U288" t="n">
        <v>0</v>
      </c>
      <c r="V288" t="n">
        <v>0</v>
      </c>
      <c r="W288" t="n">
        <v>630</v>
      </c>
      <c r="X288" t="n">
        <v>7.2</v>
      </c>
      <c r="Y288" t="n">
        <v>0</v>
      </c>
      <c r="Z288" t="n">
        <v>300</v>
      </c>
      <c r="AA288" t="n">
        <v>95</v>
      </c>
      <c r="AB288" t="n">
        <v>20</v>
      </c>
      <c r="AC288" t="inlineStr">
        <is>
          <t>Air</t>
        </is>
      </c>
      <c r="AD288" t="inlineStr">
        <is>
          <t>high</t>
        </is>
      </c>
      <c r="AE288" t="n">
        <v>0</v>
      </c>
      <c r="AF288" t="inlineStr">
        <is>
          <t>Huge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180</v>
      </c>
      <c r="AO288" t="n">
        <v>0</v>
      </c>
      <c r="AP288" t="inlineStr">
        <is>
          <t>T2</t>
        </is>
      </c>
      <c r="AQ288" t="inlineStr"/>
      <c r="AR288" t="inlineStr"/>
      <c r="AS288" t="inlineStr">
        <is>
          <t>xe</t>
        </is>
      </c>
      <c r="AT288" t="inlineStr">
        <is>
          <t>elite_long_sam;long_sam</t>
        </is>
      </c>
      <c r="AU288" t="n">
        <v>2</v>
      </c>
      <c r="AV288" t="inlineStr">
        <is>
          <t>elite_long_sam:0;long_sam:0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0.3166666666666667</v>
      </c>
      <c r="BB288" t="n">
        <v>20</v>
      </c>
      <c r="BC288" t="n">
        <v>6</v>
      </c>
      <c r="BD288" t="inlineStr">
        <is>
          <t>missile</t>
        </is>
      </c>
      <c r="BE288" t="inlineStr">
        <is>
          <t>Wikipedia 'S-400': 3 s between launches</t>
        </is>
      </c>
      <c r="BG288" t="inlineStr">
        <is>
          <t>doi</t>
        </is>
      </c>
      <c r="BR288" t="n">
        <v>65</v>
      </c>
      <c r="BS288" t="n">
        <v>300</v>
      </c>
      <c r="CU288" t="inlineStr">
        <is>
          <t>high</t>
        </is>
      </c>
      <c r="DD288" t="n">
        <v>7.2</v>
      </c>
      <c r="DE288" t="n">
        <v>630</v>
      </c>
      <c r="DF288" t="inlineStr">
        <is>
          <t>Fragmentation</t>
        </is>
      </c>
      <c r="DJ288" t="inlineStr">
        <is>
          <t>aa_missile</t>
        </is>
      </c>
      <c r="DK288" t="n">
        <v>0.85</v>
      </c>
      <c r="DL288" t="inlineStr">
        <is>
          <t>Loft</t>
        </is>
      </c>
      <c r="DR288" t="n">
        <v>2</v>
      </c>
      <c r="DS288" t="inlineStr">
        <is>
          <t>Huge</t>
        </is>
      </c>
      <c r="DZ288" t="n">
        <v>20</v>
      </c>
      <c r="EB288" t="n">
        <v>3</v>
      </c>
      <c r="EH288" t="inlineStr">
        <is>
          <t>Missile</t>
        </is>
      </c>
      <c r="EI288" t="inlineStr">
        <is>
          <t>patriot</t>
        </is>
      </c>
      <c r="EJ288" t="n">
        <v>1.7647</v>
      </c>
      <c r="EK288" t="n">
        <v>300</v>
      </c>
      <c r="EP288" t="n">
        <v>95</v>
      </c>
      <c r="EQ288" t="inlineStr">
        <is>
          <t>S-400 48N6</t>
        </is>
      </c>
      <c r="ET288" t="n">
        <v>6</v>
      </c>
      <c r="EX288" t="n">
        <v>180</v>
      </c>
      <c r="EY288" t="n">
        <v>7.2</v>
      </c>
      <c r="FW288" t="inlineStr">
        <is>
          <t>Air</t>
        </is>
      </c>
      <c r="FZ288" t="n">
        <v>180</v>
      </c>
      <c r="GB288" t="inlineStr">
        <is>
          <t>sam_s_400_48n6</t>
        </is>
      </c>
      <c r="GD288" t="inlineStr">
        <is>
          <t>Assets/MachineBrigade/Resources/Data/balance.json: weapons[101]</t>
        </is>
      </c>
      <c r="GE288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Huge","impactScale":2,"projectile":"Missile","targets":"Air","flareResist":0.85}</t>
        </is>
      </c>
    </row>
    <row r="289">
      <c r="A289" t="inlineStr">
        <is>
          <t>sam_battery</t>
        </is>
      </c>
      <c r="B289" t="inlineStr">
        <is>
          <t>MIM-104 Patriot PAC-2</t>
        </is>
      </c>
      <c r="C289" t="inlineStr">
        <is>
          <t>sam_mim_104_patriot_pac_2</t>
        </is>
      </c>
      <c r="D289" t="inlineStr"/>
      <c r="E289" t="inlineStr">
        <is>
          <t>mim_104_patriot_pac_2</t>
        </is>
      </c>
      <c r="F289" t="inlineStr">
        <is>
          <t>aa_missile</t>
        </is>
      </c>
      <c r="G289" t="inlineStr"/>
      <c r="H289" t="n">
        <v>90</v>
      </c>
      <c r="I289" t="inlineStr"/>
      <c r="J289" t="inlineStr"/>
      <c r="K289" t="inlineStr">
        <is>
          <t>Fragmentation</t>
        </is>
      </c>
      <c r="L289" t="n">
        <v>3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3</v>
      </c>
      <c r="R289" t="n">
        <v>8</v>
      </c>
      <c r="S289" t="n">
        <v>0</v>
      </c>
      <c r="T289" t="n">
        <v>0</v>
      </c>
      <c r="U289" t="n">
        <v>0</v>
      </c>
      <c r="V289" t="n">
        <v>0</v>
      </c>
      <c r="W289" t="n">
        <v>340</v>
      </c>
      <c r="X289" t="n">
        <v>2.5</v>
      </c>
      <c r="Y289" t="n">
        <v>0</v>
      </c>
      <c r="Z289" t="n">
        <v>300</v>
      </c>
      <c r="AA289" t="n">
        <v>90</v>
      </c>
      <c r="AB289" t="n">
        <v>20</v>
      </c>
      <c r="AC289" t="inlineStr">
        <is>
          <t>Air</t>
        </is>
      </c>
      <c r="AD289" t="inlineStr">
        <is>
          <t>high</t>
        </is>
      </c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90</v>
      </c>
      <c r="AO289" t="n">
        <v>0</v>
      </c>
      <c r="AP289" t="inlineStr">
        <is>
          <t>T2</t>
        </is>
      </c>
      <c r="AQ289" t="inlineStr"/>
      <c r="AR289" t="inlineStr"/>
      <c r="AS289" t="inlineStr">
        <is>
          <t>boss</t>
        </is>
      </c>
      <c r="AT289" t="inlineStr">
        <is>
          <t>nuke_train</t>
        </is>
      </c>
      <c r="AU289" t="n">
        <v>1</v>
      </c>
      <c r="AV289" t="inlineStr">
        <is>
          <t>nuke_train:4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0.3</v>
      </c>
      <c r="BB289" t="n">
        <v>20</v>
      </c>
      <c r="BC289" t="n">
        <v>20</v>
      </c>
      <c r="BD289" t="inlineStr">
        <is>
          <t>missile</t>
        </is>
      </c>
      <c r="BE289" t="inlineStr">
        <is>
          <t>Wikipedia 'MIM-104 Patriot': ripples a few seconds apart (est. 3 s)</t>
        </is>
      </c>
      <c r="BF289" t="inlineStr">
        <is>
          <t>MIM-104 Patriot: the pair ~3 s apart (est.; 0.45 s was too fast), the 11 s cycle kept</t>
        </is>
      </c>
      <c r="BG289" t="inlineStr">
        <is>
          <t>doi</t>
        </is>
      </c>
      <c r="BJ289" t="n">
        <v>10.55</v>
      </c>
      <c r="BK289" t="n">
        <v>8</v>
      </c>
      <c r="BR289" t="n">
        <v>60</v>
      </c>
      <c r="BS289" t="n">
        <v>300</v>
      </c>
      <c r="BV289" t="n">
        <v>0.45</v>
      </c>
      <c r="BW289" t="n">
        <v>3</v>
      </c>
      <c r="CR289" t="n">
        <v>2</v>
      </c>
      <c r="CS289" t="n">
        <v>3</v>
      </c>
      <c r="CU289" t="inlineStr">
        <is>
          <t>high</t>
        </is>
      </c>
      <c r="DD289" t="n">
        <v>8</v>
      </c>
      <c r="DE289" t="n">
        <v>340</v>
      </c>
      <c r="DF289" t="inlineStr">
        <is>
          <t>Fragmentation</t>
        </is>
      </c>
      <c r="DJ289" t="inlineStr">
        <is>
          <t>aa_missile</t>
        </is>
      </c>
      <c r="DK289" t="n">
        <v>0.85</v>
      </c>
      <c r="DS289" t="inlineStr">
        <is>
          <t>Large</t>
        </is>
      </c>
      <c r="DZ289" t="n">
        <v>20</v>
      </c>
      <c r="EB289" t="n">
        <v>3</v>
      </c>
      <c r="EH289" t="inlineStr">
        <is>
          <t>Missile</t>
        </is>
      </c>
      <c r="EP289" t="n">
        <v>90</v>
      </c>
      <c r="EQ289" t="inlineStr">
        <is>
          <t>MIM-104 Patriot PAC-2</t>
        </is>
      </c>
      <c r="EX289" t="n">
        <v>90</v>
      </c>
      <c r="FW289" t="inlineStr">
        <is>
          <t>Air</t>
        </is>
      </c>
      <c r="FZ289" t="n">
        <v>90</v>
      </c>
      <c r="GA289" t="inlineStr">
        <is>
          <t>mim_104_patriot_pac_2</t>
        </is>
      </c>
      <c r="GB289" t="inlineStr">
        <is>
          <t>sam_mim_104_patriot_pac_2</t>
        </is>
      </c>
      <c r="GD289" t="inlineStr">
        <is>
          <t>Assets/MachineBrigade/Resources/Data/balance.json: weapons[87]</t>
        </is>
      </c>
      <c r="GE289" t="inlineStr">
        <is>
          <t>{"id":"sam_battery","weaponFamilyId":"sam_mim_104_patriot_pac_2","weaponFamily":"mim_104_patriot_pac_2","ceiling":"high","real":"MIM-104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290">
      <c r="A290" t="inlineStr">
        <is>
          <t>sam_battery_lrr</t>
        </is>
      </c>
      <c r="B290" t="inlineStr">
        <is>
          <t>MIM-104 Patriot PAC-2</t>
        </is>
      </c>
      <c r="C290" t="inlineStr">
        <is>
          <t>sam_mim_104_patriot_pac_2</t>
        </is>
      </c>
      <c r="D290" t="inlineStr"/>
      <c r="E290" t="inlineStr">
        <is>
          <t>mim_104_patriot_pac_2</t>
        </is>
      </c>
      <c r="F290" t="inlineStr">
        <is>
          <t>aa_missile</t>
        </is>
      </c>
      <c r="G290" t="inlineStr"/>
      <c r="H290" t="n">
        <v>90</v>
      </c>
      <c r="I290" t="inlineStr"/>
      <c r="J290" t="inlineStr"/>
      <c r="K290" t="inlineStr">
        <is>
          <t>Fragmentation</t>
        </is>
      </c>
      <c r="L290" t="n">
        <v>3</v>
      </c>
      <c r="M290" t="inlineStr">
        <is>
          <t>Missile</t>
        </is>
      </c>
      <c r="N290" t="n">
        <v>1</v>
      </c>
      <c r="O290" t="inlineStr">
        <is>
          <t>RIPPLE</t>
        </is>
      </c>
      <c r="P290" t="n">
        <v>2</v>
      </c>
      <c r="Q290" t="n">
        <v>0.45</v>
      </c>
      <c r="R290" t="n">
        <v>3.45</v>
      </c>
      <c r="S290" t="n">
        <v>0</v>
      </c>
      <c r="T290" t="n">
        <v>0</v>
      </c>
      <c r="U290" t="n">
        <v>0</v>
      </c>
      <c r="V290" t="n">
        <v>0</v>
      </c>
      <c r="W290" t="n">
        <v>340</v>
      </c>
      <c r="X290" t="n">
        <v>2.5</v>
      </c>
      <c r="Y290" t="n">
        <v>0</v>
      </c>
      <c r="Z290" t="n">
        <v>300</v>
      </c>
      <c r="AA290" t="n">
        <v>100</v>
      </c>
      <c r="AB290" t="n">
        <v>20</v>
      </c>
      <c r="AC290" t="inlineStr">
        <is>
          <t>Air</t>
        </is>
      </c>
      <c r="AD290" t="inlineStr">
        <is>
          <t>high</t>
        </is>
      </c>
      <c r="AE290" t="n">
        <v>0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90</v>
      </c>
      <c r="AO290" t="n">
        <v>0</v>
      </c>
      <c r="AP290" t="inlineStr">
        <is>
          <t>T2</t>
        </is>
      </c>
      <c r="AQ290" t="inlineStr">
        <is>
          <t>patriot</t>
        </is>
      </c>
      <c r="AR290" t="inlineStr"/>
      <c r="AS290" t="inlineStr">
        <is>
          <t>thap</t>
        </is>
      </c>
      <c r="AT290" t="inlineStr">
        <is>
          <t>missile_battery.lrr</t>
        </is>
      </c>
      <c r="AU290" t="n">
        <v>1</v>
      </c>
      <c r="AV290" t="inlineStr">
        <is>
          <t>missile_battery.lrr:0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0.3333333333333333</v>
      </c>
      <c r="BB290" t="n">
        <v>20</v>
      </c>
      <c r="BC290" t="n">
        <v>20</v>
      </c>
      <c r="BD290" t="inlineStr">
        <is>
          <t>missile</t>
        </is>
      </c>
      <c r="BE290" t="inlineStr">
        <is>
          <t>Wikipedia 'MIM-104 Patriot': ripples a few seconds apart (est. 3 s)</t>
        </is>
      </c>
      <c r="BG290" t="inlineStr">
        <is>
          <t>doi</t>
        </is>
      </c>
      <c r="BR290" t="n">
        <v>60</v>
      </c>
      <c r="BS290" t="n">
        <v>300</v>
      </c>
      <c r="CS290" t="n">
        <v>0.45</v>
      </c>
      <c r="DD290" t="n">
        <v>3.45</v>
      </c>
      <c r="DJ290" t="inlineStr">
        <is>
          <t>aa_missile</t>
        </is>
      </c>
      <c r="DT290" t="inlineStr">
        <is>
          <t>patriot</t>
        </is>
      </c>
      <c r="EB290" t="n">
        <v>3</v>
      </c>
      <c r="EP290" t="n">
        <v>100</v>
      </c>
      <c r="EQ290" t="inlineStr">
        <is>
          <t>MIM-104 Patriot PAC-2</t>
        </is>
      </c>
      <c r="EX290" t="n">
        <v>90</v>
      </c>
      <c r="FZ290" t="n">
        <v>90</v>
      </c>
      <c r="GA290" t="inlineStr">
        <is>
          <t>mim_104_patriot_pac_2</t>
        </is>
      </c>
      <c r="GD290" t="inlineStr">
        <is>
          <t>Assets/MachineBrigade/Resources/Data/balance.json: weapons[125]</t>
        </is>
      </c>
      <c r="GE290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291">
      <c r="A291" t="inlineStr">
        <is>
          <t>sam_long</t>
        </is>
      </c>
      <c r="B291" t="inlineStr">
        <is>
          <t>9M317 Buk</t>
        </is>
      </c>
      <c r="C291" t="inlineStr">
        <is>
          <t>sam_9m317_buk</t>
        </is>
      </c>
      <c r="D291" t="inlineStr"/>
      <c r="E291" t="inlineStr">
        <is>
          <t>9m317_buk</t>
        </is>
      </c>
      <c r="F291" t="inlineStr">
        <is>
          <t>aa_missile</t>
        </is>
      </c>
      <c r="G291" t="inlineStr"/>
      <c r="H291" t="n">
        <v>70</v>
      </c>
      <c r="I291" t="inlineStr"/>
      <c r="J291" t="inlineStr"/>
      <c r="K291" t="inlineStr">
        <is>
          <t>Fragmentation</t>
        </is>
      </c>
      <c r="L291" t="n">
        <v>3</v>
      </c>
      <c r="M291" t="inlineStr">
        <is>
          <t>Missile</t>
        </is>
      </c>
      <c r="N291" t="n">
        <v>1</v>
      </c>
      <c r="O291" t="inlineStr">
        <is>
          <t>RIPPLE</t>
        </is>
      </c>
      <c r="P291" t="n">
        <v>2</v>
      </c>
      <c r="Q291" t="n">
        <v>0.5</v>
      </c>
      <c r="R291" t="n">
        <v>5.73</v>
      </c>
      <c r="S291" t="n">
        <v>0</v>
      </c>
      <c r="T291" t="n">
        <v>0</v>
      </c>
      <c r="U291" t="n">
        <v>0</v>
      </c>
      <c r="V291" t="n">
        <v>0</v>
      </c>
      <c r="W291" t="n">
        <v>320</v>
      </c>
      <c r="X291" t="n">
        <v>2</v>
      </c>
      <c r="Y291" t="n">
        <v>0</v>
      </c>
      <c r="Z291" t="n">
        <v>250</v>
      </c>
      <c r="AA291" t="n">
        <v>55</v>
      </c>
      <c r="AB291" t="n">
        <v>0</v>
      </c>
      <c r="AC291" t="inlineStr">
        <is>
          <t>Air</t>
        </is>
      </c>
      <c r="AD291" t="inlineStr"/>
      <c r="AE291" t="n">
        <v>0</v>
      </c>
      <c r="AF291" t="inlineStr">
        <is>
          <t>Medium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70</v>
      </c>
      <c r="AO291" t="n">
        <v>0</v>
      </c>
      <c r="AP291" t="inlineStr">
        <is>
          <t>T2</t>
        </is>
      </c>
      <c r="AQ291" t="inlineStr"/>
      <c r="AR291" t="inlineStr"/>
      <c r="AS291" t="inlineStr"/>
      <c r="AT291" t="inlineStr"/>
      <c r="AU291" t="n">
        <v>0</v>
      </c>
      <c r="AV291" t="inlineStr"/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0.22</v>
      </c>
      <c r="BB291" t="n">
        <v>15</v>
      </c>
      <c r="BC291" t="n">
        <v>15</v>
      </c>
      <c r="BD291" t="inlineStr">
        <is>
          <t>missile</t>
        </is>
      </c>
      <c r="BE291" t="inlineStr">
        <is>
          <t>Wikipedia 'Buk missile system': 4 s between launches</t>
        </is>
      </c>
      <c r="BG291" t="inlineStr">
        <is>
          <t>doi</t>
        </is>
      </c>
      <c r="BR291" t="n">
        <v>50</v>
      </c>
      <c r="BS291" t="n">
        <v>250</v>
      </c>
      <c r="CR291" t="n">
        <v>2</v>
      </c>
      <c r="CS291" t="n">
        <v>0.5</v>
      </c>
      <c r="DD291" t="n">
        <v>5.73</v>
      </c>
      <c r="DE291" t="n">
        <v>320</v>
      </c>
      <c r="DF291" t="inlineStr">
        <is>
          <t>Fragmentation</t>
        </is>
      </c>
      <c r="DJ291" t="inlineStr">
        <is>
          <t>aa_missile</t>
        </is>
      </c>
      <c r="DK291" t="n">
        <v>0.8</v>
      </c>
      <c r="DS291" t="inlineStr">
        <is>
          <t>Medium</t>
        </is>
      </c>
      <c r="EB291" t="n">
        <v>3</v>
      </c>
      <c r="EH291" t="inlineStr">
        <is>
          <t>Missile</t>
        </is>
      </c>
      <c r="EP291" t="n">
        <v>55</v>
      </c>
      <c r="EQ291" t="inlineStr">
        <is>
          <t>9M317 Buk</t>
        </is>
      </c>
      <c r="EX291" t="n">
        <v>70</v>
      </c>
      <c r="FW291" t="inlineStr">
        <is>
          <t>Air</t>
        </is>
      </c>
      <c r="FZ291" t="n">
        <v>70</v>
      </c>
      <c r="GA291" t="inlineStr">
        <is>
          <t>9m317_buk</t>
        </is>
      </c>
      <c r="GB291" t="inlineStr">
        <is>
          <t>sam_9m317_buk</t>
        </is>
      </c>
      <c r="GD291" t="inlineStr">
        <is>
          <t>Assets/MachineBrigade/Resources/Data/balance.json: weapons[29]</t>
        </is>
      </c>
      <c r="GE291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292">
      <c r="A292" t="inlineStr">
        <is>
          <t>sam_pac3</t>
        </is>
      </c>
      <c r="B292" t="inlineStr">
        <is>
          <t>Patriot PAC-3 MSE</t>
        </is>
      </c>
      <c r="C292" t="inlineStr">
        <is>
          <t>sam_patriot_pac_3_mse</t>
        </is>
      </c>
      <c r="D292" t="inlineStr"/>
      <c r="E292" t="inlineStr"/>
      <c r="F292" t="inlineStr">
        <is>
          <t>aa_missile</t>
        </is>
      </c>
      <c r="G292" t="inlineStr"/>
      <c r="H292" t="n">
        <v>7</v>
      </c>
      <c r="I292" t="inlineStr"/>
      <c r="J292" t="inlineStr"/>
      <c r="K292" t="inlineStr">
        <is>
          <t>Fragmentation</t>
        </is>
      </c>
      <c r="L292" t="n">
        <v>3</v>
      </c>
      <c r="M292" t="inlineStr">
        <is>
          <t>Missile</t>
        </is>
      </c>
      <c r="N292" t="n">
        <v>1</v>
      </c>
      <c r="O292" t="inlineStr">
        <is>
          <t>RIPPLE</t>
        </is>
      </c>
      <c r="P292" t="n">
        <v>2</v>
      </c>
      <c r="Q292" t="n">
        <v>0.45</v>
      </c>
      <c r="R292" t="n">
        <v>6.25</v>
      </c>
      <c r="S292" t="n">
        <v>0</v>
      </c>
      <c r="T292" t="n">
        <v>0</v>
      </c>
      <c r="U292" t="n">
        <v>0</v>
      </c>
      <c r="V292" t="n">
        <v>0</v>
      </c>
      <c r="W292" t="n">
        <v>360</v>
      </c>
      <c r="X292" t="n">
        <v>2.5</v>
      </c>
      <c r="Y292" t="n">
        <v>0</v>
      </c>
      <c r="Z292" t="n">
        <v>300</v>
      </c>
      <c r="AA292" t="n">
        <v>72</v>
      </c>
      <c r="AB292" t="n">
        <v>20</v>
      </c>
      <c r="AC292" t="inlineStr">
        <is>
          <t>Air</t>
        </is>
      </c>
      <c r="AD292" t="inlineStr">
        <is>
          <t>high</t>
        </is>
      </c>
      <c r="AE292" t="n">
        <v>0</v>
      </c>
      <c r="AF292" t="inlineStr">
        <is>
          <t>Large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100</v>
      </c>
      <c r="AO292" t="n">
        <v>0</v>
      </c>
      <c r="AP292" t="inlineStr">
        <is>
          <t>T2</t>
        </is>
      </c>
      <c r="AQ292" t="inlineStr">
        <is>
          <t>sam_battery</t>
        </is>
      </c>
      <c r="AR292" t="inlineStr"/>
      <c r="AS292" t="inlineStr">
        <is>
          <t>thap</t>
        </is>
      </c>
      <c r="AT292" t="inlineStr">
        <is>
          <t>missile_battery.pac3</t>
        </is>
      </c>
      <c r="AU292" t="n">
        <v>1</v>
      </c>
      <c r="AV292" t="inlineStr">
        <is>
          <t>missile_battery.pac3:0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0.24</v>
      </c>
      <c r="BB292" t="n">
        <v>20</v>
      </c>
      <c r="BC292" t="n">
        <v>20</v>
      </c>
      <c r="BD292" t="inlineStr">
        <is>
          <t>missile</t>
        </is>
      </c>
      <c r="BE292" t="inlineStr">
        <is>
          <t>Wikipedia 'MIM-104 Patriot': ripples a few seconds apart (est. 3 s)</t>
        </is>
      </c>
      <c r="BG292" t="inlineStr">
        <is>
          <t>doi</t>
        </is>
      </c>
      <c r="BR292" t="n">
        <v>65</v>
      </c>
      <c r="BS292" t="n">
        <v>300</v>
      </c>
      <c r="CS292" t="n">
        <v>0.45</v>
      </c>
      <c r="DD292" t="n">
        <v>6.25</v>
      </c>
      <c r="DE292" t="n">
        <v>360</v>
      </c>
      <c r="DJ292" t="inlineStr">
        <is>
          <t>aa_missile</t>
        </is>
      </c>
      <c r="DL292" t="inlineStr">
        <is>
          <t>Loft</t>
        </is>
      </c>
      <c r="DT292" t="inlineStr">
        <is>
          <t>sam_battery</t>
        </is>
      </c>
      <c r="EB292" t="n">
        <v>3</v>
      </c>
      <c r="EK292" t="n">
        <v>300</v>
      </c>
      <c r="EP292" t="n">
        <v>72</v>
      </c>
      <c r="EQ292" t="inlineStr">
        <is>
          <t>Patriot PAC-3 MSE</t>
        </is>
      </c>
      <c r="EX292" t="n">
        <v>100</v>
      </c>
      <c r="FZ292" t="n">
        <v>7</v>
      </c>
      <c r="GA292" t="inlineStr"/>
      <c r="GB292" t="inlineStr">
        <is>
          <t>sam_patriot_pac_3_mse</t>
        </is>
      </c>
      <c r="GD292" t="inlineStr">
        <is>
          <t>Assets/MachineBrigade/Resources/Data/balance.json: weapons[124]</t>
        </is>
      </c>
      <c r="GE292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293">
      <c r="A293" t="inlineStr">
        <is>
          <t>sam_post</t>
        </is>
      </c>
      <c r="B293" t="inlineStr">
        <is>
          <t>9M317 Buk</t>
        </is>
      </c>
      <c r="C293" t="inlineStr">
        <is>
          <t>sam_9m317_buk</t>
        </is>
      </c>
      <c r="D293" t="inlineStr"/>
      <c r="E293" t="inlineStr">
        <is>
          <t>9m317_buk</t>
        </is>
      </c>
      <c r="F293" t="inlineStr">
        <is>
          <t>aa_missile</t>
        </is>
      </c>
      <c r="G293" t="inlineStr"/>
      <c r="H293" t="n">
        <v>70</v>
      </c>
      <c r="I293" t="inlineStr"/>
      <c r="J293" t="inlineStr"/>
      <c r="K293" t="inlineStr">
        <is>
          <t>Fragmentation</t>
        </is>
      </c>
      <c r="L293" t="n">
        <v>3</v>
      </c>
      <c r="M293" t="inlineStr">
        <is>
          <t>Missile</t>
        </is>
      </c>
      <c r="N293" t="n">
        <v>1</v>
      </c>
      <c r="O293" t="inlineStr">
        <is>
          <t>RIPPLE</t>
        </is>
      </c>
      <c r="P293" t="n">
        <v>2</v>
      </c>
      <c r="Q293" t="n">
        <v>0.5</v>
      </c>
      <c r="R293" t="n">
        <v>3.9</v>
      </c>
      <c r="S293" t="n">
        <v>0</v>
      </c>
      <c r="T293" t="n">
        <v>0</v>
      </c>
      <c r="U293" t="n">
        <v>0</v>
      </c>
      <c r="V293" t="n">
        <v>0</v>
      </c>
      <c r="W293" t="n">
        <v>320</v>
      </c>
      <c r="X293" t="n">
        <v>2</v>
      </c>
      <c r="Y293" t="n">
        <v>0</v>
      </c>
      <c r="Z293" t="n">
        <v>250</v>
      </c>
      <c r="AA293" t="n">
        <v>60</v>
      </c>
      <c r="AB293" t="n">
        <v>0</v>
      </c>
      <c r="AC293" t="inlineStr">
        <is>
          <t>Air</t>
        </is>
      </c>
      <c r="AD293" t="inlineStr"/>
      <c r="AE293" t="n">
        <v>0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70</v>
      </c>
      <c r="AO293" t="n">
        <v>0</v>
      </c>
      <c r="AP293" t="inlineStr">
        <is>
          <t>T2</t>
        </is>
      </c>
      <c r="AQ293" t="inlineStr">
        <is>
          <t>sam_long</t>
        </is>
      </c>
      <c r="AR293" t="inlineStr"/>
      <c r="AS293" t="inlineStr">
        <is>
          <t>boss;boss_part</t>
        </is>
      </c>
      <c r="AT293" t="inlineStr">
        <is>
          <t>kraken;leviathan;mobile_fortress;sam_medium;typhon</t>
        </is>
      </c>
      <c r="AU293" t="n">
        <v>5</v>
      </c>
      <c r="AV293" t="inlineStr">
        <is>
          <t>kraken:15;leviathan:15;mobile_fortress:8;sam_medium:part;typhon:0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0.24</v>
      </c>
      <c r="BB293" t="n">
        <v>15</v>
      </c>
      <c r="BC293" t="n">
        <v>15</v>
      </c>
      <c r="BD293" t="inlineStr">
        <is>
          <t>missile</t>
        </is>
      </c>
      <c r="BE293" t="inlineStr">
        <is>
          <t>Wikipedia 'Buk missile system': 4 s between launches</t>
        </is>
      </c>
      <c r="BG293" t="inlineStr">
        <is>
          <t>doi</t>
        </is>
      </c>
      <c r="BR293" t="n">
        <v>50</v>
      </c>
      <c r="BS293" t="n">
        <v>250</v>
      </c>
      <c r="DD293" t="n">
        <v>3.9</v>
      </c>
      <c r="DJ293" t="inlineStr">
        <is>
          <t>aa_missile</t>
        </is>
      </c>
      <c r="DT293" t="inlineStr">
        <is>
          <t>sam_long</t>
        </is>
      </c>
      <c r="EB293" t="n">
        <v>3</v>
      </c>
      <c r="EP293" t="n">
        <v>60</v>
      </c>
      <c r="EQ293" t="inlineStr">
        <is>
          <t>9M317 Buk</t>
        </is>
      </c>
      <c r="EX293" t="n">
        <v>70</v>
      </c>
      <c r="FZ293" t="n">
        <v>70</v>
      </c>
      <c r="GA293" t="inlineStr">
        <is>
          <t>9m317_buk</t>
        </is>
      </c>
      <c r="GD293" t="inlineStr">
        <is>
          <t>Assets/MachineBrigade/Resources/Data/balance.json: weapons[122]</t>
        </is>
      </c>
      <c r="GE293" t="inlineStr">
        <is>
          <t>{"id":"sam_post","weaponFamily":"9m317_buk","cooldown":3.9,"real":"9M317 Buk","family":"aa_missile","size":70,"warheadKg":70,"pen":3,"inherits":"sam_long","range":60}</t>
        </is>
      </c>
    </row>
    <row r="294">
      <c r="A294" t="inlineStr">
        <is>
          <t>scout_rockets</t>
        </is>
      </c>
      <c r="B294" t="inlineStr">
        <is>
          <t>Hydra 70 mm</t>
        </is>
      </c>
      <c r="C294" t="inlineStr">
        <is>
          <t>rkt_70_80</t>
        </is>
      </c>
      <c r="D294" t="inlineStr"/>
      <c r="E294" t="inlineStr">
        <is>
          <t>hydra_70_mm</t>
        </is>
      </c>
      <c r="F294" t="inlineStr">
        <is>
          <t>rocket</t>
        </is>
      </c>
      <c r="G294" t="n">
        <v>70</v>
      </c>
      <c r="H294" t="inlineStr"/>
      <c r="I294" t="inlineStr"/>
      <c r="J294" t="inlineStr"/>
      <c r="K294" t="inlineStr">
        <is>
          <t>HighExplosive</t>
        </is>
      </c>
      <c r="L294" t="n">
        <v>2</v>
      </c>
      <c r="M294" t="inlineStr">
        <is>
          <t>Rocket</t>
        </is>
      </c>
      <c r="N294" t="n">
        <v>1</v>
      </c>
      <c r="O294" t="inlineStr">
        <is>
          <t>RIPPLE</t>
        </is>
      </c>
      <c r="P294" t="n">
        <v>12</v>
      </c>
      <c r="Q294" t="n">
        <v>0.11</v>
      </c>
      <c r="R294" t="n">
        <v>7.4</v>
      </c>
      <c r="S294" t="n">
        <v>0</v>
      </c>
      <c r="T294" t="n">
        <v>0</v>
      </c>
      <c r="U294" t="n">
        <v>0</v>
      </c>
      <c r="V294" t="n">
        <v>0</v>
      </c>
      <c r="W294" t="n">
        <v>30</v>
      </c>
      <c r="X294" t="n">
        <v>3</v>
      </c>
      <c r="Y294" t="n">
        <v>0</v>
      </c>
      <c r="Z294" t="n">
        <v>180</v>
      </c>
      <c r="AA294" t="n">
        <v>28</v>
      </c>
      <c r="AB294" t="n">
        <v>0</v>
      </c>
      <c r="AC294" t="inlineStr">
        <is>
          <t>Ground</t>
        </is>
      </c>
      <c r="AD294" t="inlineStr"/>
      <c r="AE294" t="n">
        <v>3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70</v>
      </c>
      <c r="AO294" t="n">
        <v>6</v>
      </c>
      <c r="AP294" t="inlineStr">
        <is>
          <t>T2</t>
        </is>
      </c>
      <c r="AQ294" t="inlineStr"/>
      <c r="AR294" t="inlineStr"/>
      <c r="AS294" t="inlineStr">
        <is>
          <t>xe</t>
        </is>
      </c>
      <c r="AT294" t="inlineStr">
        <is>
          <t>scout_heli</t>
        </is>
      </c>
      <c r="AU294" t="n">
        <v>1</v>
      </c>
      <c r="AV294" t="inlineStr">
        <is>
          <t>scout_heli:1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0.1555555555555556</v>
      </c>
      <c r="BB294" t="n">
        <v>900</v>
      </c>
      <c r="BC294" t="inlineStr"/>
      <c r="BD294" t="inlineStr">
        <is>
          <t>rocket</t>
        </is>
      </c>
      <c r="BE294" t="inlineStr">
        <is>
          <t>rocket pods: ripples of 0.05-0.12 s (DECISIONS 19R)</t>
        </is>
      </c>
      <c r="BG294" t="inlineStr">
        <is>
          <t>doi</t>
        </is>
      </c>
      <c r="BR294" t="n">
        <v>40</v>
      </c>
      <c r="BS294" t="n">
        <v>180</v>
      </c>
      <c r="CR294" t="n">
        <v>12</v>
      </c>
      <c r="CS294" t="n">
        <v>0.11</v>
      </c>
      <c r="CT294" t="n">
        <v>70</v>
      </c>
      <c r="DD294" t="n">
        <v>7.4</v>
      </c>
      <c r="DE294" t="n">
        <v>30</v>
      </c>
      <c r="DF294" t="inlineStr">
        <is>
          <t>HighExplosive</t>
        </is>
      </c>
      <c r="DJ294" t="inlineStr">
        <is>
          <t>rocket</t>
        </is>
      </c>
      <c r="DS294" t="inlineStr">
        <is>
          <t>Medium</t>
        </is>
      </c>
      <c r="DW294" t="n">
        <v>6</v>
      </c>
      <c r="EB294" t="n">
        <v>2</v>
      </c>
      <c r="EH294" t="inlineStr">
        <is>
          <t>Rocket</t>
        </is>
      </c>
      <c r="EJ294" t="n">
        <v>0.72</v>
      </c>
      <c r="EP294" t="n">
        <v>28</v>
      </c>
      <c r="EQ294" t="inlineStr">
        <is>
          <t>Hydra 70 mm</t>
        </is>
      </c>
      <c r="EX294" t="n">
        <v>70</v>
      </c>
      <c r="EZ294" t="n">
        <v>3</v>
      </c>
      <c r="GA294" t="inlineStr">
        <is>
          <t>hydra_70_mm</t>
        </is>
      </c>
      <c r="GB294" t="inlineStr">
        <is>
          <t>rkt_70_80</t>
        </is>
      </c>
      <c r="GD294" t="inlineStr">
        <is>
          <t>Assets/MachineBrigade/Resources/Data/balance.json: weapons[37]</t>
        </is>
      </c>
      <c r="GE294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295">
      <c r="A295" t="inlineStr">
        <is>
          <t>shahed</t>
        </is>
      </c>
      <c r="B295" t="inlineStr">
        <is>
          <t>Shahed-136 (50 kg)</t>
        </is>
      </c>
      <c r="C295" t="inlineStr">
        <is>
          <t>drone_shahed_136</t>
        </is>
      </c>
      <c r="D295" t="inlineStr"/>
      <c r="E295" t="inlineStr"/>
      <c r="F295" t="inlineStr">
        <is>
          <t>drone</t>
        </is>
      </c>
      <c r="G295" t="inlineStr"/>
      <c r="H295" t="n">
        <v>50</v>
      </c>
      <c r="I295" t="inlineStr"/>
      <c r="J295" t="inlineStr"/>
      <c r="K295" t="inlineStr">
        <is>
          <t>HighExplosive</t>
        </is>
      </c>
      <c r="L295" t="n">
        <v>3</v>
      </c>
      <c r="M295" t="inlineStr">
        <is>
          <t>Drone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8.5</v>
      </c>
      <c r="S295" t="n">
        <v>0</v>
      </c>
      <c r="T295" t="n">
        <v>0</v>
      </c>
      <c r="U295" t="n">
        <v>5</v>
      </c>
      <c r="V295" t="n">
        <v>8.5</v>
      </c>
      <c r="W295" t="n">
        <v>344</v>
      </c>
      <c r="X295" t="n">
        <v>4.5</v>
      </c>
      <c r="Y295" t="n">
        <v>0</v>
      </c>
      <c r="Z295" t="n">
        <v>20</v>
      </c>
      <c r="AA295" t="n">
        <v>150</v>
      </c>
      <c r="AB295" t="n">
        <v>20</v>
      </c>
      <c r="AC295" t="inlineStr">
        <is>
          <t>Ground</t>
        </is>
      </c>
      <c r="AD295" t="inlineStr"/>
      <c r="AE295" t="n">
        <v>0</v>
      </c>
      <c r="AF295" t="inlineStr">
        <is>
          <t>Huge</t>
        </is>
      </c>
      <c r="AG295" t="b">
        <v>1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50</v>
      </c>
      <c r="AO295" t="n">
        <v>0</v>
      </c>
      <c r="AP295" t="inlineStr">
        <is>
          <t>T3</t>
        </is>
      </c>
      <c r="AQ295" t="inlineStr"/>
      <c r="AR295" t="inlineStr"/>
      <c r="AS295" t="inlineStr">
        <is>
          <t>xe</t>
        </is>
      </c>
      <c r="AT295" t="inlineStr">
        <is>
          <t>shahed_truck</t>
        </is>
      </c>
      <c r="AU295" t="n">
        <v>1</v>
      </c>
      <c r="AV295" t="inlineStr">
        <is>
          <t>shahed_truck:0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7.5</v>
      </c>
      <c r="BB295" t="inlineStr">
        <is>
          <t>NEED_SOURCE</t>
        </is>
      </c>
      <c r="BC295" t="inlineStr">
        <is>
          <t>NEED_SOURCE</t>
        </is>
      </c>
      <c r="BE295" t="inlineStr">
        <is>
          <t>NEED_SOURCE</t>
        </is>
      </c>
      <c r="BG295" t="inlineStr">
        <is>
          <t>giong</t>
        </is>
      </c>
      <c r="CN295" t="n">
        <v>5</v>
      </c>
      <c r="DD295" t="n">
        <v>8.5</v>
      </c>
      <c r="DE295" t="n">
        <v>344</v>
      </c>
      <c r="DF295" t="inlineStr">
        <is>
          <t>HighExplosive</t>
        </is>
      </c>
      <c r="DJ295" t="inlineStr">
        <is>
          <t>drone</t>
        </is>
      </c>
      <c r="DS295" t="inlineStr">
        <is>
          <t>Huge</t>
        </is>
      </c>
      <c r="DZ295" t="n">
        <v>20</v>
      </c>
      <c r="EB295" t="n">
        <v>3</v>
      </c>
      <c r="EH295" t="inlineStr">
        <is>
          <t>Drone</t>
        </is>
      </c>
      <c r="EI295" t="inlineStr">
        <is>
          <t>shahed</t>
        </is>
      </c>
      <c r="EK295" t="n">
        <v>20</v>
      </c>
      <c r="EP295" t="n">
        <v>150</v>
      </c>
      <c r="EQ295" t="inlineStr">
        <is>
          <t>Shahed-136 (50 kg)</t>
        </is>
      </c>
      <c r="ER295" t="n">
        <v>8.5</v>
      </c>
      <c r="EX295" t="n">
        <v>50</v>
      </c>
      <c r="EY295" t="n">
        <v>4.5</v>
      </c>
      <c r="FY295" t="b">
        <v>1</v>
      </c>
      <c r="FZ295" t="n">
        <v>50</v>
      </c>
      <c r="GB295" t="inlineStr">
        <is>
          <t>drone_shahed_136</t>
        </is>
      </c>
      <c r="GD295" t="inlineStr">
        <is>
          <t>Assets/MachineBrigade/Resources/Data/balance.json: weapons[75]</t>
        </is>
      </c>
      <c r="GE295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296">
      <c r="A296" t="inlineStr">
        <is>
          <t>siege_gun_105</t>
        </is>
      </c>
      <c r="B296" t="inlineStr">
        <is>
          <t>L7 105 mm (siege tank)</t>
        </is>
      </c>
      <c r="C296" t="inlineStr">
        <is>
          <t>cal_100_105_ap</t>
        </is>
      </c>
      <c r="D296" t="inlineStr"/>
      <c r="E296" t="inlineStr">
        <is>
          <t>l7_105_mm</t>
        </is>
      </c>
      <c r="F296" t="inlineStr">
        <is>
          <t>tank_gun</t>
        </is>
      </c>
      <c r="G296" t="n">
        <v>105</v>
      </c>
      <c r="H296" t="inlineStr"/>
      <c r="I296" t="inlineStr"/>
      <c r="J296" t="inlineStr"/>
      <c r="K296" t="inlineStr">
        <is>
          <t>Kinetic</t>
        </is>
      </c>
      <c r="L296" t="n">
        <v>3</v>
      </c>
      <c r="M296" t="inlineStr">
        <is>
          <t>Shell</t>
        </is>
      </c>
      <c r="N296" t="n">
        <v>1</v>
      </c>
      <c r="O296" t="inlineStr">
        <is>
          <t>RIPPLE</t>
        </is>
      </c>
      <c r="P296" t="n">
        <v>1</v>
      </c>
      <c r="Q296" t="n">
        <v>0.1</v>
      </c>
      <c r="R296" t="n">
        <v>4.6</v>
      </c>
      <c r="S296" t="n">
        <v>0</v>
      </c>
      <c r="T296" t="n">
        <v>0</v>
      </c>
      <c r="U296" t="n">
        <v>0</v>
      </c>
      <c r="V296" t="n">
        <v>0</v>
      </c>
      <c r="W296" t="n">
        <v>212</v>
      </c>
      <c r="X296" t="n">
        <v>1.5</v>
      </c>
      <c r="Y296" t="n">
        <v>0</v>
      </c>
      <c r="Z296" t="n">
        <v>190</v>
      </c>
      <c r="AA296" t="n">
        <v>34</v>
      </c>
      <c r="AB296" t="n">
        <v>0</v>
      </c>
      <c r="AC296" t="inlineStr">
        <is>
          <t>Ground</t>
        </is>
      </c>
      <c r="AD296" t="inlineStr"/>
      <c r="AE296" t="n">
        <v>0.6</v>
      </c>
      <c r="AF296" t="inlineStr">
        <is>
          <t>Medium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105</v>
      </c>
      <c r="AO296" t="n">
        <v>0</v>
      </c>
      <c r="AP296" t="inlineStr">
        <is>
          <t>T2</t>
        </is>
      </c>
      <c r="AQ296" t="inlineStr">
        <is>
          <t>gun_105_bunker</t>
        </is>
      </c>
      <c r="AR296" t="inlineStr">
        <is>
          <t>siege_gun_105_he</t>
        </is>
      </c>
      <c r="AS296" t="inlineStr">
        <is>
          <t>xe</t>
        </is>
      </c>
      <c r="AT296" t="inlineStr">
        <is>
          <t>siege_tank</t>
        </is>
      </c>
      <c r="AU296" t="n">
        <v>1</v>
      </c>
      <c r="AV296" t="inlineStr">
        <is>
          <t>siege_tank:1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0.1789473684210526</v>
      </c>
      <c r="BB296" t="n">
        <v>10</v>
      </c>
      <c r="BC296" t="n">
        <v>6</v>
      </c>
      <c r="BD296" t="inlineStr">
        <is>
          <t>gun</t>
        </is>
      </c>
      <c r="BE296" t="inlineStr">
        <is>
          <t>Wikipedia 'Royal Ordnance L7': 6-10 rpm</t>
        </is>
      </c>
      <c r="BG296" t="inlineStr">
        <is>
          <t>giong</t>
        </is>
      </c>
      <c r="CT296" t="n">
        <v>105</v>
      </c>
      <c r="DD296" t="n">
        <v>4.6</v>
      </c>
      <c r="DE296" t="n">
        <v>212</v>
      </c>
      <c r="DJ296" t="inlineStr">
        <is>
          <t>tank_gun</t>
        </is>
      </c>
      <c r="DT296" t="inlineStr">
        <is>
          <t>gun_105_bunker</t>
        </is>
      </c>
      <c r="EB296" t="n">
        <v>3</v>
      </c>
      <c r="EP296" t="n">
        <v>34</v>
      </c>
      <c r="EQ296" t="inlineStr">
        <is>
          <t>L7 105 mm (siege tank)</t>
        </is>
      </c>
      <c r="EX296" t="n">
        <v>105</v>
      </c>
      <c r="GA296" t="inlineStr">
        <is>
          <t>l7_105_mm</t>
        </is>
      </c>
      <c r="GD296" t="inlineStr">
        <is>
          <t>Assets/MachineBrigade/Resources/Data/balance.json: weapons[56]</t>
        </is>
      </c>
      <c r="GE296" t="inlineStr">
        <is>
          <t>{"id":"siege_gun_105","weaponFamily":"l7_105_mm","damage":212,"real":"L7 105 mm (siege tank)","family":"tank_gun","size":105,"caliberMm":105,"pen":3,"inherits":"gun_105_bunker","range":34,"cooldown":4.6}</t>
        </is>
      </c>
    </row>
    <row r="297">
      <c r="A297" t="inlineStr">
        <is>
          <t>siege_gun_105_he</t>
        </is>
      </c>
      <c r="B297" t="inlineStr">
        <is>
          <t>L7 105 mm HE (siege tank)</t>
        </is>
      </c>
      <c r="C297" t="inlineStr">
        <is>
          <t>cal_100_105_he</t>
        </is>
      </c>
      <c r="D297" t="inlineStr"/>
      <c r="E297" t="inlineStr">
        <is>
          <t>l7_105_mm_he</t>
        </is>
      </c>
      <c r="F297" t="inlineStr">
        <is>
          <t>tank_gun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4.6</v>
      </c>
      <c r="S297" t="n">
        <v>0</v>
      </c>
      <c r="T297" t="n">
        <v>0</v>
      </c>
      <c r="U297" t="n">
        <v>0</v>
      </c>
      <c r="V297" t="n">
        <v>0</v>
      </c>
      <c r="W297" t="n">
        <v>212</v>
      </c>
      <c r="X297" t="n">
        <v>3</v>
      </c>
      <c r="Y297" t="n">
        <v>0</v>
      </c>
      <c r="Z297" t="n">
        <v>190</v>
      </c>
      <c r="AA297" t="n">
        <v>34</v>
      </c>
      <c r="AB297" t="n">
        <v>0</v>
      </c>
      <c r="AC297" t="inlineStr">
        <is>
          <t>Ground</t>
        </is>
      </c>
      <c r="AD297" t="inlineStr"/>
      <c r="AE297" t="n">
        <v>0.6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siege_gun_105</t>
        </is>
      </c>
      <c r="AR297" t="inlineStr"/>
      <c r="AS297" t="inlineStr"/>
      <c r="AT297" t="inlineStr"/>
      <c r="AU297" t="n">
        <v>0</v>
      </c>
      <c r="AV297" t="inlineStr"/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0.1789473684210526</v>
      </c>
      <c r="BB297" t="n">
        <v>10</v>
      </c>
      <c r="BC297" t="n">
        <v>6</v>
      </c>
      <c r="BD297" t="inlineStr">
        <is>
          <t>gun</t>
        </is>
      </c>
      <c r="BE297" t="inlineStr">
        <is>
          <t>Wikipedia 'Royal Ordnance L7': 6-10 rpm</t>
        </is>
      </c>
      <c r="BG297" t="inlineStr">
        <is>
          <t>giong</t>
        </is>
      </c>
      <c r="DE297" t="n">
        <v>212</v>
      </c>
      <c r="DF297" t="inlineStr">
        <is>
          <t>HighExplosive</t>
        </is>
      </c>
      <c r="DM297" t="inlineStr">
        <is>
          <t>light;structure</t>
        </is>
      </c>
      <c r="DN297" t="inlineStr">
        <is>
          <t>HeShell</t>
        </is>
      </c>
      <c r="DS297" t="inlineStr">
        <is>
          <t>Large</t>
        </is>
      </c>
      <c r="DT297" t="inlineStr">
        <is>
          <t>siege_gun_105</t>
        </is>
      </c>
      <c r="EB297" t="n">
        <v>2</v>
      </c>
      <c r="EE297" t="b">
        <v>0</v>
      </c>
      <c r="EQ297" t="inlineStr">
        <is>
          <t>L7 105 mm HE (siege tank)</t>
        </is>
      </c>
      <c r="ES297" t="inlineStr">
        <is>
          <t>he</t>
        </is>
      </c>
      <c r="EU297" t="inlineStr">
        <is>
          <t>siege_gun_105</t>
        </is>
      </c>
      <c r="EY297" t="n">
        <v>3</v>
      </c>
      <c r="FW297" t="inlineStr">
        <is>
          <t>Ground</t>
        </is>
      </c>
      <c r="GA297" t="inlineStr">
        <is>
          <t>l7_105_mm_he</t>
        </is>
      </c>
      <c r="GB297" t="inlineStr">
        <is>
          <t>cal_100_105_he</t>
        </is>
      </c>
      <c r="GD297" t="inlineStr">
        <is>
          <t>Assets/MachineBrigade/Resources/Data/balance.json: secondRounds.rounds[55]</t>
        </is>
      </c>
      <c r="GE297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tank)","damageType":"HighExplosive","pen":2,"damage":212,"splash":3,"form":"HeShell","piercing":false,"targets":"Ground","impactTier":"Large"}</t>
        </is>
      </c>
    </row>
    <row r="298">
      <c r="A298" t="inlineStr">
        <is>
          <t>siege_mortar_240</t>
        </is>
      </c>
      <c r="B298" t="inlineStr">
        <is>
          <t>2B8 240 mm (siege tank)</t>
        </is>
      </c>
      <c r="C298" t="inlineStr">
        <is>
          <t>cal_240</t>
        </is>
      </c>
      <c r="D298" t="inlineStr"/>
      <c r="E298" t="inlineStr">
        <is>
          <t>2b8_240_mm</t>
        </is>
      </c>
      <c r="F298" t="inlineStr">
        <is>
          <t>mortar</t>
        </is>
      </c>
      <c r="G298" t="n">
        <v>240</v>
      </c>
      <c r="H298" t="inlineStr"/>
      <c r="I298" t="inlineStr"/>
      <c r="J298" t="inlineStr"/>
      <c r="K298" t="inlineStr">
        <is>
          <t>HighExplosive</t>
        </is>
      </c>
      <c r="L298" t="n">
        <v>4</v>
      </c>
      <c r="M298" t="inlineStr">
        <is>
          <t>Shell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7.619</v>
      </c>
      <c r="S298" t="n">
        <v>0</v>
      </c>
      <c r="T298" t="n">
        <v>0</v>
      </c>
      <c r="U298" t="n">
        <v>10</v>
      </c>
      <c r="V298" t="n">
        <v>28.57</v>
      </c>
      <c r="W298" t="n">
        <v>450</v>
      </c>
      <c r="X298" t="n">
        <v>9</v>
      </c>
      <c r="Y298" t="n">
        <v>0</v>
      </c>
      <c r="Z298" t="n">
        <v>60</v>
      </c>
      <c r="AA298" t="n">
        <v>70</v>
      </c>
      <c r="AB298" t="n">
        <v>16</v>
      </c>
      <c r="AC298" t="inlineStr">
        <is>
          <t>Ground</t>
        </is>
      </c>
      <c r="AD298" t="inlineStr"/>
      <c r="AE298" t="n">
        <v>5</v>
      </c>
      <c r="AF298" t="inlineStr">
        <is>
          <t>Ultimate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240</v>
      </c>
      <c r="AO298" t="n">
        <v>0</v>
      </c>
      <c r="AP298" t="inlineStr">
        <is>
          <t>T4</t>
        </is>
      </c>
      <c r="AQ298" t="inlineStr">
        <is>
          <t>mortar_240</t>
        </is>
      </c>
      <c r="AR298" t="inlineStr"/>
      <c r="AS298" t="inlineStr">
        <is>
          <t>xe</t>
        </is>
      </c>
      <c r="AT298" t="inlineStr">
        <is>
          <t>siege_tank</t>
        </is>
      </c>
      <c r="AU298" t="n">
        <v>1</v>
      </c>
      <c r="AV298" t="inlineStr">
        <is>
          <t>siege_tank:0</t>
        </is>
      </c>
      <c r="AW298" t="n">
        <v>2.5</v>
      </c>
      <c r="AX298" t="b">
        <v>1</v>
      </c>
      <c r="AY298" t="inlineStr"/>
      <c r="AZ298">
        <f>IF(AND($AX$298,$AW$298&gt;$AA$298/$Z$298),$AW$298,$AA$298/$Z$298)</f>
        <v/>
      </c>
      <c r="BA298" t="n">
        <v>2.5</v>
      </c>
      <c r="BB298" t="n">
        <v>1</v>
      </c>
      <c r="BC298" t="n">
        <v>1</v>
      </c>
      <c r="BD298" t="inlineStr">
        <is>
          <t>gun</t>
        </is>
      </c>
      <c r="BE298" t="inlineStr">
        <is>
          <t>Wikipedia '2S4 Tyulpan': ~1 rpm</t>
        </is>
      </c>
      <c r="BG298" t="inlineStr">
        <is>
          <t>doi</t>
        </is>
      </c>
      <c r="BR298" t="n">
        <v>38</v>
      </c>
      <c r="BS298" t="n">
        <v>60</v>
      </c>
      <c r="CN298" t="n">
        <v>10</v>
      </c>
      <c r="CT298" t="n">
        <v>240</v>
      </c>
      <c r="DD298" t="n">
        <v>7.619</v>
      </c>
      <c r="DJ298" t="inlineStr">
        <is>
          <t>mortar</t>
        </is>
      </c>
      <c r="DT298" t="inlineStr">
        <is>
          <t>mortar_240</t>
        </is>
      </c>
      <c r="DZ298" t="n">
        <v>16</v>
      </c>
      <c r="EB298" t="n">
        <v>4</v>
      </c>
      <c r="EP298" t="n">
        <v>70</v>
      </c>
      <c r="EQ298" t="inlineStr">
        <is>
          <t>2B8 240 mm (siege tank)</t>
        </is>
      </c>
      <c r="ER298" t="n">
        <v>28.57</v>
      </c>
      <c r="EX298" t="n">
        <v>240</v>
      </c>
      <c r="GA298" t="inlineStr">
        <is>
          <t>2b8_240_mm</t>
        </is>
      </c>
      <c r="GD298" t="inlineStr">
        <is>
          <t>Assets/MachineBrigade/Resources/Data/balance.json: weapons[57]</t>
        </is>
      </c>
      <c r="GE298" t="inlineStr">
        <is>
          <t>{"id":"siege_mortar_240","weaponFamily":"2b8_240_mm","real":"2B8 240 mm (siege tank)","family":"mortar","size":240,"caliberMm":240,"pen":4,"inherits":"mortar_240","range":70,"minRange":16,"cooldown":7.619,"ammo":10,"reload":28.57,"bonuses":[{"armor":"Structure","mult":2}]}</t>
        </is>
      </c>
    </row>
    <row r="299">
      <c r="A299" t="inlineStr">
        <is>
          <t>spg9_73mm</t>
        </is>
      </c>
      <c r="B299" t="inlineStr">
        <is>
          <t>SPG-9 Kopyo 73 mm</t>
        </is>
      </c>
      <c r="C299" t="inlineStr">
        <is>
          <t>rcl_73</t>
        </is>
      </c>
      <c r="D299" t="inlineStr"/>
      <c r="E299" t="inlineStr"/>
      <c r="F299" t="inlineStr">
        <is>
          <t>recoilless</t>
        </is>
      </c>
      <c r="G299" t="n">
        <v>73</v>
      </c>
      <c r="H299" t="inlineStr"/>
      <c r="I299" t="inlineStr"/>
      <c r="J299" t="inlineStr"/>
      <c r="K299" t="inlineStr">
        <is>
          <t>ShapedCharge</t>
        </is>
      </c>
      <c r="L299" t="n">
        <v>3</v>
      </c>
      <c r="M299" t="inlineStr">
        <is>
          <t>Shell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6.67</v>
      </c>
      <c r="S299" t="n">
        <v>0</v>
      </c>
      <c r="T299" t="n">
        <v>0</v>
      </c>
      <c r="U299" t="n">
        <v>0</v>
      </c>
      <c r="V299" t="n">
        <v>0</v>
      </c>
      <c r="W299" t="n">
        <v>180</v>
      </c>
      <c r="X299" t="n">
        <v>0</v>
      </c>
      <c r="Y299" t="n">
        <v>0</v>
      </c>
      <c r="Z299" t="n">
        <v>120</v>
      </c>
      <c r="AA299" t="n">
        <v>28</v>
      </c>
      <c r="AB299" t="n">
        <v>0</v>
      </c>
      <c r="AC299" t="inlineStr">
        <is>
          <t>All</t>
        </is>
      </c>
      <c r="AD299" t="inlineStr"/>
      <c r="AE299" t="n">
        <v>1.5</v>
      </c>
      <c r="AF299" t="inlineStr">
        <is>
          <t>Medium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73</v>
      </c>
      <c r="AO299" t="n">
        <v>0</v>
      </c>
      <c r="AP299" t="inlineStr">
        <is>
          <t>T2</t>
        </is>
      </c>
      <c r="AQ299" t="inlineStr"/>
      <c r="AR299" t="inlineStr"/>
      <c r="AS299" t="inlineStr">
        <is>
          <t>thap</t>
        </is>
      </c>
      <c r="AT299" t="inlineStr">
        <is>
          <t>recoilless_gun_tower</t>
        </is>
      </c>
      <c r="AU299" t="n">
        <v>1</v>
      </c>
      <c r="AV299" t="inlineStr">
        <is>
          <t>recoilless_gun_tower:0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0.2333333333333333</v>
      </c>
      <c r="BB299" t="n">
        <v>6</v>
      </c>
      <c r="BC299" t="n">
        <v>4</v>
      </c>
      <c r="BD299" t="inlineStr">
        <is>
          <t>gun</t>
        </is>
      </c>
      <c r="BE299" t="inlineStr">
        <is>
          <t>Wikipedia 'SPG-9': 5-6 rpm</t>
        </is>
      </c>
      <c r="BG299" t="inlineStr">
        <is>
          <t>giong</t>
        </is>
      </c>
      <c r="CT299" t="n">
        <v>73</v>
      </c>
      <c r="DD299" t="n">
        <v>6.67</v>
      </c>
      <c r="DE299" t="n">
        <v>180</v>
      </c>
      <c r="DF299" t="inlineStr">
        <is>
          <t>ShapedCharge</t>
        </is>
      </c>
      <c r="DJ299" t="inlineStr">
        <is>
          <t>recoilless</t>
        </is>
      </c>
      <c r="DS299" t="inlineStr">
        <is>
          <t>Medium</t>
        </is>
      </c>
      <c r="EB299" t="n">
        <v>3</v>
      </c>
      <c r="EH299" t="inlineStr">
        <is>
          <t>Shell</t>
        </is>
      </c>
      <c r="EK299" t="n">
        <v>120</v>
      </c>
      <c r="EP299" t="n">
        <v>28</v>
      </c>
      <c r="EQ299" t="inlineStr">
        <is>
          <t>SPG-9 Kopyo 73 mm</t>
        </is>
      </c>
      <c r="EX299" t="n">
        <v>73</v>
      </c>
      <c r="EZ299" t="n">
        <v>1.5</v>
      </c>
      <c r="FW299" t="inlineStr">
        <is>
          <t>All</t>
        </is>
      </c>
      <c r="GB299" t="inlineStr">
        <is>
          <t>rcl_73</t>
        </is>
      </c>
      <c r="GD299" t="inlineStr">
        <is>
          <t>Assets/MachineBrigade/Resources/Data/balance.json: weapons[262]</t>
        </is>
      </c>
      <c r="GE299" t="inlineStr">
        <is>
          <t>{"id":"spg9_73mm","weaponFamilyId":"rcl_73","real":"SPG-9 Kopyo 73 mm","family":"recoilless","size":73,"caliberMm":73,"pen":3,"damageType":"ShapedCharge","damage":180,"cooldown":6.67,"range":28,"projectileSpeed":120,"spread":1.5,"impactTier":"Medium","projectile":"Shell","targets":"All"}</t>
        </is>
      </c>
    </row>
    <row r="300">
      <c r="A300" t="inlineStr">
        <is>
          <t>stealth_payload</t>
        </is>
      </c>
      <c r="B300" t="inlineStr">
        <is>
          <t>GBU-31 JDAM (907 kg)</t>
        </is>
      </c>
      <c r="C300" t="inlineStr">
        <is>
          <t>bomb_gbu_31_jdam</t>
        </is>
      </c>
      <c r="D300" t="inlineStr"/>
      <c r="E300" t="inlineStr"/>
      <c r="F300" t="inlineStr">
        <is>
          <t>bomb</t>
        </is>
      </c>
      <c r="G300" t="inlineStr"/>
      <c r="H300" t="n">
        <v>907</v>
      </c>
      <c r="I300" t="inlineStr"/>
      <c r="J300" t="inlineStr"/>
      <c r="K300" t="inlineStr">
        <is>
          <t>HighExplosive</t>
        </is>
      </c>
      <c r="L300" t="n">
        <v>4</v>
      </c>
      <c r="M300" t="inlineStr">
        <is>
          <t>Bomb</t>
        </is>
      </c>
      <c r="N300" t="n">
        <v>1</v>
      </c>
      <c r="O300" t="inlineStr">
        <is>
          <t>RIPPLE</t>
        </is>
      </c>
      <c r="P300" t="n">
        <v>2</v>
      </c>
      <c r="Q300" t="n">
        <v>0.3</v>
      </c>
      <c r="R300" t="n">
        <v>14</v>
      </c>
      <c r="S300" t="n">
        <v>0</v>
      </c>
      <c r="T300" t="n">
        <v>0</v>
      </c>
      <c r="U300" t="n">
        <v>0</v>
      </c>
      <c r="V300" t="n">
        <v>0</v>
      </c>
      <c r="W300" t="n">
        <v>892</v>
      </c>
      <c r="X300" t="n">
        <v>13</v>
      </c>
      <c r="Y300" t="n">
        <v>0</v>
      </c>
      <c r="Z300" t="n">
        <v>40</v>
      </c>
      <c r="AA300" t="n">
        <v>30</v>
      </c>
      <c r="AB300" t="n">
        <v>0</v>
      </c>
      <c r="AC300" t="inlineStr">
        <is>
          <t>Ground</t>
        </is>
      </c>
      <c r="AD300" t="inlineStr"/>
      <c r="AE300" t="n">
        <v>2</v>
      </c>
      <c r="AF300" t="inlineStr">
        <is>
          <t>Ultimate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1</v>
      </c>
      <c r="AN300" t="n">
        <v>907</v>
      </c>
      <c r="AO300" t="n">
        <v>2</v>
      </c>
      <c r="AP300" t="inlineStr">
        <is>
          <t>T4</t>
        </is>
      </c>
      <c r="AQ300" t="inlineStr"/>
      <c r="AR300" t="inlineStr"/>
      <c r="AS300" t="inlineStr">
        <is>
          <t>xe</t>
        </is>
      </c>
      <c r="AT300" t="inlineStr">
        <is>
          <t>stealth_bomber</t>
        </is>
      </c>
      <c r="AU300" t="n">
        <v>1</v>
      </c>
      <c r="AV300" t="inlineStr">
        <is>
          <t>stealth_bomber:0</t>
        </is>
      </c>
      <c r="AW300" t="n">
        <v>3.388888888888889</v>
      </c>
      <c r="AX300" t="b">
        <v>1</v>
      </c>
      <c r="AY300" t="inlineStr"/>
      <c r="AZ300">
        <f>IF(AND($AX$300,$AW$300&gt;$AA$300/$Z$300),$AW$300,$AA$300/$Z$300)</f>
        <v/>
      </c>
      <c r="BA300" t="n">
        <v>0.75</v>
      </c>
      <c r="BB300" t="n">
        <v>600</v>
      </c>
      <c r="BC300" t="inlineStr"/>
      <c r="BD300" t="inlineStr">
        <is>
          <t>bomb</t>
        </is>
      </c>
      <c r="BE300" t="inlineStr">
        <is>
          <t>a stick's release, 0.1 s and up (est.)</t>
        </is>
      </c>
      <c r="BG300" t="inlineStr">
        <is>
          <t>giong</t>
        </is>
      </c>
      <c r="CR300" t="n">
        <v>2</v>
      </c>
      <c r="CS300" t="n">
        <v>0.3</v>
      </c>
      <c r="DD300" t="n">
        <v>14</v>
      </c>
      <c r="DE300" t="n">
        <v>892</v>
      </c>
      <c r="DF300" t="inlineStr">
        <is>
          <t>HighExplosive</t>
        </is>
      </c>
      <c r="DJ300" t="inlineStr">
        <is>
          <t>bomb</t>
        </is>
      </c>
      <c r="DN300" t="inlineStr">
        <is>
          <t>HeavyBomb</t>
        </is>
      </c>
      <c r="DP300" t="b">
        <v>1</v>
      </c>
      <c r="DS300" t="inlineStr">
        <is>
          <t>Ultimate</t>
        </is>
      </c>
      <c r="DW300" t="n">
        <v>2</v>
      </c>
      <c r="EB300" t="n">
        <v>4</v>
      </c>
      <c r="EH300" t="inlineStr">
        <is>
          <t>Bomb</t>
        </is>
      </c>
      <c r="EI300" t="inlineStr">
        <is>
          <t>jdam</t>
        </is>
      </c>
      <c r="EJ300" t="n">
        <v>0.7185</v>
      </c>
      <c r="EK300" t="n">
        <v>40</v>
      </c>
      <c r="EP300" t="n">
        <v>30</v>
      </c>
      <c r="EQ300" t="inlineStr">
        <is>
          <t>GBU-31 JDAM (907 kg)</t>
        </is>
      </c>
      <c r="ET300" t="n">
        <v>1.94</v>
      </c>
      <c r="EX300" t="n">
        <v>907</v>
      </c>
      <c r="EY300" t="n">
        <v>13</v>
      </c>
      <c r="EZ300" t="n">
        <v>2</v>
      </c>
      <c r="FA300" t="inlineStr">
        <is>
          <t>CENTER</t>
        </is>
      </c>
      <c r="FB300" t="n">
        <v>1.5</v>
      </c>
      <c r="FC300" t="n">
        <v>2</v>
      </c>
      <c r="FD300" t="inlineStr">
        <is>
          <t>OVERFLY</t>
        </is>
      </c>
      <c r="FE300" t="n">
        <v>0</v>
      </c>
      <c r="FF300" t="n">
        <v>0</v>
      </c>
      <c r="FG300" t="inlineStr">
        <is>
          <t>APPROACH</t>
        </is>
      </c>
      <c r="FH300" t="n">
        <v>0.3</v>
      </c>
      <c r="FI300" t="n">
        <v>0</v>
      </c>
      <c r="FJ300" t="n">
        <v>0</v>
      </c>
      <c r="FK300" t="n">
        <v>0</v>
      </c>
      <c r="FL300" t="n">
        <v>0</v>
      </c>
      <c r="FM300" t="n">
        <v>0</v>
      </c>
      <c r="FN300" t="inlineStr">
        <is>
          <t>POINT</t>
        </is>
      </c>
      <c r="FO300" t="n">
        <v>0</v>
      </c>
      <c r="FP300" t="n">
        <v>0</v>
      </c>
      <c r="FQ300" t="n">
        <v>13</v>
      </c>
      <c r="FR300" t="n">
        <v>0</v>
      </c>
      <c r="FS300" t="n">
        <v>0</v>
      </c>
      <c r="FT300" t="inlineStr">
        <is>
          <t>NONE</t>
        </is>
      </c>
      <c r="FU300" t="n">
        <v>26</v>
      </c>
      <c r="FZ300" t="n">
        <v>907</v>
      </c>
      <c r="GB300" t="inlineStr">
        <is>
          <t>bomb_gbu_31_jdam</t>
        </is>
      </c>
      <c r="GD300" t="inlineStr">
        <is>
          <t>Assets/MachineBrigade/Resources/Data/balance.json: weapons[50]</t>
        </is>
      </c>
      <c r="GE300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01">
      <c r="A301" t="inlineStr">
        <is>
          <t>stinger_atas</t>
        </is>
      </c>
      <c r="B301" t="inlineStr">
        <is>
          <t>FIM-92 Stinger (ATAS)</t>
        </is>
      </c>
      <c r="C301" t="inlineStr">
        <is>
          <t>sam_fim_92_stinger</t>
        </is>
      </c>
      <c r="D301" t="inlineStr"/>
      <c r="E301" t="inlineStr"/>
      <c r="F301" t="inlineStr">
        <is>
          <t>aa_missile</t>
        </is>
      </c>
      <c r="G301" t="inlineStr"/>
      <c r="H301" t="n">
        <v>1</v>
      </c>
      <c r="I301" t="inlineStr"/>
      <c r="J301" t="inlineStr"/>
      <c r="K301" t="inlineStr">
        <is>
          <t>Fragmentation</t>
        </is>
      </c>
      <c r="L301" t="n">
        <v>2</v>
      </c>
      <c r="M301" t="inlineStr">
        <is>
          <t>Missile</t>
        </is>
      </c>
      <c r="N301" t="n">
        <v>1</v>
      </c>
      <c r="O301" t="inlineStr">
        <is>
          <t>RIPPLE</t>
        </is>
      </c>
      <c r="P301" t="n">
        <v>1</v>
      </c>
      <c r="Q301" t="n">
        <v>0.1</v>
      </c>
      <c r="R301" t="n">
        <v>9.07</v>
      </c>
      <c r="S301" t="n">
        <v>0</v>
      </c>
      <c r="T301" t="n">
        <v>0</v>
      </c>
      <c r="U301" t="n">
        <v>0</v>
      </c>
      <c r="V301" t="n">
        <v>0</v>
      </c>
      <c r="W301" t="n">
        <v>178</v>
      </c>
      <c r="X301" t="n">
        <v>1.5</v>
      </c>
      <c r="Y301" t="n">
        <v>0</v>
      </c>
      <c r="Z301" t="n">
        <v>180</v>
      </c>
      <c r="AA301" t="n">
        <v>30</v>
      </c>
      <c r="AB301" t="n">
        <v>0</v>
      </c>
      <c r="AC301" t="inlineStr">
        <is>
          <t>Air</t>
        </is>
      </c>
      <c r="AD301" t="inlineStr"/>
      <c r="AE301" t="n">
        <v>0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3</v>
      </c>
      <c r="AO301" t="n">
        <v>2</v>
      </c>
      <c r="AP301" t="inlineStr">
        <is>
          <t>T2</t>
        </is>
      </c>
      <c r="AQ301" t="inlineStr"/>
      <c r="AR301" t="inlineStr"/>
      <c r="AS301" t="inlineStr">
        <is>
          <t>xe</t>
        </is>
      </c>
      <c r="AT301" t="inlineStr">
        <is>
          <t>attack_helicopter;elite_attack_helicopter</t>
        </is>
      </c>
      <c r="AU301" t="n">
        <v>2</v>
      </c>
      <c r="AV301" t="inlineStr">
        <is>
          <t>attack_helicopter:3;elite_attack_helicopter:3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0.1666666666666667</v>
      </c>
      <c r="BB301" t="n">
        <v>20</v>
      </c>
      <c r="BC301" t="n">
        <v>10</v>
      </c>
      <c r="BD301" t="inlineStr">
        <is>
          <t>missile</t>
        </is>
      </c>
      <c r="BE301" t="inlineStr">
        <is>
          <t>Avenger / Stormer: ~3 s between rounds (est.); a MANPADS team 6-10 s</t>
        </is>
      </c>
      <c r="BG301" t="inlineStr">
        <is>
          <t>doi</t>
        </is>
      </c>
      <c r="BR301" t="n">
        <v>42</v>
      </c>
      <c r="BS301" t="n">
        <v>180</v>
      </c>
      <c r="DD301" t="n">
        <v>9.07</v>
      </c>
      <c r="DE301" t="n">
        <v>178</v>
      </c>
      <c r="DF301" t="inlineStr">
        <is>
          <t>Fragmentation</t>
        </is>
      </c>
      <c r="DJ301" t="inlineStr">
        <is>
          <t>aa_missile</t>
        </is>
      </c>
      <c r="DS301" t="inlineStr">
        <is>
          <t>Medium</t>
        </is>
      </c>
      <c r="DW301" t="n">
        <v>2</v>
      </c>
      <c r="EB301" t="n">
        <v>2</v>
      </c>
      <c r="EH301" t="inlineStr">
        <is>
          <t>Missile</t>
        </is>
      </c>
      <c r="EI301" t="inlineStr">
        <is>
          <t>stinger</t>
        </is>
      </c>
      <c r="EJ301" t="n">
        <v>0.7</v>
      </c>
      <c r="EK301" t="n">
        <v>180</v>
      </c>
      <c r="EP301" t="n">
        <v>30</v>
      </c>
      <c r="EQ301" t="inlineStr">
        <is>
          <t>FIM-92 Stinger (ATAS)</t>
        </is>
      </c>
      <c r="EX301" t="n">
        <v>3</v>
      </c>
      <c r="EY301" t="n">
        <v>1.5</v>
      </c>
      <c r="FW301" t="inlineStr">
        <is>
          <t>Air</t>
        </is>
      </c>
      <c r="FZ301" t="n">
        <v>1</v>
      </c>
      <c r="GB301" t="inlineStr">
        <is>
          <t>sam_fim_92_stinger</t>
        </is>
      </c>
      <c r="GD301" t="inlineStr">
        <is>
          <t>Assets/MachineBrigade/Resources/Data/balance.json: weapons[64]</t>
        </is>
      </c>
      <c r="GE301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02">
      <c r="A302" t="inlineStr">
        <is>
          <t>stinger_post</t>
        </is>
      </c>
      <c r="B302" t="inlineStr">
        <is>
          <t>FIM-92 Stinger (tower post)</t>
        </is>
      </c>
      <c r="C302" t="inlineStr">
        <is>
          <t>sam_fim_92_stinger</t>
        </is>
      </c>
      <c r="D302" t="inlineStr"/>
      <c r="E302" t="inlineStr"/>
      <c r="F302" t="inlineStr">
        <is>
          <t>aa_missile</t>
        </is>
      </c>
      <c r="G302" t="inlineStr"/>
      <c r="H302" t="n">
        <v>1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4.452</v>
      </c>
      <c r="S302" t="n">
        <v>0</v>
      </c>
      <c r="T302" t="n">
        <v>0</v>
      </c>
      <c r="U302" t="n">
        <v>0</v>
      </c>
      <c r="V302" t="n">
        <v>0</v>
      </c>
      <c r="W302" t="n">
        <v>170</v>
      </c>
      <c r="X302" t="n">
        <v>2</v>
      </c>
      <c r="Y302" t="n">
        <v>0</v>
      </c>
      <c r="Z302" t="n">
        <v>180</v>
      </c>
      <c r="AA302" t="n">
        <v>56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</v>
      </c>
      <c r="AO302" t="n">
        <v>0</v>
      </c>
      <c r="AP302" t="inlineStr">
        <is>
          <t>T2</t>
        </is>
      </c>
      <c r="AQ302" t="inlineStr">
        <is>
          <t>sam</t>
        </is>
      </c>
      <c r="AR302" t="inlineStr"/>
      <c r="AS302" t="inlineStr">
        <is>
          <t>thap</t>
        </is>
      </c>
      <c r="AT302" t="inlineStr">
        <is>
          <t>aa_turret.sam</t>
        </is>
      </c>
      <c r="AU302" t="n">
        <v>1</v>
      </c>
      <c r="AV302" t="inlineStr">
        <is>
          <t>aa_turret.sam:0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0.3111111111111111</v>
      </c>
      <c r="BB302" t="n">
        <v>20</v>
      </c>
      <c r="BC302" t="n">
        <v>10</v>
      </c>
      <c r="BD302" t="inlineStr">
        <is>
          <t>missile</t>
        </is>
      </c>
      <c r="BE302" t="inlineStr">
        <is>
          <t>Avenger / Stormer: ~3 s between rounds (est.); a MANPADS team 6-10 s</t>
        </is>
      </c>
      <c r="BG302" t="inlineStr">
        <is>
          <t>moi</t>
        </is>
      </c>
      <c r="DT302" t="inlineStr">
        <is>
          <t>sam</t>
        </is>
      </c>
      <c r="EK302" t="n">
        <v>180</v>
      </c>
      <c r="EP302" t="n">
        <v>56</v>
      </c>
      <c r="EQ302" t="inlineStr">
        <is>
          <t>FIM-92 Stinger (tower post)</t>
        </is>
      </c>
      <c r="GB302" t="inlineStr">
        <is>
          <t>sam_fim_92_stinger</t>
        </is>
      </c>
      <c r="GD302" t="inlineStr">
        <is>
          <t>Assets/MachineBrigade/Resources/Data/balance.json: weapons[21]</t>
        </is>
      </c>
      <c r="GE302" t="inlineStr">
        <is>
          <t>{"id":"stinger_post","projectileSpeed":180,"inherits":"sam","weaponFamilyId":"sam_fim_92_stinger","real":"FIM-92 Stinger (tower post)","range":56}</t>
        </is>
      </c>
    </row>
    <row r="303">
      <c r="A303" t="inlineStr">
        <is>
          <t>swarm_drones</t>
        </is>
      </c>
      <c r="B303" t="inlineStr">
        <is>
          <t>FPV drone (1.5 kg)</t>
        </is>
      </c>
      <c r="C303" t="inlineStr">
        <is>
          <t>drone_fpv_drone</t>
        </is>
      </c>
      <c r="D303" t="inlineStr"/>
      <c r="E303" t="inlineStr">
        <is>
          <t>fpv_drone</t>
        </is>
      </c>
      <c r="F303" t="inlineStr">
        <is>
          <t>drone</t>
        </is>
      </c>
      <c r="G303" t="inlineStr"/>
      <c r="H303" t="n">
        <v>1.5</v>
      </c>
      <c r="I303" t="inlineStr"/>
      <c r="J303" t="inlineStr"/>
      <c r="K303" t="inlineStr">
        <is>
          <t>ShapedCharge</t>
        </is>
      </c>
      <c r="L303" t="n">
        <v>3</v>
      </c>
      <c r="M303" t="inlineStr">
        <is>
          <t>Drone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3.3</v>
      </c>
      <c r="S303" t="n">
        <v>0</v>
      </c>
      <c r="T303" t="n">
        <v>0</v>
      </c>
      <c r="U303" t="n">
        <v>0</v>
      </c>
      <c r="V303" t="n">
        <v>0</v>
      </c>
      <c r="W303" t="n">
        <v>140</v>
      </c>
      <c r="X303" t="n">
        <v>2.5</v>
      </c>
      <c r="Y303" t="n">
        <v>0</v>
      </c>
      <c r="Z303" t="n">
        <v>26</v>
      </c>
      <c r="AA303" t="n">
        <v>60</v>
      </c>
      <c r="AB303" t="n">
        <v>0</v>
      </c>
      <c r="AC303" t="inlineStr">
        <is>
          <t>Ground</t>
        </is>
      </c>
      <c r="AD303" t="inlineStr"/>
      <c r="AE303" t="n">
        <v>0</v>
      </c>
      <c r="AF303" t="inlineStr">
        <is>
          <t>Medium</t>
        </is>
      </c>
      <c r="AG303" t="b">
        <v>1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1.5</v>
      </c>
      <c r="AO303" t="n">
        <v>8</v>
      </c>
      <c r="AP303" t="inlineStr">
        <is>
          <t>T2</t>
        </is>
      </c>
      <c r="AQ303" t="inlineStr"/>
      <c r="AR303" t="inlineStr"/>
      <c r="AS303" t="inlineStr">
        <is>
          <t>xe</t>
        </is>
      </c>
      <c r="AT303" t="inlineStr">
        <is>
          <t>swarm_carrier</t>
        </is>
      </c>
      <c r="AU303" t="n">
        <v>1</v>
      </c>
      <c r="AV303" t="inlineStr">
        <is>
          <t>swarm_carrier:0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2.307692307692307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giong</t>
        </is>
      </c>
      <c r="DD303" t="n">
        <v>3.3</v>
      </c>
      <c r="DE303" t="n">
        <v>140</v>
      </c>
      <c r="DF303" t="inlineStr">
        <is>
          <t>ShapedCharge</t>
        </is>
      </c>
      <c r="DJ303" t="inlineStr">
        <is>
          <t>drone</t>
        </is>
      </c>
      <c r="DS303" t="inlineStr">
        <is>
          <t>Medium</t>
        </is>
      </c>
      <c r="DW303" t="n">
        <v>8</v>
      </c>
      <c r="EB303" t="n">
        <v>3</v>
      </c>
      <c r="EE303" t="b">
        <v>1</v>
      </c>
      <c r="EH303" t="inlineStr">
        <is>
          <t>Drone</t>
        </is>
      </c>
      <c r="EP303" t="n">
        <v>60</v>
      </c>
      <c r="EQ303" t="inlineStr">
        <is>
          <t>FPV drone (1.5 kg)</t>
        </is>
      </c>
      <c r="EX303" t="n">
        <v>1.5</v>
      </c>
      <c r="FV303" t="n">
        <v>18</v>
      </c>
      <c r="FY303" t="b">
        <v>1</v>
      </c>
      <c r="FZ303" t="n">
        <v>1.5</v>
      </c>
      <c r="GA303" t="inlineStr">
        <is>
          <t>fpv_drone</t>
        </is>
      </c>
      <c r="GB303" t="inlineStr">
        <is>
          <t>drone_fpv_drone</t>
        </is>
      </c>
      <c r="GD303" t="inlineStr">
        <is>
          <t>Assets/MachineBrigade/Resources/Data/balance.json: weapons[245]</t>
        </is>
      </c>
      <c r="GE303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04">
      <c r="A304" t="inlineStr">
        <is>
          <t>tamir</t>
        </is>
      </c>
      <c r="B304" t="inlineStr">
        <is>
          <t>Tamir interceptor (Iron Dome)</t>
        </is>
      </c>
      <c r="C304" t="inlineStr">
        <is>
          <t>sam_tamir_interceptor</t>
        </is>
      </c>
      <c r="D304" t="inlineStr"/>
      <c r="E304" t="inlineStr"/>
      <c r="F304" t="inlineStr">
        <is>
          <t>aa_missile</t>
        </is>
      </c>
      <c r="G304" t="inlineStr"/>
      <c r="H304" t="n">
        <v>11</v>
      </c>
      <c r="I304" t="inlineStr"/>
      <c r="J304" t="inlineStr"/>
      <c r="K304" t="inlineStr">
        <is>
          <t>Fragmentation</t>
        </is>
      </c>
      <c r="L304" t="n">
        <v>2</v>
      </c>
      <c r="M304" t="inlineStr">
        <is>
          <t>Missile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3.5</v>
      </c>
      <c r="S304" t="n">
        <v>0</v>
      </c>
      <c r="T304" t="n">
        <v>0</v>
      </c>
      <c r="U304" t="n">
        <v>6</v>
      </c>
      <c r="V304" t="n">
        <v>20</v>
      </c>
      <c r="W304" t="n">
        <v>110</v>
      </c>
      <c r="X304" t="n">
        <v>2.5</v>
      </c>
      <c r="Y304" t="n">
        <v>0</v>
      </c>
      <c r="Z304" t="n">
        <v>180</v>
      </c>
      <c r="AA304" t="n">
        <v>60</v>
      </c>
      <c r="AB304" t="n">
        <v>0</v>
      </c>
      <c r="AC304" t="inlineStr">
        <is>
          <t>Air</t>
        </is>
      </c>
      <c r="AD304" t="inlineStr"/>
      <c r="AE304" t="n">
        <v>0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thap</t>
        </is>
      </c>
      <c r="AT304" t="inlineStr">
        <is>
          <t>c_ram.dome</t>
        </is>
      </c>
      <c r="AU304" t="n">
        <v>1</v>
      </c>
      <c r="AV304" t="inlineStr">
        <is>
          <t>c_ram.dome:0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0.3333333333333333</v>
      </c>
      <c r="BB304" t="n">
        <v>60</v>
      </c>
      <c r="BC304" t="n">
        <v>30</v>
      </c>
      <c r="BD304" t="inlineStr">
        <is>
          <t>missile</t>
        </is>
      </c>
      <c r="BE304" t="inlineStr">
        <is>
          <t>Iron Dome: launches 1-2 s apart (DECISIONS 19R)</t>
        </is>
      </c>
      <c r="BG304" t="inlineStr">
        <is>
          <t>doi</t>
        </is>
      </c>
      <c r="BR304" t="n">
        <v>50</v>
      </c>
      <c r="BS304" t="n">
        <v>180</v>
      </c>
      <c r="CN304" t="n">
        <v>6</v>
      </c>
      <c r="DD304" t="n">
        <v>3.5</v>
      </c>
      <c r="DE304" t="n">
        <v>110</v>
      </c>
      <c r="DF304" t="inlineStr">
        <is>
          <t>Fragmentation</t>
        </is>
      </c>
      <c r="DJ304" t="inlineStr">
        <is>
          <t>aa_missile</t>
        </is>
      </c>
      <c r="DK304" t="n">
        <v>0.6</v>
      </c>
      <c r="DL304" t="inlineStr">
        <is>
          <t>Loft</t>
        </is>
      </c>
      <c r="DS304" t="inlineStr">
        <is>
          <t>Medium</t>
        </is>
      </c>
      <c r="EB304" t="n">
        <v>2</v>
      </c>
      <c r="EH304" t="inlineStr">
        <is>
          <t>Missile</t>
        </is>
      </c>
      <c r="EI304" t="inlineStr">
        <is>
          <t>shorad_dart</t>
        </is>
      </c>
      <c r="EJ304" t="n">
        <v>0.9</v>
      </c>
      <c r="EK304" t="n">
        <v>180</v>
      </c>
      <c r="EP304" t="n">
        <v>60</v>
      </c>
      <c r="EQ304" t="inlineStr">
        <is>
          <t>Tamir interceptor (Iron Dome)</t>
        </is>
      </c>
      <c r="ER304" t="n">
        <v>20</v>
      </c>
      <c r="EX304" t="n">
        <v>1</v>
      </c>
      <c r="EY304" t="n">
        <v>2.5</v>
      </c>
      <c r="FW304" t="inlineStr">
        <is>
          <t>Air</t>
        </is>
      </c>
      <c r="FZ304" t="n">
        <v>11</v>
      </c>
      <c r="GB304" t="inlineStr">
        <is>
          <t>sam_tamir_interceptor</t>
        </is>
      </c>
      <c r="GD304" t="inlineStr">
        <is>
          <t>Assets/MachineBrigade/Resources/Data/balance.json: weapons[121]</t>
        </is>
      </c>
      <c r="GE304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05">
      <c r="A305" t="inlineStr">
        <is>
          <t>technical_rockets</t>
        </is>
      </c>
      <c r="B305" t="inlineStr">
        <is>
          <t>Type 63 107 mm</t>
        </is>
      </c>
      <c r="C305" t="inlineStr">
        <is>
          <t>rkt_107</t>
        </is>
      </c>
      <c r="D305" t="inlineStr"/>
      <c r="E305" t="inlineStr"/>
      <c r="F305" t="inlineStr">
        <is>
          <t>rocket</t>
        </is>
      </c>
      <c r="G305" t="n">
        <v>107</v>
      </c>
      <c r="H305" t="inlineStr"/>
      <c r="I305" t="inlineStr"/>
      <c r="J305" t="inlineStr"/>
      <c r="K305" t="inlineStr">
        <is>
          <t>HighExplosive</t>
        </is>
      </c>
      <c r="L305" t="n">
        <v>2</v>
      </c>
      <c r="M305" t="inlineStr">
        <is>
          <t>Rocket</t>
        </is>
      </c>
      <c r="N305" t="n">
        <v>1</v>
      </c>
      <c r="O305" t="inlineStr">
        <is>
          <t>RIPPLE</t>
        </is>
      </c>
      <c r="P305" t="n">
        <v>5</v>
      </c>
      <c r="Q305" t="n">
        <v>0.5</v>
      </c>
      <c r="R305" t="n">
        <v>5.6</v>
      </c>
      <c r="S305" t="n">
        <v>0</v>
      </c>
      <c r="T305" t="n">
        <v>0</v>
      </c>
      <c r="U305" t="n">
        <v>6</v>
      </c>
      <c r="V305" t="n">
        <v>18</v>
      </c>
      <c r="W305" t="n">
        <v>49.5</v>
      </c>
      <c r="X305" t="n">
        <v>3.5</v>
      </c>
      <c r="Y305" t="n">
        <v>0</v>
      </c>
      <c r="Z305" t="n">
        <v>80</v>
      </c>
      <c r="AA305" t="n">
        <v>48</v>
      </c>
      <c r="AB305" t="n">
        <v>12</v>
      </c>
      <c r="AC305" t="inlineStr">
        <is>
          <t>Ground</t>
        </is>
      </c>
      <c r="AD305" t="inlineStr"/>
      <c r="AE305" t="n">
        <v>6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107</v>
      </c>
      <c r="AO305" t="n">
        <v>0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rocket_technical</t>
        </is>
      </c>
      <c r="AU305" t="n">
        <v>1</v>
      </c>
      <c r="AV305" t="inlineStr">
        <is>
          <t>rocket_technical:0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0.6</v>
      </c>
      <c r="BB305" t="n">
        <v>100</v>
      </c>
      <c r="BC305" t="inlineStr"/>
      <c r="BD305" t="inlineStr">
        <is>
          <t>rocket</t>
        </is>
      </c>
      <c r="BE305" t="inlineStr">
        <is>
          <t>Wikipedia 'Type 63 MRL': 12 rockets in 7-9 s</t>
        </is>
      </c>
      <c r="BG305" t="inlineStr">
        <is>
          <t>doi</t>
        </is>
      </c>
      <c r="BR305" t="n">
        <v>38</v>
      </c>
      <c r="BS305" t="n">
        <v>80</v>
      </c>
      <c r="CN305" t="n">
        <v>6</v>
      </c>
      <c r="CR305" t="n">
        <v>5</v>
      </c>
      <c r="CS305" t="n">
        <v>0.5</v>
      </c>
      <c r="CT305" t="n">
        <v>107</v>
      </c>
      <c r="DD305" t="n">
        <v>5.6</v>
      </c>
      <c r="DE305" t="n">
        <v>49.5</v>
      </c>
      <c r="DF305" t="inlineStr">
        <is>
          <t>HighExplosive</t>
        </is>
      </c>
      <c r="DJ305" t="inlineStr">
        <is>
          <t>rocket</t>
        </is>
      </c>
      <c r="DS305" t="inlineStr">
        <is>
          <t>Medium</t>
        </is>
      </c>
      <c r="DZ305" t="n">
        <v>12</v>
      </c>
      <c r="EB305" t="n">
        <v>2</v>
      </c>
      <c r="EH305" t="inlineStr">
        <is>
          <t>Rocket</t>
        </is>
      </c>
      <c r="EI305" t="inlineStr">
        <is>
          <t>rocket_107</t>
        </is>
      </c>
      <c r="EK305" t="n">
        <v>80</v>
      </c>
      <c r="EP305" t="n">
        <v>48</v>
      </c>
      <c r="EQ305" t="inlineStr">
        <is>
          <t>Type 63 107 mm</t>
        </is>
      </c>
      <c r="ER305" t="n">
        <v>18</v>
      </c>
      <c r="EX305" t="n">
        <v>107</v>
      </c>
      <c r="EY305" t="n">
        <v>3.5</v>
      </c>
      <c r="EZ305" t="n">
        <v>6</v>
      </c>
      <c r="GB305" t="inlineStr">
        <is>
          <t>rkt_107</t>
        </is>
      </c>
      <c r="GD305" t="inlineStr">
        <is>
          <t>Assets/MachineBrigade/Resources/Data/balance.json: weapons[32]</t>
        </is>
      </c>
      <c r="GE305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06">
      <c r="A306" t="inlineStr">
        <is>
          <t>thermobaric_rockets</t>
        </is>
      </c>
      <c r="B306" t="inlineStr">
        <is>
          <t>TOS-1A 220 mm thermobaric</t>
        </is>
      </c>
      <c r="C306" t="inlineStr">
        <is>
          <t>rkt_tos_220</t>
        </is>
      </c>
      <c r="D306" t="inlineStr"/>
      <c r="E306" t="inlineStr">
        <is>
          <t>tos_1a_220_mm_thermobaric</t>
        </is>
      </c>
      <c r="F306" t="inlineStr">
        <is>
          <t>rocket</t>
        </is>
      </c>
      <c r="G306" t="n">
        <v>220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9</v>
      </c>
      <c r="Q306" t="n">
        <v>0.3</v>
      </c>
      <c r="R306" t="n">
        <v>10.55</v>
      </c>
      <c r="S306" t="n">
        <v>0</v>
      </c>
      <c r="T306" t="n">
        <v>0</v>
      </c>
      <c r="U306" t="n">
        <v>4</v>
      </c>
      <c r="V306" t="n">
        <v>21.67</v>
      </c>
      <c r="W306" t="n">
        <v>97</v>
      </c>
      <c r="X306" t="n">
        <v>7</v>
      </c>
      <c r="Y306" t="n">
        <v>0</v>
      </c>
      <c r="Z306" t="n">
        <v>70</v>
      </c>
      <c r="AA306" t="n">
        <v>48</v>
      </c>
      <c r="AB306" t="n">
        <v>12</v>
      </c>
      <c r="AC306" t="inlineStr">
        <is>
          <t>Ground</t>
        </is>
      </c>
      <c r="AD306" t="inlineStr"/>
      <c r="AE306" t="n">
        <v>6</v>
      </c>
      <c r="AF306" t="inlineStr">
        <is>
          <t>Huge</t>
        </is>
      </c>
      <c r="AG306" t="b">
        <v>0</v>
      </c>
      <c r="AH306" t="b">
        <v>0</v>
      </c>
      <c r="AI306" t="b">
        <v>1</v>
      </c>
      <c r="AJ306" t="b">
        <v>0</v>
      </c>
      <c r="AK306" t="b">
        <v>0</v>
      </c>
      <c r="AL306" t="b">
        <v>0</v>
      </c>
      <c r="AM306" t="b">
        <v>0</v>
      </c>
      <c r="AN306" t="n">
        <v>220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thermobaric_launcher</t>
        </is>
      </c>
      <c r="AU306" t="n">
        <v>1</v>
      </c>
      <c r="AV306" t="inlineStr">
        <is>
          <t>thermobaric_launcher:0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240</v>
      </c>
      <c r="BC306" t="inlineStr"/>
      <c r="BD306" t="inlineStr">
        <is>
          <t>rocket</t>
        </is>
      </c>
      <c r="BE306" t="inlineStr">
        <is>
          <t>Wikipedia 'TOS-1': 24 rockets in 6-12 s</t>
        </is>
      </c>
      <c r="BG306" t="inlineStr">
        <is>
          <t>doi</t>
        </is>
      </c>
      <c r="BR306" t="n">
        <v>35</v>
      </c>
      <c r="BS306" t="n">
        <v>70</v>
      </c>
      <c r="CN306" t="n">
        <v>4</v>
      </c>
      <c r="CR306" t="n">
        <v>9</v>
      </c>
      <c r="CS306" t="n">
        <v>0.3</v>
      </c>
      <c r="CT306" t="n">
        <v>220</v>
      </c>
      <c r="DD306" t="n">
        <v>10.55</v>
      </c>
      <c r="DE306" t="n">
        <v>97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12</v>
      </c>
      <c r="EB306" t="n">
        <v>3</v>
      </c>
      <c r="EH306" t="inlineStr">
        <is>
          <t>Rocket</t>
        </is>
      </c>
      <c r="EP306" t="n">
        <v>48</v>
      </c>
      <c r="EQ306" t="inlineStr">
        <is>
          <t>TOS-1A 220 mm thermobaric</t>
        </is>
      </c>
      <c r="ER306" t="n">
        <v>21.67</v>
      </c>
      <c r="EX306" t="n">
        <v>220</v>
      </c>
      <c r="EZ306" t="n">
        <v>6</v>
      </c>
      <c r="FX306" t="b">
        <v>1</v>
      </c>
      <c r="GA306" t="inlineStr">
        <is>
          <t>tos_1a_220_mm_thermobaric</t>
        </is>
      </c>
      <c r="GB306" t="inlineStr">
        <is>
          <t>rkt_tos_220</t>
        </is>
      </c>
      <c r="GD306" t="inlineStr">
        <is>
          <t>Assets/MachineBrigade/Resources/Data/balance.json: weapons[43]</t>
        </is>
      </c>
      <c r="GE306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07">
      <c r="A307" t="inlineStr">
        <is>
          <t>tower_ac25</t>
        </is>
      </c>
      <c r="B307" t="inlineStr">
        <is>
          <t>M242 Bushmaster 25 mm</t>
        </is>
      </c>
      <c r="C307" t="inlineStr">
        <is>
          <t>cal_25</t>
        </is>
      </c>
      <c r="D307" t="inlineStr"/>
      <c r="E307" t="inlineStr">
        <is>
          <t>m242_bushmaster_25_mm</t>
        </is>
      </c>
      <c r="F307" t="inlineStr">
        <is>
          <t>autocannon</t>
        </is>
      </c>
      <c r="G307" t="n">
        <v>25</v>
      </c>
      <c r="H307" t="inlineStr"/>
      <c r="I307" t="inlineStr"/>
      <c r="J307" t="inlineStr"/>
      <c r="K307" t="inlineStr">
        <is>
          <t>Kinetic</t>
        </is>
      </c>
      <c r="L307" t="n">
        <v>2</v>
      </c>
      <c r="M307" t="inlineStr">
        <is>
          <t>Bullet</t>
        </is>
      </c>
      <c r="N307" t="n">
        <v>1</v>
      </c>
      <c r="O307" t="inlineStr">
        <is>
          <t>RIPPLE</t>
        </is>
      </c>
      <c r="P307" t="n">
        <v>1</v>
      </c>
      <c r="Q307" t="n">
        <v>0.1</v>
      </c>
      <c r="R307" t="n">
        <v>0.125</v>
      </c>
      <c r="S307" t="n">
        <v>10</v>
      </c>
      <c r="T307" t="n">
        <v>1.425</v>
      </c>
      <c r="U307" t="n">
        <v>0</v>
      </c>
      <c r="V307" t="n">
        <v>0</v>
      </c>
      <c r="W307" t="n">
        <v>17</v>
      </c>
      <c r="X307" t="n">
        <v>0</v>
      </c>
      <c r="Y307" t="n">
        <v>0</v>
      </c>
      <c r="Z307" t="n">
        <v>210</v>
      </c>
      <c r="AA307" t="n">
        <v>30</v>
      </c>
      <c r="AB307" t="n">
        <v>0</v>
      </c>
      <c r="AC307" t="inlineStr">
        <is>
          <t>Ground</t>
        </is>
      </c>
      <c r="AD307" t="inlineStr"/>
      <c r="AE307" t="n">
        <v>0.9</v>
      </c>
      <c r="AF307" t="inlineStr">
        <is>
          <t>Small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25</v>
      </c>
      <c r="AO307" t="n">
        <v>0</v>
      </c>
      <c r="AP307" t="inlineStr">
        <is>
          <t>T1</t>
        </is>
      </c>
      <c r="AQ307" t="inlineStr">
        <is>
          <t>autocannon_25</t>
        </is>
      </c>
      <c r="AR307" t="inlineStr">
        <is>
          <t>tower_ac25_flak</t>
        </is>
      </c>
      <c r="AS307" t="inlineStr">
        <is>
          <t>thap</t>
        </is>
      </c>
      <c r="AT307" t="inlineStr">
        <is>
          <t>guard_tower.nest</t>
        </is>
      </c>
      <c r="AU307" t="n">
        <v>1</v>
      </c>
      <c r="AV307" t="inlineStr">
        <is>
          <t>guard_tower.nest:0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0.1428571428571428</v>
      </c>
      <c r="BB307" t="n">
        <v>500</v>
      </c>
      <c r="BC307" t="n">
        <v>200</v>
      </c>
      <c r="BD307" t="inlineStr">
        <is>
          <t>ac</t>
        </is>
      </c>
      <c r="BE307" t="inlineStr">
        <is>
          <t>Wikipedia 'M242 Bushmaster': 200 or 500 rpm</t>
        </is>
      </c>
      <c r="BG307" t="inlineStr">
        <is>
          <t>giong</t>
        </is>
      </c>
      <c r="CR307" t="n">
        <v>1</v>
      </c>
      <c r="CS307" t="n">
        <v>0.1</v>
      </c>
      <c r="CT307" t="n">
        <v>25</v>
      </c>
      <c r="CW307" t="n">
        <v>10</v>
      </c>
      <c r="CX307" t="n">
        <v>1.425</v>
      </c>
      <c r="DD307" t="n">
        <v>0.125</v>
      </c>
      <c r="DJ307" t="inlineStr">
        <is>
          <t>autocannon</t>
        </is>
      </c>
      <c r="DT307" t="inlineStr">
        <is>
          <t>autocannon_25</t>
        </is>
      </c>
      <c r="EB307" t="n">
        <v>2</v>
      </c>
      <c r="EQ307" t="inlineStr">
        <is>
          <t>M242 Bushmaster 25 mm</t>
        </is>
      </c>
      <c r="EX307" t="n">
        <v>25</v>
      </c>
      <c r="GA307" t="inlineStr">
        <is>
          <t>m242_bushmaster_25_mm</t>
        </is>
      </c>
      <c r="GD307" t="inlineStr">
        <is>
          <t>Assets/MachineBrigade/Resources/Data/balance.json: weapons[26]</t>
        </is>
      </c>
      <c r="GE307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08">
      <c r="A308" t="inlineStr">
        <is>
          <t>tower_ac25_flak</t>
        </is>
      </c>
      <c r="B308" t="inlineStr">
        <is>
          <t>M242 Bushmaster 25 mm air-burst</t>
        </is>
      </c>
      <c r="C308" t="inlineStr">
        <is>
          <t>cal_25</t>
        </is>
      </c>
      <c r="D308" t="inlineStr">
        <is>
          <t>flak</t>
        </is>
      </c>
      <c r="E308" t="inlineStr">
        <is>
          <t>m242_bushmaster_25_mm_air_burst</t>
        </is>
      </c>
      <c r="F308" t="inlineStr">
        <is>
          <t>autocannon</t>
        </is>
      </c>
      <c r="G308" t="n">
        <v>25</v>
      </c>
      <c r="H308" t="inlineStr"/>
      <c r="I308" t="inlineStr"/>
      <c r="J308" t="inlineStr"/>
      <c r="K308" t="inlineStr">
        <is>
          <t>Fragmentation</t>
        </is>
      </c>
      <c r="L308" t="n">
        <v>1</v>
      </c>
      <c r="M308" t="inlineStr">
        <is>
          <t>Bullet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0.125</v>
      </c>
      <c r="S308" t="n">
        <v>10</v>
      </c>
      <c r="T308" t="n">
        <v>1.425</v>
      </c>
      <c r="U308" t="n">
        <v>0</v>
      </c>
      <c r="V308" t="n">
        <v>0</v>
      </c>
      <c r="W308" t="n">
        <v>17</v>
      </c>
      <c r="X308" t="n">
        <v>2</v>
      </c>
      <c r="Y308" t="n">
        <v>0</v>
      </c>
      <c r="Z308" t="n">
        <v>210</v>
      </c>
      <c r="AA308" t="n">
        <v>30</v>
      </c>
      <c r="AB308" t="n">
        <v>0</v>
      </c>
      <c r="AC308" t="inlineStr">
        <is>
          <t>Air</t>
        </is>
      </c>
      <c r="AD308" t="inlineStr"/>
      <c r="AE308" t="n">
        <v>0.9</v>
      </c>
      <c r="AF308" t="inlineStr">
        <is>
          <t>Small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25</v>
      </c>
      <c r="AO308" t="n">
        <v>0</v>
      </c>
      <c r="AP308" t="inlineStr">
        <is>
          <t>T1</t>
        </is>
      </c>
      <c r="AQ308" t="inlineStr">
        <is>
          <t>tower_ac25</t>
        </is>
      </c>
      <c r="AR308" t="inlineStr"/>
      <c r="AS308" t="inlineStr"/>
      <c r="AT308" t="inlineStr"/>
      <c r="AU308" t="n">
        <v>0</v>
      </c>
      <c r="AV308" t="inlineStr"/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0.1428571428571428</v>
      </c>
      <c r="BB308" t="n">
        <v>500</v>
      </c>
      <c r="BC308" t="n">
        <v>200</v>
      </c>
      <c r="BD308" t="inlineStr">
        <is>
          <t>ac</t>
        </is>
      </c>
      <c r="BE308" t="inlineStr">
        <is>
          <t>Wikipedia 'M242 Bushmaster': 200 or 500 rpm</t>
        </is>
      </c>
      <c r="BG308" t="inlineStr">
        <is>
          <t>giong</t>
        </is>
      </c>
      <c r="DE308" t="n">
        <v>17</v>
      </c>
      <c r="DF308" t="inlineStr">
        <is>
          <t>Fragmentation</t>
        </is>
      </c>
      <c r="DM308" t="inlineStr">
        <is>
          <t>air</t>
        </is>
      </c>
      <c r="DN308" t="inlineStr">
        <is>
          <t>Airburst</t>
        </is>
      </c>
      <c r="DT308" t="inlineStr">
        <is>
          <t>tower_ac25</t>
        </is>
      </c>
      <c r="EB308" t="n">
        <v>1</v>
      </c>
      <c r="EE308" t="b">
        <v>0</v>
      </c>
      <c r="EQ308" t="inlineStr">
        <is>
          <t>M242 Bushmaster 25 mm air-burst</t>
        </is>
      </c>
      <c r="ES308" t="inlineStr">
        <is>
          <t>flak</t>
        </is>
      </c>
      <c r="EU308" t="inlineStr">
        <is>
          <t>tower_ac25</t>
        </is>
      </c>
      <c r="EY308" t="n">
        <v>2</v>
      </c>
      <c r="FW308" t="inlineStr">
        <is>
          <t>Air</t>
        </is>
      </c>
      <c r="GA308" t="inlineStr">
        <is>
          <t>m242_bushmaster_25_mm_air_burst</t>
        </is>
      </c>
      <c r="GC308" t="inlineStr">
        <is>
          <t>flak</t>
        </is>
      </c>
      <c r="GD308" t="inlineStr">
        <is>
          <t>Assets/MachineBrigade/Resources/Data/balance.json: secondRounds.rounds[56]</t>
        </is>
      </c>
      <c r="GE308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09">
      <c r="A309" t="inlineStr">
        <is>
          <t>tower_agl</t>
        </is>
      </c>
      <c r="B309" t="inlineStr">
        <is>
          <t>Mk 19 40 mm</t>
        </is>
      </c>
      <c r="C309" t="inlineStr">
        <is>
          <t>gl_40</t>
        </is>
      </c>
      <c r="D309" t="inlineStr"/>
      <c r="E309" t="inlineStr">
        <is>
          <t>mk_19_40_mm</t>
        </is>
      </c>
      <c r="F309" t="inlineStr">
        <is>
          <t>grenade</t>
        </is>
      </c>
      <c r="G309" t="n">
        <v>40</v>
      </c>
      <c r="H309" t="inlineStr"/>
      <c r="I309" t="inlineStr"/>
      <c r="J309" t="inlineStr"/>
      <c r="K309" t="inlineStr">
        <is>
          <t>HighExplosive</t>
        </is>
      </c>
      <c r="L309" t="n">
        <v>2</v>
      </c>
      <c r="M309" t="inlineStr">
        <is>
          <t>Bullet</t>
        </is>
      </c>
      <c r="N309" t="n">
        <v>1</v>
      </c>
      <c r="O309" t="inlineStr">
        <is>
          <t>RIPPLE</t>
        </is>
      </c>
      <c r="P309" t="n">
        <v>6</v>
      </c>
      <c r="Q309" t="n">
        <v>0.2</v>
      </c>
      <c r="R309" t="n">
        <v>4.3</v>
      </c>
      <c r="S309" t="n">
        <v>0</v>
      </c>
      <c r="T309" t="n">
        <v>0</v>
      </c>
      <c r="U309" t="n">
        <v>0</v>
      </c>
      <c r="V309" t="n">
        <v>0</v>
      </c>
      <c r="W309" t="n">
        <v>26</v>
      </c>
      <c r="X309" t="n">
        <v>2</v>
      </c>
      <c r="Y309" t="n">
        <v>0</v>
      </c>
      <c r="Z309" t="n">
        <v>70</v>
      </c>
      <c r="AA309" t="n">
        <v>30</v>
      </c>
      <c r="AB309" t="n">
        <v>0</v>
      </c>
      <c r="AC309" t="inlineStr">
        <is>
          <t>Ground</t>
        </is>
      </c>
      <c r="AD309" t="inlineStr"/>
      <c r="AE309" t="n">
        <v>2.2</v>
      </c>
      <c r="AF309" t="inlineStr">
        <is>
          <t>Small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40</v>
      </c>
      <c r="AO309" t="n">
        <v>0</v>
      </c>
      <c r="AP309" t="inlineStr">
        <is>
          <t>T1</t>
        </is>
      </c>
      <c r="AQ309" t="inlineStr">
        <is>
          <t>agl_40</t>
        </is>
      </c>
      <c r="AR309" t="inlineStr"/>
      <c r="AS309" t="inlineStr"/>
      <c r="AT309" t="inlineStr"/>
      <c r="AU309" t="n">
        <v>0</v>
      </c>
      <c r="AV309" t="inlineStr"/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0.4285714285714285</v>
      </c>
      <c r="BB309" t="n">
        <v>375</v>
      </c>
      <c r="BC309" t="n">
        <v>60</v>
      </c>
      <c r="BD309" t="inlineStr">
        <is>
          <t>ac</t>
        </is>
      </c>
      <c r="BE309" t="inlineStr">
        <is>
          <t>US Army FM 3-22.27: 325-375 cyclic, 60 rapid</t>
        </is>
      </c>
      <c r="BG309" t="inlineStr">
        <is>
          <t>giong</t>
        </is>
      </c>
      <c r="CT309" t="n">
        <v>40</v>
      </c>
      <c r="DD309" t="n">
        <v>4.3</v>
      </c>
      <c r="DJ309" t="inlineStr">
        <is>
          <t>grenade</t>
        </is>
      </c>
      <c r="DT309" t="inlineStr">
        <is>
          <t>agl_40</t>
        </is>
      </c>
      <c r="EB309" t="n">
        <v>2</v>
      </c>
      <c r="EQ309" t="inlineStr">
        <is>
          <t>Mk 19 40 mm</t>
        </is>
      </c>
      <c r="EX309" t="n">
        <v>40</v>
      </c>
      <c r="GA309" t="inlineStr">
        <is>
          <t>mk_19_40_mm</t>
        </is>
      </c>
      <c r="GD309" t="inlineStr">
        <is>
          <t>Assets/MachineBrigade/Resources/Data/balance.json: weapons[218]</t>
        </is>
      </c>
      <c r="GE309" t="inlineStr">
        <is>
          <t>{"id":"tower_agl","weaponFamily":"mk_19_40_mm","real":"Mk 19 40 mm","family":"grenade","size":40,"caliberMm":40,"pen":2,"inherits":"agl_40","cooldown":4.3}</t>
        </is>
      </c>
    </row>
    <row r="310">
      <c r="A310" t="inlineStr">
        <is>
          <t>tower_flak_30</t>
        </is>
      </c>
      <c r="B310" t="inlineStr">
        <is>
          <t>2A38 30 mm (twin)</t>
        </is>
      </c>
      <c r="C310" t="inlineStr">
        <is>
          <t>cal_30</t>
        </is>
      </c>
      <c r="D310" t="inlineStr">
        <is>
          <t>flak</t>
        </is>
      </c>
      <c r="E310" t="inlineStr">
        <is>
          <t>2a38_30_mm</t>
        </is>
      </c>
      <c r="F310" t="inlineStr">
        <is>
          <t>autocannon</t>
        </is>
      </c>
      <c r="G310" t="n">
        <v>30</v>
      </c>
      <c r="H310" t="inlineStr"/>
      <c r="I310" t="inlineStr"/>
      <c r="J310" t="inlineStr"/>
      <c r="K310" t="inlineStr">
        <is>
          <t>Fragmentation</t>
        </is>
      </c>
      <c r="L310" t="n">
        <v>2</v>
      </c>
      <c r="M310" t="inlineStr">
        <is>
          <t>Bullet</t>
        </is>
      </c>
      <c r="N310" t="n">
        <v>1</v>
      </c>
      <c r="O310" t="inlineStr">
        <is>
          <t>RIPPLE</t>
        </is>
      </c>
      <c r="P310" t="n">
        <v>1</v>
      </c>
      <c r="Q310" t="n">
        <v>0.1</v>
      </c>
      <c r="R310" t="n">
        <v>0.0286</v>
      </c>
      <c r="S310" t="n">
        <v>120</v>
      </c>
      <c r="T310" t="n">
        <v>3.0286</v>
      </c>
      <c r="U310" t="n">
        <v>0</v>
      </c>
      <c r="V310" t="n">
        <v>0</v>
      </c>
      <c r="W310" t="n">
        <v>7</v>
      </c>
      <c r="X310" t="n">
        <v>2.5</v>
      </c>
      <c r="Y310" t="n">
        <v>0</v>
      </c>
      <c r="Z310" t="n">
        <v>280</v>
      </c>
      <c r="AA310" t="n">
        <v>42</v>
      </c>
      <c r="AB310" t="n">
        <v>0</v>
      </c>
      <c r="AC310" t="inlineStr">
        <is>
          <t>All</t>
        </is>
      </c>
      <c r="AD310" t="inlineStr"/>
      <c r="AE310" t="n">
        <v>1.4</v>
      </c>
      <c r="AF310" t="inlineStr">
        <is>
          <t>Small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30</v>
      </c>
      <c r="AO310" t="n">
        <v>0</v>
      </c>
      <c r="AP310" t="inlineStr">
        <is>
          <t>T1</t>
        </is>
      </c>
      <c r="AQ310" t="inlineStr">
        <is>
          <t>twin_30_flak</t>
        </is>
      </c>
      <c r="AR310" t="inlineStr">
        <is>
          <t>tower_flak_30_ap</t>
        </is>
      </c>
      <c r="AS310" t="inlineStr">
        <is>
          <t>thap</t>
        </is>
      </c>
      <c r="AT310" t="inlineStr">
        <is>
          <t>aa_turret</t>
        </is>
      </c>
      <c r="AU310" t="n">
        <v>1</v>
      </c>
      <c r="AV310" t="inlineStr">
        <is>
          <t>aa_turret:0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0.15</v>
      </c>
      <c r="BB310" t="n">
        <v>2500</v>
      </c>
      <c r="BC310" t="n">
        <v>1000</v>
      </c>
      <c r="BD310" t="inlineStr">
        <is>
          <t>aa</t>
        </is>
      </c>
      <c r="BE310" t="inlineStr">
        <is>
          <t>Wikipedia '2A38': 4,060-5,000 rpm the twin mount</t>
        </is>
      </c>
      <c r="BG310" t="inlineStr">
        <is>
          <t>giong</t>
        </is>
      </c>
      <c r="CT310" t="n">
        <v>30</v>
      </c>
      <c r="CW310" t="n">
        <v>120</v>
      </c>
      <c r="CX310" t="n">
        <v>3.0286</v>
      </c>
      <c r="DD310" t="n">
        <v>0.0286</v>
      </c>
      <c r="DE310" t="n">
        <v>7</v>
      </c>
      <c r="DJ310" t="inlineStr">
        <is>
          <t>autocannon</t>
        </is>
      </c>
      <c r="DT310" t="inlineStr">
        <is>
          <t>twin_30_flak</t>
        </is>
      </c>
      <c r="EB310" t="n">
        <v>2</v>
      </c>
      <c r="EQ310" t="inlineStr">
        <is>
          <t>2A38 30 mm (twin)</t>
        </is>
      </c>
      <c r="EX310" t="n">
        <v>30</v>
      </c>
      <c r="GA310" t="inlineStr">
        <is>
          <t>2a38_30_mm</t>
        </is>
      </c>
      <c r="GD310" t="inlineStr">
        <is>
          <t>Assets/MachineBrigade/Resources/Data/balance.json: weapons[45]</t>
        </is>
      </c>
      <c r="GE310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11">
      <c r="A311" t="inlineStr">
        <is>
          <t>tower_flak_30_ap</t>
        </is>
      </c>
      <c r="B311" t="inlineStr">
        <is>
          <t>2A38 30 mm AP (twin)</t>
        </is>
      </c>
      <c r="C311" t="inlineStr">
        <is>
          <t>cal_30</t>
        </is>
      </c>
      <c r="D311" t="inlineStr"/>
      <c r="E311" t="inlineStr">
        <is>
          <t>2a38_30_mm_ap</t>
        </is>
      </c>
      <c r="F311" t="inlineStr">
        <is>
          <t>autocannon</t>
        </is>
      </c>
      <c r="G311" t="n">
        <v>30</v>
      </c>
      <c r="H311" t="inlineStr"/>
      <c r="I311" t="inlineStr"/>
      <c r="J311" t="inlineStr"/>
      <c r="K311" t="inlineStr">
        <is>
          <t>Kinetic</t>
        </is>
      </c>
      <c r="L311" t="n">
        <v>2</v>
      </c>
      <c r="M311" t="inlineStr">
        <is>
          <t>Bullet</t>
        </is>
      </c>
      <c r="N311" t="n">
        <v>1</v>
      </c>
      <c r="O311" t="inlineStr">
        <is>
          <t>RIPPLE</t>
        </is>
      </c>
      <c r="P311" t="n">
        <v>1</v>
      </c>
      <c r="Q311" t="n">
        <v>0.1</v>
      </c>
      <c r="R311" t="n">
        <v>0.0286</v>
      </c>
      <c r="S311" t="n">
        <v>120</v>
      </c>
      <c r="T311" t="n">
        <v>3.0286</v>
      </c>
      <c r="U311" t="n">
        <v>0</v>
      </c>
      <c r="V311" t="n">
        <v>0</v>
      </c>
      <c r="W311" t="n">
        <v>7</v>
      </c>
      <c r="X311" t="n">
        <v>0</v>
      </c>
      <c r="Y311" t="n">
        <v>0</v>
      </c>
      <c r="Z311" t="n">
        <v>280</v>
      </c>
      <c r="AA311" t="n">
        <v>42</v>
      </c>
      <c r="AB311" t="n">
        <v>0</v>
      </c>
      <c r="AC311" t="inlineStr">
        <is>
          <t>Ground</t>
        </is>
      </c>
      <c r="AD311" t="inlineStr"/>
      <c r="AE311" t="n">
        <v>1.4</v>
      </c>
      <c r="AF311" t="inlineStr">
        <is>
          <t>Small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30</v>
      </c>
      <c r="AO311" t="n">
        <v>0</v>
      </c>
      <c r="AP311" t="inlineStr">
        <is>
          <t>T1</t>
        </is>
      </c>
      <c r="AQ311" t="inlineStr">
        <is>
          <t>tower_flak_30</t>
        </is>
      </c>
      <c r="AR311" t="inlineStr"/>
      <c r="AS311" t="inlineStr"/>
      <c r="AT311" t="inlineStr"/>
      <c r="AU311" t="n">
        <v>0</v>
      </c>
      <c r="AV311" t="inlineStr"/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0.15</v>
      </c>
      <c r="BB311" t="n">
        <v>2500</v>
      </c>
      <c r="BC311" t="n">
        <v>1000</v>
      </c>
      <c r="BD311" t="inlineStr">
        <is>
          <t>aa</t>
        </is>
      </c>
      <c r="BE311" t="inlineStr">
        <is>
          <t>Wikipedia '2A38': 4,060-5,000 rpm the twin mount</t>
        </is>
      </c>
      <c r="BG311" t="inlineStr">
        <is>
          <t>giong</t>
        </is>
      </c>
      <c r="CQ311" t="inlineStr"/>
      <c r="DE311" t="n">
        <v>7</v>
      </c>
      <c r="DF311" t="inlineStr">
        <is>
          <t>Kinetic</t>
        </is>
      </c>
      <c r="DM311" t="inlineStr">
        <is>
          <t>ground</t>
        </is>
      </c>
      <c r="DN311" t="inlineStr">
        <is>
          <t>BeltedAutocannon</t>
        </is>
      </c>
      <c r="DT311" t="inlineStr">
        <is>
          <t>tower_flak_30</t>
        </is>
      </c>
      <c r="EB311" t="n">
        <v>2</v>
      </c>
      <c r="EE311" t="b">
        <v>1</v>
      </c>
      <c r="EQ311" t="inlineStr">
        <is>
          <t>2A38 30 mm AP (twin)</t>
        </is>
      </c>
      <c r="ES311" t="inlineStr">
        <is>
          <t>ap</t>
        </is>
      </c>
      <c r="EU311" t="inlineStr">
        <is>
          <t>tower_flak_30</t>
        </is>
      </c>
      <c r="EY311" t="n">
        <v>0</v>
      </c>
      <c r="FW311" t="inlineStr">
        <is>
          <t>Ground</t>
        </is>
      </c>
      <c r="GA311" t="inlineStr">
        <is>
          <t>2a38_30_mm_ap</t>
        </is>
      </c>
      <c r="GC311" t="inlineStr"/>
      <c r="GD311" t="inlineStr">
        <is>
          <t>Assets/MachineBrigade/Resources/Data/balance.json: secondRounds.rounds[57]</t>
        </is>
      </c>
      <c r="GE311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12">
      <c r="A312" t="inlineStr">
        <is>
          <t>tower_hmg</t>
        </is>
      </c>
      <c r="B312" t="inlineStr">
        <is>
          <t>M2 Browning 12.7 mm</t>
        </is>
      </c>
      <c r="C312" t="inlineStr">
        <is>
          <t>cal_12_7</t>
        </is>
      </c>
      <c r="D312" t="inlineStr"/>
      <c r="E312" t="inlineStr">
        <is>
          <t>m2_browning_12_7_mm</t>
        </is>
      </c>
      <c r="F312" t="inlineStr">
        <is>
          <t>mg</t>
        </is>
      </c>
      <c r="G312" t="n">
        <v>12.7</v>
      </c>
      <c r="H312" t="inlineStr"/>
      <c r="I312" t="inlineStr"/>
      <c r="J312" t="inlineStr"/>
      <c r="K312" t="inlineStr">
        <is>
          <t>Kinetic</t>
        </is>
      </c>
      <c r="L312" t="n">
        <v>1</v>
      </c>
      <c r="M312" t="inlineStr">
        <is>
          <t>Bullet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0.08500000000000001</v>
      </c>
      <c r="S312" t="n">
        <v>100</v>
      </c>
      <c r="T312" t="n">
        <v>4.085</v>
      </c>
      <c r="U312" t="n">
        <v>0</v>
      </c>
      <c r="V312" t="n">
        <v>0</v>
      </c>
      <c r="W312" t="n">
        <v>9.5</v>
      </c>
      <c r="X312" t="n">
        <v>0</v>
      </c>
      <c r="Y312" t="n">
        <v>0</v>
      </c>
      <c r="Z312" t="n">
        <v>230</v>
      </c>
      <c r="AA312" t="n">
        <v>30</v>
      </c>
      <c r="AB312" t="n">
        <v>0</v>
      </c>
      <c r="AC312" t="inlineStr">
        <is>
          <t>All</t>
        </is>
      </c>
      <c r="AD312" t="inlineStr"/>
      <c r="AE312" t="n">
        <v>1.3</v>
      </c>
      <c r="AF312" t="inlineStr">
        <is>
          <t>Small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12.7</v>
      </c>
      <c r="AO312" t="n">
        <v>0</v>
      </c>
      <c r="AP312" t="inlineStr">
        <is>
          <t>T0</t>
        </is>
      </c>
      <c r="AQ312" t="inlineStr">
        <is>
          <t>hmg_roof</t>
        </is>
      </c>
      <c r="AR312" t="inlineStr">
        <is>
          <t>tower_hmg_api</t>
        </is>
      </c>
      <c r="AS312" t="inlineStr">
        <is>
          <t>thap</t>
        </is>
      </c>
      <c r="AT312" t="inlineStr">
        <is>
          <t>guard_tower;guard_tower.watch</t>
        </is>
      </c>
      <c r="AU312" t="n">
        <v>2</v>
      </c>
      <c r="AV312" t="inlineStr">
        <is>
          <t>guard_tower:0;guard_tower.watch:0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0.1304347826086956</v>
      </c>
      <c r="BB312" t="n">
        <v>600</v>
      </c>
      <c r="BC312" t="n">
        <v>40</v>
      </c>
      <c r="BD312" t="inlineStr">
        <is>
          <t>mg</t>
        </is>
      </c>
      <c r="BE312" t="inlineStr">
        <is>
          <t>US Army FM 3-22.65: cyclic 450-600, rapid 40 rpm</t>
        </is>
      </c>
      <c r="BG312" t="inlineStr">
        <is>
          <t>giong</t>
        </is>
      </c>
      <c r="CT312" t="n">
        <v>12.7</v>
      </c>
      <c r="CW312" t="n">
        <v>100</v>
      </c>
      <c r="CX312" t="n">
        <v>4.085</v>
      </c>
      <c r="DD312" t="n">
        <v>0.08500000000000001</v>
      </c>
      <c r="DJ312" t="inlineStr">
        <is>
          <t>mg</t>
        </is>
      </c>
      <c r="DT312" t="inlineStr">
        <is>
          <t>hmg_roof</t>
        </is>
      </c>
      <c r="EB312" t="n">
        <v>1</v>
      </c>
      <c r="EQ312" t="inlineStr">
        <is>
          <t>M2 Browning 12.7 mm</t>
        </is>
      </c>
      <c r="EX312" t="n">
        <v>12.7</v>
      </c>
      <c r="GA312" t="inlineStr">
        <is>
          <t>m2_browning_12_7_mm</t>
        </is>
      </c>
      <c r="GD312" t="inlineStr">
        <is>
          <t>Assets/MachineBrigade/Resources/Data/balance.json: weapons[7]</t>
        </is>
      </c>
      <c r="GE312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13">
      <c r="A313" t="inlineStr">
        <is>
          <t>tower_hmg_api</t>
        </is>
      </c>
      <c r="B313" t="inlineStr">
        <is>
          <t>M2 Browning 12.7 mm API</t>
        </is>
      </c>
      <c r="C313" t="inlineStr">
        <is>
          <t>cal_12_7</t>
        </is>
      </c>
      <c r="D313" t="inlineStr"/>
      <c r="E313" t="inlineStr">
        <is>
          <t>m2_browning_12_7_mm_api</t>
        </is>
      </c>
      <c r="F313" t="inlineStr">
        <is>
          <t>mg</t>
        </is>
      </c>
      <c r="G313" t="n">
        <v>12.7</v>
      </c>
      <c r="H313" t="inlineStr"/>
      <c r="I313" t="inlineStr"/>
      <c r="J313" t="inlineStr"/>
      <c r="K313" t="inlineStr">
        <is>
          <t>Kinetic</t>
        </is>
      </c>
      <c r="L313" t="n">
        <v>2</v>
      </c>
      <c r="M313" t="inlineStr">
        <is>
          <t>Bullet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0.08500000000000001</v>
      </c>
      <c r="S313" t="n">
        <v>100</v>
      </c>
      <c r="T313" t="n">
        <v>4.085</v>
      </c>
      <c r="U313" t="n">
        <v>0</v>
      </c>
      <c r="V313" t="n">
        <v>0</v>
      </c>
      <c r="W313" t="n">
        <v>9.5</v>
      </c>
      <c r="X313" t="n">
        <v>0</v>
      </c>
      <c r="Y313" t="n">
        <v>0</v>
      </c>
      <c r="Z313" t="n">
        <v>230</v>
      </c>
      <c r="AA313" t="n">
        <v>30</v>
      </c>
      <c r="AB313" t="n">
        <v>0</v>
      </c>
      <c r="AC313" t="inlineStr">
        <is>
          <t>All</t>
        </is>
      </c>
      <c r="AD313" t="inlineStr"/>
      <c r="AE313" t="n">
        <v>1.3</v>
      </c>
      <c r="AF313" t="inlineStr">
        <is>
          <t>Small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12.7</v>
      </c>
      <c r="AO313" t="n">
        <v>0</v>
      </c>
      <c r="AP313" t="inlineStr">
        <is>
          <t>T0</t>
        </is>
      </c>
      <c r="AQ313" t="inlineStr">
        <is>
          <t>tower_hmg</t>
        </is>
      </c>
      <c r="AR313" t="inlineStr"/>
      <c r="AS313" t="inlineStr"/>
      <c r="AT313" t="inlineStr"/>
      <c r="AU313" t="n">
        <v>0</v>
      </c>
      <c r="AV313" t="inlineStr"/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0.1304347826086956</v>
      </c>
      <c r="BB313" t="n">
        <v>600</v>
      </c>
      <c r="BC313" t="n">
        <v>40</v>
      </c>
      <c r="BD313" t="inlineStr">
        <is>
          <t>mg</t>
        </is>
      </c>
      <c r="BE313" t="inlineStr">
        <is>
          <t>US Army FM 3-22.65: cyclic 450-600, rapid 40 rpm</t>
        </is>
      </c>
      <c r="BG313" t="inlineStr">
        <is>
          <t>giong</t>
        </is>
      </c>
      <c r="DE313" t="n">
        <v>9.5</v>
      </c>
      <c r="DF313" t="inlineStr">
        <is>
          <t>Kinetic</t>
        </is>
      </c>
      <c r="DH313" t="b">
        <v>1</v>
      </c>
      <c r="DM313" t="inlineStr">
        <is>
          <t>any</t>
        </is>
      </c>
      <c r="DN313" t="inlineStr">
        <is>
          <t>BulletBig</t>
        </is>
      </c>
      <c r="DT313" t="inlineStr">
        <is>
          <t>tower_hmg</t>
        </is>
      </c>
      <c r="EB313" t="n">
        <v>2</v>
      </c>
      <c r="EE313" t="b">
        <v>1</v>
      </c>
      <c r="EQ313" t="inlineStr">
        <is>
          <t>M2 Browning 12.7 mm API</t>
        </is>
      </c>
      <c r="ES313" t="inlineStr">
        <is>
          <t>api</t>
        </is>
      </c>
      <c r="EU313" t="inlineStr">
        <is>
          <t>tower_hmg</t>
        </is>
      </c>
      <c r="GA313" t="inlineStr">
        <is>
          <t>m2_browning_12_7_mm_api</t>
        </is>
      </c>
      <c r="GD313" t="inlineStr">
        <is>
          <t>Assets/MachineBrigade/Resources/Data/balance.json: secondRounds.rounds[58]</t>
        </is>
      </c>
      <c r="GE313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14">
      <c r="A314" t="inlineStr">
        <is>
          <t>tower_kornet</t>
        </is>
      </c>
      <c r="B314" t="inlineStr">
        <is>
          <t>9M133 Kornet</t>
        </is>
      </c>
      <c r="C314" t="inlineStr">
        <is>
          <t>atgm_kornet</t>
        </is>
      </c>
      <c r="D314" t="inlineStr"/>
      <c r="E314" t="inlineStr">
        <is>
          <t>9m133_kornet</t>
        </is>
      </c>
      <c r="F314" t="inlineStr">
        <is>
          <t>atgm</t>
        </is>
      </c>
      <c r="G314" t="inlineStr"/>
      <c r="H314" t="n">
        <v>7</v>
      </c>
      <c r="I314" t="inlineStr"/>
      <c r="J314" t="inlineStr"/>
      <c r="K314" t="inlineStr">
        <is>
          <t>ShapedCharge</t>
        </is>
      </c>
      <c r="L314" t="n">
        <v>4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0.6</v>
      </c>
      <c r="R314" t="n">
        <v>4.95</v>
      </c>
      <c r="S314" t="n">
        <v>0</v>
      </c>
      <c r="T314" t="n">
        <v>0</v>
      </c>
      <c r="U314" t="n">
        <v>0</v>
      </c>
      <c r="V314" t="n">
        <v>0</v>
      </c>
      <c r="W314" t="n">
        <v>230</v>
      </c>
      <c r="X314" t="n">
        <v>0</v>
      </c>
      <c r="Y314" t="n">
        <v>0</v>
      </c>
      <c r="Z314" t="n">
        <v>80</v>
      </c>
      <c r="AA314" t="n">
        <v>50</v>
      </c>
      <c r="AB314" t="n">
        <v>0</v>
      </c>
      <c r="AC314" t="inlineStr">
        <is>
          <t>Ground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29</v>
      </c>
      <c r="AO314" t="n">
        <v>0</v>
      </c>
      <c r="AP314" t="inlineStr">
        <is>
          <t>T2</t>
        </is>
      </c>
      <c r="AQ314" t="inlineStr">
        <is>
          <t>kornet_twin</t>
        </is>
      </c>
      <c r="AR314" t="inlineStr"/>
      <c r="AS314" t="inlineStr">
        <is>
          <t>thap</t>
        </is>
      </c>
      <c r="AT314" t="inlineStr">
        <is>
          <t>atgm_tower</t>
        </is>
      </c>
      <c r="AU314" t="n">
        <v>1</v>
      </c>
      <c r="AV314" t="inlineStr">
        <is>
          <t>atgm_tower:0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0.625</v>
      </c>
      <c r="BB314" t="n">
        <v>3</v>
      </c>
      <c r="BC314" t="n">
        <v>3</v>
      </c>
      <c r="BD314" t="inlineStr">
        <is>
          <t>atgm</t>
        </is>
      </c>
      <c r="BE314" t="inlineStr">
        <is>
          <t>Wikipedia '9M133 Kornet': 2-3 rpm</t>
        </is>
      </c>
      <c r="BG314" t="inlineStr">
        <is>
          <t>doi</t>
        </is>
      </c>
      <c r="BR314" t="n">
        <v>22</v>
      </c>
      <c r="BS314" t="n">
        <v>80</v>
      </c>
      <c r="DD314" t="n">
        <v>4.95</v>
      </c>
      <c r="DJ314" t="inlineStr">
        <is>
          <t>atgm</t>
        </is>
      </c>
      <c r="DT314" t="inlineStr">
        <is>
          <t>kornet_twin</t>
        </is>
      </c>
      <c r="EB314" t="n">
        <v>4</v>
      </c>
      <c r="EQ314" t="inlineStr">
        <is>
          <t>9M133 Kornet</t>
        </is>
      </c>
      <c r="EX314" t="n">
        <v>29</v>
      </c>
      <c r="FZ314" t="n">
        <v>7</v>
      </c>
      <c r="GA314" t="inlineStr">
        <is>
          <t>9m133_kornet</t>
        </is>
      </c>
      <c r="GD314" t="inlineStr">
        <is>
          <t>Assets/MachineBrigade/Resources/Data/balance.json: weapons[103]</t>
        </is>
      </c>
      <c r="GE314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15">
      <c r="A315" t="inlineStr">
        <is>
          <t>train_gun</t>
        </is>
      </c>
      <c r="B315" t="inlineStr">
        <is>
          <t>B-38 152 mm</t>
        </is>
      </c>
      <c r="C315" t="inlineStr">
        <is>
          <t>cal_152_155</t>
        </is>
      </c>
      <c r="D315" t="inlineStr">
        <is>
          <t>ap</t>
        </is>
      </c>
      <c r="E315" t="inlineStr"/>
      <c r="F315" t="inlineStr">
        <is>
          <t>tank_gun</t>
        </is>
      </c>
      <c r="G315" t="n">
        <v>152</v>
      </c>
      <c r="H315" t="inlineStr"/>
      <c r="I315" t="inlineStr"/>
      <c r="J315" t="inlineStr"/>
      <c r="K315" t="inlineStr">
        <is>
          <t>Kinetic</t>
        </is>
      </c>
      <c r="L315" t="n">
        <v>4</v>
      </c>
      <c r="M315" t="inlineStr">
        <is>
          <t>Shell</t>
        </is>
      </c>
      <c r="N315" t="n">
        <v>1</v>
      </c>
      <c r="O315" t="inlineStr">
        <is>
          <t>RIPPLE</t>
        </is>
      </c>
      <c r="P315" t="n">
        <v>1</v>
      </c>
      <c r="Q315" t="n">
        <v>0.1</v>
      </c>
      <c r="R315" t="n">
        <v>8</v>
      </c>
      <c r="S315" t="n">
        <v>0</v>
      </c>
      <c r="T315" t="n">
        <v>0</v>
      </c>
      <c r="U315" t="n">
        <v>0</v>
      </c>
      <c r="V315" t="n">
        <v>0</v>
      </c>
      <c r="W315" t="n">
        <v>600</v>
      </c>
      <c r="X315" t="n">
        <v>2.5</v>
      </c>
      <c r="Y315" t="n">
        <v>0</v>
      </c>
      <c r="Z315" t="n">
        <v>170</v>
      </c>
      <c r="AA315" t="n">
        <v>42</v>
      </c>
      <c r="AB315" t="n">
        <v>0</v>
      </c>
      <c r="AC315" t="inlineStr">
        <is>
          <t>Ground</t>
        </is>
      </c>
      <c r="AD315" t="inlineStr"/>
      <c r="AE315" t="n">
        <v>0.6</v>
      </c>
      <c r="AF315" t="inlineStr">
        <is>
          <t>Large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152</v>
      </c>
      <c r="AO315" t="n">
        <v>0</v>
      </c>
      <c r="AP315" t="inlineStr">
        <is>
          <t>T3</t>
        </is>
      </c>
      <c r="AQ315" t="inlineStr"/>
      <c r="AR315" t="inlineStr">
        <is>
          <t>train_gun_he</t>
        </is>
      </c>
      <c r="AS315" t="inlineStr">
        <is>
          <t>boss</t>
        </is>
      </c>
      <c r="AT315" t="inlineStr">
        <is>
          <t>armored_train</t>
        </is>
      </c>
      <c r="AU315" t="n">
        <v>1</v>
      </c>
      <c r="AV315" t="inlineStr">
        <is>
          <t>armored_train:0;armored_train:4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0.2470588235294118</v>
      </c>
      <c r="BB315" t="n">
        <v>7.5</v>
      </c>
      <c r="BC315" t="n">
        <v>5</v>
      </c>
      <c r="BD315" t="inlineStr">
        <is>
          <t>gun</t>
        </is>
      </c>
      <c r="BE315" t="inlineStr">
        <is>
          <t>Wikipedia '15.2 cm/57 B-38': 5-7.5 rpm</t>
        </is>
      </c>
      <c r="BF315" t="inlineStr">
        <is>
          <t>real B-38 5-7.5 rpm (8 s at 7.5); wave 1's 5.11 s is too fast</t>
        </is>
      </c>
      <c r="BG315" t="inlineStr">
        <is>
          <t>doi</t>
        </is>
      </c>
      <c r="BH315" t="n">
        <v>320</v>
      </c>
      <c r="BI315" t="n">
        <v>600</v>
      </c>
      <c r="BJ315" t="n">
        <v>5.11</v>
      </c>
      <c r="BK315" t="n">
        <v>8</v>
      </c>
      <c r="CT315" t="n">
        <v>152</v>
      </c>
      <c r="DD315" t="n">
        <v>8</v>
      </c>
      <c r="DE315" t="n">
        <v>600</v>
      </c>
      <c r="DF315" t="inlineStr">
        <is>
          <t>Kinetic</t>
        </is>
      </c>
      <c r="DJ315" t="inlineStr">
        <is>
          <t>tank_gun</t>
        </is>
      </c>
      <c r="DO315" t="n">
        <v>14</v>
      </c>
      <c r="DS315" t="inlineStr">
        <is>
          <t>Large</t>
        </is>
      </c>
      <c r="EB315" t="n">
        <v>4</v>
      </c>
      <c r="EE315" t="b">
        <v>1</v>
      </c>
      <c r="EK315" t="n">
        <v>170</v>
      </c>
      <c r="EP315" t="n">
        <v>42</v>
      </c>
      <c r="EQ315" t="inlineStr">
        <is>
          <t>B-38 152 mm</t>
        </is>
      </c>
      <c r="EX315" t="n">
        <v>152</v>
      </c>
      <c r="EY315" t="n">
        <v>2.5</v>
      </c>
      <c r="EZ315" t="n">
        <v>0.6</v>
      </c>
      <c r="GB315" t="inlineStr">
        <is>
          <t>cal_152_155</t>
        </is>
      </c>
      <c r="GC315" t="inlineStr">
        <is>
          <t>ap</t>
        </is>
      </c>
      <c r="GD315" t="inlineStr">
        <is>
          <t>Assets/MachineBrigade/Resources/Data/balance.json: weapons[216]</t>
        </is>
      </c>
      <c r="GE315" t="inlineStr">
        <is>
          <t>{"id":"train_gun","groundMinReach":14,"weaponFamilyId":"cal_152_155","weaponVariantId":"ap","real":"B-38 152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16">
      <c r="A316" t="inlineStr">
        <is>
          <t>train_gun_he</t>
        </is>
      </c>
      <c r="B316" t="inlineStr">
        <is>
          <t>B-38 152 mm HE</t>
        </is>
      </c>
      <c r="C316" t="inlineStr">
        <is>
          <t>cal_152_155</t>
        </is>
      </c>
      <c r="D316" t="inlineStr"/>
      <c r="E316" t="inlineStr"/>
      <c r="F316" t="inlineStr">
        <is>
          <t>tank_gun</t>
        </is>
      </c>
      <c r="G316" t="n">
        <v>152</v>
      </c>
      <c r="H316" t="inlineStr"/>
      <c r="I316" t="inlineStr"/>
      <c r="J316" t="inlineStr"/>
      <c r="K316" t="inlineStr">
        <is>
          <t>HighExplosive</t>
        </is>
      </c>
      <c r="L316" t="n">
        <v>2</v>
      </c>
      <c r="M316" t="inlineStr">
        <is>
          <t>Shell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8</v>
      </c>
      <c r="S316" t="n">
        <v>0</v>
      </c>
      <c r="T316" t="n">
        <v>0</v>
      </c>
      <c r="U316" t="n">
        <v>0</v>
      </c>
      <c r="V316" t="n">
        <v>0</v>
      </c>
      <c r="W316" t="n">
        <v>600</v>
      </c>
      <c r="X316" t="n">
        <v>7</v>
      </c>
      <c r="Y316" t="n">
        <v>14</v>
      </c>
      <c r="Z316" t="n">
        <v>170</v>
      </c>
      <c r="AA316" t="n">
        <v>42</v>
      </c>
      <c r="AB316" t="n">
        <v>0</v>
      </c>
      <c r="AC316" t="inlineStr">
        <is>
          <t>Ground</t>
        </is>
      </c>
      <c r="AD316" t="inlineStr"/>
      <c r="AE316" t="n">
        <v>0.6</v>
      </c>
      <c r="AF316" t="inlineStr">
        <is>
          <t>Huge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152</v>
      </c>
      <c r="AO316" t="n">
        <v>0</v>
      </c>
      <c r="AP316" t="inlineStr">
        <is>
          <t>T3</t>
        </is>
      </c>
      <c r="AQ316" t="inlineStr">
        <is>
          <t>train_gun</t>
        </is>
      </c>
      <c r="AR316" t="inlineStr"/>
      <c r="AS316" t="inlineStr"/>
      <c r="AT316" t="inlineStr"/>
      <c r="AU316" t="n">
        <v>0</v>
      </c>
      <c r="AV316" t="inlineStr"/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0.2470588235294118</v>
      </c>
      <c r="BB316" t="n">
        <v>7.5</v>
      </c>
      <c r="BC316" t="n">
        <v>5</v>
      </c>
      <c r="BD316" t="inlineStr">
        <is>
          <t>gun</t>
        </is>
      </c>
      <c r="BE316" t="inlineStr">
        <is>
          <t>Wikipedia '15.2 cm/57 B-38': 5-7.5 rpm</t>
        </is>
      </c>
      <c r="BG316" t="inlineStr">
        <is>
          <t>doi</t>
        </is>
      </c>
      <c r="BH316" t="n">
        <v>320</v>
      </c>
      <c r="BI316" t="n">
        <v>600</v>
      </c>
      <c r="BJ316" t="n">
        <v>5.11</v>
      </c>
      <c r="BK316" t="n">
        <v>8</v>
      </c>
      <c r="BN316" t="n">
        <v>3</v>
      </c>
      <c r="BO316" t="n">
        <v>7</v>
      </c>
      <c r="BP316" t="n">
        <v>0</v>
      </c>
      <c r="BQ316" t="n">
        <v>14</v>
      </c>
      <c r="DE316" t="n">
        <v>600</v>
      </c>
      <c r="DF316" t="inlineStr">
        <is>
          <t>HighExplosive</t>
        </is>
      </c>
      <c r="DG316" t="n">
        <v>14</v>
      </c>
      <c r="DM316" t="inlineStr">
        <is>
          <t>light;structure</t>
        </is>
      </c>
      <c r="DN316" t="inlineStr">
        <is>
          <t>HeShell</t>
        </is>
      </c>
      <c r="DS316" t="inlineStr">
        <is>
          <t>Huge</t>
        </is>
      </c>
      <c r="DT316" t="inlineStr">
        <is>
          <t>train_gun</t>
        </is>
      </c>
      <c r="EB316" t="n">
        <v>2</v>
      </c>
      <c r="EE316" t="b">
        <v>0</v>
      </c>
      <c r="EQ316" t="inlineStr">
        <is>
          <t>B-38 152 mm HE</t>
        </is>
      </c>
      <c r="ES316" t="inlineStr">
        <is>
          <t>he</t>
        </is>
      </c>
      <c r="EU316" t="inlineStr">
        <is>
          <t>train_gun</t>
        </is>
      </c>
      <c r="EY316" t="n">
        <v>7</v>
      </c>
      <c r="FW316" t="inlineStr">
        <is>
          <t>Ground</t>
        </is>
      </c>
      <c r="GA316" t="inlineStr"/>
      <c r="GC316" t="inlineStr"/>
      <c r="GD316" t="inlineStr">
        <is>
          <t>Assets/MachineBrigade/Resources/Data/balance.json: secondRounds.rounds[59]</t>
        </is>
      </c>
      <c r="GE316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17">
      <c r="A317" t="inlineStr">
        <is>
          <t>train_mortar</t>
        </is>
      </c>
      <c r="B317" t="inlineStr">
        <is>
          <t>2B11 120 mm (twin)</t>
        </is>
      </c>
      <c r="C317" t="inlineStr">
        <is>
          <t>cal_120_he</t>
        </is>
      </c>
      <c r="D317" t="inlineStr">
        <is>
          <t>mortar</t>
        </is>
      </c>
      <c r="E317" t="inlineStr">
        <is>
          <t>2b11_120_mm</t>
        </is>
      </c>
      <c r="F317" t="inlineStr">
        <is>
          <t>mortar</t>
        </is>
      </c>
      <c r="G317" t="n">
        <v>120</v>
      </c>
      <c r="H317" t="inlineStr"/>
      <c r="I317" t="inlineStr"/>
      <c r="J317" t="inlineStr"/>
      <c r="K317" t="inlineStr">
        <is>
          <t>HighExplosive</t>
        </is>
      </c>
      <c r="L317" t="n">
        <v>2</v>
      </c>
      <c r="M317" t="inlineStr">
        <is>
          <t>Shell</t>
        </is>
      </c>
      <c r="N317" t="n">
        <v>1</v>
      </c>
      <c r="O317" t="inlineStr">
        <is>
          <t>RIPPLE</t>
        </is>
      </c>
      <c r="P317" t="n">
        <v>2</v>
      </c>
      <c r="Q317" t="n">
        <v>0.8</v>
      </c>
      <c r="R317" t="n">
        <v>7.5</v>
      </c>
      <c r="S317" t="n">
        <v>0</v>
      </c>
      <c r="T317" t="n">
        <v>0</v>
      </c>
      <c r="U317" t="n">
        <v>0</v>
      </c>
      <c r="V317" t="n">
        <v>0</v>
      </c>
      <c r="W317" t="n">
        <v>150</v>
      </c>
      <c r="X317" t="n">
        <v>5</v>
      </c>
      <c r="Y317" t="n">
        <v>0</v>
      </c>
      <c r="Z317" t="n">
        <v>60</v>
      </c>
      <c r="AA317" t="n">
        <v>60</v>
      </c>
      <c r="AB317" t="n">
        <v>10</v>
      </c>
      <c r="AC317" t="inlineStr">
        <is>
          <t>Ground</t>
        </is>
      </c>
      <c r="AD317" t="inlineStr"/>
      <c r="AE317" t="n">
        <v>4</v>
      </c>
      <c r="AF317" t="inlineStr">
        <is>
          <t>Large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120</v>
      </c>
      <c r="AO317" t="n">
        <v>0</v>
      </c>
      <c r="AP317" t="inlineStr">
        <is>
          <t>T3</t>
        </is>
      </c>
      <c r="AQ317" t="inlineStr"/>
      <c r="AR317" t="inlineStr"/>
      <c r="AS317" t="inlineStr"/>
      <c r="AT317" t="inlineStr"/>
      <c r="AU317" t="n">
        <v>0</v>
      </c>
      <c r="AV317" t="inlineStr"/>
      <c r="AW317" t="n">
        <v>0</v>
      </c>
      <c r="AX317" t="b">
        <v>0</v>
      </c>
      <c r="AY317" t="inlineStr"/>
      <c r="AZ317">
        <f>IF(AND($AX$317,$AW$317&gt;$AA$317/$Z$317),$AW$317,$AA$317/$Z$317)</f>
        <v/>
      </c>
      <c r="BA317" t="n">
        <v>1</v>
      </c>
      <c r="BB317" t="n">
        <v>15</v>
      </c>
      <c r="BC317" t="n">
        <v>10</v>
      </c>
      <c r="BD317" t="inlineStr">
        <is>
          <t>gun</t>
        </is>
      </c>
      <c r="BE317" t="inlineStr">
        <is>
          <t>Wikipedia '2B11': 15 rpm</t>
        </is>
      </c>
      <c r="BG317" t="inlineStr">
        <is>
          <t>doi</t>
        </is>
      </c>
      <c r="BR317" t="n">
        <v>32</v>
      </c>
      <c r="BS317" t="n">
        <v>60</v>
      </c>
      <c r="CR317" t="n">
        <v>2</v>
      </c>
      <c r="CS317" t="n">
        <v>0.8</v>
      </c>
      <c r="CT317" t="n">
        <v>120</v>
      </c>
      <c r="DD317" t="n">
        <v>7.5</v>
      </c>
      <c r="DE317" t="n">
        <v>150</v>
      </c>
      <c r="DF317" t="inlineStr">
        <is>
          <t>HighExplosive</t>
        </is>
      </c>
      <c r="DJ317" t="inlineStr">
        <is>
          <t>mortar</t>
        </is>
      </c>
      <c r="DS317" t="inlineStr">
        <is>
          <t>Large</t>
        </is>
      </c>
      <c r="DZ317" t="n">
        <v>10</v>
      </c>
      <c r="EB317" t="n">
        <v>2</v>
      </c>
      <c r="EH317" t="inlineStr">
        <is>
          <t>Shell</t>
        </is>
      </c>
      <c r="EP317" t="n">
        <v>60</v>
      </c>
      <c r="EQ317" t="inlineStr">
        <is>
          <t>2B11 120 mm (twin)</t>
        </is>
      </c>
      <c r="EX317" t="n">
        <v>120</v>
      </c>
      <c r="EZ317" t="n">
        <v>4</v>
      </c>
      <c r="GA317" t="inlineStr">
        <is>
          <t>2b11_120_mm</t>
        </is>
      </c>
      <c r="GB317" t="inlineStr">
        <is>
          <t>cal_120_he</t>
        </is>
      </c>
      <c r="GC317" t="inlineStr">
        <is>
          <t>mortar</t>
        </is>
      </c>
      <c r="GD317" t="inlineStr">
        <is>
          <t>Assets/MachineBrigade/Resources/Data/balance.json: weapons[242]</t>
        </is>
      </c>
      <c r="GE317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18">
      <c r="A318" t="inlineStr">
        <is>
          <t>turret_gmlrs</t>
        </is>
      </c>
      <c r="B318" t="inlineStr">
        <is>
          <t>M31 GMLRS 227 mm (tower)</t>
        </is>
      </c>
      <c r="C318" t="inlineStr">
        <is>
          <t>rkt_gmlrs_227</t>
        </is>
      </c>
      <c r="D318" t="inlineStr"/>
      <c r="E318" t="inlineStr">
        <is>
          <t>m31_gmlrs_227_mm</t>
        </is>
      </c>
      <c r="F318" t="inlineStr">
        <is>
          <t>rocket</t>
        </is>
      </c>
      <c r="G318" t="n">
        <v>227</v>
      </c>
      <c r="H318" t="inlineStr"/>
      <c r="I318" t="inlineStr"/>
      <c r="J318" t="inlineStr"/>
      <c r="K318" t="inlineStr">
        <is>
          <t>HighExplosive</t>
        </is>
      </c>
      <c r="L318" t="n">
        <v>3</v>
      </c>
      <c r="M318" t="inlineStr">
        <is>
          <t>Rocket</t>
        </is>
      </c>
      <c r="N318" t="n">
        <v>1</v>
      </c>
      <c r="O318" t="inlineStr">
        <is>
          <t>RIPPLE</t>
        </is>
      </c>
      <c r="P318" t="n">
        <v>2</v>
      </c>
      <c r="Q318" t="n">
        <v>0.5</v>
      </c>
      <c r="R318" t="n">
        <v>7.5</v>
      </c>
      <c r="S318" t="n">
        <v>0</v>
      </c>
      <c r="T318" t="n">
        <v>0</v>
      </c>
      <c r="U318" t="n">
        <v>0</v>
      </c>
      <c r="V318" t="n">
        <v>0</v>
      </c>
      <c r="W318" t="n">
        <v>160</v>
      </c>
      <c r="X318" t="n">
        <v>4.5</v>
      </c>
      <c r="Y318" t="n">
        <v>0</v>
      </c>
      <c r="Z318" t="n">
        <v>140</v>
      </c>
      <c r="AA318" t="n">
        <v>90</v>
      </c>
      <c r="AB318" t="n">
        <v>20</v>
      </c>
      <c r="AC318" t="inlineStr">
        <is>
          <t>Ground</t>
        </is>
      </c>
      <c r="AD318" t="inlineStr"/>
      <c r="AE318" t="n">
        <v>0.8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227</v>
      </c>
      <c r="AO318" t="n">
        <v>0</v>
      </c>
      <c r="AP318" t="inlineStr">
        <is>
          <t>T4</t>
        </is>
      </c>
      <c r="AQ318" t="inlineStr"/>
      <c r="AR318" t="inlineStr"/>
      <c r="AS318" t="inlineStr">
        <is>
          <t>thap</t>
        </is>
      </c>
      <c r="AT318" t="inlineStr">
        <is>
          <t>rocket_turret.guided</t>
        </is>
      </c>
      <c r="AU318" t="n">
        <v>1</v>
      </c>
      <c r="AV318" t="inlineStr">
        <is>
          <t>rocket_turret.guided:0</t>
        </is>
      </c>
      <c r="AW318" t="n">
        <v>2.5</v>
      </c>
      <c r="AX318" t="b">
        <v>1</v>
      </c>
      <c r="AY318" t="inlineStr"/>
      <c r="AZ318">
        <f>IF(AND($AX$318,$AW$318&gt;$AA$318/$Z$318),$AW$318,$AA$318/$Z$318)</f>
        <v/>
      </c>
      <c r="BA318" t="n">
        <v>2.5</v>
      </c>
      <c r="BB318" t="n">
        <v>12</v>
      </c>
      <c r="BC318" t="inlineStr"/>
      <c r="BD318" t="inlineStr">
        <is>
          <t>rocket</t>
        </is>
      </c>
      <c r="BE318" t="inlineStr">
        <is>
          <t>Wikipedia 'M270 MLRS': 12 rockets in under a minute</t>
        </is>
      </c>
      <c r="BG318" t="inlineStr">
        <is>
          <t>doi</t>
        </is>
      </c>
      <c r="BR318" t="n">
        <v>50</v>
      </c>
      <c r="BS318" t="n">
        <v>140</v>
      </c>
      <c r="CR318" t="n">
        <v>2</v>
      </c>
      <c r="CS318" t="n">
        <v>0.5</v>
      </c>
      <c r="CT318" t="n">
        <v>227</v>
      </c>
      <c r="DD318" t="n">
        <v>7.5</v>
      </c>
      <c r="DE318" t="n">
        <v>160</v>
      </c>
      <c r="DF318" t="inlineStr">
        <is>
          <t>HighExplosive</t>
        </is>
      </c>
      <c r="DJ318" t="inlineStr">
        <is>
          <t>rocket</t>
        </is>
      </c>
      <c r="DS318" t="inlineStr">
        <is>
          <t>Large</t>
        </is>
      </c>
      <c r="DZ318" t="n">
        <v>20</v>
      </c>
      <c r="EB318" t="n">
        <v>3</v>
      </c>
      <c r="EH318" t="inlineStr">
        <is>
          <t>Rocket</t>
        </is>
      </c>
      <c r="EP318" t="n">
        <v>90</v>
      </c>
      <c r="EQ318" t="inlineStr">
        <is>
          <t>M31 GMLRS 227 mm (tower)</t>
        </is>
      </c>
      <c r="EX318" t="n">
        <v>227</v>
      </c>
      <c r="EZ318" t="n">
        <v>0.8</v>
      </c>
      <c r="GA318" t="inlineStr">
        <is>
          <t>m31_gmlrs_227_mm</t>
        </is>
      </c>
      <c r="GB318" t="inlineStr">
        <is>
          <t>rkt_gmlrs_227</t>
        </is>
      </c>
      <c r="GD318" t="inlineStr">
        <is>
          <t>Assets/MachineBrigade/Resources/Data/balance.json: weapons[120]</t>
        </is>
      </c>
      <c r="GE318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19">
      <c r="A319" t="inlineStr">
        <is>
          <t>turret_gun_120</t>
        </is>
      </c>
      <c r="B319" t="inlineStr">
        <is>
          <t>Rh-120 L/44 120 mm</t>
        </is>
      </c>
      <c r="C319" t="inlineStr">
        <is>
          <t>cal_120_ap</t>
        </is>
      </c>
      <c r="D319" t="inlineStr"/>
      <c r="E319" t="inlineStr">
        <is>
          <t>rh_120_l_44_120_mm</t>
        </is>
      </c>
      <c r="F319" t="inlineStr">
        <is>
          <t>tank_gun</t>
        </is>
      </c>
      <c r="G319" t="n">
        <v>120</v>
      </c>
      <c r="H319" t="inlineStr"/>
      <c r="I319" t="inlineStr"/>
      <c r="J319" t="inlineStr"/>
      <c r="K319" t="inlineStr">
        <is>
          <t>Kinetic</t>
        </is>
      </c>
      <c r="L319" t="n">
        <v>4</v>
      </c>
      <c r="M319" t="inlineStr">
        <is>
          <t>Shell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2.88</v>
      </c>
      <c r="S319" t="n">
        <v>0</v>
      </c>
      <c r="T319" t="n">
        <v>0</v>
      </c>
      <c r="U319" t="n">
        <v>0</v>
      </c>
      <c r="V319" t="n">
        <v>0</v>
      </c>
      <c r="W319" t="n">
        <v>240</v>
      </c>
      <c r="X319" t="n">
        <v>1.5</v>
      </c>
      <c r="Y319" t="n">
        <v>0</v>
      </c>
      <c r="Z319" t="n">
        <v>170</v>
      </c>
      <c r="AA319" t="n">
        <v>32</v>
      </c>
      <c r="AB319" t="n">
        <v>0</v>
      </c>
      <c r="AC319" t="inlineStr">
        <is>
          <t>Ground</t>
        </is>
      </c>
      <c r="AD319" t="inlineStr"/>
      <c r="AE319" t="n">
        <v>0.6</v>
      </c>
      <c r="AF319" t="inlineStr">
        <is>
          <t>Large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120</v>
      </c>
      <c r="AO319" t="n">
        <v>0</v>
      </c>
      <c r="AP319" t="inlineStr">
        <is>
          <t>T3</t>
        </is>
      </c>
      <c r="AQ319" t="inlineStr"/>
      <c r="AR319" t="inlineStr">
        <is>
          <t>turret_gun_120_he</t>
        </is>
      </c>
      <c r="AS319" t="inlineStr">
        <is>
          <t>thap</t>
        </is>
      </c>
      <c r="AT319" t="inlineStr">
        <is>
          <t>gun_turret</t>
        </is>
      </c>
      <c r="AU319" t="n">
        <v>1</v>
      </c>
      <c r="AV319" t="inlineStr">
        <is>
          <t>gun_turret:0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0.1882352941176471</v>
      </c>
      <c r="BB319" t="n">
        <v>8</v>
      </c>
      <c r="BC319" t="n">
        <v>6</v>
      </c>
      <c r="BD319" t="inlineStr">
        <is>
          <t>gun</t>
        </is>
      </c>
      <c r="BE319" t="inlineStr">
        <is>
          <t>the sheet's 'Ngoài đời': Rh-120 6-8 rpm with a loader (Wikipedia 'Rheinmetall 120 mm gun')</t>
        </is>
      </c>
      <c r="BG319" t="inlineStr">
        <is>
          <t>giong</t>
        </is>
      </c>
      <c r="CT319" t="n">
        <v>120</v>
      </c>
      <c r="DD319" t="n">
        <v>2.88</v>
      </c>
      <c r="DE319" t="n">
        <v>240</v>
      </c>
      <c r="DF319" t="inlineStr">
        <is>
          <t>Kinetic</t>
        </is>
      </c>
      <c r="DJ319" t="inlineStr">
        <is>
          <t>tank_gun</t>
        </is>
      </c>
      <c r="DR319" t="n">
        <v>1.35</v>
      </c>
      <c r="DS319" t="inlineStr">
        <is>
          <t>Large</t>
        </is>
      </c>
      <c r="EB319" t="n">
        <v>4</v>
      </c>
      <c r="EE319" t="b">
        <v>1</v>
      </c>
      <c r="EP319" t="n">
        <v>32</v>
      </c>
      <c r="EQ319" t="inlineStr">
        <is>
          <t>Rh-120 L/44 120 mm</t>
        </is>
      </c>
      <c r="EX319" t="n">
        <v>120</v>
      </c>
      <c r="EZ319" t="n">
        <v>0.6</v>
      </c>
      <c r="GA319" t="inlineStr">
        <is>
          <t>rh_120_l_44_120_mm</t>
        </is>
      </c>
      <c r="GB319" t="inlineStr">
        <is>
          <t>cal_120_ap</t>
        </is>
      </c>
      <c r="GD319" t="inlineStr">
        <is>
          <t>Assets/MachineBrigade/Resources/Data/balance.json: weapons[12]</t>
        </is>
      </c>
      <c r="GE319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mm","family":"tank_gun","size":120,"caliberMm":120,"pen":4,"piercing":true,"damageType":"Kinetic","damage":240,"cooldown":2.88,"range":32,"spread":0.6,"impactTier":"Large","impactScale":1.35}</t>
        </is>
      </c>
    </row>
    <row r="320">
      <c r="A320" t="inlineStr">
        <is>
          <t>turret_gun_120_auto</t>
        </is>
      </c>
      <c r="B320" t="inlineStr">
        <is>
          <t>Rh-120 L/44 120 mm (autoloader)</t>
        </is>
      </c>
      <c r="C320" t="inlineStr">
        <is>
          <t>cal_120_ap</t>
        </is>
      </c>
      <c r="D320" t="inlineStr"/>
      <c r="E320" t="inlineStr">
        <is>
          <t>rh_120_l_44_120_mm</t>
        </is>
      </c>
      <c r="F320" t="inlineStr">
        <is>
          <t>tank_gun</t>
        </is>
      </c>
      <c r="G320" t="n">
        <v>120</v>
      </c>
      <c r="H320" t="inlineStr"/>
      <c r="I320" t="inlineStr"/>
      <c r="J320" t="inlineStr"/>
      <c r="K320" t="inlineStr">
        <is>
          <t>Kinetic</t>
        </is>
      </c>
      <c r="L320" t="n">
        <v>4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2.53</v>
      </c>
      <c r="S320" t="n">
        <v>0</v>
      </c>
      <c r="T320" t="n">
        <v>0</v>
      </c>
      <c r="U320" t="n">
        <v>0</v>
      </c>
      <c r="V320" t="n">
        <v>0</v>
      </c>
      <c r="W320" t="n">
        <v>240</v>
      </c>
      <c r="X320" t="n">
        <v>1.5</v>
      </c>
      <c r="Y320" t="n">
        <v>0</v>
      </c>
      <c r="Z320" t="n">
        <v>170</v>
      </c>
      <c r="AA320" t="n">
        <v>32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Large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120</v>
      </c>
      <c r="AO320" t="n">
        <v>0</v>
      </c>
      <c r="AP320" t="inlineStr">
        <is>
          <t>T3</t>
        </is>
      </c>
      <c r="AQ320" t="inlineStr">
        <is>
          <t>turret_gun_120</t>
        </is>
      </c>
      <c r="AR320" t="inlineStr"/>
      <c r="AS320" t="inlineStr"/>
      <c r="AT320" t="inlineStr"/>
      <c r="AU320" t="n">
        <v>0</v>
      </c>
      <c r="AV320" t="inlineStr"/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0.1882352941176471</v>
      </c>
      <c r="BB320" t="n">
        <v>8</v>
      </c>
      <c r="BC320" t="n">
        <v>6</v>
      </c>
      <c r="BD320" t="inlineStr">
        <is>
          <t>gun</t>
        </is>
      </c>
      <c r="BE320" t="inlineStr">
        <is>
          <t>the sheet's 'Ngoài đời': Rh-120 6-8 rpm with a loader (Wikipedia 'Rheinmetall 120 mm gun')</t>
        </is>
      </c>
      <c r="BG320" t="inlineStr">
        <is>
          <t>giong</t>
        </is>
      </c>
      <c r="CT320" t="n">
        <v>120</v>
      </c>
      <c r="DD320" t="n">
        <v>2.53</v>
      </c>
      <c r="DJ320" t="inlineStr">
        <is>
          <t>tank_gun</t>
        </is>
      </c>
      <c r="DT320" t="inlineStr">
        <is>
          <t>turret_gun_120</t>
        </is>
      </c>
      <c r="EB320" t="n">
        <v>4</v>
      </c>
      <c r="EQ320" t="inlineStr">
        <is>
          <t>Rh-120 L/44 120 mm (autoloader)</t>
        </is>
      </c>
      <c r="EX320" t="n">
        <v>120</v>
      </c>
      <c r="GA320" t="inlineStr">
        <is>
          <t>rh_120_l_44_120_mm</t>
        </is>
      </c>
      <c r="GD320" t="inlineStr">
        <is>
          <t>Assets/MachineBrigade/Resources/Data/balance.json: weapons[113]</t>
        </is>
      </c>
      <c r="GE320" t="inlineStr">
        <is>
          <t>{"id":"turret_gun_120_auto","weaponFamily":"rh_120_l_44_120_mm","real":"Rh-120 L/44 120 mm (autoloader)","family":"tank_gun","size":120,"caliberMm":120,"pen":4,"inherits":"turret_gun_120","cooldown":2.53}</t>
        </is>
      </c>
    </row>
    <row r="321">
      <c r="A321" t="inlineStr">
        <is>
          <t>turret_gun_120_he</t>
        </is>
      </c>
      <c r="B321" t="inlineStr">
        <is>
          <t>Rh-120 L/44 120 mm HE</t>
        </is>
      </c>
      <c r="C321" t="inlineStr">
        <is>
          <t>cal_120_he</t>
        </is>
      </c>
      <c r="D321" t="inlineStr"/>
      <c r="E321" t="inlineStr">
        <is>
          <t>rh_120_l_44_120_mm_he</t>
        </is>
      </c>
      <c r="F321" t="inlineStr">
        <is>
          <t>tank_gun</t>
        </is>
      </c>
      <c r="G321" t="n">
        <v>120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2.88</v>
      </c>
      <c r="S321" t="n">
        <v>0</v>
      </c>
      <c r="T321" t="n">
        <v>0</v>
      </c>
      <c r="U321" t="n">
        <v>0</v>
      </c>
      <c r="V321" t="n">
        <v>0</v>
      </c>
      <c r="W321" t="n">
        <v>240</v>
      </c>
      <c r="X321" t="n">
        <v>3</v>
      </c>
      <c r="Y321" t="n">
        <v>0</v>
      </c>
      <c r="Z321" t="n">
        <v>170</v>
      </c>
      <c r="AA321" t="n">
        <v>32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Huge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120</v>
      </c>
      <c r="AO321" t="n">
        <v>0</v>
      </c>
      <c r="AP321" t="inlineStr">
        <is>
          <t>T3</t>
        </is>
      </c>
      <c r="AQ321" t="inlineStr">
        <is>
          <t>turret_gun_120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0.1882352941176471</v>
      </c>
      <c r="BB321" t="n">
        <v>8</v>
      </c>
      <c r="BC321" t="n">
        <v>6</v>
      </c>
      <c r="BD321" t="inlineStr">
        <is>
          <t>gun</t>
        </is>
      </c>
      <c r="BE321" t="inlineStr">
        <is>
          <t>the sheet's 'Ngoài đời': Rh-120 6-8 rpm with a loader (Wikipedia 'Rheinmetall 120 mm gun')</t>
        </is>
      </c>
      <c r="BG321" t="inlineStr">
        <is>
          <t>giong</t>
        </is>
      </c>
      <c r="CQ321" t="inlineStr"/>
      <c r="DE321" t="n">
        <v>240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Huge</t>
        </is>
      </c>
      <c r="DT321" t="inlineStr">
        <is>
          <t>turret_gun_120</t>
        </is>
      </c>
      <c r="EB321" t="n">
        <v>2</v>
      </c>
      <c r="EE321" t="b">
        <v>0</v>
      </c>
      <c r="EQ321" t="inlineStr">
        <is>
          <t>Rh-120 L/44 120 mm HE</t>
        </is>
      </c>
      <c r="ES321" t="inlineStr">
        <is>
          <t>he</t>
        </is>
      </c>
      <c r="EU321" t="inlineStr">
        <is>
          <t>turret_gun_120</t>
        </is>
      </c>
      <c r="EY321" t="n">
        <v>3</v>
      </c>
      <c r="FW321" t="inlineStr">
        <is>
          <t>Ground</t>
        </is>
      </c>
      <c r="GA321" t="inlineStr">
        <is>
          <t>rh_120_l_44_120_mm_he</t>
        </is>
      </c>
      <c r="GB321" t="inlineStr">
        <is>
          <t>cal_120_he</t>
        </is>
      </c>
      <c r="GD321" t="inlineStr">
        <is>
          <t>Assets/MachineBrigade/Resources/Data/balance.json: secondRounds.rounds[60]</t>
        </is>
      </c>
      <c r="GE321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HE","damageType":"HighExplosive","pen":2,"damage":240,"splash":3,"form":"HeShell","piercing":false,"targets":"Ground","impactTier":"Huge","bonuses":[]}</t>
        </is>
      </c>
    </row>
    <row r="322">
      <c r="A322" t="inlineStr">
        <is>
          <t>turret_gun_120_long</t>
        </is>
      </c>
      <c r="B322" t="inlineStr">
        <is>
          <t>Rh-120 L/55 120 mm</t>
        </is>
      </c>
      <c r="C322" t="inlineStr">
        <is>
          <t>cal_120_ap</t>
        </is>
      </c>
      <c r="D322" t="inlineStr"/>
      <c r="E322" t="inlineStr"/>
      <c r="F322" t="inlineStr">
        <is>
          <t>tank_gun</t>
        </is>
      </c>
      <c r="G322" t="n">
        <v>120</v>
      </c>
      <c r="H322" t="inlineStr"/>
      <c r="I322" t="inlineStr"/>
      <c r="J322" t="inlineStr"/>
      <c r="K322" t="inlineStr">
        <is>
          <t>Kinetic</t>
        </is>
      </c>
      <c r="L322" t="n">
        <v>5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3.9</v>
      </c>
      <c r="S322" t="n">
        <v>0</v>
      </c>
      <c r="T322" t="n">
        <v>0</v>
      </c>
      <c r="U322" t="n">
        <v>0</v>
      </c>
      <c r="V322" t="n">
        <v>0</v>
      </c>
      <c r="W322" t="n">
        <v>240</v>
      </c>
      <c r="X322" t="n">
        <v>1.5</v>
      </c>
      <c r="Y322" t="n">
        <v>0</v>
      </c>
      <c r="Z322" t="n">
        <v>170</v>
      </c>
      <c r="AA322" t="n">
        <v>48</v>
      </c>
      <c r="AB322" t="n">
        <v>0</v>
      </c>
      <c r="AC322" t="inlineStr">
        <is>
          <t>Ground</t>
        </is>
      </c>
      <c r="AD322" t="inlineStr"/>
      <c r="AE322" t="n">
        <v>0.3</v>
      </c>
      <c r="AF322" t="inlineStr">
        <is>
          <t>Large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120</v>
      </c>
      <c r="AO322" t="n">
        <v>0</v>
      </c>
      <c r="AP322" t="inlineStr">
        <is>
          <t>T3</t>
        </is>
      </c>
      <c r="AQ322" t="inlineStr">
        <is>
          <t>turret_gun_120</t>
        </is>
      </c>
      <c r="AR322" t="inlineStr">
        <is>
          <t>turret_gun_120_long_he</t>
        </is>
      </c>
      <c r="AS322" t="inlineStr">
        <is>
          <t>cong_trinh;thap</t>
        </is>
      </c>
      <c r="AT322" t="inlineStr">
        <is>
          <t>gun_turret.long;headquarters.fortress_ground</t>
        </is>
      </c>
      <c r="AU322" t="n">
        <v>2</v>
      </c>
      <c r="AV322" t="inlineStr">
        <is>
          <t>gun_turret.long:0;headquarters.fortress_ground:4</t>
        </is>
      </c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0.2823529411764706</v>
      </c>
      <c r="BB322" t="n">
        <v>8</v>
      </c>
      <c r="BC322" t="n">
        <v>6</v>
      </c>
      <c r="BD322" t="inlineStr">
        <is>
          <t>gun</t>
        </is>
      </c>
      <c r="BE322" t="inlineStr">
        <is>
          <t>the sheet's 'Ngoài đời': Rh-120 6-8 rpm with a loader (Wikipedia 'Rheinmetall 120 mm gun')</t>
        </is>
      </c>
      <c r="BG322" t="inlineStr">
        <is>
          <t>giong</t>
        </is>
      </c>
      <c r="CT322" t="n">
        <v>120</v>
      </c>
      <c r="DD322" t="n">
        <v>3.9</v>
      </c>
      <c r="DJ322" t="inlineStr">
        <is>
          <t>tank_gun</t>
        </is>
      </c>
      <c r="DT322" t="inlineStr">
        <is>
          <t>turret_gun_120</t>
        </is>
      </c>
      <c r="EB322" t="n">
        <v>5</v>
      </c>
      <c r="EP322" t="n">
        <v>48</v>
      </c>
      <c r="EQ322" t="inlineStr">
        <is>
          <t>Rh-120 L/55 120 mm</t>
        </is>
      </c>
      <c r="EX322" t="n">
        <v>120</v>
      </c>
      <c r="EZ322" t="n">
        <v>0.3</v>
      </c>
      <c r="GA322" t="inlineStr"/>
      <c r="GD322" t="inlineStr">
        <is>
          <t>Assets/MachineBrigade/Resources/Data/balance.json: weapons[112]</t>
        </is>
      </c>
      <c r="GE322" t="inlineStr">
        <is>
          <t>{"id":"turret_gun_120_long","weaponFamily":"","spread":0.3,"real":"Rh-120 L/55 120 mm","family":"tank_gun","size":120,"caliberMm":120,"pen":5,"inherits":"turret_gun_120","range":48,"cooldown":3.9}</t>
        </is>
      </c>
    </row>
    <row r="323">
      <c r="A323" t="inlineStr">
        <is>
          <t>turret_gun_120_long_he</t>
        </is>
      </c>
      <c r="B323" t="inlineStr">
        <is>
          <t>Rh-120 L/55 120 mm HE</t>
        </is>
      </c>
      <c r="C323" t="inlineStr">
        <is>
          <t>cal_120_he</t>
        </is>
      </c>
      <c r="D323" t="inlineStr"/>
      <c r="E323" t="inlineStr"/>
      <c r="F323" t="inlineStr">
        <is>
          <t>tank_gun</t>
        </is>
      </c>
      <c r="G323" t="n">
        <v>120</v>
      </c>
      <c r="H323" t="inlineStr"/>
      <c r="I323" t="inlineStr"/>
      <c r="J323" t="inlineStr"/>
      <c r="K323" t="inlineStr">
        <is>
          <t>HighExplosive</t>
        </is>
      </c>
      <c r="L323" t="n">
        <v>2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3.9</v>
      </c>
      <c r="S323" t="n">
        <v>0</v>
      </c>
      <c r="T323" t="n">
        <v>0</v>
      </c>
      <c r="U323" t="n">
        <v>0</v>
      </c>
      <c r="V323" t="n">
        <v>0</v>
      </c>
      <c r="W323" t="n">
        <v>240</v>
      </c>
      <c r="X323" t="n">
        <v>3</v>
      </c>
      <c r="Y323" t="n">
        <v>0</v>
      </c>
      <c r="Z323" t="n">
        <v>170</v>
      </c>
      <c r="AA323" t="n">
        <v>48</v>
      </c>
      <c r="AB323" t="n">
        <v>0</v>
      </c>
      <c r="AC323" t="inlineStr">
        <is>
          <t>Ground</t>
        </is>
      </c>
      <c r="AD323" t="inlineStr"/>
      <c r="AE323" t="n">
        <v>0.3</v>
      </c>
      <c r="AF323" t="inlineStr">
        <is>
          <t>Huge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120</v>
      </c>
      <c r="AO323" t="n">
        <v>0</v>
      </c>
      <c r="AP323" t="inlineStr">
        <is>
          <t>T3</t>
        </is>
      </c>
      <c r="AQ323" t="inlineStr">
        <is>
          <t>turret_gun_120_long</t>
        </is>
      </c>
      <c r="AR323" t="inlineStr"/>
      <c r="AS323" t="inlineStr"/>
      <c r="AT323" t="inlineStr"/>
      <c r="AU323" t="n">
        <v>0</v>
      </c>
      <c r="AV323" t="inlineStr"/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0.2823529411764706</v>
      </c>
      <c r="BB323" t="n">
        <v>8</v>
      </c>
      <c r="BC323" t="n">
        <v>6</v>
      </c>
      <c r="BD323" t="inlineStr">
        <is>
          <t>gun</t>
        </is>
      </c>
      <c r="BE323" t="inlineStr">
        <is>
          <t>the sheet's 'Ngoài đời': Rh-120 6-8 rpm with a loader (Wikipedia 'Rheinmetall 120 mm gun')</t>
        </is>
      </c>
      <c r="BG323" t="inlineStr">
        <is>
          <t>giong</t>
        </is>
      </c>
      <c r="CQ323" t="inlineStr"/>
      <c r="DE323" t="n">
        <v>240</v>
      </c>
      <c r="DF323" t="inlineStr">
        <is>
          <t>HighExplosive</t>
        </is>
      </c>
      <c r="DM323" t="inlineStr">
        <is>
          <t>light;structure</t>
        </is>
      </c>
      <c r="DN323" t="inlineStr">
        <is>
          <t>HeShell</t>
        </is>
      </c>
      <c r="DS323" t="inlineStr">
        <is>
          <t>Huge</t>
        </is>
      </c>
      <c r="DT323" t="inlineStr">
        <is>
          <t>turret_gun_120_long</t>
        </is>
      </c>
      <c r="EB323" t="n">
        <v>2</v>
      </c>
      <c r="EE323" t="b">
        <v>0</v>
      </c>
      <c r="EQ323" t="inlineStr">
        <is>
          <t>Rh-120 L/55 120 mm HE</t>
        </is>
      </c>
      <c r="ES323" t="inlineStr">
        <is>
          <t>he</t>
        </is>
      </c>
      <c r="EU323" t="inlineStr">
        <is>
          <t>turret_gun_120_long</t>
        </is>
      </c>
      <c r="EY323" t="n">
        <v>3</v>
      </c>
      <c r="FW323" t="inlineStr">
        <is>
          <t>Ground</t>
        </is>
      </c>
      <c r="GA323" t="inlineStr"/>
      <c r="GB323" t="inlineStr">
        <is>
          <t>cal_120_he</t>
        </is>
      </c>
      <c r="GD323" t="inlineStr">
        <is>
          <t>Assets/MachineBrigade/Resources/Data/balance.json: secondRounds.rounds[61]</t>
        </is>
      </c>
      <c r="GE323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HE","damageType":"HighExplosive","pen":2,"damage":240,"splash":3,"form":"HeShell","piercing":false,"targets":"Ground","impactTier":"Huge","bonuses":[]}</t>
        </is>
      </c>
    </row>
    <row r="324">
      <c r="A324" t="inlineStr">
        <is>
          <t>turret_rockets</t>
        </is>
      </c>
      <c r="B324" t="inlineStr">
        <is>
          <t>BM-21 Grad 122 mm</t>
        </is>
      </c>
      <c r="C324" t="inlineStr">
        <is>
          <t>rkt_grad_122</t>
        </is>
      </c>
      <c r="D324" t="inlineStr"/>
      <c r="E324" t="inlineStr">
        <is>
          <t>bm_21_grad_122_mm</t>
        </is>
      </c>
      <c r="F324" t="inlineStr">
        <is>
          <t>rocket</t>
        </is>
      </c>
      <c r="G324" t="n">
        <v>122</v>
      </c>
      <c r="H324" t="inlineStr"/>
      <c r="I324" t="inlineStr"/>
      <c r="J324" t="inlineStr"/>
      <c r="K324" t="inlineStr">
        <is>
          <t>HighExplosive</t>
        </is>
      </c>
      <c r="L324" t="n">
        <v>2</v>
      </c>
      <c r="M324" t="inlineStr">
        <is>
          <t>Rocket</t>
        </is>
      </c>
      <c r="N324" t="n">
        <v>1</v>
      </c>
      <c r="O324" t="inlineStr">
        <is>
          <t>RIPPLE</t>
        </is>
      </c>
      <c r="P324" t="n">
        <v>6</v>
      </c>
      <c r="Q324" t="n">
        <v>0.5</v>
      </c>
      <c r="R324" t="n">
        <v>1.57</v>
      </c>
      <c r="S324" t="n">
        <v>0</v>
      </c>
      <c r="T324" t="n">
        <v>0</v>
      </c>
      <c r="U324" t="n">
        <v>0</v>
      </c>
      <c r="V324" t="n">
        <v>0</v>
      </c>
      <c r="W324" t="n">
        <v>66</v>
      </c>
      <c r="X324" t="n">
        <v>4.5</v>
      </c>
      <c r="Y324" t="n">
        <v>0</v>
      </c>
      <c r="Z324" t="n">
        <v>130</v>
      </c>
      <c r="AA324" t="n">
        <v>55</v>
      </c>
      <c r="AB324" t="n">
        <v>8</v>
      </c>
      <c r="AC324" t="inlineStr">
        <is>
          <t>Ground</t>
        </is>
      </c>
      <c r="AD324" t="inlineStr"/>
      <c r="AE324" t="n">
        <v>4</v>
      </c>
      <c r="AF324" t="inlineStr">
        <is>
          <t>Medium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122</v>
      </c>
      <c r="AO324" t="n">
        <v>0</v>
      </c>
      <c r="AP324" t="inlineStr">
        <is>
          <t>T3</t>
        </is>
      </c>
      <c r="AQ324" t="inlineStr"/>
      <c r="AR324" t="inlineStr"/>
      <c r="AS324" t="inlineStr">
        <is>
          <t>thap</t>
        </is>
      </c>
      <c r="AT324" t="inlineStr">
        <is>
          <t>rocket_turret</t>
        </is>
      </c>
      <c r="AU324" t="n">
        <v>1</v>
      </c>
      <c r="AV324" t="inlineStr">
        <is>
          <t>rocket_turret:0</t>
        </is>
      </c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0.4230769230769231</v>
      </c>
      <c r="BB324" t="n">
        <v>120</v>
      </c>
      <c r="BC324" t="inlineStr"/>
      <c r="BD324" t="inlineStr">
        <is>
          <t>rocket</t>
        </is>
      </c>
      <c r="BE324" t="inlineStr">
        <is>
          <t>Wikipedia 'BM-21 Grad': 40 rockets in 20 s</t>
        </is>
      </c>
      <c r="BF324" t="inlineStr">
        <is>
          <t>player rule: BM-21's real 0.5 s between rockets (0.12 s was 4 x too fast), the 4.07 s cycle and the DPS kept</t>
        </is>
      </c>
      <c r="BG324" t="inlineStr">
        <is>
          <t>doi</t>
        </is>
      </c>
      <c r="BJ324" t="n">
        <v>3.47</v>
      </c>
      <c r="BK324" t="n">
        <v>1.57</v>
      </c>
      <c r="BR324" t="n">
        <v>45</v>
      </c>
      <c r="BS324" t="n">
        <v>130</v>
      </c>
      <c r="BV324" t="n">
        <v>0.12</v>
      </c>
      <c r="BW324" t="n">
        <v>0.5</v>
      </c>
      <c r="CR324" t="n">
        <v>6</v>
      </c>
      <c r="CS324" t="n">
        <v>0.5</v>
      </c>
      <c r="CT324" t="n">
        <v>122</v>
      </c>
      <c r="DD324" t="n">
        <v>1.57</v>
      </c>
      <c r="DE324" t="n">
        <v>66</v>
      </c>
      <c r="DF324" t="inlineStr">
        <is>
          <t>HighExplosive</t>
        </is>
      </c>
      <c r="DJ324" t="inlineStr">
        <is>
          <t>rocket</t>
        </is>
      </c>
      <c r="DR324" t="n">
        <v>1.3</v>
      </c>
      <c r="DS324" t="inlineStr">
        <is>
          <t>Medium</t>
        </is>
      </c>
      <c r="DZ324" t="n">
        <v>8</v>
      </c>
      <c r="EB324" t="n">
        <v>2</v>
      </c>
      <c r="EH324" t="inlineStr">
        <is>
          <t>Rocket</t>
        </is>
      </c>
      <c r="EP324" t="n">
        <v>55</v>
      </c>
      <c r="EQ324" t="inlineStr">
        <is>
          <t>BM-21 Grad 122 mm</t>
        </is>
      </c>
      <c r="EX324" t="n">
        <v>122</v>
      </c>
      <c r="EZ324" t="n">
        <v>4</v>
      </c>
      <c r="GA324" t="inlineStr">
        <is>
          <t>bm_21_grad_122_mm</t>
        </is>
      </c>
      <c r="GB324" t="inlineStr">
        <is>
          <t>rkt_grad_122</t>
        </is>
      </c>
      <c r="GD324" t="inlineStr">
        <is>
          <t>Assets/MachineBrigade/Resources/Data/balance.json: weapons[129]</t>
        </is>
      </c>
      <c r="GE324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25">
      <c r="A325" t="inlineStr">
        <is>
          <t>turret_rockets_cluster</t>
        </is>
      </c>
      <c r="B325" t="inlineStr">
        <is>
          <t>BM-21 Grad 122 mm (cluster)</t>
        </is>
      </c>
      <c r="C325" t="inlineStr">
        <is>
          <t>rkt_grad_122</t>
        </is>
      </c>
      <c r="D325" t="inlineStr">
        <is>
          <t>cluster</t>
        </is>
      </c>
      <c r="E325" t="inlineStr">
        <is>
          <t>bm_21_grad_122_mm_2</t>
        </is>
      </c>
      <c r="F325" t="inlineStr">
        <is>
          <t>rocket</t>
        </is>
      </c>
      <c r="G325" t="n">
        <v>122</v>
      </c>
      <c r="H325" t="inlineStr"/>
      <c r="I325" t="inlineStr"/>
      <c r="J325" t="inlineStr"/>
      <c r="K325" t="inlineStr">
        <is>
          <t>HighExplosive</t>
        </is>
      </c>
      <c r="L325" t="n">
        <v>2</v>
      </c>
      <c r="M325" t="inlineStr">
        <is>
          <t>Rocket</t>
        </is>
      </c>
      <c r="N325" t="n">
        <v>1</v>
      </c>
      <c r="O325" t="inlineStr">
        <is>
          <t>RIPPLE</t>
        </is>
      </c>
      <c r="P325" t="n">
        <v>6</v>
      </c>
      <c r="Q325" t="n">
        <v>0.5</v>
      </c>
      <c r="R325" t="n">
        <v>1.42</v>
      </c>
      <c r="S325" t="n">
        <v>0</v>
      </c>
      <c r="T325" t="n">
        <v>0</v>
      </c>
      <c r="U325" t="n">
        <v>0</v>
      </c>
      <c r="V325" t="n">
        <v>0</v>
      </c>
      <c r="W325" t="n">
        <v>57</v>
      </c>
      <c r="X325" t="n">
        <v>4</v>
      </c>
      <c r="Y325" t="n">
        <v>0</v>
      </c>
      <c r="Z325" t="n">
        <v>130</v>
      </c>
      <c r="AA325" t="n">
        <v>55</v>
      </c>
      <c r="AB325" t="n">
        <v>8</v>
      </c>
      <c r="AC325" t="inlineStr">
        <is>
          <t>Ground</t>
        </is>
      </c>
      <c r="AD325" t="inlineStr"/>
      <c r="AE325" t="n">
        <v>4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122</v>
      </c>
      <c r="AO325" t="n">
        <v>0</v>
      </c>
      <c r="AP325" t="inlineStr">
        <is>
          <t>T3</t>
        </is>
      </c>
      <c r="AQ325" t="inlineStr">
        <is>
          <t>turret_rockets</t>
        </is>
      </c>
      <c r="AR325" t="inlineStr"/>
      <c r="AS325" t="inlineStr">
        <is>
          <t>thap</t>
        </is>
      </c>
      <c r="AT325" t="inlineStr">
        <is>
          <t>rocket_turret.cluster</t>
        </is>
      </c>
      <c r="AU325" t="n">
        <v>1</v>
      </c>
      <c r="AV325" t="inlineStr">
        <is>
          <t>rocket_turret.cluster:0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0.4230769230769231</v>
      </c>
      <c r="BB325" t="n">
        <v>120</v>
      </c>
      <c r="BC325" t="inlineStr"/>
      <c r="BD325" t="inlineStr">
        <is>
          <t>rocket</t>
        </is>
      </c>
      <c r="BE325" t="inlineStr">
        <is>
          <t>Wikipedia 'BM-21 Grad': 40 rockets in 20 s</t>
        </is>
      </c>
      <c r="BF325" t="inlineStr">
        <is>
          <t>player rule: as turret_rockets, the 3.92 s cycle and the DPS kept</t>
        </is>
      </c>
      <c r="BG325" t="inlineStr">
        <is>
          <t>doi</t>
        </is>
      </c>
      <c r="BJ325" t="n">
        <v>3.32</v>
      </c>
      <c r="BK325" t="n">
        <v>1.42</v>
      </c>
      <c r="BR325" t="n">
        <v>45</v>
      </c>
      <c r="BS325" t="n">
        <v>130</v>
      </c>
      <c r="BV325" t="n">
        <v>0.12</v>
      </c>
      <c r="BW325" t="n">
        <v>0.5</v>
      </c>
      <c r="CT325" t="n">
        <v>122</v>
      </c>
      <c r="CY325" t="n">
        <v>3</v>
      </c>
      <c r="CZ325" t="n">
        <v>14</v>
      </c>
      <c r="DA325" t="n">
        <v>4</v>
      </c>
      <c r="DB325" t="n">
        <v>2</v>
      </c>
      <c r="DC325" t="inlineStr">
        <is>
          <t>Small</t>
        </is>
      </c>
      <c r="DD325" t="n">
        <v>1.42</v>
      </c>
      <c r="DE325" t="n">
        <v>57</v>
      </c>
      <c r="DJ325" t="inlineStr">
        <is>
          <t>rocket</t>
        </is>
      </c>
      <c r="DT325" t="inlineStr">
        <is>
          <t>turret_rockets</t>
        </is>
      </c>
      <c r="EB325" t="n">
        <v>2</v>
      </c>
      <c r="EQ325" t="inlineStr">
        <is>
          <t>BM-21 Grad 122 mm (cluster)</t>
        </is>
      </c>
      <c r="EX325" t="n">
        <v>122</v>
      </c>
      <c r="GA325" t="inlineStr">
        <is>
          <t>bm_21_grad_122_mm_2</t>
        </is>
      </c>
      <c r="GC325" t="inlineStr">
        <is>
          <t>cluster</t>
        </is>
      </c>
      <c r="GD325" t="inlineStr">
        <is>
          <t>Assets/MachineBrigade/Resources/Data/balance.json: weapons[118]</t>
        </is>
      </c>
      <c r="GE325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26">
      <c r="A326" t="inlineStr">
        <is>
          <t>turret_thermobaric</t>
        </is>
      </c>
      <c r="B326" t="inlineStr">
        <is>
          <t>122 mm thermobaric</t>
        </is>
      </c>
      <c r="C326" t="inlineStr">
        <is>
          <t>rkt_grad_122</t>
        </is>
      </c>
      <c r="D326" t="inlineStr">
        <is>
          <t>thermobaric</t>
        </is>
      </c>
      <c r="E326" t="inlineStr"/>
      <c r="F326" t="inlineStr">
        <is>
          <t>rocket</t>
        </is>
      </c>
      <c r="G326" t="n">
        <v>122</v>
      </c>
      <c r="H326" t="inlineStr"/>
      <c r="I326" t="inlineStr"/>
      <c r="J326" t="inlineStr"/>
      <c r="K326" t="inlineStr">
        <is>
          <t>HighExplosive</t>
        </is>
      </c>
      <c r="L326" t="n">
        <v>2</v>
      </c>
      <c r="M326" t="inlineStr">
        <is>
          <t>Rocket</t>
        </is>
      </c>
      <c r="N326" t="n">
        <v>1</v>
      </c>
      <c r="O326" t="inlineStr">
        <is>
          <t>RIPPLE</t>
        </is>
      </c>
      <c r="P326" t="n">
        <v>7</v>
      </c>
      <c r="Q326" t="n">
        <v>0.12</v>
      </c>
      <c r="R326" t="n">
        <v>7.1</v>
      </c>
      <c r="S326" t="n">
        <v>0</v>
      </c>
      <c r="T326" t="n">
        <v>0</v>
      </c>
      <c r="U326" t="n">
        <v>0</v>
      </c>
      <c r="V326" t="n">
        <v>0</v>
      </c>
      <c r="W326" t="n">
        <v>66</v>
      </c>
      <c r="X326" t="n">
        <v>4</v>
      </c>
      <c r="Y326" t="n">
        <v>0</v>
      </c>
      <c r="Z326" t="n">
        <v>130</v>
      </c>
      <c r="AA326" t="n">
        <v>44</v>
      </c>
      <c r="AB326" t="n">
        <v>8</v>
      </c>
      <c r="AC326" t="inlineStr">
        <is>
          <t>Ground</t>
        </is>
      </c>
      <c r="AD326" t="inlineStr"/>
      <c r="AE326" t="n">
        <v>4</v>
      </c>
      <c r="AF326" t="inlineStr">
        <is>
          <t>Medium</t>
        </is>
      </c>
      <c r="AG326" t="b">
        <v>0</v>
      </c>
      <c r="AH326" t="b">
        <v>0</v>
      </c>
      <c r="AI326" t="b">
        <v>1</v>
      </c>
      <c r="AJ326" t="b">
        <v>0</v>
      </c>
      <c r="AK326" t="b">
        <v>0</v>
      </c>
      <c r="AL326" t="b">
        <v>0</v>
      </c>
      <c r="AM326" t="b">
        <v>0</v>
      </c>
      <c r="AN326" t="n">
        <v>122</v>
      </c>
      <c r="AO326" t="n">
        <v>0</v>
      </c>
      <c r="AP326" t="inlineStr">
        <is>
          <t>T3</t>
        </is>
      </c>
      <c r="AQ326" t="inlineStr">
        <is>
          <t>turret_rockets</t>
        </is>
      </c>
      <c r="AR326" t="inlineStr"/>
      <c r="AS326" t="inlineStr"/>
      <c r="AT326" t="inlineStr"/>
      <c r="AU326" t="n">
        <v>0</v>
      </c>
      <c r="AV326" t="inlineStr"/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0.3384615384615385</v>
      </c>
      <c r="BB326" t="n">
        <v>120</v>
      </c>
      <c r="BC326" t="inlineStr"/>
      <c r="BD326" t="inlineStr">
        <is>
          <t>rocket</t>
        </is>
      </c>
      <c r="BE326" t="inlineStr">
        <is>
          <t>Wikipedia 'BM-21 Grad': 40 rockets in 20 s</t>
        </is>
      </c>
      <c r="BG326" t="inlineStr">
        <is>
          <t>doi</t>
        </is>
      </c>
      <c r="BR326" t="n">
        <v>45</v>
      </c>
      <c r="BS326" t="n">
        <v>130</v>
      </c>
      <c r="CR326" t="n">
        <v>7</v>
      </c>
      <c r="CS326" t="n">
        <v>0.12</v>
      </c>
      <c r="CT326" t="n">
        <v>122</v>
      </c>
      <c r="DD326" t="n">
        <v>7.1</v>
      </c>
      <c r="DJ326" t="inlineStr">
        <is>
          <t>rocket</t>
        </is>
      </c>
      <c r="DT326" t="inlineStr">
        <is>
          <t>turret_rockets</t>
        </is>
      </c>
      <c r="EB326" t="n">
        <v>2</v>
      </c>
      <c r="EP326" t="n">
        <v>44</v>
      </c>
      <c r="EQ326" t="inlineStr">
        <is>
          <t>122 mm thermobaric</t>
        </is>
      </c>
      <c r="EX326" t="n">
        <v>122</v>
      </c>
      <c r="EY326" t="n">
        <v>4</v>
      </c>
      <c r="FX326" t="b">
        <v>1</v>
      </c>
      <c r="GA326" t="inlineStr"/>
      <c r="GC326" t="inlineStr">
        <is>
          <t>thermobaric</t>
        </is>
      </c>
      <c r="GD326" t="inlineStr">
        <is>
          <t>Assets/MachineBrigade/Resources/Data/balance.json: weapons[119]</t>
        </is>
      </c>
      <c r="GE326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27">
      <c r="A327" t="inlineStr">
        <is>
          <t>twin_30_bmpt</t>
        </is>
      </c>
      <c r="B327" t="inlineStr">
        <is>
          <t>2A42 30 mm (twin)</t>
        </is>
      </c>
      <c r="C327" t="inlineStr">
        <is>
          <t>cal_30</t>
        </is>
      </c>
      <c r="D327" t="inlineStr"/>
      <c r="E327" t="inlineStr">
        <is>
          <t>2a42_30_mm</t>
        </is>
      </c>
      <c r="F327" t="inlineStr">
        <is>
          <t>autocannon</t>
        </is>
      </c>
      <c r="G327" t="n">
        <v>30</v>
      </c>
      <c r="H327" t="inlineStr"/>
      <c r="I327" t="inlineStr"/>
      <c r="J327" t="inlineStr"/>
      <c r="K327" t="inlineStr">
        <is>
          <t>Kinetic</t>
        </is>
      </c>
      <c r="L327" t="n">
        <v>2</v>
      </c>
      <c r="M327" t="inlineStr">
        <is>
          <t>Bullet</t>
        </is>
      </c>
      <c r="N327" t="n">
        <v>1</v>
      </c>
      <c r="O327" t="inlineStr">
        <is>
          <t>RIPPLE</t>
        </is>
      </c>
      <c r="P327" t="n">
        <v>12</v>
      </c>
      <c r="Q327" t="n">
        <v>0.0833</v>
      </c>
      <c r="R327" t="n">
        <v>1.5833</v>
      </c>
      <c r="S327" t="n">
        <v>0</v>
      </c>
      <c r="T327" t="n">
        <v>0</v>
      </c>
      <c r="U327" t="n">
        <v>0</v>
      </c>
      <c r="V327" t="n">
        <v>0</v>
      </c>
      <c r="W327" t="n">
        <v>22</v>
      </c>
      <c r="X327" t="n">
        <v>0</v>
      </c>
      <c r="Y327" t="n">
        <v>0</v>
      </c>
      <c r="Z327" t="n">
        <v>200</v>
      </c>
      <c r="AA327" t="n">
        <v>30</v>
      </c>
      <c r="AB327" t="n">
        <v>0</v>
      </c>
      <c r="AC327" t="inlineStr">
        <is>
          <t>Ground</t>
        </is>
      </c>
      <c r="AD327" t="inlineStr"/>
      <c r="AE327" t="n">
        <v>0.9</v>
      </c>
      <c r="AF327" t="inlineStr">
        <is>
          <t>Small</t>
        </is>
      </c>
      <c r="AG327" t="b">
        <v>0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30</v>
      </c>
      <c r="AO327" t="n">
        <v>0</v>
      </c>
      <c r="AP327" t="inlineStr">
        <is>
          <t>T1</t>
        </is>
      </c>
      <c r="AQ327" t="inlineStr"/>
      <c r="AR327" t="inlineStr">
        <is>
          <t>twin_30_bmpt_flak</t>
        </is>
      </c>
      <c r="AS327" t="inlineStr"/>
      <c r="AT327" t="inlineStr"/>
      <c r="AU327" t="n">
        <v>0</v>
      </c>
      <c r="AV327" t="inlineStr"/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0.15</v>
      </c>
      <c r="BB327" t="n">
        <v>800</v>
      </c>
      <c r="BC327" t="n">
        <v>300</v>
      </c>
      <c r="BD327" t="inlineStr">
        <is>
          <t>ac</t>
        </is>
      </c>
      <c r="BE327" t="inlineStr">
        <is>
          <t>Wikipedia '2A42': 550-800 high, 200-300 low rpm</t>
        </is>
      </c>
      <c r="BG327" t="inlineStr">
        <is>
          <t>giong</t>
        </is>
      </c>
      <c r="CR327" t="n">
        <v>12</v>
      </c>
      <c r="CS327" t="n">
        <v>0.0833</v>
      </c>
      <c r="CT327" t="n">
        <v>30</v>
      </c>
      <c r="DD327" t="n">
        <v>1.5833</v>
      </c>
      <c r="DE327" t="n">
        <v>22</v>
      </c>
      <c r="DF327" t="inlineStr">
        <is>
          <t>Kinetic</t>
        </is>
      </c>
      <c r="DJ327" t="inlineStr">
        <is>
          <t>autocannon</t>
        </is>
      </c>
      <c r="DS327" t="inlineStr">
        <is>
          <t>Small</t>
        </is>
      </c>
      <c r="EB327" t="n">
        <v>2</v>
      </c>
      <c r="EH327" t="inlineStr">
        <is>
          <t>Bullet</t>
        </is>
      </c>
      <c r="EP327" t="n">
        <v>30</v>
      </c>
      <c r="EQ327" t="inlineStr">
        <is>
          <t>2A42 30 mm (twin)</t>
        </is>
      </c>
      <c r="EX327" t="n">
        <v>30</v>
      </c>
      <c r="EZ327" t="n">
        <v>0.9</v>
      </c>
      <c r="FW327" t="inlineStr">
        <is>
          <t>Ground</t>
        </is>
      </c>
      <c r="GA327" t="inlineStr">
        <is>
          <t>2a42_30_mm</t>
        </is>
      </c>
      <c r="GB327" t="inlineStr">
        <is>
          <t>cal_30</t>
        </is>
      </c>
      <c r="GD327" t="inlineStr">
        <is>
          <t>Assets/MachineBrigade/Resources/Data/balance.json: weapons[78]</t>
        </is>
      </c>
      <c r="GE327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28">
      <c r="A328" t="inlineStr">
        <is>
          <t>twin_30_bmpt_flak</t>
        </is>
      </c>
      <c r="B328" t="inlineStr">
        <is>
          <t>2A42 30 mm air-burst (twin)</t>
        </is>
      </c>
      <c r="C328" t="inlineStr">
        <is>
          <t>cal_30</t>
        </is>
      </c>
      <c r="D328" t="inlineStr">
        <is>
          <t>flak</t>
        </is>
      </c>
      <c r="E328" t="inlineStr">
        <is>
          <t>2a42_30_mm_air_burst</t>
        </is>
      </c>
      <c r="F328" t="inlineStr">
        <is>
          <t>autocannon</t>
        </is>
      </c>
      <c r="G328" t="n">
        <v>30</v>
      </c>
      <c r="H328" t="inlineStr"/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Bullet</t>
        </is>
      </c>
      <c r="N328" t="n">
        <v>1</v>
      </c>
      <c r="O328" t="inlineStr">
        <is>
          <t>RIPPLE</t>
        </is>
      </c>
      <c r="P328" t="n">
        <v>12</v>
      </c>
      <c r="Q328" t="n">
        <v>0.0833</v>
      </c>
      <c r="R328" t="n">
        <v>1.5833</v>
      </c>
      <c r="S328" t="n">
        <v>0</v>
      </c>
      <c r="T328" t="n">
        <v>0</v>
      </c>
      <c r="U328" t="n">
        <v>0</v>
      </c>
      <c r="V328" t="n">
        <v>0</v>
      </c>
      <c r="W328" t="n">
        <v>22</v>
      </c>
      <c r="X328" t="n">
        <v>2.5</v>
      </c>
      <c r="Y328" t="n">
        <v>0</v>
      </c>
      <c r="Z328" t="n">
        <v>200</v>
      </c>
      <c r="AA328" t="n">
        <v>30</v>
      </c>
      <c r="AB328" t="n">
        <v>0</v>
      </c>
      <c r="AC328" t="inlineStr">
        <is>
          <t>Air</t>
        </is>
      </c>
      <c r="AD328" t="inlineStr"/>
      <c r="AE328" t="n">
        <v>0.9</v>
      </c>
      <c r="AF328" t="inlineStr">
        <is>
          <t>Small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30</v>
      </c>
      <c r="AO328" t="n">
        <v>0</v>
      </c>
      <c r="AP328" t="inlineStr">
        <is>
          <t>T1</t>
        </is>
      </c>
      <c r="AQ328" t="inlineStr">
        <is>
          <t>twin_30_bmpt</t>
        </is>
      </c>
      <c r="AR328" t="inlineStr"/>
      <c r="AS328" t="inlineStr"/>
      <c r="AT328" t="inlineStr"/>
      <c r="AU328" t="n">
        <v>0</v>
      </c>
      <c r="AV328" t="inlineStr"/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0.15</v>
      </c>
      <c r="BB328" t="n">
        <v>800</v>
      </c>
      <c r="BC328" t="n">
        <v>300</v>
      </c>
      <c r="BD328" t="inlineStr">
        <is>
          <t>ac</t>
        </is>
      </c>
      <c r="BE328" t="inlineStr">
        <is>
          <t>Wikipedia '2A42': 550-800 high, 200-300 low rpm</t>
        </is>
      </c>
      <c r="BG328" t="inlineStr">
        <is>
          <t>giong</t>
        </is>
      </c>
      <c r="DE328" t="n">
        <v>22</v>
      </c>
      <c r="DF328" t="inlineStr">
        <is>
          <t>Fragmentation</t>
        </is>
      </c>
      <c r="DM328" t="inlineStr">
        <is>
          <t>air</t>
        </is>
      </c>
      <c r="DN328" t="inlineStr">
        <is>
          <t>Airburst</t>
        </is>
      </c>
      <c r="DT328" t="inlineStr">
        <is>
          <t>twin_30_bmpt</t>
        </is>
      </c>
      <c r="EB328" t="n">
        <v>2</v>
      </c>
      <c r="EE328" t="b">
        <v>0</v>
      </c>
      <c r="EQ328" t="inlineStr">
        <is>
          <t>2A42 30 mm air-burst (twin)</t>
        </is>
      </c>
      <c r="ES328" t="inlineStr">
        <is>
          <t>flak</t>
        </is>
      </c>
      <c r="EU328" t="inlineStr">
        <is>
          <t>twin_30_bmpt</t>
        </is>
      </c>
      <c r="EY328" t="n">
        <v>2.5</v>
      </c>
      <c r="FW328" t="inlineStr">
        <is>
          <t>Air</t>
        </is>
      </c>
      <c r="GA328" t="inlineStr">
        <is>
          <t>2a42_30_mm_air_burst</t>
        </is>
      </c>
      <c r="GC328" t="inlineStr">
        <is>
          <t>flak</t>
        </is>
      </c>
      <c r="GD328" t="inlineStr">
        <is>
          <t>Assets/MachineBrigade/Resources/Data/balance.json: secondRounds.rounds[62]</t>
        </is>
      </c>
      <c r="GE328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29">
      <c r="A329" t="inlineStr">
        <is>
          <t>twin_30_flak</t>
        </is>
      </c>
      <c r="B329" t="inlineStr">
        <is>
          <t>2A38 30 mm (twin)</t>
        </is>
      </c>
      <c r="C329" t="inlineStr">
        <is>
          <t>cal_30</t>
        </is>
      </c>
      <c r="D329" t="inlineStr">
        <is>
          <t>flak</t>
        </is>
      </c>
      <c r="E329" t="inlineStr">
        <is>
          <t>2a38_30_mm</t>
        </is>
      </c>
      <c r="F329" t="inlineStr">
        <is>
          <t>autocannon</t>
        </is>
      </c>
      <c r="G329" t="n">
        <v>30</v>
      </c>
      <c r="H329" t="inlineStr"/>
      <c r="I329" t="inlineStr"/>
      <c r="J329" t="inlineStr"/>
      <c r="K329" t="inlineStr">
        <is>
          <t>Fragmentation</t>
        </is>
      </c>
      <c r="L329" t="n">
        <v>2</v>
      </c>
      <c r="M329" t="inlineStr">
        <is>
          <t>Bullet</t>
        </is>
      </c>
      <c r="N329" t="n">
        <v>1</v>
      </c>
      <c r="O329" t="inlineStr">
        <is>
          <t>RIPPLE</t>
        </is>
      </c>
      <c r="P329" t="n">
        <v>1</v>
      </c>
      <c r="Q329" t="n">
        <v>0.1</v>
      </c>
      <c r="R329" t="n">
        <v>0.025</v>
      </c>
      <c r="S329" t="n">
        <v>160</v>
      </c>
      <c r="T329" t="n">
        <v>3.025</v>
      </c>
      <c r="U329" t="n">
        <v>0</v>
      </c>
      <c r="V329" t="n">
        <v>0</v>
      </c>
      <c r="W329" t="n">
        <v>7.5</v>
      </c>
      <c r="X329" t="n">
        <v>2.5</v>
      </c>
      <c r="Y329" t="n">
        <v>0</v>
      </c>
      <c r="Z329" t="n">
        <v>280</v>
      </c>
      <c r="AA329" t="n">
        <v>42</v>
      </c>
      <c r="AB329" t="n">
        <v>0</v>
      </c>
      <c r="AC329" t="inlineStr">
        <is>
          <t>All</t>
        </is>
      </c>
      <c r="AD329" t="inlineStr"/>
      <c r="AE329" t="n">
        <v>1.4</v>
      </c>
      <c r="AF329" t="inlineStr">
        <is>
          <t>Small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30</v>
      </c>
      <c r="AO329" t="n">
        <v>0</v>
      </c>
      <c r="AP329" t="inlineStr">
        <is>
          <t>T1</t>
        </is>
      </c>
      <c r="AQ329" t="inlineStr"/>
      <c r="AR329" t="inlineStr">
        <is>
          <t>twin_30_flak_ap</t>
        </is>
      </c>
      <c r="AS329" t="inlineStr">
        <is>
          <t>xe</t>
        </is>
      </c>
      <c r="AT329" t="inlineStr">
        <is>
          <t>heavy_aa</t>
        </is>
      </c>
      <c r="AU329" t="n">
        <v>1</v>
      </c>
      <c r="AV329" t="inlineStr">
        <is>
          <t>heavy_aa:0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0.15</v>
      </c>
      <c r="BB329" t="n">
        <v>2500</v>
      </c>
      <c r="BC329" t="n">
        <v>1000</v>
      </c>
      <c r="BD329" t="inlineStr">
        <is>
          <t>aa</t>
        </is>
      </c>
      <c r="BE329" t="inlineStr">
        <is>
          <t>Wikipedia '2A38': 4,060-5,000 rpm the twin mount</t>
        </is>
      </c>
      <c r="BG329" t="inlineStr">
        <is>
          <t>giong</t>
        </is>
      </c>
      <c r="CT329" t="n">
        <v>30</v>
      </c>
      <c r="CW329" t="n">
        <v>160</v>
      </c>
      <c r="CX329" t="n">
        <v>3.025</v>
      </c>
      <c r="DD329" t="n">
        <v>0.025</v>
      </c>
      <c r="DE329" t="n">
        <v>7.5</v>
      </c>
      <c r="DF329" t="inlineStr">
        <is>
          <t>Fragmentation</t>
        </is>
      </c>
      <c r="DJ329" t="inlineStr">
        <is>
          <t>autocannon</t>
        </is>
      </c>
      <c r="DS329" t="inlineStr">
        <is>
          <t>Small</t>
        </is>
      </c>
      <c r="EB329" t="n">
        <v>2</v>
      </c>
      <c r="EH329" t="inlineStr">
        <is>
          <t>Bullet</t>
        </is>
      </c>
      <c r="EP329" t="n">
        <v>42</v>
      </c>
      <c r="EQ329" t="inlineStr">
        <is>
          <t>2A38 30 mm (twin)</t>
        </is>
      </c>
      <c r="EX329" t="n">
        <v>30</v>
      </c>
      <c r="EZ329" t="n">
        <v>1.4</v>
      </c>
      <c r="FW329" t="inlineStr">
        <is>
          <t>All</t>
        </is>
      </c>
      <c r="GA329" t="inlineStr">
        <is>
          <t>2a38_30_mm</t>
        </is>
      </c>
      <c r="GB329" t="inlineStr">
        <is>
          <t>cal_30</t>
        </is>
      </c>
      <c r="GC329" t="inlineStr">
        <is>
          <t>flak</t>
        </is>
      </c>
      <c r="GD329" t="inlineStr">
        <is>
          <t>Assets/MachineBrigade/Resources/Data/balance.json: weapons[44]</t>
        </is>
      </c>
      <c r="GE329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30">
      <c r="A330" t="inlineStr">
        <is>
          <t>twin_30_flak_ap</t>
        </is>
      </c>
      <c r="B330" t="inlineStr">
        <is>
          <t>2A38 30 mm AP (twin)</t>
        </is>
      </c>
      <c r="C330" t="inlineStr">
        <is>
          <t>cal_30</t>
        </is>
      </c>
      <c r="D330" t="inlineStr"/>
      <c r="E330" t="inlineStr">
        <is>
          <t>2a38_30_mm_ap</t>
        </is>
      </c>
      <c r="F330" t="inlineStr">
        <is>
          <t>autocannon</t>
        </is>
      </c>
      <c r="G330" t="n">
        <v>30</v>
      </c>
      <c r="H330" t="inlineStr"/>
      <c r="I330" t="inlineStr"/>
      <c r="J330" t="inlineStr"/>
      <c r="K330" t="inlineStr">
        <is>
          <t>Kinetic</t>
        </is>
      </c>
      <c r="L330" t="n">
        <v>2</v>
      </c>
      <c r="M330" t="inlineStr">
        <is>
          <t>Bullet</t>
        </is>
      </c>
      <c r="N330" t="n">
        <v>1</v>
      </c>
      <c r="O330" t="inlineStr">
        <is>
          <t>RIPPLE</t>
        </is>
      </c>
      <c r="P330" t="n">
        <v>1</v>
      </c>
      <c r="Q330" t="n">
        <v>0.1</v>
      </c>
      <c r="R330" t="n">
        <v>0.025</v>
      </c>
      <c r="S330" t="n">
        <v>160</v>
      </c>
      <c r="T330" t="n">
        <v>3.025</v>
      </c>
      <c r="U330" t="n">
        <v>0</v>
      </c>
      <c r="V330" t="n">
        <v>0</v>
      </c>
      <c r="W330" t="n">
        <v>7.5</v>
      </c>
      <c r="X330" t="n">
        <v>0</v>
      </c>
      <c r="Y330" t="n">
        <v>0</v>
      </c>
      <c r="Z330" t="n">
        <v>280</v>
      </c>
      <c r="AA330" t="n">
        <v>42</v>
      </c>
      <c r="AB330" t="n">
        <v>0</v>
      </c>
      <c r="AC330" t="inlineStr">
        <is>
          <t>Ground</t>
        </is>
      </c>
      <c r="AD330" t="inlineStr"/>
      <c r="AE330" t="n">
        <v>1.4</v>
      </c>
      <c r="AF330" t="inlineStr">
        <is>
          <t>Small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30</v>
      </c>
      <c r="AO330" t="n">
        <v>0</v>
      </c>
      <c r="AP330" t="inlineStr">
        <is>
          <t>T1</t>
        </is>
      </c>
      <c r="AQ330" t="inlineStr">
        <is>
          <t>twin_30_flak</t>
        </is>
      </c>
      <c r="AR330" t="inlineStr"/>
      <c r="AS330" t="inlineStr"/>
      <c r="AT330" t="inlineStr"/>
      <c r="AU330" t="n">
        <v>0</v>
      </c>
      <c r="AV330" t="inlineStr"/>
      <c r="AW330" t="n">
        <v>0</v>
      </c>
      <c r="AX330" t="b">
        <v>0</v>
      </c>
      <c r="AY330" t="inlineStr"/>
      <c r="AZ330">
        <f>IF(AND($AX$330,$AW$330&gt;$AA$330/$Z$330),$AW$330,$AA$330/$Z$330)</f>
        <v/>
      </c>
      <c r="BA330" t="n">
        <v>0.15</v>
      </c>
      <c r="BB330" t="n">
        <v>2500</v>
      </c>
      <c r="BC330" t="n">
        <v>1000</v>
      </c>
      <c r="BD330" t="inlineStr">
        <is>
          <t>aa</t>
        </is>
      </c>
      <c r="BE330" t="inlineStr">
        <is>
          <t>Wikipedia '2A38': 4,060-5,000 rpm the twin mount</t>
        </is>
      </c>
      <c r="BG330" t="inlineStr">
        <is>
          <t>giong</t>
        </is>
      </c>
      <c r="CQ330" t="inlineStr"/>
      <c r="DE330" t="n">
        <v>7.5</v>
      </c>
      <c r="DF330" t="inlineStr">
        <is>
          <t>Kinetic</t>
        </is>
      </c>
      <c r="DM330" t="inlineStr">
        <is>
          <t>ground</t>
        </is>
      </c>
      <c r="DN330" t="inlineStr">
        <is>
          <t>BeltedAutocannon</t>
        </is>
      </c>
      <c r="DT330" t="inlineStr">
        <is>
          <t>twin_30_flak</t>
        </is>
      </c>
      <c r="EB330" t="n">
        <v>2</v>
      </c>
      <c r="EE330" t="b">
        <v>1</v>
      </c>
      <c r="EQ330" t="inlineStr">
        <is>
          <t>2A38 30 mm AP (twin)</t>
        </is>
      </c>
      <c r="ES330" t="inlineStr">
        <is>
          <t>ap</t>
        </is>
      </c>
      <c r="EU330" t="inlineStr">
        <is>
          <t>twin_30_flak</t>
        </is>
      </c>
      <c r="EY330" t="n">
        <v>0</v>
      </c>
      <c r="FW330" t="inlineStr">
        <is>
          <t>Ground</t>
        </is>
      </c>
      <c r="GA330" t="inlineStr">
        <is>
          <t>2a38_30_mm_ap</t>
        </is>
      </c>
      <c r="GC330" t="inlineStr"/>
      <c r="GD330" t="inlineStr">
        <is>
          <t>Assets/MachineBrigade/Resources/Data/balance.json: secondRounds.rounds[63]</t>
        </is>
      </c>
      <c r="GE330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31">
      <c r="A331" t="inlineStr">
        <is>
          <t>twin_35_ahead</t>
        </is>
      </c>
      <c r="B331" t="inlineStr">
        <is>
          <t>Skyranger 35 mm AHEAD</t>
        </is>
      </c>
      <c r="C331" t="inlineStr">
        <is>
          <t>cal_35</t>
        </is>
      </c>
      <c r="D331" t="inlineStr"/>
      <c r="E331" t="inlineStr"/>
      <c r="F331" t="inlineStr">
        <is>
          <t>autocannon</t>
        </is>
      </c>
      <c r="G331" t="n">
        <v>35</v>
      </c>
      <c r="H331" t="inlineStr"/>
      <c r="I331" t="inlineStr"/>
      <c r="J331" t="inlineStr"/>
      <c r="K331" t="inlineStr">
        <is>
          <t>Fragmentation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0.2137</v>
      </c>
      <c r="S331" t="n">
        <v>24</v>
      </c>
      <c r="T331" t="n">
        <v>1.2137</v>
      </c>
      <c r="U331" t="n">
        <v>0</v>
      </c>
      <c r="V331" t="n">
        <v>0</v>
      </c>
      <c r="W331" t="n">
        <v>26</v>
      </c>
      <c r="X331" t="n">
        <v>4</v>
      </c>
      <c r="Y331" t="n">
        <v>0</v>
      </c>
      <c r="Z331" t="n">
        <v>300</v>
      </c>
      <c r="AA331" t="n">
        <v>46</v>
      </c>
      <c r="AB331" t="n">
        <v>0</v>
      </c>
      <c r="AC331" t="inlineStr">
        <is>
          <t>All</t>
        </is>
      </c>
      <c r="AD331" t="inlineStr"/>
      <c r="AE331" t="n">
        <v>1.2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35</v>
      </c>
      <c r="AO331" t="n">
        <v>0</v>
      </c>
      <c r="AP331" t="inlineStr">
        <is>
          <t>T1</t>
        </is>
      </c>
      <c r="AQ331" t="inlineStr"/>
      <c r="AR331" t="inlineStr">
        <is>
          <t>twin_35_ahead_ap</t>
        </is>
      </c>
      <c r="AS331" t="inlineStr">
        <is>
          <t>xe</t>
        </is>
      </c>
      <c r="AT331" t="inlineStr">
        <is>
          <t>elite_aa</t>
        </is>
      </c>
      <c r="AU331" t="n">
        <v>1</v>
      </c>
      <c r="AV331" t="inlineStr">
        <is>
          <t>elite_aa:0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0.1533333333333333</v>
      </c>
      <c r="BB331" t="n">
        <v>1000</v>
      </c>
      <c r="BC331" t="n">
        <v>400</v>
      </c>
      <c r="BD331" t="inlineStr">
        <is>
          <t>aa</t>
        </is>
      </c>
      <c r="BE331" t="inlineStr">
        <is>
          <t>Rheinmetall Skyranger 30/35: 1,000 rpm, 20-24-round AHEAD bursts</t>
        </is>
      </c>
      <c r="BG331" t="inlineStr">
        <is>
          <t>giong</t>
        </is>
      </c>
      <c r="CT331" t="n">
        <v>35</v>
      </c>
      <c r="CW331" t="n">
        <v>24</v>
      </c>
      <c r="CX331" t="n">
        <v>1.2137</v>
      </c>
      <c r="DD331" t="n">
        <v>0.2137</v>
      </c>
      <c r="DE331" t="n">
        <v>26</v>
      </c>
      <c r="DF331" t="inlineStr">
        <is>
          <t>Fragmentation</t>
        </is>
      </c>
      <c r="DJ331" t="inlineStr">
        <is>
          <t>autocannon</t>
        </is>
      </c>
      <c r="DS331" t="inlineStr">
        <is>
          <t>Small</t>
        </is>
      </c>
      <c r="EB331" t="n">
        <v>2</v>
      </c>
      <c r="EH331" t="inlineStr">
        <is>
          <t>Bullet</t>
        </is>
      </c>
      <c r="EK331" t="n">
        <v>300</v>
      </c>
      <c r="EP331" t="n">
        <v>46</v>
      </c>
      <c r="EQ331" t="inlineStr">
        <is>
          <t>Skyranger 35 mm AHEAD</t>
        </is>
      </c>
      <c r="EX331" t="n">
        <v>35</v>
      </c>
      <c r="EY331" t="n">
        <v>4</v>
      </c>
      <c r="EZ331" t="n">
        <v>1.2</v>
      </c>
      <c r="FW331" t="inlineStr">
        <is>
          <t>All</t>
        </is>
      </c>
      <c r="GB331" t="inlineStr">
        <is>
          <t>cal_35</t>
        </is>
      </c>
      <c r="GD331" t="inlineStr">
        <is>
          <t>Assets/MachineBrigade/Resources/Data/balance.json: weapons[95]</t>
        </is>
      </c>
      <c r="GE331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32">
      <c r="A332" t="inlineStr">
        <is>
          <t>twin_35_ahead_ap</t>
        </is>
      </c>
      <c r="B332" t="inlineStr">
        <is>
          <t>Skyranger 35 mm AHEAD AP</t>
        </is>
      </c>
      <c r="C332" t="inlineStr">
        <is>
          <t>cal_35</t>
        </is>
      </c>
      <c r="D332" t="inlineStr">
        <is>
          <t>ap</t>
        </is>
      </c>
      <c r="E332" t="inlineStr"/>
      <c r="F332" t="inlineStr">
        <is>
          <t>autocannon</t>
        </is>
      </c>
      <c r="G332" t="n">
        <v>35</v>
      </c>
      <c r="H332" t="inlineStr"/>
      <c r="I332" t="inlineStr"/>
      <c r="J332" t="inlineStr"/>
      <c r="K332" t="inlineStr">
        <is>
          <t>Kinetic</t>
        </is>
      </c>
      <c r="L332" t="n">
        <v>2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0.2137</v>
      </c>
      <c r="S332" t="n">
        <v>24</v>
      </c>
      <c r="T332" t="n">
        <v>1.2137</v>
      </c>
      <c r="U332" t="n">
        <v>0</v>
      </c>
      <c r="V332" t="n">
        <v>0</v>
      </c>
      <c r="W332" t="n">
        <v>26</v>
      </c>
      <c r="X332" t="n">
        <v>0</v>
      </c>
      <c r="Y332" t="n">
        <v>0</v>
      </c>
      <c r="Z332" t="n">
        <v>300</v>
      </c>
      <c r="AA332" t="n">
        <v>46</v>
      </c>
      <c r="AB332" t="n">
        <v>0</v>
      </c>
      <c r="AC332" t="inlineStr">
        <is>
          <t>Ground</t>
        </is>
      </c>
      <c r="AD332" t="inlineStr"/>
      <c r="AE332" t="n">
        <v>1.2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35</v>
      </c>
      <c r="AO332" t="n">
        <v>0</v>
      </c>
      <c r="AP332" t="inlineStr">
        <is>
          <t>T1</t>
        </is>
      </c>
      <c r="AQ332" t="inlineStr">
        <is>
          <t>twin_35_ahead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0.1533333333333333</v>
      </c>
      <c r="BB332" t="n">
        <v>1000</v>
      </c>
      <c r="BC332" t="n">
        <v>400</v>
      </c>
      <c r="BD332" t="inlineStr">
        <is>
          <t>aa</t>
        </is>
      </c>
      <c r="BE332" t="inlineStr">
        <is>
          <t>Rheinmetall Skyranger 30/35: 1,000 rpm, 20-24-round AHEAD bursts</t>
        </is>
      </c>
      <c r="BG332" t="inlineStr">
        <is>
          <t>giong</t>
        </is>
      </c>
      <c r="CQ332" t="inlineStr"/>
      <c r="DE332" t="n">
        <v>26</v>
      </c>
      <c r="DF332" t="inlineStr">
        <is>
          <t>Kinetic</t>
        </is>
      </c>
      <c r="DM332" t="inlineStr">
        <is>
          <t>ground</t>
        </is>
      </c>
      <c r="DN332" t="inlineStr">
        <is>
          <t>BeltedAutocannon</t>
        </is>
      </c>
      <c r="DT332" t="inlineStr">
        <is>
          <t>twin_35_ahead</t>
        </is>
      </c>
      <c r="EB332" t="n">
        <v>2</v>
      </c>
      <c r="EE332" t="b">
        <v>1</v>
      </c>
      <c r="EQ332" t="inlineStr">
        <is>
          <t>Skyranger 35 mm AHEAD AP</t>
        </is>
      </c>
      <c r="ES332" t="inlineStr">
        <is>
          <t>ap</t>
        </is>
      </c>
      <c r="EU332" t="inlineStr">
        <is>
          <t>twin_35_ahead</t>
        </is>
      </c>
      <c r="EY332" t="n">
        <v>0</v>
      </c>
      <c r="FW332" t="inlineStr">
        <is>
          <t>Ground</t>
        </is>
      </c>
      <c r="GA332" t="inlineStr"/>
      <c r="GC332" t="inlineStr">
        <is>
          <t>ap</t>
        </is>
      </c>
      <c r="GD332" t="inlineStr">
        <is>
          <t>Assets/MachineBrigade/Resources/Data/balance.json: secondRounds.rounds[64]</t>
        </is>
      </c>
      <c r="GE332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33">
      <c r="A333" t="inlineStr">
        <is>
          <t>vikhr</t>
        </is>
      </c>
      <c r="B333" t="inlineStr">
        <is>
          <t>9K121 Vikhr</t>
        </is>
      </c>
      <c r="C333" t="inlineStr">
        <is>
          <t>atgm_9k121_vikhr</t>
        </is>
      </c>
      <c r="D333" t="inlineStr"/>
      <c r="E333" t="inlineStr"/>
      <c r="F333" t="inlineStr">
        <is>
          <t>atgm</t>
        </is>
      </c>
      <c r="G333" t="inlineStr"/>
      <c r="H333" t="n">
        <v>8</v>
      </c>
      <c r="I333" t="inlineStr"/>
      <c r="J333" t="inlineStr"/>
      <c r="K333" t="inlineStr">
        <is>
          <t>ShapedCharge</t>
        </is>
      </c>
      <c r="L333" t="n">
        <v>4</v>
      </c>
      <c r="M333" t="inlineStr">
        <is>
          <t>Missile</t>
        </is>
      </c>
      <c r="N333" t="n">
        <v>1</v>
      </c>
      <c r="O333" t="inlineStr">
        <is>
          <t>RIPPLE</t>
        </is>
      </c>
      <c r="P333" t="n">
        <v>2</v>
      </c>
      <c r="Q333" t="n">
        <v>0.45</v>
      </c>
      <c r="R333" t="n">
        <v>7.1</v>
      </c>
      <c r="S333" t="n">
        <v>0</v>
      </c>
      <c r="T333" t="n">
        <v>0</v>
      </c>
      <c r="U333" t="n">
        <v>0</v>
      </c>
      <c r="V333" t="n">
        <v>0</v>
      </c>
      <c r="W333" t="n">
        <v>250</v>
      </c>
      <c r="X333" t="n">
        <v>0</v>
      </c>
      <c r="Y333" t="n">
        <v>0</v>
      </c>
      <c r="Z333" t="n">
        <v>120</v>
      </c>
      <c r="AA333" t="n">
        <v>55</v>
      </c>
      <c r="AB333" t="n">
        <v>0</v>
      </c>
      <c r="AC333" t="inlineStr">
        <is>
          <t>Ground</t>
        </is>
      </c>
      <c r="AD333" t="inlineStr"/>
      <c r="AE333" t="n">
        <v>0</v>
      </c>
      <c r="AF333" t="inlineStr">
        <is>
          <t>Medium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45</v>
      </c>
      <c r="AO333" t="n">
        <v>8</v>
      </c>
      <c r="AP333" t="inlineStr">
        <is>
          <t>T2</t>
        </is>
      </c>
      <c r="AQ333" t="inlineStr"/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0.4583333333333333</v>
      </c>
      <c r="BB333" t="n">
        <v>4</v>
      </c>
      <c r="BC333" t="n">
        <v>3</v>
      </c>
      <c r="BD333" t="inlineStr">
        <is>
          <t>atgm</t>
        </is>
      </c>
      <c r="BE333" t="inlineStr">
        <is>
          <t>Shturm / Ataka / Khrizantema launchers: est. 3-4 rpm a rail</t>
        </is>
      </c>
      <c r="BG333" t="inlineStr">
        <is>
          <t>doi</t>
        </is>
      </c>
      <c r="BR333" t="n">
        <v>24</v>
      </c>
      <c r="BS333" t="n">
        <v>120</v>
      </c>
      <c r="CR333" t="n">
        <v>2</v>
      </c>
      <c r="CS333" t="n">
        <v>0.45</v>
      </c>
      <c r="DD333" t="n">
        <v>7.1</v>
      </c>
      <c r="DE333" t="n">
        <v>250</v>
      </c>
      <c r="DF333" t="inlineStr">
        <is>
          <t>ShapedCharge</t>
        </is>
      </c>
      <c r="DJ333" t="inlineStr">
        <is>
          <t>atgm</t>
        </is>
      </c>
      <c r="DS333" t="inlineStr">
        <is>
          <t>Medium</t>
        </is>
      </c>
      <c r="DW333" t="n">
        <v>8</v>
      </c>
      <c r="EB333" t="n">
        <v>4</v>
      </c>
      <c r="EE333" t="b">
        <v>1</v>
      </c>
      <c r="EH333" t="inlineStr">
        <is>
          <t>Missile</t>
        </is>
      </c>
      <c r="EI333" t="inlineStr">
        <is>
          <t>atgm_ataka</t>
        </is>
      </c>
      <c r="EJ333" t="n">
        <v>0.72</v>
      </c>
      <c r="EK333" t="n">
        <v>120</v>
      </c>
      <c r="EP333" t="n">
        <v>55</v>
      </c>
      <c r="EQ333" t="inlineStr">
        <is>
          <t>9K121 Vikhr</t>
        </is>
      </c>
      <c r="EX333" t="n">
        <v>45</v>
      </c>
      <c r="FW333" t="inlineStr">
        <is>
          <t>Ground</t>
        </is>
      </c>
      <c r="FZ333" t="n">
        <v>8</v>
      </c>
      <c r="GB333" t="inlineStr">
        <is>
          <t>atgm_9k121_vikhr</t>
        </is>
      </c>
      <c r="GD333" t="inlineStr">
        <is>
          <t>Assets/MachineBrigade/Resources/Data/balance.json: weapons[79]</t>
        </is>
      </c>
      <c r="GE333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34">
      <c r="A334" t="inlineStr">
        <is>
          <t>wvr_aam</t>
        </is>
      </c>
      <c r="B334" t="inlineStr">
        <is>
          <t>AIM-9X Sidewinder</t>
        </is>
      </c>
      <c r="C334" t="inlineStr">
        <is>
          <t>sam_aim_9x_sidewinder</t>
        </is>
      </c>
      <c r="D334" t="inlineStr"/>
      <c r="E334" t="inlineStr">
        <is>
          <t>aim_9_sidewinder</t>
        </is>
      </c>
      <c r="F334" t="inlineStr">
        <is>
          <t>aa_missile</t>
        </is>
      </c>
      <c r="G334" t="inlineStr"/>
      <c r="H334" t="n">
        <v>9.4</v>
      </c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Missile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2.12</v>
      </c>
      <c r="S334" t="n">
        <v>0</v>
      </c>
      <c r="T334" t="n">
        <v>0</v>
      </c>
      <c r="U334" t="n">
        <v>0</v>
      </c>
      <c r="V334" t="n">
        <v>0</v>
      </c>
      <c r="W334" t="n">
        <v>231</v>
      </c>
      <c r="X334" t="n">
        <v>1.5</v>
      </c>
      <c r="Y334" t="n">
        <v>0</v>
      </c>
      <c r="Z334" t="n">
        <v>210</v>
      </c>
      <c r="AA334" t="n">
        <v>30</v>
      </c>
      <c r="AB334" t="n">
        <v>0</v>
      </c>
      <c r="AC334" t="inlineStr">
        <is>
          <t>Air</t>
        </is>
      </c>
      <c r="AD334" t="inlineStr">
        <is>
          <t>high</t>
        </is>
      </c>
      <c r="AE334" t="n">
        <v>0</v>
      </c>
      <c r="AF334" t="inlineStr">
        <is>
          <t>Medium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9.4</v>
      </c>
      <c r="AO334" t="n">
        <v>2</v>
      </c>
      <c r="AP334" t="inlineStr">
        <is>
          <t>T2</t>
        </is>
      </c>
      <c r="AQ334" t="inlineStr"/>
      <c r="AR334" t="inlineStr"/>
      <c r="AS334" t="inlineStr">
        <is>
          <t>xe</t>
        </is>
      </c>
      <c r="AT334" t="inlineStr">
        <is>
          <t>fighter_jet</t>
        </is>
      </c>
      <c r="AU334" t="n">
        <v>1</v>
      </c>
      <c r="AV334" t="inlineStr">
        <is>
          <t>fighter_jet:1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0.1428571428571428</v>
      </c>
      <c r="BB334" t="n">
        <v>60</v>
      </c>
      <c r="BC334" t="inlineStr"/>
      <c r="BD334" t="inlineStr">
        <is>
          <t>missile</t>
        </is>
      </c>
      <c r="BE334" t="inlineStr">
        <is>
          <t>air-to-air: ~1 s between launches (est.)</t>
        </is>
      </c>
      <c r="BG334" t="inlineStr">
        <is>
          <t>doi</t>
        </is>
      </c>
      <c r="BR334" t="n">
        <v>55</v>
      </c>
      <c r="BS334" t="n">
        <v>210</v>
      </c>
      <c r="CU334" t="inlineStr">
        <is>
          <t>high</t>
        </is>
      </c>
      <c r="DD334" t="n">
        <v>2.12</v>
      </c>
      <c r="DE334" t="n">
        <v>231</v>
      </c>
      <c r="DF334" t="inlineStr">
        <is>
          <t>Fragmentation</t>
        </is>
      </c>
      <c r="DJ334" t="inlineStr">
        <is>
          <t>aa_missile</t>
        </is>
      </c>
      <c r="DS334" t="inlineStr">
        <is>
          <t>Medium</t>
        </is>
      </c>
      <c r="DW334" t="n">
        <v>2</v>
      </c>
      <c r="EB334" t="n">
        <v>2</v>
      </c>
      <c r="EH334" t="inlineStr">
        <is>
          <t>Missile</t>
        </is>
      </c>
      <c r="EJ334" t="n">
        <v>0.8</v>
      </c>
      <c r="EP334" t="n">
        <v>30</v>
      </c>
      <c r="EQ334" t="inlineStr">
        <is>
          <t>AIM-9X Sidewinder</t>
        </is>
      </c>
      <c r="EX334" t="n">
        <v>9.4</v>
      </c>
      <c r="FW334" t="inlineStr">
        <is>
          <t>Air</t>
        </is>
      </c>
      <c r="FZ334" t="n">
        <v>9.4</v>
      </c>
      <c r="GA334" t="inlineStr">
        <is>
          <t>aim_9_sidewinder</t>
        </is>
      </c>
      <c r="GB334" t="inlineStr">
        <is>
          <t>sam_aim_9x_sidewinder</t>
        </is>
      </c>
      <c r="GD334" t="inlineStr">
        <is>
          <t>Assets/MachineBrigade/Resources/Data/balance.json: weapons[63]</t>
        </is>
      </c>
      <c r="GE334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35">
      <c r="A335" t="inlineStr">
        <is>
          <t>zu23</t>
        </is>
      </c>
      <c r="B335" t="inlineStr">
        <is>
          <t>ZU-23-2 23 mm</t>
        </is>
      </c>
      <c r="C335" t="inlineStr">
        <is>
          <t>cal_23</t>
        </is>
      </c>
      <c r="D335" t="inlineStr"/>
      <c r="E335" t="inlineStr"/>
      <c r="F335" t="inlineStr">
        <is>
          <t>autocannon</t>
        </is>
      </c>
      <c r="G335" t="n">
        <v>23</v>
      </c>
      <c r="H335" t="inlineStr"/>
      <c r="I335" t="inlineStr"/>
      <c r="J335" t="inlineStr"/>
      <c r="K335" t="inlineStr">
        <is>
          <t>Fragmentation</t>
        </is>
      </c>
      <c r="L335" t="n">
        <v>1</v>
      </c>
      <c r="M335" t="inlineStr">
        <is>
          <t>Bullet</t>
        </is>
      </c>
      <c r="N335" t="n">
        <v>2</v>
      </c>
      <c r="O335" t="inlineStr">
        <is>
          <t>RIPPLE</t>
        </is>
      </c>
      <c r="P335" t="n">
        <v>1</v>
      </c>
      <c r="Q335" t="n">
        <v>0.1</v>
      </c>
      <c r="R335" t="n">
        <v>0.02</v>
      </c>
      <c r="S335" t="n">
        <v>100</v>
      </c>
      <c r="T335" t="n">
        <v>3.02</v>
      </c>
      <c r="U335" t="n">
        <v>0</v>
      </c>
      <c r="V335" t="n">
        <v>0</v>
      </c>
      <c r="W335" t="n">
        <v>3.5</v>
      </c>
      <c r="X335" t="n">
        <v>0</v>
      </c>
      <c r="Y335" t="n">
        <v>0</v>
      </c>
      <c r="Z335" t="n">
        <v>240</v>
      </c>
      <c r="AA335" t="n">
        <v>38</v>
      </c>
      <c r="AB335" t="n">
        <v>0</v>
      </c>
      <c r="AC335" t="inlineStr">
        <is>
          <t>All</t>
        </is>
      </c>
      <c r="AD335" t="inlineStr"/>
      <c r="AE335" t="n">
        <v>1.6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23</v>
      </c>
      <c r="AO335" t="n">
        <v>0</v>
      </c>
      <c r="AP335" t="inlineStr">
        <is>
          <t>T1</t>
        </is>
      </c>
      <c r="AQ335" t="inlineStr"/>
      <c r="AR335" t="inlineStr">
        <is>
          <t>zu23_ap</t>
        </is>
      </c>
      <c r="AS335" t="inlineStr">
        <is>
          <t>boss_part;xe</t>
        </is>
      </c>
      <c r="AT335" t="inlineStr">
        <is>
          <t>zu23;zu23_technical</t>
        </is>
      </c>
      <c r="AU335" t="n">
        <v>2</v>
      </c>
      <c r="AV335" t="inlineStr">
        <is>
          <t>zu23:part;zu23_technical:0</t>
        </is>
      </c>
      <c r="AW335" t="n">
        <v>0</v>
      </c>
      <c r="AX335" t="b">
        <v>0</v>
      </c>
      <c r="AY335" t="inlineStr">
        <is>
          <t>KHONG_AP_DUNG</t>
        </is>
      </c>
      <c r="AZ335">
        <f>IF(AND($AX$335,$AW$335&gt;$AA$335/$Z$335),$AW$335,$AA$335/$Z$335)</f>
        <v/>
      </c>
      <c r="BA335" t="n">
        <v>0.1583333333333333</v>
      </c>
      <c r="BB335" t="n">
        <v>1000</v>
      </c>
      <c r="BC335" t="n">
        <v>400</v>
      </c>
      <c r="BD335" t="inlineStr">
        <is>
          <t>aa</t>
        </is>
      </c>
      <c r="BE335" t="inlineStr">
        <is>
          <t>Wikipedia 'ZU-23-2': 2 x 800-1,000 rpm</t>
        </is>
      </c>
      <c r="BG335" t="inlineStr">
        <is>
          <t>doi</t>
        </is>
      </c>
      <c r="BH335" t="n">
        <v>7</v>
      </c>
      <c r="BI335" t="n">
        <v>3.5</v>
      </c>
      <c r="BJ335" t="n">
        <v>0.04</v>
      </c>
      <c r="BK335" t="n">
        <v>0.02</v>
      </c>
      <c r="BX335" t="n">
        <v>1</v>
      </c>
      <c r="BY335" t="n">
        <v>2</v>
      </c>
      <c r="CF335" t="n">
        <v>50</v>
      </c>
      <c r="CG335" t="n">
        <v>100</v>
      </c>
      <c r="CH335" t="n">
        <v>3.04</v>
      </c>
      <c r="CI335" t="n">
        <v>3.02</v>
      </c>
      <c r="CO335" t="n">
        <v>2</v>
      </c>
      <c r="CT335" t="n">
        <v>23</v>
      </c>
      <c r="CW335" t="n">
        <v>100</v>
      </c>
      <c r="CX335" t="n">
        <v>3.02</v>
      </c>
      <c r="DD335" t="n">
        <v>0.02</v>
      </c>
      <c r="DE335" t="n">
        <v>3.5</v>
      </c>
      <c r="DF335" t="inlineStr">
        <is>
          <t>Fragmentation</t>
        </is>
      </c>
      <c r="DJ335" t="inlineStr">
        <is>
          <t>autocannon</t>
        </is>
      </c>
      <c r="DS335" t="inlineStr">
        <is>
          <t>Small</t>
        </is>
      </c>
      <c r="EB335" t="n">
        <v>1</v>
      </c>
      <c r="EH335" t="inlineStr">
        <is>
          <t>Bullet</t>
        </is>
      </c>
      <c r="EK335" t="n">
        <v>240</v>
      </c>
      <c r="EP335" t="n">
        <v>38</v>
      </c>
      <c r="EQ335" t="inlineStr">
        <is>
          <t>ZU-23-2 23 mm</t>
        </is>
      </c>
      <c r="EX335" t="n">
        <v>23</v>
      </c>
      <c r="EZ335" t="n">
        <v>1.6</v>
      </c>
      <c r="FW335" t="inlineStr">
        <is>
          <t>All</t>
        </is>
      </c>
      <c r="GB335" t="inlineStr">
        <is>
          <t>cal_23</t>
        </is>
      </c>
      <c r="GD335" t="inlineStr">
        <is>
          <t>Assets/MachineBrigade/Resources/Data/balance.json: weapons[73]</t>
        </is>
      </c>
      <c r="GE335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36">
      <c r="A336" t="inlineStr">
        <is>
          <t>zu23_ap</t>
        </is>
      </c>
      <c r="B336" t="inlineStr">
        <is>
          <t>ZU-23-2 23 mm AP</t>
        </is>
      </c>
      <c r="C336" t="inlineStr">
        <is>
          <t>cal_23</t>
        </is>
      </c>
      <c r="D336" t="inlineStr"/>
      <c r="E336" t="inlineStr"/>
      <c r="F336" t="inlineStr">
        <is>
          <t>autocannon</t>
        </is>
      </c>
      <c r="G336" t="n">
        <v>23</v>
      </c>
      <c r="H336" t="inlineStr"/>
      <c r="I336" t="inlineStr"/>
      <c r="J336" t="inlineStr"/>
      <c r="K336" t="inlineStr">
        <is>
          <t>Kinetic</t>
        </is>
      </c>
      <c r="L336" t="n">
        <v>2</v>
      </c>
      <c r="M336" t="inlineStr">
        <is>
          <t>Bullet</t>
        </is>
      </c>
      <c r="N336" t="n">
        <v>2</v>
      </c>
      <c r="O336" t="inlineStr">
        <is>
          <t>RIPPLE</t>
        </is>
      </c>
      <c r="P336" t="n">
        <v>1</v>
      </c>
      <c r="Q336" t="n">
        <v>0.1</v>
      </c>
      <c r="R336" t="n">
        <v>0.02</v>
      </c>
      <c r="S336" t="n">
        <v>100</v>
      </c>
      <c r="T336" t="n">
        <v>3.02</v>
      </c>
      <c r="U336" t="n">
        <v>0</v>
      </c>
      <c r="V336" t="n">
        <v>0</v>
      </c>
      <c r="W336" t="n">
        <v>3.5</v>
      </c>
      <c r="X336" t="n">
        <v>0</v>
      </c>
      <c r="Y336" t="n">
        <v>0</v>
      </c>
      <c r="Z336" t="n">
        <v>240</v>
      </c>
      <c r="AA336" t="n">
        <v>38</v>
      </c>
      <c r="AB336" t="n">
        <v>0</v>
      </c>
      <c r="AC336" t="inlineStr">
        <is>
          <t>Ground</t>
        </is>
      </c>
      <c r="AD336" t="inlineStr"/>
      <c r="AE336" t="n">
        <v>1.6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23</v>
      </c>
      <c r="AO336" t="n">
        <v>0</v>
      </c>
      <c r="AP336" t="inlineStr">
        <is>
          <t>T1</t>
        </is>
      </c>
      <c r="AQ336" t="inlineStr">
        <is>
          <t>zu23</t>
        </is>
      </c>
      <c r="AR336" t="inlineStr"/>
      <c r="AS336" t="inlineStr"/>
      <c r="AT336" t="inlineStr"/>
      <c r="AU336" t="n">
        <v>0</v>
      </c>
      <c r="AV336" t="inlineStr"/>
      <c r="AW336" t="n">
        <v>0</v>
      </c>
      <c r="AX336" t="b">
        <v>0</v>
      </c>
      <c r="AY336" t="inlineStr">
        <is>
          <t>KHONG_AP_DUNG</t>
        </is>
      </c>
      <c r="AZ336">
        <f>IF(AND($AX$336,$AW$336&gt;$AA$336/$Z$336),$AW$336,$AA$336/$Z$336)</f>
        <v/>
      </c>
      <c r="BA336" t="n">
        <v>0.1583333333333333</v>
      </c>
      <c r="BB336" t="n">
        <v>1000</v>
      </c>
      <c r="BC336" t="n">
        <v>400</v>
      </c>
      <c r="BD336" t="inlineStr">
        <is>
          <t>aa</t>
        </is>
      </c>
      <c r="BE336" t="inlineStr">
        <is>
          <t>Wikipedia 'ZU-23-2': 2 x 800-1,000 rpm</t>
        </is>
      </c>
      <c r="BG336" t="inlineStr">
        <is>
          <t>doi</t>
        </is>
      </c>
      <c r="BH336" t="n">
        <v>7</v>
      </c>
      <c r="BI336" t="n">
        <v>3.5</v>
      </c>
      <c r="BJ336" t="n">
        <v>0.04</v>
      </c>
      <c r="BK336" t="n">
        <v>0.02</v>
      </c>
      <c r="BX336" t="n">
        <v>1</v>
      </c>
      <c r="BY336" t="n">
        <v>2</v>
      </c>
      <c r="CF336" t="n">
        <v>50</v>
      </c>
      <c r="CG336" t="n">
        <v>100</v>
      </c>
      <c r="CH336" t="n">
        <v>3.04</v>
      </c>
      <c r="CI336" t="n">
        <v>3.02</v>
      </c>
      <c r="DE336" t="n">
        <v>3.5</v>
      </c>
      <c r="DF336" t="inlineStr">
        <is>
          <t>Kinetic</t>
        </is>
      </c>
      <c r="DM336" t="inlineStr">
        <is>
          <t>ground</t>
        </is>
      </c>
      <c r="DN336" t="inlineStr">
        <is>
          <t>BeltedAutocannon</t>
        </is>
      </c>
      <c r="DT336" t="inlineStr">
        <is>
          <t>zu23</t>
        </is>
      </c>
      <c r="EB336" t="n">
        <v>2</v>
      </c>
      <c r="EE336" t="b">
        <v>1</v>
      </c>
      <c r="EQ336" t="inlineStr">
        <is>
          <t>ZU-23-2 23 mm AP</t>
        </is>
      </c>
      <c r="ES336" t="inlineStr">
        <is>
          <t>ap</t>
        </is>
      </c>
      <c r="EU336" t="inlineStr">
        <is>
          <t>zu23</t>
        </is>
      </c>
      <c r="EY336" t="n">
        <v>0</v>
      </c>
      <c r="FW336" t="inlineStr">
        <is>
          <t>Ground</t>
        </is>
      </c>
      <c r="GA336" t="inlineStr"/>
      <c r="GD336" t="inlineStr">
        <is>
          <t>Assets/MachineBrigade/Resources/Data/balance.json: secondRounds.rounds[65]</t>
        </is>
      </c>
      <c r="GE336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weapons[226].bonuses[0]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weapons[117].bonuses[0]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weapons[117].bonuses[1]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weapons[245].bonuses[0]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weapons[120].bonuses[0]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weapons[120].bonuses[1]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weapons[129].bonuses[0]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1</v>
      </c>
      <c r="I7" t="inlineStr">
        <is>
          <t>drone_missile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0</v>
      </c>
      <c r="I15" t="inlineStr"/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4</v>
      </c>
      <c r="I27" t="inlineStr">
        <is>
          <t>boss_minigun;mg_coax;mg_coax_long;minigun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0</v>
      </c>
      <c r="I29" t="inlineStr"/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10</v>
      </c>
      <c r="I32" t="inlineStr">
        <is>
          <t>aa_25_triple;aa_25_triple_ap;autocannon_25;autocannon_25_flak;fighter_cannon;fighter_cannon_ap;gunship_25mm;gunship_25mm_flak;tower_ac25;tower_ac25_flak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27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11</v>
      </c>
      <c r="I34" t="inlineStr">
        <is>
          <t>boss_flak;boss_flak_ap;flak_35;flak_35_ap;p26_behemoth_close_boss_flak;p26_jotunn_close_boss_flak;p26_matriarch_close_boss_flak;p26_moloch_close_boss_flak;p26_nemesis_close_boss_flak;twin_35_ahead;twin_35_ahead_ap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8</v>
      </c>
      <c r="I35" t="inlineStr">
        <is>
          <t>autocannon_40;autocannon_40_flak;bofors_l70;gunship_40mm;gunship_40mm_ap;gunship_40mm_flak;p26_bastion_tiny_autocannon_40;p26_icarus_close_autocannon_40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11</v>
      </c>
      <c r="I36" t="inlineStr">
        <is>
          <t>airship_flak;gun_57_air;gun_57_auto;gun_57mm;gun_57mm_he;mothership_cannon;p26_daedalus_dae57;p26_daedalus_sec_dae57;p26_matriarch_tiny_mothership_cannon;p26_typhon_sec_ty57;p26_typhon_ty57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4</v>
      </c>
      <c r="I37" t="inlineStr">
        <is>
          <t>borer_cannon;borer_cannon_he;naval_76;naval_76_guided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10</v>
      </c>
      <c r="I39" t="inlineStr">
        <is>
          <t>gun_100_river;gun_105_bunker_he;gunship_105;gunship_105_guided;naval_100;naval_100_guided;p26_roc_roc105;p26_typhon_direct_ty100;p26_typhon_ty100;siege_gun_105_he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4</v>
      </c>
      <c r="I44" t="inlineStr">
        <is>
          <t>naval_127;naval_130_twin;p26_leviathan_direct_lev127;p26_leviathan_lev127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37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p26_bastion_b155;p26_bastion_main_b155;p26_behemoth_be152;p26_behemoth_main_be152;p26_leviathan_lev155;p26_leviathan_sec_lev155;p26_nemesis_main_ne152;p26_nemesis_ne152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6</v>
      </c>
      <c r="I47" t="inlineStr">
        <is>
          <t>boss_howitzer;boss_howitzer_guided;cruiser_203;cruiser_203_guided;gun_203_siege;p26_jotunn_jo203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1</v>
      </c>
      <c r="I51" t="inlineStr">
        <is>
          <t>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1</v>
      </c>
      <c r="I55" t="inlineStr">
        <is>
          <t>cruise_missile_ground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1</v>
      </c>
      <c r="I67" t="inlineStr">
        <is>
          <t>laser_50kw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2</v>
      </c>
      <c r="I72" t="inlineStr">
        <is>
          <t>p26_icarus_direct_ic_laser;p26_icarus_ic_laser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1</v>
      </c>
      <c r="I77" t="inlineStr">
        <is>
          <t>anti_ship_missile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10</v>
      </c>
      <c r="I87" t="inlineStr">
        <is>
          <t>boss_rockets;grad_cluster;grad_rockets;p26_behemoth_be_rockets;p26_behemoth_sec_be_rockets;p26_nemesis_sec_boss_rockets;pt14_ixion_grad;turret_rockets;turret_rockets_cluster;turret_thermobaric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secondRounds.families[13]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3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weaponFamilies[34]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weaponFamilies[35]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weaponFamilies[30]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weaponFamilies[31]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weaponFamilies[36]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weaponFamilies[32]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2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m2_browning_12_7_mm</t>
        </is>
      </c>
      <c r="B30" t="inlineStr">
        <is>
          <t>M2 Browning 12.7 mm</t>
        </is>
      </c>
      <c r="C30" t="inlineStr">
        <is>
          <t>weaponFamilies</t>
        </is>
      </c>
      <c r="D30" t="n">
        <v>7</v>
      </c>
      <c r="H30" t="n">
        <v>230</v>
      </c>
      <c r="J30" t="n">
        <v>11</v>
      </c>
      <c r="K30" t="n">
        <v>0</v>
      </c>
      <c r="L30" t="inlineStr">
        <is>
          <t>Assets/MachineBrigade/Resources/Data/balance.json: weaponFamilies[16]</t>
        </is>
      </c>
      <c r="M30" t="inlineStr">
        <is>
          <t>{"id":"m2_browning_12_7_mm","real":"M2 Browning 12.7 mm","projectileSpeed":230,"splash":0,"roundWeight":11}</t>
        </is>
      </c>
    </row>
    <row r="31">
      <c r="A31" t="inlineStr">
        <is>
          <t>m2_browning_12_7_mm_api</t>
        </is>
      </c>
      <c r="B31" t="inlineStr">
        <is>
          <t>M2 Browning 12.7 mm API</t>
        </is>
      </c>
      <c r="C31" t="inlineStr">
        <is>
          <t>secondRounds.families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secondRounds.families[12]</t>
        </is>
      </c>
      <c r="M31" t="inlineStr">
        <is>
          <t>{"id":"m2_browning_12_7_mm_api","real":"M2 Browning 12.7 mm API","projectileSpeed":230,"splash":0,"roundWeight":11}</t>
        </is>
      </c>
    </row>
    <row r="32">
      <c r="A32" t="inlineStr">
        <is>
          <t>m31_gmlrs_227_mm</t>
        </is>
      </c>
      <c r="B32" t="inlineStr">
        <is>
          <t>M31 GMLRS 227 mm</t>
        </is>
      </c>
      <c r="C32" t="inlineStr">
        <is>
          <t>weaponFamilies</t>
        </is>
      </c>
      <c r="D32" t="n">
        <v>2</v>
      </c>
      <c r="F32" t="inlineStr">
        <is>
          <t>gmlrs</t>
        </is>
      </c>
      <c r="H32" t="n">
        <v>140</v>
      </c>
      <c r="J32" t="n">
        <v>160</v>
      </c>
      <c r="K32" t="n">
        <v>4.5</v>
      </c>
      <c r="L32" t="inlineStr">
        <is>
          <t>Assets/MachineBrigade/Resources/Data/balance.json: weaponFamilies[21]</t>
        </is>
      </c>
      <c r="M32" t="inlineStr">
        <is>
          <t>{"id":"m31_gmlrs_227_mm","real":"M31 GMLRS 227 mm","projectileSpeed":140,"splash":4.5,"projectileModel":"gmlrs","roundWeight":160}</t>
        </is>
      </c>
    </row>
    <row r="33">
      <c r="A33" t="inlineStr">
        <is>
          <t>m230_30_mm</t>
        </is>
      </c>
      <c r="B33" t="inlineStr">
        <is>
          <t>M230 30 mm</t>
        </is>
      </c>
      <c r="C33" t="inlineStr">
        <is>
          <t>weaponFamilies</t>
        </is>
      </c>
      <c r="D33" t="n">
        <v>1</v>
      </c>
      <c r="H33" t="n">
        <v>220</v>
      </c>
      <c r="K33" t="n">
        <v>0</v>
      </c>
      <c r="L33" t="inlineStr">
        <is>
          <t>Assets/MachineBrigade/Resources/Data/balance.json: weaponFamilies[17]</t>
        </is>
      </c>
      <c r="M33" t="inlineStr">
        <is>
          <t>{"id":"m230_30_mm","real":"M230 30 mm","projectileSpeed":220,"splash":0}</t>
        </is>
      </c>
    </row>
    <row r="34">
      <c r="A34" t="inlineStr">
        <is>
          <t>m230_30_mm_air_burst</t>
        </is>
      </c>
      <c r="B34" t="inlineStr">
        <is>
          <t>M230 30 mm air-burst</t>
        </is>
      </c>
      <c r="C34" t="inlineStr">
        <is>
          <t>secondRounds.families</t>
        </is>
      </c>
      <c r="D34" t="n">
        <v>2</v>
      </c>
      <c r="H34" t="n">
        <v>220</v>
      </c>
      <c r="K34" t="n">
        <v>2.5</v>
      </c>
      <c r="L34" t="inlineStr">
        <is>
          <t>Assets/MachineBrigade/Resources/Data/balance.json: secondRounds.families[4]</t>
        </is>
      </c>
      <c r="M34" t="inlineStr">
        <is>
          <t>{"id":"m230_30_mm_air_burst","real":"M230 30 mm air-burst","projectileSpeed":220,"splash":2.5}</t>
        </is>
      </c>
    </row>
    <row r="35">
      <c r="A35" t="inlineStr">
        <is>
          <t>m242_bushmaster_25_mm</t>
        </is>
      </c>
      <c r="B35" t="inlineStr">
        <is>
          <t>M242 Bushmaster 25 mm</t>
        </is>
      </c>
      <c r="C35" t="inlineStr">
        <is>
          <t>weaponFamilies</t>
        </is>
      </c>
      <c r="D35" t="n">
        <v>2</v>
      </c>
      <c r="H35" t="n">
        <v>210</v>
      </c>
      <c r="K35" t="n">
        <v>0</v>
      </c>
      <c r="L35" t="inlineStr">
        <is>
          <t>Assets/MachineBrigade/Resources/Data/balance.json: weaponFamilies[18]</t>
        </is>
      </c>
      <c r="M35" t="inlineStr">
        <is>
          <t>{"id":"m242_bushmaster_25_mm","real":"M242 Bushmaster 25 mm","projectileSpeed":210,"splash":0}</t>
        </is>
      </c>
    </row>
    <row r="36">
      <c r="A36" t="inlineStr">
        <is>
          <t>m242_bushmaster_25_mm_air_burst</t>
        </is>
      </c>
      <c r="B36" t="inlineStr">
        <is>
          <t>M242 Bushmaster 25 mm air-burst</t>
        </is>
      </c>
      <c r="C36" t="inlineStr">
        <is>
          <t>secondRounds.families</t>
        </is>
      </c>
      <c r="D36" t="n">
        <v>2</v>
      </c>
      <c r="H36" t="n">
        <v>210</v>
      </c>
      <c r="J36" t="n">
        <v>22</v>
      </c>
      <c r="K36" t="n">
        <v>2</v>
      </c>
      <c r="L36" t="inlineStr">
        <is>
          <t>Assets/MachineBrigade/Resources/Data/balance.json: secondRounds.families[0]</t>
        </is>
      </c>
      <c r="M36" t="inlineStr">
        <is>
          <t>{"id":"m242_bushmaster_25_mm_air_burst","real":"M242 Bushmaster 25 mm air-burst","projectileSpeed":210,"splash":2,"roundWeight":22}</t>
        </is>
      </c>
    </row>
    <row r="37">
      <c r="A37" t="inlineStr">
        <is>
          <t>m284_155_mm</t>
        </is>
      </c>
      <c r="B37" t="inlineStr">
        <is>
          <t>M284 155 mm</t>
        </is>
      </c>
      <c r="C37" t="inlineStr">
        <is>
          <t>weaponFamilies</t>
        </is>
      </c>
      <c r="D37" t="n">
        <v>5</v>
      </c>
      <c r="F37" t="inlineStr">
        <is>
          <t>shell_155</t>
        </is>
      </c>
      <c r="G37" t="n">
        <v>0.7272999999999999</v>
      </c>
      <c r="H37" t="n">
        <v>150</v>
      </c>
      <c r="I37" t="n">
        <v>0.8</v>
      </c>
      <c r="K37" t="n">
        <v>7</v>
      </c>
      <c r="L37" t="inlineStr">
        <is>
          <t>Assets/MachineBrigade/Resources/Data/balance.json: weaponFamilies[19]</t>
        </is>
      </c>
      <c r="M37" t="inlineStr">
        <is>
          <t>{"id":"m284_155_mm","real":"M284 155 mm","projectileSpeed":150,"splash":7,"projectileModel":"shell_155","roundLength":0.8,"projectileScale":0.7273}</t>
        </is>
      </c>
    </row>
    <row r="38">
      <c r="A38" t="inlineStr">
        <is>
          <t>m284_155_mm_2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100</v>
      </c>
      <c r="I38" t="n">
        <v>0.8</v>
      </c>
      <c r="K38" t="n">
        <v>7</v>
      </c>
      <c r="L38" t="inlineStr">
        <is>
          <t>Assets/MachineBrigade/Resources/Data/balance.json: weaponFamilies[20]</t>
        </is>
      </c>
      <c r="M38" t="inlineStr">
        <is>
          <t>{"id":"m284_155_mm_2","real":"M284 155 mm","projectileSpeed":100,"splash":7,"projectileModel":"shell_155","roundLength":0.8,"projectileScale":0.7273}</t>
        </is>
      </c>
    </row>
    <row r="39">
      <c r="A39" t="inlineStr">
        <is>
          <t>m284_155_mm_guided</t>
        </is>
      </c>
      <c r="B39" t="inlineStr">
        <is>
          <t>M284 155 mm guided</t>
        </is>
      </c>
      <c r="C39" t="inlineStr">
        <is>
          <t>secondRounds.families</t>
        </is>
      </c>
      <c r="D39" t="n">
        <v>3</v>
      </c>
      <c r="F39" t="inlineStr">
        <is>
          <t>shell_155</t>
        </is>
      </c>
      <c r="H39" t="n">
        <v>45</v>
      </c>
      <c r="K39" t="n">
        <v>7</v>
      </c>
      <c r="L39" t="inlineStr">
        <is>
          <t>Assets/MachineBrigade/Resources/Data/balance.json: secondRounds.families[6]</t>
        </is>
      </c>
      <c r="M39" t="inlineStr">
        <is>
          <t>{"id":"m284_155_mm_guided","real":"M284 155 mm guided","projectileSpeed":45,"splash":7,"projectileModel":"shell_155"}</t>
        </is>
      </c>
    </row>
    <row r="40">
      <c r="A40" t="inlineStr">
        <is>
          <t>m284_155_mm_guided_direct</t>
        </is>
      </c>
      <c r="B40" t="inlineStr">
        <is>
          <t>M284 155 mm guided</t>
        </is>
      </c>
      <c r="C40" t="inlineStr">
        <is>
          <t>secondRounds.families</t>
        </is>
      </c>
      <c r="D40" t="n">
        <v>3</v>
      </c>
      <c r="F40" t="inlineStr">
        <is>
          <t>shell_155</t>
        </is>
      </c>
      <c r="H40" t="n">
        <v>150</v>
      </c>
      <c r="K40" t="n">
        <v>7</v>
      </c>
      <c r="L40" t="inlineStr">
        <is>
          <t>Assets/MachineBrigade/Resources/Data/balance.json: secondRounds.families[11]</t>
        </is>
      </c>
      <c r="M40" t="inlineStr">
        <is>
          <t>{"id":"m284_155_mm_guided_direct","real":"M284 155 mm guided","projectileSpeed":150,"splash":7,"projectileModel":"shell_155"}</t>
        </is>
      </c>
    </row>
    <row r="41">
      <c r="A41" t="inlineStr">
        <is>
          <t>mim_104_patriot_pac_2</t>
        </is>
      </c>
      <c r="B41" t="inlineStr">
        <is>
          <t>MIM-104 Patriot PAC-2</t>
        </is>
      </c>
      <c r="C41" t="inlineStr">
        <is>
          <t>weaponFamilies</t>
        </is>
      </c>
      <c r="D41" t="n">
        <v>3</v>
      </c>
      <c r="E41" t="inlineStr">
        <is>
          <t>Loft</t>
        </is>
      </c>
      <c r="F41" t="inlineStr">
        <is>
          <t>patriot</t>
        </is>
      </c>
      <c r="G41" t="n">
        <v>1.2471</v>
      </c>
      <c r="H41" t="n">
        <v>300</v>
      </c>
      <c r="I41" t="n">
        <v>4.24</v>
      </c>
      <c r="K41" t="n">
        <v>2.5</v>
      </c>
      <c r="L41" t="inlineStr">
        <is>
          <t>Assets/MachineBrigade/Resources/Data/balance.json: weaponFamilies[22]</t>
        </is>
      </c>
      <c r="M41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2">
      <c r="A42" t="inlineStr">
        <is>
          <t>mk_19_40_mm</t>
        </is>
      </c>
      <c r="B42" t="inlineStr">
        <is>
          <t>Mk 19 40 mm</t>
        </is>
      </c>
      <c r="C42" t="inlineStr">
        <is>
          <t>weaponFamilies</t>
        </is>
      </c>
      <c r="D42" t="n">
        <v>2</v>
      </c>
      <c r="H42" t="n">
        <v>70</v>
      </c>
      <c r="K42" t="n">
        <v>2</v>
      </c>
      <c r="L42" t="inlineStr">
        <is>
          <t>Assets/MachineBrigade/Resources/Data/balance.json: weaponFamilies[23]</t>
        </is>
      </c>
      <c r="M42" t="inlineStr">
        <is>
          <t>{"id":"mk_19_40_mm","real":"Mk 19 40 mm","projectileSpeed":70,"splash":2}</t>
        </is>
      </c>
    </row>
    <row r="43">
      <c r="A43" t="inlineStr">
        <is>
          <t>nsm_oniks</t>
        </is>
      </c>
      <c r="B43" t="inlineStr">
        <is>
          <t>NSM / P-800 Oniks</t>
        </is>
      </c>
      <c r="C43" t="inlineStr">
        <is>
          <t>weaponFamilies</t>
        </is>
      </c>
      <c r="D43" t="n">
        <v>1</v>
      </c>
      <c r="E43" t="inlineStr">
        <is>
          <t>Loft</t>
        </is>
      </c>
      <c r="H43" t="n">
        <v>225</v>
      </c>
      <c r="I43" t="n">
        <v>3.17</v>
      </c>
      <c r="J43" t="n">
        <v>680</v>
      </c>
      <c r="K43" t="n">
        <v>7</v>
      </c>
      <c r="L43" t="inlineStr">
        <is>
          <t>Assets/MachineBrigade/Resources/Data/balance.json: weaponFamilies[39]</t>
        </is>
      </c>
      <c r="M43" t="inlineStr">
        <is>
          <t>{"id":"nsm_oniks","flightProfile":"Loft","real":"NSM / P-800 Oniks","projectileSpeed":225,"splash":7,"roundWeight":680,"roundLength":3.17}</t>
        </is>
      </c>
    </row>
    <row r="44">
      <c r="A44" t="inlineStr">
        <is>
          <t>nsv_12_7_mm</t>
        </is>
      </c>
      <c r="B44" t="inlineStr">
        <is>
          <t>NSV 12.7 mm</t>
        </is>
      </c>
      <c r="C44" t="inlineStr">
        <is>
          <t>weaponFamilies</t>
        </is>
      </c>
      <c r="D44" t="n">
        <v>3</v>
      </c>
      <c r="H44" t="n">
        <v>240</v>
      </c>
      <c r="J44" t="n">
        <v>14</v>
      </c>
      <c r="K44" t="n">
        <v>0</v>
      </c>
      <c r="L44" t="inlineStr">
        <is>
          <t>Assets/MachineBrigade/Resources/Data/balance.json: weaponFamilies[24]</t>
        </is>
      </c>
      <c r="M44" t="inlineStr">
        <is>
          <t>{"id":"nsv_12_7_mm","real":"NSV 12.7 mm","projectileSpeed":240,"splash":0,"roundWeight":14}</t>
        </is>
      </c>
    </row>
    <row r="45">
      <c r="A45" t="inlineStr">
        <is>
          <t>nsv_12_7_mm_api</t>
        </is>
      </c>
      <c r="B45" t="inlineStr">
        <is>
          <t>NSV 12.7 mm API</t>
        </is>
      </c>
      <c r="C45" t="inlineStr">
        <is>
          <t>secondRounds.families</t>
        </is>
      </c>
      <c r="D45" t="n">
        <v>3</v>
      </c>
      <c r="H45" t="n">
        <v>240</v>
      </c>
      <c r="J45" t="n">
        <v>14</v>
      </c>
      <c r="K45" t="n">
        <v>0</v>
      </c>
      <c r="L45" t="inlineStr">
        <is>
          <t>Assets/MachineBrigade/Resources/Data/balance.json: secondRounds.families[5]</t>
        </is>
      </c>
      <c r="M45" t="inlineStr">
        <is>
          <t>{"id":"nsv_12_7_mm_api","real":"NSV 12.7 mm API","projectileSpeed":240,"splash":0,"roundWeight":14}</t>
        </is>
      </c>
    </row>
    <row r="46">
      <c r="A46" t="inlineStr">
        <is>
          <t>odab_500</t>
        </is>
      </c>
      <c r="B46" t="inlineStr">
        <is>
          <t>ODAB-500</t>
        </is>
      </c>
      <c r="C46" t="inlineStr">
        <is>
          <t>weaponFamilies</t>
        </is>
      </c>
      <c r="D46" t="n">
        <v>0</v>
      </c>
      <c r="H46" t="n">
        <v>35</v>
      </c>
      <c r="I46" t="n">
        <v>1.23</v>
      </c>
      <c r="J46" t="n">
        <v>500</v>
      </c>
      <c r="K46" t="n">
        <v>12</v>
      </c>
      <c r="L46" t="inlineStr">
        <is>
          <t>Assets/MachineBrigade/Resources/Data/balance.json: weaponFamilies[33]</t>
        </is>
      </c>
      <c r="M46" t="inlineStr">
        <is>
          <t>{"id":"odab_500","real":"ODAB-500","projectileSpeed":35,"splash":12,"roundWeight":500,"roundLength":1.23}</t>
        </is>
      </c>
    </row>
    <row r="47">
      <c r="A47" t="inlineStr">
        <is>
          <t>oerlikon_35_mm</t>
        </is>
      </c>
      <c r="B47" t="inlineStr">
        <is>
          <t>Oerlikon 35 mm</t>
        </is>
      </c>
      <c r="C47" t="inlineStr">
        <is>
          <t>weaponFamilies</t>
        </is>
      </c>
      <c r="D47" t="n">
        <v>2</v>
      </c>
      <c r="H47" t="n">
        <v>260</v>
      </c>
      <c r="J47" t="n">
        <v>26</v>
      </c>
      <c r="K47" t="n">
        <v>2.5</v>
      </c>
      <c r="L47" t="inlineStr">
        <is>
          <t>Assets/MachineBrigade/Resources/Data/balance.json: weaponFamilies[25]</t>
        </is>
      </c>
      <c r="M47" t="inlineStr">
        <is>
          <t>{"id":"oerlikon_35_mm","real":"Oerlikon 35 mm","projectileSpeed":260,"splash":2.5,"roundWeight":26}</t>
        </is>
      </c>
    </row>
    <row r="48">
      <c r="A48" t="inlineStr">
        <is>
          <t>oerlikon_35_mm_ap</t>
        </is>
      </c>
      <c r="B48" t="inlineStr">
        <is>
          <t>Oerlikon 35 mm AP</t>
        </is>
      </c>
      <c r="C48" t="inlineStr">
        <is>
          <t>secondRounds.families</t>
        </is>
      </c>
      <c r="D48" t="n">
        <v>2</v>
      </c>
      <c r="H48" t="n">
        <v>260</v>
      </c>
      <c r="J48" t="n">
        <v>26</v>
      </c>
      <c r="K48" t="n">
        <v>0</v>
      </c>
      <c r="L48" t="inlineStr">
        <is>
          <t>Assets/MachineBrigade/Resources/Data/balance.json: secondRounds.families[3]</t>
        </is>
      </c>
      <c r="M48" t="inlineStr">
        <is>
          <t>{"id":"oerlikon_35_mm_ap","real":"Oerlikon 35 mm AP","projectileSpeed":260,"splash":0,"roundWeight":26}</t>
        </is>
      </c>
    </row>
    <row r="49">
      <c r="A49" t="inlineStr">
        <is>
          <t>pkt_m240_7_62_mm</t>
        </is>
      </c>
      <c r="B49" t="inlineStr">
        <is>
          <t>PKT / M240 7.62 mm</t>
        </is>
      </c>
      <c r="C49" t="inlineStr">
        <is>
          <t>weaponFamilies</t>
        </is>
      </c>
      <c r="D49" t="n">
        <v>2</v>
      </c>
      <c r="H49" t="n">
        <v>240</v>
      </c>
      <c r="K49" t="n">
        <v>0</v>
      </c>
      <c r="L49" t="inlineStr">
        <is>
          <t>Assets/MachineBrigade/Resources/Data/balance.json: weaponFamilies[26]</t>
        </is>
      </c>
      <c r="M49" t="inlineStr">
        <is>
          <t>{"id":"pkt_m240_7_62_mm","real":"PKT / M240 7.62 mm","projectileSpeed":240,"splash":0}</t>
        </is>
      </c>
    </row>
    <row r="50">
      <c r="A50" t="inlineStr">
        <is>
          <t>rh_120_l_44_120_mm</t>
        </is>
      </c>
      <c r="B50" t="inlineStr">
        <is>
          <t>Rh-120 L/44 120 mm</t>
        </is>
      </c>
      <c r="C50" t="inlineStr">
        <is>
          <t>weaponFamilies</t>
        </is>
      </c>
      <c r="D50" t="n">
        <v>5</v>
      </c>
      <c r="H50" t="n">
        <v>170</v>
      </c>
      <c r="J50" t="n">
        <v>290</v>
      </c>
      <c r="K50" t="n">
        <v>1.5</v>
      </c>
      <c r="L50" t="inlineStr">
        <is>
          <t>Assets/MachineBrigade/Resources/Data/balance.json: weaponFamilies[27]</t>
        </is>
      </c>
      <c r="M50" t="inlineStr">
        <is>
          <t>{"id":"rh_120_l_44_120_mm","real":"Rh-120 L/44 120 mm","projectileSpeed":170,"splash":1.5,"roundWeight":290}</t>
        </is>
      </c>
    </row>
    <row r="51">
      <c r="A51" t="inlineStr">
        <is>
          <t>rh_120_l_44_120_mm_he</t>
        </is>
      </c>
      <c r="B51" t="inlineStr">
        <is>
          <t>Rh-120 L/44 120 mm HE</t>
        </is>
      </c>
      <c r="C51" t="inlineStr">
        <is>
          <t>secondRounds.families</t>
        </is>
      </c>
      <c r="D51" t="n">
        <v>3</v>
      </c>
      <c r="H51" t="n">
        <v>170</v>
      </c>
      <c r="J51" t="n">
        <v>290</v>
      </c>
      <c r="K51" t="n">
        <v>3</v>
      </c>
      <c r="L51" t="inlineStr">
        <is>
          <t>Assets/MachineBrigade/Resources/Data/balance.json: secondRounds.families[10]</t>
        </is>
      </c>
      <c r="M51" t="inlineStr">
        <is>
          <t>{"id":"rh_120_l_44_120_mm_he","real":"Rh-120 L/44 120 mm HE","projectileSpeed":170,"splash":3,"roundWeight":290}</t>
        </is>
      </c>
    </row>
    <row r="52">
      <c r="A52" t="inlineStr">
        <is>
          <t>s_8_80_mm</t>
        </is>
      </c>
      <c r="B52" t="inlineStr">
        <is>
          <t>S-8 80 mm</t>
        </is>
      </c>
      <c r="C52" t="inlineStr">
        <is>
          <t>weaponFamilies</t>
        </is>
      </c>
      <c r="D52" t="n">
        <v>4</v>
      </c>
      <c r="F52" t="inlineStr">
        <is>
          <t>s8</t>
        </is>
      </c>
      <c r="H52" t="n">
        <v>180</v>
      </c>
      <c r="J52" t="n">
        <v>60</v>
      </c>
      <c r="K52" t="n">
        <v>3</v>
      </c>
      <c r="L52" t="inlineStr">
        <is>
          <t>Assets/MachineBrigade/Resources/Data/balance.json: weaponFamilies[28]</t>
        </is>
      </c>
      <c r="M52" t="inlineStr">
        <is>
          <t>{"id":"s_8_80_mm","real":"S-8 80 mm","projectileSpeed":180,"splash":3,"projectileModel":"s8","roundWeight":60}</t>
        </is>
      </c>
    </row>
    <row r="53">
      <c r="A53" t="inlineStr">
        <is>
          <t>smart_155_bonus</t>
        </is>
      </c>
      <c r="B53" t="inlineStr">
        <is>
          <t>SMArt 155 / BONUS</t>
        </is>
      </c>
      <c r="C53" t="inlineStr">
        <is>
          <t>weaponFamilies</t>
        </is>
      </c>
      <c r="D53" t="n">
        <v>0</v>
      </c>
      <c r="F53" t="inlineStr">
        <is>
          <t>smart_155</t>
        </is>
      </c>
      <c r="H53" t="n">
        <v>100</v>
      </c>
      <c r="I53" t="n">
        <v>0.8</v>
      </c>
      <c r="K53" t="n">
        <v>2</v>
      </c>
      <c r="L53" t="inlineStr">
        <is>
          <t>Assets/MachineBrigade/Resources/Data/balance.json: weaponFamilies[37]</t>
        </is>
      </c>
      <c r="M53" t="inlineStr">
        <is>
          <t>{"id":"smart_155_bonus","real":"SMArt 155 / BONUS","projectileSpeed":100,"splash":2,"projectileModel":"smart_155","roundLength":0.8}</t>
        </is>
      </c>
    </row>
    <row r="54">
      <c r="A54" t="inlineStr">
        <is>
          <t>switchblade_300</t>
        </is>
      </c>
      <c r="B54" t="inlineStr">
        <is>
          <t>Switchblade 300</t>
        </is>
      </c>
      <c r="C54" t="inlineStr">
        <is>
          <t>weaponFamilies</t>
        </is>
      </c>
      <c r="D54" t="n">
        <v>0</v>
      </c>
      <c r="H54" t="n">
        <v>30</v>
      </c>
      <c r="I54" t="n">
        <v>0.8</v>
      </c>
      <c r="J54" t="n">
        <v>3</v>
      </c>
      <c r="K54" t="n">
        <v>2</v>
      </c>
      <c r="L54" t="inlineStr">
        <is>
          <t>Assets/MachineBrigade/Resources/Data/balance.json: weaponFamilies[38]</t>
        </is>
      </c>
      <c r="M54" t="inlineStr">
        <is>
          <t>{"id":"switchblade_300","real":"Switchblade 300","projectileSpeed":30,"splash":2,"roundWeight":3,"roundLength":0.8}</t>
        </is>
      </c>
    </row>
    <row r="55">
      <c r="A55" t="inlineStr">
        <is>
          <t>tos_1a_220_mm_thermobaric</t>
        </is>
      </c>
      <c r="B55" t="inlineStr">
        <is>
          <t>TOS-1A 220 mm thermobaric</t>
        </is>
      </c>
      <c r="C55" t="inlineStr">
        <is>
          <t>weaponFamilies</t>
        </is>
      </c>
      <c r="D55" t="n">
        <v>1</v>
      </c>
      <c r="F55" t="inlineStr">
        <is>
          <t>tos_rocket</t>
        </is>
      </c>
      <c r="H55" t="n">
        <v>70</v>
      </c>
      <c r="K55" t="n">
        <v>7</v>
      </c>
      <c r="L55" t="inlineStr">
        <is>
          <t>Assets/MachineBrigade/Resources/Data/balance.json: weaponFamilies[29]</t>
        </is>
      </c>
      <c r="M55" t="inlineStr">
        <is>
          <t>{"id":"tos_1a_220_mm_thermobaric","real":"TOS-1A 220 mm thermobaric","projectileSpeed":70,"splash":7,"projectileModel":"tos_rocket"}</t>
        </is>
      </c>
    </row>
    <row r="56">
      <c r="A56" t="inlineStr">
        <is>
          <t>zala_lancet_3</t>
        </is>
      </c>
      <c r="B56" t="inlineStr">
        <is>
          <t>ZALA Lancet-3</t>
        </is>
      </c>
      <c r="C56" t="inlineStr">
        <is>
          <t>weaponFamilies</t>
        </is>
      </c>
      <c r="D56" t="n">
        <v>3</v>
      </c>
      <c r="F56" t="inlineStr">
        <is>
          <t>lancet</t>
        </is>
      </c>
      <c r="H56" t="n">
        <v>28</v>
      </c>
      <c r="K56" t="n">
        <v>3</v>
      </c>
      <c r="L56" t="inlineStr">
        <is>
          <t>Assets/MachineBrigade/Resources/Data/balance.json: weaponFamilies[40]</t>
        </is>
      </c>
      <c r="M56" t="inlineStr">
        <is>
          <t>{"id":"zala_lancet_3","real":"ZALA Lancet-3","projectileSpeed":28,"splash":3,"projectileModel":"lancet"}</t>
        </is>
      </c>
    </row>
  </sheetData>
  <autoFilter ref="A1:M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320</v>
      </c>
      <c r="J6" t="n">
        <v>6.5</v>
      </c>
      <c r="K6" t="inlineStr">
        <is>
          <t>Light, Structure</t>
        </is>
      </c>
      <c r="L6" t="n">
        <v>5.21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320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420</v>
      </c>
      <c r="J17" t="n">
        <v>8</v>
      </c>
      <c r="K17" t="inlineStr">
        <is>
          <t>Armour (chỉ tinh nhuệ)</t>
        </is>
      </c>
      <c r="L17" t="n">
        <v>11.8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77</v>
      </c>
      <c r="J21" t="n">
        <v>3</v>
      </c>
      <c r="K21" t="inlineStr">
        <is>
          <t>Light, Structure</t>
        </is>
      </c>
      <c r="L21" t="n">
        <v>4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260</v>
      </c>
      <c r="J22" t="n">
        <v>3</v>
      </c>
      <c r="K22" t="inlineStr">
        <is>
          <t>Light, Structure</t>
        </is>
      </c>
      <c r="L22" t="n">
        <v>3.908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212</v>
      </c>
      <c r="J23" t="n">
        <v>3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260</v>
      </c>
      <c r="J24" t="n">
        <v>3</v>
      </c>
      <c r="K24" t="inlineStr">
        <is>
          <t>Light, Structure</t>
        </is>
      </c>
      <c r="L24" t="n">
        <v>3.3333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258</v>
      </c>
      <c r="J25" t="n">
        <v>3</v>
      </c>
      <c r="K25" t="inlineStr">
        <is>
          <t>Light, Structure</t>
        </is>
      </c>
      <c r="L25" t="n">
        <v>3.7037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240</v>
      </c>
      <c r="J26" t="n">
        <v>3</v>
      </c>
      <c r="K26" t="inlineStr">
        <is>
          <t>Light, Structure</t>
        </is>
      </c>
      <c r="L26" t="n">
        <v>5.113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240</v>
      </c>
      <c r="J27" t="n">
        <v>3</v>
      </c>
      <c r="K27" t="inlineStr">
        <is>
          <t>Light, Structure</t>
        </is>
      </c>
      <c r="L27" t="n">
        <v>5.098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260</v>
      </c>
      <c r="J28" t="n">
        <v>3</v>
      </c>
      <c r="K28" t="inlineStr">
        <is>
          <t>Light, Structure</t>
        </is>
      </c>
      <c r="L28" t="n">
        <v>5.66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290</v>
      </c>
      <c r="J29" t="n">
        <v>3</v>
      </c>
      <c r="K29" t="inlineStr">
        <is>
          <t>Light, Structure</t>
        </is>
      </c>
      <c r="L29" t="n">
        <v>4.537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320</v>
      </c>
      <c r="J30" t="n">
        <v>6.5</v>
      </c>
      <c r="K30" t="inlineStr">
        <is>
          <t>Light, Structure</t>
        </is>
      </c>
      <c r="L30" t="n">
        <v>5.714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320</v>
      </c>
      <c r="J31" t="n">
        <v>6.5</v>
      </c>
      <c r="K31" t="inlineStr">
        <is>
          <t>Light, Structure</t>
        </is>
      </c>
      <c r="L31" t="n">
        <v>6.33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320</v>
      </c>
      <c r="J32" t="n">
        <v>7</v>
      </c>
      <c r="K32" t="inlineStr">
        <is>
          <t>Armour (chỉ tinh nhuệ)</t>
        </is>
      </c>
      <c r="L32" t="n">
        <v>8.789999999999999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320</v>
      </c>
      <c r="J33" t="n">
        <v>7</v>
      </c>
      <c r="K33" t="inlineStr">
        <is>
          <t>Light, Structure</t>
        </is>
      </c>
      <c r="L33" t="n">
        <v>5.55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320</v>
      </c>
      <c r="J34" t="n">
        <v>7</v>
      </c>
      <c r="K34" t="inlineStr">
        <is>
          <t>Armour (chỉ tinh nhuệ)</t>
        </is>
      </c>
      <c r="L34" t="n">
        <v>5.55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320</v>
      </c>
      <c r="J35" t="n">
        <v>7</v>
      </c>
      <c r="K35" t="inlineStr">
        <is>
          <t>Armour (chỉ tinh nhuệ)</t>
        </is>
      </c>
      <c r="L35" t="n">
        <v>5.55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200</v>
      </c>
      <c r="J40" t="n">
        <v>5.5</v>
      </c>
      <c r="K40" t="inlineStr">
        <is>
          <t>Armour (chỉ tinh nhuệ)</t>
        </is>
      </c>
      <c r="L40" t="n">
        <v>2.743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320</v>
      </c>
      <c r="J47" t="n">
        <v>7</v>
      </c>
      <c r="K47" t="inlineStr">
        <is>
          <t>Armour (chỉ tinh nhuệ)</t>
        </is>
      </c>
      <c r="L47" t="n">
        <v>7.1429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320</v>
      </c>
      <c r="J48" t="n">
        <v>7</v>
      </c>
      <c r="K48" t="inlineStr">
        <is>
          <t>Armour (chỉ tinh nhuệ)</t>
        </is>
      </c>
      <c r="L48" t="n">
        <v>3.9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120</v>
      </c>
      <c r="J55" t="n">
        <v>3</v>
      </c>
      <c r="K55" t="inlineStr">
        <is>
          <t>Armour (chỉ tinh nhuệ)</t>
        </is>
      </c>
      <c r="L55" t="n">
        <v>3.1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160</v>
      </c>
      <c r="J56" t="n">
        <v>3.5</v>
      </c>
      <c r="K56" t="inlineStr">
        <is>
          <t>Armour (chỉ tinh nhuệ)</t>
        </is>
      </c>
      <c r="L56" t="n">
        <v>3.5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212</v>
      </c>
      <c r="J59" t="n">
        <v>3</v>
      </c>
      <c r="K59" t="inlineStr">
        <is>
          <t>Light, Structure</t>
        </is>
      </c>
      <c r="L59" t="n">
        <v>4.6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240</v>
      </c>
      <c r="J64" t="n">
        <v>3</v>
      </c>
      <c r="K64" t="inlineStr">
        <is>
          <t>Light, Structure</t>
        </is>
      </c>
      <c r="L64" t="n">
        <v>2.88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240</v>
      </c>
      <c r="J65" t="n">
        <v>3</v>
      </c>
      <c r="K65" t="inlineStr">
        <is>
          <t>Light, Structure</t>
        </is>
      </c>
      <c r="L65" t="n">
        <v>3.9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daedalus</t>
        </is>
      </c>
      <c r="B8" t="inlineStr">
        <is>
          <t>boss</t>
        </is>
      </c>
      <c r="C8" t="inlineStr">
        <is>
          <t>POINT_DEFENSE</t>
        </is>
      </c>
      <c r="D8" t="inlineStr">
        <is>
          <t>co</t>
        </is>
      </c>
      <c r="E8" t="inlineStr">
        <is>
          <t>co</t>
        </is>
      </c>
      <c r="F8" t="inlineStr">
        <is>
          <t>co</t>
        </is>
      </c>
      <c r="G8" t="inlineStr">
        <is>
          <t>co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R8" t="n">
        <v>2</v>
      </c>
      <c r="U8" t="b">
        <v>1</v>
      </c>
      <c r="W8" t="n">
        <v>31.6</v>
      </c>
      <c r="X8" t="n">
        <v>1.6</v>
      </c>
      <c r="Z8" t="b">
        <v>1</v>
      </c>
      <c r="AC8" t="inlineStr">
        <is>
          <t>Assets/MachineBrigade/Resources/Data/balance.json: vehicles[160]</t>
        </is>
      </c>
      <c r="AD8" t="inlineStr">
        <is>
          <t>{"aps":{"radius":31.6,"charges":2,"recharge":1.6,"rockets":true,"laser":true}}</t>
        </is>
      </c>
    </row>
    <row r="9">
      <c r="A9" t="inlineStr">
        <is>
          <t>headquarters.shield</t>
        </is>
      </c>
      <c r="B9" t="inlineStr">
        <is>
          <t>cong_trinh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co</t>
        </is>
      </c>
      <c r="I9" t="inlineStr">
        <is>
          <t>co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P9" t="n">
        <v>0.5</v>
      </c>
      <c r="R9" t="n">
        <v>6</v>
      </c>
      <c r="W9" t="n">
        <v>45</v>
      </c>
      <c r="X9" t="n">
        <v>0.6</v>
      </c>
      <c r="Z9" t="b">
        <v>1</v>
      </c>
      <c r="AA9" t="n">
        <v>0.3</v>
      </c>
      <c r="AC9" t="inlineStr">
        <is>
          <t>Assets/MachineBrigade/Resources/Data/balance.json: vehicles[63]</t>
        </is>
      </c>
      <c r="AD9" t="inlineStr">
        <is>
          <t>{"aps":{"radius":45,"charges":6,"recharge":0.6,"rockets":true,"shells":0.3,"burst":0.5}}</t>
        </is>
      </c>
    </row>
    <row r="10">
      <c r="A10" t="inlineStr">
        <is>
          <t>icarus_mk0</t>
        </is>
      </c>
      <c r="B10" t="inlineStr">
        <is>
          <t>boss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khong</t>
        </is>
      </c>
      <c r="I10" t="inlineStr">
        <is>
          <t>khong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R10" t="n">
        <v>3</v>
      </c>
      <c r="U10" t="b">
        <v>1</v>
      </c>
      <c r="W10" t="n">
        <v>19.5</v>
      </c>
      <c r="X10" t="n">
        <v>1.4</v>
      </c>
      <c r="Z10" t="b">
        <v>1</v>
      </c>
      <c r="AB10" t="inlineStr">
        <is>
          <t>PointDefense</t>
        </is>
      </c>
      <c r="AC10" t="inlineStr">
        <is>
          <t>Assets/MachineBrigade/Resources/Data/balance.json: vehicles[168]</t>
        </is>
      </c>
      <c r="AD10" t="inlineStr">
        <is>
          <t>{"aps":{"radius":19.5,"charges":3,"recharge":1.4,"rockets":true,"laser":true},"interceptionMode":"PointDefense"}</t>
        </is>
      </c>
    </row>
    <row r="11">
      <c r="A11" t="inlineStr">
        <is>
          <t>iron_beam</t>
        </is>
      </c>
      <c r="B11" t="inlineStr">
        <is>
          <t>xe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1</v>
      </c>
      <c r="U11" t="b">
        <v>1</v>
      </c>
      <c r="W11" t="n">
        <v>30</v>
      </c>
      <c r="X11" t="n">
        <v>0.8</v>
      </c>
      <c r="Z11" t="b">
        <v>1</v>
      </c>
      <c r="AA11" t="n">
        <v>0</v>
      </c>
      <c r="AB11" t="inlineStr">
        <is>
          <t>PointDefense</t>
        </is>
      </c>
      <c r="AC11" t="inlineStr">
        <is>
          <t>Assets/MachineBrigade/Resources/Data/balance.json: vehicles[38]</t>
        </is>
      </c>
      <c r="AD11" t="inlineStr">
        <is>
          <t>{"aps":{"radius":30,"shells":0,"charges":1,"recharge":0.8,"rockets":true,"laser":true},"interceptionMode":"PointDefense"}</t>
        </is>
      </c>
    </row>
    <row r="12">
      <c r="A12" t="inlineStr">
        <is>
          <t>landing_hovercraft</t>
        </is>
      </c>
      <c r="B12" t="inlineStr">
        <is>
          <t>boss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2</v>
      </c>
      <c r="W12" t="n">
        <v>22</v>
      </c>
      <c r="X12" t="n">
        <v>3</v>
      </c>
      <c r="Z12" t="b">
        <v>1</v>
      </c>
      <c r="AC12" t="inlineStr">
        <is>
          <t>Assets/MachineBrigade/Resources/Data/balance.json: vehicles[152]</t>
        </is>
      </c>
      <c r="AD12" t="inlineStr">
        <is>
          <t>{"aps":{"radius":22,"charges":2,"recharge":3,"rockets":true}}</t>
        </is>
      </c>
    </row>
    <row r="13">
      <c r="A13" t="inlineStr">
        <is>
          <t>laser_ad_station</t>
        </is>
      </c>
      <c r="B13" t="inlineStr">
        <is>
          <t>thap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1</v>
      </c>
      <c r="U13" t="b">
        <v>1</v>
      </c>
      <c r="W13" t="n">
        <v>40</v>
      </c>
      <c r="X13" t="n">
        <v>0.8</v>
      </c>
      <c r="Z13" t="b">
        <v>1</v>
      </c>
      <c r="AA13" t="n">
        <v>0</v>
      </c>
      <c r="AC13" t="inlineStr">
        <is>
          <t>Assets/MachineBrigade/Resources/Data/balance.json: vehicles[119]</t>
        </is>
      </c>
      <c r="AD13" t="inlineStr">
        <is>
          <t>{"aps":{"radius":40,"shells":0,"charges":1,"recharge":0.8,"rockets":true,"laser":true}}</t>
        </is>
      </c>
    </row>
    <row r="14">
      <c r="A14" t="inlineStr">
        <is>
          <t>leviathan</t>
        </is>
      </c>
      <c r="B14" t="inlineStr">
        <is>
          <t>boss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3</v>
      </c>
      <c r="W14" t="n">
        <v>30</v>
      </c>
      <c r="X14" t="n">
        <v>2.2</v>
      </c>
      <c r="Z14" t="b">
        <v>1</v>
      </c>
      <c r="AC14" t="inlineStr">
        <is>
          <t>Assets/MachineBrigade/Resources/Data/balance.json: vehicles[153]</t>
        </is>
      </c>
      <c r="AD14" t="inlineStr">
        <is>
          <t>{"aps":{"radius":30,"charges":3,"recharge":2.2,"rockets":true}}</t>
        </is>
      </c>
    </row>
    <row r="15">
      <c r="A15" t="inlineStr">
        <is>
          <t>main_battle_tank</t>
        </is>
      </c>
      <c r="B15" t="inlineStr">
        <is>
          <t>xe</t>
        </is>
      </c>
      <c r="C15" t="inlineStr">
        <is>
          <t>SELF_APS</t>
        </is>
      </c>
      <c r="D15" t="inlineStr">
        <is>
          <t>khong</t>
        </is>
      </c>
      <c r="E15" t="inlineStr">
        <is>
          <t>khong</t>
        </is>
      </c>
      <c r="F15" t="inlineStr">
        <is>
          <t>khong</t>
        </is>
      </c>
      <c r="G15" t="inlineStr">
        <is>
          <t>khong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M15" t="inlineStr">
        <is>
          <t>trophy_aps: r 20 m, 2 đạn chặn, 20 s/đạn chặn (RetrofitEligible)</t>
        </is>
      </c>
      <c r="N15" t="inlineStr">
        <is>
          <t>directMissile:co;drone:co;directRocket:co;artilleryRocket:khong;mortarShell:khong;artilleryShell:khong;tankShell:khong;bullet:khong;energy:khong</t>
        </is>
      </c>
      <c r="Q15" t="inlineStr">
        <is>
          <t>RetrofitEligible</t>
        </is>
      </c>
      <c r="AC15" t="inlineStr">
        <is>
          <t>Assets/MachineBrigade/Resources/Data/balance.json: vehicles[2]</t>
        </is>
      </c>
      <c r="AD15" t="inlineStr">
        <is>
          <t>{"apsCapability":"RetrofitEligible"}</t>
        </is>
      </c>
    </row>
    <row r="16">
      <c r="A16" t="inlineStr">
        <is>
          <t>mara_behemoth</t>
        </is>
      </c>
      <c r="B16" t="inlineStr">
        <is>
          <t>xe</t>
        </is>
      </c>
      <c r="C16" t="inlineStr">
        <is>
          <t>SELF_APS</t>
        </is>
      </c>
      <c r="D16" t="inlineStr">
        <is>
          <t>co</t>
        </is>
      </c>
      <c r="E16" t="inlineStr">
        <is>
          <t>co</t>
        </is>
      </c>
      <c r="F16" t="inlineStr">
        <is>
          <t>co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R16" t="n">
        <v>2</v>
      </c>
      <c r="W16" t="n">
        <v>11</v>
      </c>
      <c r="X16" t="n">
        <v>4</v>
      </c>
      <c r="AC16" t="inlineStr">
        <is>
          <t>Assets/MachineBrigade/Resources/Data/balance.json: vehicles[176]</t>
        </is>
      </c>
      <c r="AD16" t="inlineStr">
        <is>
          <t>{"aps":{"radius":11,"charges":2,"recharge":4}}</t>
        </is>
      </c>
    </row>
    <row r="17">
      <c r="A17" t="inlineStr">
        <is>
          <t>missile_battery.pac3</t>
        </is>
      </c>
      <c r="B17" t="inlineStr">
        <is>
          <t>thap</t>
        </is>
      </c>
      <c r="C17" t="inlineStr">
        <is>
          <t>SELF_APS</t>
        </is>
      </c>
      <c r="D17" t="inlineStr">
        <is>
          <t>khong</t>
        </is>
      </c>
      <c r="E17" t="inlineStr">
        <is>
          <t>khong</t>
        </is>
      </c>
      <c r="F17" t="inlineStr">
        <is>
          <t>khong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4</v>
      </c>
      <c r="S17" t="b">
        <v>0</v>
      </c>
      <c r="T17" t="b">
        <v>1</v>
      </c>
      <c r="V17" t="b">
        <v>1</v>
      </c>
      <c r="W17" t="n">
        <v>72</v>
      </c>
      <c r="Y17" t="n">
        <v>16</v>
      </c>
      <c r="AC17" t="inlineStr">
        <is>
          <t>Assets/MachineBrigade/Resources/Data/balance.json: vehicles[93]</t>
        </is>
      </c>
      <c r="AD17" t="inlineStr">
        <is>
          <t>{"aps":{"radius":72,"charges":4,"reload":16,"heavy":true,"direct":false,"missiles":true}}</t>
        </is>
      </c>
    </row>
    <row r="18">
      <c r="A18" t="inlineStr">
        <is>
          <t>next_gen_tank</t>
        </is>
      </c>
      <c r="B18" t="inlineStr">
        <is>
          <t>xe</t>
        </is>
      </c>
      <c r="C18" t="inlineStr">
        <is>
          <t>SELF_APS</t>
        </is>
      </c>
      <c r="D18" t="inlineStr">
        <is>
          <t>co</t>
        </is>
      </c>
      <c r="E18" t="inlineStr">
        <is>
          <t>co</t>
        </is>
      </c>
      <c r="F18" t="inlineStr">
        <is>
          <t>co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Q18" t="inlineStr">
        <is>
          <t>BuiltIn</t>
        </is>
      </c>
      <c r="R18" t="n">
        <v>2</v>
      </c>
      <c r="U18" t="b">
        <v>1</v>
      </c>
      <c r="W18" t="n">
        <v>20</v>
      </c>
      <c r="X18" t="n">
        <v>10</v>
      </c>
      <c r="Z18" t="b">
        <v>0</v>
      </c>
      <c r="AA18" t="n">
        <v>0</v>
      </c>
      <c r="AB18" t="inlineStr">
        <is>
          <t>SelfAps</t>
        </is>
      </c>
      <c r="AC18" t="inlineStr">
        <is>
          <t>Assets/MachineBrigade/Resources/Data/balance.json: vehicles[122]</t>
        </is>
      </c>
      <c r="AD18" t="inlineStr">
        <is>
          <t>{"aps":{"radius":20,"shells":0,"charges":2,"recharge":10,"rockets":false,"laser":true},"apsCapability":"BuiltIn","interceptionMode":"SelfAps"}</t>
        </is>
      </c>
    </row>
    <row r="19">
      <c r="A19" t="inlineStr">
        <is>
          <t>sea_corvette</t>
        </is>
      </c>
      <c r="B19" t="inlineStr">
        <is>
          <t>xe</t>
        </is>
      </c>
      <c r="C19" t="inlineStr">
        <is>
          <t>POINT_DEFENSE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co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R19" t="n">
        <v>2</v>
      </c>
      <c r="W19" t="n">
        <v>32</v>
      </c>
      <c r="X19" t="n">
        <v>2.5</v>
      </c>
      <c r="Z19" t="b">
        <v>1</v>
      </c>
      <c r="AB19" t="inlineStr">
        <is>
          <t>PointDefense</t>
        </is>
      </c>
      <c r="AC19" t="inlineStr">
        <is>
          <t>Assets/MachineBrigade/Resources/Data/balance.json: vehicles[154]</t>
        </is>
      </c>
      <c r="AD19" t="inlineStr">
        <is>
          <t>{"aps":{"radius":32,"charges":2,"recharge":2.5,"rockets":true},"interceptionMode":"PointDefense"}</t>
        </is>
      </c>
    </row>
    <row r="20">
      <c r="A20" t="inlineStr">
        <is>
          <t>sea_cruiser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30</v>
      </c>
      <c r="X20" t="n">
        <v>2.4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vehicles[155]</t>
        </is>
      </c>
      <c r="AD20" t="inlineStr">
        <is>
          <t>{"aps":{"radius":30,"charges":2,"recharge":2.4,"rockets":true},"interceptionMode":"PointDefense"}</t>
        </is>
      </c>
    </row>
    <row r="21">
      <c r="A21" t="inlineStr">
        <is>
          <t>silver_bug</t>
        </is>
      </c>
      <c r="B21" t="inlineStr">
        <is>
          <t>boss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3</v>
      </c>
      <c r="U21" t="b">
        <v>1</v>
      </c>
      <c r="W21" t="n">
        <v>49.6</v>
      </c>
      <c r="X21" t="n">
        <v>1.4</v>
      </c>
      <c r="Z21" t="b">
        <v>1</v>
      </c>
      <c r="AC21" t="inlineStr">
        <is>
          <t>Assets/MachineBrigade/Resources/Data/balance.json: vehicles[144]</t>
        </is>
      </c>
      <c r="AD21" t="inlineStr">
        <is>
          <t>{"aps":{"radius":49.6,"charges":3,"recharge":1.4,"rockets":true,"laser":true}}</t>
        </is>
      </c>
    </row>
    <row r="22">
      <c r="A22" t="inlineStr">
        <is>
          <t>titan_tank</t>
        </is>
      </c>
      <c r="B22" t="inlineStr">
        <is>
          <t>xe</t>
        </is>
      </c>
      <c r="C22" t="inlineStr">
        <is>
          <t>SELF_APS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khong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Q22" t="inlineStr">
        <is>
          <t>BuiltIn</t>
        </is>
      </c>
      <c r="R22" t="n">
        <v>3</v>
      </c>
      <c r="W22" t="n">
        <v>20</v>
      </c>
      <c r="X22" t="n">
        <v>10</v>
      </c>
      <c r="AC22" t="inlineStr">
        <is>
          <t>Assets/MachineBrigade/Resources/Data/balance.json: vehicles[20]</t>
        </is>
      </c>
      <c r="AD22" t="inlineStr">
        <is>
          <t>{"aps":{"radius":20,"recharge":10,"charges":3},"apsCapability":"BuiltIn"}</t>
        </is>
      </c>
    </row>
  </sheetData>
  <autoFilter ref="A1:AD2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(01_chien_dau/Trang_bi_mo_dun)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(01_chien_dau/Trang_bi_mo_dun)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112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46</v>
      </c>
      <c r="C6" t="inlineStr">
        <is>
          <t>dẫn đường (homing)</t>
        </is>
      </c>
      <c r="D6" t="inlineStr">
        <is>
          <t>nổ lan 47%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76%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28</v>
      </c>
      <c r="C7" t="inlineStr">
        <is>
          <t>dẫn đường 4%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129</v>
      </c>
      <c r="C8" t="inlineStr">
        <is>
          <t>dẫn đường 11% vũ khí, còn lại đón đầu (trần 3 s)</t>
        </is>
      </c>
      <c r="D8" t="inlineStr">
        <is>
          <t>nổ lan 80%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605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8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igla_v</t>
        </is>
      </c>
      <c r="B15" t="inlineStr">
        <is>
          <t>igla_v</t>
        </is>
      </c>
      <c r="C15" t="inlineStr">
        <is>
          <t>9K38 Igla-V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Direct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/>
      <c r="T15" t="inlineStr">
        <is>
          <t>Assets/MachineBrigade/Resources/Data/balance.json: weapons[igla_v] (guided/weaponFamilyId) + munitionRules.radarGuided/sightGuided</t>
        </is>
      </c>
      <c r="U15" t="inlineStr"/>
    </row>
    <row r="16">
      <c r="A16" t="inlineStr">
        <is>
          <t>jassm</t>
        </is>
      </c>
      <c r="B16" t="inlineStr">
        <is>
          <t>jassm</t>
        </is>
      </c>
      <c r="C16" t="inlineStr">
        <is>
          <t>AGM-158 JASSM (450 kg)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0.6</v>
      </c>
      <c r="Q16" t="n">
        <v>0</v>
      </c>
      <c r="R16" t="inlineStr">
        <is>
          <t>KHONG_AP_DUNG</t>
        </is>
      </c>
      <c r="S16" t="inlineStr">
        <is>
          <t>stealth_bomber;swarm_carrier</t>
        </is>
      </c>
      <c r="T16" t="inlineStr">
        <is>
          <t>Assets/MachineBrigade/Resources/Data/balance.json: weapons[jassm] (guided/weaponFamilyId) + munitionRules.radarGuided/sightGuided</t>
        </is>
      </c>
      <c r="U16" t="inlineStr"/>
    </row>
    <row r="17">
      <c r="A17" t="inlineStr">
        <is>
          <t>kh29</t>
        </is>
      </c>
      <c r="B17" t="inlineStr">
        <is>
          <t>kh29</t>
        </is>
      </c>
      <c r="C17" t="inlineStr">
        <is>
          <t>Kh-29L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0.1</v>
      </c>
      <c r="Q17" t="n">
        <v>0</v>
      </c>
      <c r="R17" t="inlineStr">
        <is>
          <t>KHONG_AP_DUNG</t>
        </is>
      </c>
      <c r="S17" t="inlineStr">
        <is>
          <t>attack_jet;elite_attack_jet</t>
        </is>
      </c>
      <c r="T17" t="inlineStr">
        <is>
          <t>Assets/MachineBrigade/Resources/Data/balance.json: weapons[kh29] (guided/weaponFamilyId) + munitionRules.radarGuided/sightGuided</t>
        </is>
      </c>
      <c r="U17" t="inlineStr"/>
    </row>
    <row r="18">
      <c r="A18" t="inlineStr">
        <is>
          <t>kornet_multi</t>
        </is>
      </c>
      <c r="B18" t="inlineStr">
        <is>
          <t>kornet_multi</t>
        </is>
      </c>
      <c r="C18" t="inlineStr">
        <is>
          <t>9M133 Kornet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0.6</v>
      </c>
      <c r="Q18" t="n">
        <v>0</v>
      </c>
      <c r="R18" t="inlineStr">
        <is>
          <t>KHONG_AP_DUNG</t>
        </is>
      </c>
      <c r="S18" t="inlineStr">
        <is>
          <t>atgm_tower.multi</t>
        </is>
      </c>
      <c r="T18" t="inlineStr">
        <is>
          <t>Assets/MachineBrigade/Resources/Data/balance.json: weapons[kornet_multi] (guided/weaponFamilyId) + munitionRules.radarGuided/sightGuided</t>
        </is>
      </c>
      <c r="U18" t="inlineStr"/>
    </row>
    <row r="19">
      <c r="A19" t="inlineStr">
        <is>
          <t>kornet_top</t>
        </is>
      </c>
      <c r="B19" t="inlineStr">
        <is>
          <t>kornet_top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Loft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atgm_tower.top</t>
        </is>
      </c>
      <c r="T19" t="inlineStr">
        <is>
          <t>Assets/MachineBrigade/Resources/Data/balance.json: weapons[kornet_top] (guided/weaponFamilyId) + munitionRules.radarGuided/sightGuided</t>
        </is>
      </c>
      <c r="U19" t="inlineStr"/>
    </row>
    <row r="20">
      <c r="A20" t="inlineStr">
        <is>
          <t>kornet_twin</t>
        </is>
      </c>
      <c r="B20" t="inlineStr">
        <is>
          <t>kornet_twin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Direct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/>
      <c r="T20" t="inlineStr">
        <is>
          <t>Assets/MachineBrigade/Resources/Data/balance.json: weapons[kornet_twin] (guided/weaponFamilyId) + munitionRules.radarGuided/sightGuided</t>
        </is>
      </c>
      <c r="U20" t="inlineStr"/>
    </row>
    <row r="21">
      <c r="A21" t="inlineStr">
        <is>
          <t>leviathan_cruise</t>
        </is>
      </c>
      <c r="B21" t="inlineStr">
        <is>
          <t>leviathan_cruise</t>
        </is>
      </c>
      <c r="C21" t="inlineStr">
        <is>
          <t>3M-54 Kalibr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Loft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0.1</v>
      </c>
      <c r="Q21" t="n">
        <v>0</v>
      </c>
      <c r="R21" t="inlineStr">
        <is>
          <t>KHONG_AP_DUNG</t>
        </is>
      </c>
      <c r="S21" t="inlineStr">
        <is>
          <t>hydra;kraken;leviathan;nyx;scylla;typhon</t>
        </is>
      </c>
      <c r="T21" t="inlineStr">
        <is>
          <t>Assets/MachineBrigade/Resources/Data/balance.json: weapons[leviathan_cruise] (guided/weaponFamilyId) + munitionRules.radarGuided/sightGuided</t>
        </is>
      </c>
      <c r="U21" t="inlineStr"/>
    </row>
    <row r="22">
      <c r="A22" t="inlineStr">
        <is>
          <t>maverick</t>
        </is>
      </c>
      <c r="B22" t="inlineStr">
        <is>
          <t>maverick</t>
        </is>
      </c>
      <c r="C22" t="inlineStr">
        <is>
          <t>AGM-65 Maverick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Direct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/>
      <c r="T22" t="inlineStr">
        <is>
          <t>Assets/MachineBrigade/Resources/Data/balance.json: weapons[maverick] (guided/weaponFamilyId) + munitionRules.radarGuided/sightGuided</t>
        </is>
      </c>
      <c r="U22" t="inlineStr"/>
    </row>
    <row r="23">
      <c r="A23" t="inlineStr">
        <is>
          <t>missile_57e6</t>
        </is>
      </c>
      <c r="B23" t="inlineStr">
        <is>
          <t>missile_57e6</t>
        </is>
      </c>
      <c r="C23" t="inlineStr">
        <is>
          <t>57E6 (Pantsir)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>
        <is>
          <t>heavy_aa</t>
        </is>
      </c>
      <c r="T23" t="inlineStr">
        <is>
          <t>Assets/MachineBrigade/Resources/Data/balance.json: weapons[missile_57e6] (guided/weaponFamilyId) + munitionRules.radarGuided/sightGuided</t>
        </is>
      </c>
      <c r="U23" t="inlineStr"/>
    </row>
    <row r="24">
      <c r="A24" t="inlineStr">
        <is>
          <t>one_shot_kornet</t>
        </is>
      </c>
      <c r="B24" t="inlineStr">
        <is>
          <t>one_shot_kornet</t>
        </is>
      </c>
      <c r="C24" t="inlineStr">
        <is>
          <t>9M133 Kornet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0.6</v>
      </c>
      <c r="Q24" t="n">
        <v>8</v>
      </c>
      <c r="R24" t="inlineStr">
        <is>
          <t>KHONG_AP_DUNG</t>
        </is>
      </c>
      <c r="S24" t="inlineStr">
        <is>
          <t>one_shot_atgm_tower</t>
        </is>
      </c>
      <c r="T24" t="inlineStr">
        <is>
          <t>Assets/MachineBrigade/Resources/Data/balance.json: weapons[one_shot_kornet] (guided/weaponFamilyId) + munitionRules.radarGuided/sightGuided</t>
        </is>
      </c>
      <c r="U24" t="inlineStr"/>
    </row>
    <row r="25">
      <c r="A25" t="inlineStr">
        <is>
          <t>p26_bastion_tiny_kornet_twin</t>
        </is>
      </c>
      <c r="B25" t="inlineStr">
        <is>
          <t>p26_bastion_tiny_kornet_twin</t>
        </is>
      </c>
      <c r="C25" t="inlineStr">
        <is>
          <t>9M133 Kornet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Direct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0.6</v>
      </c>
      <c r="Q25" t="n">
        <v>0</v>
      </c>
      <c r="R25" t="inlineStr">
        <is>
          <t>KHONG_AP_DUNG</t>
        </is>
      </c>
      <c r="S25" t="inlineStr">
        <is>
          <t>fortress_bastion;monster</t>
        </is>
      </c>
      <c r="T25" t="inlineStr">
        <is>
          <t>Assets/MachineBrigade/Resources/Data/balance.json: weapons[p26_bastion_tiny_kornet_twin] (guided/weaponFamilyId) + munitionRules.radarGuided/sightGuided</t>
        </is>
      </c>
      <c r="U25" t="inlineStr"/>
    </row>
    <row r="26">
      <c r="A26" t="inlineStr">
        <is>
          <t>p26_behemoth_tiny_boss_missiles</t>
        </is>
      </c>
      <c r="B26" t="inlineStr">
        <is>
          <t>p26_behemoth_tiny_boss_missiles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0.1</v>
      </c>
      <c r="Q26" t="n">
        <v>0</v>
      </c>
      <c r="R26" t="inlineStr">
        <is>
          <t>KHONG_AP_DUNG</t>
        </is>
      </c>
      <c r="S26" t="inlineStr">
        <is>
          <t>behemoth</t>
        </is>
      </c>
      <c r="T26" t="inlineStr">
        <is>
          <t>Assets/MachineBrigade/Resources/Data/balance.json: weapons[p26_behemoth_tiny_boss_missiles] (guided/weaponFamilyId) + munitionRules.radarGuided/sightGuided</t>
        </is>
      </c>
      <c r="U26" t="inlineStr"/>
    </row>
    <row r="27">
      <c r="A27" t="inlineStr">
        <is>
          <t>p26_matriarch_direct_ma_atgm</t>
        </is>
      </c>
      <c r="B27" t="inlineStr">
        <is>
          <t>p26_matriarch_direct_ma_atgm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0.1</v>
      </c>
      <c r="Q27" t="n">
        <v>0</v>
      </c>
      <c r="R27" t="inlineStr">
        <is>
          <t>KHONG_AP_DUNG</t>
        </is>
      </c>
      <c r="S27" t="inlineStr">
        <is>
          <t>drone_mothership</t>
        </is>
      </c>
      <c r="T27" t="inlineStr">
        <is>
          <t>Assets/MachineBrigade/Resources/Data/balance.json: weapons[p26_matriarch_direct_ma_atgm] (guided/weaponFamilyId) + munitionRules.radarGuided/sightGuided</t>
        </is>
      </c>
      <c r="U27" t="inlineStr"/>
    </row>
    <row r="28">
      <c r="A28" t="inlineStr">
        <is>
          <t>p26_matriarch_ma_atgm</t>
        </is>
      </c>
      <c r="B28" t="inlineStr">
        <is>
          <t>p26_matriarch_ma_atgm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/>
      <c r="T28" t="inlineStr">
        <is>
          <t>Assets/MachineBrigade/Resources/Data/balance.json: weapons[p26_matriarch_ma_atgm] (guided/weaponFamilyId) + munitionRules.radarGuided/sightGuided</t>
        </is>
      </c>
      <c r="U28" t="inlineStr"/>
    </row>
    <row r="29">
      <c r="A29" t="inlineStr">
        <is>
          <t>p26_roc_direct_roc_atgm</t>
        </is>
      </c>
      <c r="B29" t="inlineStr">
        <is>
          <t>p26_roc_direct_roc_atgm</t>
        </is>
      </c>
      <c r="C29" t="inlineStr">
        <is>
          <t>Kornet (dropped from the bay)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0.6</v>
      </c>
      <c r="Q29" t="n">
        <v>0</v>
      </c>
      <c r="R29" t="inlineStr">
        <is>
          <t>KHONG_AP_DUNG</t>
        </is>
      </c>
      <c r="S29" t="inlineStr">
        <is>
          <t>command_airship</t>
        </is>
      </c>
      <c r="T29" t="inlineStr">
        <is>
          <t>Assets/MachineBrigade/Resources/Data/balance.json: weapons[p26_roc_direct_roc_atgm] (guided/weaponFamilyId) + munitionRules.radarGuided/sightGuided</t>
        </is>
      </c>
      <c r="U29" t="inlineStr"/>
    </row>
    <row r="30">
      <c r="A30" t="inlineStr">
        <is>
          <t>p26_roc_roc_atgm</t>
        </is>
      </c>
      <c r="B30" t="inlineStr">
        <is>
          <t>p26_roc_roc_atgm</t>
        </is>
      </c>
      <c r="C30" t="inlineStr">
        <is>
          <t>Kornet (dropped from the bay)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weapons[p26_roc_roc_atgm] (guided/weaponFamilyId) + munitionRules.radarGuided/sightGuided</t>
        </is>
      </c>
      <c r="U30" t="inlineStr"/>
    </row>
    <row r="31">
      <c r="A31" t="inlineStr">
        <is>
          <t>patriot</t>
        </is>
      </c>
      <c r="B31" t="inlineStr">
        <is>
          <t>patriot</t>
        </is>
      </c>
      <c r="C31" t="inlineStr">
        <is>
          <t>MIM-104 Patriot PAC-2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Loft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0.45</v>
      </c>
      <c r="Q31" t="n">
        <v>0</v>
      </c>
      <c r="R31" t="inlineStr">
        <is>
          <t>KHONG_AP_DUNG</t>
        </is>
      </c>
      <c r="S31" t="inlineStr">
        <is>
          <t>missile_battery</t>
        </is>
      </c>
      <c r="T31" t="inlineStr">
        <is>
          <t>Assets/MachineBrigade/Resources/Data/balance.json: weapons[patriot] (guided/weaponFamilyId) + munitionRules.radarGuided/sightGuided</t>
        </is>
      </c>
      <c r="U31" t="inlineStr"/>
    </row>
    <row r="32">
      <c r="A32" t="inlineStr">
        <is>
          <t>pt14_ixion_kornet</t>
        </is>
      </c>
      <c r="B32" t="inlineStr">
        <is>
          <t>pt14_ixion_kornet</t>
        </is>
      </c>
      <c r="C32" t="inlineStr">
        <is>
          <t>9M133 Kornet-EM (twin launcher)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>
        <is>
          <t>ixion</t>
        </is>
      </c>
      <c r="T32" t="inlineStr">
        <is>
          <t>Assets/MachineBrigade/Resources/Data/balance.json: weapons[pt14_ixion_kornet] (guided/weaponFamilyId) + munitionRules.radarGuided/sightGuided</t>
        </is>
      </c>
      <c r="U32" t="inlineStr"/>
    </row>
    <row r="33">
      <c r="A33" t="inlineStr">
        <is>
          <t>r60</t>
        </is>
      </c>
      <c r="B33" t="inlineStr">
        <is>
          <t>r60</t>
        </is>
      </c>
      <c r="C33" t="inlineStr">
        <is>
          <t>R-60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Direct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0.1</v>
      </c>
      <c r="Q33" t="n">
        <v>0</v>
      </c>
      <c r="R33" t="inlineStr">
        <is>
          <t>KHONG_AP_DUNG</t>
        </is>
      </c>
      <c r="S33" t="inlineStr">
        <is>
          <t>attack_jet;elite_attack_jet</t>
        </is>
      </c>
      <c r="T33" t="inlineStr">
        <is>
          <t>Assets/MachineBrigade/Resources/Data/balance.json: weapons[r60] (guided/weaponFamilyId) + munitionRules.radarGuided/sightGuided</t>
        </is>
      </c>
      <c r="U33" t="inlineStr"/>
    </row>
    <row r="34">
      <c r="A34" t="inlineStr">
        <is>
          <t>recon_missile</t>
        </is>
      </c>
      <c r="B34" t="inlineStr">
        <is>
          <t>recon_missile</t>
        </is>
      </c>
      <c r="C34" t="inlineStr">
        <is>
          <t>MAM-L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0.1</v>
      </c>
      <c r="Q34" t="n">
        <v>0</v>
      </c>
      <c r="R34" t="inlineStr">
        <is>
          <t>KHONG_AP_DUNG</t>
        </is>
      </c>
      <c r="S34" t="inlineStr">
        <is>
          <t>recon_drone</t>
        </is>
      </c>
      <c r="T34" t="inlineStr">
        <is>
          <t>Assets/MachineBrigade/Resources/Data/balance.json: weapons[recon_missile] (guided/weaponFamilyId) + munitionRules.radarGuided/sightGuided</t>
        </is>
      </c>
      <c r="U34" t="inlineStr"/>
    </row>
    <row r="35">
      <c r="A35" t="inlineStr">
        <is>
          <t>sam</t>
        </is>
      </c>
      <c r="B35" t="inlineStr">
        <is>
          <t>sam</t>
        </is>
      </c>
      <c r="C35" t="inlineStr">
        <is>
          <t>Starstreak / Stinger SHORAD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Direct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0.1</v>
      </c>
      <c r="Q35" t="n">
        <v>0</v>
      </c>
      <c r="R35" t="inlineStr">
        <is>
          <t>KHONG_AP_DUNG</t>
        </is>
      </c>
      <c r="S35" t="inlineStr">
        <is>
          <t>aa_turret;aa_vehicle;elite_aa;manpads_tower;mobile_fortress;nuke_train;typhon</t>
        </is>
      </c>
      <c r="T35" t="inlineStr">
        <is>
          <t>Assets/MachineBrigade/Resources/Data/balance.json: weapons[sam] (guided/weaponFamilyId) + munitionRules.radarGuided/sightGuided</t>
        </is>
      </c>
      <c r="U35" t="inlineStr"/>
    </row>
    <row r="36">
      <c r="A36" t="inlineStr">
        <is>
          <t>sam_48n6</t>
        </is>
      </c>
      <c r="B36" t="inlineStr">
        <is>
          <t>sam_48n6</t>
        </is>
      </c>
      <c r="C36" t="inlineStr">
        <is>
          <t>S-400 48N6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Loft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elite_long_sam;long_sam</t>
        </is>
      </c>
      <c r="T36" t="inlineStr">
        <is>
          <t>Assets/MachineBrigade/Resources/Data/balance.json: weapons[sam_48n6] (guided/weaponFamilyId) + munitionRules.radarGuided/sightGuided</t>
        </is>
      </c>
      <c r="U36" t="inlineStr"/>
    </row>
    <row r="37">
      <c r="A37" t="inlineStr">
        <is>
          <t>sam_battery</t>
        </is>
      </c>
      <c r="B37" t="inlineStr">
        <is>
          <t>sam_battery</t>
        </is>
      </c>
      <c r="C37" t="inlineStr">
        <is>
          <t>MIM-104 Patriot PAC-2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Loft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3</v>
      </c>
      <c r="Q37" t="n">
        <v>0</v>
      </c>
      <c r="R37" t="inlineStr">
        <is>
          <t>KHONG_AP_DUNG</t>
        </is>
      </c>
      <c r="S37" t="inlineStr">
        <is>
          <t>nuke_train</t>
        </is>
      </c>
      <c r="T37" t="inlineStr">
        <is>
          <t>Assets/MachineBrigade/Resources/Data/balance.json: weapons[sam_battery] (guided/weaponFamilyId) + munitionRules.radarGuided/sightGuided</t>
        </is>
      </c>
      <c r="U37" t="inlineStr"/>
    </row>
    <row r="38">
      <c r="A38" t="inlineStr">
        <is>
          <t>sam_battery_lrr</t>
        </is>
      </c>
      <c r="B38" t="inlineStr">
        <is>
          <t>sam_battery_lrr</t>
        </is>
      </c>
      <c r="C38" t="inlineStr">
        <is>
          <t>MIM-104 Patriot PAC-2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Loft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0.45</v>
      </c>
      <c r="Q38" t="n">
        <v>0</v>
      </c>
      <c r="R38" t="inlineStr">
        <is>
          <t>KHONG_AP_DUNG</t>
        </is>
      </c>
      <c r="S38" t="inlineStr">
        <is>
          <t>missile_battery.lrr</t>
        </is>
      </c>
      <c r="T38" t="inlineStr">
        <is>
          <t>Assets/MachineBrigade/Resources/Data/balance.json: weapons[sam_battery_lrr] (guided/weaponFamilyId) + munitionRules.radarGuided/sightGuided</t>
        </is>
      </c>
      <c r="U38" t="inlineStr"/>
    </row>
    <row r="39">
      <c r="A39" t="inlineStr">
        <is>
          <t>sam_long</t>
        </is>
      </c>
      <c r="B39" t="inlineStr">
        <is>
          <t>sam_long</t>
        </is>
      </c>
      <c r="C39" t="inlineStr">
        <is>
          <t>9M317 Buk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0.5</v>
      </c>
      <c r="Q39" t="n">
        <v>0</v>
      </c>
      <c r="R39" t="inlineStr">
        <is>
          <t>KHONG_AP_DUNG</t>
        </is>
      </c>
      <c r="S39" t="inlineStr"/>
      <c r="T39" t="inlineStr">
        <is>
          <t>Assets/MachineBrigade/Resources/Data/balance.json: weapons[sam_long] (guided/weaponFamilyId) + munitionRules.radarGuided/sightGuided</t>
        </is>
      </c>
      <c r="U39" t="inlineStr"/>
    </row>
    <row r="40">
      <c r="A40" t="inlineStr">
        <is>
          <t>sam_pac3</t>
        </is>
      </c>
      <c r="B40" t="inlineStr">
        <is>
          <t>sam_pac3</t>
        </is>
      </c>
      <c r="C40" t="inlineStr">
        <is>
          <t>Patriot PAC-3 MSE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Loft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0.45</v>
      </c>
      <c r="Q40" t="n">
        <v>0</v>
      </c>
      <c r="R40" t="inlineStr">
        <is>
          <t>KHONG_AP_DUNG</t>
        </is>
      </c>
      <c r="S40" t="inlineStr">
        <is>
          <t>missile_battery.pac3</t>
        </is>
      </c>
      <c r="T40" t="inlineStr">
        <is>
          <t>Assets/MachineBrigade/Resources/Data/balance.json: weapons[sam_pac3] (guided/weaponFamilyId) + munitionRules.radarGuided/sightGuided</t>
        </is>
      </c>
      <c r="U40" t="inlineStr"/>
    </row>
    <row r="41">
      <c r="A41" t="inlineStr">
        <is>
          <t>sam_post</t>
        </is>
      </c>
      <c r="B41" t="inlineStr">
        <is>
          <t>sam_post</t>
        </is>
      </c>
      <c r="C41" t="inlineStr">
        <is>
          <t>9M317 Buk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Direct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0.5</v>
      </c>
      <c r="Q41" t="n">
        <v>0</v>
      </c>
      <c r="R41" t="inlineStr">
        <is>
          <t>KHONG_AP_DUNG</t>
        </is>
      </c>
      <c r="S41" t="inlineStr">
        <is>
          <t>kraken;leviathan;mobile_fortress;sam_medium;typhon</t>
        </is>
      </c>
      <c r="T41" t="inlineStr">
        <is>
          <t>Assets/MachineBrigade/Resources/Data/balance.json: weapons[sam_post] (guided/weaponFamilyId) + munitionRules.radarGuided/sightGuided</t>
        </is>
      </c>
      <c r="U41" t="inlineStr"/>
    </row>
    <row r="42">
      <c r="A42" t="inlineStr">
        <is>
          <t>stinger_atas</t>
        </is>
      </c>
      <c r="B42" t="inlineStr">
        <is>
          <t>stinger_atas</t>
        </is>
      </c>
      <c r="C42" t="inlineStr">
        <is>
          <t>FIM-92 Stinger (ATAS)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Direct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0.1</v>
      </c>
      <c r="Q42" t="n">
        <v>0</v>
      </c>
      <c r="R42" t="inlineStr">
        <is>
          <t>KHONG_AP_DUNG</t>
        </is>
      </c>
      <c r="S42" t="inlineStr">
        <is>
          <t>attack_helicopter;elite_attack_helicopter</t>
        </is>
      </c>
      <c r="T42" t="inlineStr">
        <is>
          <t>Assets/MachineBrigade/Resources/Data/balance.json: weapons[stinger_atas] (guided/weaponFamilyId) + munitionRules.radarGuided/sightGuided</t>
        </is>
      </c>
      <c r="U42" t="inlineStr"/>
    </row>
    <row r="43">
      <c r="A43" t="inlineStr">
        <is>
          <t>stinger_post</t>
        </is>
      </c>
      <c r="B43" t="inlineStr">
        <is>
          <t>stinger_post</t>
        </is>
      </c>
      <c r="C43" t="inlineStr">
        <is>
          <t>FIM-92 Stinger (tower post)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Direct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0.1</v>
      </c>
      <c r="Q43" t="n">
        <v>0</v>
      </c>
      <c r="R43" t="inlineStr">
        <is>
          <t>KHONG_AP_DUNG</t>
        </is>
      </c>
      <c r="S43" t="inlineStr">
        <is>
          <t>aa_turret.sam</t>
        </is>
      </c>
      <c r="T43" t="inlineStr">
        <is>
          <t>Assets/MachineBrigade/Resources/Data/balance.json: weapons[stinger_post] (guided/weaponFamilyId) + munitionRules.radarGuided/sightGuided</t>
        </is>
      </c>
      <c r="U43" t="inlineStr"/>
    </row>
    <row r="44">
      <c r="A44" t="inlineStr">
        <is>
          <t>tamir</t>
        </is>
      </c>
      <c r="B44" t="inlineStr">
        <is>
          <t>tamir</t>
        </is>
      </c>
      <c r="C44" t="inlineStr">
        <is>
          <t>Tamir interceptor (Iron Dome)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Loft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0.1</v>
      </c>
      <c r="Q44" t="n">
        <v>0</v>
      </c>
      <c r="R44" t="inlineStr">
        <is>
          <t>KHONG_AP_DUNG</t>
        </is>
      </c>
      <c r="S44" t="inlineStr">
        <is>
          <t>c_ram.dome</t>
        </is>
      </c>
      <c r="T44" t="inlineStr">
        <is>
          <t>Assets/MachineBrigade/Resources/Data/balance.json: weapons[tamir] (guided/weaponFamilyId) + munitionRules.radarGuided/sightGuided</t>
        </is>
      </c>
      <c r="U44" t="inlineStr"/>
    </row>
    <row r="45">
      <c r="A45" t="inlineStr">
        <is>
          <t>tower_kornet</t>
        </is>
      </c>
      <c r="B45" t="inlineStr">
        <is>
          <t>tower_kornet</t>
        </is>
      </c>
      <c r="C45" t="inlineStr">
        <is>
          <t>9M133 Kornet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Direct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0.6</v>
      </c>
      <c r="Q45" t="n">
        <v>0</v>
      </c>
      <c r="R45" t="inlineStr">
        <is>
          <t>KHONG_AP_DUNG</t>
        </is>
      </c>
      <c r="S45" t="inlineStr">
        <is>
          <t>atgm_tower</t>
        </is>
      </c>
      <c r="T45" t="inlineStr">
        <is>
          <t>Assets/MachineBrigade/Resources/Data/balance.json: weapons[tower_kornet] (guided/weaponFamilyId) + munitionRules.radarGuided/sightGuided</t>
        </is>
      </c>
      <c r="U45" t="inlineStr"/>
    </row>
    <row r="46">
      <c r="A46" t="inlineStr">
        <is>
          <t>vikhr</t>
        </is>
      </c>
      <c r="B46" t="inlineStr">
        <is>
          <t>vikhr</t>
        </is>
      </c>
      <c r="C46" t="inlineStr">
        <is>
          <t>9K121 Vikhr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0.45</v>
      </c>
      <c r="Q46" t="n">
        <v>0</v>
      </c>
      <c r="R46" t="inlineStr">
        <is>
          <t>KHONG_AP_DUNG</t>
        </is>
      </c>
      <c r="S46" t="inlineStr"/>
      <c r="T46" t="inlineStr">
        <is>
          <t>Assets/MachineBrigade/Resources/Data/balance.json: weapons[vikhr] (guided/weaponFamilyId) + munitionRules.radarGuided/sightGuided</t>
        </is>
      </c>
      <c r="U46" t="inlineStr"/>
    </row>
    <row r="47">
      <c r="A47" t="inlineStr">
        <is>
          <t>wvr_aam</t>
        </is>
      </c>
      <c r="B47" t="inlineStr">
        <is>
          <t>wvr_aam</t>
        </is>
      </c>
      <c r="C47" t="inlineStr">
        <is>
          <t>AIM-9X Sidewinder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Direct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0.1</v>
      </c>
      <c r="Q47" t="n">
        <v>0</v>
      </c>
      <c r="R47" t="inlineStr">
        <is>
          <t>KHONG_AP_DUNG</t>
        </is>
      </c>
      <c r="S47" t="inlineStr">
        <is>
          <t>fighter_jet</t>
        </is>
      </c>
      <c r="T47" t="inlineStr">
        <is>
          <t>Assets/MachineBrigade/Resources/Data/balance.json: weapons[wvr_aam] (guided/weaponFamilyId) + munitionRules.radarGuided/sightGuided</t>
        </is>
      </c>
      <c r="U47" t="inlineStr"/>
    </row>
  </sheetData>
  <autoFilter ref="A1:U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n">
        <v>0.909</v>
      </c>
      <c r="J6" t="n">
        <v>22.5</v>
      </c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1.5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1</v>
      </c>
      <c r="AE5">
        <f>INDEX(Bang_xuyen_giap!$C$2:$C$7,MIN(6,MAX(1,IF($O$5,MAX(1,2-(Vu_khi!$L$5-4)),2-(Vu_khi!$L$5-4))+1)))</f>
        <v/>
      </c>
      <c r="AF5" t="n">
        <v>0.5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16.875</v>
      </c>
      <c r="AO5">
        <f>IF($Q$5,$M$5*$AC$5*$Y$5,0)</f>
        <v/>
      </c>
      <c r="AP5" t="n">
        <v>50.625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0.5</v>
      </c>
      <c r="W6">
        <f>INDEX(Bang_sat_thuong!$C$2:$C$7,MATCH(Vu_khi!$K$6,Bang_sat_thuong!$A$2:$A$7,0))</f>
        <v/>
      </c>
      <c r="X6" t="n">
        <v>1.3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95.78947368421052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</v>
      </c>
      <c r="W7">
        <f>INDEX(Bang_sat_thuong!$C$2:$C$7,MATCH(Vu_khi!$K$7,Bang_sat_thuong!$A$2:$A$7,0))</f>
        <v/>
      </c>
      <c r="X7" t="n">
        <v>0.3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0.6</v>
      </c>
      <c r="AA7">
        <f>INDEX(Bang_xuyen_giap!$C$2:$C$7,MIN(6,MAX(1,IF($O$7,MAX(1,2-(Vu_khi!$L$7-0)),2-(Vu_khi!$L$7-0))+1)))</f>
        <v/>
      </c>
      <c r="AB7" t="n">
        <v>1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46.40883977900553</v>
      </c>
      <c r="AK7">
        <f>IF($Q$7,$M$7*$AC$7*$U$7,0)</f>
        <v/>
      </c>
      <c r="AL7" t="n">
        <v>46.40883977900553</v>
      </c>
      <c r="AM7">
        <f>IF($Q$7,$M$7*$AE$7*$U$7,0)</f>
        <v/>
      </c>
      <c r="AN7" t="n">
        <v>23.20441988950277</v>
      </c>
      <c r="AO7">
        <f>IF($Q$7,$M$7*$AC$7*$Y$7,0)</f>
        <v/>
      </c>
      <c r="AP7" t="n">
        <v>27.84530386740332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0.5</v>
      </c>
      <c r="W8">
        <f>INDEX(Bang_sat_thuong!$C$2:$C$7,MATCH(Vu_khi!$K$8,Bang_sat_thuong!$A$2:$A$7,0))</f>
        <v/>
      </c>
      <c r="X8" t="n">
        <v>1.3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INDEX(Bang_xuyen_giap!$C$2:$C$7,MIN(6,MAX(1,IF($O$8,MAX(1,2-(Vu_khi!$L$8-0)),2-(Vu_khi!$L$8-0))+1)))</f>
        <v/>
      </c>
      <c r="AB8" t="n">
        <v>1.2</v>
      </c>
      <c r="AC8">
        <f>INDEX(Bang_xuyen_giap!$C$2:$C$7,MIN(6,MAX(1,IF($O$8,MAX(1,2-(Vu_khi!$L$8-2)),2-(Vu_khi!$L$8-2))+1)))</f>
        <v/>
      </c>
      <c r="AD8" t="n">
        <v>0.85</v>
      </c>
      <c r="AE8">
        <f>INDEX(Bang_xuyen_giap!$C$2:$C$7,MIN(6,MAX(1,IF($O$8,MAX(1,2-(Vu_khi!$L$8-4)),2-(Vu_khi!$L$8-4))+1)))</f>
        <v/>
      </c>
      <c r="AF8" t="n">
        <v>0.25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68.85245901639344</v>
      </c>
      <c r="AK8">
        <f>IF($Q$8,$M$8*$AC$8*$U$8,0)</f>
        <v/>
      </c>
      <c r="AL8" t="n">
        <v>48.77049180327869</v>
      </c>
      <c r="AM8">
        <f>IF($Q$8,$M$8*$AE$8*$U$8,0)</f>
        <v/>
      </c>
      <c r="AN8" t="n">
        <v>14.34426229508197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149.1803278688525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10.75</v>
      </c>
      <c r="I9">
        <f>Vu_khi!$W$9*MAX(1,$E$9)</f>
        <v/>
      </c>
      <c r="J9" t="n">
        <v>600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55.81395348837209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1.5</v>
      </c>
      <c r="AA9">
        <f>INDEX(Bang_xuyen_giap!$C$2:$C$7,MIN(6,MAX(1,IF($O$9,MAX(1,2-(Vu_khi!$L$9-0)),2-(Vu_khi!$L$9-0))+1)))</f>
        <v/>
      </c>
      <c r="AB9" t="n">
        <v>1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55.81395348837209</v>
      </c>
      <c r="AK9">
        <f>IF($Q$9,$M$9*$AC$9*$U$9,0)</f>
        <v/>
      </c>
      <c r="AL9" t="n">
        <v>47.44186046511628</v>
      </c>
      <c r="AM9">
        <f>IF($Q$9,$M$9*$AE$9*$U$9,0)</f>
        <v/>
      </c>
      <c r="AN9" t="n">
        <v>13.95348837209302</v>
      </c>
      <c r="AO9">
        <f>IF($Q$9,$M$9*$AC$9*$Y$9,0)</f>
        <v/>
      </c>
      <c r="AP9" t="n">
        <v>71.16279069767441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0.815208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1.2</v>
      </c>
      <c r="AC10">
        <f>INDEX(Bang_xuyen_giap!$C$2:$C$7,MIN(6,MAX(1,IF($O$10,MAX(1,2-(Vu_khi!$L$10-2)),2-(Vu_khi!$L$10-2))+1)))</f>
        <v/>
      </c>
      <c r="AD10" t="n">
        <v>1.2</v>
      </c>
      <c r="AE10">
        <f>INDEX(Bang_xuyen_giap!$C$2:$C$7,MIN(6,MAX(1,IF($O$10,MAX(1,2-(Vu_khi!$L$10-4)),2-(Vu_khi!$L$10-4))+1)))</f>
        <v/>
      </c>
      <c r="AF10" t="n">
        <v>0.85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27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0.3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0.6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0.85</v>
      </c>
      <c r="AE11">
        <f>INDEX(Bang_xuyen_giap!$C$2:$C$7,MIN(6,MAX(1,IF($O$11,MAX(1,2-(Vu_khi!$L$11-4)),2-(Vu_khi!$L$11-4))+1)))</f>
        <v/>
      </c>
      <c r="AF11" t="n">
        <v>0.25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108</v>
      </c>
      <c r="AK11">
        <f>IF($Q$11,$M$11*$AC$11*$U$11,0)</f>
        <v/>
      </c>
      <c r="AL11" t="n">
        <v>76.5</v>
      </c>
      <c r="AM11">
        <f>IF($Q$11,$M$11*$AE$11*$U$11,0)</f>
        <v/>
      </c>
      <c r="AN11" t="n">
        <v>22.5</v>
      </c>
      <c r="AO11">
        <f>IF($Q$11,$M$11*$AC$11*$Y$11,0)</f>
        <v/>
      </c>
      <c r="AP11" t="n">
        <v>45.9</v>
      </c>
      <c r="AQ11">
        <f>IF($S$11,$M$11*$AG$11*$W$11,0)</f>
        <v/>
      </c>
      <c r="AR11" t="n">
        <v>27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190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15.4095701540957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0.3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0.6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18.49148418491484</v>
      </c>
      <c r="AK12">
        <f>IF($Q$12,$M$12*$AC$12*$U$12,0)</f>
        <v/>
      </c>
      <c r="AL12" t="n">
        <v>18.49148418491484</v>
      </c>
      <c r="AM12">
        <f>IF($Q$12,$M$12*$AE$12*$U$12,0)</f>
        <v/>
      </c>
      <c r="AN12" t="n">
        <v>13.09813463098135</v>
      </c>
      <c r="AO12">
        <f>IF($Q$12,$M$12*$AC$12*$Y$12,0)</f>
        <v/>
      </c>
      <c r="AP12" t="n">
        <v>11.09489051094891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1.2</v>
      </c>
      <c r="AE13">
        <f>INDEX(Bang_xuyen_giap!$C$2:$C$7,MIN(6,MAX(1,IF($O$13,MAX(1,2-(Vu_khi!$L$13-4)),2-(Vu_khi!$L$13-4))+1)))</f>
        <v/>
      </c>
      <c r="AF13" t="n">
        <v>0.85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73.59999999999999</v>
      </c>
      <c r="AK13">
        <f>IF($Q$13,$M$13*$AC$13*$U$13,0)</f>
        <v/>
      </c>
      <c r="AL13" t="n">
        <v>73.59999999999999</v>
      </c>
      <c r="AM13">
        <f>IF($Q$13,$M$13*$AE$13*$U$13,0)</f>
        <v/>
      </c>
      <c r="AN13" t="n">
        <v>52.13333333333333</v>
      </c>
      <c r="AO13">
        <f>IF($Q$13,$M$13*$AC$13*$Y$13,0)</f>
        <v/>
      </c>
      <c r="AP13" t="n">
        <v>44.16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18.84297520661157</v>
      </c>
      <c r="AK14">
        <f>IF($Q$14,$M$14*$AC$14*$U$14,0)</f>
        <v/>
      </c>
      <c r="AL14" t="n">
        <v>15.70247933884298</v>
      </c>
      <c r="AM14">
        <f>IF($Q$14,$M$14*$AE$14*$U$14,0)</f>
        <v/>
      </c>
      <c r="AN14" t="n">
        <v>7.851239669421488</v>
      </c>
      <c r="AO14">
        <f>IF($Q$14,$M$14*$AC$14*$Y$14,0)</f>
        <v/>
      </c>
      <c r="AP14" t="n">
        <v>9.421487603305785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0.85</v>
      </c>
      <c r="AE15">
        <f>INDEX(Bang_xuyen_giap!$C$2:$C$7,MIN(6,MAX(1,IF($O$15,MAX(1,2-(Vu_khi!$L$15-4)),2-(Vu_khi!$L$15-4))+1)))</f>
        <v/>
      </c>
      <c r="AF15" t="n">
        <v>0.25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61.96840826245445</v>
      </c>
      <c r="AK15">
        <f>IF($Q$15,$M$15*$AC$15*$U$15,0)</f>
        <v/>
      </c>
      <c r="AL15" t="n">
        <v>43.89428918590524</v>
      </c>
      <c r="AM15">
        <f>IF($Q$15,$M$15*$AE$15*$U$15,0)</f>
        <v/>
      </c>
      <c r="AN15" t="n">
        <v>12.91008505467801</v>
      </c>
      <c r="AO15">
        <f>IF($Q$15,$M$15*$AC$15*$Y$15,0)</f>
        <v/>
      </c>
      <c r="AP15" t="n">
        <v>26.33657351154314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0.5</v>
      </c>
      <c r="W16">
        <f>INDEX(Bang_sat_thuong!$C$2:$C$7,MATCH(Vu_khi!$K$16,Bang_sat_thuong!$A$2:$A$7,0))</f>
        <v/>
      </c>
      <c r="X16" t="n">
        <v>1.3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INDEX(Bang_xuyen_giap!$C$2:$C$7,MIN(6,MAX(1,IF($O$16,MAX(1,2-(Vu_khi!$L$16-0)),2-(Vu_khi!$L$16-0))+1)))</f>
        <v/>
      </c>
      <c r="AB16" t="n">
        <v>1</v>
      </c>
      <c r="AC16">
        <f>INDEX(Bang_xuyen_giap!$C$2:$C$7,MIN(6,MAX(1,IF($O$16,MAX(1,2-(Vu_khi!$L$16-2)),2-(Vu_khi!$L$16-2))+1)))</f>
        <v/>
      </c>
      <c r="AD16" t="n">
        <v>0.5</v>
      </c>
      <c r="AE16">
        <f>INDEX(Bang_xuyen_giap!$C$2:$C$7,MIN(6,MAX(1,IF($O$16,MAX(1,2-(Vu_khi!$L$16-4)),2-(Vu_khi!$L$16-4))+1)))</f>
        <v/>
      </c>
      <c r="AF16" t="n">
        <v>0.1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67.13244228432565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0.85</v>
      </c>
      <c r="AE17">
        <f>INDEX(Bang_xuyen_giap!$C$2:$C$7,MIN(6,MAX(1,IF($O$17,MAX(1,2-(Vu_khi!$L$17-4)),2-(Vu_khi!$L$17-4))+1)))</f>
        <v/>
      </c>
      <c r="AF17" t="n">
        <v>0.25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101.1106855610877</v>
      </c>
      <c r="AK17">
        <f>IF($Q$17,$M$17*$AC$17*$U$17,0)</f>
        <v/>
      </c>
      <c r="AL17" t="n">
        <v>71.6200689391038</v>
      </c>
      <c r="AM17">
        <f>IF($Q$17,$M$17*$AE$17*$U$17,0)</f>
        <v/>
      </c>
      <c r="AN17" t="n">
        <v>21.06472615855994</v>
      </c>
      <c r="AO17">
        <f>IF($Q$17,$M$17*$AC$17*$Y$17,0)</f>
        <v/>
      </c>
      <c r="AP17" t="n">
        <v>42.97204136346228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0.5</v>
      </c>
      <c r="W18">
        <f>INDEX(Bang_sat_thuong!$C$2:$C$7,MATCH(Vu_khi!$K$18,Bang_sat_thuong!$A$2:$A$7,0))</f>
        <v/>
      </c>
      <c r="X18" t="n">
        <v>1.3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0.85</v>
      </c>
      <c r="AE18">
        <f>INDEX(Bang_xuyen_giap!$C$2:$C$7,MIN(6,MAX(1,IF($O$18,MAX(1,2-(Vu_khi!$L$18-4)),2-(Vu_khi!$L$18-4))+1)))</f>
        <v/>
      </c>
      <c r="AF18" t="n">
        <v>0.25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109.5365760245117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102.2727272727273</v>
      </c>
      <c r="AK19">
        <f>IF($Q$19,$M$19*$AC$19*$U$19,0)</f>
        <v/>
      </c>
      <c r="AL19" t="n">
        <v>72.44318181818183</v>
      </c>
      <c r="AM19">
        <f>IF($Q$19,$M$19*$AE$19*$U$19,0)</f>
        <v/>
      </c>
      <c r="AN19" t="n">
        <v>21.30681818181818</v>
      </c>
      <c r="AO19">
        <f>IF($Q$19,$M$19*$AC$19*$Y$19,0)</f>
        <v/>
      </c>
      <c r="AP19" t="n">
        <v>43.46590909090909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1.2</v>
      </c>
      <c r="AC20">
        <f>INDEX(Bang_xuyen_giap!$C$2:$C$7,MIN(6,MAX(1,IF($O$20,MAX(1,2-(Vu_khi!$L$20-2)),2-(Vu_khi!$L$20-2))+1)))</f>
        <v/>
      </c>
      <c r="AD20" t="n">
        <v>0.85</v>
      </c>
      <c r="AE20">
        <f>INDEX(Bang_xuyen_giap!$C$2:$C$7,MIN(6,MAX(1,IF($O$20,MAX(1,2-(Vu_khi!$L$20-4)),2-(Vu_khi!$L$20-4))+1)))</f>
        <v/>
      </c>
      <c r="AF20" t="n">
        <v>0.25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110.7954545454546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1.5</v>
      </c>
      <c r="AA21">
        <f>INDEX(Bang_xuyen_giap!$C$2:$C$7,MIN(6,MAX(1,IF($O$21,MAX(1,2-(Vu_khi!$L$21-0)),2-(Vu_khi!$L$21-0))+1)))</f>
        <v/>
      </c>
      <c r="AB21" t="n">
        <v>1</v>
      </c>
      <c r="AC21">
        <f>INDEX(Bang_xuyen_giap!$C$2:$C$7,MIN(6,MAX(1,IF($O$21,MAX(1,2-(Vu_khi!$L$21-2)),2-(Vu_khi!$L$21-2))+1)))</f>
        <v/>
      </c>
      <c r="AD21" t="n">
        <v>1</v>
      </c>
      <c r="AE21">
        <f>INDEX(Bang_xuyen_giap!$C$2:$C$7,MIN(6,MAX(1,IF($O$21,MAX(1,2-(Vu_khi!$L$21-4)),2-(Vu_khi!$L$21-4))+1)))</f>
        <v/>
      </c>
      <c r="AF21" t="n">
        <v>0.85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56.76698504234996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5.21</v>
      </c>
      <c r="I22">
        <f>Vu_khi!$W$22*MAX(1,$E$22)</f>
        <v/>
      </c>
      <c r="J22" t="n">
        <v>640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122.8406909788868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0.6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1.2</v>
      </c>
      <c r="AE22">
        <f>INDEX(Bang_xuyen_giap!$C$2:$C$7,MIN(6,MAX(1,IF($O$22,MAX(1,2-(Vu_khi!$L$22-4)),2-(Vu_khi!$L$22-4))+1)))</f>
        <v/>
      </c>
      <c r="AF22" t="n">
        <v>0.85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147.4088291746641</v>
      </c>
      <c r="AK22">
        <f>IF($Q$22,$M$22*$AC$22*$U$22,0)</f>
        <v/>
      </c>
      <c r="AL22" t="n">
        <v>147.4088291746641</v>
      </c>
      <c r="AM22">
        <f>IF($Q$22,$M$22*$AE$22*$U$22,0)</f>
        <v/>
      </c>
      <c r="AN22" t="n">
        <v>104.4145873320537</v>
      </c>
      <c r="AO22">
        <f>IF($Q$22,$M$22*$AC$22*$Y$22,0)</f>
        <v/>
      </c>
      <c r="AP22" t="n">
        <v>88.44529750479846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0.607833</v>
      </c>
      <c r="AZ22" t="inlineStr">
        <is>
          <t>ok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5.21</v>
      </c>
      <c r="I23">
        <f>Vu_khi!$W$23*MAX(1,$E$23)</f>
        <v/>
      </c>
      <c r="J23" t="n">
        <v>640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122.8406909788868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1.5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1</v>
      </c>
      <c r="AE23">
        <f>INDEX(Bang_xuyen_giap!$C$2:$C$7,MIN(6,MAX(1,IF($O$23,MAX(1,2-(Vu_khi!$L$23-4)),2-(Vu_khi!$L$23-4))+1)))</f>
        <v/>
      </c>
      <c r="AF23" t="n">
        <v>0.5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147.4088291746641</v>
      </c>
      <c r="AK23">
        <f>IF($Q$23,$M$23*$AC$23*$U$23,0)</f>
        <v/>
      </c>
      <c r="AL23" t="n">
        <v>122.8406909788868</v>
      </c>
      <c r="AM23">
        <f>IF($Q$23,$M$23*$AE$23*$U$23,0)</f>
        <v/>
      </c>
      <c r="AN23" t="n">
        <v>61.42034548944338</v>
      </c>
      <c r="AO23">
        <f>IF($Q$23,$M$23*$AC$23*$Y$23,0)</f>
        <v/>
      </c>
      <c r="AP23" t="n">
        <v>184.2610364683301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1.5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9.900990099009901</v>
      </c>
      <c r="AO24">
        <f>IF($Q$24,$M$24*$AC$24*$Y$24,0)</f>
        <v/>
      </c>
      <c r="AP24" t="n">
        <v>50.49504950495049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46.45161290322581</v>
      </c>
      <c r="AK25">
        <f>IF($Q$25,$M$25*$AC$25*$U$25,0)</f>
        <v/>
      </c>
      <c r="AL25" t="n">
        <v>32.90322580645162</v>
      </c>
      <c r="AM25">
        <f>IF($Q$25,$M$25*$AE$25*$U$25,0)</f>
        <v/>
      </c>
      <c r="AN25" t="n">
        <v>9.67741935483871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100.6451612903226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237.0967741935484</v>
      </c>
      <c r="AK26">
        <f>IF($Q$26,$M$26*$AC$26*$U$26,0)</f>
        <v/>
      </c>
      <c r="AL26" t="n">
        <v>237.0967741935484</v>
      </c>
      <c r="AM26">
        <f>IF($Q$26,$M$26*$AE$26*$U$26,0)</f>
        <v/>
      </c>
      <c r="AN26" t="n">
        <v>118.5483870967742</v>
      </c>
      <c r="AO26">
        <f>IF($Q$26,$M$26*$AC$26*$Y$26,0)</f>
        <v/>
      </c>
      <c r="AP26" t="n">
        <v>355.6451612903226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</v>
      </c>
      <c r="AC27">
        <f>INDEX(Bang_xuyen_giap!$C$2:$C$7,MIN(6,MAX(1,IF($O$27,MAX(1,2-(Vu_khi!$L$27-2)),2-(Vu_khi!$L$27-2))+1)))</f>
        <v/>
      </c>
      <c r="AD27" t="n">
        <v>0.5</v>
      </c>
      <c r="AE27">
        <f>INDEX(Bang_xuyen_giap!$C$2:$C$7,MIN(6,MAX(1,IF($O$27,MAX(1,2-(Vu_khi!$L$27-4)),2-(Vu_khi!$L$27-4))+1)))</f>
        <v/>
      </c>
      <c r="AF27" t="n">
        <v>0.1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0.6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0.85</v>
      </c>
      <c r="AE28">
        <f>INDEX(Bang_xuyen_giap!$C$2:$C$7,MIN(6,MAX(1,IF($O$28,MAX(1,2-(Vu_khi!$L$28-4)),2-(Vu_khi!$L$28-4))+1)))</f>
        <v/>
      </c>
      <c r="AF28" t="n">
        <v>0.25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0.6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1</v>
      </c>
      <c r="AE29">
        <f>INDEX(Bang_xuyen_giap!$C$2:$C$7,MIN(6,MAX(1,IF($O$29,MAX(1,2-(Vu_khi!$L$29-4)),2-(Vu_khi!$L$29-4))+1)))</f>
        <v/>
      </c>
      <c r="AF29" t="n">
        <v>0.5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24</v>
      </c>
      <c r="AK29">
        <f>IF($Q$29,$M$29*$AC$29*$U$29,0)</f>
        <v/>
      </c>
      <c r="AL29" t="n">
        <v>20</v>
      </c>
      <c r="AM29">
        <f>IF($Q$29,$M$29*$AE$29*$U$29,0)</f>
        <v/>
      </c>
      <c r="AN29" t="n">
        <v>10</v>
      </c>
      <c r="AO29">
        <f>IF($Q$29,$M$29*$AC$29*$Y$29,0)</f>
        <v/>
      </c>
      <c r="AP29" t="n">
        <v>12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1.5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5</v>
      </c>
      <c r="AO30">
        <f>IF($Q$30,$M$30*$AC$30*$Y$30,0)</f>
        <v/>
      </c>
      <c r="AP30" t="n">
        <v>25.5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0.6</v>
      </c>
      <c r="AA31">
        <f>INDEX(Bang_xuyen_giap!$C$2:$C$7,MIN(6,MAX(1,IF($O$31,MAX(1,2-(Vu_khi!$L$31-0)),2-(Vu_khi!$L$31-0))+1)))</f>
        <v/>
      </c>
      <c r="AB31" t="n">
        <v>1.2</v>
      </c>
      <c r="AC31">
        <f>INDEX(Bang_xuyen_giap!$C$2:$C$7,MIN(6,MAX(1,IF($O$31,MAX(1,2-(Vu_khi!$L$31-2)),2-(Vu_khi!$L$31-2))+1)))</f>
        <v/>
      </c>
      <c r="AD31" t="n">
        <v>1.2</v>
      </c>
      <c r="AE31">
        <f>INDEX(Bang_xuyen_giap!$C$2:$C$7,MIN(6,MAX(1,IF($O$31,MAX(1,2-(Vu_khi!$L$31-4)),2-(Vu_khi!$L$31-4))+1)))</f>
        <v/>
      </c>
      <c r="AF31" t="n">
        <v>0.85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208</v>
      </c>
      <c r="AK31">
        <f>IF($Q$31,$M$31*$AC$31*$U$31,0)</f>
        <v/>
      </c>
      <c r="AL31" t="n">
        <v>208</v>
      </c>
      <c r="AM31">
        <f>IF($Q$31,$M$31*$AE$31*$U$31,0)</f>
        <v/>
      </c>
      <c r="AN31" t="n">
        <v>147.3333333333333</v>
      </c>
      <c r="AO31">
        <f>IF($Q$31,$M$31*$AC$31*$Y$31,0)</f>
        <v/>
      </c>
      <c r="AP31" t="n">
        <v>124.8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0.5</v>
      </c>
      <c r="W32">
        <f>INDEX(Bang_sat_thuong!$C$2:$C$7,MATCH(Vu_khi!$K$32,Bang_sat_thuong!$A$2:$A$7,0))</f>
        <v/>
      </c>
      <c r="X32" t="n">
        <v>1.3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INDEX(Bang_xuyen_giap!$C$2:$C$7,MIN(6,MAX(1,IF($O$32,MAX(1,2-(Vu_khi!$L$32-0)),2-(Vu_khi!$L$32-0))+1)))</f>
        <v/>
      </c>
      <c r="AB32" t="n">
        <v>1.2</v>
      </c>
      <c r="AC32">
        <f>INDEX(Bang_xuyen_giap!$C$2:$C$7,MIN(6,MAX(1,IF($O$32,MAX(1,2-(Vu_khi!$L$32-2)),2-(Vu_khi!$L$32-2))+1)))</f>
        <v/>
      </c>
      <c r="AD32" t="n">
        <v>0.85</v>
      </c>
      <c r="AE32">
        <f>INDEX(Bang_xuyen_giap!$C$2:$C$7,MIN(6,MAX(1,IF($O$32,MAX(1,2-(Vu_khi!$L$32-4)),2-(Vu_khi!$L$32-4))+1)))</f>
        <v/>
      </c>
      <c r="AF32" t="n">
        <v>0.25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114.3122676579926</v>
      </c>
      <c r="AK32">
        <f>IF($Q$32,$M$32*$AC$32*$U$32,0)</f>
        <v/>
      </c>
      <c r="AL32" t="n">
        <v>80.97118959107806</v>
      </c>
      <c r="AM32">
        <f>IF($Q$32,$M$32*$AE$32*$U$32,0)</f>
        <v/>
      </c>
      <c r="AN32" t="n">
        <v>23.81505576208178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247.6765799256505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228.6245353159851</v>
      </c>
      <c r="AK33">
        <f>IF($Q$33,$M$33*$AC$33*$U$33,0)</f>
        <v/>
      </c>
      <c r="AL33" t="n">
        <v>161.9423791821561</v>
      </c>
      <c r="AM33">
        <f>IF($Q$33,$M$33*$AE$33*$U$33,0)</f>
        <v/>
      </c>
      <c r="AN33" t="n">
        <v>47.63011152416357</v>
      </c>
      <c r="AO33">
        <f>IF($Q$33,$M$33*$AC$33*$Y$33,0)</f>
        <v/>
      </c>
      <c r="AP33" t="n">
        <v>97.16542750929368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0.85</v>
      </c>
      <c r="AE34">
        <f>INDEX(Bang_xuyen_giap!$C$2:$C$7,MIN(6,MAX(1,IF($O$34,MAX(1,2-(Vu_khi!$L$34-4)),2-(Vu_khi!$L$34-4))+1)))</f>
        <v/>
      </c>
      <c r="AF34" t="n">
        <v>0.25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216</v>
      </c>
      <c r="AK34">
        <f>IF($Q$34,$M$34*$AC$34*$U$34,0)</f>
        <v/>
      </c>
      <c r="AL34" t="n">
        <v>153</v>
      </c>
      <c r="AM34">
        <f>IF($Q$34,$M$34*$AE$34*$U$34,0)</f>
        <v/>
      </c>
      <c r="AN34" t="n">
        <v>45</v>
      </c>
      <c r="AO34">
        <f>IF($Q$34,$M$34*$AC$34*$Y$34,0)</f>
        <v/>
      </c>
      <c r="AP34" t="n">
        <v>102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0.6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109.2229244024286</v>
      </c>
      <c r="AK35">
        <f>IF($Q$35,$M$35*$AC$35*$U$35,0)</f>
        <v/>
      </c>
      <c r="AL35" t="n">
        <v>77.3662381183869</v>
      </c>
      <c r="AM35">
        <f>IF($Q$35,$M$35*$AE$35*$U$35,0)</f>
        <v/>
      </c>
      <c r="AN35" t="n">
        <v>22.75477591717262</v>
      </c>
      <c r="AO35">
        <f>IF($Q$35,$M$35*$AC$35*$Y$35,0)</f>
        <v/>
      </c>
      <c r="AP35" t="n">
        <v>46.41974287103214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0.5</v>
      </c>
      <c r="W36">
        <f>INDEX(Bang_sat_thuong!$C$2:$C$7,MATCH(Vu_khi!$K$36,Bang_sat_thuong!$A$2:$A$7,0))</f>
        <v/>
      </c>
      <c r="X36" t="n">
        <v>1.3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0.85</v>
      </c>
      <c r="AE36">
        <f>INDEX(Bang_xuyen_giap!$C$2:$C$7,MIN(6,MAX(1,IF($O$36,MAX(1,2-(Vu_khi!$L$36-4)),2-(Vu_khi!$L$36-4))+1)))</f>
        <v/>
      </c>
      <c r="AF36" t="n">
        <v>0.25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118.3248347692976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0.6</v>
      </c>
      <c r="AA37">
        <f>INDEX(Bang_xuyen_giap!$C$2:$C$7,MIN(6,MAX(1,IF($O$37,MAX(1,2-(Vu_khi!$L$37-0)),2-(Vu_khi!$L$37-0))+1)))</f>
        <v/>
      </c>
      <c r="AB37" t="n">
        <v>1</v>
      </c>
      <c r="AC37">
        <f>INDEX(Bang_xuyen_giap!$C$2:$C$7,MIN(6,MAX(1,IF($O$37,MAX(1,2-(Vu_khi!$L$37-2)),2-(Vu_khi!$L$37-2))+1)))</f>
        <v/>
      </c>
      <c r="AD37" t="n">
        <v>0.5</v>
      </c>
      <c r="AE37">
        <f>INDEX(Bang_xuyen_giap!$C$2:$C$7,MIN(6,MAX(1,IF($O$37,MAX(1,2-(Vu_khi!$L$37-4)),2-(Vu_khi!$L$37-4))+1)))</f>
        <v/>
      </c>
      <c r="AF37" t="n">
        <v>0.1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113.235749280953</v>
      </c>
      <c r="AK37">
        <f>IF($Q$37,$M$37*$AC$37*$U$37,0)</f>
        <v/>
      </c>
      <c r="AL37" t="n">
        <v>56.61787464047649</v>
      </c>
      <c r="AM37">
        <f>IF($Q$37,$M$37*$AE$37*$U$37,0)</f>
        <v/>
      </c>
      <c r="AN37" t="n">
        <v>11.3235749280953</v>
      </c>
      <c r="AO37">
        <f>IF($Q$37,$M$37*$AC$37*$Y$37,0)</f>
        <v/>
      </c>
      <c r="AP37" t="n">
        <v>33.97072478428589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135.8828991371436</v>
      </c>
      <c r="AK38">
        <f>IF($Q$38,$M$38*$AC$38*$U$38,0)</f>
        <v/>
      </c>
      <c r="AL38" t="n">
        <v>96.25038688881004</v>
      </c>
      <c r="AM38">
        <f>IF($Q$38,$M$38*$AE$38*$U$38,0)</f>
        <v/>
      </c>
      <c r="AN38" t="n">
        <v>28.30893732023825</v>
      </c>
      <c r="AO38">
        <f>IF($Q$38,$M$38*$AC$38*$Y$38,0)</f>
        <v/>
      </c>
      <c r="AP38" t="n">
        <v>57.75023213328603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1.5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1.2</v>
      </c>
      <c r="AE39">
        <f>INDEX(Bang_xuyen_giap!$C$2:$C$7,MIN(6,MAX(1,IF($O$39,MAX(1,2-(Vu_khi!$L$39-4)),2-(Vu_khi!$L$39-4))+1)))</f>
        <v/>
      </c>
      <c r="AF39" t="n">
        <v>0.85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80.08474576271186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1.5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1.2</v>
      </c>
      <c r="AE40">
        <f>INDEX(Bang_xuyen_giap!$C$2:$C$7,MIN(6,MAX(1,IF($O$40,MAX(1,2-(Vu_khi!$L$40-4)),2-(Vu_khi!$L$40-4))+1)))</f>
        <v/>
      </c>
      <c r="AF40" t="n">
        <v>0.85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80.08474576271186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0.6</v>
      </c>
      <c r="AA41">
        <f>INDEX(Bang_xuyen_giap!$C$2:$C$7,MIN(6,MAX(1,IF($O$41,MAX(1,2-(Vu_khi!$L$41-0)),2-(Vu_khi!$L$41-0))+1)))</f>
        <v/>
      </c>
      <c r="AB41" t="n">
        <v>0.85</v>
      </c>
      <c r="AC41">
        <f>INDEX(Bang_xuyen_giap!$C$2:$C$7,MIN(6,MAX(1,IF($O$41,MAX(1,2-(Vu_khi!$L$41-2)),2-(Vu_khi!$L$41-2))+1)))</f>
        <v/>
      </c>
      <c r="AD41" t="n">
        <v>0.25</v>
      </c>
      <c r="AE41">
        <f>INDEX(Bang_xuyen_giap!$C$2:$C$7,MIN(6,MAX(1,IF($O$41,MAX(1,2-(Vu_khi!$L$41-4)),2-(Vu_khi!$L$41-4))+1)))</f>
        <v/>
      </c>
      <c r="AF41" t="n">
        <v>0.1</v>
      </c>
      <c r="AG41">
        <f>INDEX(Bang_xuyen_giap!$C$2:$C$7,MIN(6,MAX(1,MAX(1,2-(Vu_khi!$L$41-0))+1)))</f>
        <v/>
      </c>
      <c r="AH41" t="n">
        <v>0.85</v>
      </c>
      <c r="AI41">
        <f>IF($Q$41,$M$41*$AA$41*$U$41,0)</f>
        <v/>
      </c>
      <c r="AJ41" t="n">
        <v>27.65944858596616</v>
      </c>
      <c r="AK41">
        <f>IF($Q$41,$M$41*$AC$41*$U$41,0)</f>
        <v/>
      </c>
      <c r="AL41" t="n">
        <v>8.13513193704887</v>
      </c>
      <c r="AM41">
        <f>IF($Q$41,$M$41*$AE$41*$U$41,0)</f>
        <v/>
      </c>
      <c r="AN41" t="n">
        <v>3.254052774819548</v>
      </c>
      <c r="AO41">
        <f>IF($Q$41,$M$41*$AC$41*$Y$41,0)</f>
        <v/>
      </c>
      <c r="AP41" t="n">
        <v>4.881079162229322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1.2</v>
      </c>
      <c r="AC42">
        <f>INDEX(Bang_xuyen_giap!$C$2:$C$7,MIN(6,MAX(1,IF($O$42,MAX(1,2-(Vu_khi!$L$42-2)),2-(Vu_khi!$L$42-2))+1)))</f>
        <v/>
      </c>
      <c r="AD42" t="n">
        <v>1.2</v>
      </c>
      <c r="AE42">
        <f>INDEX(Bang_xuyen_giap!$C$2:$C$7,MIN(6,MAX(1,IF($O$42,MAX(1,2-(Vu_khi!$L$42-4)),2-(Vu_khi!$L$42-4))+1)))</f>
        <v/>
      </c>
      <c r="AF42" t="n">
        <v>0.85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43.19248826291079</v>
      </c>
      <c r="AK42">
        <f>IF($Q$42,$M$42*$AC$42*$U$42,0)</f>
        <v/>
      </c>
      <c r="AL42" t="n">
        <v>43.19248826291079</v>
      </c>
      <c r="AM42">
        <f>IF($Q$42,$M$42*$AE$42*$U$42,0)</f>
        <v/>
      </c>
      <c r="AN42" t="n">
        <v>30.59467918622848</v>
      </c>
      <c r="AO42">
        <f>IF($Q$42,$M$42*$AC$42*$Y$42,0)</f>
        <v/>
      </c>
      <c r="AP42" t="n">
        <v>25.91549295774648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1.5</v>
      </c>
      <c r="AA43">
        <f>INDEX(Bang_xuyen_giap!$C$2:$C$7,MIN(6,MAX(1,IF($O$43,MAX(1,2-(Vu_khi!$L$43-0)),2-(Vu_khi!$L$43-0))+1)))</f>
        <v/>
      </c>
      <c r="AB43" t="n">
        <v>1</v>
      </c>
      <c r="AC43">
        <f>INDEX(Bang_xuyen_giap!$C$2:$C$7,MIN(6,MAX(1,IF($O$43,MAX(1,2-(Vu_khi!$L$43-2)),2-(Vu_khi!$L$43-2))+1)))</f>
        <v/>
      </c>
      <c r="AD43" t="n">
        <v>1</v>
      </c>
      <c r="AE43">
        <f>INDEX(Bang_xuyen_giap!$C$2:$C$7,MIN(6,MAX(1,IF($O$43,MAX(1,2-(Vu_khi!$L$43-4)),2-(Vu_khi!$L$43-4))+1)))</f>
        <v/>
      </c>
      <c r="AF43" t="n">
        <v>0.85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69.01840490797547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0.6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108</v>
      </c>
      <c r="AK44">
        <f>IF($Q$44,$M$44*$AC$44*$U$44,0)</f>
        <v/>
      </c>
      <c r="AL44" t="n">
        <v>108</v>
      </c>
      <c r="AM44">
        <f>IF($Q$44,$M$44*$AE$44*$U$44,0)</f>
        <v/>
      </c>
      <c r="AN44" t="n">
        <v>76.5</v>
      </c>
      <c r="AO44">
        <f>IF($Q$44,$M$44*$AC$44*$Y$44,0)</f>
        <v/>
      </c>
      <c r="AP44" t="n">
        <v>64.8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0.85</v>
      </c>
      <c r="AE45">
        <f>INDEX(Bang_xuyen_giap!$C$2:$C$7,MIN(6,MAX(1,IF($O$45,MAX(1,2-(Vu_khi!$L$45-4)),2-(Vu_khi!$L$45-4))+1)))</f>
        <v/>
      </c>
      <c r="AF45" t="n">
        <v>0.25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77.01421800947868</v>
      </c>
      <c r="AO45">
        <f>IF($Q$45,$M$45*$AC$45*$Y$45,0)</f>
        <v/>
      </c>
      <c r="AP45" t="n">
        <v>392.7725118483413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b">
        <v>1</v>
      </c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INDEX(Bang_xuyen_giap!$C$2:$C$7,MIN(6,MAX(1,IF($O$46,MAX(1,2-(Vu_khi!$L$46-0)),2-(Vu_khi!$L$46-0))+1)))</f>
        <v/>
      </c>
      <c r="AB46" t="n">
        <v>1.2</v>
      </c>
      <c r="AC46">
        <f>INDEX(Bang_xuyen_giap!$C$2:$C$7,MIN(6,MAX(1,IF($O$46,MAX(1,2-(Vu_khi!$L$46-2)),2-(Vu_khi!$L$46-2))+1)))</f>
        <v/>
      </c>
      <c r="AD46" t="n">
        <v>1</v>
      </c>
      <c r="AE46">
        <f>INDEX(Bang_xuyen_giap!$C$2:$C$7,MIN(6,MAX(1,IF($O$46,MAX(1,2-(Vu_khi!$L$46-4)),2-(Vu_khi!$L$46-4))+1)))</f>
        <v/>
      </c>
      <c r="AF46" t="n">
        <v>0.5</v>
      </c>
      <c r="AG46">
        <f>INDEX(Bang_xuyen_giap!$C$2:$C$7,MIN(6,MAX(1,MAX(1,2-(Vu_khi!$L$46-0))+1)))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23.26139088729017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0.5</v>
      </c>
      <c r="W47">
        <f>INDEX(Bang_sat_thuong!$C$2:$C$7,MATCH(Vu_khi!$K$47,Bang_sat_thuong!$A$2:$A$7,0))</f>
        <v/>
      </c>
      <c r="X47" t="n">
        <v>1.3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</v>
      </c>
      <c r="AE47">
        <f>INDEX(Bang_xuyen_giap!$C$2:$C$7,MIN(6,MAX(1,IF($O$47,MAX(1,2-(Vu_khi!$L$47-4)),2-(Vu_khi!$L$47-4))+1)))</f>
        <v/>
      </c>
      <c r="AF47" t="n">
        <v>0.5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252.1212121212121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0.5</v>
      </c>
      <c r="AE48">
        <f>INDEX(Bang_xuyen_giap!$C$2:$C$7,MIN(6,MAX(1,IF($O$48,MAX(1,2-(Vu_khi!$L$48-4)),2-(Vu_khi!$L$48-4))+1)))</f>
        <v/>
      </c>
      <c r="AF48" t="n">
        <v>0.1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200</v>
      </c>
      <c r="AK48">
        <f>IF($Q$48,$M$48*$AC$48*$U$48,0)</f>
        <v/>
      </c>
      <c r="AL48" t="n">
        <v>100</v>
      </c>
      <c r="AM48">
        <f>IF($Q$48,$M$48*$AE$48*$U$48,0)</f>
        <v/>
      </c>
      <c r="AN48" t="n">
        <v>20</v>
      </c>
      <c r="AO48">
        <f>IF($Q$48,$M$48*$AC$48*$Y$48,0)</f>
        <v/>
      </c>
      <c r="AP48" t="n">
        <v>66.66666666666667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</v>
      </c>
      <c r="AC49">
        <f>INDEX(Bang_xuyen_giap!$C$2:$C$7,MIN(6,MAX(1,IF($O$49,MAX(1,2-(Vu_khi!$L$49-2)),2-(Vu_khi!$L$49-2))+1)))</f>
        <v/>
      </c>
      <c r="AD49" t="n">
        <v>0.5</v>
      </c>
      <c r="AE49">
        <f>INDEX(Bang_xuyen_giap!$C$2:$C$7,MIN(6,MAX(1,IF($O$49,MAX(1,2-(Vu_khi!$L$49-4)),2-(Vu_khi!$L$49-4))+1)))</f>
        <v/>
      </c>
      <c r="AF49" t="n">
        <v>0.1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107.1428571428571</v>
      </c>
      <c r="AK49">
        <f>IF($Q$49,$M$49*$AC$49*$U$49,0)</f>
        <v/>
      </c>
      <c r="AL49" t="n">
        <v>53.57142857142857</v>
      </c>
      <c r="AM49">
        <f>IF($Q$49,$M$49*$AE$49*$U$49,0)</f>
        <v/>
      </c>
      <c r="AN49" t="n">
        <v>10.71428571428572</v>
      </c>
      <c r="AO49">
        <f>IF($Q$49,$M$49*$AC$49*$Y$49,0)</f>
        <v/>
      </c>
      <c r="AP49" t="n">
        <v>32.14285714285714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0.6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128.5714285714286</v>
      </c>
      <c r="AK50">
        <f>IF($Q$50,$M$50*$AC$50*$U$50,0)</f>
        <v/>
      </c>
      <c r="AL50" t="n">
        <v>91.07142857142857</v>
      </c>
      <c r="AM50">
        <f>IF($Q$50,$M$50*$AE$50*$U$50,0)</f>
        <v/>
      </c>
      <c r="AN50" t="n">
        <v>26.78571428571428</v>
      </c>
      <c r="AO50">
        <f>IF($Q$50,$M$50*$AC$50*$Y$50,0)</f>
        <v/>
      </c>
      <c r="AP50" t="n">
        <v>54.64285714285714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0.6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0.5</v>
      </c>
      <c r="AE51">
        <f>INDEX(Bang_xuyen_giap!$C$2:$C$7,MIN(6,MAX(1,IF($O$51,MAX(1,2-(Vu_khi!$L$51-4)),2-(Vu_khi!$L$51-4))+1)))</f>
        <v/>
      </c>
      <c r="AF51" t="n">
        <v>0.1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123.9130434782609</v>
      </c>
      <c r="AK51">
        <f>IF($Q$51,$M$51*$AC$51*$U$51,0)</f>
        <v/>
      </c>
      <c r="AL51" t="n">
        <v>61.95652173913044</v>
      </c>
      <c r="AM51">
        <f>IF($Q$51,$M$51*$AE$51*$U$51,0)</f>
        <v/>
      </c>
      <c r="AN51" t="n">
        <v>12.39130434782609</v>
      </c>
      <c r="AO51">
        <f>IF($Q$51,$M$51*$AC$51*$Y$51,0)</f>
        <v/>
      </c>
      <c r="AP51" t="n">
        <v>37.17391304347826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0.85</v>
      </c>
      <c r="AE52">
        <f>INDEX(Bang_xuyen_giap!$C$2:$C$7,MIN(6,MAX(1,IF($O$52,MAX(1,2-(Vu_khi!$L$52-4)),2-(Vu_khi!$L$52-4))+1)))</f>
        <v/>
      </c>
      <c r="AF52" t="n">
        <v>0.25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148.695652173913</v>
      </c>
      <c r="AK52">
        <f>IF($Q$52,$M$52*$AC$52*$U$52,0)</f>
        <v/>
      </c>
      <c r="AL52" t="n">
        <v>105.3260869565217</v>
      </c>
      <c r="AM52">
        <f>IF($Q$52,$M$52*$AE$52*$U$52,0)</f>
        <v/>
      </c>
      <c r="AN52" t="n">
        <v>30.97826086956522</v>
      </c>
      <c r="AO52">
        <f>IF($Q$52,$M$52*$AC$52*$Y$52,0)</f>
        <v/>
      </c>
      <c r="AP52" t="n">
        <v>63.19565217391305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c_ram_gatling</t>
        </is>
      </c>
      <c r="B53" t="n">
        <v>1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200</v>
      </c>
      <c r="G53">
        <f>IF(Vu_khi!$S$53&gt;0,(Vu_khi!$S$53-1)*Vu_khi!$R$53+Vu_khi!$T$53,Vu_khi!$R$53+(Vu_khi!$P$53-1)*Vu_khi!$Q$53)</f>
        <v/>
      </c>
      <c r="H53" t="n">
        <v>7</v>
      </c>
      <c r="I53">
        <f>Vu_khi!$W$53*MAX(1,$E$53)</f>
        <v/>
      </c>
      <c r="J53" t="n">
        <v>400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57.14285714285715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0</v>
      </c>
      <c r="S53">
        <f>AND(NOT(Vu_khi!$AJ$53),OR(Vu_khi!$AC$53="Air",Vu_khi!$AC$53="All"))</f>
        <v/>
      </c>
      <c r="T53" t="b">
        <v>0</v>
      </c>
      <c r="U53">
        <f>INDEX(Bang_sat_thuong!$B$2:$B$7,MATCH(Vu_khi!$K$53,Bang_sat_thuong!$A$2:$A$7,0))</f>
        <v/>
      </c>
      <c r="V53" t="n">
        <v>0.5</v>
      </c>
      <c r="W53">
        <f>INDEX(Bang_sat_thuong!$C$2:$C$7,MATCH(Vu_khi!$K$53,Bang_sat_thuong!$A$2:$A$7,0))</f>
        <v/>
      </c>
      <c r="X53" t="n">
        <v>1.3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0.1</v>
      </c>
      <c r="AA53">
        <f>INDEX(Bang_xuyen_giap!$C$2:$C$7,MIN(6,MAX(1,IF($O$53,MAX(1,2-(Vu_khi!$L$53-0)),2-(Vu_khi!$L$53-0))+1)))</f>
        <v/>
      </c>
      <c r="AB53" t="n">
        <v>1</v>
      </c>
      <c r="AC53">
        <f>INDEX(Bang_xuyen_giap!$C$2:$C$7,MIN(6,MAX(1,IF($O$53,MAX(1,2-(Vu_khi!$L$53-2)),2-(Vu_khi!$L$53-2))+1)))</f>
        <v/>
      </c>
      <c r="AD53" t="n">
        <v>0.5</v>
      </c>
      <c r="AE53">
        <f>INDEX(Bang_xuyen_giap!$C$2:$C$7,MIN(6,MAX(1,IF($O$53,MAX(1,2-(Vu_khi!$L$53-4)),2-(Vu_khi!$L$53-4))+1)))</f>
        <v/>
      </c>
      <c r="AF53" t="n">
        <v>0.1</v>
      </c>
      <c r="AG53">
        <f>INDEX(Bang_xuyen_giap!$C$2:$C$7,MIN(6,MAX(1,MAX(1,2-(Vu_khi!$L$53-0))+1)))</f>
        <v/>
      </c>
      <c r="AH53" t="n">
        <v>1</v>
      </c>
      <c r="AI53">
        <f>IF($Q$53,$M$53*$AA$53*$U$53,0)</f>
        <v/>
      </c>
      <c r="AJ53" t="n">
        <v>0</v>
      </c>
      <c r="AK53">
        <f>IF($Q$53,$M$53*$AC$53*$U$53,0)</f>
        <v/>
      </c>
      <c r="AL53" t="n">
        <v>0</v>
      </c>
      <c r="AM53">
        <f>IF($Q$53,$M$53*$AE$53*$U$53,0)</f>
        <v/>
      </c>
      <c r="AN53" t="n">
        <v>0</v>
      </c>
      <c r="AO53">
        <f>IF($Q$53,$M$53*$AC$53*$Y$53,0)</f>
        <v/>
      </c>
      <c r="AP53" t="n">
        <v>0</v>
      </c>
      <c r="AQ53">
        <f>IF($S$53,$M$53*$AG$53*$W$53,0)</f>
        <v/>
      </c>
      <c r="AR53" t="n">
        <v>0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1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n">
        <v>2.625</v>
      </c>
      <c r="AZ53" t="inlineStr">
        <is>
          <t>ok</t>
        </is>
      </c>
      <c r="BA53" t="inlineStr"/>
      <c r="BB53" t="inlineStr">
        <is>
          <t>Assets/MachineBrigade/Resources/Data/balance.json: weapons[id=c_ram_gatling] (lớp B trên 01_chien_dau/Vu_khi)</t>
        </is>
      </c>
      <c r="BC53" t="inlineStr"/>
    </row>
    <row r="54">
      <c r="A54" t="inlineStr">
        <is>
          <t>casemate_155</t>
        </is>
      </c>
      <c r="B54" t="n">
        <v>3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</v>
      </c>
      <c r="G54">
        <f>IF(Vu_khi!$S$54&gt;0,(Vu_khi!$S$54-1)*Vu_khi!$R$54+Vu_khi!$T$54,Vu_khi!$R$54+(Vu_khi!$P$54-1)*Vu_khi!$Q$54)</f>
        <v/>
      </c>
      <c r="H54" t="n">
        <v>12.81</v>
      </c>
      <c r="I54">
        <f>Vu_khi!$W$54*MAX(1,$E$54)</f>
        <v/>
      </c>
      <c r="J54" t="n">
        <v>320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24.98048399687744</v>
      </c>
      <c r="O54">
        <f>OR(Vu_khi!$AG$54,Vu_khi!$AB$54&gt;0,Vu_khi!$AH$54,Vu_khi!$M$54="Bomb",Vu_khi!$M$54="Drone")</f>
        <v/>
      </c>
      <c r="P54" t="b">
        <v>1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1</v>
      </c>
      <c r="W54">
        <f>INDEX(Bang_sat_thuong!$C$2:$C$7,MATCH(Vu_khi!$K$54,Bang_sat_thuong!$A$2:$A$7,0))</f>
        <v/>
      </c>
      <c r="X54" t="n">
        <v>0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1.5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1</v>
      </c>
      <c r="AE54">
        <f>INDEX(Bang_xuyen_giap!$C$2:$C$7,MIN(6,MAX(1,IF($O$54,MAX(1,2-(Vu_khi!$L$54-4)),2-(Vu_khi!$L$54-4))+1)))</f>
        <v/>
      </c>
      <c r="AF54" t="n">
        <v>0.5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24.98048399687744</v>
      </c>
      <c r="AK54">
        <f>IF($Q$54,$M$54*$AC$54*$U$54,0)</f>
        <v/>
      </c>
      <c r="AL54" t="n">
        <v>24.98048399687744</v>
      </c>
      <c r="AM54">
        <f>IF($Q$54,$M$54*$AE$54*$U$54,0)</f>
        <v/>
      </c>
      <c r="AN54" t="n">
        <v>12.49024199843872</v>
      </c>
      <c r="AO54">
        <f>IF($Q$54,$M$54*$AC$54*$Y$54,0)</f>
        <v/>
      </c>
      <c r="AP54" t="n">
        <v>37.47072599531616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3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0.5978</v>
      </c>
      <c r="AZ54" t="inlineStr">
        <is>
          <t>NHANH_QUA</t>
        </is>
      </c>
      <c r="BA54" t="inlineStr"/>
      <c r="BB54" t="inlineStr">
        <is>
          <t>Assets/MachineBrigade/Resources/Data/balance.json: weapons[id=casemate_155] (lớp B trên 01_chien_dau/Vu_khi)</t>
        </is>
      </c>
      <c r="BC54" t="inlineStr"/>
    </row>
    <row r="55">
      <c r="A55" t="inlineStr">
        <is>
          <t>casemate_155_guided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320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24.98048399687744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1.5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1</v>
      </c>
      <c r="AE55">
        <f>INDEX(Bang_xuyen_giap!$C$2:$C$7,MIN(6,MAX(1,IF($O$55,MAX(1,2-(Vu_khi!$L$55-4)),2-(Vu_khi!$L$55-4))+1)))</f>
        <v/>
      </c>
      <c r="AF55" t="n">
        <v>0.5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24.98048399687744</v>
      </c>
      <c r="AK55">
        <f>IF($Q$55,$M$55*$AC$55*$U$55,0)</f>
        <v/>
      </c>
      <c r="AL55" t="n">
        <v>24.98048399687744</v>
      </c>
      <c r="AM55">
        <f>IF($Q$55,$M$55*$AE$55*$U$55,0)</f>
        <v/>
      </c>
      <c r="AN55" t="n">
        <v>12.49024199843872</v>
      </c>
      <c r="AO55">
        <f>IF($Q$55,$M$55*$AC$55*$Y$55,0)</f>
        <v/>
      </c>
      <c r="AP55" t="n">
        <v>37.47072599531616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BB55" t="inlineStr">
        <is>
          <t>Assets/MachineBrigade/Resources/Data/balance.json: weapons[id=casemate_155_guided] (lớp B trên 01_chien_dau/Vu_khi)</t>
        </is>
      </c>
      <c r="BC55" t="inlineStr"/>
    </row>
    <row r="56">
      <c r="A56" t="inlineStr">
        <is>
          <t>ciws_aa</t>
        </is>
      </c>
      <c r="B56" t="n">
        <v>1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60</v>
      </c>
      <c r="G56">
        <f>IF(Vu_khi!$S$56&gt;0,(Vu_khi!$S$56-1)*Vu_khi!$R$56+Vu_khi!$T$56,Vu_khi!$R$56+(Vu_khi!$P$56-1)*Vu_khi!$Q$56)</f>
        <v/>
      </c>
      <c r="H56" t="n">
        <v>6.002</v>
      </c>
      <c r="I56">
        <f>Vu_khi!$W$56*MAX(1,$E$56)</f>
        <v/>
      </c>
      <c r="J56" t="n">
        <v>720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119.9600133288904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0</v>
      </c>
      <c r="S56">
        <f>AND(NOT(Vu_khi!$AJ$56),OR(Vu_khi!$AC$56="Air",Vu_khi!$AC$56="All"))</f>
        <v/>
      </c>
      <c r="T56" t="b">
        <v>1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0.6</v>
      </c>
      <c r="AA56">
        <f>INDEX(Bang_xuyen_giap!$C$2:$C$7,MIN(6,MAX(1,IF($O$56,MAX(1,2-(Vu_khi!$L$56-0)),2-(Vu_khi!$L$56-0))+1)))</f>
        <v/>
      </c>
      <c r="AB56" t="n">
        <v>1.2</v>
      </c>
      <c r="AC56">
        <f>INDEX(Bang_xuyen_giap!$C$2:$C$7,MIN(6,MAX(1,IF($O$56,MAX(1,2-(Vu_khi!$L$56-2)),2-(Vu_khi!$L$56-2))+1)))</f>
        <v/>
      </c>
      <c r="AD56" t="n">
        <v>0.85</v>
      </c>
      <c r="AE56">
        <f>INDEX(Bang_xuyen_giap!$C$2:$C$7,MIN(6,MAX(1,IF($O$56,MAX(1,2-(Vu_khi!$L$56-4)),2-(Vu_khi!$L$56-4))+1)))</f>
        <v/>
      </c>
      <c r="AF56" t="n">
        <v>0.25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0</v>
      </c>
      <c r="AK56">
        <f>IF($Q$56,$M$56*$AC$56*$U$56,0)</f>
        <v/>
      </c>
      <c r="AL56" t="n">
        <v>0</v>
      </c>
      <c r="AM56">
        <f>IF($Q$56,$M$56*$AE$56*$U$56,0)</f>
        <v/>
      </c>
      <c r="AN56" t="n">
        <v>0</v>
      </c>
      <c r="AO56">
        <f>IF($Q$56,$M$56*$AC$56*$Y$56,0)</f>
        <v/>
      </c>
      <c r="AP56" t="n">
        <v>0</v>
      </c>
      <c r="AQ56">
        <f>IF($S$56,$M$56*$AG$56*$W$56,0)</f>
        <v/>
      </c>
      <c r="AR56" t="n">
        <v>35.98800399866711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1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AY56" t="n">
        <v>8.336111000000001</v>
      </c>
      <c r="AZ56" t="inlineStr">
        <is>
          <t>ok</t>
        </is>
      </c>
      <c r="BA56" t="b">
        <v>1</v>
      </c>
      <c r="BB56" t="inlineStr">
        <is>
          <t>Assets/MachineBrigade/Resources/Data/balance.json: weapons[id=ciws_aa] (lớp B trên 01_chien_dau/Vu_khi)</t>
        </is>
      </c>
      <c r="BC56" t="inlineStr"/>
    </row>
    <row r="57">
      <c r="A57" t="inlineStr">
        <is>
          <t>ciws_aa_flak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0.5</v>
      </c>
      <c r="W57">
        <f>INDEX(Bang_sat_thuong!$C$2:$C$7,MATCH(Vu_khi!$K$57,Bang_sat_thuong!$A$2:$A$7,0))</f>
        <v/>
      </c>
      <c r="X57" t="n">
        <v>1.3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0.1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155.9480173275575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BB57" t="inlineStr">
        <is>
          <t>Assets/MachineBrigade/Resources/Data/balance.json: weapons[id=ciws_aa_flak] (lớp B trên 01_chien_dau/Vu_khi)</t>
        </is>
      </c>
      <c r="BC57" t="inlineStr"/>
    </row>
    <row r="58">
      <c r="A58" t="inlineStr">
        <is>
          <t>coilgun</t>
        </is>
      </c>
      <c r="B58" t="n">
        <v>3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2</v>
      </c>
      <c r="G58">
        <f>IF(Vu_khi!$S$58&gt;0,(Vu_khi!$S$58-1)*Vu_khi!$R$58+Vu_khi!$T$58,Vu_khi!$R$58+(Vu_khi!$P$58-1)*Vu_khi!$Q$58)</f>
        <v/>
      </c>
      <c r="H58" t="n">
        <v>4.79</v>
      </c>
      <c r="I58">
        <f>Vu_khi!$W$58*MAX(1,$E$58)</f>
        <v/>
      </c>
      <c r="J58" t="n">
        <v>500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104.384133611691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1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0.6</v>
      </c>
      <c r="AA58">
        <f>INDEX(Bang_xuyen_giap!$C$2:$C$7,MIN(6,MAX(1,IF($O$58,MAX(1,2-(Vu_khi!$L$58-0)),2-(Vu_khi!$L$58-0))+1)))</f>
        <v/>
      </c>
      <c r="AB58" t="n">
        <v>1.2</v>
      </c>
      <c r="AC58">
        <f>INDEX(Bang_xuyen_giap!$C$2:$C$7,MIN(6,MAX(1,IF($O$58,MAX(1,2-(Vu_khi!$L$58-2)),2-(Vu_khi!$L$58-2))+1)))</f>
        <v/>
      </c>
      <c r="AD58" t="n">
        <v>1.2</v>
      </c>
      <c r="AE58">
        <f>INDEX(Bang_xuyen_giap!$C$2:$C$7,MIN(6,MAX(1,IF($O$58,MAX(1,2-(Vu_khi!$L$58-4)),2-(Vu_khi!$L$58-4))+1)))</f>
        <v/>
      </c>
      <c r="AF58" t="n">
        <v>0.85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125.2609603340292</v>
      </c>
      <c r="AK58">
        <f>IF($Q$58,$M$58*$AC$58*$U$58,0)</f>
        <v/>
      </c>
      <c r="AL58" t="n">
        <v>125.2609603340292</v>
      </c>
      <c r="AM58">
        <f>IF($Q$58,$M$58*$AE$58*$U$58,0)</f>
        <v/>
      </c>
      <c r="AN58" t="n">
        <v>88.72651356993737</v>
      </c>
      <c r="AO58">
        <f>IF($Q$58,$M$58*$AC$58*$Y$58,0)</f>
        <v/>
      </c>
      <c r="AP58" t="n">
        <v>75.15657620041753</v>
      </c>
      <c r="AQ58">
        <f>IF($S$58,$M$58*$AG$58*$W$58,0)</f>
        <v/>
      </c>
      <c r="AR58" t="n">
        <v>31.31524008350731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3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AY58" t="inlineStr"/>
      <c r="AZ58" t="inlineStr">
        <is>
          <t>ok</t>
        </is>
      </c>
      <c r="BA58" t="b">
        <v>1</v>
      </c>
      <c r="BB58" t="inlineStr">
        <is>
          <t>Assets/MachineBrigade/Resources/Data/balance.json: weapons[id=coilgun] (lớp B trên 01_chien_dau/Vu_khi)</t>
        </is>
      </c>
      <c r="BC58" t="inlineStr"/>
    </row>
    <row r="59">
      <c r="A59" t="inlineStr">
        <is>
          <t>cruise_missile_ground</t>
        </is>
      </c>
      <c r="B59" t="n">
        <v>4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45</v>
      </c>
      <c r="I59">
        <f>Vu_khi!$W$59*MAX(1,$E$59)</f>
        <v/>
      </c>
      <c r="J59" t="n">
        <v>900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20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1.2</v>
      </c>
      <c r="AE59">
        <f>INDEX(Bang_xuyen_giap!$C$2:$C$7,MIN(6,MAX(1,IF($O$59,MAX(1,2-(Vu_khi!$L$59-4)),2-(Vu_khi!$L$59-4))+1)))</f>
        <v/>
      </c>
      <c r="AF59" t="n">
        <v>0.85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24</v>
      </c>
      <c r="AK59">
        <f>IF($Q$59,$M$59*$AC$59*$U$59,0)</f>
        <v/>
      </c>
      <c r="AL59" t="n">
        <v>24</v>
      </c>
      <c r="AM59">
        <f>IF($Q$59,$M$59*$AE$59*$U$59,0)</f>
        <v/>
      </c>
      <c r="AN59" t="n">
        <v>17</v>
      </c>
      <c r="AO59">
        <f>IF($Q$59,$M$59*$AC$59*$Y$59,0)</f>
        <v/>
      </c>
      <c r="AP59" t="n">
        <v>14.4</v>
      </c>
      <c r="AQ59">
        <f>IF($S$59,$M$59*$AG$59*$W$59,0)</f>
        <v/>
      </c>
      <c r="AR59" t="n">
        <v>6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4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2.5</v>
      </c>
      <c r="AY59" t="n">
        <v>7.5</v>
      </c>
      <c r="AZ59" t="inlineStr">
        <is>
          <t>CHAM_QUA</t>
        </is>
      </c>
      <c r="BA59" t="inlineStr"/>
      <c r="BB59" t="inlineStr">
        <is>
          <t>Assets/MachineBrigade/Resources/Data/balance.json: weapons[id=cruise_missile_ground] (lớp B trên 01_chien_dau/Vu_khi)</t>
        </is>
      </c>
      <c r="BC59" t="inlineStr"/>
    </row>
    <row r="60">
      <c r="A60" t="inlineStr">
        <is>
          <t>cruiser_203</t>
        </is>
      </c>
      <c r="B60" t="n">
        <v>4</v>
      </c>
      <c r="C60">
        <f>IF(Vu_khi!$O$60="SIMULTANEOUS",MAX(1,Vu_khi!$N$60),1)</f>
        <v/>
      </c>
      <c r="D60" t="n">
        <v>2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11.8</v>
      </c>
      <c r="I60">
        <f>Vu_khi!$W$60*MAX(1,$E$60)</f>
        <v/>
      </c>
      <c r="J60" t="n">
        <v>840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71.1864406779661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0</v>
      </c>
      <c r="U60">
        <f>INDEX(Bang_sat_thuong!$B$2:$B$7,MATCH(Vu_khi!$K$60,Bang_sat_thuong!$A$2:$A$7,0))</f>
        <v/>
      </c>
      <c r="V60" t="n">
        <v>1</v>
      </c>
      <c r="W60">
        <f>INDEX(Bang_sat_thuong!$C$2:$C$7,MATCH(Vu_khi!$K$60,Bang_sat_thuong!$A$2:$A$7,0))</f>
        <v/>
      </c>
      <c r="X60" t="n">
        <v>0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1.5</v>
      </c>
      <c r="AA60">
        <f>INDEX(Bang_xuyen_giap!$C$2:$C$7,MIN(6,MAX(1,IF($O$60,MAX(1,2-(Vu_khi!$L$60-0)),2-(Vu_khi!$L$60-0))+1)))</f>
        <v/>
      </c>
      <c r="AB60" t="n">
        <v>1.2</v>
      </c>
      <c r="AC60">
        <f>INDEX(Bang_xuyen_giap!$C$2:$C$7,MIN(6,MAX(1,IF($O$60,MAX(1,2-(Vu_khi!$L$60-2)),2-(Vu_khi!$L$60-2))+1)))</f>
        <v/>
      </c>
      <c r="AD60" t="n">
        <v>1.2</v>
      </c>
      <c r="AE60">
        <f>INDEX(Bang_xuyen_giap!$C$2:$C$7,MIN(6,MAX(1,IF($O$60,MAX(1,2-(Vu_khi!$L$60-4)),2-(Vu_khi!$L$60-4))+1)))</f>
        <v/>
      </c>
      <c r="AF60" t="n">
        <v>0.85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85.42372881355932</v>
      </c>
      <c r="AK60">
        <f>IF($Q$60,$M$60*$AC$60*$U$60,0)</f>
        <v/>
      </c>
      <c r="AL60" t="n">
        <v>85.42372881355932</v>
      </c>
      <c r="AM60">
        <f>IF($Q$60,$M$60*$AE$60*$U$60,0)</f>
        <v/>
      </c>
      <c r="AN60" t="n">
        <v>60.50847457627118</v>
      </c>
      <c r="AO60">
        <f>IF($Q$60,$M$60*$AC$60*$Y$60,0)</f>
        <v/>
      </c>
      <c r="AP60" t="n">
        <v>128.135593220339</v>
      </c>
      <c r="AQ60">
        <f>IF($S$60,$M$60*$AG$60*$W$60,0)</f>
        <v/>
      </c>
      <c r="AR60" t="n">
        <v>0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1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1.652</v>
      </c>
      <c r="AZ60" t="inlineStr">
        <is>
          <t>ok</t>
        </is>
      </c>
      <c r="BA60" t="inlineStr"/>
      <c r="BB60" t="inlineStr">
        <is>
          <t>Assets/MachineBrigade/Resources/Data/balance.json: weapons[id=cruiser_203] (lớp B trên 01_chien_dau/Vu_khi)</t>
        </is>
      </c>
      <c r="BC60" t="inlineStr"/>
    </row>
    <row r="61">
      <c r="A61" t="inlineStr">
        <is>
          <t>cruiser_203_guided</t>
        </is>
      </c>
      <c r="B61" t="n">
        <v>4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1</v>
      </c>
      <c r="G61">
        <f>IF(Vu_khi!$S$61&gt;0,(Vu_khi!$S$61-1)*Vu_khi!$R$61+Vu_khi!$T$61,Vu_khi!$R$61+(Vu_khi!$P$61-1)*Vu_khi!$Q$61)</f>
        <v/>
      </c>
      <c r="H61" t="n">
        <v>11.8</v>
      </c>
      <c r="I61">
        <f>Vu_khi!$W$61*MAX(1,$E$61)</f>
        <v/>
      </c>
      <c r="J61" t="n">
        <v>420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35.59322033898305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1.2</v>
      </c>
      <c r="AC61">
        <f>INDEX(Bang_xuyen_giap!$C$2:$C$7,MIN(6,MAX(1,IF($O$61,MAX(1,2-(Vu_khi!$L$61-2)),2-(Vu_khi!$L$61-2))+1)))</f>
        <v/>
      </c>
      <c r="AD61" t="n">
        <v>1.2</v>
      </c>
      <c r="AE61">
        <f>INDEX(Bang_xuyen_giap!$C$2:$C$7,MIN(6,MAX(1,IF($O$61,MAX(1,2-(Vu_khi!$L$61-4)),2-(Vu_khi!$L$61-4))+1)))</f>
        <v/>
      </c>
      <c r="AF61" t="n">
        <v>0.85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42.71186440677966</v>
      </c>
      <c r="AK61">
        <f>IF($Q$61,$M$61*$AC$61*$U$61,0)</f>
        <v/>
      </c>
      <c r="AL61" t="n">
        <v>42.71186440677966</v>
      </c>
      <c r="AM61">
        <f>IF($Q$61,$M$61*$AE$61*$U$61,0)</f>
        <v/>
      </c>
      <c r="AN61" t="n">
        <v>30.25423728813559</v>
      </c>
      <c r="AO61">
        <f>IF($Q$61,$M$61*$AC$61*$Y$61,0)</f>
        <v/>
      </c>
      <c r="AP61" t="n">
        <v>64.06779661016948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BB61" t="inlineStr">
        <is>
          <t>Assets/MachineBrigade/Resources/Data/balance.json: weapons[id=cruiser_203_guided] (lớp B trên 01_chien_dau/Vu_khi)</t>
        </is>
      </c>
      <c r="BC61" t="inlineStr"/>
    </row>
    <row r="62">
      <c r="A62" t="inlineStr">
        <is>
          <t>detonator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</v>
      </c>
      <c r="I62">
        <f>Vu_khi!$W$62*MAX(1,$E$62)</f>
        <v/>
      </c>
      <c r="J62" t="n">
        <v>770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770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1.2</v>
      </c>
      <c r="AC62">
        <f>INDEX(Bang_xuyen_giap!$C$2:$C$7,MIN(6,MAX(1,IF($O$62,MAX(1,2-(Vu_khi!$L$62-2)),2-(Vu_khi!$L$62-2))+1)))</f>
        <v/>
      </c>
      <c r="AD62" t="n">
        <v>1.2</v>
      </c>
      <c r="AE62">
        <f>INDEX(Bang_xuyen_giap!$C$2:$C$7,MIN(6,MAX(1,IF($O$62,MAX(1,2-(Vu_khi!$L$62-4)),2-(Vu_khi!$L$62-4))+1)))</f>
        <v/>
      </c>
      <c r="AF62" t="n">
        <v>0.85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924</v>
      </c>
      <c r="AK62">
        <f>IF($Q$62,$M$62*$AC$62*$U$62,0)</f>
        <v/>
      </c>
      <c r="AL62" t="n">
        <v>924</v>
      </c>
      <c r="AM62">
        <f>IF($Q$62,$M$62*$AE$62*$U$62,0)</f>
        <v/>
      </c>
      <c r="AN62" t="n">
        <v>654.5</v>
      </c>
      <c r="AO62">
        <f>IF($Q$62,$M$62*$AC$62*$Y$62,0)</f>
        <v/>
      </c>
      <c r="AP62" t="n">
        <v>1386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2.722222222222222</v>
      </c>
      <c r="AY62" t="inlineStr"/>
      <c r="AZ62" t="inlineStr">
        <is>
          <t>ok</t>
        </is>
      </c>
      <c r="BA62" t="inlineStr"/>
      <c r="BB62" t="inlineStr">
        <is>
          <t>Assets/MachineBrigade/Resources/Data/balance.json: weapons[id=detonator] (lớp B trên 01_chien_dau/Vu_khi)</t>
        </is>
      </c>
      <c r="BC62" t="inlineStr"/>
    </row>
    <row r="63">
      <c r="A63" t="inlineStr">
        <is>
          <t>dozer_blade</t>
        </is>
      </c>
      <c r="B63" t="n">
        <v>0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1.6</v>
      </c>
      <c r="I63">
        <f>Vu_khi!$W$63*MAX(1,$E$63)</f>
        <v/>
      </c>
      <c r="J63" t="n">
        <v>110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68.75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0.3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0.6</v>
      </c>
      <c r="AA63">
        <f>INDEX(Bang_xuyen_giap!$C$2:$C$7,MIN(6,MAX(1,IF($O$63,MAX(1,2-(Vu_khi!$L$63-0)),2-(Vu_khi!$L$63-0))+1)))</f>
        <v/>
      </c>
      <c r="AB63" t="n">
        <v>1.2</v>
      </c>
      <c r="AC63">
        <f>INDEX(Bang_xuyen_giap!$C$2:$C$7,MIN(6,MAX(1,IF($O$63,MAX(1,2-(Vu_khi!$L$63-2)),2-(Vu_khi!$L$63-2))+1)))</f>
        <v/>
      </c>
      <c r="AD63" t="n">
        <v>1</v>
      </c>
      <c r="AE63">
        <f>INDEX(Bang_xuyen_giap!$C$2:$C$7,MIN(6,MAX(1,IF($O$63,MAX(1,2-(Vu_khi!$L$63-4)),2-(Vu_khi!$L$63-4))+1)))</f>
        <v/>
      </c>
      <c r="AF63" t="n">
        <v>0.5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82.5</v>
      </c>
      <c r="AK63">
        <f>IF($Q$63,$M$63*$AC$63*$U$63,0)</f>
        <v/>
      </c>
      <c r="AL63" t="n">
        <v>68.75</v>
      </c>
      <c r="AM63">
        <f>IF($Q$63,$M$63*$AE$63*$U$63,0)</f>
        <v/>
      </c>
      <c r="AN63" t="n">
        <v>34.375</v>
      </c>
      <c r="AO63">
        <f>IF($Q$63,$M$63*$AC$63*$Y$63,0)</f>
        <v/>
      </c>
      <c r="AP63" t="n">
        <v>41.25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0</v>
      </c>
      <c r="AU63">
        <f>IF(AND($B$63&lt;0,$AS$63),4,$B$63)</f>
        <v/>
      </c>
      <c r="AV63" t="n">
        <v>0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0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weapons[id=dozer_blade] (lớp B trên 01_chien_dau/Vu_khi)</t>
        </is>
      </c>
      <c r="BC63" t="inlineStr"/>
    </row>
    <row r="64">
      <c r="A64" t="inlineStr">
        <is>
          <t>drone_gun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0.158</v>
      </c>
      <c r="I64">
        <f>Vu_khi!$W$64*MAX(1,$E$64)</f>
        <v/>
      </c>
      <c r="J64" t="n">
        <v>9.5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60.12658227848101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</v>
      </c>
      <c r="AC64">
        <f>INDEX(Bang_xuyen_giap!$C$2:$C$7,MIN(6,MAX(1,IF($O$64,MAX(1,2-(Vu_khi!$L$64-2)),2-(Vu_khi!$L$64-2))+1)))</f>
        <v/>
      </c>
      <c r="AD64" t="n">
        <v>0.5</v>
      </c>
      <c r="AE64">
        <f>INDEX(Bang_xuyen_giap!$C$2:$C$7,MIN(6,MAX(1,IF($O$64,MAX(1,2-(Vu_khi!$L$64-4)),2-(Vu_khi!$L$64-4))+1)))</f>
        <v/>
      </c>
      <c r="AF64" t="n">
        <v>0.1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60.12658227848101</v>
      </c>
      <c r="AK64">
        <f>IF($Q$64,$M$64*$AC$64*$U$64,0)</f>
        <v/>
      </c>
      <c r="AL64" t="n">
        <v>30.0632911392405</v>
      </c>
      <c r="AM64">
        <f>IF($Q$64,$M$64*$AE$64*$U$64,0)</f>
        <v/>
      </c>
      <c r="AN64" t="n">
        <v>6.012658227848101</v>
      </c>
      <c r="AO64">
        <f>IF($Q$64,$M$64*$AC$64*$Y$64,0)</f>
        <v/>
      </c>
      <c r="AP64" t="n">
        <v>18.0379746835443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n">
        <v>3.16</v>
      </c>
      <c r="AZ64" t="inlineStr">
        <is>
          <t>ok</t>
        </is>
      </c>
      <c r="BA64" t="inlineStr"/>
      <c r="BB64" t="inlineStr">
        <is>
          <t>Assets/MachineBrigade/Resources/Data/balance.json: weapons[id=drone_gun] (lớp B trên 01_chien_dau/Vu_khi)</t>
        </is>
      </c>
      <c r="BC64" t="inlineStr"/>
    </row>
    <row r="65">
      <c r="A65" t="inlineStr">
        <is>
          <t>drone_missile</t>
        </is>
      </c>
      <c r="B65" t="n">
        <v>2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3.58</v>
      </c>
      <c r="I65">
        <f>Vu_khi!$W$65*MAX(1,$E$65)</f>
        <v/>
      </c>
      <c r="J65" t="n">
        <v>260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72.62569832402235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0.6</v>
      </c>
      <c r="AA65">
        <f>INDEX(Bang_xuyen_giap!$C$2:$C$7,MIN(6,MAX(1,IF($O$65,MAX(1,2-(Vu_khi!$L$65-0)),2-(Vu_khi!$L$65-0))+1)))</f>
        <v/>
      </c>
      <c r="AB65" t="n">
        <v>1.2</v>
      </c>
      <c r="AC65">
        <f>INDEX(Bang_xuyen_giap!$C$2:$C$7,MIN(6,MAX(1,IF($O$65,MAX(1,2-(Vu_khi!$L$65-2)),2-(Vu_khi!$L$65-2))+1)))</f>
        <v/>
      </c>
      <c r="AD65" t="n">
        <v>1.2</v>
      </c>
      <c r="AE65">
        <f>INDEX(Bang_xuyen_giap!$C$2:$C$7,MIN(6,MAX(1,IF($O$65,MAX(1,2-(Vu_khi!$L$65-4)),2-(Vu_khi!$L$65-4))+1)))</f>
        <v/>
      </c>
      <c r="AF65" t="n">
        <v>0.85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87.15083798882682</v>
      </c>
      <c r="AK65">
        <f>IF($Q$65,$M$65*$AC$65*$U$65,0)</f>
        <v/>
      </c>
      <c r="AL65" t="n">
        <v>87.15083798882682</v>
      </c>
      <c r="AM65">
        <f>IF($Q$65,$M$65*$AE$65*$U$65,0)</f>
        <v/>
      </c>
      <c r="AN65" t="n">
        <v>61.731843575419</v>
      </c>
      <c r="AO65">
        <f>IF($Q$65,$M$65*$AC$65*$Y$65,0)</f>
        <v/>
      </c>
      <c r="AP65" t="n">
        <v>52.29050279329609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2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inlineStr"/>
      <c r="AZ65" t="inlineStr">
        <is>
          <t>ok</t>
        </is>
      </c>
      <c r="BA65" t="inlineStr"/>
      <c r="BB65" t="inlineStr">
        <is>
          <t>Assets/MachineBrigade/Resources/Data/balance.json: weapons[id=drone_missile] (lớp B trên 01_chien_dau/Vu_khi)</t>
        </is>
      </c>
      <c r="BC65" t="inlineStr"/>
    </row>
    <row r="66">
      <c r="A66" t="inlineStr">
        <is>
          <t>fighter_cannon</t>
        </is>
      </c>
      <c r="B66" t="n">
        <v>1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44</v>
      </c>
      <c r="G66">
        <f>IF(Vu_khi!$S$66&gt;0,(Vu_khi!$S$66-1)*Vu_khi!$R$66+Vu_khi!$T$66,Vu_khi!$R$66+(Vu_khi!$P$66-1)*Vu_khi!$Q$66)</f>
        <v/>
      </c>
      <c r="H66" t="n">
        <v>5.9493</v>
      </c>
      <c r="I66">
        <f>Vu_khi!$W$66*MAX(1,$E$66)</f>
        <v/>
      </c>
      <c r="J66" t="n">
        <v>792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133.1249054510615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1</v>
      </c>
      <c r="U66">
        <f>INDEX(Bang_sat_thuong!$B$2:$B$7,MATCH(Vu_khi!$K$66,Bang_sat_thuong!$A$2:$A$7,0))</f>
        <v/>
      </c>
      <c r="V66" t="n">
        <v>0.5</v>
      </c>
      <c r="W66">
        <f>INDEX(Bang_sat_thuong!$C$2:$C$7,MATCH(Vu_khi!$K$66,Bang_sat_thuong!$A$2:$A$7,0))</f>
        <v/>
      </c>
      <c r="X66" t="n">
        <v>1.3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0.1</v>
      </c>
      <c r="AA66">
        <f>INDEX(Bang_xuyen_giap!$C$2:$C$7,MIN(6,MAX(1,IF($O$66,MAX(1,2-(Vu_khi!$L$66-0)),2-(Vu_khi!$L$66-0))+1)))</f>
        <v/>
      </c>
      <c r="AB66" t="n">
        <v>1.2</v>
      </c>
      <c r="AC66">
        <f>INDEX(Bang_xuyen_giap!$C$2:$C$7,MIN(6,MAX(1,IF($O$66,MAX(1,2-(Vu_khi!$L$66-2)),2-(Vu_khi!$L$66-2))+1)))</f>
        <v/>
      </c>
      <c r="AD66" t="n">
        <v>0.85</v>
      </c>
      <c r="AE66">
        <f>INDEX(Bang_xuyen_giap!$C$2:$C$7,MIN(6,MAX(1,IF($O$66,MAX(1,2-(Vu_khi!$L$66-4)),2-(Vu_khi!$L$66-4))+1)))</f>
        <v/>
      </c>
      <c r="AF66" t="n">
        <v>0.25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79.87494327063688</v>
      </c>
      <c r="AK66">
        <f>IF($Q$66,$M$66*$AC$66*$U$66,0)</f>
        <v/>
      </c>
      <c r="AL66" t="n">
        <v>56.57808481670112</v>
      </c>
      <c r="AM66">
        <f>IF($Q$66,$M$66*$AE$66*$U$66,0)</f>
        <v/>
      </c>
      <c r="AN66" t="n">
        <v>16.64061318138268</v>
      </c>
      <c r="AO66">
        <f>IF($Q$66,$M$66*$AC$66*$Y$66,0)</f>
        <v/>
      </c>
      <c r="AP66" t="n">
        <v>11.31561696334023</v>
      </c>
      <c r="AQ66">
        <f>IF($S$66,$M$66*$AG$66*$W$66,0)</f>
        <v/>
      </c>
      <c r="AR66" t="n">
        <v>173.0623770863799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1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n">
        <v>7.436625</v>
      </c>
      <c r="AZ66" t="inlineStr">
        <is>
          <t>ok</t>
        </is>
      </c>
      <c r="BA66" t="inlineStr"/>
      <c r="BB66" t="inlineStr">
        <is>
          <t>Assets/MachineBrigade/Resources/Data/balance.json: weapons[id=fighter_cannon] (lớp B trên 01_chien_dau/Vu_khi)</t>
        </is>
      </c>
      <c r="BC66" t="inlineStr"/>
    </row>
    <row r="67">
      <c r="A67" t="inlineStr">
        <is>
          <t>fighter_cannon_ap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0</v>
      </c>
      <c r="U67">
        <f>INDEX(Bang_sat_thuong!$B$2:$B$7,MATCH(Vu_khi!$K$67,Bang_sat_thuong!$A$2:$A$7,0))</f>
        <v/>
      </c>
      <c r="V67" t="n">
        <v>1</v>
      </c>
      <c r="W67">
        <f>INDEX(Bang_sat_thuong!$C$2:$C$7,MATCH(Vu_khi!$K$67,Bang_sat_thuong!$A$2:$A$7,0))</f>
        <v/>
      </c>
      <c r="X67" t="n">
        <v>0.3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0.6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0.85</v>
      </c>
      <c r="AE67">
        <f>INDEX(Bang_xuyen_giap!$C$2:$C$7,MIN(6,MAX(1,IF($O$67,MAX(1,2-(Vu_khi!$L$67-4)),2-(Vu_khi!$L$67-4))+1)))</f>
        <v/>
      </c>
      <c r="AF67" t="n">
        <v>0.25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159.7498865412738</v>
      </c>
      <c r="AK67">
        <f>IF($Q$67,$M$67*$AC$67*$U$67,0)</f>
        <v/>
      </c>
      <c r="AL67" t="n">
        <v>113.1561696334022</v>
      </c>
      <c r="AM67">
        <f>IF($Q$67,$M$67*$AE$67*$U$67,0)</f>
        <v/>
      </c>
      <c r="AN67" t="n">
        <v>33.28122636276537</v>
      </c>
      <c r="AO67">
        <f>IF($Q$67,$M$67*$AC$67*$Y$67,0)</f>
        <v/>
      </c>
      <c r="AP67" t="n">
        <v>67.89370178004135</v>
      </c>
      <c r="AQ67">
        <f>IF($S$67,$M$67*$AG$67*$W$67,0)</f>
        <v/>
      </c>
      <c r="AR67" t="n">
        <v>0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BB67" t="inlineStr">
        <is>
          <t>Assets/MachineBrigade/Resources/Data/balance.json: weapons[id=fighter_cannon_ap] (lớp B trên 01_chien_dau/Vu_khi)</t>
        </is>
      </c>
      <c r="BC67" t="inlineStr"/>
    </row>
    <row r="68">
      <c r="A68" t="inlineStr">
        <is>
          <t>flak_35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22</v>
      </c>
      <c r="G68">
        <f>IF(Vu_khi!$S$68&gt;0,(Vu_khi!$S$68-1)*Vu_khi!$R$68+Vu_khi!$T$68,Vu_khi!$R$68+(Vu_khi!$P$68-1)*Vu_khi!$Q$68)</f>
        <v/>
      </c>
      <c r="H68" t="n">
        <v>6.5</v>
      </c>
      <c r="I68">
        <f>Vu_khi!$W$68*MAX(1,$E$68)</f>
        <v/>
      </c>
      <c r="J68" t="n">
        <v>572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88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1</v>
      </c>
      <c r="U68">
        <f>INDEX(Bang_sat_thuong!$B$2:$B$7,MATCH(Vu_khi!$K$68,Bang_sat_thuong!$A$2:$A$7,0))</f>
        <v/>
      </c>
      <c r="V68" t="n">
        <v>0.5</v>
      </c>
      <c r="W68">
        <f>INDEX(Bang_sat_thuong!$C$2:$C$7,MATCH(Vu_khi!$K$68,Bang_sat_thuong!$A$2:$A$7,0))</f>
        <v/>
      </c>
      <c r="X68" t="n">
        <v>1.3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0.1</v>
      </c>
      <c r="AA68">
        <f>INDEX(Bang_xuyen_giap!$C$2:$C$7,MIN(6,MAX(1,IF($O$68,MAX(1,2-(Vu_khi!$L$68-0)),2-(Vu_khi!$L$68-0))+1)))</f>
        <v/>
      </c>
      <c r="AB68" t="n">
        <v>1.2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52.8</v>
      </c>
      <c r="AK68">
        <f>IF($Q$68,$M$68*$AC$68*$U$68,0)</f>
        <v/>
      </c>
      <c r="AL68" t="n">
        <v>37.4</v>
      </c>
      <c r="AM68">
        <f>IF($Q$68,$M$68*$AE$68*$U$68,0)</f>
        <v/>
      </c>
      <c r="AN68" t="n">
        <v>11</v>
      </c>
      <c r="AO68">
        <f>IF($Q$68,$M$68*$AC$68*$Y$68,0)</f>
        <v/>
      </c>
      <c r="AP68" t="n">
        <v>7.48</v>
      </c>
      <c r="AQ68">
        <f>IF($S$68,$M$68*$AG$68*$W$68,0)</f>
        <v/>
      </c>
      <c r="AR68" t="n">
        <v>114.4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AY68" t="n">
        <v>5.416667</v>
      </c>
      <c r="AZ68" t="inlineStr">
        <is>
          <t>CHAM_QUA</t>
        </is>
      </c>
      <c r="BA68" t="inlineStr"/>
      <c r="BB68" t="inlineStr">
        <is>
          <t>Assets/MachineBrigade/Resources/Data/balance.json: weapons[id=flak_35] (lớp B trên 01_chien_dau/Vu_khi)</t>
        </is>
      </c>
      <c r="BC68" t="inlineStr"/>
    </row>
    <row r="69">
      <c r="A69" t="inlineStr">
        <is>
          <t>flak_35_ap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0</v>
      </c>
      <c r="U69">
        <f>INDEX(Bang_sat_thuong!$B$2:$B$7,MATCH(Vu_khi!$K$69,Bang_sat_thuong!$A$2:$A$7,0))</f>
        <v/>
      </c>
      <c r="V69" t="n">
        <v>1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0.6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0.85</v>
      </c>
      <c r="AE69">
        <f>INDEX(Bang_xuyen_giap!$C$2:$C$7,MIN(6,MAX(1,IF($O$69,MAX(1,2-(Vu_khi!$L$69-4)),2-(Vu_khi!$L$69-4))+1)))</f>
        <v/>
      </c>
      <c r="AF69" t="n">
        <v>0.25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105.6</v>
      </c>
      <c r="AK69">
        <f>IF($Q$69,$M$69*$AC$69*$U$69,0)</f>
        <v/>
      </c>
      <c r="AL69" t="n">
        <v>74.8</v>
      </c>
      <c r="AM69">
        <f>IF($Q$69,$M$69*$AE$69*$U$69,0)</f>
        <v/>
      </c>
      <c r="AN69" t="n">
        <v>22</v>
      </c>
      <c r="AO69">
        <f>IF($Q$69,$M$69*$AC$69*$Y$69,0)</f>
        <v/>
      </c>
      <c r="AP69" t="n">
        <v>44.88</v>
      </c>
      <c r="AQ69">
        <f>IF($S$69,$M$69*$AG$69*$W$69,0)</f>
        <v/>
      </c>
      <c r="AR69" t="n">
        <v>0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BB69" t="inlineStr">
        <is>
          <t>Assets/MachineBrigade/Resources/Data/balance.json: weapons[id=flak_35_ap] (lớp B trên 01_chien_dau/Vu_khi)</t>
        </is>
      </c>
      <c r="BC69" t="inlineStr"/>
    </row>
    <row r="70">
      <c r="A70" t="inlineStr">
        <is>
          <t>flak_quad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54</v>
      </c>
      <c r="G70">
        <f>IF(Vu_khi!$S$70&gt;0,(Vu_khi!$S$70-1)*Vu_khi!$R$70+Vu_khi!$T$70,Vu_khi!$R$70+(Vu_khi!$P$70-1)*Vu_khi!$Q$70)</f>
        <v/>
      </c>
      <c r="H70" t="n">
        <v>3.2172</v>
      </c>
      <c r="I70">
        <f>Vu_khi!$W$70*MAX(1,$E$70)</f>
        <v/>
      </c>
      <c r="J70" t="n">
        <v>756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234.9869451697128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1</v>
      </c>
      <c r="U70">
        <f>INDEX(Bang_sat_thuong!$B$2:$B$7,MATCH(Vu_khi!$K$70,Bang_sat_thuong!$A$2:$A$7,0))</f>
        <v/>
      </c>
      <c r="V70" t="n">
        <v>0.5</v>
      </c>
      <c r="W70">
        <f>INDEX(Bang_sat_thuong!$C$2:$C$7,MATCH(Vu_khi!$K$70,Bang_sat_thuong!$A$2:$A$7,0))</f>
        <v/>
      </c>
      <c r="X70" t="n">
        <v>1.3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0.1</v>
      </c>
      <c r="AA70">
        <f>INDEX(Bang_xuyen_giap!$C$2:$C$7,MIN(6,MAX(1,IF($O$70,MAX(1,2-(Vu_khi!$L$70-0)),2-(Vu_khi!$L$70-0))+1)))</f>
        <v/>
      </c>
      <c r="AB70" t="n">
        <v>1</v>
      </c>
      <c r="AC70">
        <f>INDEX(Bang_xuyen_giap!$C$2:$C$7,MIN(6,MAX(1,IF($O$70,MAX(1,2-(Vu_khi!$L$70-2)),2-(Vu_khi!$L$70-2))+1)))</f>
        <v/>
      </c>
      <c r="AD70" t="n">
        <v>0.5</v>
      </c>
      <c r="AE70">
        <f>INDEX(Bang_xuyen_giap!$C$2:$C$7,MIN(6,MAX(1,IF($O$70,MAX(1,2-(Vu_khi!$L$70-4)),2-(Vu_khi!$L$70-4))+1)))</f>
        <v/>
      </c>
      <c r="AF70" t="n">
        <v>0.1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117.4934725848564</v>
      </c>
      <c r="AK70">
        <f>IF($Q$70,$M$70*$AC$70*$U$70,0)</f>
        <v/>
      </c>
      <c r="AL70" t="n">
        <v>58.7467362924282</v>
      </c>
      <c r="AM70">
        <f>IF($Q$70,$M$70*$AE$70*$U$70,0)</f>
        <v/>
      </c>
      <c r="AN70" t="n">
        <v>11.74934725848564</v>
      </c>
      <c r="AO70">
        <f>IF($Q$70,$M$70*$AC$70*$Y$70,0)</f>
        <v/>
      </c>
      <c r="AP70" t="n">
        <v>11.74934725848564</v>
      </c>
      <c r="AQ70">
        <f>IF($S$70,$M$70*$AG$70*$W$70,0)</f>
        <v/>
      </c>
      <c r="AR70" t="n">
        <v>305.4830287206266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AY70" t="n">
        <v>3.971852</v>
      </c>
      <c r="AZ70" t="inlineStr">
        <is>
          <t>ok</t>
        </is>
      </c>
      <c r="BA70" t="inlineStr"/>
      <c r="BB70" t="inlineStr">
        <is>
          <t>Assets/MachineBrigade/Resources/Data/balance.json: weapons[id=flak_quad] (lớp B trên 01_chien_dau/Vu_khi)</t>
        </is>
      </c>
      <c r="BC70" t="inlineStr"/>
    </row>
    <row r="71">
      <c r="A71" t="inlineStr">
        <is>
          <t>flak_quad_ap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</v>
      </c>
      <c r="W71">
        <f>INDEX(Bang_sat_thuong!$C$2:$C$7,MATCH(Vu_khi!$K$71,Bang_sat_thuong!$A$2:$A$7,0))</f>
        <v/>
      </c>
      <c r="X71" t="n">
        <v>0.3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0.6</v>
      </c>
      <c r="AA71">
        <f>INDEX(Bang_xuyen_giap!$C$2:$C$7,MIN(6,MAX(1,IF($O$71,MAX(1,2-(Vu_khi!$L$71-0)),2-(Vu_khi!$L$71-0))+1)))</f>
        <v/>
      </c>
      <c r="AB71" t="n">
        <v>1.2</v>
      </c>
      <c r="AC71">
        <f>INDEX(Bang_xuyen_giap!$C$2:$C$7,MIN(6,MAX(1,IF($O$71,MAX(1,2-(Vu_khi!$L$71-2)),2-(Vu_khi!$L$71-2))+1)))</f>
        <v/>
      </c>
      <c r="AD71" t="n">
        <v>0.85</v>
      </c>
      <c r="AE71">
        <f>INDEX(Bang_xuyen_giap!$C$2:$C$7,MIN(6,MAX(1,IF($O$71,MAX(1,2-(Vu_khi!$L$71-4)),2-(Vu_khi!$L$71-4))+1)))</f>
        <v/>
      </c>
      <c r="AF71" t="n">
        <v>0.25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281.9843342036554</v>
      </c>
      <c r="AK71">
        <f>IF($Q$71,$M$71*$AC$71*$U$71,0)</f>
        <v/>
      </c>
      <c r="AL71" t="n">
        <v>199.7389033942559</v>
      </c>
      <c r="AM71">
        <f>IF($Q$71,$M$71*$AE$71*$U$71,0)</f>
        <v/>
      </c>
      <c r="AN71" t="n">
        <v>58.7467362924282</v>
      </c>
      <c r="AO71">
        <f>IF($Q$71,$M$71*$AC$71*$Y$71,0)</f>
        <v/>
      </c>
      <c r="AP71" t="n">
        <v>119.8433420365535</v>
      </c>
      <c r="AQ71">
        <f>IF($S$71,$M$71*$AG$71*$W$71,0)</f>
        <v/>
      </c>
      <c r="AR71" t="n">
        <v>0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BB71" t="inlineStr">
        <is>
          <t>Assets/MachineBrigade/Resources/Data/balance.json: weapons[id=flak_quad_ap] (lớp B trên 01_chien_dau/Vu_khi)</t>
        </is>
      </c>
      <c r="BC71" t="inlineStr"/>
    </row>
    <row r="72">
      <c r="A72" t="inlineStr">
        <is>
          <t>flamethrower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1</v>
      </c>
      <c r="G72">
        <f>IF(Vu_khi!$S$72&gt;0,(Vu_khi!$S$72-1)*Vu_khi!$R$72+Vu_khi!$T$72,Vu_khi!$R$72+(Vu_khi!$P$72-1)*Vu_khi!$Q$72)</f>
        <v/>
      </c>
      <c r="H72" t="n">
        <v>0.25</v>
      </c>
      <c r="I72">
        <f>Vu_khi!$W$72*MAX(1,$E$72)</f>
        <v/>
      </c>
      <c r="J72" t="n">
        <v>21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84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1.5</v>
      </c>
      <c r="W72">
        <f>INDEX(Bang_sat_thuong!$C$2:$C$7,MATCH(Vu_khi!$K$72,Bang_sat_thuong!$A$2:$A$7,0))</f>
        <v/>
      </c>
      <c r="X72" t="n">
        <v>0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1</v>
      </c>
      <c r="AA72">
        <f>INDEX(Bang_xuyen_giap!$C$2:$C$7,MIN(6,MAX(1,IF($O$72,MAX(1,2-(Vu_khi!$L$72-0)),2-(Vu_khi!$L$72-0))+1)))</f>
        <v/>
      </c>
      <c r="AB72" t="n">
        <v>1</v>
      </c>
      <c r="AC72">
        <f>INDEX(Bang_xuyen_giap!$C$2:$C$7,MIN(6,MAX(1,IF($O$72,MAX(1,2-(Vu_khi!$L$72-2)),2-(Vu_khi!$L$72-2))+1)))</f>
        <v/>
      </c>
      <c r="AD72" t="n">
        <v>0.5</v>
      </c>
      <c r="AE72">
        <f>INDEX(Bang_xuyen_giap!$C$2:$C$7,MIN(6,MAX(1,IF($O$72,MAX(1,2-(Vu_khi!$L$72-4)),2-(Vu_khi!$L$72-4))+1)))</f>
        <v/>
      </c>
      <c r="AF72" t="n">
        <v>0.1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126</v>
      </c>
      <c r="AK72">
        <f>IF($Q$72,$M$72*$AC$72*$U$72,0)</f>
        <v/>
      </c>
      <c r="AL72" t="n">
        <v>63</v>
      </c>
      <c r="AM72">
        <f>IF($Q$72,$M$72*$AE$72*$U$72,0)</f>
        <v/>
      </c>
      <c r="AN72" t="n">
        <v>12.6</v>
      </c>
      <c r="AO72">
        <f>IF($Q$72,$M$72*$AC$72*$Y$72,0)</f>
        <v/>
      </c>
      <c r="AP72" t="n">
        <v>42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AY72" t="inlineStr"/>
      <c r="AZ72" t="inlineStr">
        <is>
          <t>ok</t>
        </is>
      </c>
      <c r="BA72" t="inlineStr"/>
      <c r="BB72" t="inlineStr">
        <is>
          <t>Assets/MachineBrigade/Resources/Data/balance.json: weapons[id=flamethrower] (lớp B trên 01_chien_dau/Vu_khi)</t>
        </is>
      </c>
      <c r="BC72" t="inlineStr"/>
    </row>
    <row r="73">
      <c r="A73" t="inlineStr">
        <is>
          <t>focus_laser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80</v>
      </c>
      <c r="G73">
        <f>IF(Vu_khi!$S$73&gt;0,(Vu_khi!$S$73-1)*Vu_khi!$R$73+Vu_khi!$T$73,Vu_khi!$R$73+(Vu_khi!$P$73-1)*Vu_khi!$Q$73)</f>
        <v/>
      </c>
      <c r="H73" t="n">
        <v>9.4</v>
      </c>
      <c r="I73">
        <f>Vu_khi!$W$73*MAX(1,$E$73)</f>
        <v/>
      </c>
      <c r="J73" t="n">
        <v>1000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106.3829787234042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</v>
      </c>
      <c r="W73">
        <f>INDEX(Bang_sat_thuong!$C$2:$C$7,MATCH(Vu_khi!$K$73,Bang_sat_thuong!$A$2:$A$7,0))</f>
        <v/>
      </c>
      <c r="X73" t="n">
        <v>1.5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0.5</v>
      </c>
      <c r="AA73">
        <f>INDEX(Bang_xuyen_giap!$C$2:$C$7,MIN(6,MAX(1,IF($O$73,MAX(1,2-(Vu_khi!$L$73-0)),2-(Vu_khi!$L$73-0))+1)))</f>
        <v/>
      </c>
      <c r="AB73" t="n">
        <v>1.2</v>
      </c>
      <c r="AC73">
        <f>INDEX(Bang_xuyen_giap!$C$2:$C$7,MIN(6,MAX(1,IF($O$73,MAX(1,2-(Vu_khi!$L$73-2)),2-(Vu_khi!$L$73-2))+1)))</f>
        <v/>
      </c>
      <c r="AD73" t="n">
        <v>1.2</v>
      </c>
      <c r="AE73">
        <f>INDEX(Bang_xuyen_giap!$C$2:$C$7,MIN(6,MAX(1,IF($O$73,MAX(1,2-(Vu_khi!$L$73-4)),2-(Vu_khi!$L$73-4))+1)))</f>
        <v/>
      </c>
      <c r="AF73" t="n">
        <v>0.85</v>
      </c>
      <c r="AG73">
        <f>INDEX(Bang_xuyen_giap!$C$2:$C$7,MIN(6,MAX(1,MAX(1,2-(Vu_khi!$L$73-0))+1)))</f>
        <v/>
      </c>
      <c r="AH73" t="n">
        <v>1</v>
      </c>
      <c r="AI73">
        <f>IF($Q$73,$M$73*$AA$73*$U$73,0)</f>
        <v/>
      </c>
      <c r="AJ73" t="n">
        <v>127.6595744680851</v>
      </c>
      <c r="AK73">
        <f>IF($Q$73,$M$73*$AC$73*$U$73,0)</f>
        <v/>
      </c>
      <c r="AL73" t="n">
        <v>127.6595744680851</v>
      </c>
      <c r="AM73">
        <f>IF($Q$73,$M$73*$AE$73*$U$73,0)</f>
        <v/>
      </c>
      <c r="AN73" t="n">
        <v>90.42553191489361</v>
      </c>
      <c r="AO73">
        <f>IF($Q$73,$M$73*$AC$73*$Y$73,0)</f>
        <v/>
      </c>
      <c r="AP73" t="n">
        <v>63.82978723404255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weapons[id=focus_laser] (lớp B trên 01_chien_dau/Vu_khi)</t>
        </is>
      </c>
      <c r="BC73" t="inlineStr"/>
    </row>
    <row r="74">
      <c r="A74" t="inlineStr">
        <is>
          <t>fpv_hangar</t>
        </is>
      </c>
      <c r="B74" t="n">
        <v>2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4</v>
      </c>
      <c r="G74">
        <f>IF(Vu_khi!$S$74&gt;0,(Vu_khi!$S$74-1)*Vu_khi!$R$74+Vu_khi!$T$74,Vu_khi!$R$74+(Vu_khi!$P$74-1)*Vu_khi!$Q$74)</f>
        <v/>
      </c>
      <c r="H74" t="n">
        <v>10.5</v>
      </c>
      <c r="I74">
        <f>Vu_khi!$W$74*MAX(1,$E$74)</f>
        <v/>
      </c>
      <c r="J74" t="n">
        <v>560</v>
      </c>
      <c r="K74">
        <f>IF(Vu_khi!$V$74&gt;0,Vu_khi!$V$74,MIN(28,MAX(10,Vu_khi!$U$74*Vu_khi!$R$74*0.4)))</f>
        <v/>
      </c>
      <c r="L74" t="n">
        <v>9</v>
      </c>
      <c r="M74">
        <f>IF(Vu_khi!$W$74&lt;=0,0,IF(Vu_khi!$U$74&gt;0,$I$74*Vu_khi!$U$74/(MAX(0.05,$G$74)*Vu_khi!$U$74+$K$74),$I$74/MAX(0.05,$G$74)))</f>
        <v/>
      </c>
      <c r="N74" t="n">
        <v>53.33333333333334</v>
      </c>
      <c r="O74">
        <f>OR(Vu_khi!$AG$74,Vu_khi!$AB$74&gt;0,Vu_khi!$AH$74,Vu_khi!$M$74="Bomb",Vu_khi!$M$74="Drone")</f>
        <v/>
      </c>
      <c r="P74" t="b">
        <v>1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0.3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0.6</v>
      </c>
      <c r="AA74">
        <f>INDEX(Bang_xuyen_giap!$C$2:$C$7,MIN(6,MAX(1,IF($O$74,MAX(1,2-(Vu_khi!$L$74-0)),2-(Vu_khi!$L$74-0))+1)))</f>
        <v/>
      </c>
      <c r="AB74" t="n">
        <v>1</v>
      </c>
      <c r="AC74">
        <f>INDEX(Bang_xuyen_giap!$C$2:$C$7,MIN(6,MAX(1,IF($O$74,MAX(1,2-(Vu_khi!$L$74-2)),2-(Vu_khi!$L$74-2))+1)))</f>
        <v/>
      </c>
      <c r="AD74" t="n">
        <v>1</v>
      </c>
      <c r="AE74">
        <f>INDEX(Bang_xuyen_giap!$C$2:$C$7,MIN(6,MAX(1,IF($O$74,MAX(1,2-(Vu_khi!$L$74-4)),2-(Vu_khi!$L$74-4))+1)))</f>
        <v/>
      </c>
      <c r="AF74" t="n">
        <v>0.5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53.33333333333334</v>
      </c>
      <c r="AK74">
        <f>IF($Q$74,$M$74*$AC$74*$U$74,0)</f>
        <v/>
      </c>
      <c r="AL74" t="n">
        <v>53.33333333333334</v>
      </c>
      <c r="AM74">
        <f>IF($Q$74,$M$74*$AE$74*$U$74,0)</f>
        <v/>
      </c>
      <c r="AN74" t="n">
        <v>26.66666666666667</v>
      </c>
      <c r="AO74">
        <f>IF($Q$74,$M$74*$AC$74*$Y$74,0)</f>
        <v/>
      </c>
      <c r="AP74" t="n">
        <v>32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2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weapons[id=fpv_hangar] (lớp B trên 01_chien_dau/Vu_khi)</t>
        </is>
      </c>
      <c r="BC74" t="inlineStr"/>
    </row>
    <row r="75">
      <c r="A75" t="inlineStr">
        <is>
          <t>fpv_hangar_swarm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7.899999999999999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70.8860759493671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1</v>
      </c>
      <c r="AE75">
        <f>INDEX(Bang_xuyen_giap!$C$2:$C$7,MIN(6,MAX(1,IF($O$75,MAX(1,2-(Vu_khi!$L$75-4)),2-(Vu_khi!$L$75-4))+1)))</f>
        <v/>
      </c>
      <c r="AF75" t="n">
        <v>0.5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70.8860759493671</v>
      </c>
      <c r="AK75">
        <f>IF($Q$75,$M$75*$AC$75*$U$75,0)</f>
        <v/>
      </c>
      <c r="AL75" t="n">
        <v>70.8860759493671</v>
      </c>
      <c r="AM75">
        <f>IF($Q$75,$M$75*$AE$75*$U$75,0)</f>
        <v/>
      </c>
      <c r="AN75" t="n">
        <v>35.44303797468355</v>
      </c>
      <c r="AO75">
        <f>IF($Q$75,$M$75*$AC$75*$Y$75,0)</f>
        <v/>
      </c>
      <c r="AP75" t="n">
        <v>42.53164556962026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weapons[id=fpv_hangar_swarm] (lớp B trên 01_chien_dau/Vu_khi)</t>
        </is>
      </c>
      <c r="BC75" t="inlineStr"/>
    </row>
    <row r="76">
      <c r="A76" t="inlineStr">
        <is>
          <t>fpv_swarm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</v>
      </c>
      <c r="G76">
        <f>IF(Vu_khi!$S$76&gt;0,(Vu_khi!$S$76-1)*Vu_khi!$R$76+Vu_khi!$T$76,Vu_khi!$R$76+(Vu_khi!$P$76-1)*Vu_khi!$Q$76)</f>
        <v/>
      </c>
      <c r="H76" t="n">
        <v>2.8</v>
      </c>
      <c r="I76">
        <f>Vu_khi!$W$76*MAX(1,$E$76)</f>
        <v/>
      </c>
      <c r="J76" t="n">
        <v>140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41.63568773234201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</v>
      </c>
      <c r="AC76">
        <f>INDEX(Bang_xuyen_giap!$C$2:$C$7,MIN(6,MAX(1,IF($O$76,MAX(1,2-(Vu_khi!$L$76-2)),2-(Vu_khi!$L$76-2))+1)))</f>
        <v/>
      </c>
      <c r="AD76" t="n">
        <v>1</v>
      </c>
      <c r="AE76">
        <f>INDEX(Bang_xuyen_giap!$C$2:$C$7,MIN(6,MAX(1,IF($O$76,MAX(1,2-(Vu_khi!$L$76-4)),2-(Vu_khi!$L$76-4))+1)))</f>
        <v/>
      </c>
      <c r="AF76" t="n">
        <v>0.5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41.63568773234201</v>
      </c>
      <c r="AK76">
        <f>IF($Q$76,$M$76*$AC$76*$U$76,0)</f>
        <v/>
      </c>
      <c r="AL76" t="n">
        <v>41.63568773234201</v>
      </c>
      <c r="AM76">
        <f>IF($Q$76,$M$76*$AE$76*$U$76,0)</f>
        <v/>
      </c>
      <c r="AN76" t="n">
        <v>20.817843866171</v>
      </c>
      <c r="AO76">
        <f>IF($Q$76,$M$76*$AC$76*$Y$76,0)</f>
        <v/>
      </c>
      <c r="AP76" t="n">
        <v>24.9814126394052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weapons[id=fpv_swarm] (lớp B trên 01_chien_dau/Vu_khi)</t>
        </is>
      </c>
      <c r="BC76" t="inlineStr"/>
    </row>
    <row r="77">
      <c r="A77" t="inlineStr">
        <is>
          <t>gau_gatling</t>
        </is>
      </c>
      <c r="B77" t="n">
        <v>1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113</v>
      </c>
      <c r="G77">
        <f>IF(Vu_khi!$S$77&gt;0,(Vu_khi!$S$77-1)*Vu_khi!$R$77+Vu_khi!$T$77,Vu_khi!$R$77+(Vu_khi!$P$77-1)*Vu_khi!$Q$77)</f>
        <v/>
      </c>
      <c r="H77" t="n">
        <v>4.6604</v>
      </c>
      <c r="I77">
        <f>Vu_khi!$W$77*MAX(1,$E$77)</f>
        <v/>
      </c>
      <c r="J77" t="n">
        <v>2486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533.4306068148657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0.6</v>
      </c>
      <c r="AA77">
        <f>INDEX(Bang_xuyen_giap!$C$2:$C$7,MIN(6,MAX(1,IF($O$77,MAX(1,2-(Vu_khi!$L$77-0)),2-(Vu_khi!$L$77-0))+1)))</f>
        <v/>
      </c>
      <c r="AB77" t="n">
        <v>1.2</v>
      </c>
      <c r="AC77">
        <f>INDEX(Bang_xuyen_giap!$C$2:$C$7,MIN(6,MAX(1,IF($O$77,MAX(1,2-(Vu_khi!$L$77-2)),2-(Vu_khi!$L$77-2))+1)))</f>
        <v/>
      </c>
      <c r="AD77" t="n">
        <v>1</v>
      </c>
      <c r="AE77">
        <f>INDEX(Bang_xuyen_giap!$C$2:$C$7,MIN(6,MAX(1,IF($O$77,MAX(1,2-(Vu_khi!$L$77-4)),2-(Vu_khi!$L$77-4))+1)))</f>
        <v/>
      </c>
      <c r="AF77" t="n">
        <v>0.5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640.1167281778388</v>
      </c>
      <c r="AK77">
        <f>IF($Q$77,$M$77*$AC$77*$U$77,0)</f>
        <v/>
      </c>
      <c r="AL77" t="n">
        <v>533.4306068148657</v>
      </c>
      <c r="AM77">
        <f>IF($Q$77,$M$77*$AE$77*$U$77,0)</f>
        <v/>
      </c>
      <c r="AN77" t="n">
        <v>266.7153034074328</v>
      </c>
      <c r="AO77">
        <f>IF($Q$77,$M$77*$AC$77*$Y$77,0)</f>
        <v/>
      </c>
      <c r="AP77" t="n">
        <v>320.0583640889194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1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n">
        <v>2.680761</v>
      </c>
      <c r="AZ77" t="inlineStr">
        <is>
          <t>ok</t>
        </is>
      </c>
      <c r="BA77" t="inlineStr"/>
      <c r="BB77" t="inlineStr">
        <is>
          <t>Assets/MachineBrigade/Resources/Data/balance.json: weapons[id=gau_gatling] (lớp B trên 01_chien_dau/Vu_khi)</t>
        </is>
      </c>
      <c r="BC77" t="inlineStr"/>
    </row>
    <row r="78">
      <c r="A78" t="inlineStr">
        <is>
          <t>grad_cluster</t>
        </is>
      </c>
      <c r="B78" t="n">
        <v>3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</v>
      </c>
      <c r="G78">
        <f>IF(Vu_khi!$S$78&gt;0,(Vu_khi!$S$78-1)*Vu_khi!$R$78+Vu_khi!$T$78,Vu_khi!$R$78+(Vu_khi!$P$78-1)*Vu_khi!$Q$78)</f>
        <v/>
      </c>
      <c r="H78" t="n">
        <v>13</v>
      </c>
      <c r="I78">
        <f>Vu_khi!$W$78*MAX(1,$E$78)</f>
        <v/>
      </c>
      <c r="J78" t="n">
        <v>627</v>
      </c>
      <c r="K78">
        <f>IF(Vu_khi!$V$78&gt;0,Vu_khi!$V$78,MIN(28,MAX(10,Vu_khi!$U$78*Vu_khi!$R$78*0.4)))</f>
        <v/>
      </c>
      <c r="L78" t="n">
        <v>13.67</v>
      </c>
      <c r="M78">
        <f>IF(Vu_khi!$W$78&lt;=0,0,IF(Vu_khi!$U$78&gt;0,$I$78*Vu_khi!$U$78/(MAX(0.05,$G$78)*Vu_khi!$U$78+$K$78),$I$78/MAX(0.05,$G$78)))</f>
        <v/>
      </c>
      <c r="N78" t="n">
        <v>35.71292956142016</v>
      </c>
      <c r="O78">
        <f>OR(Vu_khi!$AG$78,Vu_khi!$AB$78&gt;0,Vu_khi!$AH$78,Vu_khi!$M$78="Bomb",Vu_khi!$M$78="Drone")</f>
        <v/>
      </c>
      <c r="P78" t="b">
        <v>1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1.5</v>
      </c>
      <c r="AA78">
        <f>INDEX(Bang_xuyen_giap!$C$2:$C$7,MIN(6,MAX(1,IF($O$78,MAX(1,2-(Vu_khi!$L$78-0)),2-(Vu_khi!$L$78-0))+1)))</f>
        <v/>
      </c>
      <c r="AB78" t="n">
        <v>1</v>
      </c>
      <c r="AC78">
        <f>INDEX(Bang_xuyen_giap!$C$2:$C$7,MIN(6,MAX(1,IF($O$78,MAX(1,2-(Vu_khi!$L$78-2)),2-(Vu_khi!$L$78-2))+1)))</f>
        <v/>
      </c>
      <c r="AD78" t="n">
        <v>0.85</v>
      </c>
      <c r="AE78">
        <f>INDEX(Bang_xuyen_giap!$C$2:$C$7,MIN(6,MAX(1,IF($O$78,MAX(1,2-(Vu_khi!$L$78-4)),2-(Vu_khi!$L$78-4))+1)))</f>
        <v/>
      </c>
      <c r="AF78" t="n">
        <v>0.25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35.71292956142016</v>
      </c>
      <c r="AK78">
        <f>IF($Q$78,$M$78*$AC$78*$U$78,0)</f>
        <v/>
      </c>
      <c r="AL78" t="n">
        <v>30.35599012720714</v>
      </c>
      <c r="AM78">
        <f>IF($Q$78,$M$78*$AE$78*$U$78,0)</f>
        <v/>
      </c>
      <c r="AN78" t="n">
        <v>8.92823239035504</v>
      </c>
      <c r="AO78">
        <f>IF($Q$78,$M$78*$AC$78*$Y$78,0)</f>
        <v/>
      </c>
      <c r="AP78" t="n">
        <v>45.5339851908107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3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1</v>
      </c>
      <c r="AZ78" t="inlineStr">
        <is>
          <t>ok</t>
        </is>
      </c>
      <c r="BA78" t="inlineStr"/>
      <c r="BB78" t="inlineStr">
        <is>
          <t>Assets/MachineBrigade/Resources/Data/balance.json: weapons[id=grad_cluster] (lớp B trên 01_chien_dau/Vu_khi)</t>
        </is>
      </c>
      <c r="BC78" t="inlineStr"/>
    </row>
    <row r="79">
      <c r="A79" t="inlineStr">
        <is>
          <t>grad_rockets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9</v>
      </c>
      <c r="G79">
        <f>IF(Vu_khi!$S$79&gt;0,(Vu_khi!$S$79-1)*Vu_khi!$R$79+Vu_khi!$T$79,Vu_khi!$R$79+(Vu_khi!$P$79-1)*Vu_khi!$Q$79)</f>
        <v/>
      </c>
      <c r="H79" t="n">
        <v>15.31</v>
      </c>
      <c r="I79">
        <f>Vu_khi!$W$79*MAX(1,$E$79)</f>
        <v/>
      </c>
      <c r="J79" t="n">
        <v>513</v>
      </c>
      <c r="K79">
        <f>IF(Vu_khi!$V$79&gt;0,Vu_khi!$V$79,MIN(28,MAX(10,Vu_khi!$U$79*Vu_khi!$R$79*0.4)))</f>
        <v/>
      </c>
      <c r="L79" t="n">
        <v>16.6</v>
      </c>
      <c r="M79">
        <f>IF(Vu_khi!$W$79&lt;=0,0,IF(Vu_khi!$U$79&gt;0,$I$79*Vu_khi!$U$79/(MAX(0.05,$G$79)*Vu_khi!$U$79+$K$79),$I$79/MAX(0.05,$G$79)))</f>
        <v/>
      </c>
      <c r="N79" t="n">
        <v>24.61218615064769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1.5</v>
      </c>
      <c r="AA79">
        <f>INDEX(Bang_xuyen_giap!$C$2:$C$7,MIN(6,MAX(1,IF($O$79,MAX(1,2-(Vu_khi!$L$79-0)),2-(Vu_khi!$L$79-0))+1)))</f>
        <v/>
      </c>
      <c r="AB79" t="n">
        <v>1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24.61218615064769</v>
      </c>
      <c r="AK79">
        <f>IF($Q$79,$M$79*$AC$79*$U$79,0)</f>
        <v/>
      </c>
      <c r="AL79" t="n">
        <v>20.92035822805054</v>
      </c>
      <c r="AM79">
        <f>IF($Q$79,$M$79*$AE$79*$U$79,0)</f>
        <v/>
      </c>
      <c r="AN79" t="n">
        <v>6.153046537661922</v>
      </c>
      <c r="AO79">
        <f>IF($Q$79,$M$79*$AC$79*$Y$79,0)</f>
        <v/>
      </c>
      <c r="AP79" t="n">
        <v>31.3805373420758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weapons[id=grad_rockets] (lớp B trên 01_chien_dau/Vu_khi)</t>
        </is>
      </c>
      <c r="BC79" t="inlineStr"/>
    </row>
    <row r="80">
      <c r="A80" t="inlineStr">
        <is>
          <t>gsh_23v</t>
        </is>
      </c>
      <c r="B80" t="n">
        <v>1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44</v>
      </c>
      <c r="G80">
        <f>IF(Vu_khi!$S$80&gt;0,(Vu_khi!$S$80-1)*Vu_khi!$R$80+Vu_khi!$T$80,Vu_khi!$R$80+(Vu_khi!$P$80-1)*Vu_khi!$Q$80)</f>
        <v/>
      </c>
      <c r="H80" t="n">
        <v>6.3826</v>
      </c>
      <c r="I80">
        <f>Vu_khi!$W$80*MAX(1,$E$80)</f>
        <v/>
      </c>
      <c r="J80" t="n">
        <v>616</v>
      </c>
      <c r="K80">
        <f>IF(Vu_khi!$V$80&gt;0,Vu_khi!$V$80,MIN(28,MAX(10,Vu_khi!$U$80*Vu_khi!$R$80*0.4)))</f>
        <v/>
      </c>
      <c r="L80" t="n">
        <v>10</v>
      </c>
      <c r="M80">
        <f>IF(Vu_khi!$W$80&lt;=0,0,IF(Vu_khi!$U$80&gt;0,$I$80*Vu_khi!$U$80/(MAX(0.05,$G$80)*Vu_khi!$U$80+$K$80),$I$80/MAX(0.05,$G$80)))</f>
        <v/>
      </c>
      <c r="N80" t="n">
        <v>96.5123930686554</v>
      </c>
      <c r="O80">
        <f>OR(Vu_khi!$AG$80,Vu_khi!$AB$80&gt;0,Vu_khi!$AH$80,Vu_khi!$M$80="Bomb",Vu_khi!$M$80="Drone")</f>
        <v/>
      </c>
      <c r="P80" t="b">
        <v>0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1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0.3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0.6</v>
      </c>
      <c r="AA80">
        <f>INDEX(Bang_xuyen_giap!$C$2:$C$7,MIN(6,MAX(1,IF($O$80,MAX(1,2-(Vu_khi!$L$80-0)),2-(Vu_khi!$L$80-0))+1)))</f>
        <v/>
      </c>
      <c r="AB80" t="n">
        <v>1.2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115.8148716823865</v>
      </c>
      <c r="AK80">
        <f>IF($Q$80,$M$80*$AC$80*$U$80,0)</f>
        <v/>
      </c>
      <c r="AL80" t="n">
        <v>82.03553410835708</v>
      </c>
      <c r="AM80">
        <f>IF($Q$80,$M$80*$AE$80*$U$80,0)</f>
        <v/>
      </c>
      <c r="AN80" t="n">
        <v>24.12809826716385</v>
      </c>
      <c r="AO80">
        <f>IF($Q$80,$M$80*$AC$80*$Y$80,0)</f>
        <v/>
      </c>
      <c r="AP80" t="n">
        <v>49.22132046501425</v>
      </c>
      <c r="AQ80">
        <f>IF($S$80,$M$80*$AG$80*$W$80,0)</f>
        <v/>
      </c>
      <c r="AR80" t="n">
        <v>28.95371792059662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1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8.220015</v>
      </c>
      <c r="AZ80" t="inlineStr">
        <is>
          <t>ok</t>
        </is>
      </c>
      <c r="BA80" t="inlineStr"/>
      <c r="BB80" t="inlineStr">
        <is>
          <t>Assets/MachineBrigade/Resources/Data/balance.json: weapons[id=gsh_23v] (lớp B trên 01_chien_dau/Vu_khi)</t>
        </is>
      </c>
      <c r="BC80" t="inlineStr"/>
    </row>
    <row r="81">
      <c r="A81" t="inlineStr">
        <is>
          <t>guided_bomb</t>
        </is>
      </c>
      <c r="B81" t="n">
        <v>2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1</v>
      </c>
      <c r="G81">
        <f>IF(Vu_khi!$S$81&gt;0,(Vu_khi!$S$81-1)*Vu_khi!$R$81+Vu_khi!$T$81,Vu_khi!$R$81+(Vu_khi!$P$81-1)*Vu_khi!$Q$81)</f>
        <v/>
      </c>
      <c r="H81" t="n">
        <v>6.651</v>
      </c>
      <c r="I81">
        <f>Vu_khi!$W$81*MAX(1,$E$81)</f>
        <v/>
      </c>
      <c r="J81" t="n">
        <v>210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31.57419936851601</v>
      </c>
      <c r="O81">
        <f>OR(Vu_khi!$AG$81,Vu_khi!$AB$81&gt;0,Vu_khi!$AH$81,Vu_khi!$M$81="Bomb",Vu_khi!$M$81="Drone")</f>
        <v/>
      </c>
      <c r="P81" t="b">
        <v>1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0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1.5</v>
      </c>
      <c r="AA81">
        <f>INDEX(Bang_xuyen_giap!$C$2:$C$7,MIN(6,MAX(1,IF($O$81,MAX(1,2-(Vu_khi!$L$81-0)),2-(Vu_khi!$L$81-0))+1)))</f>
        <v/>
      </c>
      <c r="AB81" t="n">
        <v>1</v>
      </c>
      <c r="AC81">
        <f>INDEX(Bang_xuyen_giap!$C$2:$C$7,MIN(6,MAX(1,IF($O$81,MAX(1,2-(Vu_khi!$L$81-2)),2-(Vu_khi!$L$81-2))+1)))</f>
        <v/>
      </c>
      <c r="AD81" t="n">
        <v>1</v>
      </c>
      <c r="AE81">
        <f>INDEX(Bang_xuyen_giap!$C$2:$C$7,MIN(6,MAX(1,IF($O$81,MAX(1,2-(Vu_khi!$L$81-4)),2-(Vu_khi!$L$81-4))+1)))</f>
        <v/>
      </c>
      <c r="AF81" t="n">
        <v>0.5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31.57419936851601</v>
      </c>
      <c r="AK81">
        <f>IF($Q$81,$M$81*$AC$81*$U$81,0)</f>
        <v/>
      </c>
      <c r="AL81" t="n">
        <v>31.57419936851601</v>
      </c>
      <c r="AM81">
        <f>IF($Q$81,$M$81*$AE$81*$U$81,0)</f>
        <v/>
      </c>
      <c r="AN81" t="n">
        <v>15.78709968425801</v>
      </c>
      <c r="AO81">
        <f>IF($Q$81,$M$81*$AC$81*$Y$81,0)</f>
        <v/>
      </c>
      <c r="AP81" t="n">
        <v>47.36129905277402</v>
      </c>
      <c r="AQ81">
        <f>IF($S$81,$M$81*$AG$81*$W$81,0)</f>
        <v/>
      </c>
      <c r="AR81" t="n">
        <v>0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2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inlineStr"/>
      <c r="AZ81" t="inlineStr">
        <is>
          <t>ok</t>
        </is>
      </c>
      <c r="BA81" t="inlineStr"/>
      <c r="BB81" t="inlineStr">
        <is>
          <t>Assets/MachineBrigade/Resources/Data/balance.json: weapons[id=guided_bomb] (lớp B trên 01_chien_dau/Vu_khi)</t>
        </is>
      </c>
      <c r="BC81" t="inlineStr"/>
    </row>
    <row r="82">
      <c r="A82" t="inlineStr">
        <is>
          <t>gun_57_air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6</v>
      </c>
      <c r="G82">
        <f>IF(Vu_khi!$S$82&gt;0,(Vu_khi!$S$82-1)*Vu_khi!$R$82+Vu_khi!$T$82,Vu_khi!$R$82+(Vu_khi!$P$82-1)*Vu_khi!$Q$82)</f>
        <v/>
      </c>
      <c r="H82" t="n">
        <v>4.9</v>
      </c>
      <c r="I82">
        <f>Vu_khi!$W$82*MAX(1,$E$82)</f>
        <v/>
      </c>
      <c r="J82" t="n">
        <v>420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85.71428571428571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0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0.5</v>
      </c>
      <c r="W82">
        <f>INDEX(Bang_sat_thuong!$C$2:$C$7,MATCH(Vu_khi!$K$82,Bang_sat_thuong!$A$2:$A$7,0))</f>
        <v/>
      </c>
      <c r="X82" t="n">
        <v>1.3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0.1</v>
      </c>
      <c r="AA82">
        <f>INDEX(Bang_xuyen_giap!$C$2:$C$7,MIN(6,MAX(1,IF($O$82,MAX(1,2-(Vu_khi!$L$82-0)),2-(Vu_khi!$L$82-0))+1)))</f>
        <v/>
      </c>
      <c r="AB82" t="n">
        <v>1.2</v>
      </c>
      <c r="AC82">
        <f>INDEX(Bang_xuyen_giap!$C$2:$C$7,MIN(6,MAX(1,IF($O$82,MAX(1,2-(Vu_khi!$L$82-2)),2-(Vu_khi!$L$82-2))+1)))</f>
        <v/>
      </c>
      <c r="AD82" t="n">
        <v>0.85</v>
      </c>
      <c r="AE82">
        <f>INDEX(Bang_xuyen_giap!$C$2:$C$7,MIN(6,MAX(1,IF($O$82,MAX(1,2-(Vu_khi!$L$82-4)),2-(Vu_khi!$L$82-4))+1)))</f>
        <v/>
      </c>
      <c r="AF82" t="n">
        <v>0.25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0</v>
      </c>
      <c r="AK82">
        <f>IF($Q$82,$M$82*$AC$82*$U$82,0)</f>
        <v/>
      </c>
      <c r="AL82" t="n">
        <v>0</v>
      </c>
      <c r="AM82">
        <f>IF($Q$82,$M$82*$AE$82*$U$82,0)</f>
        <v/>
      </c>
      <c r="AN82" t="n">
        <v>0</v>
      </c>
      <c r="AO82">
        <f>IF($Q$82,$M$82*$AC$82*$Y$82,0)</f>
        <v/>
      </c>
      <c r="AP82" t="n">
        <v>0</v>
      </c>
      <c r="AQ82">
        <f>IF($S$82,$M$82*$AG$82*$W$82,0)</f>
        <v/>
      </c>
      <c r="AR82" t="n">
        <v>111.4285714285714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n">
        <v>1.633333</v>
      </c>
      <c r="AZ82" t="inlineStr">
        <is>
          <t>ok</t>
        </is>
      </c>
      <c r="BA82" t="inlineStr"/>
      <c r="BB82" t="inlineStr">
        <is>
          <t>Assets/MachineBrigade/Resources/Data/balance.json: weapons[id=gun_57_air] (lớp B trên 01_chien_dau/Vu_khi)</t>
        </is>
      </c>
      <c r="BC82" t="inlineStr"/>
    </row>
    <row r="83">
      <c r="A83" t="inlineStr">
        <is>
          <t>gun_57_auto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12</v>
      </c>
      <c r="G83">
        <f>IF(Vu_khi!$S$83&gt;0,(Vu_khi!$S$83-1)*Vu_khi!$R$83+Vu_khi!$T$83,Vu_khi!$R$83+(Vu_khi!$P$83-1)*Vu_khi!$Q$83)</f>
        <v/>
      </c>
      <c r="H83" t="n">
        <v>5.4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77.77777777777777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0.6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93.33333333333333</v>
      </c>
      <c r="AK83">
        <f>IF($Q$83,$M$83*$AC$83*$U$83,0)</f>
        <v/>
      </c>
      <c r="AL83" t="n">
        <v>66.1111111111111</v>
      </c>
      <c r="AM83">
        <f>IF($Q$83,$M$83*$AE$83*$U$83,0)</f>
        <v/>
      </c>
      <c r="AN83" t="n">
        <v>19.44444444444444</v>
      </c>
      <c r="AO83">
        <f>IF($Q$83,$M$83*$AC$83*$Y$83,0)</f>
        <v/>
      </c>
      <c r="AP83" t="n">
        <v>39.66666666666666</v>
      </c>
      <c r="AQ83">
        <f>IF($S$83,$M$83*$AG$83*$W$83,0)</f>
        <v/>
      </c>
      <c r="AR83" t="n">
        <v>0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1.8</v>
      </c>
      <c r="AZ83" t="inlineStr">
        <is>
          <t>ok</t>
        </is>
      </c>
      <c r="BA83" t="inlineStr"/>
      <c r="BB83" t="inlineStr">
        <is>
          <t>Assets/MachineBrigade/Resources/Data/balance.json: weapons[id=gun_57_auto] (lớp B trên 01_chien_dau/Vu_khi)</t>
        </is>
      </c>
      <c r="BC83" t="inlineStr"/>
    </row>
    <row r="84">
      <c r="A84" t="inlineStr">
        <is>
          <t>gun_57mm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2</v>
      </c>
      <c r="G84">
        <f>IF(Vu_khi!$S$84&gt;0,(Vu_khi!$S$84-1)*Vu_khi!$R$84+Vu_khi!$T$84,Vu_khi!$R$84+(Vu_khi!$P$84-1)*Vu_khi!$Q$84)</f>
        <v/>
      </c>
      <c r="H84" t="n">
        <v>4.5</v>
      </c>
      <c r="I84">
        <f>Vu_khi!$W$84*MAX(1,$E$84)</f>
        <v/>
      </c>
      <c r="J84" t="n">
        <v>154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34.22222222222222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0.6</v>
      </c>
      <c r="AA84">
        <f>INDEX(Bang_xuyen_giap!$C$2:$C$7,MIN(6,MAX(1,IF($O$84,MAX(1,2-(Vu_khi!$L$84-0)),2-(Vu_khi!$L$84-0))+1)))</f>
        <v/>
      </c>
      <c r="AB84" t="n">
        <v>1.2</v>
      </c>
      <c r="AC84">
        <f>INDEX(Bang_xuyen_giap!$C$2:$C$7,MIN(6,MAX(1,IF($O$84,MAX(1,2-(Vu_khi!$L$84-2)),2-(Vu_khi!$L$84-2))+1)))</f>
        <v/>
      </c>
      <c r="AD84" t="n">
        <v>0.85</v>
      </c>
      <c r="AE84">
        <f>INDEX(Bang_xuyen_giap!$C$2:$C$7,MIN(6,MAX(1,IF($O$84,MAX(1,2-(Vu_khi!$L$84-4)),2-(Vu_khi!$L$84-4))+1)))</f>
        <v/>
      </c>
      <c r="AF84" t="n">
        <v>0.25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41.06666666666666</v>
      </c>
      <c r="AK84">
        <f>IF($Q$84,$M$84*$AC$84*$U$84,0)</f>
        <v/>
      </c>
      <c r="AL84" t="n">
        <v>29.08888888888889</v>
      </c>
      <c r="AM84">
        <f>IF($Q$84,$M$84*$AE$84*$U$84,0)</f>
        <v/>
      </c>
      <c r="AN84" t="n">
        <v>8.555555555555555</v>
      </c>
      <c r="AO84">
        <f>IF($Q$84,$M$84*$AC$84*$Y$84,0)</f>
        <v/>
      </c>
      <c r="AP84" t="n">
        <v>17.45333333333333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4.5</v>
      </c>
      <c r="AZ84" t="inlineStr">
        <is>
          <t>CHAM_QUA</t>
        </is>
      </c>
      <c r="BA84" t="inlineStr"/>
      <c r="BB84" t="inlineStr">
        <is>
          <t>Assets/MachineBrigade/Resources/Data/balance.json: weapons[id=gun_57mm] (lớp B trên 01_chien_dau/Vu_khi)</t>
        </is>
      </c>
      <c r="BC84" t="inlineStr"/>
    </row>
    <row r="85">
      <c r="A85" t="inlineStr">
        <is>
          <t>gun_57mm_he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4.5</v>
      </c>
      <c r="I85">
        <f>Vu_khi!$W$85*MAX(1,$E$85)</f>
        <v/>
      </c>
      <c r="J85" t="n">
        <v>154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34.22222222222222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0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1.5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0.85</v>
      </c>
      <c r="AE85">
        <f>INDEX(Bang_xuyen_giap!$C$2:$C$7,MIN(6,MAX(1,IF($O$85,MAX(1,2-(Vu_khi!$L$85-4)),2-(Vu_khi!$L$85-4))+1)))</f>
        <v/>
      </c>
      <c r="AF85" t="n">
        <v>0.25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41.06666666666666</v>
      </c>
      <c r="AK85">
        <f>IF($Q$85,$M$85*$AC$85*$U$85,0)</f>
        <v/>
      </c>
      <c r="AL85" t="n">
        <v>29.08888888888889</v>
      </c>
      <c r="AM85">
        <f>IF($Q$85,$M$85*$AE$85*$U$85,0)</f>
        <v/>
      </c>
      <c r="AN85" t="n">
        <v>8.555555555555555</v>
      </c>
      <c r="AO85">
        <f>IF($Q$85,$M$85*$AC$85*$Y$85,0)</f>
        <v/>
      </c>
      <c r="AP85" t="n">
        <v>43.63333333333333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BB85" t="inlineStr">
        <is>
          <t>Assets/MachineBrigade/Resources/Data/balance.json: weapons[id=gun_57mm_he] (lớp B trên 01_chien_dau/Vu_khi)</t>
        </is>
      </c>
      <c r="BC85" t="inlineStr"/>
    </row>
    <row r="86">
      <c r="A86" t="inlineStr">
        <is>
          <t>gun_100_river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1</v>
      </c>
      <c r="G86">
        <f>IF(Vu_khi!$S$86&gt;0,(Vu_khi!$S$86-1)*Vu_khi!$R$86+Vu_khi!$T$86,Vu_khi!$R$86+(Vu_khi!$P$86-1)*Vu_khi!$Q$86)</f>
        <v/>
      </c>
      <c r="H86" t="n">
        <v>3</v>
      </c>
      <c r="I86">
        <f>Vu_khi!$W$86*MAX(1,$E$86)</f>
        <v/>
      </c>
      <c r="J86" t="n">
        <v>160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53.33333333333334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1.5</v>
      </c>
      <c r="AA86">
        <f>INDEX(Bang_xuyen_giap!$C$2:$C$7,MIN(6,MAX(1,IF($O$86,MAX(1,2-(Vu_khi!$L$86-0)),2-(Vu_khi!$L$86-0))+1)))</f>
        <v/>
      </c>
      <c r="AB86" t="n">
        <v>1.2</v>
      </c>
      <c r="AC86">
        <f>INDEX(Bang_xuyen_giap!$C$2:$C$7,MIN(6,MAX(1,IF($O$86,MAX(1,2-(Vu_khi!$L$86-2)),2-(Vu_khi!$L$86-2))+1)))</f>
        <v/>
      </c>
      <c r="AD86" t="n">
        <v>0.85</v>
      </c>
      <c r="AE86">
        <f>INDEX(Bang_xuyen_giap!$C$2:$C$7,MIN(6,MAX(1,IF($O$86,MAX(1,2-(Vu_khi!$L$86-4)),2-(Vu_khi!$L$86-4))+1)))</f>
        <v/>
      </c>
      <c r="AF86" t="n">
        <v>0.25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64</v>
      </c>
      <c r="AK86">
        <f>IF($Q$86,$M$86*$AC$86*$U$86,0)</f>
        <v/>
      </c>
      <c r="AL86" t="n">
        <v>45.33333333333334</v>
      </c>
      <c r="AM86">
        <f>IF($Q$86,$M$86*$AE$86*$U$86,0)</f>
        <v/>
      </c>
      <c r="AN86" t="n">
        <v>13.33333333333333</v>
      </c>
      <c r="AO86">
        <f>IF($Q$86,$M$86*$AC$86*$Y$86,0)</f>
        <v/>
      </c>
      <c r="AP86" t="n">
        <v>68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AY86" t="n">
        <v>2.8</v>
      </c>
      <c r="AZ86" t="inlineStr">
        <is>
          <t>CHAM_QUA</t>
        </is>
      </c>
      <c r="BA86" t="inlineStr"/>
      <c r="BB86" t="inlineStr">
        <is>
          <t>Assets/MachineBrigade/Resources/Data/balance.json: weapons[id=gun_100_river] (lớp B trên 01_chien_dau/Vu_khi)</t>
        </is>
      </c>
      <c r="BC86" t="inlineStr"/>
    </row>
    <row r="87">
      <c r="A87" t="inlineStr">
        <is>
          <t>gun_105_apfsds</t>
        </is>
      </c>
      <c r="B87" t="n">
        <v>3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3.908</v>
      </c>
      <c r="I87">
        <f>Vu_khi!$W$87*MAX(1,$E$87)</f>
        <v/>
      </c>
      <c r="J87" t="n">
        <v>260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66.53019447287615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0.3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0.6</v>
      </c>
      <c r="AA87">
        <f>INDEX(Bang_xuyen_giap!$C$2:$C$7,MIN(6,MAX(1,IF($O$87,MAX(1,2-(Vu_khi!$L$87-0)),2-(Vu_khi!$L$87-0))+1)))</f>
        <v/>
      </c>
      <c r="AB87" t="n">
        <v>1.2</v>
      </c>
      <c r="AC87">
        <f>INDEX(Bang_xuyen_giap!$C$2:$C$7,MIN(6,MAX(1,IF($O$87,MAX(1,2-(Vu_khi!$L$87-2)),2-(Vu_khi!$L$87-2))+1)))</f>
        <v/>
      </c>
      <c r="AD87" t="n">
        <v>1.2</v>
      </c>
      <c r="AE87">
        <f>INDEX(Bang_xuyen_giap!$C$2:$C$7,MIN(6,MAX(1,IF($O$87,MAX(1,2-(Vu_khi!$L$87-4)),2-(Vu_khi!$L$87-4))+1)))</f>
        <v/>
      </c>
      <c r="AF87" t="n">
        <v>0.85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79.83623336745137</v>
      </c>
      <c r="AK87">
        <f>IF($Q$87,$M$87*$AC$87*$U$87,0)</f>
        <v/>
      </c>
      <c r="AL87" t="n">
        <v>79.83623336745137</v>
      </c>
      <c r="AM87">
        <f>IF($Q$87,$M$87*$AE$87*$U$87,0)</f>
        <v/>
      </c>
      <c r="AN87" t="n">
        <v>56.55066530194473</v>
      </c>
      <c r="AO87">
        <f>IF($Q$87,$M$87*$AC$87*$Y$87,0)</f>
        <v/>
      </c>
      <c r="AP87" t="n">
        <v>47.90174002047083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3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0.319153</v>
      </c>
      <c r="AZ87" t="inlineStr">
        <is>
          <t>NHANH_QUA</t>
        </is>
      </c>
      <c r="BA87" t="inlineStr"/>
      <c r="BB87" t="inlineStr">
        <is>
          <t>Assets/MachineBrigade/Resources/Data/balance.json: weapons[id=gun_105_apfsds] (lớp B trên 01_chien_dau/Vu_khi)</t>
        </is>
      </c>
      <c r="BC87" t="inlineStr"/>
    </row>
    <row r="88">
      <c r="A88" t="inlineStr">
        <is>
          <t>gun_105_apfsds_he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3.908</v>
      </c>
      <c r="I88">
        <f>Vu_khi!$W$88*MAX(1,$E$88)</f>
        <v/>
      </c>
      <c r="J88" t="n">
        <v>260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66.53019447287615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1.5</v>
      </c>
      <c r="AA88">
        <f>INDEX(Bang_xuyen_giap!$C$2:$C$7,MIN(6,MAX(1,IF($O$88,MAX(1,2-(Vu_khi!$L$88-0)),2-(Vu_khi!$L$88-0))+1)))</f>
        <v/>
      </c>
      <c r="AB88" t="n">
        <v>1.2</v>
      </c>
      <c r="AC88">
        <f>INDEX(Bang_xuyen_giap!$C$2:$C$7,MIN(6,MAX(1,IF($O$88,MAX(1,2-(Vu_khi!$L$88-2)),2-(Vu_khi!$L$88-2))+1)))</f>
        <v/>
      </c>
      <c r="AD88" t="n">
        <v>0.85</v>
      </c>
      <c r="AE88">
        <f>INDEX(Bang_xuyen_giap!$C$2:$C$7,MIN(6,MAX(1,IF($O$88,MAX(1,2-(Vu_khi!$L$88-4)),2-(Vu_khi!$L$88-4))+1)))</f>
        <v/>
      </c>
      <c r="AF88" t="n">
        <v>0.25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79.83623336745137</v>
      </c>
      <c r="AK88">
        <f>IF($Q$88,$M$88*$AC$88*$U$88,0)</f>
        <v/>
      </c>
      <c r="AL88" t="n">
        <v>56.55066530194473</v>
      </c>
      <c r="AM88">
        <f>IF($Q$88,$M$88*$AE$88*$U$88,0)</f>
        <v/>
      </c>
      <c r="AN88" t="n">
        <v>16.63254861821904</v>
      </c>
      <c r="AO88">
        <f>IF($Q$88,$M$88*$AC$88*$Y$88,0)</f>
        <v/>
      </c>
      <c r="AP88" t="n">
        <v>84.82599795291708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BB88" t="inlineStr">
        <is>
          <t>Assets/MachineBrigade/Resources/Data/balance.json: weapons[id=gun_105_apfsds_he] (lớp B trên 01_chien_dau/Vu_khi)</t>
        </is>
      </c>
      <c r="BC88" t="inlineStr"/>
    </row>
    <row r="89">
      <c r="A89" t="inlineStr">
        <is>
          <t>gun_105_bunker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4.536</v>
      </c>
      <c r="I89">
        <f>Vu_khi!$W$89*MAX(1,$E$89)</f>
        <v/>
      </c>
      <c r="J89" t="n">
        <v>212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46.73721340388008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0.6</v>
      </c>
      <c r="AA89">
        <f>INDEX(Bang_xuyen_giap!$C$2:$C$7,MIN(6,MAX(1,IF($O$89,MAX(1,2-(Vu_khi!$L$89-0)),2-(Vu_khi!$L$89-0))+1)))</f>
        <v/>
      </c>
      <c r="AB89" t="n">
        <v>1.2</v>
      </c>
      <c r="AC89">
        <f>INDEX(Bang_xuyen_giap!$C$2:$C$7,MIN(6,MAX(1,IF($O$89,MAX(1,2-(Vu_khi!$L$89-2)),2-(Vu_khi!$L$89-2))+1)))</f>
        <v/>
      </c>
      <c r="AD89" t="n">
        <v>1</v>
      </c>
      <c r="AE89">
        <f>INDEX(Bang_xuyen_giap!$C$2:$C$7,MIN(6,MAX(1,IF($O$89,MAX(1,2-(Vu_khi!$L$89-4)),2-(Vu_khi!$L$89-4))+1)))</f>
        <v/>
      </c>
      <c r="AF89" t="n">
        <v>0.5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56.08465608465609</v>
      </c>
      <c r="AK89">
        <f>IF($Q$89,$M$89*$AC$89*$U$89,0)</f>
        <v/>
      </c>
      <c r="AL89" t="n">
        <v>46.73721340388008</v>
      </c>
      <c r="AM89">
        <f>IF($Q$89,$M$89*$AE$89*$U$89,0)</f>
        <v/>
      </c>
      <c r="AN89" t="n">
        <v>23.36860670194004</v>
      </c>
      <c r="AO89">
        <f>IF($Q$89,$M$89*$AC$89*$Y$89,0)</f>
        <v/>
      </c>
      <c r="AP89" t="n">
        <v>28.04232804232804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2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AY89" t="n">
        <v>0.5292</v>
      </c>
      <c r="AZ89" t="inlineStr">
        <is>
          <t>NHANH_QUA</t>
        </is>
      </c>
      <c r="BA89" t="inlineStr"/>
      <c r="BB89" t="inlineStr">
        <is>
          <t>Assets/MachineBrigade/Resources/Data/balance.json: weapons[id=gun_105_bunker] (lớp B trên 01_chien_dau/Vu_khi)</t>
        </is>
      </c>
      <c r="BC89" t="inlineStr"/>
    </row>
    <row r="90">
      <c r="A90" t="inlineStr">
        <is>
          <t>gun_105_bunker_he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212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46.73721340388008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1.5</v>
      </c>
      <c r="AA90">
        <f>INDEX(Bang_xuyen_giap!$C$2:$C$7,MIN(6,MAX(1,IF($O$90,MAX(1,2-(Vu_khi!$L$90-0)),2-(Vu_khi!$L$90-0))+1)))</f>
        <v/>
      </c>
      <c r="AB90" t="n">
        <v>1.2</v>
      </c>
      <c r="AC90">
        <f>INDEX(Bang_xuyen_giap!$C$2:$C$7,MIN(6,MAX(1,IF($O$90,MAX(1,2-(Vu_khi!$L$90-2)),2-(Vu_khi!$L$90-2))+1)))</f>
        <v/>
      </c>
      <c r="AD90" t="n">
        <v>0.85</v>
      </c>
      <c r="AE90">
        <f>INDEX(Bang_xuyen_giap!$C$2:$C$7,MIN(6,MAX(1,IF($O$90,MAX(1,2-(Vu_khi!$L$90-4)),2-(Vu_khi!$L$90-4))+1)))</f>
        <v/>
      </c>
      <c r="AF90" t="n">
        <v>0.25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56.08465608465609</v>
      </c>
      <c r="AK90">
        <f>IF($Q$90,$M$90*$AC$90*$U$90,0)</f>
        <v/>
      </c>
      <c r="AL90" t="n">
        <v>39.72663139329806</v>
      </c>
      <c r="AM90">
        <f>IF($Q$90,$M$90*$AE$90*$U$90,0)</f>
        <v/>
      </c>
      <c r="AN90" t="n">
        <v>11.68430335097002</v>
      </c>
      <c r="AO90">
        <f>IF($Q$90,$M$90*$AC$90*$Y$90,0)</f>
        <v/>
      </c>
      <c r="AP90" t="n">
        <v>59.5899470899471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BB90" t="inlineStr">
        <is>
          <t>Assets/MachineBrigade/Resources/Data/balance.json: weapons[id=gun_105_bunker_he] (lớp B trên 01_chien_dau/Vu_khi)</t>
        </is>
      </c>
      <c r="BC90" t="inlineStr"/>
    </row>
    <row r="91">
      <c r="A91" t="inlineStr">
        <is>
          <t>gun_105_long</t>
        </is>
      </c>
      <c r="B91" t="n">
        <v>3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3.3333</v>
      </c>
      <c r="I91">
        <f>Vu_khi!$W$91*MAX(1,$E$91)</f>
        <v/>
      </c>
      <c r="J91" t="n">
        <v>260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78.00078000780007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0.3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0.6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1.2</v>
      </c>
      <c r="AE91">
        <f>INDEX(Bang_xuyen_giap!$C$2:$C$7,MIN(6,MAX(1,IF($O$91,MAX(1,2-(Vu_khi!$L$91-4)),2-(Vu_khi!$L$91-4))+1)))</f>
        <v/>
      </c>
      <c r="AF91" t="n">
        <v>0.85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93.60093600936008</v>
      </c>
      <c r="AK91">
        <f>IF($Q$91,$M$91*$AC$91*$U$91,0)</f>
        <v/>
      </c>
      <c r="AL91" t="n">
        <v>93.60093600936008</v>
      </c>
      <c r="AM91">
        <f>IF($Q$91,$M$91*$AE$91*$U$91,0)</f>
        <v/>
      </c>
      <c r="AN91" t="n">
        <v>66.30066300663006</v>
      </c>
      <c r="AO91">
        <f>IF($Q$91,$M$91*$AC$91*$Y$91,0)</f>
        <v/>
      </c>
      <c r="AP91" t="n">
        <v>56.16056160561605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3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AY91" t="n">
        <v>0.272219</v>
      </c>
      <c r="AZ91" t="inlineStr">
        <is>
          <t>NHANH_QUA</t>
        </is>
      </c>
      <c r="BA91" t="inlineStr"/>
      <c r="BB91" t="inlineStr">
        <is>
          <t>Assets/MachineBrigade/Resources/Data/balance.json: weapons[id=gun_105_long] (lớp B trên 01_chien_dau/Vu_khi)</t>
        </is>
      </c>
      <c r="BC91" t="inlineStr"/>
    </row>
    <row r="92">
      <c r="A92" t="inlineStr">
        <is>
          <t>gun_105_long_he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3.3333</v>
      </c>
      <c r="I92">
        <f>Vu_khi!$W$92*MAX(1,$E$92)</f>
        <v/>
      </c>
      <c r="J92" t="n">
        <v>260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78.00078000780007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1.5</v>
      </c>
      <c r="AA92">
        <f>INDEX(Bang_xuyen_giap!$C$2:$C$7,MIN(6,MAX(1,IF($O$92,MAX(1,2-(Vu_khi!$L$92-0)),2-(Vu_khi!$L$92-0))+1)))</f>
        <v/>
      </c>
      <c r="AB92" t="n">
        <v>1.2</v>
      </c>
      <c r="AC92">
        <f>INDEX(Bang_xuyen_giap!$C$2:$C$7,MIN(6,MAX(1,IF($O$92,MAX(1,2-(Vu_khi!$L$92-2)),2-(Vu_khi!$L$92-2))+1)))</f>
        <v/>
      </c>
      <c r="AD92" t="n">
        <v>0.85</v>
      </c>
      <c r="AE92">
        <f>INDEX(Bang_xuyen_giap!$C$2:$C$7,MIN(6,MAX(1,IF($O$92,MAX(1,2-(Vu_khi!$L$92-4)),2-(Vu_khi!$L$92-4))+1)))</f>
        <v/>
      </c>
      <c r="AF92" t="n">
        <v>0.25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93.60093600936008</v>
      </c>
      <c r="AK92">
        <f>IF($Q$92,$M$92*$AC$92*$U$92,0)</f>
        <v/>
      </c>
      <c r="AL92" t="n">
        <v>66.30066300663006</v>
      </c>
      <c r="AM92">
        <f>IF($Q$92,$M$92*$AE$92*$U$92,0)</f>
        <v/>
      </c>
      <c r="AN92" t="n">
        <v>19.50019500195002</v>
      </c>
      <c r="AO92">
        <f>IF($Q$92,$M$92*$AC$92*$Y$92,0)</f>
        <v/>
      </c>
      <c r="AP92" t="n">
        <v>99.45099450994509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BB92" t="inlineStr">
        <is>
          <t>Assets/MachineBrigade/Resources/Data/balance.json: weapons[id=gun_105_long_he] (lớp B trên 01_chien_dau/Vu_khi)</t>
        </is>
      </c>
      <c r="BC92" t="inlineStr"/>
    </row>
    <row r="93">
      <c r="A93" t="inlineStr">
        <is>
          <t>gun_105_twin</t>
        </is>
      </c>
      <c r="B93" t="n">
        <v>2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2</v>
      </c>
      <c r="G93">
        <f>IF(Vu_khi!$S$93&gt;0,(Vu_khi!$S$93-1)*Vu_khi!$R$93+Vu_khi!$T$93,Vu_khi!$R$93+(Vu_khi!$P$93-1)*Vu_khi!$Q$93)</f>
        <v/>
      </c>
      <c r="H93" t="n">
        <v>5.74</v>
      </c>
      <c r="I93">
        <f>Vu_khi!$W$93*MAX(1,$E$93)</f>
        <v/>
      </c>
      <c r="J93" t="n">
        <v>424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73.86759581881533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0.3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0.6</v>
      </c>
      <c r="AA93">
        <f>INDEX(Bang_xuyen_giap!$C$2:$C$7,MIN(6,MAX(1,IF($O$93,MAX(1,2-(Vu_khi!$L$93-0)),2-(Vu_khi!$L$93-0))+1)))</f>
        <v/>
      </c>
      <c r="AB93" t="n">
        <v>1.2</v>
      </c>
      <c r="AC93">
        <f>INDEX(Bang_xuyen_giap!$C$2:$C$7,MIN(6,MAX(1,IF($O$93,MAX(1,2-(Vu_khi!$L$93-2)),2-(Vu_khi!$L$93-2))+1)))</f>
        <v/>
      </c>
      <c r="AD93" t="n">
        <v>1</v>
      </c>
      <c r="AE93">
        <f>INDEX(Bang_xuyen_giap!$C$2:$C$7,MIN(6,MAX(1,IF($O$93,MAX(1,2-(Vu_khi!$L$93-4)),2-(Vu_khi!$L$93-4))+1)))</f>
        <v/>
      </c>
      <c r="AF93" t="n">
        <v>0.5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88.6411149825784</v>
      </c>
      <c r="AK93">
        <f>IF($Q$93,$M$93*$AC$93*$U$93,0)</f>
        <v/>
      </c>
      <c r="AL93" t="n">
        <v>73.86759581881533</v>
      </c>
      <c r="AM93">
        <f>IF($Q$93,$M$93*$AE$93*$U$93,0)</f>
        <v/>
      </c>
      <c r="AN93" t="n">
        <v>36.93379790940767</v>
      </c>
      <c r="AO93">
        <f>IF($Q$93,$M$93*$AC$93*$Y$93,0)</f>
        <v/>
      </c>
      <c r="AP93" t="n">
        <v>44.3205574912892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2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AY93" t="n">
        <v>0.669667</v>
      </c>
      <c r="AZ93" t="inlineStr">
        <is>
          <t>ok</t>
        </is>
      </c>
      <c r="BA93" t="inlineStr"/>
      <c r="BB93" t="inlineStr">
        <is>
          <t>Assets/MachineBrigade/Resources/Data/balance.json: weapons[id=gun_105_twin] (lớp B trên 01_chien_dau/Vu_khi)</t>
        </is>
      </c>
      <c r="BC93" t="inlineStr"/>
    </row>
    <row r="94">
      <c r="A94" t="inlineStr">
        <is>
          <t>gun_105_wheeled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1</v>
      </c>
      <c r="G94">
        <f>IF(Vu_khi!$S$94&gt;0,(Vu_khi!$S$94-1)*Vu_khi!$R$94+Vu_khi!$T$94,Vu_khi!$R$94+(Vu_khi!$P$94-1)*Vu_khi!$Q$94)</f>
        <v/>
      </c>
      <c r="H94" t="n">
        <v>3.7037</v>
      </c>
      <c r="I94">
        <f>Vu_khi!$W$94*MAX(1,$E$94)</f>
        <v/>
      </c>
      <c r="J94" t="n">
        <v>258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69.66006966006967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0.6</v>
      </c>
      <c r="AA94">
        <f>INDEX(Bang_xuyen_giap!$C$2:$C$7,MIN(6,MAX(1,IF($O$94,MAX(1,2-(Vu_khi!$L$94-0)),2-(Vu_khi!$L$94-0))+1)))</f>
        <v/>
      </c>
      <c r="AB94" t="n">
        <v>1.2</v>
      </c>
      <c r="AC94">
        <f>INDEX(Bang_xuyen_giap!$C$2:$C$7,MIN(6,MAX(1,IF($O$94,MAX(1,2-(Vu_khi!$L$94-2)),2-(Vu_khi!$L$94-2))+1)))</f>
        <v/>
      </c>
      <c r="AD94" t="n">
        <v>1.2</v>
      </c>
      <c r="AE94">
        <f>INDEX(Bang_xuyen_giap!$C$2:$C$7,MIN(6,MAX(1,IF($O$94,MAX(1,2-(Vu_khi!$L$94-4)),2-(Vu_khi!$L$94-4))+1)))</f>
        <v/>
      </c>
      <c r="AF94" t="n">
        <v>0.85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83.5920835920836</v>
      </c>
      <c r="AK94">
        <f>IF($Q$94,$M$94*$AC$94*$U$94,0)</f>
        <v/>
      </c>
      <c r="AL94" t="n">
        <v>83.5920835920836</v>
      </c>
      <c r="AM94">
        <f>IF($Q$94,$M$94*$AE$94*$U$94,0)</f>
        <v/>
      </c>
      <c r="AN94" t="n">
        <v>59.21105921105922</v>
      </c>
      <c r="AO94">
        <f>IF($Q$94,$M$94*$AC$94*$Y$94,0)</f>
        <v/>
      </c>
      <c r="AP94" t="n">
        <v>50.15525015525016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3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0.345679</v>
      </c>
      <c r="AZ94" t="inlineStr">
        <is>
          <t>NHANH_QUA;LECH_DOT_1</t>
        </is>
      </c>
      <c r="BA94" t="inlineStr"/>
      <c r="BB94" t="inlineStr">
        <is>
          <t>Assets/MachineBrigade/Resources/Data/balance.json: weapons[id=gun_105_wheeled] (lớp B trên 01_chien_dau/Vu_khi)</t>
        </is>
      </c>
      <c r="BC94" t="inlineStr"/>
    </row>
    <row r="95">
      <c r="A95" t="inlineStr">
        <is>
          <t>gun_105_wheeled_he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3.7037</v>
      </c>
      <c r="I95">
        <f>Vu_khi!$W$95*MAX(1,$E$95)</f>
        <v/>
      </c>
      <c r="J95" t="n">
        <v>258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69.66006966006967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1.5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0.85</v>
      </c>
      <c r="AE95">
        <f>INDEX(Bang_xuyen_giap!$C$2:$C$7,MIN(6,MAX(1,IF($O$95,MAX(1,2-(Vu_khi!$L$95-4)),2-(Vu_khi!$L$95-4))+1)))</f>
        <v/>
      </c>
      <c r="AF95" t="n">
        <v>0.25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83.5920835920836</v>
      </c>
      <c r="AK95">
        <f>IF($Q$95,$M$95*$AC$95*$U$95,0)</f>
        <v/>
      </c>
      <c r="AL95" t="n">
        <v>59.21105921105922</v>
      </c>
      <c r="AM95">
        <f>IF($Q$95,$M$95*$AE$95*$U$95,0)</f>
        <v/>
      </c>
      <c r="AN95" t="n">
        <v>17.41501741501742</v>
      </c>
      <c r="AO95">
        <f>IF($Q$95,$M$95*$AC$95*$Y$95,0)</f>
        <v/>
      </c>
      <c r="AP95" t="n">
        <v>88.81658881658882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BB95" t="inlineStr">
        <is>
          <t>Assets/MachineBrigade/Resources/Data/balance.json: weapons[id=gun_105_wheeled_he] (lớp B trên 01_chien_dau/Vu_khi)</t>
        </is>
      </c>
      <c r="BC95" t="inlineStr"/>
    </row>
    <row r="96">
      <c r="A96" t="inlineStr">
        <is>
          <t>gun_120_twin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2</v>
      </c>
      <c r="G96">
        <f>IF(Vu_khi!$S$96&gt;0,(Vu_khi!$S$96-1)*Vu_khi!$R$96+Vu_khi!$T$96,Vu_khi!$R$96+(Vu_khi!$P$96-1)*Vu_khi!$Q$96)</f>
        <v/>
      </c>
      <c r="H96" t="n">
        <v>5.163</v>
      </c>
      <c r="I96">
        <f>Vu_khi!$W$96*MAX(1,$E$96)</f>
        <v/>
      </c>
      <c r="J96" t="n">
        <v>480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92.96920395119116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0.6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1.2</v>
      </c>
      <c r="AE96">
        <f>INDEX(Bang_xuyen_giap!$C$2:$C$7,MIN(6,MAX(1,IF($O$96,MAX(1,2-(Vu_khi!$L$96-4)),2-(Vu_khi!$L$96-4))+1)))</f>
        <v/>
      </c>
      <c r="AF96" t="n">
        <v>0.85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111.5630447414294</v>
      </c>
      <c r="AK96">
        <f>IF($Q$96,$M$96*$AC$96*$U$96,0)</f>
        <v/>
      </c>
      <c r="AL96" t="n">
        <v>111.5630447414294</v>
      </c>
      <c r="AM96">
        <f>IF($Q$96,$M$96*$AE$96*$U$96,0)</f>
        <v/>
      </c>
      <c r="AN96" t="n">
        <v>79.02382335851249</v>
      </c>
      <c r="AO96">
        <f>IF($Q$96,$M$96*$AC$96*$Y$96,0)</f>
        <v/>
      </c>
      <c r="AP96" t="n">
        <v>66.93782684485764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AY96" t="n">
        <v>0.48188</v>
      </c>
      <c r="AZ96" t="inlineStr">
        <is>
          <t>NHANH_QUA</t>
        </is>
      </c>
      <c r="BA96" t="inlineStr"/>
      <c r="BB96" t="inlineStr">
        <is>
          <t>Assets/MachineBrigade/Resources/Data/balance.json: weapons[id=gun_120_twin] (lớp B trên 01_chien_dau/Vu_khi)</t>
        </is>
      </c>
      <c r="BC96" t="inlineStr"/>
    </row>
    <row r="97">
      <c r="A97" t="inlineStr">
        <is>
          <t>gun_120_twin_he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5.163</v>
      </c>
      <c r="I97">
        <f>Vu_khi!$W$97*MAX(1,$E$97)</f>
        <v/>
      </c>
      <c r="J97" t="n">
        <v>480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92.96920395119116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</v>
      </c>
      <c r="W97">
        <f>INDEX(Bang_sat_thuong!$C$2:$C$7,MATCH(Vu_khi!$K$97,Bang_sat_thuong!$A$2:$A$7,0))</f>
        <v/>
      </c>
      <c r="X97" t="n">
        <v>0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1.5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0.85</v>
      </c>
      <c r="AE97">
        <f>INDEX(Bang_xuyen_giap!$C$2:$C$7,MIN(6,MAX(1,IF($O$97,MAX(1,2-(Vu_khi!$L$97-4)),2-(Vu_khi!$L$97-4))+1)))</f>
        <v/>
      </c>
      <c r="AF97" t="n">
        <v>0.25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111.5630447414294</v>
      </c>
      <c r="AK97">
        <f>IF($Q$97,$M$97*$AC$97*$U$97,0)</f>
        <v/>
      </c>
      <c r="AL97" t="n">
        <v>79.02382335851249</v>
      </c>
      <c r="AM97">
        <f>IF($Q$97,$M$97*$AE$97*$U$97,0)</f>
        <v/>
      </c>
      <c r="AN97" t="n">
        <v>23.24230098779779</v>
      </c>
      <c r="AO97">
        <f>IF($Q$97,$M$97*$AC$97*$Y$97,0)</f>
        <v/>
      </c>
      <c r="AP97" t="n">
        <v>118.5357350377687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BB97" t="inlineStr">
        <is>
          <t>Assets/MachineBrigade/Resources/Data/balance.json: weapons[id=gun_120_twin_he] (lớp B trên 01_chien_dau/Vu_khi)</t>
        </is>
      </c>
      <c r="BC97" t="inlineStr"/>
    </row>
    <row r="98">
      <c r="A98" t="inlineStr">
        <is>
          <t>gun_120mm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1</v>
      </c>
      <c r="G98">
        <f>IF(Vu_khi!$S$98&gt;0,(Vu_khi!$S$98-1)*Vu_khi!$R$98+Vu_khi!$T$98,Vu_khi!$R$98+(Vu_khi!$P$98-1)*Vu_khi!$Q$98)</f>
        <v/>
      </c>
      <c r="H98" t="n">
        <v>5.098</v>
      </c>
      <c r="I98">
        <f>Vu_khi!$W$98*MAX(1,$E$98)</f>
        <v/>
      </c>
      <c r="J98" t="n">
        <v>240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47.07728520988623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0.3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0.6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1.2</v>
      </c>
      <c r="AE98">
        <f>INDEX(Bang_xuyen_giap!$C$2:$C$7,MIN(6,MAX(1,IF($O$98,MAX(1,2-(Vu_khi!$L$98-4)),2-(Vu_khi!$L$98-4))+1)))</f>
        <v/>
      </c>
      <c r="AF98" t="n">
        <v>0.85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56.49274225186348</v>
      </c>
      <c r="AK98">
        <f>IF($Q$98,$M$98*$AC$98*$U$98,0)</f>
        <v/>
      </c>
      <c r="AL98" t="n">
        <v>56.49274225186348</v>
      </c>
      <c r="AM98">
        <f>IF($Q$98,$M$98*$AE$98*$U$98,0)</f>
        <v/>
      </c>
      <c r="AN98" t="n">
        <v>40.0156924284033</v>
      </c>
      <c r="AO98">
        <f>IF($Q$98,$M$98*$AC$98*$Y$98,0)</f>
        <v/>
      </c>
      <c r="AP98" t="n">
        <v>33.89564535111809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AY98" t="n">
        <v>0.475813</v>
      </c>
      <c r="AZ98" t="inlineStr">
        <is>
          <t>NHANH_QUA</t>
        </is>
      </c>
      <c r="BA98" t="inlineStr"/>
      <c r="BB98" t="inlineStr">
        <is>
          <t>Assets/MachineBrigade/Resources/Data/balance.json: weapons[id=gun_120mm] (lớp B trên 01_chien_dau/Vu_khi)</t>
        </is>
      </c>
      <c r="BC98" t="inlineStr"/>
    </row>
    <row r="99">
      <c r="A99" t="inlineStr">
        <is>
          <t>gun_120mm_he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5.098</v>
      </c>
      <c r="I99">
        <f>Vu_khi!$W$99*MAX(1,$E$99)</f>
        <v/>
      </c>
      <c r="J99" t="n">
        <v>240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47.07728520988623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1.5</v>
      </c>
      <c r="AA99">
        <f>INDEX(Bang_xuyen_giap!$C$2:$C$7,MIN(6,MAX(1,IF($O$99,MAX(1,2-(Vu_khi!$L$99-0)),2-(Vu_khi!$L$99-0))+1)))</f>
        <v/>
      </c>
      <c r="AB99" t="n">
        <v>1.2</v>
      </c>
      <c r="AC99">
        <f>INDEX(Bang_xuyen_giap!$C$2:$C$7,MIN(6,MAX(1,IF($O$99,MAX(1,2-(Vu_khi!$L$99-2)),2-(Vu_khi!$L$99-2))+1)))</f>
        <v/>
      </c>
      <c r="AD99" t="n">
        <v>0.85</v>
      </c>
      <c r="AE99">
        <f>INDEX(Bang_xuyen_giap!$C$2:$C$7,MIN(6,MAX(1,IF($O$99,MAX(1,2-(Vu_khi!$L$99-4)),2-(Vu_khi!$L$99-4))+1)))</f>
        <v/>
      </c>
      <c r="AF99" t="n">
        <v>0.25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56.49274225186348</v>
      </c>
      <c r="AK99">
        <f>IF($Q$99,$M$99*$AC$99*$U$99,0)</f>
        <v/>
      </c>
      <c r="AL99" t="n">
        <v>40.0156924284033</v>
      </c>
      <c r="AM99">
        <f>IF($Q$99,$M$99*$AE$99*$U$99,0)</f>
        <v/>
      </c>
      <c r="AN99" t="n">
        <v>11.76932130247156</v>
      </c>
      <c r="AO99">
        <f>IF($Q$99,$M$99*$AC$99*$Y$99,0)</f>
        <v/>
      </c>
      <c r="AP99" t="n">
        <v>60.02353864260495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BB99" t="inlineStr">
        <is>
          <t>Assets/MachineBrigade/Resources/Data/balance.json: weapons[id=gun_120mm_he] (lớp B trên 01_chien_dau/Vu_khi)</t>
        </is>
      </c>
      <c r="BC99" t="inlineStr"/>
    </row>
    <row r="100">
      <c r="A100" t="inlineStr">
        <is>
          <t>gun_125_armata_ke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5</v>
      </c>
      <c r="I100">
        <f>Vu_khi!$W$100*MAX(1,$E$100)</f>
        <v/>
      </c>
      <c r="J100" t="n">
        <v>260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52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1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0.3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0.6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1.2</v>
      </c>
      <c r="AE100">
        <f>INDEX(Bang_xuyen_giap!$C$2:$C$7,MIN(6,MAX(1,IF($O$100,MAX(1,2-(Vu_khi!$L$100-4)),2-(Vu_khi!$L$100-4))+1)))</f>
        <v/>
      </c>
      <c r="AF100" t="n">
        <v>0.85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62.4</v>
      </c>
      <c r="AK100">
        <f>IF($Q$100,$M$100*$AC$100*$U$100,0)</f>
        <v/>
      </c>
      <c r="AL100" t="n">
        <v>62.4</v>
      </c>
      <c r="AM100">
        <f>IF($Q$100,$M$100*$AE$100*$U$100,0)</f>
        <v/>
      </c>
      <c r="AN100" t="n">
        <v>44.2</v>
      </c>
      <c r="AO100">
        <f>IF($Q$100,$M$100*$AC$100*$Y$100,0)</f>
        <v/>
      </c>
      <c r="AP100" t="n">
        <v>37.44</v>
      </c>
      <c r="AQ100">
        <f>IF($S$100,$M$100*$AG$100*$W$100,0)</f>
        <v/>
      </c>
      <c r="AR100" t="n">
        <v>15.6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AY100" t="n">
        <v>0.466667</v>
      </c>
      <c r="AZ100" t="inlineStr">
        <is>
          <t>NHANH_QUA</t>
        </is>
      </c>
      <c r="BA100" t="inlineStr"/>
      <c r="BB100" t="inlineStr">
        <is>
          <t>Assets/MachineBrigade/Resources/Data/balance.json: weapons[id=gun_125_armata_ke] (lớp B trên 01_chien_dau/Vu_khi)</t>
        </is>
      </c>
      <c r="BC100" t="inlineStr"/>
    </row>
    <row r="101">
      <c r="A101" t="inlineStr">
        <is>
          <t>gun_125_elite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5.66</v>
      </c>
      <c r="I101">
        <f>Vu_khi!$W$101*MAX(1,$E$101)</f>
        <v/>
      </c>
      <c r="J101" t="n">
        <v>260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45.93639575971731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1.2</v>
      </c>
      <c r="AE101">
        <f>INDEX(Bang_xuyen_giap!$C$2:$C$7,MIN(6,MAX(1,IF($O$101,MAX(1,2-(Vu_khi!$L$101-4)),2-(Vu_khi!$L$101-4))+1)))</f>
        <v/>
      </c>
      <c r="AF101" t="n">
        <v>0.85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55.12367491166078</v>
      </c>
      <c r="AK101">
        <f>IF($Q$101,$M$101*$AC$101*$U$101,0)</f>
        <v/>
      </c>
      <c r="AL101" t="n">
        <v>55.12367491166078</v>
      </c>
      <c r="AM101">
        <f>IF($Q$101,$M$101*$AE$101*$U$101,0)</f>
        <v/>
      </c>
      <c r="AN101" t="n">
        <v>39.04593639575972</v>
      </c>
      <c r="AO101">
        <f>IF($Q$101,$M$101*$AC$101*$Y$101,0)</f>
        <v/>
      </c>
      <c r="AP101" t="n">
        <v>33.07420494699647</v>
      </c>
      <c r="AQ101">
        <f>IF($S$101,$M$101*$AG$101*$W$101,0)</f>
        <v/>
      </c>
      <c r="AR101" t="n">
        <v>0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0.528267</v>
      </c>
      <c r="AZ101" t="inlineStr">
        <is>
          <t>NHANH_QUA</t>
        </is>
      </c>
      <c r="BA101" t="inlineStr"/>
      <c r="BB101" t="inlineStr">
        <is>
          <t>Assets/MachineBrigade/Resources/Data/balance.json: weapons[id=gun_125_elite] (lớp B trên 01_chien_dau/Vu_khi)</t>
        </is>
      </c>
      <c r="BC101" t="inlineStr"/>
    </row>
    <row r="102">
      <c r="A102" t="inlineStr">
        <is>
          <t>gun_125_elite_he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5.66</v>
      </c>
      <c r="I102">
        <f>Vu_khi!$W$102*MAX(1,$E$102)</f>
        <v/>
      </c>
      <c r="J102" t="n">
        <v>260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45.93639575971731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1.5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0.85</v>
      </c>
      <c r="AE102">
        <f>INDEX(Bang_xuyen_giap!$C$2:$C$7,MIN(6,MAX(1,IF($O$102,MAX(1,2-(Vu_khi!$L$102-4)),2-(Vu_khi!$L$102-4))+1)))</f>
        <v/>
      </c>
      <c r="AF102" t="n">
        <v>0.25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55.12367491166078</v>
      </c>
      <c r="AK102">
        <f>IF($Q$102,$M$102*$AC$102*$U$102,0)</f>
        <v/>
      </c>
      <c r="AL102" t="n">
        <v>39.04593639575972</v>
      </c>
      <c r="AM102">
        <f>IF($Q$102,$M$102*$AE$102*$U$102,0)</f>
        <v/>
      </c>
      <c r="AN102" t="n">
        <v>11.48409893992933</v>
      </c>
      <c r="AO102">
        <f>IF($Q$102,$M$102*$AC$102*$Y$102,0)</f>
        <v/>
      </c>
      <c r="AP102" t="n">
        <v>58.56890459363957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BB102" t="inlineStr">
        <is>
          <t>Assets/MachineBrigade/Resources/Data/balance.json: weapons[id=gun_125_elite_he] (lớp B trên 01_chien_dau/Vu_khi)</t>
        </is>
      </c>
      <c r="BC102" t="inlineStr"/>
    </row>
    <row r="103">
      <c r="A103" t="inlineStr">
        <is>
          <t>gun_140_twin</t>
        </is>
      </c>
      <c r="B103" t="n">
        <v>3</v>
      </c>
      <c r="C103">
        <f>IF(Vu_khi!$O$103="SIMULTANEOUS",MAX(1,Vu_khi!$N$103),1)</f>
        <v/>
      </c>
      <c r="D103" t="n">
        <v>2</v>
      </c>
      <c r="E103">
        <f>IF(Vu_khi!$S$103&gt;0,Vu_khi!$S$103,Vu_khi!$P$103*$C$103)</f>
        <v/>
      </c>
      <c r="F103" t="n">
        <v>2</v>
      </c>
      <c r="G103">
        <f>IF(Vu_khi!$S$103&gt;0,(Vu_khi!$S$103-1)*Vu_khi!$R$103+Vu_khi!$T$103,Vu_khi!$R$103+(Vu_khi!$P$103-1)*Vu_khi!$Q$103)</f>
        <v/>
      </c>
      <c r="H103" t="n">
        <v>4.537</v>
      </c>
      <c r="I103">
        <f>Vu_khi!$W$103*MAX(1,$E$103)</f>
        <v/>
      </c>
      <c r="J103" t="n">
        <v>580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127.8377782675777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0.3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0.6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1.2</v>
      </c>
      <c r="AE103">
        <f>INDEX(Bang_xuyen_giap!$C$2:$C$7,MIN(6,MAX(1,IF($O$103,MAX(1,2-(Vu_khi!$L$103-4)),2-(Vu_khi!$L$103-4))+1)))</f>
        <v/>
      </c>
      <c r="AF103" t="n">
        <v>0.85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153.4053339210932</v>
      </c>
      <c r="AK103">
        <f>IF($Q$103,$M$103*$AC$103*$U$103,0)</f>
        <v/>
      </c>
      <c r="AL103" t="n">
        <v>153.4053339210932</v>
      </c>
      <c r="AM103">
        <f>IF($Q$103,$M$103*$AE$103*$U$103,0)</f>
        <v/>
      </c>
      <c r="AN103" t="n">
        <v>108.662111527441</v>
      </c>
      <c r="AO103">
        <f>IF($Q$103,$M$103*$AC$103*$Y$103,0)</f>
        <v/>
      </c>
      <c r="AP103" t="n">
        <v>92.04320035265593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AY103" t="n">
        <v>0.529317</v>
      </c>
      <c r="AZ103" t="inlineStr">
        <is>
          <t>NHANH_QUA</t>
        </is>
      </c>
      <c r="BA103" t="inlineStr"/>
      <c r="BB103" t="inlineStr">
        <is>
          <t>Assets/MachineBrigade/Resources/Data/balance.json: weapons[id=gun_140_twin] (lớp B trên 01_chien_dau/Vu_khi)</t>
        </is>
      </c>
      <c r="BC103" t="inlineStr"/>
    </row>
    <row r="104">
      <c r="A104" t="inlineStr">
        <is>
          <t>gun_140_twin_he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4.537</v>
      </c>
      <c r="I104">
        <f>Vu_khi!$W$104*MAX(1,$E$104)</f>
        <v/>
      </c>
      <c r="J104" t="n">
        <v>580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127.8377782675777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1.5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0.85</v>
      </c>
      <c r="AE104">
        <f>INDEX(Bang_xuyen_giap!$C$2:$C$7,MIN(6,MAX(1,IF($O$104,MAX(1,2-(Vu_khi!$L$104-4)),2-(Vu_khi!$L$104-4))+1)))</f>
        <v/>
      </c>
      <c r="AF104" t="n">
        <v>0.25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153.4053339210932</v>
      </c>
      <c r="AK104">
        <f>IF($Q$104,$M$104*$AC$104*$U$104,0)</f>
        <v/>
      </c>
      <c r="AL104" t="n">
        <v>108.662111527441</v>
      </c>
      <c r="AM104">
        <f>IF($Q$104,$M$104*$AE$104*$U$104,0)</f>
        <v/>
      </c>
      <c r="AN104" t="n">
        <v>31.95944456689442</v>
      </c>
      <c r="AO104">
        <f>IF($Q$104,$M$104*$AC$104*$Y$104,0)</f>
        <v/>
      </c>
      <c r="AP104" t="n">
        <v>162.9931672911615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BB104" t="inlineStr">
        <is>
          <t>Assets/MachineBrigade/Resources/Data/balance.json: weapons[id=gun_140_twin_he] (lớp B trên 01_chien_dau/Vu_khi)</t>
        </is>
      </c>
      <c r="BC104" t="inlineStr"/>
    </row>
    <row r="105">
      <c r="A105" t="inlineStr">
        <is>
          <t>gun_152</t>
        </is>
      </c>
      <c r="B105" t="n">
        <v>3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5.714</v>
      </c>
      <c r="I105">
        <f>Vu_khi!$W$105*MAX(1,$E$105)</f>
        <v/>
      </c>
      <c r="J105" t="n">
        <v>320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56.002800140007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0.3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0.6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1.2</v>
      </c>
      <c r="AE105">
        <f>INDEX(Bang_xuyen_giap!$C$2:$C$7,MIN(6,MAX(1,IF($O$105,MAX(1,2-(Vu_khi!$L$105-4)),2-(Vu_khi!$L$105-4))+1)))</f>
        <v/>
      </c>
      <c r="AF105" t="n">
        <v>0.85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67.20336016800839</v>
      </c>
      <c r="AK105">
        <f>IF($Q$105,$M$105*$AC$105*$U$105,0)</f>
        <v/>
      </c>
      <c r="AL105" t="n">
        <v>67.20336016800839</v>
      </c>
      <c r="AM105">
        <f>IF($Q$105,$M$105*$AE$105*$U$105,0)</f>
        <v/>
      </c>
      <c r="AN105" t="n">
        <v>47.60238011900594</v>
      </c>
      <c r="AO105">
        <f>IF($Q$105,$M$105*$AC$105*$Y$105,0)</f>
        <v/>
      </c>
      <c r="AP105" t="n">
        <v>40.32201610080504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AY105" t="n">
        <v>0.666633</v>
      </c>
      <c r="AZ105" t="inlineStr">
        <is>
          <t>ok</t>
        </is>
      </c>
      <c r="BA105" t="inlineStr"/>
      <c r="BB105" t="inlineStr">
        <is>
          <t>Assets/MachineBrigade/Resources/Data/balance.json: weapons[id=gun_152] (lớp B trên 01_chien_dau/Vu_khi)</t>
        </is>
      </c>
      <c r="BC105" t="inlineStr"/>
    </row>
    <row r="106">
      <c r="A106" t="inlineStr">
        <is>
          <t>gun_152_he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6</v>
      </c>
      <c r="I106">
        <f>Vu_khi!$W$106*MAX(1,$E$106)</f>
        <v/>
      </c>
      <c r="J106" t="n">
        <v>320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53.33333333333334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1.5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1</v>
      </c>
      <c r="AE106">
        <f>INDEX(Bang_xuyen_giap!$C$2:$C$7,MIN(6,MAX(1,IF($O$106,MAX(1,2-(Vu_khi!$L$106-4)),2-(Vu_khi!$L$106-4))+1)))</f>
        <v/>
      </c>
      <c r="AF106" t="n">
        <v>0.5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64</v>
      </c>
      <c r="AK106">
        <f>IF($Q$106,$M$106*$AC$106*$U$106,0)</f>
        <v/>
      </c>
      <c r="AL106" t="n">
        <v>53.33333333333334</v>
      </c>
      <c r="AM106">
        <f>IF($Q$106,$M$106*$AE$106*$U$106,0)</f>
        <v/>
      </c>
      <c r="AN106" t="n">
        <v>26.66666666666667</v>
      </c>
      <c r="AO106">
        <f>IF($Q$106,$M$106*$AC$106*$Y$106,0)</f>
        <v/>
      </c>
      <c r="AP106" t="n">
        <v>80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0.7</v>
      </c>
      <c r="AZ106" t="inlineStr">
        <is>
          <t>ok</t>
        </is>
      </c>
      <c r="BA106" t="inlineStr"/>
      <c r="BB106" t="inlineStr">
        <is>
          <t>Assets/MachineBrigade/Resources/Data/balance.json: weapons[id=gun_152_he] (lớp B trên 01_chien_dau/Vu_khi)</t>
        </is>
      </c>
      <c r="BC106" t="inlineStr"/>
    </row>
    <row r="107">
      <c r="A107" t="inlineStr">
        <is>
          <t>gun_152_heat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6.33</v>
      </c>
      <c r="I107">
        <f>Vu_khi!$W$107*MAX(1,$E$107)</f>
        <v/>
      </c>
      <c r="J107" t="n">
        <v>336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53.08056872037915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0.6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1.2</v>
      </c>
      <c r="AE107">
        <f>INDEX(Bang_xuyen_giap!$C$2:$C$7,MIN(6,MAX(1,IF($O$107,MAX(1,2-(Vu_khi!$L$107-4)),2-(Vu_khi!$L$107-4))+1)))</f>
        <v/>
      </c>
      <c r="AF107" t="n">
        <v>0.85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63.69668246445497</v>
      </c>
      <c r="AK107">
        <f>IF($Q$107,$M$107*$AC$107*$U$107,0)</f>
        <v/>
      </c>
      <c r="AL107" t="n">
        <v>63.69668246445497</v>
      </c>
      <c r="AM107">
        <f>IF($Q$107,$M$107*$AE$107*$U$107,0)</f>
        <v/>
      </c>
      <c r="AN107" t="n">
        <v>45.11848341232228</v>
      </c>
      <c r="AO107">
        <f>IF($Q$107,$M$107*$AC$107*$Y$107,0)</f>
        <v/>
      </c>
      <c r="AP107" t="n">
        <v>38.21800947867298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0.7385</v>
      </c>
      <c r="AZ107" t="inlineStr">
        <is>
          <t>ok</t>
        </is>
      </c>
      <c r="BA107" t="inlineStr"/>
      <c r="BB107" t="inlineStr">
        <is>
          <t>Assets/MachineBrigade/Resources/Data/balance.json: weapons[id=gun_152_heat] (lớp B trên 01_chien_dau/Vu_khi)</t>
        </is>
      </c>
      <c r="BC107" t="inlineStr"/>
    </row>
    <row r="108">
      <c r="A108" t="inlineStr">
        <is>
          <t>gun_152_heat_he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6.33</v>
      </c>
      <c r="I108">
        <f>Vu_khi!$W$108*MAX(1,$E$108)</f>
        <v/>
      </c>
      <c r="J108" t="n">
        <v>320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50.55292259083728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1.5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</v>
      </c>
      <c r="AE108">
        <f>INDEX(Bang_xuyen_giap!$C$2:$C$7,MIN(6,MAX(1,IF($O$108,MAX(1,2-(Vu_khi!$L$108-4)),2-(Vu_khi!$L$108-4))+1)))</f>
        <v/>
      </c>
      <c r="AF108" t="n">
        <v>0.5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60.66350710900474</v>
      </c>
      <c r="AK108">
        <f>IF($Q$108,$M$108*$AC$108*$U$108,0)</f>
        <v/>
      </c>
      <c r="AL108" t="n">
        <v>50.55292259083728</v>
      </c>
      <c r="AM108">
        <f>IF($Q$108,$M$108*$AE$108*$U$108,0)</f>
        <v/>
      </c>
      <c r="AN108" t="n">
        <v>25.27646129541864</v>
      </c>
      <c r="AO108">
        <f>IF($Q$108,$M$108*$AC$108*$Y$108,0)</f>
        <v/>
      </c>
      <c r="AP108" t="n">
        <v>75.82938388625593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BB108" t="inlineStr">
        <is>
          <t>Assets/MachineBrigade/Resources/Data/balance.json: weapons[id=gun_152_heat_he] (lớp B trên 01_chien_dau/Vu_khi)</t>
        </is>
      </c>
      <c r="BC108" t="inlineStr"/>
    </row>
    <row r="109">
      <c r="A109" t="inlineStr">
        <is>
          <t>gun_155_coastal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2</v>
      </c>
      <c r="G109">
        <f>IF(Vu_khi!$S$109&gt;0,(Vu_khi!$S$109-1)*Vu_khi!$R$109+Vu_khi!$T$109,Vu_khi!$R$109+(Vu_khi!$P$109-1)*Vu_khi!$Q$109)</f>
        <v/>
      </c>
      <c r="H109" t="n">
        <v>8.84</v>
      </c>
      <c r="I109">
        <f>Vu_khi!$W$109*MAX(1,$E$109)</f>
        <v/>
      </c>
      <c r="J109" t="n">
        <v>640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72.39819004524887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1</v>
      </c>
      <c r="AE109">
        <f>INDEX(Bang_xuyen_giap!$C$2:$C$7,MIN(6,MAX(1,IF($O$109,MAX(1,2-(Vu_khi!$L$109-4)),2-(Vu_khi!$L$109-4))+1)))</f>
        <v/>
      </c>
      <c r="AF109" t="n">
        <v>0.5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86.87782805429863</v>
      </c>
      <c r="AK109">
        <f>IF($Q$109,$M$109*$AC$109*$U$109,0)</f>
        <v/>
      </c>
      <c r="AL109" t="n">
        <v>72.39819004524887</v>
      </c>
      <c r="AM109">
        <f>IF($Q$109,$M$109*$AE$109*$U$109,0)</f>
        <v/>
      </c>
      <c r="AN109" t="n">
        <v>36.19909502262443</v>
      </c>
      <c r="AO109">
        <f>IF($Q$109,$M$109*$AC$109*$Y$109,0)</f>
        <v/>
      </c>
      <c r="AP109" t="n">
        <v>108.5972850678733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AY109" t="n">
        <v>0.206267</v>
      </c>
      <c r="AZ109" t="inlineStr">
        <is>
          <t>NHANH_QUA</t>
        </is>
      </c>
      <c r="BA109" t="inlineStr"/>
      <c r="BB109" t="inlineStr">
        <is>
          <t>Assets/MachineBrigade/Resources/Data/balance.json: weapons[id=gun_155_coastal] (lớp B trên 01_chien_dau/Vu_khi)</t>
        </is>
      </c>
      <c r="BC109" t="inlineStr"/>
    </row>
    <row r="110">
      <c r="A110" t="inlineStr">
        <is>
          <t>gun_155_coastal_guided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</v>
      </c>
      <c r="G110">
        <f>IF(Vu_khi!$S$110&gt;0,(Vu_khi!$S$110-1)*Vu_khi!$R$110+Vu_khi!$T$110,Vu_khi!$R$110+(Vu_khi!$P$110-1)*Vu_khi!$Q$110)</f>
        <v/>
      </c>
      <c r="H110" t="n">
        <v>8.789999999999999</v>
      </c>
      <c r="I110">
        <f>Vu_khi!$W$110*MAX(1,$E$110)</f>
        <v/>
      </c>
      <c r="J110" t="n">
        <v>320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36.40500568828215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1.5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43.68600682593857</v>
      </c>
      <c r="AK110">
        <f>IF($Q$110,$M$110*$AC$110*$U$110,0)</f>
        <v/>
      </c>
      <c r="AL110" t="n">
        <v>36.40500568828215</v>
      </c>
      <c r="AM110">
        <f>IF($Q$110,$M$110*$AE$110*$U$110,0)</f>
        <v/>
      </c>
      <c r="AN110" t="n">
        <v>18.20250284414107</v>
      </c>
      <c r="AO110">
        <f>IF($Q$110,$M$110*$AC$110*$Y$110,0)</f>
        <v/>
      </c>
      <c r="AP110" t="n">
        <v>54.60750853242322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BB110" t="inlineStr">
        <is>
          <t>Assets/MachineBrigade/Resources/Data/balance.json: weapons[id=gun_155_coastal_guided] (lớp B trên 01_chien_dau/Vu_khi)</t>
        </is>
      </c>
      <c r="BC110" t="inlineStr"/>
    </row>
    <row r="111">
      <c r="A111" t="inlineStr">
        <is>
          <t>gun_155_sph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12.81</v>
      </c>
      <c r="I111">
        <f>Vu_khi!$W$111*MAX(1,$E$111)</f>
        <v/>
      </c>
      <c r="J111" t="n">
        <v>320</v>
      </c>
      <c r="K111">
        <f>IF(Vu_khi!$V$111&gt;0,Vu_khi!$V$111,MIN(28,MAX(10,Vu_khi!$U$111*Vu_khi!$R$111*0.4)))</f>
        <v/>
      </c>
      <c r="L111" t="n">
        <v>41.9</v>
      </c>
      <c r="M111">
        <f>IF(Vu_khi!$W$111&lt;=0,0,IF(Vu_khi!$U$111&gt;0,$I$111*Vu_khi!$U$111/(MAX(0.05,$G$111)*Vu_khi!$U$111+$K$111),$I$111/MAX(0.05,$G$111)))</f>
        <v/>
      </c>
      <c r="N111" t="n">
        <v>20.74050068864944</v>
      </c>
      <c r="O111">
        <f>OR(Vu_khi!$AG$111,Vu_khi!$AB$111&gt;0,Vu_khi!$AH$111,Vu_khi!$M$111="Bomb",Vu_khi!$M$111="Drone")</f>
        <v/>
      </c>
      <c r="P111" t="b">
        <v>1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</v>
      </c>
      <c r="AC111">
        <f>INDEX(Bang_xuyen_giap!$C$2:$C$7,MIN(6,MAX(1,IF($O$111,MAX(1,2-(Vu_khi!$L$111-2)),2-(Vu_khi!$L$111-2))+1)))</f>
        <v/>
      </c>
      <c r="AD111" t="n">
        <v>1</v>
      </c>
      <c r="AE111">
        <f>INDEX(Bang_xuyen_giap!$C$2:$C$7,MIN(6,MAX(1,IF($O$111,MAX(1,2-(Vu_khi!$L$111-4)),2-(Vu_khi!$L$111-4))+1)))</f>
        <v/>
      </c>
      <c r="AF111" t="n">
        <v>0.5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20.74050068864944</v>
      </c>
      <c r="AK111">
        <f>IF($Q$111,$M$111*$AC$111*$U$111,0)</f>
        <v/>
      </c>
      <c r="AL111" t="n">
        <v>20.74050068864944</v>
      </c>
      <c r="AM111">
        <f>IF($Q$111,$M$111*$AE$111*$U$111,0)</f>
        <v/>
      </c>
      <c r="AN111" t="n">
        <v>10.37025034432472</v>
      </c>
      <c r="AO111">
        <f>IF($Q$111,$M$111*$AC$111*$Y$111,0)</f>
        <v/>
      </c>
      <c r="AP111" t="n">
        <v>31.11075103297416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AY111" t="n">
        <v>0.720008</v>
      </c>
      <c r="AZ111" t="inlineStr">
        <is>
          <t>ok</t>
        </is>
      </c>
      <c r="BA111" t="inlineStr"/>
      <c r="BB111" t="inlineStr">
        <is>
          <t>Assets/MachineBrigade/Resources/Data/balance.json: weapons[id=gun_155_sph] (lớp B trên 01_chien_dau/Vu_khi)</t>
        </is>
      </c>
      <c r="BC111" t="inlineStr"/>
    </row>
    <row r="112">
      <c r="A112" t="inlineStr">
        <is>
          <t>gun_155_twin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2</v>
      </c>
      <c r="G112">
        <f>IF(Vu_khi!$S$112&gt;0,(Vu_khi!$S$112-1)*Vu_khi!$R$112+Vu_khi!$T$112,Vu_khi!$R$112+(Vu_khi!$P$112-1)*Vu_khi!$Q$112)</f>
        <v/>
      </c>
      <c r="H112" t="n">
        <v>8.84</v>
      </c>
      <c r="I112">
        <f>Vu_khi!$W$112*MAX(1,$E$112)</f>
        <v/>
      </c>
      <c r="J112" t="n">
        <v>640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72.39819004524887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1.5</v>
      </c>
      <c r="AA112">
        <f>INDEX(Bang_xuyen_giap!$C$2:$C$7,MIN(6,MAX(1,IF($O$112,MAX(1,2-(Vu_khi!$L$112-0)),2-(Vu_khi!$L$112-0))+1)))</f>
        <v/>
      </c>
      <c r="AB112" t="n">
        <v>1.2</v>
      </c>
      <c r="AC112">
        <f>INDEX(Bang_xuyen_giap!$C$2:$C$7,MIN(6,MAX(1,IF($O$112,MAX(1,2-(Vu_khi!$L$112-2)),2-(Vu_khi!$L$112-2))+1)))</f>
        <v/>
      </c>
      <c r="AD112" t="n">
        <v>1</v>
      </c>
      <c r="AE112">
        <f>INDEX(Bang_xuyen_giap!$C$2:$C$7,MIN(6,MAX(1,IF($O$112,MAX(1,2-(Vu_khi!$L$112-4)),2-(Vu_khi!$L$112-4))+1)))</f>
        <v/>
      </c>
      <c r="AF112" t="n">
        <v>0.5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86.87782805429863</v>
      </c>
      <c r="AK112">
        <f>IF($Q$112,$M$112*$AC$112*$U$112,0)</f>
        <v/>
      </c>
      <c r="AL112" t="n">
        <v>72.39819004524887</v>
      </c>
      <c r="AM112">
        <f>IF($Q$112,$M$112*$AE$112*$U$112,0)</f>
        <v/>
      </c>
      <c r="AN112" t="n">
        <v>36.19909502262443</v>
      </c>
      <c r="AO112">
        <f>IF($Q$112,$M$112*$AC$112*$Y$112,0)</f>
        <v/>
      </c>
      <c r="AP112" t="n">
        <v>108.5972850678733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0.412533</v>
      </c>
      <c r="AZ112" t="inlineStr">
        <is>
          <t>NHANH_QUA</t>
        </is>
      </c>
      <c r="BA112" t="inlineStr"/>
      <c r="BB112" t="inlineStr">
        <is>
          <t>Assets/MachineBrigade/Resources/Data/balance.json: weapons[id=gun_155_twin] (lớp B trên 01_chien_dau/Vu_khi)</t>
        </is>
      </c>
      <c r="BC112" t="inlineStr"/>
    </row>
    <row r="113">
      <c r="A113" t="inlineStr">
        <is>
          <t>gun_155_twin_ap</t>
        </is>
      </c>
      <c r="B113" t="n">
        <v>3</v>
      </c>
      <c r="C113">
        <f>IF(Vu_khi!$O$113="SIMULTANEOUS",MAX(1,Vu_khi!$N$113),1)</f>
        <v/>
      </c>
      <c r="D113" t="n">
        <v>2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5.55</v>
      </c>
      <c r="I113">
        <f>Vu_khi!$W$113*MAX(1,$E$113)</f>
        <v/>
      </c>
      <c r="J113" t="n">
        <v>600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108.1081081081081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0.3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0.6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1.2</v>
      </c>
      <c r="AE113">
        <f>INDEX(Bang_xuyen_giap!$C$2:$C$7,MIN(6,MAX(1,IF($O$113,MAX(1,2-(Vu_khi!$L$113-4)),2-(Vu_khi!$L$113-4))+1)))</f>
        <v/>
      </c>
      <c r="AF113" t="n">
        <v>0.85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129.7297297297297</v>
      </c>
      <c r="AK113">
        <f>IF($Q$113,$M$113*$AC$113*$U$113,0)</f>
        <v/>
      </c>
      <c r="AL113" t="n">
        <v>129.7297297297297</v>
      </c>
      <c r="AM113">
        <f>IF($Q$113,$M$113*$AE$113*$U$113,0)</f>
        <v/>
      </c>
      <c r="AN113" t="n">
        <v>91.89189189189189</v>
      </c>
      <c r="AO113">
        <f>IF($Q$113,$M$113*$AC$113*$Y$113,0)</f>
        <v/>
      </c>
      <c r="AP113" t="n">
        <v>77.83783783783784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0.259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weapons[id=gun_155_twin_ap] (lớp B trên 01_chien_dau/Vu_khi)</t>
        </is>
      </c>
      <c r="BC113" t="inlineStr"/>
    </row>
    <row r="114">
      <c r="A114" t="inlineStr">
        <is>
          <t>gun_155_twin_coastlr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5.55</v>
      </c>
      <c r="I114">
        <f>Vu_khi!$W$114*MAX(1,$E$114)</f>
        <v/>
      </c>
      <c r="J114" t="n">
        <v>640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115.3153153153153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1.5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</v>
      </c>
      <c r="AE114">
        <f>INDEX(Bang_xuyen_giap!$C$2:$C$7,MIN(6,MAX(1,IF($O$114,MAX(1,2-(Vu_khi!$L$114-4)),2-(Vu_khi!$L$114-4))+1)))</f>
        <v/>
      </c>
      <c r="AF114" t="n">
        <v>0.5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138.3783783783784</v>
      </c>
      <c r="AK114">
        <f>IF($Q$114,$M$114*$AC$114*$U$114,0)</f>
        <v/>
      </c>
      <c r="AL114" t="n">
        <v>115.3153153153153</v>
      </c>
      <c r="AM114">
        <f>IF($Q$114,$M$114*$AE$114*$U$114,0)</f>
        <v/>
      </c>
      <c r="AN114" t="n">
        <v>57.65765765765766</v>
      </c>
      <c r="AO114">
        <f>IF($Q$114,$M$114*$AC$114*$Y$114,0)</f>
        <v/>
      </c>
      <c r="AP114" t="n">
        <v>172.972972972973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0.259</v>
      </c>
      <c r="AZ114" t="inlineStr">
        <is>
          <t>NHANH_QUA</t>
        </is>
      </c>
      <c r="BA114" t="inlineStr"/>
      <c r="BB114" t="inlineStr">
        <is>
          <t>Assets/MachineBrigade/Resources/Data/balance.json: weapons[id=gun_155_twin_coastlr] (lớp B trên 01_chien_dau/Vu_khi)</t>
        </is>
      </c>
      <c r="BC114" t="inlineStr"/>
    </row>
    <row r="115">
      <c r="A115" t="inlineStr">
        <is>
          <t>gun_155_twin_coastlr_guided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1</v>
      </c>
      <c r="G115">
        <f>IF(Vu_khi!$S$115&gt;0,(Vu_khi!$S$115-1)*Vu_khi!$R$115+Vu_khi!$T$115,Vu_khi!$R$115+(Vu_khi!$P$115-1)*Vu_khi!$Q$115)</f>
        <v/>
      </c>
      <c r="H115" t="n">
        <v>5.55</v>
      </c>
      <c r="I115">
        <f>Vu_khi!$W$115*MAX(1,$E$115)</f>
        <v/>
      </c>
      <c r="J115" t="n">
        <v>320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57.65765765765766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1.5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</v>
      </c>
      <c r="AE115">
        <f>INDEX(Bang_xuyen_giap!$C$2:$C$7,MIN(6,MAX(1,IF($O$115,MAX(1,2-(Vu_khi!$L$115-4)),2-(Vu_khi!$L$115-4))+1)))</f>
        <v/>
      </c>
      <c r="AF115" t="n">
        <v>0.5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69.18918918918919</v>
      </c>
      <c r="AK115">
        <f>IF($Q$115,$M$115*$AC$115*$U$115,0)</f>
        <v/>
      </c>
      <c r="AL115" t="n">
        <v>57.65765765765766</v>
      </c>
      <c r="AM115">
        <f>IF($Q$115,$M$115*$AE$115*$U$115,0)</f>
        <v/>
      </c>
      <c r="AN115" t="n">
        <v>28.82882882882883</v>
      </c>
      <c r="AO115">
        <f>IF($Q$115,$M$115*$AC$115*$Y$115,0)</f>
        <v/>
      </c>
      <c r="AP115" t="n">
        <v>86.48648648648648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BB115" t="inlineStr">
        <is>
          <t>Assets/MachineBrigade/Resources/Data/balance.json: weapons[id=gun_155_twin_coastlr_guided] (lớp B trên 01_chien_dau/Vu_khi)</t>
        </is>
      </c>
      <c r="BC115" t="inlineStr"/>
    </row>
    <row r="116">
      <c r="A116" t="inlineStr">
        <is>
          <t>gun_155_twin_fort</t>
        </is>
      </c>
      <c r="B116" t="n">
        <v>3</v>
      </c>
      <c r="C116">
        <f>IF(Vu_khi!$O$116="SIMULTANEOUS",MAX(1,Vu_khi!$N$116),1)</f>
        <v/>
      </c>
      <c r="D116" t="n">
        <v>2</v>
      </c>
      <c r="E116">
        <f>IF(Vu_khi!$S$116&gt;0,Vu_khi!$S$116,Vu_khi!$P$116*$C$116)</f>
        <v/>
      </c>
      <c r="F116" t="n">
        <v>2</v>
      </c>
      <c r="G116">
        <f>IF(Vu_khi!$S$116&gt;0,(Vu_khi!$S$116-1)*Vu_khi!$R$116+Vu_khi!$T$116,Vu_khi!$R$116+(Vu_khi!$P$116-1)*Vu_khi!$Q$116)</f>
        <v/>
      </c>
      <c r="H116" t="n">
        <v>5.55</v>
      </c>
      <c r="I116">
        <f>Vu_khi!$W$116*MAX(1,$E$116)</f>
        <v/>
      </c>
      <c r="J116" t="n">
        <v>640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115.3153153153153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1</v>
      </c>
      <c r="AE116">
        <f>INDEX(Bang_xuyen_giap!$C$2:$C$7,MIN(6,MAX(1,IF($O$116,MAX(1,2-(Vu_khi!$L$116-4)),2-(Vu_khi!$L$116-4))+1)))</f>
        <v/>
      </c>
      <c r="AF116" t="n">
        <v>0.5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138.3783783783784</v>
      </c>
      <c r="AK116">
        <f>IF($Q$116,$M$116*$AC$116*$U$116,0)</f>
        <v/>
      </c>
      <c r="AL116" t="n">
        <v>115.3153153153153</v>
      </c>
      <c r="AM116">
        <f>IF($Q$116,$M$116*$AE$116*$U$116,0)</f>
        <v/>
      </c>
      <c r="AN116" t="n">
        <v>57.65765765765766</v>
      </c>
      <c r="AO116">
        <f>IF($Q$116,$M$116*$AC$116*$Y$116,0)</f>
        <v/>
      </c>
      <c r="AP116" t="n">
        <v>172.972972972973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AY116" t="n">
        <v>0.259</v>
      </c>
      <c r="AZ116" t="inlineStr">
        <is>
          <t>NHANH_QUA</t>
        </is>
      </c>
      <c r="BA116" t="inlineStr"/>
      <c r="BB116" t="inlineStr">
        <is>
          <t>Assets/MachineBrigade/Resources/Data/balance.json: weapons[id=gun_155_twin_fort] (lớp B trên 01_chien_dau/Vu_khi)</t>
        </is>
      </c>
      <c r="BC116" t="inlineStr"/>
    </row>
    <row r="117">
      <c r="A117" t="inlineStr">
        <is>
          <t>gun_155_twin_fort_guided</t>
        </is>
      </c>
      <c r="B117" t="n">
        <v>3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1</v>
      </c>
      <c r="G117">
        <f>IF(Vu_khi!$S$117&gt;0,(Vu_khi!$S$117-1)*Vu_khi!$R$117+Vu_khi!$T$117,Vu_khi!$R$117+(Vu_khi!$P$117-1)*Vu_khi!$Q$117)</f>
        <v/>
      </c>
      <c r="H117" t="n">
        <v>5.55</v>
      </c>
      <c r="I117">
        <f>Vu_khi!$W$117*MAX(1,$E$117)</f>
        <v/>
      </c>
      <c r="J117" t="n">
        <v>320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57.65765765765766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1.5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</v>
      </c>
      <c r="AE117">
        <f>INDEX(Bang_xuyen_giap!$C$2:$C$7,MIN(6,MAX(1,IF($O$117,MAX(1,2-(Vu_khi!$L$117-4)),2-(Vu_khi!$L$117-4))+1)))</f>
        <v/>
      </c>
      <c r="AF117" t="n">
        <v>0.5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69.18918918918919</v>
      </c>
      <c r="AK117">
        <f>IF($Q$117,$M$117*$AC$117*$U$117,0)</f>
        <v/>
      </c>
      <c r="AL117" t="n">
        <v>57.65765765765766</v>
      </c>
      <c r="AM117">
        <f>IF($Q$117,$M$117*$AE$117*$U$117,0)</f>
        <v/>
      </c>
      <c r="AN117" t="n">
        <v>28.82882882882883</v>
      </c>
      <c r="AO117">
        <f>IF($Q$117,$M$117*$AC$117*$Y$117,0)</f>
        <v/>
      </c>
      <c r="AP117" t="n">
        <v>86.48648648648648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BB117" t="inlineStr">
        <is>
          <t>Assets/MachineBrigade/Resources/Data/balance.json: weapons[id=gun_155_twin_fort_guided] (lớp B trên 01_chien_dau/Vu_khi)</t>
        </is>
      </c>
      <c r="BC117" t="inlineStr"/>
    </row>
    <row r="118">
      <c r="A118" t="inlineStr">
        <is>
          <t>gun_155_twin_long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2</v>
      </c>
      <c r="G118">
        <f>IF(Vu_khi!$S$118&gt;0,(Vu_khi!$S$118-1)*Vu_khi!$R$118+Vu_khi!$T$118,Vu_khi!$R$118+(Vu_khi!$P$118-1)*Vu_khi!$Q$118)</f>
        <v/>
      </c>
      <c r="H118" t="n">
        <v>8.84</v>
      </c>
      <c r="I118">
        <f>Vu_khi!$W$118*MAX(1,$E$118)</f>
        <v/>
      </c>
      <c r="J118" t="n">
        <v>640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72.39819004524887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1</v>
      </c>
      <c r="AE118">
        <f>INDEX(Bang_xuyen_giap!$C$2:$C$7,MIN(6,MAX(1,IF($O$118,MAX(1,2-(Vu_khi!$L$118-4)),2-(Vu_khi!$L$118-4))+1)))</f>
        <v/>
      </c>
      <c r="AF118" t="n">
        <v>0.5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86.87782805429863</v>
      </c>
      <c r="AK118">
        <f>IF($Q$118,$M$118*$AC$118*$U$118,0)</f>
        <v/>
      </c>
      <c r="AL118" t="n">
        <v>72.39819004524887</v>
      </c>
      <c r="AM118">
        <f>IF($Q$118,$M$118*$AE$118*$U$118,0)</f>
        <v/>
      </c>
      <c r="AN118" t="n">
        <v>36.19909502262443</v>
      </c>
      <c r="AO118">
        <f>IF($Q$118,$M$118*$AC$118*$Y$118,0)</f>
        <v/>
      </c>
      <c r="AP118" t="n">
        <v>108.5972850678733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AY118" t="n">
        <v>0.412533</v>
      </c>
      <c r="AZ118" t="inlineStr">
        <is>
          <t>NHANH_QUA</t>
        </is>
      </c>
      <c r="BA118" t="inlineStr"/>
      <c r="BB118" t="inlineStr">
        <is>
          <t>Assets/MachineBrigade/Resources/Data/balance.json: weapons[id=gun_155_twin_long] (lớp B trên 01_chien_dau/Vu_khi)</t>
        </is>
      </c>
      <c r="BC118" t="inlineStr"/>
    </row>
    <row r="119">
      <c r="A119" t="inlineStr">
        <is>
          <t>gun_203_siege</t>
        </is>
      </c>
      <c r="B119" t="n">
        <v>4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1</v>
      </c>
      <c r="G119">
        <f>IF(Vu_khi!$S$119&gt;0,(Vu_khi!$S$119-1)*Vu_khi!$R$119+Vu_khi!$T$119,Vu_khi!$R$119+(Vu_khi!$P$119-1)*Vu_khi!$Q$119)</f>
        <v/>
      </c>
      <c r="H119" t="n">
        <v>9.75</v>
      </c>
      <c r="I119">
        <f>Vu_khi!$W$119*MAX(1,$E$119)</f>
        <v/>
      </c>
      <c r="J119" t="n">
        <v>420</v>
      </c>
      <c r="K119">
        <f>IF(Vu_khi!$V$119&gt;0,Vu_khi!$V$119,MIN(28,MAX(10,Vu_khi!$U$119*Vu_khi!$R$119*0.4)))</f>
        <v/>
      </c>
      <c r="L119" t="n">
        <v>29.4</v>
      </c>
      <c r="M119">
        <f>IF(Vu_khi!$W$119&lt;=0,0,IF(Vu_khi!$U$119&gt;0,$I$119*Vu_khi!$U$119/(MAX(0.05,$G$119)*Vu_khi!$U$119+$K$119),$I$119/MAX(0.05,$G$119)))</f>
        <v/>
      </c>
      <c r="N119" t="n">
        <v>34.42622950819672</v>
      </c>
      <c r="O119">
        <f>OR(Vu_khi!$AG$119,Vu_khi!$AB$119&gt;0,Vu_khi!$AH$119,Vu_khi!$M$119="Bomb",Vu_khi!$M$119="Drone")</f>
        <v/>
      </c>
      <c r="P119" t="b">
        <v>1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1.5</v>
      </c>
      <c r="AA119">
        <f>INDEX(Bang_xuyen_giap!$C$2:$C$7,MIN(6,MAX(1,IF($O$119,MAX(1,2-(Vu_khi!$L$119-0)),2-(Vu_khi!$L$119-0))+1)))</f>
        <v/>
      </c>
      <c r="AB119" t="n">
        <v>1</v>
      </c>
      <c r="AC119">
        <f>INDEX(Bang_xuyen_giap!$C$2:$C$7,MIN(6,MAX(1,IF($O$119,MAX(1,2-(Vu_khi!$L$119-2)),2-(Vu_khi!$L$119-2))+1)))</f>
        <v/>
      </c>
      <c r="AD119" t="n">
        <v>1</v>
      </c>
      <c r="AE119">
        <f>INDEX(Bang_xuyen_giap!$C$2:$C$7,MIN(6,MAX(1,IF($O$119,MAX(1,2-(Vu_khi!$L$119-4)),2-(Vu_khi!$L$119-4))+1)))</f>
        <v/>
      </c>
      <c r="AF119" t="n">
        <v>0.85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34.42622950819672</v>
      </c>
      <c r="AK119">
        <f>IF($Q$119,$M$119*$AC$119*$U$119,0)</f>
        <v/>
      </c>
      <c r="AL119" t="n">
        <v>34.42622950819672</v>
      </c>
      <c r="AM119">
        <f>IF($Q$119,$M$119*$AE$119*$U$119,0)</f>
        <v/>
      </c>
      <c r="AN119" t="n">
        <v>29.26229508196721</v>
      </c>
      <c r="AO119">
        <f>IF($Q$119,$M$119*$AC$119*$Y$119,0)</f>
        <v/>
      </c>
      <c r="AP119" t="n">
        <v>51.63934426229508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1</v>
      </c>
      <c r="AU119">
        <f>IF(AND($B$119&lt;0,$AS$119),4,$B$119)</f>
        <v/>
      </c>
      <c r="AV119" t="n">
        <v>4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2.5</v>
      </c>
      <c r="AY119" t="n">
        <v>0.284667</v>
      </c>
      <c r="AZ119" t="inlineStr">
        <is>
          <t>NHANH_QUA</t>
        </is>
      </c>
      <c r="BA119" t="inlineStr"/>
      <c r="BB119" t="inlineStr">
        <is>
          <t>Assets/MachineBrigade/Resources/Data/balance.json: weapons[id=gun_203_siege] (lớp B trên 01_chien_dau/Vu_khi)</t>
        </is>
      </c>
      <c r="BC119" t="inlineStr"/>
    </row>
    <row r="120">
      <c r="A120" t="inlineStr">
        <is>
          <t>gun_behemoth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2</v>
      </c>
      <c r="G120">
        <f>IF(Vu_khi!$S$120&gt;0,(Vu_khi!$S$120-1)*Vu_khi!$R$120+Vu_khi!$T$120,Vu_khi!$R$120+(Vu_khi!$P$120-1)*Vu_khi!$Q$120)</f>
        <v/>
      </c>
      <c r="H120" t="n">
        <v>8.98</v>
      </c>
      <c r="I120">
        <f>Vu_khi!$W$120*MAX(1,$E$120)</f>
        <v/>
      </c>
      <c r="J120" t="n">
        <v>640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71.26948775055679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1.2</v>
      </c>
      <c r="AC120">
        <f>INDEX(Bang_xuyen_giap!$C$2:$C$7,MIN(6,MAX(1,IF($O$120,MAX(1,2-(Vu_khi!$L$120-2)),2-(Vu_khi!$L$120-2))+1)))</f>
        <v/>
      </c>
      <c r="AD120" t="n">
        <v>1</v>
      </c>
      <c r="AE120">
        <f>INDEX(Bang_xuyen_giap!$C$2:$C$7,MIN(6,MAX(1,IF($O$120,MAX(1,2-(Vu_khi!$L$120-4)),2-(Vu_khi!$L$120-4))+1)))</f>
        <v/>
      </c>
      <c r="AF120" t="n">
        <v>0.5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85.52338530066815</v>
      </c>
      <c r="AK120">
        <f>IF($Q$120,$M$120*$AC$120*$U$120,0)</f>
        <v/>
      </c>
      <c r="AL120" t="n">
        <v>71.26948775055679</v>
      </c>
      <c r="AM120">
        <f>IF($Q$120,$M$120*$AE$120*$U$120,0)</f>
        <v/>
      </c>
      <c r="AN120" t="n">
        <v>35.6347438752784</v>
      </c>
      <c r="AO120">
        <f>IF($Q$120,$M$120*$AC$120*$Y$120,0)</f>
        <v/>
      </c>
      <c r="AP120" t="n">
        <v>106.9042316258352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0</v>
      </c>
      <c r="AU120">
        <f>IF(AND($B$120&lt;0,$AS$120),4,$B$120)</f>
        <v/>
      </c>
      <c r="AV120" t="n">
        <v>3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0</v>
      </c>
      <c r="AY120" t="n">
        <v>0.838133</v>
      </c>
      <c r="AZ120" t="inlineStr">
        <is>
          <t>ok</t>
        </is>
      </c>
      <c r="BA120" t="inlineStr"/>
      <c r="BB120" t="inlineStr">
        <is>
          <t>Assets/MachineBrigade/Resources/Data/balance.json: weapons[id=gun_behemoth] (lớp B trên 01_chien_dau/Vu_khi)</t>
        </is>
      </c>
      <c r="BC120" t="inlineStr"/>
    </row>
    <row r="121">
      <c r="A121" t="inlineStr">
        <is>
          <t>gun_behemoth_guided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1</v>
      </c>
      <c r="G121">
        <f>IF(Vu_khi!$S$121&gt;0,(Vu_khi!$S$121-1)*Vu_khi!$R$121+Vu_khi!$T$121,Vu_khi!$R$121+(Vu_khi!$P$121-1)*Vu_khi!$Q$121)</f>
        <v/>
      </c>
      <c r="H121" t="n">
        <v>8.93</v>
      </c>
      <c r="I121">
        <f>Vu_khi!$W$121*MAX(1,$E$121)</f>
        <v/>
      </c>
      <c r="J121" t="n">
        <v>320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35.83426651735722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1.5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</v>
      </c>
      <c r="AE121">
        <f>INDEX(Bang_xuyen_giap!$C$2:$C$7,MIN(6,MAX(1,IF($O$121,MAX(1,2-(Vu_khi!$L$121-4)),2-(Vu_khi!$L$121-4))+1)))</f>
        <v/>
      </c>
      <c r="AF121" t="n">
        <v>0.5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43.00111982082866</v>
      </c>
      <c r="AK121">
        <f>IF($Q$121,$M$121*$AC$121*$U$121,0)</f>
        <v/>
      </c>
      <c r="AL121" t="n">
        <v>35.83426651735722</v>
      </c>
      <c r="AM121">
        <f>IF($Q$121,$M$121*$AE$121*$U$121,0)</f>
        <v/>
      </c>
      <c r="AN121" t="n">
        <v>17.91713325867861</v>
      </c>
      <c r="AO121">
        <f>IF($Q$121,$M$121*$AC$121*$Y$121,0)</f>
        <v/>
      </c>
      <c r="AP121" t="n">
        <v>53.75139977603583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BB121" t="inlineStr">
        <is>
          <t>Assets/MachineBrigade/Resources/Data/balance.json: weapons[id=gun_behemoth_guided] (lớp B trên 01_chien_dau/Vu_khi)</t>
        </is>
      </c>
      <c r="BC121" t="inlineStr"/>
    </row>
    <row r="122">
      <c r="A122" t="inlineStr">
        <is>
          <t>gun_launched_atgm</t>
        </is>
      </c>
      <c r="B122" t="n">
        <v>2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20</v>
      </c>
      <c r="I122">
        <f>Vu_khi!$W$122*MAX(1,$E$122)</f>
        <v/>
      </c>
      <c r="J122" t="n">
        <v>200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10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0.3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0.6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</v>
      </c>
      <c r="AE122">
        <f>INDEX(Bang_xuyen_giap!$C$2:$C$7,MIN(6,MAX(1,IF($O$122,MAX(1,2-(Vu_khi!$L$122-4)),2-(Vu_khi!$L$122-4))+1)))</f>
        <v/>
      </c>
      <c r="AF122" t="n">
        <v>0.5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12</v>
      </c>
      <c r="AK122">
        <f>IF($Q$122,$M$122*$AC$122*$U$122,0)</f>
        <v/>
      </c>
      <c r="AL122" t="n">
        <v>10</v>
      </c>
      <c r="AM122">
        <f>IF($Q$122,$M$122*$AE$122*$U$122,0)</f>
        <v/>
      </c>
      <c r="AN122" t="n">
        <v>5</v>
      </c>
      <c r="AO122">
        <f>IF($Q$122,$M$122*$AC$122*$Y$122,0)</f>
        <v/>
      </c>
      <c r="AP122" t="n">
        <v>6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2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AY122" t="n">
        <v>1.333333</v>
      </c>
      <c r="AZ122" t="inlineStr">
        <is>
          <t>ok</t>
        </is>
      </c>
      <c r="BA122" t="inlineStr"/>
      <c r="BB122" t="inlineStr">
        <is>
          <t>Assets/MachineBrigade/Resources/Data/balance.json: weapons[id=gun_launched_atgm] (lớp B trên 01_chien_dau/Vu_khi)</t>
        </is>
      </c>
      <c r="BC122" t="inlineStr"/>
    </row>
    <row r="123">
      <c r="A123" t="inlineStr">
        <is>
          <t>gun_pit_105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4.63</v>
      </c>
      <c r="I123">
        <f>Vu_khi!$W$123*MAX(1,$E$123)</f>
        <v/>
      </c>
      <c r="J123" t="n">
        <v>240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51.83585313174946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0.3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0.6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1.2</v>
      </c>
      <c r="AE123">
        <f>INDEX(Bang_xuyen_giap!$C$2:$C$7,MIN(6,MAX(1,IF($O$123,MAX(1,2-(Vu_khi!$L$123-4)),2-(Vu_khi!$L$123-4))+1)))</f>
        <v/>
      </c>
      <c r="AF123" t="n">
        <v>0.85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62.20302375809935</v>
      </c>
      <c r="AK123">
        <f>IF($Q$123,$M$123*$AC$123*$U$123,0)</f>
        <v/>
      </c>
      <c r="AL123" t="n">
        <v>62.20302375809935</v>
      </c>
      <c r="AM123">
        <f>IF($Q$123,$M$123*$AE$123*$U$123,0)</f>
        <v/>
      </c>
      <c r="AN123" t="n">
        <v>44.06047516198704</v>
      </c>
      <c r="AO123">
        <f>IF($Q$123,$M$123*$AC$123*$Y$123,0)</f>
        <v/>
      </c>
      <c r="AP123" t="n">
        <v>37.32181425485961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3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0.432133</v>
      </c>
      <c r="AZ123" t="inlineStr">
        <is>
          <t>NHANH_QUA</t>
        </is>
      </c>
      <c r="BA123" t="inlineStr"/>
      <c r="BB123" t="inlineStr">
        <is>
          <t>Assets/MachineBrigade/Resources/Data/balance.json: weapons[id=gun_pit_105] (lớp B trên 01_chien_dau/Vu_khi)</t>
        </is>
      </c>
      <c r="BC123" t="inlineStr"/>
    </row>
    <row r="124">
      <c r="A124" t="inlineStr">
        <is>
          <t>gunship_25mm</t>
        </is>
      </c>
      <c r="B124" t="n">
        <v>1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56</v>
      </c>
      <c r="G124">
        <f>IF(Vu_khi!$S$124&gt;0,(Vu_khi!$S$124-1)*Vu_khi!$R$124+Vu_khi!$T$124,Vu_khi!$R$124+(Vu_khi!$P$124-1)*Vu_khi!$Q$124)</f>
        <v/>
      </c>
      <c r="H124" t="n">
        <v>6.0105</v>
      </c>
      <c r="I124">
        <f>Vu_khi!$W$124*MAX(1,$E$124)</f>
        <v/>
      </c>
      <c r="J124" t="n">
        <v>952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158.389485067798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0.85</v>
      </c>
      <c r="AE124">
        <f>INDEX(Bang_xuyen_giap!$C$2:$C$7,MIN(6,MAX(1,IF($O$124,MAX(1,2-(Vu_khi!$L$124-4)),2-(Vu_khi!$L$124-4))+1)))</f>
        <v/>
      </c>
      <c r="AF124" t="n">
        <v>0.25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190.0673820813576</v>
      </c>
      <c r="AK124">
        <f>IF($Q$124,$M$124*$AC$124*$U$124,0)</f>
        <v/>
      </c>
      <c r="AL124" t="n">
        <v>134.6310623076283</v>
      </c>
      <c r="AM124">
        <f>IF($Q$124,$M$124*$AE$124*$U$124,0)</f>
        <v/>
      </c>
      <c r="AN124" t="n">
        <v>39.5973712669495</v>
      </c>
      <c r="AO124">
        <f>IF($Q$124,$M$124*$AC$124*$Y$124,0)</f>
        <v/>
      </c>
      <c r="AP124" t="n">
        <v>80.77863738457698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1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7.513125</v>
      </c>
      <c r="AZ124" t="inlineStr">
        <is>
          <t>ok</t>
        </is>
      </c>
      <c r="BA124" t="inlineStr"/>
      <c r="BB124" t="inlineStr">
        <is>
          <t>Assets/MachineBrigade/Resources/Data/balance.json: weapons[id=gunship_25mm] (lớp B trên 01_chien_dau/Vu_khi)</t>
        </is>
      </c>
      <c r="BC124" t="inlineStr"/>
    </row>
    <row r="125">
      <c r="A125" t="inlineStr">
        <is>
          <t>gunship_25mm_flak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0</v>
      </c>
      <c r="S125">
        <f>AND(NOT(Vu_khi!$AJ$125),OR(Vu_khi!$AC$125="Air",Vu_khi!$AC$125="All"))</f>
        <v/>
      </c>
      <c r="T125" t="b">
        <v>1</v>
      </c>
      <c r="U125">
        <f>INDEX(Bang_sat_thuong!$B$2:$B$7,MATCH(Vu_khi!$K$125,Bang_sat_thuong!$A$2:$A$7,0))</f>
        <v/>
      </c>
      <c r="V125" t="n">
        <v>0.5</v>
      </c>
      <c r="W125">
        <f>INDEX(Bang_sat_thuong!$C$2:$C$7,MATCH(Vu_khi!$K$125,Bang_sat_thuong!$A$2:$A$7,0))</f>
        <v/>
      </c>
      <c r="X125" t="n">
        <v>1.3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0.1</v>
      </c>
      <c r="AA125">
        <f>INDEX(Bang_xuyen_giap!$C$2:$C$7,MIN(6,MAX(1,IF($O$125,MAX(1,2-(Vu_khi!$L$125-0)),2-(Vu_khi!$L$125-0))+1)))</f>
        <v/>
      </c>
      <c r="AB125" t="n">
        <v>1</v>
      </c>
      <c r="AC125">
        <f>INDEX(Bang_xuyen_giap!$C$2:$C$7,MIN(6,MAX(1,IF($O$125,MAX(1,2-(Vu_khi!$L$125-2)),2-(Vu_khi!$L$125-2))+1)))</f>
        <v/>
      </c>
      <c r="AD125" t="n">
        <v>0.5</v>
      </c>
      <c r="AE125">
        <f>INDEX(Bang_xuyen_giap!$C$2:$C$7,MIN(6,MAX(1,IF($O$125,MAX(1,2-(Vu_khi!$L$125-4)),2-(Vu_khi!$L$125-4))+1)))</f>
        <v/>
      </c>
      <c r="AF125" t="n">
        <v>0.1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0</v>
      </c>
      <c r="AK125">
        <f>IF($Q$125,$M$125*$AC$125*$U$125,0)</f>
        <v/>
      </c>
      <c r="AL125" t="n">
        <v>0</v>
      </c>
      <c r="AM125">
        <f>IF($Q$125,$M$125*$AE$125*$U$125,0)</f>
        <v/>
      </c>
      <c r="AN125" t="n">
        <v>0</v>
      </c>
      <c r="AO125">
        <f>IF($Q$125,$M$125*$AC$125*$Y$125,0)</f>
        <v/>
      </c>
      <c r="AP125" t="n">
        <v>0</v>
      </c>
      <c r="AQ125">
        <f>IF($S$125,$M$125*$AG$125*$W$125,0)</f>
        <v/>
      </c>
      <c r="AR125" t="n">
        <v>205.9063305881374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BB125" t="inlineStr">
        <is>
          <t>Assets/MachineBrigade/Resources/Data/balance.json: weapons[id=gunship_25mm_flak] (lớp B trên 01_chien_dau/Vu_khi)</t>
        </is>
      </c>
      <c r="BC125" t="inlineStr"/>
    </row>
    <row r="126">
      <c r="A126" t="inlineStr">
        <is>
          <t>gunship_40mm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29</v>
      </c>
      <c r="G126">
        <f>IF(Vu_khi!$S$126&gt;0,(Vu_khi!$S$126-1)*Vu_khi!$R$126+Vu_khi!$T$126,Vu_khi!$R$126+(Vu_khi!$P$126-1)*Vu_khi!$Q$126)</f>
        <v/>
      </c>
      <c r="H126" t="n">
        <v>5.9924</v>
      </c>
      <c r="I126">
        <f>Vu_khi!$W$126*MAX(1,$E$126)</f>
        <v/>
      </c>
      <c r="J126" t="n">
        <v>870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145.1838996061678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</v>
      </c>
      <c r="W126">
        <f>INDEX(Bang_sat_thuong!$C$2:$C$7,MATCH(Vu_khi!$K$126,Bang_sat_thuong!$A$2:$A$7,0))</f>
        <v/>
      </c>
      <c r="X126" t="n">
        <v>0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1.5</v>
      </c>
      <c r="AA126">
        <f>INDEX(Bang_xuyen_giap!$C$2:$C$7,MIN(6,MAX(1,IF($O$126,MAX(1,2-(Vu_khi!$L$126-0)),2-(Vu_khi!$L$126-0))+1)))</f>
        <v/>
      </c>
      <c r="AB126" t="n">
        <v>1.2</v>
      </c>
      <c r="AC126">
        <f>INDEX(Bang_xuyen_giap!$C$2:$C$7,MIN(6,MAX(1,IF($O$126,MAX(1,2-(Vu_khi!$L$126-2)),2-(Vu_khi!$L$126-2))+1)))</f>
        <v/>
      </c>
      <c r="AD126" t="n">
        <v>0.85</v>
      </c>
      <c r="AE126">
        <f>INDEX(Bang_xuyen_giap!$C$2:$C$7,MIN(6,MAX(1,IF($O$126,MAX(1,2-(Vu_khi!$L$126-4)),2-(Vu_khi!$L$126-4))+1)))</f>
        <v/>
      </c>
      <c r="AF126" t="n">
        <v>0.25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174.2206795274014</v>
      </c>
      <c r="AK126">
        <f>IF($Q$126,$M$126*$AC$126*$U$126,0)</f>
        <v/>
      </c>
      <c r="AL126" t="n">
        <v>123.4063146652426</v>
      </c>
      <c r="AM126">
        <f>IF($Q$126,$M$126*$AE$126*$U$126,0)</f>
        <v/>
      </c>
      <c r="AN126" t="n">
        <v>36.29597490154195</v>
      </c>
      <c r="AO126">
        <f>IF($Q$126,$M$126*$AC$126*$Y$126,0)</f>
        <v/>
      </c>
      <c r="AP126" t="n">
        <v>185.1094719978639</v>
      </c>
      <c r="AQ126">
        <f>IF($S$126,$M$126*$AG$126*$W$126,0)</f>
        <v/>
      </c>
      <c r="AR126" t="n">
        <v>0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AY126" t="n">
        <v>0.413269</v>
      </c>
      <c r="AZ126" t="inlineStr">
        <is>
          <t>NHANH_QUA</t>
        </is>
      </c>
      <c r="BA126" t="inlineStr"/>
      <c r="BB126" t="inlineStr">
        <is>
          <t>Assets/MachineBrigade/Resources/Data/balance.json: weapons[id=gunship_40mm] (lớp B trên 01_chien_dau/Vu_khi)</t>
        </is>
      </c>
      <c r="BC126" t="inlineStr"/>
    </row>
    <row r="127">
      <c r="A127" t="inlineStr">
        <is>
          <t>gunship_40mm_ap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0.3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0.6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0.85</v>
      </c>
      <c r="AE127">
        <f>INDEX(Bang_xuyen_giap!$C$2:$C$7,MIN(6,MAX(1,IF($O$127,MAX(1,2-(Vu_khi!$L$127-4)),2-(Vu_khi!$L$127-4))+1)))</f>
        <v/>
      </c>
      <c r="AF127" t="n">
        <v>0.25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36.29597490154195</v>
      </c>
      <c r="AO127">
        <f>IF($Q$127,$M$127*$AC$127*$Y$127,0)</f>
        <v/>
      </c>
      <c r="AP127" t="n">
        <v>74.04378879914559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BB127" t="inlineStr">
        <is>
          <t>Assets/MachineBrigade/Resources/Data/balance.json: weapons[id=gunship_40mm_ap] (lớp B trên 01_chien_dau/Vu_khi)</t>
        </is>
      </c>
      <c r="BC127" t="inlineStr"/>
    </row>
    <row r="128">
      <c r="A128" t="inlineStr">
        <is>
          <t>gunship_40mm_flak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0</v>
      </c>
      <c r="S128">
        <f>AND(NOT(Vu_khi!$AJ$128),OR(Vu_khi!$AC$128="Air",Vu_khi!$AC$128="All"))</f>
        <v/>
      </c>
      <c r="T128" t="b">
        <v>1</v>
      </c>
      <c r="U128">
        <f>INDEX(Bang_sat_thuong!$B$2:$B$7,MATCH(Vu_khi!$K$128,Bang_sat_thuong!$A$2:$A$7,0))</f>
        <v/>
      </c>
      <c r="V128" t="n">
        <v>0.5</v>
      </c>
      <c r="W128">
        <f>INDEX(Bang_sat_thuong!$C$2:$C$7,MATCH(Vu_khi!$K$128,Bang_sat_thuong!$A$2:$A$7,0))</f>
        <v/>
      </c>
      <c r="X128" t="n">
        <v>1.3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0.1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0.85</v>
      </c>
      <c r="AE128">
        <f>INDEX(Bang_xuyen_giap!$C$2:$C$7,MIN(6,MAX(1,IF($O$128,MAX(1,2-(Vu_khi!$L$128-4)),2-(Vu_khi!$L$128-4))+1)))</f>
        <v/>
      </c>
      <c r="AF128" t="n">
        <v>0.25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0</v>
      </c>
      <c r="AK128">
        <f>IF($Q$128,$M$128*$AC$128*$U$128,0)</f>
        <v/>
      </c>
      <c r="AL128" t="n">
        <v>0</v>
      </c>
      <c r="AM128">
        <f>IF($Q$128,$M$128*$AE$128*$U$128,0)</f>
        <v/>
      </c>
      <c r="AN128" t="n">
        <v>0</v>
      </c>
      <c r="AO128">
        <f>IF($Q$128,$M$128*$AC$128*$Y$128,0)</f>
        <v/>
      </c>
      <c r="AP128" t="n">
        <v>0</v>
      </c>
      <c r="AQ128">
        <f>IF($S$128,$M$128*$AG$128*$W$128,0)</f>
        <v/>
      </c>
      <c r="AR128" t="n">
        <v>188.7390694880182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weapons[id=gunship_40mm_flak] (lớp B trên 01_chien_dau/Vu_khi)</t>
        </is>
      </c>
      <c r="BC128" t="inlineStr"/>
    </row>
    <row r="129">
      <c r="A129" t="inlineStr">
        <is>
          <t>gunship_105</t>
        </is>
      </c>
      <c r="B129" t="n">
        <v>2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2.743</v>
      </c>
      <c r="I129">
        <f>Vu_khi!$W$129*MAX(1,$E$129)</f>
        <v/>
      </c>
      <c r="J129" t="n">
        <v>200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72.91286912139994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</v>
      </c>
      <c r="W129">
        <f>INDEX(Bang_sat_thuong!$C$2:$C$7,MATCH(Vu_khi!$K$129,Bang_sat_thuong!$A$2:$A$7,0))</f>
        <v/>
      </c>
      <c r="X129" t="n">
        <v>0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1.5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0.85</v>
      </c>
      <c r="AE129">
        <f>INDEX(Bang_xuyen_giap!$C$2:$C$7,MIN(6,MAX(1,IF($O$129,MAX(1,2-(Vu_khi!$L$129-4)),2-(Vu_khi!$L$129-4))+1)))</f>
        <v/>
      </c>
      <c r="AF129" t="n">
        <v>0.25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87.49544294567993</v>
      </c>
      <c r="AK129">
        <f>IF($Q$129,$M$129*$AC$129*$U$129,0)</f>
        <v/>
      </c>
      <c r="AL129" t="n">
        <v>61.97593875318994</v>
      </c>
      <c r="AM129">
        <f>IF($Q$129,$M$129*$AE$129*$U$129,0)</f>
        <v/>
      </c>
      <c r="AN129" t="n">
        <v>18.22821728034998</v>
      </c>
      <c r="AO129">
        <f>IF($Q$129,$M$129*$AC$129*$Y$129,0)</f>
        <v/>
      </c>
      <c r="AP129" t="n">
        <v>92.96390812978491</v>
      </c>
      <c r="AQ129">
        <f>IF($S$129,$M$129*$AG$129*$W$129,0)</f>
        <v/>
      </c>
      <c r="AR129" t="n">
        <v>0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2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AY129" t="n">
        <v>0.320017</v>
      </c>
      <c r="AZ129" t="inlineStr">
        <is>
          <t>NHANH_QUA</t>
        </is>
      </c>
      <c r="BA129" t="inlineStr"/>
      <c r="BB129" t="inlineStr">
        <is>
          <t>Assets/MachineBrigade/Resources/Data/balance.json: weapons[id=gunship_105] (lớp B trên 01_chien_dau/Vu_khi)</t>
        </is>
      </c>
      <c r="BC129" t="inlineStr"/>
    </row>
    <row r="130">
      <c r="A130" t="inlineStr">
        <is>
          <t>gunship_105_guided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2.743</v>
      </c>
      <c r="I130">
        <f>Vu_khi!$W$130*MAX(1,$E$130)</f>
        <v/>
      </c>
      <c r="J130" t="n">
        <v>200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72.91286912139994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0.85</v>
      </c>
      <c r="AE130">
        <f>INDEX(Bang_xuyen_giap!$C$2:$C$7,MIN(6,MAX(1,IF($O$130,MAX(1,2-(Vu_khi!$L$130-4)),2-(Vu_khi!$L$130-4))+1)))</f>
        <v/>
      </c>
      <c r="AF130" t="n">
        <v>0.25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87.49544294567993</v>
      </c>
      <c r="AK130">
        <f>IF($Q$130,$M$130*$AC$130*$U$130,0)</f>
        <v/>
      </c>
      <c r="AL130" t="n">
        <v>61.97593875318994</v>
      </c>
      <c r="AM130">
        <f>IF($Q$130,$M$130*$AE$130*$U$130,0)</f>
        <v/>
      </c>
      <c r="AN130" t="n">
        <v>18.22821728034998</v>
      </c>
      <c r="AO130">
        <f>IF($Q$130,$M$130*$AC$130*$Y$130,0)</f>
        <v/>
      </c>
      <c r="AP130" t="n">
        <v>92.96390812978491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BB130" t="inlineStr">
        <is>
          <t>Assets/MachineBrigade/Resources/Data/balance.json: weapons[id=gunship_105_guided] (lớp B trên 01_chien_dau/Vu_khi)</t>
        </is>
      </c>
      <c r="BC130" t="inlineStr"/>
    </row>
    <row r="131">
      <c r="A131" t="inlineStr">
        <is>
          <t>gunship_rockets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16</v>
      </c>
      <c r="G131">
        <f>IF(Vu_khi!$S$131&gt;0,(Vu_khi!$S$131-1)*Vu_khi!$R$131+Vu_khi!$T$131,Vu_khi!$R$131+(Vu_khi!$P$131-1)*Vu_khi!$Q$131)</f>
        <v/>
      </c>
      <c r="H131" t="n">
        <v>9.771000000000001</v>
      </c>
      <c r="I131">
        <f>Vu_khi!$W$131*MAX(1,$E$131)</f>
        <v/>
      </c>
      <c r="J131" t="n">
        <v>512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52.39995906253198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0.85</v>
      </c>
      <c r="AE131">
        <f>INDEX(Bang_xuyen_giap!$C$2:$C$7,MIN(6,MAX(1,IF($O$131,MAX(1,2-(Vu_khi!$L$131-4)),2-(Vu_khi!$L$131-4))+1)))</f>
        <v/>
      </c>
      <c r="AF131" t="n">
        <v>0.25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62.87995087503837</v>
      </c>
      <c r="AK131">
        <f>IF($Q$131,$M$131*$AC$131*$U$131,0)</f>
        <v/>
      </c>
      <c r="AL131" t="n">
        <v>44.53996520315218</v>
      </c>
      <c r="AM131">
        <f>IF($Q$131,$M$131*$AE$131*$U$131,0)</f>
        <v/>
      </c>
      <c r="AN131" t="n">
        <v>13.09998976563299</v>
      </c>
      <c r="AO131">
        <f>IF($Q$131,$M$131*$AC$131*$Y$131,0)</f>
        <v/>
      </c>
      <c r="AP131" t="n">
        <v>66.80994780472827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AY131" t="n">
        <v>1.5</v>
      </c>
      <c r="AZ131" t="inlineStr">
        <is>
          <t>ok</t>
        </is>
      </c>
      <c r="BA131" t="b">
        <v>1</v>
      </c>
      <c r="BB131" t="inlineStr">
        <is>
          <t>Assets/MachineBrigade/Resources/Data/balance.json: weapons[id=gunship_rockets] (lớp B trên 01_chien_dau/Vu_khi)</t>
        </is>
      </c>
      <c r="BC131" t="inlineStr"/>
    </row>
    <row r="132">
      <c r="A132" t="inlineStr">
        <is>
          <t>hel_beam</t>
        </is>
      </c>
      <c r="B132" t="n">
        <v>1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</v>
      </c>
      <c r="G132">
        <f>IF(Vu_khi!$S$132&gt;0,(Vu_khi!$S$132-1)*Vu_khi!$R$132+Vu_khi!$T$132,Vu_khi!$R$132+(Vu_khi!$P$132-1)*Vu_khi!$Q$132)</f>
        <v/>
      </c>
      <c r="H132" t="n">
        <v>0.0525</v>
      </c>
      <c r="I132">
        <f>Vu_khi!$W$132*MAX(1,$E$132)</f>
        <v/>
      </c>
      <c r="J132" t="n">
        <v>10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190.4761904761905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0</v>
      </c>
      <c r="S132">
        <f>AND(NOT(Vu_khi!$AJ$132),OR(Vu_khi!$AC$132="Air",Vu_khi!$AC$132="All"))</f>
        <v/>
      </c>
      <c r="T132" t="b">
        <v>1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1.5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0.5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0</v>
      </c>
      <c r="AK132">
        <f>IF($Q$132,$M$132*$AC$132*$U$132,0)</f>
        <v/>
      </c>
      <c r="AL132" t="n">
        <v>0</v>
      </c>
      <c r="AM132">
        <f>IF($Q$132,$M$132*$AE$132*$U$132,0)</f>
        <v/>
      </c>
      <c r="AN132" t="n">
        <v>0</v>
      </c>
      <c r="AO132">
        <f>IF($Q$132,$M$132*$AC$132*$Y$132,0)</f>
        <v/>
      </c>
      <c r="AP132" t="n">
        <v>0</v>
      </c>
      <c r="AQ132">
        <f>IF($S$132,$M$132*$AG$132*$W$132,0)</f>
        <v/>
      </c>
      <c r="AR132" t="n">
        <v>285.7142857142857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1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inlineStr"/>
      <c r="AZ132" t="inlineStr">
        <is>
          <t>ok</t>
        </is>
      </c>
      <c r="BA132" t="inlineStr"/>
      <c r="BB132" t="inlineStr">
        <is>
          <t>Assets/MachineBrigade/Resources/Data/balance.json: weapons[id=hel_beam] (lớp B trên 01_chien_dau/Vu_khi)</t>
        </is>
      </c>
      <c r="BC132" t="inlineStr"/>
    </row>
    <row r="133">
      <c r="A133" t="inlineStr">
        <is>
          <t>heli_gun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40</v>
      </c>
      <c r="G133">
        <f>IF(Vu_khi!$S$133&gt;0,(Vu_khi!$S$133-1)*Vu_khi!$R$133+Vu_khi!$T$133,Vu_khi!$R$133+(Vu_khi!$P$133-1)*Vu_khi!$Q$133)</f>
        <v/>
      </c>
      <c r="H133" t="n">
        <v>9.667999999999999</v>
      </c>
      <c r="I133">
        <f>Vu_khi!$W$133*MAX(1,$E$133)</f>
        <v/>
      </c>
      <c r="J133" t="n">
        <v>880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91.02192800992967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0.3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0.6</v>
      </c>
      <c r="AA133">
        <f>INDEX(Bang_xuyen_giap!$C$2:$C$7,MIN(6,MAX(1,IF($O$133,MAX(1,2-(Vu_khi!$L$133-0)),2-(Vu_khi!$L$133-0))+1)))</f>
        <v/>
      </c>
      <c r="AB133" t="n">
        <v>1.2</v>
      </c>
      <c r="AC133">
        <f>INDEX(Bang_xuyen_giap!$C$2:$C$7,MIN(6,MAX(1,IF($O$133,MAX(1,2-(Vu_khi!$L$133-2)),2-(Vu_khi!$L$133-2))+1)))</f>
        <v/>
      </c>
      <c r="AD133" t="n">
        <v>0.85</v>
      </c>
      <c r="AE133">
        <f>INDEX(Bang_xuyen_giap!$C$2:$C$7,MIN(6,MAX(1,IF($O$133,MAX(1,2-(Vu_khi!$L$133-4)),2-(Vu_khi!$L$133-4))+1)))</f>
        <v/>
      </c>
      <c r="AF133" t="n">
        <v>0.25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109.2263136119156</v>
      </c>
      <c r="AK133">
        <f>IF($Q$133,$M$133*$AC$133*$U$133,0)</f>
        <v/>
      </c>
      <c r="AL133" t="n">
        <v>77.36863880844021</v>
      </c>
      <c r="AM133">
        <f>IF($Q$133,$M$133*$AE$133*$U$133,0)</f>
        <v/>
      </c>
      <c r="AN133" t="n">
        <v>22.75548200248242</v>
      </c>
      <c r="AO133">
        <f>IF($Q$133,$M$133*$AC$133*$Y$133,0)</f>
        <v/>
      </c>
      <c r="AP133" t="n">
        <v>46.42118328506413</v>
      </c>
      <c r="AQ133">
        <f>IF($S$133,$M$133*$AG$133*$W$133,0)</f>
        <v/>
      </c>
      <c r="AR133" t="n">
        <v>27.3065784029789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n">
        <v>2.517708</v>
      </c>
      <c r="AZ133" t="inlineStr">
        <is>
          <t>ok</t>
        </is>
      </c>
      <c r="BA133" t="inlineStr"/>
      <c r="BB133" t="inlineStr">
        <is>
          <t>Assets/MachineBrigade/Resources/Data/balance.json: weapons[id=heli_gun] (lớp B trên 01_chien_dau/Vu_khi)</t>
        </is>
      </c>
      <c r="BC133" t="inlineStr"/>
    </row>
    <row r="134">
      <c r="A134" t="inlineStr">
        <is>
          <t>heli_gun_flak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0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0.5</v>
      </c>
      <c r="W134">
        <f>INDEX(Bang_sat_thuong!$C$2:$C$7,MATCH(Vu_khi!$K$134,Bang_sat_thuong!$A$2:$A$7,0))</f>
        <v/>
      </c>
      <c r="X134" t="n">
        <v>1.3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0.1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0.85</v>
      </c>
      <c r="AE134">
        <f>INDEX(Bang_xuyen_giap!$C$2:$C$7,MIN(6,MAX(1,IF($O$134,MAX(1,2-(Vu_khi!$L$134-4)),2-(Vu_khi!$L$134-4))+1)))</f>
        <v/>
      </c>
      <c r="AF134" t="n">
        <v>0.25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0</v>
      </c>
      <c r="AK134">
        <f>IF($Q$134,$M$134*$AC$134*$U$134,0)</f>
        <v/>
      </c>
      <c r="AL134" t="n">
        <v>0</v>
      </c>
      <c r="AM134">
        <f>IF($Q$134,$M$134*$AE$134*$U$134,0)</f>
        <v/>
      </c>
      <c r="AN134" t="n">
        <v>0</v>
      </c>
      <c r="AO134">
        <f>IF($Q$134,$M$134*$AC$134*$Y$134,0)</f>
        <v/>
      </c>
      <c r="AP134" t="n">
        <v>0</v>
      </c>
      <c r="AQ134">
        <f>IF($S$134,$M$134*$AG$134*$W$134,0)</f>
        <v/>
      </c>
      <c r="AR134" t="n">
        <v>118.3285064129086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BB134" t="inlineStr">
        <is>
          <t>Assets/MachineBrigade/Resources/Data/balance.json: weapons[id=heli_gun_flak] (lớp B trên 01_chien_dau/Vu_khi)</t>
        </is>
      </c>
      <c r="BC134" t="inlineStr"/>
    </row>
    <row r="135">
      <c r="A135" t="inlineStr">
        <is>
          <t>heli_rockets</t>
        </is>
      </c>
      <c r="B135" t="n">
        <v>2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11</v>
      </c>
      <c r="G135">
        <f>IF(Vu_khi!$S$135&gt;0,(Vu_khi!$S$135-1)*Vu_khi!$R$135+Vu_khi!$T$135,Vu_khi!$R$135+(Vu_khi!$P$135-1)*Vu_khi!$Q$135)</f>
        <v/>
      </c>
      <c r="H135" t="n">
        <v>8.51</v>
      </c>
      <c r="I135">
        <f>Vu_khi!$W$135*MAX(1,$E$135)</f>
        <v/>
      </c>
      <c r="J135" t="n">
        <v>330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38.77790834312574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</v>
      </c>
      <c r="W135">
        <f>INDEX(Bang_sat_thuong!$C$2:$C$7,MATCH(Vu_khi!$K$135,Bang_sat_thuong!$A$2:$A$7,0))</f>
        <v/>
      </c>
      <c r="X135" t="n">
        <v>0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1.5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0.85</v>
      </c>
      <c r="AE135">
        <f>INDEX(Bang_xuyen_giap!$C$2:$C$7,MIN(6,MAX(1,IF($O$135,MAX(1,2-(Vu_khi!$L$135-4)),2-(Vu_khi!$L$135-4))+1)))</f>
        <v/>
      </c>
      <c r="AF135" t="n">
        <v>0.25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46.53349001175089</v>
      </c>
      <c r="AK135">
        <f>IF($Q$135,$M$135*$AC$135*$U$135,0)</f>
        <v/>
      </c>
      <c r="AL135" t="n">
        <v>32.96122209165688</v>
      </c>
      <c r="AM135">
        <f>IF($Q$135,$M$135*$AE$135*$U$135,0)</f>
        <v/>
      </c>
      <c r="AN135" t="n">
        <v>9.694477085781434</v>
      </c>
      <c r="AO135">
        <f>IF($Q$135,$M$135*$AC$135*$Y$135,0)</f>
        <v/>
      </c>
      <c r="AP135" t="n">
        <v>49.44183313748531</v>
      </c>
      <c r="AQ135">
        <f>IF($S$135,$M$135*$AG$135*$W$135,0)</f>
        <v/>
      </c>
      <c r="AR135" t="n">
        <v>0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2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AY135" t="n">
        <v>1.8</v>
      </c>
      <c r="AZ135" t="inlineStr">
        <is>
          <t>ok</t>
        </is>
      </c>
      <c r="BA135" t="inlineStr"/>
      <c r="BB135" t="inlineStr">
        <is>
          <t>Assets/MachineBrigade/Resources/Data/balance.json: weapons[id=heli_rockets] (lớp B trên 01_chien_dau/Vu_khi)</t>
        </is>
      </c>
      <c r="BC135" t="inlineStr"/>
    </row>
    <row r="136">
      <c r="A136" t="inlineStr">
        <is>
          <t>hellfire_standoff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2</v>
      </c>
      <c r="G136">
        <f>IF(Vu_khi!$S$136&gt;0,(Vu_khi!$S$136-1)*Vu_khi!$R$136+Vu_khi!$T$136,Vu_khi!$R$136+(Vu_khi!$P$136-1)*Vu_khi!$Q$136)</f>
        <v/>
      </c>
      <c r="H136" t="n">
        <v>8</v>
      </c>
      <c r="I136">
        <f>Vu_khi!$W$136*MAX(1,$E$136)</f>
        <v/>
      </c>
      <c r="J136" t="n">
        <v>520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65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0.3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0.6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1.2</v>
      </c>
      <c r="AE136">
        <f>INDEX(Bang_xuyen_giap!$C$2:$C$7,MIN(6,MAX(1,IF($O$136,MAX(1,2-(Vu_khi!$L$136-4)),2-(Vu_khi!$L$136-4))+1)))</f>
        <v/>
      </c>
      <c r="AF136" t="n">
        <v>0.85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78</v>
      </c>
      <c r="AK136">
        <f>IF($Q$136,$M$136*$AC$136*$U$136,0)</f>
        <v/>
      </c>
      <c r="AL136" t="n">
        <v>78</v>
      </c>
      <c r="AM136">
        <f>IF($Q$136,$M$136*$AE$136*$U$136,0)</f>
        <v/>
      </c>
      <c r="AN136" t="n">
        <v>55.25</v>
      </c>
      <c r="AO136">
        <f>IF($Q$136,$M$136*$AC$136*$Y$136,0)</f>
        <v/>
      </c>
      <c r="AP136" t="n">
        <v>46.8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inlineStr"/>
      <c r="AZ136" t="inlineStr">
        <is>
          <t>ok</t>
        </is>
      </c>
      <c r="BA136" t="inlineStr"/>
      <c r="BB136" t="inlineStr">
        <is>
          <t>Assets/MachineBrigade/Resources/Data/balance.json: weapons[id=hellfire_standoff] (lớp B trên 01_chien_dau/Vu_khi)</t>
        </is>
      </c>
      <c r="BC136" t="inlineStr"/>
    </row>
    <row r="137">
      <c r="A137" t="inlineStr">
        <is>
          <t>hellfire_volley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11.09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46.88908926961226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0.3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0.6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1.2</v>
      </c>
      <c r="AE137">
        <f>INDEX(Bang_xuyen_giap!$C$2:$C$7,MIN(6,MAX(1,IF($O$137,MAX(1,2-(Vu_khi!$L$137-4)),2-(Vu_khi!$L$137-4))+1)))</f>
        <v/>
      </c>
      <c r="AF137" t="n">
        <v>0.85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56.26690712353471</v>
      </c>
      <c r="AK137">
        <f>IF($Q$137,$M$137*$AC$137*$U$137,0)</f>
        <v/>
      </c>
      <c r="AL137" t="n">
        <v>56.26690712353471</v>
      </c>
      <c r="AM137">
        <f>IF($Q$137,$M$137*$AE$137*$U$137,0)</f>
        <v/>
      </c>
      <c r="AN137" t="n">
        <v>39.85572587917042</v>
      </c>
      <c r="AO137">
        <f>IF($Q$137,$M$137*$AC$137*$Y$137,0)</f>
        <v/>
      </c>
      <c r="AP137" t="n">
        <v>33.76014427412083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weapons[id=hellfire_volley] (lớp B trên 01_chien_dau/Vu_khi)</t>
        </is>
      </c>
      <c r="BC137" t="inlineStr"/>
    </row>
    <row r="138">
      <c r="A138" t="inlineStr">
        <is>
          <t>hind_rockets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38</v>
      </c>
      <c r="G138">
        <f>IF(Vu_khi!$S$138&gt;0,(Vu_khi!$S$138-1)*Vu_khi!$R$138+Vu_khi!$T$138,Vu_khi!$R$138+(Vu_khi!$P$138-1)*Vu_khi!$Q$138)</f>
        <v/>
      </c>
      <c r="H138" t="n">
        <v>9.450000000000001</v>
      </c>
      <c r="I138">
        <f>Vu_khi!$W$138*MAX(1,$E$138)</f>
        <v/>
      </c>
      <c r="J138" t="n">
        <v>1216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128.6772486772487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1.5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0.85</v>
      </c>
      <c r="AE138">
        <f>INDEX(Bang_xuyen_giap!$C$2:$C$7,MIN(6,MAX(1,IF($O$138,MAX(1,2-(Vu_khi!$L$138-4)),2-(Vu_khi!$L$138-4))+1)))</f>
        <v/>
      </c>
      <c r="AF138" t="n">
        <v>0.25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154.4126984126984</v>
      </c>
      <c r="AK138">
        <f>IF($Q$138,$M$138*$AC$138*$U$138,0)</f>
        <v/>
      </c>
      <c r="AL138" t="n">
        <v>109.3756613756614</v>
      </c>
      <c r="AM138">
        <f>IF($Q$138,$M$138*$AE$138*$U$138,0)</f>
        <v/>
      </c>
      <c r="AN138" t="n">
        <v>32.16931216931216</v>
      </c>
      <c r="AO138">
        <f>IF($Q$138,$M$138*$AC$138*$Y$138,0)</f>
        <v/>
      </c>
      <c r="AP138" t="n">
        <v>164.063492063492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n">
        <v>1.05</v>
      </c>
      <c r="AZ138" t="inlineStr">
        <is>
          <t>ok</t>
        </is>
      </c>
      <c r="BA138" t="inlineStr"/>
      <c r="BB138" t="inlineStr">
        <is>
          <t>Assets/MachineBrigade/Resources/Data/balance.json: weapons[id=hind_rockets] (lớp B trên 01_chien_dau/Vu_khi)</t>
        </is>
      </c>
      <c r="BC138" t="inlineStr"/>
    </row>
    <row r="139">
      <c r="A139" t="inlineStr">
        <is>
          <t>hmg_roof</t>
        </is>
      </c>
      <c r="B139" t="n">
        <v>0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100</v>
      </c>
      <c r="G139">
        <f>IF(Vu_khi!$S$139&gt;0,(Vu_khi!$S$139-1)*Vu_khi!$R$139+Vu_khi!$T$139,Vu_khi!$R$139+(Vu_khi!$P$139-1)*Vu_khi!$Q$139)</f>
        <v/>
      </c>
      <c r="H139" t="n">
        <v>16.11</v>
      </c>
      <c r="I139">
        <f>Vu_khi!$W$139*MAX(1,$E$139)</f>
        <v/>
      </c>
      <c r="J139" t="n">
        <v>950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58.96958410924891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1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0.3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0.6</v>
      </c>
      <c r="AA139">
        <f>INDEX(Bang_xuyen_giap!$C$2:$C$7,MIN(6,MAX(1,IF($O$139,MAX(1,2-(Vu_khi!$L$139-0)),2-(Vu_khi!$L$139-0))+1)))</f>
        <v/>
      </c>
      <c r="AB139" t="n">
        <v>1</v>
      </c>
      <c r="AC139">
        <f>INDEX(Bang_xuyen_giap!$C$2:$C$7,MIN(6,MAX(1,IF($O$139,MAX(1,2-(Vu_khi!$L$139-2)),2-(Vu_khi!$L$139-2))+1)))</f>
        <v/>
      </c>
      <c r="AD139" t="n">
        <v>0.5</v>
      </c>
      <c r="AE139">
        <f>INDEX(Bang_xuyen_giap!$C$2:$C$7,MIN(6,MAX(1,IF($O$139,MAX(1,2-(Vu_khi!$L$139-4)),2-(Vu_khi!$L$139-4))+1)))</f>
        <v/>
      </c>
      <c r="AF139" t="n">
        <v>0.1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58.96958410924891</v>
      </c>
      <c r="AK139">
        <f>IF($Q$139,$M$139*$AC$139*$U$139,0)</f>
        <v/>
      </c>
      <c r="AL139" t="n">
        <v>29.48479205462446</v>
      </c>
      <c r="AM139">
        <f>IF($Q$139,$M$139*$AE$139*$U$139,0)</f>
        <v/>
      </c>
      <c r="AN139" t="n">
        <v>5.896958410924892</v>
      </c>
      <c r="AO139">
        <f>IF($Q$139,$M$139*$AC$139*$Y$139,0)</f>
        <v/>
      </c>
      <c r="AP139" t="n">
        <v>17.69087523277467</v>
      </c>
      <c r="AQ139">
        <f>IF($S$139,$M$139*$AG$139*$W$139,0)</f>
        <v/>
      </c>
      <c r="AR139" t="n">
        <v>17.69087523277467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0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1.611</v>
      </c>
      <c r="AZ139" t="inlineStr">
        <is>
          <t>ok</t>
        </is>
      </c>
      <c r="BA139" t="inlineStr"/>
      <c r="BB139" t="inlineStr">
        <is>
          <t>Assets/MachineBrigade/Resources/Data/balance.json: weapons[id=hmg_roof] (lớp B trên 01_chien_dau/Vu_khi)</t>
        </is>
      </c>
      <c r="BC139" t="inlineStr"/>
    </row>
    <row r="140">
      <c r="A140" t="inlineStr">
        <is>
          <t>hmg_roof_api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0.6</v>
      </c>
      <c r="AA140">
        <f>INDEX(Bang_xuyen_giap!$C$2:$C$7,MIN(6,MAX(1,IF($O$140,MAX(1,2-(Vu_khi!$L$140-0)),2-(Vu_khi!$L$140-0))+1)))</f>
        <v/>
      </c>
      <c r="AB140" t="n">
        <v>1.2</v>
      </c>
      <c r="AC140">
        <f>INDEX(Bang_xuyen_giap!$C$2:$C$7,MIN(6,MAX(1,IF($O$140,MAX(1,2-(Vu_khi!$L$140-2)),2-(Vu_khi!$L$140-2))+1)))</f>
        <v/>
      </c>
      <c r="AD140" t="n">
        <v>0.85</v>
      </c>
      <c r="AE140">
        <f>INDEX(Bang_xuyen_giap!$C$2:$C$7,MIN(6,MAX(1,IF($O$140,MAX(1,2-(Vu_khi!$L$140-4)),2-(Vu_khi!$L$140-4))+1)))</f>
        <v/>
      </c>
      <c r="AF140" t="n">
        <v>0.25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70.76350093109869</v>
      </c>
      <c r="AK140">
        <f>IF($Q$140,$M$140*$AC$140*$U$140,0)</f>
        <v/>
      </c>
      <c r="AL140" t="n">
        <v>50.12414649286158</v>
      </c>
      <c r="AM140">
        <f>IF($Q$140,$M$140*$AE$140*$U$140,0)</f>
        <v/>
      </c>
      <c r="AN140" t="n">
        <v>14.74239602731223</v>
      </c>
      <c r="AO140">
        <f>IF($Q$140,$M$140*$AC$140*$Y$140,0)</f>
        <v/>
      </c>
      <c r="AP140" t="n">
        <v>30.07448789571695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BB140" t="inlineStr">
        <is>
          <t>Assets/MachineBrigade/Resources/Data/balance.json: weapons[id=hmg_roof_api] (lớp B trên 01_chien_dau/Vu_khi)</t>
        </is>
      </c>
      <c r="BC140" t="inlineStr"/>
    </row>
    <row r="141">
      <c r="A141" t="inlineStr">
        <is>
          <t>hmg_selfdef_15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0.6</v>
      </c>
      <c r="AA141">
        <f>INDEX(Bang_xuyen_giap!$C$2:$C$7,MIN(6,MAX(1,IF($O$141,MAX(1,2-(Vu_khi!$L$141-0)),2-(Vu_khi!$L$141-0))+1)))</f>
        <v/>
      </c>
      <c r="AB141" t="n">
        <v>1</v>
      </c>
      <c r="AC141">
        <f>INDEX(Bang_xuyen_giap!$C$2:$C$7,MIN(6,MAX(1,IF($O$141,MAX(1,2-(Vu_khi!$L$141-2)),2-(Vu_khi!$L$141-2))+1)))</f>
        <v/>
      </c>
      <c r="AD141" t="n">
        <v>0.5</v>
      </c>
      <c r="AE141">
        <f>INDEX(Bang_xuyen_giap!$C$2:$C$7,MIN(6,MAX(1,IF($O$141,MAX(1,2-(Vu_khi!$L$141-4)),2-(Vu_khi!$L$141-4))+1)))</f>
        <v/>
      </c>
      <c r="AF141" t="n">
        <v>0.1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58.96958410924891</v>
      </c>
      <c r="AK141">
        <f>IF($Q$141,$M$141*$AC$141*$U$141,0)</f>
        <v/>
      </c>
      <c r="AL141" t="n">
        <v>29.48479205462446</v>
      </c>
      <c r="AM141">
        <f>IF($Q$141,$M$141*$AE$141*$U$141,0)</f>
        <v/>
      </c>
      <c r="AN141" t="n">
        <v>5.896958410924892</v>
      </c>
      <c r="AO141">
        <f>IF($Q$141,$M$141*$AC$141*$Y$141,0)</f>
        <v/>
      </c>
      <c r="AP141" t="n">
        <v>17.69087523277467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AY141" t="n">
        <v>1.611</v>
      </c>
      <c r="AZ141" t="inlineStr">
        <is>
          <t>ok</t>
        </is>
      </c>
      <c r="BA141" t="inlineStr"/>
      <c r="BB141" t="inlineStr">
        <is>
          <t>Assets/MachineBrigade/Resources/Data/balance.json: weapons[id=hmg_selfdef_15] (lớp B trên 01_chien_dau/Vu_khi)</t>
        </is>
      </c>
      <c r="BC141" t="inlineStr"/>
    </row>
    <row r="142">
      <c r="A142" t="inlineStr">
        <is>
          <t>hmg_selfdef_15_api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0.6</v>
      </c>
      <c r="AA142">
        <f>INDEX(Bang_xuyen_giap!$C$2:$C$7,MIN(6,MAX(1,IF($O$142,MAX(1,2-(Vu_khi!$L$142-0)),2-(Vu_khi!$L$142-0))+1)))</f>
        <v/>
      </c>
      <c r="AB142" t="n">
        <v>1.2</v>
      </c>
      <c r="AC142">
        <f>INDEX(Bang_xuyen_giap!$C$2:$C$7,MIN(6,MAX(1,IF($O$142,MAX(1,2-(Vu_khi!$L$142-2)),2-(Vu_khi!$L$142-2))+1)))</f>
        <v/>
      </c>
      <c r="AD142" t="n">
        <v>0.85</v>
      </c>
      <c r="AE142">
        <f>INDEX(Bang_xuyen_giap!$C$2:$C$7,MIN(6,MAX(1,IF($O$142,MAX(1,2-(Vu_khi!$L$142-4)),2-(Vu_khi!$L$142-4))+1)))</f>
        <v/>
      </c>
      <c r="AF142" t="n">
        <v>0.25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70.76350093109869</v>
      </c>
      <c r="AK142">
        <f>IF($Q$142,$M$142*$AC$142*$U$142,0)</f>
        <v/>
      </c>
      <c r="AL142" t="n">
        <v>50.12414649286158</v>
      </c>
      <c r="AM142">
        <f>IF($Q$142,$M$142*$AE$142*$U$142,0)</f>
        <v/>
      </c>
      <c r="AN142" t="n">
        <v>14.74239602731223</v>
      </c>
      <c r="AO142">
        <f>IF($Q$142,$M$142*$AC$142*$Y$142,0)</f>
        <v/>
      </c>
      <c r="AP142" t="n">
        <v>30.07448789571695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BB142" t="inlineStr">
        <is>
          <t>Assets/MachineBrigade/Resources/Data/balance.json: weapons[id=hmg_selfdef_15_api] (lớp B trên 01_chien_dau/Vu_khi)</t>
        </is>
      </c>
      <c r="BC142" t="inlineStr"/>
    </row>
    <row r="143">
      <c r="A143" t="inlineStr">
        <is>
          <t>hmg_selfdef_18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0.6</v>
      </c>
      <c r="AA143">
        <f>INDEX(Bang_xuyen_giap!$C$2:$C$7,MIN(6,MAX(1,IF($O$143,MAX(1,2-(Vu_khi!$L$143-0)),2-(Vu_khi!$L$143-0))+1)))</f>
        <v/>
      </c>
      <c r="AB143" t="n">
        <v>1</v>
      </c>
      <c r="AC143">
        <f>INDEX(Bang_xuyen_giap!$C$2:$C$7,MIN(6,MAX(1,IF($O$143,MAX(1,2-(Vu_khi!$L$143-2)),2-(Vu_khi!$L$143-2))+1)))</f>
        <v/>
      </c>
      <c r="AD143" t="n">
        <v>0.5</v>
      </c>
      <c r="AE143">
        <f>INDEX(Bang_xuyen_giap!$C$2:$C$7,MIN(6,MAX(1,IF($O$143,MAX(1,2-(Vu_khi!$L$143-4)),2-(Vu_khi!$L$143-4))+1)))</f>
        <v/>
      </c>
      <c r="AF143" t="n">
        <v>0.1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58.96958410924891</v>
      </c>
      <c r="AK143">
        <f>IF($Q$143,$M$143*$AC$143*$U$143,0)</f>
        <v/>
      </c>
      <c r="AL143" t="n">
        <v>29.48479205462446</v>
      </c>
      <c r="AM143">
        <f>IF($Q$143,$M$143*$AE$143*$U$143,0)</f>
        <v/>
      </c>
      <c r="AN143" t="n">
        <v>5.896958410924892</v>
      </c>
      <c r="AO143">
        <f>IF($Q$143,$M$143*$AC$143*$Y$143,0)</f>
        <v/>
      </c>
      <c r="AP143" t="n">
        <v>17.69087523277467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AY143" t="n">
        <v>1.611</v>
      </c>
      <c r="AZ143" t="inlineStr">
        <is>
          <t>ok</t>
        </is>
      </c>
      <c r="BA143" t="inlineStr"/>
      <c r="BB143" t="inlineStr">
        <is>
          <t>Assets/MachineBrigade/Resources/Data/balance.json: weapons[id=hmg_selfdef_18] (lớp B trên 01_chien_dau/Vu_khi)</t>
        </is>
      </c>
      <c r="BC143" t="inlineStr"/>
    </row>
    <row r="144">
      <c r="A144" t="inlineStr">
        <is>
          <t>hmg_selfdef_18_api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1.2</v>
      </c>
      <c r="AC144">
        <f>INDEX(Bang_xuyen_giap!$C$2:$C$7,MIN(6,MAX(1,IF($O$144,MAX(1,2-(Vu_khi!$L$144-2)),2-(Vu_khi!$L$144-2))+1)))</f>
        <v/>
      </c>
      <c r="AD144" t="n">
        <v>0.85</v>
      </c>
      <c r="AE144">
        <f>INDEX(Bang_xuyen_giap!$C$2:$C$7,MIN(6,MAX(1,IF($O$144,MAX(1,2-(Vu_khi!$L$144-4)),2-(Vu_khi!$L$144-4))+1)))</f>
        <v/>
      </c>
      <c r="AF144" t="n">
        <v>0.25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70.76350093109869</v>
      </c>
      <c r="AK144">
        <f>IF($Q$144,$M$144*$AC$144*$U$144,0)</f>
        <v/>
      </c>
      <c r="AL144" t="n">
        <v>50.12414649286158</v>
      </c>
      <c r="AM144">
        <f>IF($Q$144,$M$144*$AE$144*$U$144,0)</f>
        <v/>
      </c>
      <c r="AN144" t="n">
        <v>14.74239602731223</v>
      </c>
      <c r="AO144">
        <f>IF($Q$144,$M$144*$AC$144*$Y$144,0)</f>
        <v/>
      </c>
      <c r="AP144" t="n">
        <v>30.07448789571695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BB144" t="inlineStr">
        <is>
          <t>Assets/MachineBrigade/Resources/Data/balance.json: weapons[id=hmg_selfdef_18_api] (lớp B trên 01_chien_dau/Vu_khi)</t>
        </is>
      </c>
      <c r="BC144" t="inlineStr"/>
    </row>
    <row r="145">
      <c r="A145" t="inlineStr">
        <is>
          <t>hmg_selfdef_21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</v>
      </c>
      <c r="AC145">
        <f>INDEX(Bang_xuyen_giap!$C$2:$C$7,MIN(6,MAX(1,IF($O$145,MAX(1,2-(Vu_khi!$L$145-2)),2-(Vu_khi!$L$145-2))+1)))</f>
        <v/>
      </c>
      <c r="AD145" t="n">
        <v>0.5</v>
      </c>
      <c r="AE145">
        <f>INDEX(Bang_xuyen_giap!$C$2:$C$7,MIN(6,MAX(1,IF($O$145,MAX(1,2-(Vu_khi!$L$145-4)),2-(Vu_khi!$L$145-4))+1)))</f>
        <v/>
      </c>
      <c r="AF145" t="n">
        <v>0.1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58.96958410924891</v>
      </c>
      <c r="AK145">
        <f>IF($Q$145,$M$145*$AC$145*$U$145,0)</f>
        <v/>
      </c>
      <c r="AL145" t="n">
        <v>29.48479205462446</v>
      </c>
      <c r="AM145">
        <f>IF($Q$145,$M$145*$AE$145*$U$145,0)</f>
        <v/>
      </c>
      <c r="AN145" t="n">
        <v>5.896958410924892</v>
      </c>
      <c r="AO145">
        <f>IF($Q$145,$M$145*$AC$145*$Y$145,0)</f>
        <v/>
      </c>
      <c r="AP145" t="n">
        <v>17.69087523277467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AY145" t="n">
        <v>1.611</v>
      </c>
      <c r="AZ145" t="inlineStr">
        <is>
          <t>ok</t>
        </is>
      </c>
      <c r="BA145" t="inlineStr"/>
      <c r="BB145" t="inlineStr">
        <is>
          <t>Assets/MachineBrigade/Resources/Data/balance.json: weapons[id=hmg_selfdef_21] (lớp B trên 01_chien_dau/Vu_khi)</t>
        </is>
      </c>
      <c r="BC145" t="inlineStr"/>
    </row>
    <row r="146">
      <c r="A146" t="inlineStr">
        <is>
          <t>hmg_selfdef_21_api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1.2</v>
      </c>
      <c r="AC146">
        <f>INDEX(Bang_xuyen_giap!$C$2:$C$7,MIN(6,MAX(1,IF($O$146,MAX(1,2-(Vu_khi!$L$146-2)),2-(Vu_khi!$L$146-2))+1)))</f>
        <v/>
      </c>
      <c r="AD146" t="n">
        <v>0.85</v>
      </c>
      <c r="AE146">
        <f>INDEX(Bang_xuyen_giap!$C$2:$C$7,MIN(6,MAX(1,IF($O$146,MAX(1,2-(Vu_khi!$L$146-4)),2-(Vu_khi!$L$146-4))+1)))</f>
        <v/>
      </c>
      <c r="AF146" t="n">
        <v>0.25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70.76350093109869</v>
      </c>
      <c r="AK146">
        <f>IF($Q$146,$M$146*$AC$146*$U$146,0)</f>
        <v/>
      </c>
      <c r="AL146" t="n">
        <v>50.12414649286158</v>
      </c>
      <c r="AM146">
        <f>IF($Q$146,$M$146*$AE$146*$U$146,0)</f>
        <v/>
      </c>
      <c r="AN146" t="n">
        <v>14.74239602731223</v>
      </c>
      <c r="AO146">
        <f>IF($Q$146,$M$146*$AC$146*$Y$146,0)</f>
        <v/>
      </c>
      <c r="AP146" t="n">
        <v>30.07448789571695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BB146" t="inlineStr">
        <is>
          <t>Assets/MachineBrigade/Resources/Data/balance.json: weapons[id=hmg_selfdef_21_api] (lớp B trên 01_chien_dau/Vu_khi)</t>
        </is>
      </c>
      <c r="BC146" t="inlineStr"/>
    </row>
    <row r="147">
      <c r="A147" t="inlineStr">
        <is>
          <t>hover_ciws</t>
        </is>
      </c>
      <c r="B147" t="n">
        <v>1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60</v>
      </c>
      <c r="G147">
        <f>IF(Vu_khi!$S$147&gt;0,(Vu_khi!$S$147-1)*Vu_khi!$R$147+Vu_khi!$T$147,Vu_khi!$R$147+(Vu_khi!$P$147-1)*Vu_khi!$Q$147)</f>
        <v/>
      </c>
      <c r="H147" t="n">
        <v>6.002</v>
      </c>
      <c r="I147">
        <f>Vu_khi!$W$147*MAX(1,$E$147)</f>
        <v/>
      </c>
      <c r="J147" t="n">
        <v>720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119.9600133288904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0.6</v>
      </c>
      <c r="AA147">
        <f>INDEX(Bang_xuyen_giap!$C$2:$C$7,MIN(6,MAX(1,IF($O$147,MAX(1,2-(Vu_khi!$L$147-0)),2-(Vu_khi!$L$147-0))+1)))</f>
        <v/>
      </c>
      <c r="AB147" t="n">
        <v>1.2</v>
      </c>
      <c r="AC147">
        <f>INDEX(Bang_xuyen_giap!$C$2:$C$7,MIN(6,MAX(1,IF($O$147,MAX(1,2-(Vu_khi!$L$147-2)),2-(Vu_khi!$L$147-2))+1)))</f>
        <v/>
      </c>
      <c r="AD147" t="n">
        <v>0.85</v>
      </c>
      <c r="AE147">
        <f>INDEX(Bang_xuyen_giap!$C$2:$C$7,MIN(6,MAX(1,IF($O$147,MAX(1,2-(Vu_khi!$L$147-4)),2-(Vu_khi!$L$147-4))+1)))</f>
        <v/>
      </c>
      <c r="AF147" t="n">
        <v>0.25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143.9520159946684</v>
      </c>
      <c r="AK147">
        <f>IF($Q$147,$M$147*$AC$147*$U$147,0)</f>
        <v/>
      </c>
      <c r="AL147" t="n">
        <v>101.9660113295568</v>
      </c>
      <c r="AM147">
        <f>IF($Q$147,$M$147*$AE$147*$U$147,0)</f>
        <v/>
      </c>
      <c r="AN147" t="n">
        <v>29.99000333222259</v>
      </c>
      <c r="AO147">
        <f>IF($Q$147,$M$147*$AC$147*$Y$147,0)</f>
        <v/>
      </c>
      <c r="AP147" t="n">
        <v>61.17960679773409</v>
      </c>
      <c r="AQ147">
        <f>IF($S$147,$M$147*$AG$147*$W$147,0)</f>
        <v/>
      </c>
      <c r="AR147" t="n">
        <v>35.98800399866711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1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AY147" t="n">
        <v>8.336111000000001</v>
      </c>
      <c r="AZ147" t="inlineStr">
        <is>
          <t>ok</t>
        </is>
      </c>
      <c r="BA147" t="b">
        <v>1</v>
      </c>
      <c r="BB147" t="inlineStr">
        <is>
          <t>Assets/MachineBrigade/Resources/Data/balance.json: weapons[id=hover_ciws] (lớp B trên 01_chien_dau/Vu_khi)</t>
        </is>
      </c>
      <c r="BC147" t="inlineStr"/>
    </row>
    <row r="148">
      <c r="A148" t="inlineStr">
        <is>
          <t>hover_ciws_flak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0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0.5</v>
      </c>
      <c r="W148">
        <f>INDEX(Bang_sat_thuong!$C$2:$C$7,MATCH(Vu_khi!$K$148,Bang_sat_thuong!$A$2:$A$7,0))</f>
        <v/>
      </c>
      <c r="X148" t="n">
        <v>1.3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0.1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0</v>
      </c>
      <c r="AK148">
        <f>IF($Q$148,$M$148*$AC$148*$U$148,0)</f>
        <v/>
      </c>
      <c r="AL148" t="n">
        <v>0</v>
      </c>
      <c r="AM148">
        <f>IF($Q$148,$M$148*$AE$148*$U$148,0)</f>
        <v/>
      </c>
      <c r="AN148" t="n">
        <v>0</v>
      </c>
      <c r="AO148">
        <f>IF($Q$148,$M$148*$AC$148*$Y$148,0)</f>
        <v/>
      </c>
      <c r="AP148" t="n">
        <v>0</v>
      </c>
      <c r="AQ148">
        <f>IF($S$148,$M$148*$AG$148*$W$148,0)</f>
        <v/>
      </c>
      <c r="AR148" t="n">
        <v>155.9480173275575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BB148" t="inlineStr">
        <is>
          <t>Assets/MachineBrigade/Resources/Data/balance.json: weapons[id=hover_ciws_flak] (lớp B trên 01_chien_dau/Vu_khi)</t>
        </is>
      </c>
      <c r="BC148" t="inlineStr"/>
    </row>
    <row r="149">
      <c r="A149" t="inlineStr">
        <is>
          <t>hover_rockets</t>
        </is>
      </c>
      <c r="B149" t="n">
        <v>3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11</v>
      </c>
      <c r="G149">
        <f>IF(Vu_khi!$S$149&gt;0,(Vu_khi!$S$149-1)*Vu_khi!$R$149+Vu_khi!$T$149,Vu_khi!$R$149+(Vu_khi!$P$149-1)*Vu_khi!$Q$149)</f>
        <v/>
      </c>
      <c r="H149" t="n">
        <v>27</v>
      </c>
      <c r="I149">
        <f>Vu_khi!$W$149*MAX(1,$E$149)</f>
        <v/>
      </c>
      <c r="J149" t="n">
        <v>715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26.48148148148148</v>
      </c>
      <c r="O149">
        <f>OR(Vu_khi!$AG$149,Vu_khi!$AB$149&gt;0,Vu_khi!$AH$149,Vu_khi!$M$149="Bomb",Vu_khi!$M$149="Drone")</f>
        <v/>
      </c>
      <c r="P149" t="b">
        <v>1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0</v>
      </c>
      <c r="U149">
        <f>INDEX(Bang_sat_thuong!$B$2:$B$7,MATCH(Vu_khi!$K$149,Bang_sat_thuong!$A$2:$A$7,0))</f>
        <v/>
      </c>
      <c r="V149" t="n">
        <v>1</v>
      </c>
      <c r="W149">
        <f>INDEX(Bang_sat_thuong!$C$2:$C$7,MATCH(Vu_khi!$K$149,Bang_sat_thuong!$A$2:$A$7,0))</f>
        <v/>
      </c>
      <c r="X149" t="n">
        <v>0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1.5</v>
      </c>
      <c r="AA149">
        <f>INDEX(Bang_xuyen_giap!$C$2:$C$7,MIN(6,MAX(1,IF($O$149,MAX(1,2-(Vu_khi!$L$149-0)),2-(Vu_khi!$L$149-0))+1)))</f>
        <v/>
      </c>
      <c r="AB149" t="n">
        <v>1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26.48148148148148</v>
      </c>
      <c r="AK149">
        <f>IF($Q$149,$M$149*$AC$149*$U$149,0)</f>
        <v/>
      </c>
      <c r="AL149" t="n">
        <v>22.50925925925926</v>
      </c>
      <c r="AM149">
        <f>IF($Q$149,$M$149*$AE$149*$U$149,0)</f>
        <v/>
      </c>
      <c r="AN149" t="n">
        <v>6.62037037037037</v>
      </c>
      <c r="AO149">
        <f>IF($Q$149,$M$149*$AC$149*$Y$149,0)</f>
        <v/>
      </c>
      <c r="AP149" t="n">
        <v>33.76388888888889</v>
      </c>
      <c r="AQ149">
        <f>IF($S$149,$M$149*$AG$149*$W$149,0)</f>
        <v/>
      </c>
      <c r="AR149" t="n">
        <v>0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3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AY149" t="n">
        <v>1</v>
      </c>
      <c r="AZ149" t="inlineStr">
        <is>
          <t>ok</t>
        </is>
      </c>
      <c r="BA149" t="b">
        <v>1</v>
      </c>
      <c r="BB149" t="inlineStr">
        <is>
          <t>Assets/MachineBrigade/Resources/Data/balance.json: weapons[id=hover_rockets] (lớp B trên 01_chien_dau/Vu_khi)</t>
        </is>
      </c>
      <c r="BC149" t="inlineStr"/>
    </row>
    <row r="150">
      <c r="A150" t="inlineStr">
        <is>
          <t>howitzer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</v>
      </c>
      <c r="G150">
        <f>IF(Vu_khi!$S$150&gt;0,(Vu_khi!$S$150-1)*Vu_khi!$R$150+Vu_khi!$T$150,Vu_khi!$R$150+(Vu_khi!$P$150-1)*Vu_khi!$Q$150)</f>
        <v/>
      </c>
      <c r="H150" t="n">
        <v>7.1429</v>
      </c>
      <c r="I150">
        <f>Vu_khi!$W$150*MAX(1,$E$150)</f>
        <v/>
      </c>
      <c r="J150" t="n">
        <v>320</v>
      </c>
      <c r="K150">
        <f>IF(Vu_khi!$V$150&gt;0,Vu_khi!$V$150,MIN(28,MAX(10,Vu_khi!$U$150*Vu_khi!$R$150*0.4)))</f>
        <v/>
      </c>
      <c r="L150" t="n">
        <v>33.49</v>
      </c>
      <c r="M150">
        <f>IF(Vu_khi!$W$150&lt;=0,0,IF(Vu_khi!$U$150&gt;0,$I$150*Vu_khi!$U$150/(MAX(0.05,$G$150)*Vu_khi!$U$150+$K$150),$I$150/MAX(0.05,$G$150)))</f>
        <v/>
      </c>
      <c r="N150" t="n">
        <v>36.29187742418399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1.5</v>
      </c>
      <c r="AA150">
        <f>INDEX(Bang_xuyen_giap!$C$2:$C$7,MIN(6,MAX(1,IF($O$150,MAX(1,2-(Vu_khi!$L$150-0)),2-(Vu_khi!$L$150-0))+1)))</f>
        <v/>
      </c>
      <c r="AB150" t="n">
        <v>1</v>
      </c>
      <c r="AC150">
        <f>INDEX(Bang_xuyen_giap!$C$2:$C$7,MIN(6,MAX(1,IF($O$150,MAX(1,2-(Vu_khi!$L$150-2)),2-(Vu_khi!$L$150-2))+1)))</f>
        <v/>
      </c>
      <c r="AD150" t="n">
        <v>1</v>
      </c>
      <c r="AE150">
        <f>INDEX(Bang_xuyen_giap!$C$2:$C$7,MIN(6,MAX(1,IF($O$150,MAX(1,2-(Vu_khi!$L$150-4)),2-(Vu_khi!$L$150-4))+1)))</f>
        <v/>
      </c>
      <c r="AF150" t="n">
        <v>0.5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36.29187742418399</v>
      </c>
      <c r="AK150">
        <f>IF($Q$150,$M$150*$AC$150*$U$150,0)</f>
        <v/>
      </c>
      <c r="AL150" t="n">
        <v>36.29187742418399</v>
      </c>
      <c r="AM150">
        <f>IF($Q$150,$M$150*$AE$150*$U$150,0)</f>
        <v/>
      </c>
      <c r="AN150" t="n">
        <v>18.145938712092</v>
      </c>
      <c r="AO150">
        <f>IF($Q$150,$M$150*$AC$150*$Y$150,0)</f>
        <v/>
      </c>
      <c r="AP150" t="n">
        <v>54.43781613627599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0.411479</v>
      </c>
      <c r="AZ150" t="inlineStr">
        <is>
          <t>NHANH_QUA;LECH_DOT_1</t>
        </is>
      </c>
      <c r="BA150" t="inlineStr"/>
      <c r="BB150" t="inlineStr">
        <is>
          <t>Assets/MachineBrigade/Resources/Data/balance.json: weapons[id=howitzer] (lớp B trên 01_chien_dau/Vu_khi)</t>
        </is>
      </c>
      <c r="BC150" t="inlineStr"/>
    </row>
    <row r="151">
      <c r="A151" t="inlineStr">
        <is>
          <t>howitzer_ext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5.3</v>
      </c>
      <c r="I151">
        <f>Vu_khi!$W$151*MAX(1,$E$151)</f>
        <v/>
      </c>
      <c r="J151" t="n">
        <v>320</v>
      </c>
      <c r="K151">
        <f>IF(Vu_khi!$V$151&gt;0,Vu_khi!$V$151,MIN(28,MAX(10,Vu_khi!$U$151*Vu_khi!$R$151*0.4)))</f>
        <v/>
      </c>
      <c r="L151" t="n">
        <v>21</v>
      </c>
      <c r="M151">
        <f>IF(Vu_khi!$W$151&lt;=0,0,IF(Vu_khi!$U$151&gt;0,$I$151*Vu_khi!$U$151/(MAX(0.05,$G$151)*Vu_khi!$U$151+$K$151),$I$151/MAX(0.05,$G$151)))</f>
        <v/>
      </c>
      <c r="N151" t="n">
        <v>50.39370078740158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</v>
      </c>
      <c r="AC151">
        <f>INDEX(Bang_xuyen_giap!$C$2:$C$7,MIN(6,MAX(1,IF($O$151,MAX(1,2-(Vu_khi!$L$151-2)),2-(Vu_khi!$L$151-2))+1)))</f>
        <v/>
      </c>
      <c r="AD151" t="n">
        <v>1</v>
      </c>
      <c r="AE151">
        <f>INDEX(Bang_xuyen_giap!$C$2:$C$7,MIN(6,MAX(1,IF($O$151,MAX(1,2-(Vu_khi!$L$151-4)),2-(Vu_khi!$L$151-4))+1)))</f>
        <v/>
      </c>
      <c r="AF151" t="n">
        <v>0.5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50.39370078740158</v>
      </c>
      <c r="AK151">
        <f>IF($Q$151,$M$151*$AC$151*$U$151,0)</f>
        <v/>
      </c>
      <c r="AL151" t="n">
        <v>50.39370078740158</v>
      </c>
      <c r="AM151">
        <f>IF($Q$151,$M$151*$AE$151*$U$151,0)</f>
        <v/>
      </c>
      <c r="AN151" t="n">
        <v>25.19685039370079</v>
      </c>
      <c r="AO151">
        <f>IF($Q$151,$M$151*$AC$151*$Y$151,0)</f>
        <v/>
      </c>
      <c r="AP151" t="n">
        <v>75.59055118110237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0.296333</v>
      </c>
      <c r="AZ151" t="inlineStr">
        <is>
          <t>NHANH_QUA;LECH_DOT_1</t>
        </is>
      </c>
      <c r="BA151" t="inlineStr"/>
      <c r="BB151" t="inlineStr">
        <is>
          <t>Assets/MachineBrigade/Resources/Data/balance.json: weapons[id=howitzer_ext] (lớp B trên 01_chien_dau/Vu_khi)</t>
        </is>
      </c>
      <c r="BC151" t="inlineStr"/>
    </row>
    <row r="152">
      <c r="A152" t="inlineStr">
        <is>
          <t>howitzer_fixed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3.9</v>
      </c>
      <c r="I152">
        <f>Vu_khi!$W$152*MAX(1,$E$152)</f>
        <v/>
      </c>
      <c r="J152" t="n">
        <v>320</v>
      </c>
      <c r="K152">
        <f>IF(Vu_khi!$V$152&gt;0,Vu_khi!$V$152,MIN(28,MAX(10,Vu_khi!$U$152*Vu_khi!$R$152*0.4)))</f>
        <v/>
      </c>
      <c r="L152" t="n">
        <v>13</v>
      </c>
      <c r="M152">
        <f>IF(Vu_khi!$W$152&lt;=0,0,IF(Vu_khi!$U$152&gt;0,$I$152*Vu_khi!$U$152/(MAX(0.05,$G$152)*Vu_khi!$U$152+$K$152),$I$152/MAX(0.05,$G$152)))</f>
        <v/>
      </c>
      <c r="N152" t="n">
        <v>70.32967032967034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</v>
      </c>
      <c r="AC152">
        <f>INDEX(Bang_xuyen_giap!$C$2:$C$7,MIN(6,MAX(1,IF($O$152,MAX(1,2-(Vu_khi!$L$152-2)),2-(Vu_khi!$L$152-2))+1)))</f>
        <v/>
      </c>
      <c r="AD152" t="n">
        <v>1</v>
      </c>
      <c r="AE152">
        <f>INDEX(Bang_xuyen_giap!$C$2:$C$7,MIN(6,MAX(1,IF($O$152,MAX(1,2-(Vu_khi!$L$152-4)),2-(Vu_khi!$L$152-4))+1)))</f>
        <v/>
      </c>
      <c r="AF152" t="n">
        <v>0.5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70.32967032967034</v>
      </c>
      <c r="AK152">
        <f>IF($Q$152,$M$152*$AC$152*$U$152,0)</f>
        <v/>
      </c>
      <c r="AL152" t="n">
        <v>70.32967032967034</v>
      </c>
      <c r="AM152">
        <f>IF($Q$152,$M$152*$AE$152*$U$152,0)</f>
        <v/>
      </c>
      <c r="AN152" t="n">
        <v>35.16483516483517</v>
      </c>
      <c r="AO152">
        <f>IF($Q$152,$M$152*$AC$152*$Y$152,0)</f>
        <v/>
      </c>
      <c r="AP152" t="n">
        <v>105.4945054945055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0.212333</v>
      </c>
      <c r="AZ152" t="inlineStr">
        <is>
          <t>NHANH_QUA</t>
        </is>
      </c>
      <c r="BA152" t="inlineStr"/>
      <c r="BB152" t="inlineStr">
        <is>
          <t>Assets/MachineBrigade/Resources/Data/balance.json: weapons[id=howitzer_fixed] (lớp B trên 01_chien_dau/Vu_khi)</t>
        </is>
      </c>
      <c r="BC152" t="inlineStr"/>
    </row>
    <row r="153">
      <c r="A153" t="inlineStr">
        <is>
          <t>howitzer_fixed_guided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3.9</v>
      </c>
      <c r="I153">
        <f>Vu_khi!$W$153*MAX(1,$E$153)</f>
        <v/>
      </c>
      <c r="J153" t="n">
        <v>320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70.32967032967034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</v>
      </c>
      <c r="AC153">
        <f>INDEX(Bang_xuyen_giap!$C$2:$C$7,MIN(6,MAX(1,IF($O$153,MAX(1,2-(Vu_khi!$L$153-2)),2-(Vu_khi!$L$153-2))+1)))</f>
        <v/>
      </c>
      <c r="AD153" t="n">
        <v>1</v>
      </c>
      <c r="AE153">
        <f>INDEX(Bang_xuyen_giap!$C$2:$C$7,MIN(6,MAX(1,IF($O$153,MAX(1,2-(Vu_khi!$L$153-4)),2-(Vu_khi!$L$153-4))+1)))</f>
        <v/>
      </c>
      <c r="AF153" t="n">
        <v>0.5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70.32967032967034</v>
      </c>
      <c r="AK153">
        <f>IF($Q$153,$M$153*$AC$153*$U$153,0)</f>
        <v/>
      </c>
      <c r="AL153" t="n">
        <v>70.32967032967034</v>
      </c>
      <c r="AM153">
        <f>IF($Q$153,$M$153*$AE$153*$U$153,0)</f>
        <v/>
      </c>
      <c r="AN153" t="n">
        <v>35.16483516483517</v>
      </c>
      <c r="AO153">
        <f>IF($Q$153,$M$153*$AC$153*$Y$153,0)</f>
        <v/>
      </c>
      <c r="AP153" t="n">
        <v>105.4945054945055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BB153" t="inlineStr">
        <is>
          <t>Assets/MachineBrigade/Resources/Data/balance.json: weapons[id=howitzer_fixed_guided] (lớp B trên 01_chien_dau/Vu_khi)</t>
        </is>
      </c>
      <c r="BC153" t="inlineStr"/>
    </row>
    <row r="154">
      <c r="A154" t="inlineStr">
        <is>
          <t>howitzer_guided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7.1429</v>
      </c>
      <c r="I154">
        <f>Vu_khi!$W$154*MAX(1,$E$154)</f>
        <v/>
      </c>
      <c r="J154" t="n">
        <v>320</v>
      </c>
      <c r="K154">
        <f>IF(Vu_khi!$V$154&gt;0,Vu_khi!$V$154,MIN(28,MAX(10,Vu_khi!$U$154*Vu_khi!$R$154*0.4)))</f>
        <v/>
      </c>
      <c r="L154" t="n">
        <v>33.49</v>
      </c>
      <c r="M154">
        <f>IF(Vu_khi!$W$154&lt;=0,0,IF(Vu_khi!$U$154&gt;0,$I$154*Vu_khi!$U$154/(MAX(0.05,$G$154)*Vu_khi!$U$154+$K$154),$I$154/MAX(0.05,$G$154)))</f>
        <v/>
      </c>
      <c r="N154" t="n">
        <v>36.29187742418399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1.5</v>
      </c>
      <c r="AA154">
        <f>INDEX(Bang_xuyen_giap!$C$2:$C$7,MIN(6,MAX(1,IF($O$154,MAX(1,2-(Vu_khi!$L$154-0)),2-(Vu_khi!$L$154-0))+1)))</f>
        <v/>
      </c>
      <c r="AB154" t="n">
        <v>1</v>
      </c>
      <c r="AC154">
        <f>INDEX(Bang_xuyen_giap!$C$2:$C$7,MIN(6,MAX(1,IF($O$154,MAX(1,2-(Vu_khi!$L$154-2)),2-(Vu_khi!$L$154-2))+1)))</f>
        <v/>
      </c>
      <c r="AD154" t="n">
        <v>1</v>
      </c>
      <c r="AE154">
        <f>INDEX(Bang_xuyen_giap!$C$2:$C$7,MIN(6,MAX(1,IF($O$154,MAX(1,2-(Vu_khi!$L$154-4)),2-(Vu_khi!$L$154-4))+1)))</f>
        <v/>
      </c>
      <c r="AF154" t="n">
        <v>0.5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36.29187742418399</v>
      </c>
      <c r="AK154">
        <f>IF($Q$154,$M$154*$AC$154*$U$154,0)</f>
        <v/>
      </c>
      <c r="AL154" t="n">
        <v>36.29187742418399</v>
      </c>
      <c r="AM154">
        <f>IF($Q$154,$M$154*$AE$154*$U$154,0)</f>
        <v/>
      </c>
      <c r="AN154" t="n">
        <v>18.145938712092</v>
      </c>
      <c r="AO154">
        <f>IF($Q$154,$M$154*$AC$154*$Y$154,0)</f>
        <v/>
      </c>
      <c r="AP154" t="n">
        <v>54.43781613627599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weapons[id=howitzer_guided] (lớp B trên 01_chien_dau/Vu_khi)</t>
        </is>
      </c>
      <c r="BC154" t="inlineStr"/>
    </row>
    <row r="155">
      <c r="A155" t="inlineStr">
        <is>
          <t>hq_flak</t>
        </is>
      </c>
      <c r="B155" t="n">
        <v>1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120</v>
      </c>
      <c r="G155">
        <f>IF(Vu_khi!$S$155&gt;0,(Vu_khi!$S$155-1)*Vu_khi!$R$155+Vu_khi!$T$155,Vu_khi!$R$155+(Vu_khi!$P$155-1)*Vu_khi!$Q$155)</f>
        <v/>
      </c>
      <c r="H155" t="n">
        <v>6.432</v>
      </c>
      <c r="I155">
        <f>Vu_khi!$W$155*MAX(1,$E$155)</f>
        <v/>
      </c>
      <c r="J155" t="n">
        <v>900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139.9253731343283</v>
      </c>
      <c r="O155">
        <f>OR(Vu_khi!$AG$155,Vu_khi!$AB$155&gt;0,Vu_khi!$AH$155,Vu_khi!$M$155="Bomb",Vu_khi!$M$155="Drone")</f>
        <v/>
      </c>
      <c r="P155" t="b">
        <v>0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1</v>
      </c>
      <c r="U155">
        <f>INDEX(Bang_sat_thuong!$B$2:$B$7,MATCH(Vu_khi!$K$155,Bang_sat_thuong!$A$2:$A$7,0))</f>
        <v/>
      </c>
      <c r="V155" t="n">
        <v>0.5</v>
      </c>
      <c r="W155">
        <f>INDEX(Bang_sat_thuong!$C$2:$C$7,MATCH(Vu_khi!$K$155,Bang_sat_thuong!$A$2:$A$7,0))</f>
        <v/>
      </c>
      <c r="X155" t="n">
        <v>1.3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0.1</v>
      </c>
      <c r="AA155">
        <f>INDEX(Bang_xuyen_giap!$C$2:$C$7,MIN(6,MAX(1,IF($O$155,MAX(1,2-(Vu_khi!$L$155-0)),2-(Vu_khi!$L$155-0))+1)))</f>
        <v/>
      </c>
      <c r="AB155" t="n">
        <v>1.2</v>
      </c>
      <c r="AC155">
        <f>INDEX(Bang_xuyen_giap!$C$2:$C$7,MIN(6,MAX(1,IF($O$155,MAX(1,2-(Vu_khi!$L$155-2)),2-(Vu_khi!$L$155-2))+1)))</f>
        <v/>
      </c>
      <c r="AD155" t="n">
        <v>0.85</v>
      </c>
      <c r="AE155">
        <f>INDEX(Bang_xuyen_giap!$C$2:$C$7,MIN(6,MAX(1,IF($O$155,MAX(1,2-(Vu_khi!$L$155-4)),2-(Vu_khi!$L$155-4))+1)))</f>
        <v/>
      </c>
      <c r="AF155" t="n">
        <v>0.25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83.955223880597</v>
      </c>
      <c r="AK155">
        <f>IF($Q$155,$M$155*$AC$155*$U$155,0)</f>
        <v/>
      </c>
      <c r="AL155" t="n">
        <v>59.46828358208954</v>
      </c>
      <c r="AM155">
        <f>IF($Q$155,$M$155*$AE$155*$U$155,0)</f>
        <v/>
      </c>
      <c r="AN155" t="n">
        <v>17.49067164179104</v>
      </c>
      <c r="AO155">
        <f>IF($Q$155,$M$155*$AC$155*$Y$155,0)</f>
        <v/>
      </c>
      <c r="AP155" t="n">
        <v>11.89365671641791</v>
      </c>
      <c r="AQ155">
        <f>IF($S$155,$M$155*$AG$155*$W$155,0)</f>
        <v/>
      </c>
      <c r="AR155" t="n">
        <v>181.9029850746269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1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AY155" t="n">
        <v>4.466667</v>
      </c>
      <c r="AZ155" t="inlineStr">
        <is>
          <t>ok</t>
        </is>
      </c>
      <c r="BA155" t="inlineStr"/>
      <c r="BB155" t="inlineStr">
        <is>
          <t>Assets/MachineBrigade/Resources/Data/balance.json: weapons[id=hq_flak] (lớp B trên 01_chien_dau/Vu_khi)</t>
        </is>
      </c>
      <c r="BC155" t="inlineStr"/>
    </row>
    <row r="156">
      <c r="A156" t="inlineStr">
        <is>
          <t>hq_flak_ap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0.6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0.85</v>
      </c>
      <c r="AE156">
        <f>INDEX(Bang_xuyen_giap!$C$2:$C$7,MIN(6,MAX(1,IF($O$156,MAX(1,2-(Vu_khi!$L$156-4)),2-(Vu_khi!$L$156-4))+1)))</f>
        <v/>
      </c>
      <c r="AF156" t="n">
        <v>0.25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167.910447761194</v>
      </c>
      <c r="AK156">
        <f>IF($Q$156,$M$156*$AC$156*$U$156,0)</f>
        <v/>
      </c>
      <c r="AL156" t="n">
        <v>118.9365671641791</v>
      </c>
      <c r="AM156">
        <f>IF($Q$156,$M$156*$AE$156*$U$156,0)</f>
        <v/>
      </c>
      <c r="AN156" t="n">
        <v>34.98134328358208</v>
      </c>
      <c r="AO156">
        <f>IF($Q$156,$M$156*$AC$156*$Y$156,0)</f>
        <v/>
      </c>
      <c r="AP156" t="n">
        <v>71.36194029850745</v>
      </c>
      <c r="AQ156">
        <f>IF($S$156,$M$156*$AG$156*$W$156,0)</f>
        <v/>
      </c>
      <c r="AR156" t="n">
        <v>0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BB156" t="inlineStr">
        <is>
          <t>Assets/MachineBrigade/Resources/Data/balance.json: weapons[id=hq_flak_ap] (lớp B trên 01_chien_dau/Vu_khi)</t>
        </is>
      </c>
      <c r="BC156" t="inlineStr"/>
    </row>
    <row r="157">
      <c r="A157" t="inlineStr">
        <is>
          <t>ifv_30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10</v>
      </c>
      <c r="G157">
        <f>IF(Vu_khi!$S$157&gt;0,(Vu_khi!$S$157-1)*Vu_khi!$R$157+Vu_khi!$T$157,Vu_khi!$R$157+(Vu_khi!$P$157-1)*Vu_khi!$Q$157)</f>
        <v/>
      </c>
      <c r="H157" t="n">
        <v>2.611</v>
      </c>
      <c r="I157">
        <f>Vu_khi!$W$157*MAX(1,$E$157)</f>
        <v/>
      </c>
      <c r="J157" t="n">
        <v>220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84.25890463423977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101.1106855610877</v>
      </c>
      <c r="AK157">
        <f>IF($Q$157,$M$157*$AC$157*$U$157,0)</f>
        <v/>
      </c>
      <c r="AL157" t="n">
        <v>71.6200689391038</v>
      </c>
      <c r="AM157">
        <f>IF($Q$157,$M$157*$AE$157*$U$157,0)</f>
        <v/>
      </c>
      <c r="AN157" t="n">
        <v>21.06472615855994</v>
      </c>
      <c r="AO157">
        <f>IF($Q$157,$M$157*$AC$157*$Y$157,0)</f>
        <v/>
      </c>
      <c r="AP157" t="n">
        <v>42.97204136346228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AY157" t="n">
        <v>3.481333</v>
      </c>
      <c r="AZ157" t="inlineStr">
        <is>
          <t>ok</t>
        </is>
      </c>
      <c r="BA157" t="inlineStr"/>
      <c r="BB157" t="inlineStr">
        <is>
          <t>Assets/MachineBrigade/Resources/Data/balance.json: weapons[id=ifv_30] (lớp B trên 01_chien_dau/Vu_khi)</t>
        </is>
      </c>
      <c r="BC157" t="inlineStr"/>
    </row>
    <row r="158">
      <c r="A158" t="inlineStr">
        <is>
          <t>ifv_30_flak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10</v>
      </c>
      <c r="G158">
        <f>IF(Vu_khi!$S$158&gt;0,(Vu_khi!$S$158-1)*Vu_khi!$R$158+Vu_khi!$T$158,Vu_khi!$R$158+(Vu_khi!$P$158-1)*Vu_khi!$Q$158)</f>
        <v/>
      </c>
      <c r="H158" t="n">
        <v>2.611</v>
      </c>
      <c r="I158">
        <f>Vu_khi!$W$158*MAX(1,$E$158)</f>
        <v/>
      </c>
      <c r="J158" t="n">
        <v>220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84.25890463423977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0</v>
      </c>
      <c r="S158">
        <f>AND(NOT(Vu_khi!$AJ$158),OR(Vu_khi!$AC$158="Air",Vu_khi!$AC$158="All"))</f>
        <v/>
      </c>
      <c r="T158" t="b">
        <v>1</v>
      </c>
      <c r="U158">
        <f>INDEX(Bang_sat_thuong!$B$2:$B$7,MATCH(Vu_khi!$K$158,Bang_sat_thuong!$A$2:$A$7,0))</f>
        <v/>
      </c>
      <c r="V158" t="n">
        <v>0.5</v>
      </c>
      <c r="W158">
        <f>INDEX(Bang_sat_thuong!$C$2:$C$7,MATCH(Vu_khi!$K$158,Bang_sat_thuong!$A$2:$A$7,0))</f>
        <v/>
      </c>
      <c r="X158" t="n">
        <v>1.3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0.1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0.85</v>
      </c>
      <c r="AE158">
        <f>INDEX(Bang_xuyen_giap!$C$2:$C$7,MIN(6,MAX(1,IF($O$158,MAX(1,2-(Vu_khi!$L$158-4)),2-(Vu_khi!$L$158-4))+1)))</f>
        <v/>
      </c>
      <c r="AF158" t="n">
        <v>0.25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0</v>
      </c>
      <c r="AK158">
        <f>IF($Q$158,$M$158*$AC$158*$U$158,0)</f>
        <v/>
      </c>
      <c r="AL158" t="n">
        <v>0</v>
      </c>
      <c r="AM158">
        <f>IF($Q$158,$M$158*$AE$158*$U$158,0)</f>
        <v/>
      </c>
      <c r="AN158" t="n">
        <v>0</v>
      </c>
      <c r="AO158">
        <f>IF($Q$158,$M$158*$AC$158*$Y$158,0)</f>
        <v/>
      </c>
      <c r="AP158" t="n">
        <v>0</v>
      </c>
      <c r="AQ158">
        <f>IF($S$158,$M$158*$AG$158*$W$158,0)</f>
        <v/>
      </c>
      <c r="AR158" t="n">
        <v>109.5365760245117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1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0</v>
      </c>
      <c r="BB158" t="inlineStr">
        <is>
          <t>Assets/MachineBrigade/Resources/Data/balance.json: weapons[id=ifv_30_flak] (lớp B trên 01_chien_dau/Vu_khi)</t>
        </is>
      </c>
      <c r="BC158" t="inlineStr"/>
    </row>
    <row r="159">
      <c r="A159" t="inlineStr">
        <is>
          <t>igla_v</t>
        </is>
      </c>
      <c r="B159" t="n">
        <v>2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</v>
      </c>
      <c r="G159">
        <f>IF(Vu_khi!$S$159&gt;0,(Vu_khi!$S$159-1)*Vu_khi!$R$159+Vu_khi!$T$159,Vu_khi!$R$159+(Vu_khi!$P$159-1)*Vu_khi!$Q$159)</f>
        <v/>
      </c>
      <c r="H159" t="n">
        <v>8.33</v>
      </c>
      <c r="I159">
        <f>Vu_khi!$W$159*MAX(1,$E$159)</f>
        <v/>
      </c>
      <c r="J159" t="n">
        <v>150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18.00720288115246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0</v>
      </c>
      <c r="S159">
        <f>AND(NOT(Vu_khi!$AJ$159),OR(Vu_khi!$AC$159="Air",Vu_khi!$AC$159="All"))</f>
        <v/>
      </c>
      <c r="T159" t="b">
        <v>1</v>
      </c>
      <c r="U159">
        <f>INDEX(Bang_sat_thuong!$B$2:$B$7,MATCH(Vu_khi!$K$159,Bang_sat_thuong!$A$2:$A$7,0))</f>
        <v/>
      </c>
      <c r="V159" t="n">
        <v>0.5</v>
      </c>
      <c r="W159">
        <f>INDEX(Bang_sat_thuong!$C$2:$C$7,MATCH(Vu_khi!$K$159,Bang_sat_thuong!$A$2:$A$7,0))</f>
        <v/>
      </c>
      <c r="X159" t="n">
        <v>1.3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0.1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0</v>
      </c>
      <c r="AK159">
        <f>IF($Q$159,$M$159*$AC$159*$U$159,0)</f>
        <v/>
      </c>
      <c r="AL159" t="n">
        <v>0</v>
      </c>
      <c r="AM159">
        <f>IF($Q$159,$M$159*$AE$159*$U$159,0)</f>
        <v/>
      </c>
      <c r="AN159" t="n">
        <v>0</v>
      </c>
      <c r="AO159">
        <f>IF($Q$159,$M$159*$AC$159*$Y$159,0)</f>
        <v/>
      </c>
      <c r="AP159" t="n">
        <v>0</v>
      </c>
      <c r="AQ159">
        <f>IF($S$159,$M$159*$AG$159*$W$159,0)</f>
        <v/>
      </c>
      <c r="AR159" t="n">
        <v>23.4093637454982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2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inlineStr"/>
      <c r="AZ159" t="inlineStr">
        <is>
          <t>ok</t>
        </is>
      </c>
      <c r="BA159" t="inlineStr"/>
      <c r="BB159" t="inlineStr">
        <is>
          <t>Assets/MachineBrigade/Resources/Data/balance.json: weapons[id=igla_v] (lớp B trên 01_chien_dau/Vu_khi)</t>
        </is>
      </c>
      <c r="BC159" t="inlineStr"/>
    </row>
    <row r="160">
      <c r="A160" t="inlineStr">
        <is>
          <t>illum_flare</t>
        </is>
      </c>
      <c r="B160" t="n">
        <v>0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</v>
      </c>
      <c r="G160">
        <f>IF(Vu_khi!$S$160&gt;0,(Vu_khi!$S$160-1)*Vu_khi!$R$160+Vu_khi!$T$160,Vu_khi!$R$160+(Vu_khi!$P$160-1)*Vu_khi!$Q$160)</f>
        <v/>
      </c>
      <c r="H160" t="n">
        <v>15</v>
      </c>
      <c r="I160">
        <f>Vu_khi!$W$160*MAX(1,$E$160)</f>
        <v/>
      </c>
      <c r="J160" t="n">
        <v>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0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1.5</v>
      </c>
      <c r="AA160">
        <f>INDEX(Bang_xuyen_giap!$C$2:$C$7,MIN(6,MAX(1,IF($O$160,MAX(1,2-(Vu_khi!$L$160-0)),2-(Vu_khi!$L$160-0))+1)))</f>
        <v/>
      </c>
      <c r="AB160" t="n">
        <v>0.85</v>
      </c>
      <c r="AC160">
        <f>INDEX(Bang_xuyen_giap!$C$2:$C$7,MIN(6,MAX(1,IF($O$160,MAX(1,2-(Vu_khi!$L$160-2)),2-(Vu_khi!$L$160-2))+1)))</f>
        <v/>
      </c>
      <c r="AD160" t="n">
        <v>0.25</v>
      </c>
      <c r="AE160">
        <f>INDEX(Bang_xuyen_giap!$C$2:$C$7,MIN(6,MAX(1,IF($O$160,MAX(1,2-(Vu_khi!$L$160-4)),2-(Vu_khi!$L$160-4))+1)))</f>
        <v/>
      </c>
      <c r="AF160" t="n">
        <v>0.1</v>
      </c>
      <c r="AG160">
        <f>INDEX(Bang_xuyen_giap!$C$2:$C$7,MIN(6,MAX(1,MAX(1,2-(Vu_khi!$L$160-0))+1)))</f>
        <v/>
      </c>
      <c r="AH160" t="n">
        <v>0.85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0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0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AY160" t="inlineStr"/>
      <c r="AZ160" t="inlineStr">
        <is>
          <t>ok</t>
        </is>
      </c>
      <c r="BA160" t="inlineStr"/>
      <c r="BB160" t="inlineStr">
        <is>
          <t>Assets/MachineBrigade/Resources/Data/balance.json: weapons[id=illum_flare] (lớp B trên 01_chien_dau/Vu_khi)</t>
        </is>
      </c>
      <c r="BC160" t="inlineStr"/>
    </row>
    <row r="161">
      <c r="A161" t="inlineStr">
        <is>
          <t>jassm</t>
        </is>
      </c>
      <c r="B161" t="n">
        <v>4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2</v>
      </c>
      <c r="G161">
        <f>IF(Vu_khi!$S$161&gt;0,(Vu_khi!$S$161-1)*Vu_khi!$R$161+Vu_khi!$T$161,Vu_khi!$R$161+(Vu_khi!$P$161-1)*Vu_khi!$Q$161)</f>
        <v/>
      </c>
      <c r="H161" t="n">
        <v>10.44</v>
      </c>
      <c r="I161">
        <f>Vu_khi!$W$161*MAX(1,$E$161)</f>
        <v/>
      </c>
      <c r="J161" t="n">
        <v>820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78.544061302682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</v>
      </c>
      <c r="W161">
        <f>INDEX(Bang_sat_thuong!$C$2:$C$7,MATCH(Vu_khi!$K$161,Bang_sat_thuong!$A$2:$A$7,0))</f>
        <v/>
      </c>
      <c r="X161" t="n">
        <v>0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1.5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1</v>
      </c>
      <c r="AE161">
        <f>INDEX(Bang_xuyen_giap!$C$2:$C$7,MIN(6,MAX(1,IF($O$161,MAX(1,2-(Vu_khi!$L$161-4)),2-(Vu_khi!$L$161-4))+1)))</f>
        <v/>
      </c>
      <c r="AF161" t="n">
        <v>0.5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94.25287356321839</v>
      </c>
      <c r="AK161">
        <f>IF($Q$161,$M$161*$AC$161*$U$161,0)</f>
        <v/>
      </c>
      <c r="AL161" t="n">
        <v>78.544061302682</v>
      </c>
      <c r="AM161">
        <f>IF($Q$161,$M$161*$AE$161*$U$161,0)</f>
        <v/>
      </c>
      <c r="AN161" t="n">
        <v>39.272030651341</v>
      </c>
      <c r="AO161">
        <f>IF($Q$161,$M$161*$AC$161*$Y$161,0)</f>
        <v/>
      </c>
      <c r="AP161" t="n">
        <v>117.816091954023</v>
      </c>
      <c r="AQ161">
        <f>IF($S$161,$M$161*$AG$161*$W$161,0)</f>
        <v/>
      </c>
      <c r="AR161" t="n">
        <v>0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4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2.5</v>
      </c>
      <c r="AY161" t="n">
        <v>0.2</v>
      </c>
      <c r="AZ161" t="inlineStr">
        <is>
          <t>NHANH_QUA</t>
        </is>
      </c>
      <c r="BA161" t="inlineStr"/>
      <c r="BB161" t="inlineStr">
        <is>
          <t>Assets/MachineBrigade/Resources/Data/balance.json: weapons[id=jassm] (lớp B trên 01_chien_dau/Vu_khi)</t>
        </is>
      </c>
      <c r="BC161" t="inlineStr"/>
    </row>
    <row r="162">
      <c r="A162" t="inlineStr">
        <is>
          <t>jet_bombs</t>
        </is>
      </c>
      <c r="B162" t="n">
        <v>3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2</v>
      </c>
      <c r="G162">
        <f>IF(Vu_khi!$S$162&gt;0,(Vu_khi!$S$162-1)*Vu_khi!$R$162+Vu_khi!$T$162,Vu_khi!$R$162+(Vu_khi!$P$162-1)*Vu_khi!$Q$162)</f>
        <v/>
      </c>
      <c r="H162" t="n">
        <v>10.3</v>
      </c>
      <c r="I162">
        <f>Vu_khi!$W$162*MAX(1,$E$162)</f>
        <v/>
      </c>
      <c r="J162" t="n">
        <v>620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60.19417475728155</v>
      </c>
      <c r="O162">
        <f>OR(Vu_khi!$AG$162,Vu_khi!$AB$162&gt;0,Vu_khi!$AH$162,Vu_khi!$M$162="Bomb",Vu_khi!$M$162="Drone")</f>
        <v/>
      </c>
      <c r="P162" t="b">
        <v>1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1</v>
      </c>
      <c r="AC162">
        <f>INDEX(Bang_xuyen_giap!$C$2:$C$7,MIN(6,MAX(1,IF($O$162,MAX(1,2-(Vu_khi!$L$162-2)),2-(Vu_khi!$L$162-2))+1)))</f>
        <v/>
      </c>
      <c r="AD162" t="n">
        <v>0.85</v>
      </c>
      <c r="AE162">
        <f>INDEX(Bang_xuyen_giap!$C$2:$C$7,MIN(6,MAX(1,IF($O$162,MAX(1,2-(Vu_khi!$L$162-4)),2-(Vu_khi!$L$162-4))+1)))</f>
        <v/>
      </c>
      <c r="AF162" t="n">
        <v>0.25</v>
      </c>
      <c r="AG162">
        <f>INDEX(Bang_xuyen_giap!$C$2:$C$7,MIN(6,MAX(1,MAX(1,2-(Vu_khi!$L$162-0))+1)))</f>
        <v/>
      </c>
      <c r="AH162" t="n">
        <v>1</v>
      </c>
      <c r="AI162">
        <f>IF($Q$162,$M$162*$AA$162*$U$162,0)</f>
        <v/>
      </c>
      <c r="AJ162" t="n">
        <v>60.19417475728155</v>
      </c>
      <c r="AK162">
        <f>IF($Q$162,$M$162*$AC$162*$U$162,0)</f>
        <v/>
      </c>
      <c r="AL162" t="n">
        <v>51.16504854368932</v>
      </c>
      <c r="AM162">
        <f>IF($Q$162,$M$162*$AE$162*$U$162,0)</f>
        <v/>
      </c>
      <c r="AN162" t="n">
        <v>15.04854368932039</v>
      </c>
      <c r="AO162">
        <f>IF($Q$162,$M$162*$AC$162*$Y$162,0)</f>
        <v/>
      </c>
      <c r="AP162" t="n">
        <v>76.74757281553397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3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n">
        <v>2.5</v>
      </c>
      <c r="AZ162" t="inlineStr">
        <is>
          <t>ok</t>
        </is>
      </c>
      <c r="BA162" t="inlineStr"/>
      <c r="BB162" t="inlineStr">
        <is>
          <t>Assets/MachineBrigade/Resources/Data/balance.json: weapons[id=jet_bombs] (lớp B trên 01_chien_dau/Vu_khi)</t>
        </is>
      </c>
      <c r="BC162" t="inlineStr"/>
    </row>
    <row r="163">
      <c r="A163" t="inlineStr">
        <is>
          <t>jet_cannon</t>
        </is>
      </c>
      <c r="B163" t="n">
        <v>1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70</v>
      </c>
      <c r="G163">
        <f>IF(Vu_khi!$S$163&gt;0,(Vu_khi!$S$163-1)*Vu_khi!$R$163+Vu_khi!$T$163,Vu_khi!$R$163+(Vu_khi!$P$163-1)*Vu_khi!$Q$163)</f>
        <v/>
      </c>
      <c r="H163" t="n">
        <v>5.182</v>
      </c>
      <c r="I163">
        <f>Vu_khi!$W$163*MAX(1,$E$163)</f>
        <v/>
      </c>
      <c r="J163" t="n">
        <v>1610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310.690852952528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0.3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0.6</v>
      </c>
      <c r="AA163">
        <f>INDEX(Bang_xuyen_giap!$C$2:$C$7,MIN(6,MAX(1,IF($O$163,MAX(1,2-(Vu_khi!$L$163-0)),2-(Vu_khi!$L$163-0))+1)))</f>
        <v/>
      </c>
      <c r="AB163" t="n">
        <v>1.2</v>
      </c>
      <c r="AC163">
        <f>INDEX(Bang_xuyen_giap!$C$2:$C$7,MIN(6,MAX(1,IF($O$163,MAX(1,2-(Vu_khi!$L$163-2)),2-(Vu_khi!$L$163-2))+1)))</f>
        <v/>
      </c>
      <c r="AD163" t="n">
        <v>0.85</v>
      </c>
      <c r="AE163">
        <f>INDEX(Bang_xuyen_giap!$C$2:$C$7,MIN(6,MAX(1,IF($O$163,MAX(1,2-(Vu_khi!$L$163-4)),2-(Vu_khi!$L$163-4))+1)))</f>
        <v/>
      </c>
      <c r="AF163" t="n">
        <v>0.25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372.8290235430335</v>
      </c>
      <c r="AK163">
        <f>IF($Q$163,$M$163*$AC$163*$U$163,0)</f>
        <v/>
      </c>
      <c r="AL163" t="n">
        <v>264.0872250096488</v>
      </c>
      <c r="AM163">
        <f>IF($Q$163,$M$163*$AE$163*$U$163,0)</f>
        <v/>
      </c>
      <c r="AN163" t="n">
        <v>77.67271323813199</v>
      </c>
      <c r="AO163">
        <f>IF($Q$163,$M$163*$AC$163*$Y$163,0)</f>
        <v/>
      </c>
      <c r="AP163" t="n">
        <v>158.4523350057893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1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0</v>
      </c>
      <c r="AY163" t="n">
        <v>3.701429</v>
      </c>
      <c r="AZ163" t="inlineStr">
        <is>
          <t>ok</t>
        </is>
      </c>
      <c r="BA163" t="inlineStr"/>
      <c r="BB163" t="inlineStr">
        <is>
          <t>Assets/MachineBrigade/Resources/Data/balance.json: weapons[id=jet_cannon] (lớp B trên 01_chien_dau/Vu_khi)</t>
        </is>
      </c>
      <c r="BC163" t="inlineStr"/>
    </row>
    <row r="164">
      <c r="A164" t="inlineStr">
        <is>
          <t>jet_cannon_flak</t>
        </is>
      </c>
      <c r="B164" t="n">
        <v>1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70</v>
      </c>
      <c r="G164">
        <f>IF(Vu_khi!$S$164&gt;0,(Vu_khi!$S$164-1)*Vu_khi!$R$164+Vu_khi!$T$164,Vu_khi!$R$164+(Vu_khi!$P$164-1)*Vu_khi!$Q$164)</f>
        <v/>
      </c>
      <c r="H164" t="n">
        <v>5.182</v>
      </c>
      <c r="I164">
        <f>Vu_khi!$W$164*MAX(1,$E$164)</f>
        <v/>
      </c>
      <c r="J164" t="n">
        <v>1610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310.690852952528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0</v>
      </c>
      <c r="S164">
        <f>AND(NOT(Vu_khi!$AJ$164),OR(Vu_khi!$AC$164="Air",Vu_khi!$AC$164="All"))</f>
        <v/>
      </c>
      <c r="T164" t="b">
        <v>1</v>
      </c>
      <c r="U164">
        <f>INDEX(Bang_sat_thuong!$B$2:$B$7,MATCH(Vu_khi!$K$164,Bang_sat_thuong!$A$2:$A$7,0))</f>
        <v/>
      </c>
      <c r="V164" t="n">
        <v>0.5</v>
      </c>
      <c r="W164">
        <f>INDEX(Bang_sat_thuong!$C$2:$C$7,MATCH(Vu_khi!$K$164,Bang_sat_thuong!$A$2:$A$7,0))</f>
        <v/>
      </c>
      <c r="X164" t="n">
        <v>1.3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0.1</v>
      </c>
      <c r="AA164">
        <f>INDEX(Bang_xuyen_giap!$C$2:$C$7,MIN(6,MAX(1,IF($O$164,MAX(1,2-(Vu_khi!$L$164-0)),2-(Vu_khi!$L$164-0))+1)))</f>
        <v/>
      </c>
      <c r="AB164" t="n">
        <v>1.2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0</v>
      </c>
      <c r="AK164">
        <f>IF($Q$164,$M$164*$AC$164*$U$164,0)</f>
        <v/>
      </c>
      <c r="AL164" t="n">
        <v>0</v>
      </c>
      <c r="AM164">
        <f>IF($Q$164,$M$164*$AE$164*$U$164,0)</f>
        <v/>
      </c>
      <c r="AN164" t="n">
        <v>0</v>
      </c>
      <c r="AO164">
        <f>IF($Q$164,$M$164*$AC$164*$Y$164,0)</f>
        <v/>
      </c>
      <c r="AP164" t="n">
        <v>0</v>
      </c>
      <c r="AQ164">
        <f>IF($S$164,$M$164*$AG$164*$W$164,0)</f>
        <v/>
      </c>
      <c r="AR164" t="n">
        <v>403.8981088382864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1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BB164" t="inlineStr">
        <is>
          <t>Assets/MachineBrigade/Resources/Data/balance.json: weapons[id=jet_cannon_flak] (lớp B trên 01_chien_dau/Vu_khi)</t>
        </is>
      </c>
      <c r="BC164" t="inlineStr"/>
    </row>
    <row r="165">
      <c r="A165" t="inlineStr">
        <is>
          <t>jet_rockets</t>
        </is>
      </c>
      <c r="B165" t="n">
        <v>2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</v>
      </c>
      <c r="G165">
        <f>IF(Vu_khi!$S$165&gt;0,(Vu_khi!$S$165-1)*Vu_khi!$R$165+Vu_khi!$T$165,Vu_khi!$R$165+(Vu_khi!$P$165-1)*Vu_khi!$Q$165)</f>
        <v/>
      </c>
      <c r="H165" t="n">
        <v>3.03</v>
      </c>
      <c r="I165">
        <f>Vu_khi!$W$165*MAX(1,$E$165)</f>
        <v/>
      </c>
      <c r="J165" t="n">
        <v>210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69.3069306930693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1.5</v>
      </c>
      <c r="AA165">
        <f>INDEX(Bang_xuyen_giap!$C$2:$C$7,MIN(6,MAX(1,IF($O$165,MAX(1,2-(Vu_khi!$L$165-0)),2-(Vu_khi!$L$165-0))+1)))</f>
        <v/>
      </c>
      <c r="AB165" t="n">
        <v>1.2</v>
      </c>
      <c r="AC165">
        <f>INDEX(Bang_xuyen_giap!$C$2:$C$7,MIN(6,MAX(1,IF($O$165,MAX(1,2-(Vu_khi!$L$165-2)),2-(Vu_khi!$L$165-2))+1)))</f>
        <v/>
      </c>
      <c r="AD165" t="n">
        <v>0.85</v>
      </c>
      <c r="AE165">
        <f>INDEX(Bang_xuyen_giap!$C$2:$C$7,MIN(6,MAX(1,IF($O$165,MAX(1,2-(Vu_khi!$L$165-4)),2-(Vu_khi!$L$165-4))+1)))</f>
        <v/>
      </c>
      <c r="AF165" t="n">
        <v>0.25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83.16831683168316</v>
      </c>
      <c r="AK165">
        <f>IF($Q$165,$M$165*$AC$165*$U$165,0)</f>
        <v/>
      </c>
      <c r="AL165" t="n">
        <v>58.91089108910891</v>
      </c>
      <c r="AM165">
        <f>IF($Q$165,$M$165*$AE$165*$U$165,0)</f>
        <v/>
      </c>
      <c r="AN165" t="n">
        <v>17.32673267326733</v>
      </c>
      <c r="AO165">
        <f>IF($Q$165,$M$165*$AC$165*$Y$165,0)</f>
        <v/>
      </c>
      <c r="AP165" t="n">
        <v>88.36633663366335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2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1.2</v>
      </c>
      <c r="AZ165" t="inlineStr">
        <is>
          <t>ok</t>
        </is>
      </c>
      <c r="BA165" t="inlineStr"/>
      <c r="BB165" t="inlineStr">
        <is>
          <t>Assets/MachineBrigade/Resources/Data/balance.json: weapons[id=jet_rockets] (lớp B trên 01_chien_dau/Vu_khi)</t>
        </is>
      </c>
      <c r="BC165" t="inlineStr"/>
    </row>
    <row r="166">
      <c r="A166" t="inlineStr">
        <is>
          <t>kh29</t>
        </is>
      </c>
      <c r="B166" t="n">
        <v>4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1</v>
      </c>
      <c r="G166">
        <f>IF(Vu_khi!$S$166&gt;0,(Vu_khi!$S$166-1)*Vu_khi!$R$166+Vu_khi!$T$166,Vu_khi!$R$166+(Vu_khi!$P$166-1)*Vu_khi!$Q$166)</f>
        <v/>
      </c>
      <c r="H166" t="n">
        <v>7.86</v>
      </c>
      <c r="I166">
        <f>Vu_khi!$W$166*MAX(1,$E$166)</f>
        <v/>
      </c>
      <c r="J166" t="n">
        <v>378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48.09160305343512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0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0.6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1.2</v>
      </c>
      <c r="AE166">
        <f>INDEX(Bang_xuyen_giap!$C$2:$C$7,MIN(6,MAX(1,IF($O$166,MAX(1,2-(Vu_khi!$L$166-4)),2-(Vu_khi!$L$166-4))+1)))</f>
        <v/>
      </c>
      <c r="AF166" t="n">
        <v>0.85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57.70992366412214</v>
      </c>
      <c r="AK166">
        <f>IF($Q$166,$M$166*$AC$166*$U$166,0)</f>
        <v/>
      </c>
      <c r="AL166" t="n">
        <v>57.70992366412214</v>
      </c>
      <c r="AM166">
        <f>IF($Q$166,$M$166*$AE$166*$U$166,0)</f>
        <v/>
      </c>
      <c r="AN166" t="n">
        <v>40.87786259541985</v>
      </c>
      <c r="AO166">
        <f>IF($Q$166,$M$166*$AC$166*$Y$166,0)</f>
        <v/>
      </c>
      <c r="AP166" t="n">
        <v>34.62595419847328</v>
      </c>
      <c r="AQ166">
        <f>IF($S$166,$M$166*$AG$166*$W$166,0)</f>
        <v/>
      </c>
      <c r="AR166" t="n">
        <v>0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4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2.5</v>
      </c>
      <c r="AY166" t="inlineStr"/>
      <c r="AZ166" t="inlineStr">
        <is>
          <t>ok</t>
        </is>
      </c>
      <c r="BA166" t="inlineStr"/>
      <c r="BB166" t="inlineStr">
        <is>
          <t>Assets/MachineBrigade/Resources/Data/balance.json: weapons[id=kh29] (lớp B trên 01_chien_dau/Vu_khi)</t>
        </is>
      </c>
      <c r="BC166" t="inlineStr"/>
    </row>
    <row r="167">
      <c r="A167" t="inlineStr">
        <is>
          <t>kornet_multi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2</v>
      </c>
      <c r="G167">
        <f>IF(Vu_khi!$S$167&gt;0,(Vu_khi!$S$167-1)*Vu_khi!$R$167+Vu_khi!$T$167,Vu_khi!$R$167+(Vu_khi!$P$167-1)*Vu_khi!$Q$167)</f>
        <v/>
      </c>
      <c r="H167" t="n">
        <v>5.55</v>
      </c>
      <c r="I167">
        <f>Vu_khi!$W$167*MAX(1,$E$167)</f>
        <v/>
      </c>
      <c r="J167" t="n">
        <v>460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82.88288288288288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1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0.6</v>
      </c>
      <c r="AA167">
        <f>INDEX(Bang_xuyen_giap!$C$2:$C$7,MIN(6,MAX(1,IF($O$167,MAX(1,2-(Vu_khi!$L$167-0)),2-(Vu_khi!$L$167-0))+1)))</f>
        <v/>
      </c>
      <c r="AB167" t="n">
        <v>1.2</v>
      </c>
      <c r="AC167">
        <f>INDEX(Bang_xuyen_giap!$C$2:$C$7,MIN(6,MAX(1,IF($O$167,MAX(1,2-(Vu_khi!$L$167-2)),2-(Vu_khi!$L$167-2))+1)))</f>
        <v/>
      </c>
      <c r="AD167" t="n">
        <v>1.2</v>
      </c>
      <c r="AE167">
        <f>INDEX(Bang_xuyen_giap!$C$2:$C$7,MIN(6,MAX(1,IF($O$167,MAX(1,2-(Vu_khi!$L$167-4)),2-(Vu_khi!$L$167-4))+1)))</f>
        <v/>
      </c>
      <c r="AF167" t="n">
        <v>0.85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99.45945945945945</v>
      </c>
      <c r="AK167">
        <f>IF($Q$167,$M$167*$AC$167*$U$167,0)</f>
        <v/>
      </c>
      <c r="AL167" t="n">
        <v>99.45945945945945</v>
      </c>
      <c r="AM167">
        <f>IF($Q$167,$M$167*$AE$167*$U$167,0)</f>
        <v/>
      </c>
      <c r="AN167" t="n">
        <v>70.45045045045045</v>
      </c>
      <c r="AO167">
        <f>IF($Q$167,$M$167*$AC$167*$Y$167,0)</f>
        <v/>
      </c>
      <c r="AP167" t="n">
        <v>59.67567567567567</v>
      </c>
      <c r="AQ167">
        <f>IF($S$167,$M$167*$AG$167*$W$167,0)</f>
        <v/>
      </c>
      <c r="AR167" t="n">
        <v>24.86486486486486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0.2775</v>
      </c>
      <c r="AZ167" t="inlineStr">
        <is>
          <t>NHANH_QUA</t>
        </is>
      </c>
      <c r="BA167" t="inlineStr"/>
      <c r="BB167" t="inlineStr">
        <is>
          <t>Assets/MachineBrigade/Resources/Data/balance.json: weapons[id=kornet_multi] (lớp B trên 01_chien_dau/Vu_khi)</t>
        </is>
      </c>
      <c r="BC167" t="inlineStr"/>
    </row>
    <row r="168">
      <c r="A168" t="inlineStr">
        <is>
          <t>kornet_top</t>
        </is>
      </c>
      <c r="B168" t="n">
        <v>2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2</v>
      </c>
      <c r="G168">
        <f>IF(Vu_khi!$S$168&gt;0,(Vu_khi!$S$168-1)*Vu_khi!$R$168+Vu_khi!$T$168,Vu_khi!$R$168+(Vu_khi!$P$168-1)*Vu_khi!$Q$168)</f>
        <v/>
      </c>
      <c r="H168" t="n">
        <v>5.199999999999999</v>
      </c>
      <c r="I168">
        <f>Vu_khi!$W$168*MAX(1,$E$168)</f>
        <v/>
      </c>
      <c r="J168" t="n">
        <v>460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88.46153846153847</v>
      </c>
      <c r="O168">
        <f>OR(Vu_khi!$AG$168,Vu_khi!$AB$168&gt;0,Vu_khi!$AH$168,Vu_khi!$M$168="Bomb",Vu_khi!$M$168="Drone")</f>
        <v/>
      </c>
      <c r="P168" t="b">
        <v>1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</v>
      </c>
      <c r="AC168">
        <f>INDEX(Bang_xuyen_giap!$C$2:$C$7,MIN(6,MAX(1,IF($O$168,MAX(1,2-(Vu_khi!$L$168-2)),2-(Vu_khi!$L$168-2))+1)))</f>
        <v/>
      </c>
      <c r="AD168" t="n">
        <v>1</v>
      </c>
      <c r="AE168">
        <f>INDEX(Bang_xuyen_giap!$C$2:$C$7,MIN(6,MAX(1,IF($O$168,MAX(1,2-(Vu_khi!$L$168-4)),2-(Vu_khi!$L$168-4))+1)))</f>
        <v/>
      </c>
      <c r="AF168" t="n">
        <v>0.85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88.46153846153847</v>
      </c>
      <c r="AK168">
        <f>IF($Q$168,$M$168*$AC$168*$U$168,0)</f>
        <v/>
      </c>
      <c r="AL168" t="n">
        <v>88.46153846153847</v>
      </c>
      <c r="AM168">
        <f>IF($Q$168,$M$168*$AE$168*$U$168,0)</f>
        <v/>
      </c>
      <c r="AN168" t="n">
        <v>75.19230769230769</v>
      </c>
      <c r="AO168">
        <f>IF($Q$168,$M$168*$AC$168*$Y$168,0)</f>
        <v/>
      </c>
      <c r="AP168" t="n">
        <v>53.07692307692308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2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0</v>
      </c>
      <c r="AY168" t="n">
        <v>0.26</v>
      </c>
      <c r="AZ168" t="inlineStr">
        <is>
          <t>NHANH_QUA</t>
        </is>
      </c>
      <c r="BA168" t="inlineStr"/>
      <c r="BB168" t="inlineStr">
        <is>
          <t>Assets/MachineBrigade/Resources/Data/balance.json: weapons[id=kornet_top] (lớp B trên 01_chien_dau/Vu_khi)</t>
        </is>
      </c>
      <c r="BC168" t="inlineStr"/>
    </row>
    <row r="169">
      <c r="A169" t="inlineStr">
        <is>
          <t>kornet_twin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11.11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41.40414041404141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0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1.2</v>
      </c>
      <c r="AC169">
        <f>INDEX(Bang_xuyen_giap!$C$2:$C$7,MIN(6,MAX(1,IF($O$169,MAX(1,2-(Vu_khi!$L$169-2)),2-(Vu_khi!$L$169-2))+1)))</f>
        <v/>
      </c>
      <c r="AD169" t="n">
        <v>1.2</v>
      </c>
      <c r="AE169">
        <f>INDEX(Bang_xuyen_giap!$C$2:$C$7,MIN(6,MAX(1,IF($O$169,MAX(1,2-(Vu_khi!$L$169-4)),2-(Vu_khi!$L$169-4))+1)))</f>
        <v/>
      </c>
      <c r="AF169" t="n">
        <v>0.85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49.68496849684968</v>
      </c>
      <c r="AK169">
        <f>IF($Q$169,$M$169*$AC$169*$U$169,0)</f>
        <v/>
      </c>
      <c r="AL169" t="n">
        <v>49.68496849684968</v>
      </c>
      <c r="AM169">
        <f>IF($Q$169,$M$169*$AE$169*$U$169,0)</f>
        <v/>
      </c>
      <c r="AN169" t="n">
        <v>35.19351935193519</v>
      </c>
      <c r="AO169">
        <f>IF($Q$169,$M$169*$AC$169*$Y$169,0)</f>
        <v/>
      </c>
      <c r="AP169" t="n">
        <v>29.81098109810981</v>
      </c>
      <c r="AQ169">
        <f>IF($S$169,$M$169*$AG$169*$W$169,0)</f>
        <v/>
      </c>
      <c r="AR169" t="n">
        <v>0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0.5555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weapons[id=kornet_twin] (lớp B trên 01_chien_dau/Vu_khi)</t>
        </is>
      </c>
      <c r="BC169" t="inlineStr"/>
    </row>
    <row r="170">
      <c r="A170" t="inlineStr">
        <is>
          <t>lancet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1</v>
      </c>
      <c r="G170">
        <f>IF(Vu_khi!$S$170&gt;0,(Vu_khi!$S$170-1)*Vu_khi!$R$170+Vu_khi!$T$170,Vu_khi!$R$170+(Vu_khi!$P$170-1)*Vu_khi!$Q$170)</f>
        <v/>
      </c>
      <c r="H170" t="n">
        <v>8.372</v>
      </c>
      <c r="I170">
        <f>Vu_khi!$W$170*MAX(1,$E$170)</f>
        <v/>
      </c>
      <c r="J170" t="n">
        <v>240</v>
      </c>
      <c r="K170">
        <f>IF(Vu_khi!$V$170&gt;0,Vu_khi!$V$170,MIN(28,MAX(10,Vu_khi!$U$170*Vu_khi!$R$170*0.4)))</f>
        <v/>
      </c>
      <c r="L170" t="n">
        <v>26.7904</v>
      </c>
      <c r="M170">
        <f>IF(Vu_khi!$W$170&lt;=0,0,IF(Vu_khi!$U$170&gt;0,$I$170*Vu_khi!$U$170/(MAX(0.05,$G$170)*Vu_khi!$U$170+$K$170),$I$170/MAX(0.05,$G$170)))</f>
        <v/>
      </c>
      <c r="N170" t="n">
        <v>20.47641799194594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</v>
      </c>
      <c r="AC170">
        <f>INDEX(Bang_xuyen_giap!$C$2:$C$7,MIN(6,MAX(1,IF($O$170,MAX(1,2-(Vu_khi!$L$170-2)),2-(Vu_khi!$L$170-2))+1)))</f>
        <v/>
      </c>
      <c r="AD170" t="n">
        <v>1</v>
      </c>
      <c r="AE170">
        <f>INDEX(Bang_xuyen_giap!$C$2:$C$7,MIN(6,MAX(1,IF($O$170,MAX(1,2-(Vu_khi!$L$170-4)),2-(Vu_khi!$L$170-4))+1)))</f>
        <v/>
      </c>
      <c r="AF170" t="n">
        <v>0.85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20.47641799194594</v>
      </c>
      <c r="AK170">
        <f>IF($Q$170,$M$170*$AC$170*$U$170,0)</f>
        <v/>
      </c>
      <c r="AL170" t="n">
        <v>20.47641799194594</v>
      </c>
      <c r="AM170">
        <f>IF($Q$170,$M$170*$AE$170*$U$170,0)</f>
        <v/>
      </c>
      <c r="AN170" t="n">
        <v>17.40495529315405</v>
      </c>
      <c r="AO170">
        <f>IF($Q$170,$M$170*$AC$170*$Y$170,0)</f>
        <v/>
      </c>
      <c r="AP170" t="n">
        <v>12.28585079516756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inlineStr"/>
      <c r="AZ170" t="inlineStr">
        <is>
          <t>ok</t>
        </is>
      </c>
      <c r="BA170" t="inlineStr"/>
      <c r="BB170" t="inlineStr">
        <is>
          <t>Assets/MachineBrigade/Resources/Data/balance.json: weapons[id=lancet] (lớp B trên 01_chien_dau/Vu_khi)</t>
        </is>
      </c>
      <c r="BC170" t="inlineStr"/>
    </row>
    <row r="171">
      <c r="A171" t="inlineStr">
        <is>
          <t>lancet_hangar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1</v>
      </c>
      <c r="G171">
        <f>IF(Vu_khi!$S$171&gt;0,(Vu_khi!$S$171-1)*Vu_khi!$R$171+Vu_khi!$T$171,Vu_khi!$R$171+(Vu_khi!$P$171-1)*Vu_khi!$Q$171)</f>
        <v/>
      </c>
      <c r="H171" t="n">
        <v>3.6</v>
      </c>
      <c r="I171">
        <f>Vu_khi!$W$171*MAX(1,$E$171)</f>
        <v/>
      </c>
      <c r="J171" t="n">
        <v>240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66.66666666666667</v>
      </c>
      <c r="O171">
        <f>OR(Vu_khi!$AG$171,Vu_khi!$AB$171&gt;0,Vu_khi!$AH$171,Vu_khi!$M$171="Bomb",Vu_khi!$M$171="Drone")</f>
        <v/>
      </c>
      <c r="P171" t="b">
        <v>1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</v>
      </c>
      <c r="AC171">
        <f>INDEX(Bang_xuyen_giap!$C$2:$C$7,MIN(6,MAX(1,IF($O$171,MAX(1,2-(Vu_khi!$L$171-2)),2-(Vu_khi!$L$171-2))+1)))</f>
        <v/>
      </c>
      <c r="AD171" t="n">
        <v>1</v>
      </c>
      <c r="AE171">
        <f>INDEX(Bang_xuyen_giap!$C$2:$C$7,MIN(6,MAX(1,IF($O$171,MAX(1,2-(Vu_khi!$L$171-4)),2-(Vu_khi!$L$171-4))+1)))</f>
        <v/>
      </c>
      <c r="AF171" t="n">
        <v>0.85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66.66666666666667</v>
      </c>
      <c r="AK171">
        <f>IF($Q$171,$M$171*$AC$171*$U$171,0)</f>
        <v/>
      </c>
      <c r="AL171" t="n">
        <v>66.66666666666667</v>
      </c>
      <c r="AM171">
        <f>IF($Q$171,$M$171*$AE$171*$U$171,0)</f>
        <v/>
      </c>
      <c r="AN171" t="n">
        <v>56.66666666666667</v>
      </c>
      <c r="AO171">
        <f>IF($Q$171,$M$171*$AC$171*$Y$171,0)</f>
        <v/>
      </c>
      <c r="AP171" t="n">
        <v>40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inlineStr"/>
      <c r="AZ171" t="inlineStr">
        <is>
          <t>ok</t>
        </is>
      </c>
      <c r="BA171" t="inlineStr"/>
      <c r="BB171" t="inlineStr">
        <is>
          <t>Assets/MachineBrigade/Resources/Data/balance.json: weapons[id=lancet_hangar] (lớp B trên 01_chien_dau/Vu_khi)</t>
        </is>
      </c>
      <c r="BC171" t="inlineStr"/>
    </row>
    <row r="172">
      <c r="A172" t="inlineStr">
        <is>
          <t>laser_50kw</t>
        </is>
      </c>
      <c r="B172" t="n">
        <v>1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0.0667</v>
      </c>
      <c r="I172">
        <f>Vu_khi!$W$172*MAX(1,$E$172)</f>
        <v/>
      </c>
      <c r="J172" t="n">
        <v>6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89.95502248875563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0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1</v>
      </c>
      <c r="W172">
        <f>INDEX(Bang_sat_thuong!$C$2:$C$7,MATCH(Vu_khi!$K$172,Bang_sat_thuong!$A$2:$A$7,0))</f>
        <v/>
      </c>
      <c r="X172" t="n">
        <v>1.5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0.5</v>
      </c>
      <c r="AA172">
        <f>INDEX(Bang_xuyen_giap!$C$2:$C$7,MIN(6,MAX(1,IF($O$172,MAX(1,2-(Vu_khi!$L$172-0)),2-(Vu_khi!$L$172-0))+1)))</f>
        <v/>
      </c>
      <c r="AB172" t="n">
        <v>1.2</v>
      </c>
      <c r="AC172">
        <f>INDEX(Bang_xuyen_giap!$C$2:$C$7,MIN(6,MAX(1,IF($O$172,MAX(1,2-(Vu_khi!$L$172-2)),2-(Vu_khi!$L$172-2))+1)))</f>
        <v/>
      </c>
      <c r="AD172" t="n">
        <v>0.85</v>
      </c>
      <c r="AE172">
        <f>INDEX(Bang_xuyen_giap!$C$2:$C$7,MIN(6,MAX(1,IF($O$172,MAX(1,2-(Vu_khi!$L$172-4)),2-(Vu_khi!$L$172-4))+1)))</f>
        <v/>
      </c>
      <c r="AF172" t="n">
        <v>0.25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0</v>
      </c>
      <c r="AK172">
        <f>IF($Q$172,$M$172*$AC$172*$U$172,0)</f>
        <v/>
      </c>
      <c r="AL172" t="n">
        <v>0</v>
      </c>
      <c r="AM172">
        <f>IF($Q$172,$M$172*$AE$172*$U$172,0)</f>
        <v/>
      </c>
      <c r="AN172" t="n">
        <v>0</v>
      </c>
      <c r="AO172">
        <f>IF($Q$172,$M$172*$AC$172*$Y$172,0)</f>
        <v/>
      </c>
      <c r="AP172" t="n">
        <v>0</v>
      </c>
      <c r="AQ172">
        <f>IF($S$172,$M$172*$AG$172*$W$172,0)</f>
        <v/>
      </c>
      <c r="AR172" t="n">
        <v>134.9325337331335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1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weapons[id=laser_50kw] (lớp B trên 01_chien_dau/Vu_khi)</t>
        </is>
      </c>
      <c r="BC172" t="inlineStr"/>
    </row>
    <row r="173">
      <c r="A173" t="inlineStr">
        <is>
          <t>leviathan_460</t>
        </is>
      </c>
      <c r="B173" t="n">
        <v>5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14</v>
      </c>
      <c r="I173">
        <f>Vu_khi!$W$173*MAX(1,$E$173)</f>
        <v/>
      </c>
      <c r="J173" t="n">
        <v>950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67.85714285714286</v>
      </c>
      <c r="O173">
        <f>OR(Vu_khi!$AG$173,Vu_khi!$AB$173&gt;0,Vu_khi!$AH$173,Vu_khi!$M$173="Bomb",Vu_khi!$M$173="Drone")</f>
        <v/>
      </c>
      <c r="P173" t="b">
        <v>0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1.5</v>
      </c>
      <c r="AA173">
        <f>INDEX(Bang_xuyen_giap!$C$2:$C$7,MIN(6,MAX(1,IF($O$173,MAX(1,2-(Vu_khi!$L$173-0)),2-(Vu_khi!$L$173-0))+1)))</f>
        <v/>
      </c>
      <c r="AB173" t="n">
        <v>1.2</v>
      </c>
      <c r="AC173">
        <f>INDEX(Bang_xuyen_giap!$C$2:$C$7,MIN(6,MAX(1,IF($O$173,MAX(1,2-(Vu_khi!$L$173-2)),2-(Vu_khi!$L$173-2))+1)))</f>
        <v/>
      </c>
      <c r="AD173" t="n">
        <v>1.2</v>
      </c>
      <c r="AE173">
        <f>INDEX(Bang_xuyen_giap!$C$2:$C$7,MIN(6,MAX(1,IF($O$173,MAX(1,2-(Vu_khi!$L$173-4)),2-(Vu_khi!$L$173-4))+1)))</f>
        <v/>
      </c>
      <c r="AF173" t="n">
        <v>0.85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81.42857142857143</v>
      </c>
      <c r="AK173">
        <f>IF($Q$173,$M$173*$AC$173*$U$173,0)</f>
        <v/>
      </c>
      <c r="AL173" t="n">
        <v>81.42857142857143</v>
      </c>
      <c r="AM173">
        <f>IF($Q$173,$M$173*$AE$173*$U$173,0)</f>
        <v/>
      </c>
      <c r="AN173" t="n">
        <v>57.67857142857143</v>
      </c>
      <c r="AO173">
        <f>IF($Q$173,$M$173*$AC$173*$Y$173,0)</f>
        <v/>
      </c>
      <c r="AP173" t="n">
        <v>122.1428571428571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5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3.5</v>
      </c>
      <c r="AY173" t="n">
        <v>0.98</v>
      </c>
      <c r="AZ173" t="inlineStr">
        <is>
          <t>LOI_DON_VI</t>
        </is>
      </c>
      <c r="BA173" t="inlineStr"/>
      <c r="BB173" t="inlineStr">
        <is>
          <t>Assets/MachineBrigade/Resources/Data/balance.json: weapons[id=leviathan_460] (lớp B trên 01_chien_dau/Vu_khi)</t>
        </is>
      </c>
      <c r="BC173" t="inlineStr"/>
    </row>
    <row r="174">
      <c r="A174" t="inlineStr">
        <is>
          <t>leviathan_460_guided</t>
        </is>
      </c>
      <c r="B174" t="n">
        <v>5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14</v>
      </c>
      <c r="I174">
        <f>Vu_khi!$W$174*MAX(1,$E$174)</f>
        <v/>
      </c>
      <c r="J174" t="n">
        <v>950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67.85714285714286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0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1.5</v>
      </c>
      <c r="AA174">
        <f>INDEX(Bang_xuyen_giap!$C$2:$C$7,MIN(6,MAX(1,IF($O$174,MAX(1,2-(Vu_khi!$L$174-0)),2-(Vu_khi!$L$174-0))+1)))</f>
        <v/>
      </c>
      <c r="AB174" t="n">
        <v>1.2</v>
      </c>
      <c r="AC174">
        <f>INDEX(Bang_xuyen_giap!$C$2:$C$7,MIN(6,MAX(1,IF($O$174,MAX(1,2-(Vu_khi!$L$174-2)),2-(Vu_khi!$L$174-2))+1)))</f>
        <v/>
      </c>
      <c r="AD174" t="n">
        <v>1.2</v>
      </c>
      <c r="AE174">
        <f>INDEX(Bang_xuyen_giap!$C$2:$C$7,MIN(6,MAX(1,IF($O$174,MAX(1,2-(Vu_khi!$L$174-4)),2-(Vu_khi!$L$174-4))+1)))</f>
        <v/>
      </c>
      <c r="AF174" t="n">
        <v>0.85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81.42857142857143</v>
      </c>
      <c r="AK174">
        <f>IF($Q$174,$M$174*$AC$174*$U$174,0)</f>
        <v/>
      </c>
      <c r="AL174" t="n">
        <v>81.42857142857143</v>
      </c>
      <c r="AM174">
        <f>IF($Q$174,$M$174*$AE$174*$U$174,0)</f>
        <v/>
      </c>
      <c r="AN174" t="n">
        <v>57.67857142857143</v>
      </c>
      <c r="AO174">
        <f>IF($Q$174,$M$174*$AC$174*$Y$174,0)</f>
        <v/>
      </c>
      <c r="AP174" t="n">
        <v>122.1428571428571</v>
      </c>
      <c r="AQ174">
        <f>IF($S$174,$M$174*$AG$174*$W$174,0)</f>
        <v/>
      </c>
      <c r="AR174" t="n">
        <v>0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5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3.5</v>
      </c>
      <c r="BB174" t="inlineStr">
        <is>
          <t>Assets/MachineBrigade/Resources/Data/balance.json: weapons[id=leviathan_460_guided] (lớp B trên 01_chien_dau/Vu_khi)</t>
        </is>
      </c>
      <c r="BC174" t="inlineStr"/>
    </row>
    <row r="175">
      <c r="A175" t="inlineStr">
        <is>
          <t>leviathan_cruise</t>
        </is>
      </c>
      <c r="B175" t="n">
        <v>4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50</v>
      </c>
      <c r="I175">
        <f>Vu_khi!$W$175*MAX(1,$E$175)</f>
        <v/>
      </c>
      <c r="J175" t="n">
        <v>520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10.4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1.2</v>
      </c>
      <c r="AC175">
        <f>INDEX(Bang_xuyen_giap!$C$2:$C$7,MIN(6,MAX(1,IF($O$175,MAX(1,2-(Vu_khi!$L$175-2)),2-(Vu_khi!$L$175-2))+1)))</f>
        <v/>
      </c>
      <c r="AD175" t="n">
        <v>1</v>
      </c>
      <c r="AE175">
        <f>INDEX(Bang_xuyen_giap!$C$2:$C$7,MIN(6,MAX(1,IF($O$175,MAX(1,2-(Vu_khi!$L$175-4)),2-(Vu_khi!$L$175-4))+1)))</f>
        <v/>
      </c>
      <c r="AF175" t="n">
        <v>0.5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12.48</v>
      </c>
      <c r="AK175">
        <f>IF($Q$175,$M$175*$AC$175*$U$175,0)</f>
        <v/>
      </c>
      <c r="AL175" t="n">
        <v>10.4</v>
      </c>
      <c r="AM175">
        <f>IF($Q$175,$M$175*$AE$175*$U$175,0)</f>
        <v/>
      </c>
      <c r="AN175" t="n">
        <v>5.2</v>
      </c>
      <c r="AO175">
        <f>IF($Q$175,$M$175*$AC$175*$Y$175,0)</f>
        <v/>
      </c>
      <c r="AP175" t="n">
        <v>15.6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4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2.722222222222222</v>
      </c>
      <c r="AY175" t="inlineStr"/>
      <c r="AZ175" t="inlineStr">
        <is>
          <t>ok</t>
        </is>
      </c>
      <c r="BA175" t="b">
        <v>1</v>
      </c>
      <c r="BB175" t="inlineStr">
        <is>
          <t>Assets/MachineBrigade/Resources/Data/balance.json: weapons[id=leviathan_cruise] (lớp B trên 01_chien_dau/Vu_khi)</t>
        </is>
      </c>
      <c r="BC175" t="inlineStr"/>
    </row>
    <row r="176">
      <c r="A176" t="inlineStr">
        <is>
          <t>locust_drones</t>
        </is>
      </c>
      <c r="B176" t="n">
        <v>2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2</v>
      </c>
      <c r="I176">
        <f>Vu_khi!$W$176*MAX(1,$E$176)</f>
        <v/>
      </c>
      <c r="J176" t="n">
        <v>320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160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0.3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0.6</v>
      </c>
      <c r="AA176">
        <f>INDEX(Bang_xuyen_giap!$C$2:$C$7,MIN(6,MAX(1,IF($O$176,MAX(1,2-(Vu_khi!$L$176-0)),2-(Vu_khi!$L$176-0))+1)))</f>
        <v/>
      </c>
      <c r="AB176" t="n">
        <v>1</v>
      </c>
      <c r="AC176">
        <f>INDEX(Bang_xuyen_giap!$C$2:$C$7,MIN(6,MAX(1,IF($O$176,MAX(1,2-(Vu_khi!$L$176-2)),2-(Vu_khi!$L$176-2))+1)))</f>
        <v/>
      </c>
      <c r="AD176" t="n">
        <v>1</v>
      </c>
      <c r="AE176">
        <f>INDEX(Bang_xuyen_giap!$C$2:$C$7,MIN(6,MAX(1,IF($O$176,MAX(1,2-(Vu_khi!$L$176-4)),2-(Vu_khi!$L$176-4))+1)))</f>
        <v/>
      </c>
      <c r="AF176" t="n">
        <v>0.85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160</v>
      </c>
      <c r="AK176">
        <f>IF($Q$176,$M$176*$AC$176*$U$176,0)</f>
        <v/>
      </c>
      <c r="AL176" t="n">
        <v>160</v>
      </c>
      <c r="AM176">
        <f>IF($Q$176,$M$176*$AE$176*$U$176,0)</f>
        <v/>
      </c>
      <c r="AN176" t="n">
        <v>136</v>
      </c>
      <c r="AO176">
        <f>IF($Q$176,$M$176*$AC$176*$Y$176,0)</f>
        <v/>
      </c>
      <c r="AP176" t="n">
        <v>96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2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0</v>
      </c>
      <c r="AY176" t="inlineStr"/>
      <c r="AZ176" t="inlineStr">
        <is>
          <t>LECH_DOT_1</t>
        </is>
      </c>
      <c r="BA176" t="b">
        <v>1</v>
      </c>
      <c r="BB176" t="inlineStr">
        <is>
          <t>Assets/MachineBrigade/Resources/Data/balance.json: weapons[id=locust_drones] (lớp B trên 01_chien_dau/Vu_khi)</t>
        </is>
      </c>
      <c r="BC176" t="inlineStr"/>
    </row>
    <row r="177">
      <c r="A177" t="inlineStr">
        <is>
          <t>maverick</t>
        </is>
      </c>
      <c r="B177" t="n">
        <v>3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7.86</v>
      </c>
      <c r="I177">
        <f>Vu_khi!$W$177*MAX(1,$E$177)</f>
        <v/>
      </c>
      <c r="J177" t="n">
        <v>345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43.89312977099237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0.3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0.6</v>
      </c>
      <c r="AA177">
        <f>INDEX(Bang_xuyen_giap!$C$2:$C$7,MIN(6,MAX(1,IF($O$177,MAX(1,2-(Vu_khi!$L$177-0)),2-(Vu_khi!$L$177-0))+1)))</f>
        <v/>
      </c>
      <c r="AB177" t="n">
        <v>1.2</v>
      </c>
      <c r="AC177">
        <f>INDEX(Bang_xuyen_giap!$C$2:$C$7,MIN(6,MAX(1,IF($O$177,MAX(1,2-(Vu_khi!$L$177-2)),2-(Vu_khi!$L$177-2))+1)))</f>
        <v/>
      </c>
      <c r="AD177" t="n">
        <v>1.2</v>
      </c>
      <c r="AE177">
        <f>INDEX(Bang_xuyen_giap!$C$2:$C$7,MIN(6,MAX(1,IF($O$177,MAX(1,2-(Vu_khi!$L$177-4)),2-(Vu_khi!$L$177-4))+1)))</f>
        <v/>
      </c>
      <c r="AF177" t="n">
        <v>0.85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52.67175572519084</v>
      </c>
      <c r="AK177">
        <f>IF($Q$177,$M$177*$AC$177*$U$177,0)</f>
        <v/>
      </c>
      <c r="AL177" t="n">
        <v>52.67175572519084</v>
      </c>
      <c r="AM177">
        <f>IF($Q$177,$M$177*$AE$177*$U$177,0)</f>
        <v/>
      </c>
      <c r="AN177" t="n">
        <v>37.30916030534351</v>
      </c>
      <c r="AO177">
        <f>IF($Q$177,$M$177*$AC$177*$Y$177,0)</f>
        <v/>
      </c>
      <c r="AP177" t="n">
        <v>31.6030534351145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3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0</v>
      </c>
      <c r="AY177" t="inlineStr"/>
      <c r="AZ177" t="inlineStr">
        <is>
          <t>ok</t>
        </is>
      </c>
      <c r="BA177" t="inlineStr"/>
      <c r="BB177" t="inlineStr">
        <is>
          <t>Assets/MachineBrigade/Resources/Data/balance.json: weapons[id=maverick] (lớp B trên 01_chien_dau/Vu_khi)</t>
        </is>
      </c>
      <c r="BC177" t="inlineStr"/>
    </row>
    <row r="178">
      <c r="A178" t="inlineStr">
        <is>
          <t>mg_coax</t>
        </is>
      </c>
      <c r="B178" t="n">
        <v>0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100</v>
      </c>
      <c r="G178">
        <f>IF(Vu_khi!$S$178&gt;0,(Vu_khi!$S$178-1)*Vu_khi!$R$178+Vu_khi!$T$178,Vu_khi!$R$178+(Vu_khi!$P$178-1)*Vu_khi!$Q$178)</f>
        <v/>
      </c>
      <c r="H178" t="n">
        <v>12.33</v>
      </c>
      <c r="I178">
        <f>Vu_khi!$W$178*MAX(1,$E$178)</f>
        <v/>
      </c>
      <c r="J178" t="n">
        <v>550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44.6066504460665</v>
      </c>
      <c r="O178">
        <f>OR(Vu_khi!$AG$178,Vu_khi!$AB$178&gt;0,Vu_khi!$AH$178,Vu_khi!$M$178="Bomb",Vu_khi!$M$178="Drone")</f>
        <v/>
      </c>
      <c r="P178" t="b">
        <v>0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1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0.3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0.6</v>
      </c>
      <c r="AA178">
        <f>INDEX(Bang_xuyen_giap!$C$2:$C$7,MIN(6,MAX(1,IF($O$178,MAX(1,2-(Vu_khi!$L$178-0)),2-(Vu_khi!$L$178-0))+1)))</f>
        <v/>
      </c>
      <c r="AB178" t="n">
        <v>0.85</v>
      </c>
      <c r="AC178">
        <f>INDEX(Bang_xuyen_giap!$C$2:$C$7,MIN(6,MAX(1,IF($O$178,MAX(1,2-(Vu_khi!$L$178-2)),2-(Vu_khi!$L$178-2))+1)))</f>
        <v/>
      </c>
      <c r="AD178" t="n">
        <v>0.25</v>
      </c>
      <c r="AE178">
        <f>INDEX(Bang_xuyen_giap!$C$2:$C$7,MIN(6,MAX(1,IF($O$178,MAX(1,2-(Vu_khi!$L$178-4)),2-(Vu_khi!$L$178-4))+1)))</f>
        <v/>
      </c>
      <c r="AF178" t="n">
        <v>0.1</v>
      </c>
      <c r="AG178">
        <f>INDEX(Bang_xuyen_giap!$C$2:$C$7,MIN(6,MAX(1,MAX(1,2-(Vu_khi!$L$178-0))+1)))</f>
        <v/>
      </c>
      <c r="AH178" t="n">
        <v>0.85</v>
      </c>
      <c r="AI178">
        <f>IF($Q$178,$M$178*$AA$178*$U$178,0)</f>
        <v/>
      </c>
      <c r="AJ178" t="n">
        <v>37.91565287915652</v>
      </c>
      <c r="AK178">
        <f>IF($Q$178,$M$178*$AC$178*$U$178,0)</f>
        <v/>
      </c>
      <c r="AL178" t="n">
        <v>11.15166261151662</v>
      </c>
      <c r="AM178">
        <f>IF($Q$178,$M$178*$AE$178*$U$178,0)</f>
        <v/>
      </c>
      <c r="AN178" t="n">
        <v>4.46066504460665</v>
      </c>
      <c r="AO178">
        <f>IF($Q$178,$M$178*$AC$178*$Y$178,0)</f>
        <v/>
      </c>
      <c r="AP178" t="n">
        <v>6.690997566909974</v>
      </c>
      <c r="AQ178">
        <f>IF($S$178,$M$178*$AG$178*$W$178,0)</f>
        <v/>
      </c>
      <c r="AR178" t="n">
        <v>11.37469586374696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0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n">
        <v>1.644</v>
      </c>
      <c r="AZ178" t="inlineStr">
        <is>
          <t>ok</t>
        </is>
      </c>
      <c r="BA178" t="inlineStr"/>
      <c r="BB178" t="inlineStr">
        <is>
          <t>Assets/MachineBrigade/Resources/Data/balance.json: weapons[id=mg_coax] (lớp B trên 01_chien_dau/Vu_khi)</t>
        </is>
      </c>
      <c r="BC178" t="inlineStr"/>
    </row>
    <row r="179">
      <c r="A179" t="inlineStr">
        <is>
          <t>mg_coax_long</t>
        </is>
      </c>
      <c r="B179" t="n">
        <v>0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100</v>
      </c>
      <c r="G179">
        <f>IF(Vu_khi!$S$179&gt;0,(Vu_khi!$S$179-1)*Vu_khi!$R$179+Vu_khi!$T$179,Vu_khi!$R$179+(Vu_khi!$P$179-1)*Vu_khi!$Q$179)</f>
        <v/>
      </c>
      <c r="H179" t="n">
        <v>12.33</v>
      </c>
      <c r="I179">
        <f>Vu_khi!$W$179*MAX(1,$E$179)</f>
        <v/>
      </c>
      <c r="J179" t="n">
        <v>550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44.6066504460665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1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0.3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0.6</v>
      </c>
      <c r="AA179">
        <f>INDEX(Bang_xuyen_giap!$C$2:$C$7,MIN(6,MAX(1,IF($O$179,MAX(1,2-(Vu_khi!$L$179-0)),2-(Vu_khi!$L$179-0))+1)))</f>
        <v/>
      </c>
      <c r="AB179" t="n">
        <v>0.85</v>
      </c>
      <c r="AC179">
        <f>INDEX(Bang_xuyen_giap!$C$2:$C$7,MIN(6,MAX(1,IF($O$179,MAX(1,2-(Vu_khi!$L$179-2)),2-(Vu_khi!$L$179-2))+1)))</f>
        <v/>
      </c>
      <c r="AD179" t="n">
        <v>0.25</v>
      </c>
      <c r="AE179">
        <f>INDEX(Bang_xuyen_giap!$C$2:$C$7,MIN(6,MAX(1,IF($O$179,MAX(1,2-(Vu_khi!$L$179-4)),2-(Vu_khi!$L$179-4))+1)))</f>
        <v/>
      </c>
      <c r="AF179" t="n">
        <v>0.1</v>
      </c>
      <c r="AG179">
        <f>INDEX(Bang_xuyen_giap!$C$2:$C$7,MIN(6,MAX(1,MAX(1,2-(Vu_khi!$L$179-0))+1)))</f>
        <v/>
      </c>
      <c r="AH179" t="n">
        <v>0.85</v>
      </c>
      <c r="AI179">
        <f>IF($Q$179,$M$179*$AA$179*$U$179,0)</f>
        <v/>
      </c>
      <c r="AJ179" t="n">
        <v>37.91565287915652</v>
      </c>
      <c r="AK179">
        <f>IF($Q$179,$M$179*$AC$179*$U$179,0)</f>
        <v/>
      </c>
      <c r="AL179" t="n">
        <v>11.15166261151662</v>
      </c>
      <c r="AM179">
        <f>IF($Q$179,$M$179*$AE$179*$U$179,0)</f>
        <v/>
      </c>
      <c r="AN179" t="n">
        <v>4.46066504460665</v>
      </c>
      <c r="AO179">
        <f>IF($Q$179,$M$179*$AC$179*$Y$179,0)</f>
        <v/>
      </c>
      <c r="AP179" t="n">
        <v>6.690997566909974</v>
      </c>
      <c r="AQ179">
        <f>IF($S$179,$M$179*$AG$179*$W$179,0)</f>
        <v/>
      </c>
      <c r="AR179" t="n">
        <v>11.37469586374696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0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n">
        <v>1.644</v>
      </c>
      <c r="AZ179" t="inlineStr">
        <is>
          <t>ok</t>
        </is>
      </c>
      <c r="BA179" t="inlineStr"/>
      <c r="BB179" t="inlineStr">
        <is>
          <t>Assets/MachineBrigade/Resources/Data/balance.json: weapons[id=mg_coax_long] (lớp B trên 01_chien_dau/Vu_khi)</t>
        </is>
      </c>
      <c r="BC179" t="inlineStr"/>
    </row>
    <row r="180">
      <c r="A180" t="inlineStr">
        <is>
          <t>mg_jeep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16.11</v>
      </c>
      <c r="I180">
        <f>Vu_khi!$W$180*MAX(1,$E$180)</f>
        <v/>
      </c>
      <c r="J180" t="n">
        <v>950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58.96958410924891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0.6</v>
      </c>
      <c r="AA180">
        <f>INDEX(Bang_xuyen_giap!$C$2:$C$7,MIN(6,MAX(1,IF($O$180,MAX(1,2-(Vu_khi!$L$180-0)),2-(Vu_khi!$L$180-0))+1)))</f>
        <v/>
      </c>
      <c r="AB180" t="n">
        <v>1</v>
      </c>
      <c r="AC180">
        <f>INDEX(Bang_xuyen_giap!$C$2:$C$7,MIN(6,MAX(1,IF($O$180,MAX(1,2-(Vu_khi!$L$180-2)),2-(Vu_khi!$L$180-2))+1)))</f>
        <v/>
      </c>
      <c r="AD180" t="n">
        <v>0.5</v>
      </c>
      <c r="AE180">
        <f>INDEX(Bang_xuyen_giap!$C$2:$C$7,MIN(6,MAX(1,IF($O$180,MAX(1,2-(Vu_khi!$L$180-4)),2-(Vu_khi!$L$180-4))+1)))</f>
        <v/>
      </c>
      <c r="AF180" t="n">
        <v>0.1</v>
      </c>
      <c r="AG180">
        <f>INDEX(Bang_xuyen_giap!$C$2:$C$7,MIN(6,MAX(1,MAX(1,2-(Vu_khi!$L$180-0))+1)))</f>
        <v/>
      </c>
      <c r="AH180" t="n">
        <v>1</v>
      </c>
      <c r="AI180">
        <f>IF($Q$180,$M$180*$AA$180*$U$180,0)</f>
        <v/>
      </c>
      <c r="AJ180" t="n">
        <v>58.96958410924891</v>
      </c>
      <c r="AK180">
        <f>IF($Q$180,$M$180*$AC$180*$U$180,0)</f>
        <v/>
      </c>
      <c r="AL180" t="n">
        <v>29.48479205462446</v>
      </c>
      <c r="AM180">
        <f>IF($Q$180,$M$180*$AE$180*$U$180,0)</f>
        <v/>
      </c>
      <c r="AN180" t="n">
        <v>5.896958410924892</v>
      </c>
      <c r="AO180">
        <f>IF($Q$180,$M$180*$AC$180*$Y$180,0)</f>
        <v/>
      </c>
      <c r="AP180" t="n">
        <v>17.69087523277467</v>
      </c>
      <c r="AQ180">
        <f>IF($S$180,$M$180*$AG$180*$W$180,0)</f>
        <v/>
      </c>
      <c r="AR180" t="n">
        <v>17.69087523277467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1.611</v>
      </c>
      <c r="AZ180" t="inlineStr">
        <is>
          <t>ok</t>
        </is>
      </c>
      <c r="BA180" t="inlineStr"/>
      <c r="BB180" t="inlineStr">
        <is>
          <t>Assets/MachineBrigade/Resources/Data/balance.json: weapons[id=mg_jeep] (lớp B trên 01_chien_dau/Vu_khi)</t>
        </is>
      </c>
      <c r="BC180" t="inlineStr"/>
    </row>
    <row r="181">
      <c r="A181" t="inlineStr">
        <is>
          <t>mg_jeep_api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16.11</v>
      </c>
      <c r="I181">
        <f>Vu_khi!$W$181*MAX(1,$E$181)</f>
        <v/>
      </c>
      <c r="J181" t="n">
        <v>950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58.96958410924891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0.6</v>
      </c>
      <c r="AA181">
        <f>INDEX(Bang_xuyen_giap!$C$2:$C$7,MIN(6,MAX(1,IF($O$181,MAX(1,2-(Vu_khi!$L$181-0)),2-(Vu_khi!$L$181-0))+1)))</f>
        <v/>
      </c>
      <c r="AB181" t="n">
        <v>1.2</v>
      </c>
      <c r="AC181">
        <f>INDEX(Bang_xuyen_giap!$C$2:$C$7,MIN(6,MAX(1,IF($O$181,MAX(1,2-(Vu_khi!$L$181-2)),2-(Vu_khi!$L$181-2))+1)))</f>
        <v/>
      </c>
      <c r="AD181" t="n">
        <v>0.85</v>
      </c>
      <c r="AE181">
        <f>INDEX(Bang_xuyen_giap!$C$2:$C$7,MIN(6,MAX(1,IF($O$181,MAX(1,2-(Vu_khi!$L$181-4)),2-(Vu_khi!$L$181-4))+1)))</f>
        <v/>
      </c>
      <c r="AF181" t="n">
        <v>0.25</v>
      </c>
      <c r="AG181">
        <f>INDEX(Bang_xuyen_giap!$C$2:$C$7,MIN(6,MAX(1,MAX(1,2-(Vu_khi!$L$181-0))+1)))</f>
        <v/>
      </c>
      <c r="AH181" t="n">
        <v>1</v>
      </c>
      <c r="AI181">
        <f>IF($Q$181,$M$181*$AA$181*$U$181,0)</f>
        <v/>
      </c>
      <c r="AJ181" t="n">
        <v>70.76350093109869</v>
      </c>
      <c r="AK181">
        <f>IF($Q$181,$M$181*$AC$181*$U$181,0)</f>
        <v/>
      </c>
      <c r="AL181" t="n">
        <v>50.12414649286158</v>
      </c>
      <c r="AM181">
        <f>IF($Q$181,$M$181*$AE$181*$U$181,0)</f>
        <v/>
      </c>
      <c r="AN181" t="n">
        <v>14.74239602731223</v>
      </c>
      <c r="AO181">
        <f>IF($Q$181,$M$181*$AC$181*$Y$181,0)</f>
        <v/>
      </c>
      <c r="AP181" t="n">
        <v>30.07448789571695</v>
      </c>
      <c r="AQ181">
        <f>IF($S$181,$M$181*$AG$181*$W$181,0)</f>
        <v/>
      </c>
      <c r="AR181" t="n">
        <v>17.69087523277467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BB181" t="inlineStr">
        <is>
          <t>Assets/MachineBrigade/Resources/Data/balance.json: weapons[id=mg_jeep_api] (lớp B trên 01_chien_dau/Vu_khi)</t>
        </is>
      </c>
      <c r="BC181" t="inlineStr"/>
    </row>
    <row r="182">
      <c r="A182" t="inlineStr">
        <is>
          <t>mg_jeep_selfdef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</v>
      </c>
      <c r="AC182">
        <f>INDEX(Bang_xuyen_giap!$C$2:$C$7,MIN(6,MAX(1,IF($O$182,MAX(1,2-(Vu_khi!$L$182-2)),2-(Vu_khi!$L$182-2))+1)))</f>
        <v/>
      </c>
      <c r="AD182" t="n">
        <v>0.5</v>
      </c>
      <c r="AE182">
        <f>INDEX(Bang_xuyen_giap!$C$2:$C$7,MIN(6,MAX(1,IF($O$182,MAX(1,2-(Vu_khi!$L$182-4)),2-(Vu_khi!$L$182-4))+1)))</f>
        <v/>
      </c>
      <c r="AF182" t="n">
        <v>0.1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58.96958410924891</v>
      </c>
      <c r="AK182">
        <f>IF($Q$182,$M$182*$AC$182*$U$182,0)</f>
        <v/>
      </c>
      <c r="AL182" t="n">
        <v>29.48479205462446</v>
      </c>
      <c r="AM182">
        <f>IF($Q$182,$M$182*$AE$182*$U$182,0)</f>
        <v/>
      </c>
      <c r="AN182" t="n">
        <v>5.896958410924892</v>
      </c>
      <c r="AO182">
        <f>IF($Q$182,$M$182*$AC$182*$Y$182,0)</f>
        <v/>
      </c>
      <c r="AP182" t="n">
        <v>17.69087523277467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weapons[id=mg_jeep_selfdef] (lớp B trên 01_chien_dau/Vu_khi)</t>
        </is>
      </c>
      <c r="BC182" t="inlineStr"/>
    </row>
    <row r="183">
      <c r="A183" t="inlineStr">
        <is>
          <t>mg_jeep_selfdef_api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70.76350093109869</v>
      </c>
      <c r="AK183">
        <f>IF($Q$183,$M$183*$AC$183*$U$183,0)</f>
        <v/>
      </c>
      <c r="AL183" t="n">
        <v>50.12414649286158</v>
      </c>
      <c r="AM183">
        <f>IF($Q$183,$M$183*$AE$183*$U$183,0)</f>
        <v/>
      </c>
      <c r="AN183" t="n">
        <v>14.74239602731223</v>
      </c>
      <c r="AO183">
        <f>IF($Q$183,$M$183*$AC$183*$Y$183,0)</f>
        <v/>
      </c>
      <c r="AP183" t="n">
        <v>30.07448789571695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weapons[id=mg_jeep_selfdef_api] (lớp B trên 01_chien_dau/Vu_khi)</t>
        </is>
      </c>
      <c r="BC183" t="inlineStr"/>
    </row>
    <row r="184">
      <c r="A184" t="inlineStr">
        <is>
          <t>minigun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200</v>
      </c>
      <c r="G184">
        <f>IF(Vu_khi!$S$184&gt;0,(Vu_khi!$S$184-1)*Vu_khi!$R$184+Vu_khi!$T$184,Vu_khi!$R$184+(Vu_khi!$P$184-1)*Vu_khi!$Q$184)</f>
        <v/>
      </c>
      <c r="H184" t="n">
        <v>8</v>
      </c>
      <c r="I184">
        <f>Vu_khi!$W$184*MAX(1,$E$184)</f>
        <v/>
      </c>
      <c r="J184" t="n">
        <v>1100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137.5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0.6</v>
      </c>
      <c r="AA184">
        <f>INDEX(Bang_xuyen_giap!$C$2:$C$7,MIN(6,MAX(1,IF($O$184,MAX(1,2-(Vu_khi!$L$184-0)),2-(Vu_khi!$L$184-0))+1)))</f>
        <v/>
      </c>
      <c r="AB184" t="n">
        <v>0.85</v>
      </c>
      <c r="AC184">
        <f>INDEX(Bang_xuyen_giap!$C$2:$C$7,MIN(6,MAX(1,IF($O$184,MAX(1,2-(Vu_khi!$L$184-2)),2-(Vu_khi!$L$184-2))+1)))</f>
        <v/>
      </c>
      <c r="AD184" t="n">
        <v>0.25</v>
      </c>
      <c r="AE184">
        <f>INDEX(Bang_xuyen_giap!$C$2:$C$7,MIN(6,MAX(1,IF($O$184,MAX(1,2-(Vu_khi!$L$184-4)),2-(Vu_khi!$L$184-4))+1)))</f>
        <v/>
      </c>
      <c r="AF184" t="n">
        <v>0.1</v>
      </c>
      <c r="AG184">
        <f>INDEX(Bang_xuyen_giap!$C$2:$C$7,MIN(6,MAX(1,MAX(1,2-(Vu_khi!$L$184-0))+1)))</f>
        <v/>
      </c>
      <c r="AH184" t="n">
        <v>0.85</v>
      </c>
      <c r="AI184">
        <f>IF($Q$184,$M$184*$AA$184*$U$184,0)</f>
        <v/>
      </c>
      <c r="AJ184" t="n">
        <v>116.875</v>
      </c>
      <c r="AK184">
        <f>IF($Q$184,$M$184*$AC$184*$U$184,0)</f>
        <v/>
      </c>
      <c r="AL184" t="n">
        <v>34.375</v>
      </c>
      <c r="AM184">
        <f>IF($Q$184,$M$184*$AE$184*$U$184,0)</f>
        <v/>
      </c>
      <c r="AN184" t="n">
        <v>13.75</v>
      </c>
      <c r="AO184">
        <f>IF($Q$184,$M$184*$AC$184*$Y$184,0)</f>
        <v/>
      </c>
      <c r="AP184" t="n">
        <v>20.625</v>
      </c>
      <c r="AQ184">
        <f>IF($S$184,$M$184*$AG$184*$W$184,0)</f>
        <v/>
      </c>
      <c r="AR184" t="n">
        <v>35.0625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4</v>
      </c>
      <c r="AZ184" t="inlineStr">
        <is>
          <t>ok</t>
        </is>
      </c>
      <c r="BA184" t="inlineStr"/>
      <c r="BB184" t="inlineStr">
        <is>
          <t>Assets/MachineBrigade/Resources/Data/balance.json: weapons[id=minigun] (lớp B trên 01_chien_dau/Vu_khi)</t>
        </is>
      </c>
      <c r="BC184" t="inlineStr"/>
    </row>
    <row r="185">
      <c r="A185" t="inlineStr">
        <is>
          <t>missile_57e6</t>
        </is>
      </c>
      <c r="B185" t="n">
        <v>2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4.452</v>
      </c>
      <c r="I185">
        <f>Vu_khi!$W$185*MAX(1,$E$185)</f>
        <v/>
      </c>
      <c r="J185" t="n">
        <v>220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49.41599281221923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0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0.5</v>
      </c>
      <c r="W185">
        <f>INDEX(Bang_sat_thuong!$C$2:$C$7,MATCH(Vu_khi!$K$185,Bang_sat_thuong!$A$2:$A$7,0))</f>
        <v/>
      </c>
      <c r="X185" t="n">
        <v>1.3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0.1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1</v>
      </c>
      <c r="AE185">
        <f>INDEX(Bang_xuyen_giap!$C$2:$C$7,MIN(6,MAX(1,IF($O$185,MAX(1,2-(Vu_khi!$L$185-4)),2-(Vu_khi!$L$185-4))+1)))</f>
        <v/>
      </c>
      <c r="AF185" t="n">
        <v>0.5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0</v>
      </c>
      <c r="AK185">
        <f>IF($Q$185,$M$185*$AC$185*$U$185,0)</f>
        <v/>
      </c>
      <c r="AL185" t="n">
        <v>0</v>
      </c>
      <c r="AM185">
        <f>IF($Q$185,$M$185*$AE$185*$U$185,0)</f>
        <v/>
      </c>
      <c r="AN185" t="n">
        <v>0</v>
      </c>
      <c r="AO185">
        <f>IF($Q$185,$M$185*$AC$185*$Y$185,0)</f>
        <v/>
      </c>
      <c r="AP185" t="n">
        <v>0</v>
      </c>
      <c r="AQ185">
        <f>IF($S$185,$M$185*$AG$185*$W$185,0)</f>
        <v/>
      </c>
      <c r="AR185" t="n">
        <v>64.24079065588501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2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AY185" t="n">
        <v>2.968</v>
      </c>
      <c r="AZ185" t="inlineStr">
        <is>
          <t>ok</t>
        </is>
      </c>
      <c r="BA185" t="inlineStr"/>
      <c r="BB185" t="inlineStr">
        <is>
          <t>Assets/MachineBrigade/Resources/Data/balance.json: weapons[id=missile_57e6] (lớp B trên 01_chien_dau/Vu_khi)</t>
        </is>
      </c>
      <c r="BC185" t="inlineStr"/>
    </row>
    <row r="186">
      <c r="A186" t="inlineStr">
        <is>
          <t>mlrs_elite</t>
        </is>
      </c>
      <c r="B186" t="n">
        <v>4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5</v>
      </c>
      <c r="G186">
        <f>IF(Vu_khi!$S$186&gt;0,(Vu_khi!$S$186-1)*Vu_khi!$R$186+Vu_khi!$T$186,Vu_khi!$R$186+(Vu_khi!$P$186-1)*Vu_khi!$Q$186)</f>
        <v/>
      </c>
      <c r="H186" t="n">
        <v>10.246</v>
      </c>
      <c r="I186">
        <f>Vu_khi!$W$186*MAX(1,$E$186)</f>
        <v/>
      </c>
      <c r="J186" t="n">
        <v>525</v>
      </c>
      <c r="K186">
        <f>IF(Vu_khi!$V$186&gt;0,Vu_khi!$V$186,MIN(28,MAX(10,Vu_khi!$U$186*Vu_khi!$R$186*0.4)))</f>
        <v/>
      </c>
      <c r="L186" t="n">
        <v>19.93</v>
      </c>
      <c r="M186">
        <f>IF(Vu_khi!$W$186&lt;=0,0,IF(Vu_khi!$U$186&gt;0,$I$186*Vu_khi!$U$186/(MAX(0.05,$G$186)*Vu_khi!$U$186+$K$186),$I$186/MAX(0.05,$G$186)))</f>
        <v/>
      </c>
      <c r="N186" t="n">
        <v>38.69493649116772</v>
      </c>
      <c r="O186">
        <f>OR(Vu_khi!$AG$186,Vu_khi!$AB$186&gt;0,Vu_khi!$AH$186,Vu_khi!$M$186="Bomb",Vu_khi!$M$186="Drone")</f>
        <v/>
      </c>
      <c r="P186" t="b">
        <v>1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0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1.5</v>
      </c>
      <c r="AA186">
        <f>INDEX(Bang_xuyen_giap!$C$2:$C$7,MIN(6,MAX(1,IF($O$186,MAX(1,2-(Vu_khi!$L$186-0)),2-(Vu_khi!$L$186-0))+1)))</f>
        <v/>
      </c>
      <c r="AB186" t="n">
        <v>1</v>
      </c>
      <c r="AC186">
        <f>INDEX(Bang_xuyen_giap!$C$2:$C$7,MIN(6,MAX(1,IF($O$186,MAX(1,2-(Vu_khi!$L$186-2)),2-(Vu_khi!$L$186-2))+1)))</f>
        <v/>
      </c>
      <c r="AD186" t="n">
        <v>1</v>
      </c>
      <c r="AE186">
        <f>INDEX(Bang_xuyen_giap!$C$2:$C$7,MIN(6,MAX(1,IF($O$186,MAX(1,2-(Vu_khi!$L$186-4)),2-(Vu_khi!$L$186-4))+1)))</f>
        <v/>
      </c>
      <c r="AF186" t="n">
        <v>0.5</v>
      </c>
      <c r="AG186">
        <f>INDEX(Bang_xuyen_giap!$C$2:$C$7,MIN(6,MAX(1,MAX(1,2-(Vu_khi!$L$186-0))+1)))</f>
        <v/>
      </c>
      <c r="AH186" t="n">
        <v>1</v>
      </c>
      <c r="AI186">
        <f>IF($Q$186,$M$186*$AA$186*$U$186,0)</f>
        <v/>
      </c>
      <c r="AJ186" t="n">
        <v>38.69493649116772</v>
      </c>
      <c r="AK186">
        <f>IF($Q$186,$M$186*$AC$186*$U$186,0)</f>
        <v/>
      </c>
      <c r="AL186" t="n">
        <v>38.69493649116772</v>
      </c>
      <c r="AM186">
        <f>IF($Q$186,$M$186*$AE$186*$U$186,0)</f>
        <v/>
      </c>
      <c r="AN186" t="n">
        <v>19.34746824558386</v>
      </c>
      <c r="AO186">
        <f>IF($Q$186,$M$186*$AC$186*$Y$186,0)</f>
        <v/>
      </c>
      <c r="AP186" t="n">
        <v>58.04240473675159</v>
      </c>
      <c r="AQ186">
        <f>IF($S$186,$M$186*$AG$186*$W$186,0)</f>
        <v/>
      </c>
      <c r="AR186" t="n">
        <v>0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1</v>
      </c>
      <c r="AU186">
        <f>IF(AND($B$186&lt;0,$AS$186),4,$B$186)</f>
        <v/>
      </c>
      <c r="AV186" t="n">
        <v>4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2.5</v>
      </c>
      <c r="AY186" t="n">
        <v>0.028</v>
      </c>
      <c r="AZ186" t="inlineStr">
        <is>
          <t>NHANH_QUA</t>
        </is>
      </c>
      <c r="BA186" t="inlineStr"/>
      <c r="BB186" t="inlineStr">
        <is>
          <t>Assets/MachineBrigade/Resources/Data/balance.json: weapons[id=mlrs_elite] (lớp B trên 01_chien_dau/Vu_khi)</t>
        </is>
      </c>
      <c r="BC186" t="inlineStr"/>
    </row>
    <row r="187">
      <c r="A187" t="inlineStr">
        <is>
          <t>mlrs_rockets</t>
        </is>
      </c>
      <c r="B187" t="n">
        <v>4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5</v>
      </c>
      <c r="G187">
        <f>IF(Vu_khi!$S$187&gt;0,(Vu_khi!$S$187-1)*Vu_khi!$R$187+Vu_khi!$T$187,Vu_khi!$R$187+(Vu_khi!$P$187-1)*Vu_khi!$Q$187)</f>
        <v/>
      </c>
      <c r="H187" t="n">
        <v>11.144</v>
      </c>
      <c r="I187">
        <f>Vu_khi!$W$187*MAX(1,$E$187)</f>
        <v/>
      </c>
      <c r="J187" t="n">
        <v>500</v>
      </c>
      <c r="K187">
        <f>IF(Vu_khi!$V$187&gt;0,Vu_khi!$V$187,MIN(28,MAX(10,Vu_khi!$U$187*Vu_khi!$R$187*0.4)))</f>
        <v/>
      </c>
      <c r="L187" t="n">
        <v>15.53</v>
      </c>
      <c r="M187">
        <f>IF(Vu_khi!$W$187&lt;=0,0,IF(Vu_khi!$U$187&gt;0,$I$187*Vu_khi!$U$187/(MAX(0.05,$G$187)*Vu_khi!$U$187+$K$187),$I$187/MAX(0.05,$G$187)))</f>
        <v/>
      </c>
      <c r="N187" t="n">
        <v>33.27454829800686</v>
      </c>
      <c r="O187">
        <f>OR(Vu_khi!$AG$187,Vu_khi!$AB$187&gt;0,Vu_khi!$AH$187,Vu_khi!$M$187="Bomb",Vu_khi!$M$187="Drone")</f>
        <v/>
      </c>
      <c r="P187" t="b">
        <v>1</v>
      </c>
      <c r="Q187">
        <f>AND(NOT(Vu_khi!$AJ$187),OR(Vu_khi!$AC$187="Ground",Vu_khi!$AC$187="All"))</f>
        <v/>
      </c>
      <c r="R187" t="b">
        <v>1</v>
      </c>
      <c r="S187">
        <f>AND(NOT(Vu_khi!$AJ$187),OR(Vu_khi!$AC$187="Air",Vu_khi!$AC$187="All"))</f>
        <v/>
      </c>
      <c r="T187" t="b">
        <v>0</v>
      </c>
      <c r="U187">
        <f>INDEX(Bang_sat_thuong!$B$2:$B$7,MATCH(Vu_khi!$K$187,Bang_sat_thuong!$A$2:$A$7,0))</f>
        <v/>
      </c>
      <c r="V187" t="n">
        <v>1</v>
      </c>
      <c r="W187">
        <f>INDEX(Bang_sat_thuong!$C$2:$C$7,MATCH(Vu_khi!$K$187,Bang_sat_thuong!$A$2:$A$7,0))</f>
        <v/>
      </c>
      <c r="X187" t="n">
        <v>0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1.5</v>
      </c>
      <c r="AA187">
        <f>INDEX(Bang_xuyen_giap!$C$2:$C$7,MIN(6,MAX(1,IF($O$187,MAX(1,2-(Vu_khi!$L$187-0)),2-(Vu_khi!$L$187-0))+1)))</f>
        <v/>
      </c>
      <c r="AB187" t="n">
        <v>1</v>
      </c>
      <c r="AC187">
        <f>INDEX(Bang_xuyen_giap!$C$2:$C$7,MIN(6,MAX(1,IF($O$187,MAX(1,2-(Vu_khi!$L$187-2)),2-(Vu_khi!$L$187-2))+1)))</f>
        <v/>
      </c>
      <c r="AD187" t="n">
        <v>1</v>
      </c>
      <c r="AE187">
        <f>INDEX(Bang_xuyen_giap!$C$2:$C$7,MIN(6,MAX(1,IF($O$187,MAX(1,2-(Vu_khi!$L$187-4)),2-(Vu_khi!$L$187-4))+1)))</f>
        <v/>
      </c>
      <c r="AF187" t="n">
        <v>0.5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33.27454829800686</v>
      </c>
      <c r="AK187">
        <f>IF($Q$187,$M$187*$AC$187*$U$187,0)</f>
        <v/>
      </c>
      <c r="AL187" t="n">
        <v>33.27454829800686</v>
      </c>
      <c r="AM187">
        <f>IF($Q$187,$M$187*$AE$187*$U$187,0)</f>
        <v/>
      </c>
      <c r="AN187" t="n">
        <v>16.63727414900343</v>
      </c>
      <c r="AO187">
        <f>IF($Q$187,$M$187*$AC$187*$Y$187,0)</f>
        <v/>
      </c>
      <c r="AP187" t="n">
        <v>49.91182244701028</v>
      </c>
      <c r="AQ187">
        <f>IF($S$187,$M$187*$AG$187*$W$187,0)</f>
        <v/>
      </c>
      <c r="AR187" t="n">
        <v>0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1</v>
      </c>
      <c r="AU187">
        <f>IF(AND($B$187&lt;0,$AS$187),4,$B$187)</f>
        <v/>
      </c>
      <c r="AV187" t="n">
        <v>4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2.5</v>
      </c>
      <c r="AY187" t="n">
        <v>0.06</v>
      </c>
      <c r="AZ187" t="inlineStr">
        <is>
          <t>NHANH_QUA</t>
        </is>
      </c>
      <c r="BA187" t="inlineStr"/>
      <c r="BB187" t="inlineStr">
        <is>
          <t>Assets/MachineBrigade/Resources/Data/balance.json: weapons[id=mlrs_rockets] (lớp B trên 01_chien_dau/Vu_khi)</t>
        </is>
      </c>
      <c r="BC187" t="inlineStr"/>
    </row>
    <row r="188">
      <c r="A188" t="inlineStr">
        <is>
          <t>mortar_120</t>
        </is>
      </c>
      <c r="B188" t="n">
        <v>3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1</v>
      </c>
      <c r="G188">
        <f>IF(Vu_khi!$S$188&gt;0,(Vu_khi!$S$188-1)*Vu_khi!$R$188+Vu_khi!$T$188,Vu_khi!$R$188+(Vu_khi!$P$188-1)*Vu_khi!$Q$188)</f>
        <v/>
      </c>
      <c r="H188" t="n">
        <v>5</v>
      </c>
      <c r="I188">
        <f>Vu_khi!$W$188*MAX(1,$E$188)</f>
        <v/>
      </c>
      <c r="J188" t="n">
        <v>150</v>
      </c>
      <c r="K188">
        <f>IF(Vu_khi!$V$188&gt;0,Vu_khi!$V$188,MIN(28,MAX(10,Vu_khi!$U$188*Vu_khi!$R$188*0.4)))</f>
        <v/>
      </c>
      <c r="L188" t="n">
        <v>35.73</v>
      </c>
      <c r="M188">
        <f>IF(Vu_khi!$W$188&lt;=0,0,IF(Vu_khi!$U$188&gt;0,$I$188*Vu_khi!$U$188/(MAX(0.05,$G$188)*Vu_khi!$U$188+$K$188),$I$188/MAX(0.05,$G$188)))</f>
        <v/>
      </c>
      <c r="N188" t="n">
        <v>21.47458840372227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</v>
      </c>
      <c r="AC188">
        <f>INDEX(Bang_xuyen_giap!$C$2:$C$7,MIN(6,MAX(1,IF($O$188,MAX(1,2-(Vu_khi!$L$188-2)),2-(Vu_khi!$L$188-2))+1)))</f>
        <v/>
      </c>
      <c r="AD188" t="n">
        <v>0.85</v>
      </c>
      <c r="AE188">
        <f>INDEX(Bang_xuyen_giap!$C$2:$C$7,MIN(6,MAX(1,IF($O$188,MAX(1,2-(Vu_khi!$L$188-4)),2-(Vu_khi!$L$188-4))+1)))</f>
        <v/>
      </c>
      <c r="AF188" t="n">
        <v>0.25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21.47458840372227</v>
      </c>
      <c r="AK188">
        <f>IF($Q$188,$M$188*$AC$188*$U$188,0)</f>
        <v/>
      </c>
      <c r="AL188" t="n">
        <v>18.25340014316393</v>
      </c>
      <c r="AM188">
        <f>IF($Q$188,$M$188*$AE$188*$U$188,0)</f>
        <v/>
      </c>
      <c r="AN188" t="n">
        <v>5.368647100930566</v>
      </c>
      <c r="AO188">
        <f>IF($Q$188,$M$188*$AC$188*$Y$188,0)</f>
        <v/>
      </c>
      <c r="AP188" t="n">
        <v>27.38010021474589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0</v>
      </c>
      <c r="AU188">
        <f>IF(AND($B$188&lt;0,$AS$188),4,$B$188)</f>
        <v/>
      </c>
      <c r="AV188" t="n">
        <v>3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0</v>
      </c>
      <c r="AY188" t="n">
        <v>1.222375</v>
      </c>
      <c r="AZ188" t="inlineStr">
        <is>
          <t>ok</t>
        </is>
      </c>
      <c r="BA188" t="inlineStr"/>
      <c r="BB188" t="inlineStr">
        <is>
          <t>Assets/MachineBrigade/Resources/Data/balance.json: weapons[id=mortar_120] (lớp B trên 01_chien_dau/Vu_khi)</t>
        </is>
      </c>
      <c r="BC188" t="inlineStr"/>
    </row>
    <row r="189">
      <c r="A189" t="inlineStr">
        <is>
          <t>mortar_240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1</v>
      </c>
      <c r="G189">
        <f>IF(Vu_khi!$S$189&gt;0,(Vu_khi!$S$189-1)*Vu_khi!$R$189+Vu_khi!$T$189,Vu_khi!$R$189+(Vu_khi!$P$189-1)*Vu_khi!$Q$189)</f>
        <v/>
      </c>
      <c r="H189" t="n">
        <v>14.2</v>
      </c>
      <c r="I189">
        <f>Vu_khi!$W$189*MAX(1,$E$189)</f>
        <v/>
      </c>
      <c r="J189" t="n">
        <v>450</v>
      </c>
      <c r="K189">
        <f>IF(Vu_khi!$V$189&gt;0,Vu_khi!$V$189,MIN(28,MAX(10,Vu_khi!$U$189*Vu_khi!$R$189*0.4)))</f>
        <v/>
      </c>
      <c r="L189" t="n">
        <v>23.2</v>
      </c>
      <c r="M189">
        <f>IF(Vu_khi!$W$189&lt;=0,0,IF(Vu_khi!$U$189&gt;0,$I$189*Vu_khi!$U$189/(MAX(0.05,$G$189)*Vu_khi!$U$189+$K$189),$I$189/MAX(0.05,$G$189)))</f>
        <v/>
      </c>
      <c r="N189" t="n">
        <v>26.31578947368421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1</v>
      </c>
      <c r="AE189">
        <f>INDEX(Bang_xuyen_giap!$C$2:$C$7,MIN(6,MAX(1,IF($O$189,MAX(1,2-(Vu_khi!$L$189-4)),2-(Vu_khi!$L$189-4))+1)))</f>
        <v/>
      </c>
      <c r="AF189" t="n">
        <v>0.85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26.31578947368421</v>
      </c>
      <c r="AK189">
        <f>IF($Q$189,$M$189*$AC$189*$U$189,0)</f>
        <v/>
      </c>
      <c r="AL189" t="n">
        <v>26.31578947368421</v>
      </c>
      <c r="AM189">
        <f>IF($Q$189,$M$189*$AE$189*$U$189,0)</f>
        <v/>
      </c>
      <c r="AN189" t="n">
        <v>22.36842105263158</v>
      </c>
      <c r="AO189">
        <f>IF($Q$189,$M$189*$AC$189*$Y$189,0)</f>
        <v/>
      </c>
      <c r="AP189" t="n">
        <v>39.47368421052632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0.1995</v>
      </c>
      <c r="AZ189" t="inlineStr">
        <is>
          <t>NHANH_QUA</t>
        </is>
      </c>
      <c r="BA189" t="inlineStr"/>
      <c r="BB189" t="inlineStr">
        <is>
          <t>Assets/MachineBrigade/Resources/Data/balance.json: weapons[id=mortar_240] (lớp B trên 01_chien_dau/Vu_khi)</t>
        </is>
      </c>
      <c r="BC189" t="inlineStr"/>
    </row>
    <row r="190">
      <c r="A190" t="inlineStr">
        <is>
          <t>mothership_cannon</t>
        </is>
      </c>
      <c r="B190" t="n">
        <v>2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4</v>
      </c>
      <c r="G190">
        <f>IF(Vu_khi!$S$190&gt;0,(Vu_khi!$S$190-1)*Vu_khi!$R$190+Vu_khi!$T$190,Vu_khi!$R$190+(Vu_khi!$P$190-1)*Vu_khi!$Q$190)</f>
        <v/>
      </c>
      <c r="H190" t="n">
        <v>4.79</v>
      </c>
      <c r="I190">
        <f>Vu_khi!$W$190*MAX(1,$E$190)</f>
        <v/>
      </c>
      <c r="J190" t="n">
        <v>280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58.45511482254697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1.5</v>
      </c>
      <c r="AA190">
        <f>INDEX(Bang_xuyen_giap!$C$2:$C$7,MIN(6,MAX(1,IF($O$190,MAX(1,2-(Vu_khi!$L$190-0)),2-(Vu_khi!$L$190-0))+1)))</f>
        <v/>
      </c>
      <c r="AB190" t="n">
        <v>1.2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70.14613778705636</v>
      </c>
      <c r="AK190">
        <f>IF($Q$190,$M$190*$AC$190*$U$190,0)</f>
        <v/>
      </c>
      <c r="AL190" t="n">
        <v>49.68684759916493</v>
      </c>
      <c r="AM190">
        <f>IF($Q$190,$M$190*$AE$190*$U$190,0)</f>
        <v/>
      </c>
      <c r="AN190" t="n">
        <v>14.61377870563674</v>
      </c>
      <c r="AO190">
        <f>IF($Q$190,$M$190*$AC$190*$Y$190,0)</f>
        <v/>
      </c>
      <c r="AP190" t="n">
        <v>74.53027139874739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2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2.395</v>
      </c>
      <c r="AZ190" t="inlineStr">
        <is>
          <t>ok</t>
        </is>
      </c>
      <c r="BA190" t="inlineStr"/>
      <c r="BB190" t="inlineStr">
        <is>
          <t>Assets/MachineBrigade/Resources/Data/balance.json: weapons[id=mothership_cannon] (lớp B trên 01_chien_dau/Vu_khi)</t>
        </is>
      </c>
      <c r="BC190" t="inlineStr"/>
    </row>
    <row r="191">
      <c r="A191" t="inlineStr">
        <is>
          <t>mothership_drones</t>
        </is>
      </c>
      <c r="B191" t="n">
        <v>2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4</v>
      </c>
      <c r="G191">
        <f>IF(Vu_khi!$S$191&gt;0,(Vu_khi!$S$191-1)*Vu_khi!$R$191+Vu_khi!$T$191,Vu_khi!$R$191+(Vu_khi!$P$191-1)*Vu_khi!$Q$191)</f>
        <v/>
      </c>
      <c r="H191" t="n">
        <v>9.370000000000001</v>
      </c>
      <c r="I191">
        <f>Vu_khi!$W$191*MAX(1,$E$191)</f>
        <v/>
      </c>
      <c r="J191" t="n">
        <v>960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102.4546424759872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0.3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0.6</v>
      </c>
      <c r="AA191">
        <f>INDEX(Bang_xuyen_giap!$C$2:$C$7,MIN(6,MAX(1,IF($O$191,MAX(1,2-(Vu_khi!$L$191-0)),2-(Vu_khi!$L$191-0))+1)))</f>
        <v/>
      </c>
      <c r="AB191" t="n">
        <v>1</v>
      </c>
      <c r="AC191">
        <f>INDEX(Bang_xuyen_giap!$C$2:$C$7,MIN(6,MAX(1,IF($O$191,MAX(1,2-(Vu_khi!$L$191-2)),2-(Vu_khi!$L$191-2))+1)))</f>
        <v/>
      </c>
      <c r="AD191" t="n">
        <v>1</v>
      </c>
      <c r="AE191">
        <f>INDEX(Bang_xuyen_giap!$C$2:$C$7,MIN(6,MAX(1,IF($O$191,MAX(1,2-(Vu_khi!$L$191-4)),2-(Vu_khi!$L$191-4))+1)))</f>
        <v/>
      </c>
      <c r="AF191" t="n">
        <v>0.85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102.4546424759872</v>
      </c>
      <c r="AK191">
        <f>IF($Q$191,$M$191*$AC$191*$U$191,0)</f>
        <v/>
      </c>
      <c r="AL191" t="n">
        <v>102.4546424759872</v>
      </c>
      <c r="AM191">
        <f>IF($Q$191,$M$191*$AE$191*$U$191,0)</f>
        <v/>
      </c>
      <c r="AN191" t="n">
        <v>87.0864461045891</v>
      </c>
      <c r="AO191">
        <f>IF($Q$191,$M$191*$AC$191*$Y$191,0)</f>
        <v/>
      </c>
      <c r="AP191" t="n">
        <v>61.47278548559231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0</v>
      </c>
      <c r="AU191">
        <f>IF(AND($B$191&lt;0,$AS$191),4,$B$191)</f>
        <v/>
      </c>
      <c r="AV191" t="n">
        <v>2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0</v>
      </c>
      <c r="AY191" t="inlineStr"/>
      <c r="AZ191" t="inlineStr">
        <is>
          <t>ok</t>
        </is>
      </c>
      <c r="BA191" t="inlineStr"/>
      <c r="BB191" t="inlineStr">
        <is>
          <t>Assets/MachineBrigade/Resources/Data/balance.json: weapons[id=mothership_drones] (lớp B trên 01_chien_dau/Vu_khi)</t>
        </is>
      </c>
      <c r="BC191" t="inlineStr"/>
    </row>
    <row r="192">
      <c r="A192" t="inlineStr">
        <is>
          <t>naval_76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2</v>
      </c>
      <c r="G192">
        <f>IF(Vu_khi!$S$192&gt;0,(Vu_khi!$S$192-1)*Vu_khi!$R$192+Vu_khi!$T$192,Vu_khi!$R$192+(Vu_khi!$P$192-1)*Vu_khi!$Q$192)</f>
        <v/>
      </c>
      <c r="H192" t="n">
        <v>3.6</v>
      </c>
      <c r="I192">
        <f>Vu_khi!$W$192*MAX(1,$E$192)</f>
        <v/>
      </c>
      <c r="J192" t="n">
        <v>240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66.66666666666667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1</v>
      </c>
      <c r="AE192">
        <f>INDEX(Bang_xuyen_giap!$C$2:$C$7,MIN(6,MAX(1,IF($O$192,MAX(1,2-(Vu_khi!$L$192-4)),2-(Vu_khi!$L$192-4))+1)))</f>
        <v/>
      </c>
      <c r="AF192" t="n">
        <v>0.5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80</v>
      </c>
      <c r="AK192">
        <f>IF($Q$192,$M$192*$AC$192*$U$192,0)</f>
        <v/>
      </c>
      <c r="AL192" t="n">
        <v>66.66666666666667</v>
      </c>
      <c r="AM192">
        <f>IF($Q$192,$M$192*$AE$192*$U$192,0)</f>
        <v/>
      </c>
      <c r="AN192" t="n">
        <v>33.33333333333334</v>
      </c>
      <c r="AO192">
        <f>IF($Q$192,$M$192*$AC$192*$Y$192,0)</f>
        <v/>
      </c>
      <c r="AP192" t="n">
        <v>100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2.52</v>
      </c>
      <c r="AZ192" t="inlineStr">
        <is>
          <t>CHAM_QUA</t>
        </is>
      </c>
      <c r="BA192" t="inlineStr"/>
      <c r="BB192" t="inlineStr">
        <is>
          <t>Assets/MachineBrigade/Resources/Data/balance.json: weapons[id=naval_76] (lớp B trên 01_chien_dau/Vu_khi)</t>
        </is>
      </c>
      <c r="BC192" t="inlineStr"/>
    </row>
    <row r="193">
      <c r="A193" t="inlineStr">
        <is>
          <t>naval_76_guided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1</v>
      </c>
      <c r="G193">
        <f>IF(Vu_khi!$S$193&gt;0,(Vu_khi!$S$193-1)*Vu_khi!$R$193+Vu_khi!$T$193,Vu_khi!$R$193+(Vu_khi!$P$193-1)*Vu_khi!$Q$193)</f>
        <v/>
      </c>
      <c r="H193" t="n">
        <v>3.1</v>
      </c>
      <c r="I193">
        <f>Vu_khi!$W$193*MAX(1,$E$193)</f>
        <v/>
      </c>
      <c r="J193" t="n">
        <v>120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38.70967741935484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1.5</v>
      </c>
      <c r="AA193">
        <f>INDEX(Bang_xuyen_giap!$C$2:$C$7,MIN(6,MAX(1,IF($O$193,MAX(1,2-(Vu_khi!$L$193-0)),2-(Vu_khi!$L$193-0))+1)))</f>
        <v/>
      </c>
      <c r="AB193" t="n">
        <v>1.2</v>
      </c>
      <c r="AC193">
        <f>INDEX(Bang_xuyen_giap!$C$2:$C$7,MIN(6,MAX(1,IF($O$193,MAX(1,2-(Vu_khi!$L$193-2)),2-(Vu_khi!$L$193-2))+1)))</f>
        <v/>
      </c>
      <c r="AD193" t="n">
        <v>1</v>
      </c>
      <c r="AE193">
        <f>INDEX(Bang_xuyen_giap!$C$2:$C$7,MIN(6,MAX(1,IF($O$193,MAX(1,2-(Vu_khi!$L$193-4)),2-(Vu_khi!$L$193-4))+1)))</f>
        <v/>
      </c>
      <c r="AF193" t="n">
        <v>0.5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46.45161290322581</v>
      </c>
      <c r="AK193">
        <f>IF($Q$193,$M$193*$AC$193*$U$193,0)</f>
        <v/>
      </c>
      <c r="AL193" t="n">
        <v>38.70967741935484</v>
      </c>
      <c r="AM193">
        <f>IF($Q$193,$M$193*$AE$193*$U$193,0)</f>
        <v/>
      </c>
      <c r="AN193" t="n">
        <v>19.35483870967742</v>
      </c>
      <c r="AO193">
        <f>IF($Q$193,$M$193*$AC$193*$Y$193,0)</f>
        <v/>
      </c>
      <c r="AP193" t="n">
        <v>58.06451612903226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BB193" t="inlineStr">
        <is>
          <t>Assets/MachineBrigade/Resources/Data/balance.json: weapons[id=naval_76_guided] (lớp B trên 01_chien_dau/Vu_khi)</t>
        </is>
      </c>
      <c r="BC193" t="inlineStr"/>
    </row>
    <row r="194">
      <c r="A194" t="inlineStr">
        <is>
          <t>naval_100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4</v>
      </c>
      <c r="I194">
        <f>Vu_khi!$W$194*MAX(1,$E$194)</f>
        <v/>
      </c>
      <c r="J194" t="n">
        <v>320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80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1.5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</v>
      </c>
      <c r="AE194">
        <f>INDEX(Bang_xuyen_giap!$C$2:$C$7,MIN(6,MAX(1,IF($O$194,MAX(1,2-(Vu_khi!$L$194-4)),2-(Vu_khi!$L$194-4))+1)))</f>
        <v/>
      </c>
      <c r="AF194" t="n">
        <v>0.5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96</v>
      </c>
      <c r="AK194">
        <f>IF($Q$194,$M$194*$AC$194*$U$194,0)</f>
        <v/>
      </c>
      <c r="AL194" t="n">
        <v>80</v>
      </c>
      <c r="AM194">
        <f>IF($Q$194,$M$194*$AE$194*$U$194,0)</f>
        <v/>
      </c>
      <c r="AN194" t="n">
        <v>40</v>
      </c>
      <c r="AO194">
        <f>IF($Q$194,$M$194*$AC$194*$Y$194,0)</f>
        <v/>
      </c>
      <c r="AP194" t="n">
        <v>120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1.4</v>
      </c>
      <c r="AZ194" t="inlineStr">
        <is>
          <t>NHANH_QUA</t>
        </is>
      </c>
      <c r="BA194" t="inlineStr"/>
      <c r="BB194" t="inlineStr">
        <is>
          <t>Assets/MachineBrigade/Resources/Data/balance.json: weapons[id=naval_100] (lớp B trên 01_chien_dau/Vu_khi)</t>
        </is>
      </c>
      <c r="BC194" t="inlineStr"/>
    </row>
    <row r="195">
      <c r="A195" t="inlineStr">
        <is>
          <t>naval_100_guided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3.5</v>
      </c>
      <c r="I195">
        <f>Vu_khi!$W$195*MAX(1,$E$195)</f>
        <v/>
      </c>
      <c r="J195" t="n">
        <v>160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45.71428571428572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1.5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</v>
      </c>
      <c r="AE195">
        <f>INDEX(Bang_xuyen_giap!$C$2:$C$7,MIN(6,MAX(1,IF($O$195,MAX(1,2-(Vu_khi!$L$195-4)),2-(Vu_khi!$L$195-4))+1)))</f>
        <v/>
      </c>
      <c r="AF195" t="n">
        <v>0.5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54.85714285714285</v>
      </c>
      <c r="AK195">
        <f>IF($Q$195,$M$195*$AC$195*$U$195,0)</f>
        <v/>
      </c>
      <c r="AL195" t="n">
        <v>45.71428571428572</v>
      </c>
      <c r="AM195">
        <f>IF($Q$195,$M$195*$AE$195*$U$195,0)</f>
        <v/>
      </c>
      <c r="AN195" t="n">
        <v>22.85714285714286</v>
      </c>
      <c r="AO195">
        <f>IF($Q$195,$M$195*$AC$195*$Y$195,0)</f>
        <v/>
      </c>
      <c r="AP195" t="n">
        <v>68.57142857142857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weapons[id=naval_100_guided] (lớp B trên 01_chien_dau/Vu_khi)</t>
        </is>
      </c>
      <c r="BC195" t="inlineStr"/>
    </row>
    <row r="196">
      <c r="A196" t="inlineStr">
        <is>
          <t>naval_127</t>
        </is>
      </c>
      <c r="B196" t="n">
        <v>3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4.1</v>
      </c>
      <c r="I196">
        <f>Vu_khi!$W$196*MAX(1,$E$196)</f>
        <v/>
      </c>
      <c r="J196" t="n">
        <v>400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97.5609756097561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1.5</v>
      </c>
      <c r="AA196">
        <f>INDEX(Bang_xuyen_giap!$C$2:$C$7,MIN(6,MAX(1,IF($O$196,MAX(1,2-(Vu_khi!$L$196-0)),2-(Vu_khi!$L$196-0))+1)))</f>
        <v/>
      </c>
      <c r="AB196" t="n">
        <v>1.2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117.0731707317073</v>
      </c>
      <c r="AK196">
        <f>IF($Q$196,$M$196*$AC$196*$U$196,0)</f>
        <v/>
      </c>
      <c r="AL196" t="n">
        <v>97.5609756097561</v>
      </c>
      <c r="AM196">
        <f>IF($Q$196,$M$196*$AE$196*$U$196,0)</f>
        <v/>
      </c>
      <c r="AN196" t="n">
        <v>48.78048780487805</v>
      </c>
      <c r="AO196">
        <f>IF($Q$196,$M$196*$AC$196*$Y$196,0)</f>
        <v/>
      </c>
      <c r="AP196" t="n">
        <v>146.3414634146341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3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0.478333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weapons[id=naval_127] (lớp B trên 01_chien_dau/Vu_khi)</t>
        </is>
      </c>
      <c r="BC196" t="inlineStr"/>
    </row>
    <row r="197">
      <c r="A197" t="inlineStr">
        <is>
          <t>naval_130_twin</t>
        </is>
      </c>
      <c r="B197" t="n">
        <v>3</v>
      </c>
      <c r="C197">
        <f>IF(Vu_khi!$O$197="SIMULTANEOUS",MAX(1,Vu_khi!$N$197),1)</f>
        <v/>
      </c>
      <c r="D197" t="n">
        <v>2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3</v>
      </c>
      <c r="I197">
        <f>Vu_khi!$W$197*MAX(1,$E$197)</f>
        <v/>
      </c>
      <c r="J197" t="n">
        <v>760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253.3333333333333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1.5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</v>
      </c>
      <c r="AE197">
        <f>INDEX(Bang_xuyen_giap!$C$2:$C$7,MIN(6,MAX(1,IF($O$197,MAX(1,2-(Vu_khi!$L$197-4)),2-(Vu_khi!$L$197-4))+1)))</f>
        <v/>
      </c>
      <c r="AF197" t="n">
        <v>0.5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304</v>
      </c>
      <c r="AK197">
        <f>IF($Q$197,$M$197*$AC$197*$U$197,0)</f>
        <v/>
      </c>
      <c r="AL197" t="n">
        <v>253.3333333333333</v>
      </c>
      <c r="AM197">
        <f>IF($Q$197,$M$197*$AE$197*$U$197,0)</f>
        <v/>
      </c>
      <c r="AN197" t="n">
        <v>126.6666666666667</v>
      </c>
      <c r="AO197">
        <f>IF($Q$197,$M$197*$AC$197*$Y$197,0)</f>
        <v/>
      </c>
      <c r="AP197" t="n">
        <v>380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3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AY197" t="n">
        <v>1.4</v>
      </c>
      <c r="AZ197" t="inlineStr">
        <is>
          <t>ok</t>
        </is>
      </c>
      <c r="BA197" t="b">
        <v>1</v>
      </c>
      <c r="BB197" t="inlineStr">
        <is>
          <t>Assets/MachineBrigade/Resources/Data/balance.json: weapons[id=naval_130_twin] (lớp B trên 01_chien_dau/Vu_khi)</t>
        </is>
      </c>
      <c r="BC197" t="inlineStr"/>
    </row>
    <row r="198">
      <c r="A198" t="inlineStr">
        <is>
          <t>naval_155_triple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3</v>
      </c>
      <c r="G198">
        <f>IF(Vu_khi!$S$198&gt;0,(Vu_khi!$S$198-1)*Vu_khi!$R$198+Vu_khi!$T$198,Vu_khi!$R$198+(Vu_khi!$P$198-1)*Vu_khi!$Q$198)</f>
        <v/>
      </c>
      <c r="H198" t="n">
        <v>10.5</v>
      </c>
      <c r="I198">
        <f>Vu_khi!$W$198*MAX(1,$E$198)</f>
        <v/>
      </c>
      <c r="J198" t="n">
        <v>960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91.42857142857143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1.5</v>
      </c>
      <c r="AA198">
        <f>INDEX(Bang_xuyen_giap!$C$2:$C$7,MIN(6,MAX(1,IF($O$198,MAX(1,2-(Vu_khi!$L$198-0)),2-(Vu_khi!$L$198-0))+1)))</f>
        <v/>
      </c>
      <c r="AB198" t="n">
        <v>1.2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109.7142857142857</v>
      </c>
      <c r="AK198">
        <f>IF($Q$198,$M$198*$AC$198*$U$198,0)</f>
        <v/>
      </c>
      <c r="AL198" t="n">
        <v>91.42857142857143</v>
      </c>
      <c r="AM198">
        <f>IF($Q$198,$M$198*$AE$198*$U$198,0)</f>
        <v/>
      </c>
      <c r="AN198" t="n">
        <v>45.71428571428572</v>
      </c>
      <c r="AO198">
        <f>IF($Q$198,$M$198*$AC$198*$Y$198,0)</f>
        <v/>
      </c>
      <c r="AP198" t="n">
        <v>137.1428571428571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0.6125</v>
      </c>
      <c r="AZ198" t="inlineStr">
        <is>
          <t>ok</t>
        </is>
      </c>
      <c r="BA198" t="inlineStr"/>
      <c r="BB198" t="inlineStr">
        <is>
          <t>Assets/MachineBrigade/Resources/Data/balance.json: weapons[id=naval_155_triple] (lớp B trên 01_chien_dau/Vu_khi)</t>
        </is>
      </c>
      <c r="BC198" t="inlineStr"/>
    </row>
    <row r="199">
      <c r="A199" t="inlineStr">
        <is>
          <t>naval_155_triple_guided</t>
        </is>
      </c>
      <c r="B199" t="n">
        <v>3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1</v>
      </c>
      <c r="G199">
        <f>IF(Vu_khi!$S$199&gt;0,(Vu_khi!$S$199-1)*Vu_khi!$R$199+Vu_khi!$T$199,Vu_khi!$R$199+(Vu_khi!$P$199-1)*Vu_khi!$Q$199)</f>
        <v/>
      </c>
      <c r="H199" t="n">
        <v>10</v>
      </c>
      <c r="I199">
        <f>Vu_khi!$W$199*MAX(1,$E$199)</f>
        <v/>
      </c>
      <c r="J199" t="n">
        <v>320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32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1.5</v>
      </c>
      <c r="AA199">
        <f>INDEX(Bang_xuyen_giap!$C$2:$C$7,MIN(6,MAX(1,IF($O$199,MAX(1,2-(Vu_khi!$L$199-0)),2-(Vu_khi!$L$199-0))+1)))</f>
        <v/>
      </c>
      <c r="AB199" t="n">
        <v>1.2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38.4</v>
      </c>
      <c r="AK199">
        <f>IF($Q$199,$M$199*$AC$199*$U$199,0)</f>
        <v/>
      </c>
      <c r="AL199" t="n">
        <v>32</v>
      </c>
      <c r="AM199">
        <f>IF($Q$199,$M$199*$AE$199*$U$199,0)</f>
        <v/>
      </c>
      <c r="AN199" t="n">
        <v>16</v>
      </c>
      <c r="AO199">
        <f>IF($Q$199,$M$199*$AC$199*$Y$199,0)</f>
        <v/>
      </c>
      <c r="AP199" t="n">
        <v>48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BB199" t="inlineStr">
        <is>
          <t>Assets/MachineBrigade/Resources/Data/balance.json: weapons[id=naval_155_triple_guided] (lớp B trên 01_chien_dau/Vu_khi)</t>
        </is>
      </c>
      <c r="BC199" t="inlineStr"/>
    </row>
    <row r="200">
      <c r="A200" t="inlineStr">
        <is>
          <t>net_zap</t>
        </is>
      </c>
      <c r="B200" t="n">
        <v>0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0.5</v>
      </c>
      <c r="I200">
        <f>Vu_khi!$W$200*MAX(1,$E$200)</f>
        <v/>
      </c>
      <c r="J200" t="n">
        <v>999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1998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0</v>
      </c>
      <c r="S200">
        <f>AND(NOT(Vu_khi!$AJ$200),OR(Vu_khi!$AC$200="Air",Vu_khi!$AC$200="All"))</f>
        <v/>
      </c>
      <c r="T200" t="b">
        <v>1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1.5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0.5</v>
      </c>
      <c r="AA200">
        <f>INDEX(Bang_xuyen_giap!$C$2:$C$7,MIN(6,MAX(1,IF($O$200,MAX(1,2-(Vu_khi!$L$200-0)),2-(Vu_khi!$L$200-0))+1)))</f>
        <v/>
      </c>
      <c r="AB200" t="n">
        <v>1</v>
      </c>
      <c r="AC200">
        <f>INDEX(Bang_xuyen_giap!$C$2:$C$7,MIN(6,MAX(1,IF($O$200,MAX(1,2-(Vu_khi!$L$200-2)),2-(Vu_khi!$L$200-2))+1)))</f>
        <v/>
      </c>
      <c r="AD200" t="n">
        <v>0.5</v>
      </c>
      <c r="AE200">
        <f>INDEX(Bang_xuyen_giap!$C$2:$C$7,MIN(6,MAX(1,IF($O$200,MAX(1,2-(Vu_khi!$L$200-4)),2-(Vu_khi!$L$200-4))+1)))</f>
        <v/>
      </c>
      <c r="AF200" t="n">
        <v>0.1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0</v>
      </c>
      <c r="AK200">
        <f>IF($Q$200,$M$200*$AC$200*$U$200,0)</f>
        <v/>
      </c>
      <c r="AL200" t="n">
        <v>0</v>
      </c>
      <c r="AM200">
        <f>IF($Q$200,$M$200*$AE$200*$U$200,0)</f>
        <v/>
      </c>
      <c r="AN200" t="n">
        <v>0</v>
      </c>
      <c r="AO200">
        <f>IF($Q$200,$M$200*$AC$200*$Y$200,0)</f>
        <v/>
      </c>
      <c r="AP200" t="n">
        <v>0</v>
      </c>
      <c r="AQ200">
        <f>IF($S$200,$M$200*$AG$200*$W$200,0)</f>
        <v/>
      </c>
      <c r="AR200" t="n">
        <v>2997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0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inlineStr"/>
      <c r="AZ200" t="inlineStr">
        <is>
          <t>ok</t>
        </is>
      </c>
      <c r="BA200" t="inlineStr"/>
      <c r="BB200" t="inlineStr">
        <is>
          <t>Assets/MachineBrigade/Resources/Data/balance.json: weapons[id=net_zap] (lớp B trên 01_chien_dau/Vu_khi)</t>
        </is>
      </c>
      <c r="BC200" t="inlineStr"/>
    </row>
    <row r="201">
      <c r="A201" t="inlineStr">
        <is>
          <t>none</t>
        </is>
      </c>
      <c r="B201" t="n">
        <v>0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</v>
      </c>
      <c r="I201">
        <f>Vu_khi!$W$201*MAX(1,$E$201)</f>
        <v/>
      </c>
      <c r="J201" t="n">
        <v>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0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0.3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0.6</v>
      </c>
      <c r="AA201">
        <f>INDEX(Bang_xuyen_giap!$C$2:$C$7,MIN(6,MAX(1,IF($O$201,MAX(1,2-(Vu_khi!$L$201-0)),2-(Vu_khi!$L$201-0))+1)))</f>
        <v/>
      </c>
      <c r="AB201" t="n">
        <v>0.85</v>
      </c>
      <c r="AC201">
        <f>INDEX(Bang_xuyen_giap!$C$2:$C$7,MIN(6,MAX(1,IF($O$201,MAX(1,2-(Vu_khi!$L$201-2)),2-(Vu_khi!$L$201-2))+1)))</f>
        <v/>
      </c>
      <c r="AD201" t="n">
        <v>0.25</v>
      </c>
      <c r="AE201">
        <f>INDEX(Bang_xuyen_giap!$C$2:$C$7,MIN(6,MAX(1,IF($O$201,MAX(1,2-(Vu_khi!$L$201-4)),2-(Vu_khi!$L$201-4))+1)))</f>
        <v/>
      </c>
      <c r="AF201" t="n">
        <v>0.1</v>
      </c>
      <c r="AG201">
        <f>INDEX(Bang_xuyen_giap!$C$2:$C$7,MIN(6,MAX(1,MAX(1,2-(Vu_khi!$L$201-0))+1)))</f>
        <v/>
      </c>
      <c r="AH201" t="n">
        <v>0.85</v>
      </c>
      <c r="AI201">
        <f>IF($Q$201,$M$201*$AA$201*$U$201,0)</f>
        <v/>
      </c>
      <c r="AJ201" t="n">
        <v>0</v>
      </c>
      <c r="AK201">
        <f>IF($Q$201,$M$201*$AC$201*$U$201,0)</f>
        <v/>
      </c>
      <c r="AL201" t="n">
        <v>0</v>
      </c>
      <c r="AM201">
        <f>IF($Q$201,$M$201*$AE$201*$U$201,0)</f>
        <v/>
      </c>
      <c r="AN201" t="n">
        <v>0</v>
      </c>
      <c r="AO201">
        <f>IF($Q$201,$M$201*$AC$201*$Y$201,0)</f>
        <v/>
      </c>
      <c r="AP201" t="n">
        <v>0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0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AY201" t="inlineStr"/>
      <c r="AZ201" t="inlineStr">
        <is>
          <t>ok</t>
        </is>
      </c>
      <c r="BA201" t="inlineStr"/>
      <c r="BB201" t="inlineStr">
        <is>
          <t>Assets/MachineBrigade/Resources/Data/balance.json: weapons[id=none] (lớp B trên 01_chien_dau/Vu_khi)</t>
        </is>
      </c>
      <c r="BC201" t="inlineStr"/>
    </row>
    <row r="202">
      <c r="A202" t="inlineStr">
        <is>
          <t>one_shot_kornet</t>
        </is>
      </c>
      <c r="B202" t="n">
        <v>2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8</v>
      </c>
      <c r="G202">
        <f>IF(Vu_khi!$S$202&gt;0,(Vu_khi!$S$202-1)*Vu_khi!$R$202+Vu_khi!$T$202,Vu_khi!$R$202+(Vu_khi!$P$202-1)*Vu_khi!$Q$202)</f>
        <v/>
      </c>
      <c r="H202" t="n">
        <v>1000007.4</v>
      </c>
      <c r="I202">
        <f>Vu_khi!$W$202*MAX(1,$E$202)</f>
        <v/>
      </c>
      <c r="J202" t="n">
        <v>1840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0.001839986384100758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0.3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0.6</v>
      </c>
      <c r="AA202">
        <f>INDEX(Bang_xuyen_giap!$C$2:$C$7,MIN(6,MAX(1,IF($O$202,MAX(1,2-(Vu_khi!$L$202-0)),2-(Vu_khi!$L$202-0))+1)))</f>
        <v/>
      </c>
      <c r="AB202" t="n">
        <v>1.2</v>
      </c>
      <c r="AC202">
        <f>INDEX(Bang_xuyen_giap!$C$2:$C$7,MIN(6,MAX(1,IF($O$202,MAX(1,2-(Vu_khi!$L$202-2)),2-(Vu_khi!$L$202-2))+1)))</f>
        <v/>
      </c>
      <c r="AD202" t="n">
        <v>1.2</v>
      </c>
      <c r="AE202">
        <f>INDEX(Bang_xuyen_giap!$C$2:$C$7,MIN(6,MAX(1,IF($O$202,MAX(1,2-(Vu_khi!$L$202-4)),2-(Vu_khi!$L$202-4))+1)))</f>
        <v/>
      </c>
      <c r="AF202" t="n">
        <v>0.85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0.002207983660920909</v>
      </c>
      <c r="AK202">
        <f>IF($Q$202,$M$202*$AC$202*$U$202,0)</f>
        <v/>
      </c>
      <c r="AL202" t="n">
        <v>0.002207983660920909</v>
      </c>
      <c r="AM202">
        <f>IF($Q$202,$M$202*$AE$202*$U$202,0)</f>
        <v/>
      </c>
      <c r="AN202" t="n">
        <v>0.001563988426485644</v>
      </c>
      <c r="AO202">
        <f>IF($Q$202,$M$202*$AC$202*$Y$202,0)</f>
        <v/>
      </c>
      <c r="AP202" t="n">
        <v>0.001324790196552545</v>
      </c>
      <c r="AQ202">
        <f>IF($S$202,$M$202*$AG$202*$W$202,0)</f>
        <v/>
      </c>
      <c r="AR202" t="n">
        <v>0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2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n">
        <v>0.06</v>
      </c>
      <c r="AZ202" t="inlineStr">
        <is>
          <t>NHANH_QUA;LECH_DOT_1</t>
        </is>
      </c>
      <c r="BA202" t="inlineStr"/>
      <c r="BB202" t="inlineStr">
        <is>
          <t>Assets/MachineBrigade/Resources/Data/balance.json: weapons[id=one_shot_kornet] (lớp B trên 01_chien_dau/Vu_khi)</t>
        </is>
      </c>
      <c r="BC202" t="inlineStr"/>
    </row>
    <row r="203">
      <c r="A203" t="inlineStr">
        <is>
          <t>orbital_laser</t>
        </is>
      </c>
      <c r="B203" t="n">
        <v>1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0.1</v>
      </c>
      <c r="I203">
        <f>Vu_khi!$W$203*MAX(1,$E$203)</f>
        <v/>
      </c>
      <c r="J203" t="n">
        <v>9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90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1.5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0.5</v>
      </c>
      <c r="AA203">
        <f>INDEX(Bang_xuyen_giap!$C$2:$C$7,MIN(6,MAX(1,IF($O$203,MAX(1,2-(Vu_khi!$L$203-0)),2-(Vu_khi!$L$203-0))+1)))</f>
        <v/>
      </c>
      <c r="AB203" t="n">
        <v>1.2</v>
      </c>
      <c r="AC203">
        <f>INDEX(Bang_xuyen_giap!$C$2:$C$7,MIN(6,MAX(1,IF($O$203,MAX(1,2-(Vu_khi!$L$203-2)),2-(Vu_khi!$L$203-2))+1)))</f>
        <v/>
      </c>
      <c r="AD203" t="n">
        <v>1.2</v>
      </c>
      <c r="AE203">
        <f>INDEX(Bang_xuyen_giap!$C$2:$C$7,MIN(6,MAX(1,IF($O$203,MAX(1,2-(Vu_khi!$L$203-4)),2-(Vu_khi!$L$203-4))+1)))</f>
        <v/>
      </c>
      <c r="AF203" t="n">
        <v>0.85</v>
      </c>
      <c r="AG203">
        <f>INDEX(Bang_xuyen_giap!$C$2:$C$7,MIN(6,MAX(1,MAX(1,2-(Vu_khi!$L$203-0))+1)))</f>
        <v/>
      </c>
      <c r="AH203" t="n">
        <v>1</v>
      </c>
      <c r="AI203">
        <f>IF($Q$203,$M$203*$AA$203*$U$203,0)</f>
        <v/>
      </c>
      <c r="AJ203" t="n">
        <v>108</v>
      </c>
      <c r="AK203">
        <f>IF($Q$203,$M$203*$AC$203*$U$203,0)</f>
        <v/>
      </c>
      <c r="AL203" t="n">
        <v>108</v>
      </c>
      <c r="AM203">
        <f>IF($Q$203,$M$203*$AE$203*$U$203,0)</f>
        <v/>
      </c>
      <c r="AN203" t="n">
        <v>76.5</v>
      </c>
      <c r="AO203">
        <f>IF($Q$203,$M$203*$AC$203*$Y$203,0)</f>
        <v/>
      </c>
      <c r="AP203" t="n">
        <v>54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1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weapons[id=orbital_laser] (lớp B trên 01_chien_dau/Vu_khi)</t>
        </is>
      </c>
      <c r="BC203" t="inlineStr"/>
    </row>
    <row r="204">
      <c r="A204" t="inlineStr">
        <is>
          <t>p26_bastion_b100</t>
        </is>
      </c>
      <c r="B204" t="n">
        <v>2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4</v>
      </c>
      <c r="I204">
        <f>Vu_khi!$W$204*MAX(1,$E$204)</f>
        <v/>
      </c>
      <c r="J204" t="n">
        <v>240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60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0.3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0.6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1.2</v>
      </c>
      <c r="AE204">
        <f>INDEX(Bang_xuyen_giap!$C$2:$C$7,MIN(6,MAX(1,IF($O$204,MAX(1,2-(Vu_khi!$L$204-4)),2-(Vu_khi!$L$204-4))+1)))</f>
        <v/>
      </c>
      <c r="AF204" t="n">
        <v>1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72</v>
      </c>
      <c r="AK204">
        <f>IF($Q$204,$M$204*$AC$204*$U$204,0)</f>
        <v/>
      </c>
      <c r="AL204" t="n">
        <v>72</v>
      </c>
      <c r="AM204">
        <f>IF($Q$204,$M$204*$AE$204*$U$204,0)</f>
        <v/>
      </c>
      <c r="AN204" t="n">
        <v>60</v>
      </c>
      <c r="AO204">
        <f>IF($Q$204,$M$204*$AC$204*$Y$204,0)</f>
        <v/>
      </c>
      <c r="AP204" t="n">
        <v>43.2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2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n">
        <v>0.326667</v>
      </c>
      <c r="AZ204" t="inlineStr">
        <is>
          <t>NHANH_QUA;LECH_DOT_1</t>
        </is>
      </c>
      <c r="BA204" t="inlineStr"/>
      <c r="BB204" t="inlineStr">
        <is>
          <t>Assets/MachineBrigade/Resources/Data/balance.json: weapons[id=p26_bastion_b100] (lớp B trên 01_chien_dau/Vu_khi)</t>
        </is>
      </c>
      <c r="BC204" t="inlineStr"/>
    </row>
    <row r="205">
      <c r="A205" t="inlineStr">
        <is>
          <t>p26_bastion_b155</t>
        </is>
      </c>
      <c r="B205" t="n">
        <v>3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</v>
      </c>
      <c r="G205">
        <f>IF(Vu_khi!$S$205&gt;0,(Vu_khi!$S$205-1)*Vu_khi!$R$205+Vu_khi!$T$205,Vu_khi!$R$205+(Vu_khi!$P$205-1)*Vu_khi!$Q$205)</f>
        <v/>
      </c>
      <c r="H205" t="n">
        <v>2</v>
      </c>
      <c r="I205">
        <f>Vu_khi!$W$205*MAX(1,$E$205)</f>
        <v/>
      </c>
      <c r="J205" t="n">
        <v>540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270</v>
      </c>
      <c r="O205">
        <f>OR(Vu_khi!$AG$205,Vu_khi!$AB$205&gt;0,Vu_khi!$AH$205,Vu_khi!$M$205="Bomb",Vu_khi!$M$205="Drone")</f>
        <v/>
      </c>
      <c r="P205" t="b">
        <v>1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0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1.5</v>
      </c>
      <c r="AA205">
        <f>INDEX(Bang_xuyen_giap!$C$2:$C$7,MIN(6,MAX(1,IF($O$205,MAX(1,2-(Vu_khi!$L$205-0)),2-(Vu_khi!$L$205-0))+1)))</f>
        <v/>
      </c>
      <c r="AB205" t="n">
        <v>1</v>
      </c>
      <c r="AC205">
        <f>INDEX(Bang_xuyen_giap!$C$2:$C$7,MIN(6,MAX(1,IF($O$205,MAX(1,2-(Vu_khi!$L$205-2)),2-(Vu_khi!$L$205-2))+1)))</f>
        <v/>
      </c>
      <c r="AD205" t="n">
        <v>1</v>
      </c>
      <c r="AE205">
        <f>INDEX(Bang_xuyen_giap!$C$2:$C$7,MIN(6,MAX(1,IF($O$205,MAX(1,2-(Vu_khi!$L$205-4)),2-(Vu_khi!$L$205-4))+1)))</f>
        <v/>
      </c>
      <c r="AF205" t="n">
        <v>0.85</v>
      </c>
      <c r="AG205">
        <f>INDEX(Bang_xuyen_giap!$C$2:$C$7,MIN(6,MAX(1,MAX(1,2-(Vu_khi!$L$205-0))+1)))</f>
        <v/>
      </c>
      <c r="AH205" t="n">
        <v>1</v>
      </c>
      <c r="AI205">
        <f>IF($Q$205,$M$205*$AA$205*$U$205,0)</f>
        <v/>
      </c>
      <c r="AJ205" t="n">
        <v>270</v>
      </c>
      <c r="AK205">
        <f>IF($Q$205,$M$205*$AC$205*$U$205,0)</f>
        <v/>
      </c>
      <c r="AL205" t="n">
        <v>270</v>
      </c>
      <c r="AM205">
        <f>IF($Q$205,$M$205*$AE$205*$U$205,0)</f>
        <v/>
      </c>
      <c r="AN205" t="n">
        <v>229.5</v>
      </c>
      <c r="AO205">
        <f>IF($Q$205,$M$205*$AC$205*$Y$205,0)</f>
        <v/>
      </c>
      <c r="AP205" t="n">
        <v>405</v>
      </c>
      <c r="AQ205">
        <f>IF($S$205,$M$205*$AG$205*$W$205,0)</f>
        <v/>
      </c>
      <c r="AR205" t="n">
        <v>0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3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n">
        <v>0.093333</v>
      </c>
      <c r="AZ205" t="inlineStr">
        <is>
          <t>NHANH_QUA;LECH_DOT_1</t>
        </is>
      </c>
      <c r="BA205" t="inlineStr"/>
      <c r="BB205" t="inlineStr">
        <is>
          <t>Assets/MachineBrigade/Resources/Data/balance.json: weapons[id=p26_bastion_b155] (lớp B trên 01_chien_dau/Vu_khi)</t>
        </is>
      </c>
      <c r="BC205" t="inlineStr"/>
    </row>
    <row r="206">
      <c r="A206" t="inlineStr">
        <is>
          <t>p26_bastion_b240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1</v>
      </c>
      <c r="G206">
        <f>IF(Vu_khi!$S$206&gt;0,(Vu_khi!$S$206-1)*Vu_khi!$R$206+Vu_khi!$T$206,Vu_khi!$R$206+(Vu_khi!$P$206-1)*Vu_khi!$Q$206)</f>
        <v/>
      </c>
      <c r="H206" t="n">
        <v>5</v>
      </c>
      <c r="I206">
        <f>Vu_khi!$W$206*MAX(1,$E$206)</f>
        <v/>
      </c>
      <c r="J206" t="n">
        <v>750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150</v>
      </c>
      <c r="O206">
        <f>OR(Vu_khi!$AG$206,Vu_khi!$AB$206&gt;0,Vu_khi!$AH$206,Vu_khi!$M$206="Bomb",Vu_khi!$M$206="Drone")</f>
        <v/>
      </c>
      <c r="P206" t="b">
        <v>1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1.5</v>
      </c>
      <c r="AA206">
        <f>INDEX(Bang_xuyen_giap!$C$2:$C$7,MIN(6,MAX(1,IF($O$206,MAX(1,2-(Vu_khi!$L$206-0)),2-(Vu_khi!$L$206-0))+1)))</f>
        <v/>
      </c>
      <c r="AB206" t="n">
        <v>1</v>
      </c>
      <c r="AC206">
        <f>INDEX(Bang_xuyen_giap!$C$2:$C$7,MIN(6,MAX(1,IF($O$206,MAX(1,2-(Vu_khi!$L$206-2)),2-(Vu_khi!$L$206-2))+1)))</f>
        <v/>
      </c>
      <c r="AD206" t="n">
        <v>1</v>
      </c>
      <c r="AE206">
        <f>INDEX(Bang_xuyen_giap!$C$2:$C$7,MIN(6,MAX(1,IF($O$206,MAX(1,2-(Vu_khi!$L$206-4)),2-(Vu_khi!$L$206-4))+1)))</f>
        <v/>
      </c>
      <c r="AF206" t="n">
        <v>0.85</v>
      </c>
      <c r="AG206">
        <f>INDEX(Bang_xuyen_giap!$C$2:$C$7,MIN(6,MAX(1,MAX(1,2-(Vu_khi!$L$206-0))+1)))</f>
        <v/>
      </c>
      <c r="AH206" t="n">
        <v>1</v>
      </c>
      <c r="AI206">
        <f>IF($Q$206,$M$206*$AA$206*$U$206,0)</f>
        <v/>
      </c>
      <c r="AJ206" t="n">
        <v>150</v>
      </c>
      <c r="AK206">
        <f>IF($Q$206,$M$206*$AC$206*$U$206,0)</f>
        <v/>
      </c>
      <c r="AL206" t="n">
        <v>150</v>
      </c>
      <c r="AM206">
        <f>IF($Q$206,$M$206*$AE$206*$U$206,0)</f>
        <v/>
      </c>
      <c r="AN206" t="n">
        <v>127.5</v>
      </c>
      <c r="AO206">
        <f>IF($Q$206,$M$206*$AC$206*$Y$206,0)</f>
        <v/>
      </c>
      <c r="AP206" t="n">
        <v>225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1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2.722222222222222</v>
      </c>
      <c r="AY206" t="n">
        <v>0.058333</v>
      </c>
      <c r="AZ206" t="inlineStr">
        <is>
          <t>NHANH_QUA;LECH_DOT_1</t>
        </is>
      </c>
      <c r="BA206" t="inlineStr"/>
      <c r="BB206" t="inlineStr">
        <is>
          <t>Assets/MachineBrigade/Resources/Data/balance.json: weapons[id=p26_bastion_b240] (lớp B trên 01_chien_dau/Vu_khi)</t>
        </is>
      </c>
      <c r="BC206" t="inlineStr"/>
    </row>
    <row r="207">
      <c r="A207" t="inlineStr">
        <is>
          <t>p26_bastion_close_boss_hmg</t>
        </is>
      </c>
      <c r="B207" t="n">
        <v>0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100</v>
      </c>
      <c r="G207">
        <f>IF(Vu_khi!$S$207&gt;0,(Vu_khi!$S$207-1)*Vu_khi!$R$207+Vu_khi!$T$207,Vu_khi!$R$207+(Vu_khi!$P$207-1)*Vu_khi!$Q$207)</f>
        <v/>
      </c>
      <c r="H207" t="n">
        <v>13.2467</v>
      </c>
      <c r="I207">
        <f>Vu_khi!$W$207*MAX(1,$E$207)</f>
        <v/>
      </c>
      <c r="J207" t="n">
        <v>1500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113.235749280953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1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</v>
      </c>
      <c r="AC207">
        <f>INDEX(Bang_xuyen_giap!$C$2:$C$7,MIN(6,MAX(1,IF($O$207,MAX(1,2-(Vu_khi!$L$207-2)),2-(Vu_khi!$L$207-2))+1)))</f>
        <v/>
      </c>
      <c r="AD207" t="n">
        <v>0.5</v>
      </c>
      <c r="AE207">
        <f>INDEX(Bang_xuyen_giap!$C$2:$C$7,MIN(6,MAX(1,IF($O$207,MAX(1,2-(Vu_khi!$L$207-4)),2-(Vu_khi!$L$207-4))+1)))</f>
        <v/>
      </c>
      <c r="AF207" t="n">
        <v>0.1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113.235749280953</v>
      </c>
      <c r="AK207">
        <f>IF($Q$207,$M$207*$AC$207*$U$207,0)</f>
        <v/>
      </c>
      <c r="AL207" t="n">
        <v>56.61787464047649</v>
      </c>
      <c r="AM207">
        <f>IF($Q$207,$M$207*$AE$207*$U$207,0)</f>
        <v/>
      </c>
      <c r="AN207" t="n">
        <v>11.3235749280953</v>
      </c>
      <c r="AO207">
        <f>IF($Q$207,$M$207*$AC$207*$Y$207,0)</f>
        <v/>
      </c>
      <c r="AP207" t="n">
        <v>33.97072478428589</v>
      </c>
      <c r="AQ207">
        <f>IF($S$207,$M$207*$AG$207*$W$207,0)</f>
        <v/>
      </c>
      <c r="AR207" t="n">
        <v>33.97072478428589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0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1.766227</v>
      </c>
      <c r="AZ207" t="inlineStr">
        <is>
          <t>ok</t>
        </is>
      </c>
      <c r="BA207" t="b">
        <v>1</v>
      </c>
      <c r="BB207" t="inlineStr">
        <is>
          <t>Assets/MachineBrigade/Resources/Data/balance.json: weapons[id=p26_bastion_close_boss_hmg] (lớp B trên 01_chien_dau/Vu_khi)</t>
        </is>
      </c>
      <c r="BC207" t="inlineStr"/>
    </row>
    <row r="208">
      <c r="A208" t="inlineStr">
        <is>
          <t>p26_bastion_direct_b100</t>
        </is>
      </c>
      <c r="B208" t="n">
        <v>2</v>
      </c>
      <c r="C208">
        <f>IF(Vu_khi!$O$208="SIMULTANEOUS",MAX(1,Vu_khi!$N$208),1)</f>
        <v/>
      </c>
      <c r="D208" t="n">
        <v>2</v>
      </c>
      <c r="E208">
        <f>IF(Vu_khi!$S$208&gt;0,Vu_khi!$S$208,Vu_khi!$P$208*$C$208)</f>
        <v/>
      </c>
      <c r="F208" t="n">
        <v>2</v>
      </c>
      <c r="G208">
        <f>IF(Vu_khi!$S$208&gt;0,(Vu_khi!$S$208-1)*Vu_khi!$R$208+Vu_khi!$T$208,Vu_khi!$R$208+(Vu_khi!$P$208-1)*Vu_khi!$Q$208)</f>
        <v/>
      </c>
      <c r="H208" t="n">
        <v>8.6</v>
      </c>
      <c r="I208">
        <f>Vu_khi!$W$208*MAX(1,$E$208)</f>
        <v/>
      </c>
      <c r="J208" t="n">
        <v>480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55.81395348837209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0.6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1.2</v>
      </c>
      <c r="AE208">
        <f>INDEX(Bang_xuyen_giap!$C$2:$C$7,MIN(6,MAX(1,IF($O$208,MAX(1,2-(Vu_khi!$L$208-4)),2-(Vu_khi!$L$208-4))+1)))</f>
        <v/>
      </c>
      <c r="AF208" t="n">
        <v>1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66.9767441860465</v>
      </c>
      <c r="AK208">
        <f>IF($Q$208,$M$208*$AC$208*$U$208,0)</f>
        <v/>
      </c>
      <c r="AL208" t="n">
        <v>66.9767441860465</v>
      </c>
      <c r="AM208">
        <f>IF($Q$208,$M$208*$AE$208*$U$208,0)</f>
        <v/>
      </c>
      <c r="AN208" t="n">
        <v>55.81395348837209</v>
      </c>
      <c r="AO208">
        <f>IF($Q$208,$M$208*$AC$208*$Y$208,0)</f>
        <v/>
      </c>
      <c r="AP208" t="n">
        <v>40.18604651162791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2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n">
        <v>0.702333</v>
      </c>
      <c r="AZ208" t="inlineStr">
        <is>
          <t>ok</t>
        </is>
      </c>
      <c r="BA208" t="b">
        <v>1</v>
      </c>
      <c r="BB208" t="inlineStr">
        <is>
          <t>Assets/MachineBrigade/Resources/Data/balance.json: weapons[id=p26_bastion_direct_b100] (lớp B trên 01_chien_dau/Vu_khi)</t>
        </is>
      </c>
      <c r="BC208" t="inlineStr"/>
    </row>
    <row r="209">
      <c r="A209" t="inlineStr">
        <is>
          <t>p26_bastion_main_b155</t>
        </is>
      </c>
      <c r="B209" t="n">
        <v>3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15</v>
      </c>
      <c r="I209">
        <f>Vu_khi!$W$209*MAX(1,$E$209)</f>
        <v/>
      </c>
      <c r="J209" t="n">
        <v>600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40</v>
      </c>
      <c r="O209">
        <f>OR(Vu_khi!$AG$209,Vu_khi!$AB$209&gt;0,Vu_khi!$AH$209,Vu_khi!$M$209="Bomb",Vu_khi!$M$209="Drone")</f>
        <v/>
      </c>
      <c r="P209" t="b">
        <v>1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1.5</v>
      </c>
      <c r="AA209">
        <f>INDEX(Bang_xuyen_giap!$C$2:$C$7,MIN(6,MAX(1,IF($O$209,MAX(1,2-(Vu_khi!$L$209-0)),2-(Vu_khi!$L$209-0))+1)))</f>
        <v/>
      </c>
      <c r="AB209" t="n">
        <v>1</v>
      </c>
      <c r="AC209">
        <f>INDEX(Bang_xuyen_giap!$C$2:$C$7,MIN(6,MAX(1,IF($O$209,MAX(1,2-(Vu_khi!$L$209-2)),2-(Vu_khi!$L$209-2))+1)))</f>
        <v/>
      </c>
      <c r="AD209" t="n">
        <v>1</v>
      </c>
      <c r="AE209">
        <f>INDEX(Bang_xuyen_giap!$C$2:$C$7,MIN(6,MAX(1,IF($O$209,MAX(1,2-(Vu_khi!$L$209-4)),2-(Vu_khi!$L$209-4))+1)))</f>
        <v/>
      </c>
      <c r="AF209" t="n">
        <v>0.85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40</v>
      </c>
      <c r="AK209">
        <f>IF($Q$209,$M$209*$AC$209*$U$209,0)</f>
        <v/>
      </c>
      <c r="AL209" t="n">
        <v>40</v>
      </c>
      <c r="AM209">
        <f>IF($Q$209,$M$209*$AE$209*$U$209,0)</f>
        <v/>
      </c>
      <c r="AN209" t="n">
        <v>34</v>
      </c>
      <c r="AO209">
        <f>IF($Q$209,$M$209*$AC$209*$Y$209,0)</f>
        <v/>
      </c>
      <c r="AP209" t="n">
        <v>60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3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0.7</v>
      </c>
      <c r="AZ209" t="inlineStr">
        <is>
          <t>ok</t>
        </is>
      </c>
      <c r="BA209" t="b">
        <v>1</v>
      </c>
      <c r="BB209" t="inlineStr">
        <is>
          <t>Assets/MachineBrigade/Resources/Data/balance.json: weapons[id=p26_bastion_main_b155] (lớp B trên 01_chien_dau/Vu_khi)</t>
        </is>
      </c>
      <c r="BC209" t="inlineStr"/>
    </row>
    <row r="210">
      <c r="A210" t="inlineStr">
        <is>
          <t>p26_bastion_sec_b240</t>
        </is>
      </c>
      <c r="B210" t="n">
        <v>4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60</v>
      </c>
      <c r="I210">
        <f>Vu_khi!$W$210*MAX(1,$E$210)</f>
        <v/>
      </c>
      <c r="J210" t="n">
        <v>1100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18.33333333333333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1.5</v>
      </c>
      <c r="AA210">
        <f>INDEX(Bang_xuyen_giap!$C$2:$C$7,MIN(6,MAX(1,IF($O$210,MAX(1,2-(Vu_khi!$L$210-0)),2-(Vu_khi!$L$210-0))+1)))</f>
        <v/>
      </c>
      <c r="AB210" t="n">
        <v>1</v>
      </c>
      <c r="AC210">
        <f>INDEX(Bang_xuyen_giap!$C$2:$C$7,MIN(6,MAX(1,IF($O$210,MAX(1,2-(Vu_khi!$L$210-2)),2-(Vu_khi!$L$210-2))+1)))</f>
        <v/>
      </c>
      <c r="AD210" t="n">
        <v>1</v>
      </c>
      <c r="AE210">
        <f>INDEX(Bang_xuyen_giap!$C$2:$C$7,MIN(6,MAX(1,IF($O$210,MAX(1,2-(Vu_khi!$L$210-4)),2-(Vu_khi!$L$210-4))+1)))</f>
        <v/>
      </c>
      <c r="AF210" t="n">
        <v>0.85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18.33333333333333</v>
      </c>
      <c r="AK210">
        <f>IF($Q$210,$M$210*$AC$210*$U$210,0)</f>
        <v/>
      </c>
      <c r="AL210" t="n">
        <v>18.33333333333333</v>
      </c>
      <c r="AM210">
        <f>IF($Q$210,$M$210*$AE$210*$U$210,0)</f>
        <v/>
      </c>
      <c r="AN210" t="n">
        <v>15.58333333333333</v>
      </c>
      <c r="AO210">
        <f>IF($Q$210,$M$210*$AC$210*$Y$210,0)</f>
        <v/>
      </c>
      <c r="AP210" t="n">
        <v>27.5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1</v>
      </c>
      <c r="AU210">
        <f>IF(AND($B$210&lt;0,$AS$210),4,$B$210)</f>
        <v/>
      </c>
      <c r="AV210" t="n">
        <v>4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2.722222222222222</v>
      </c>
      <c r="AY210" t="n">
        <v>0.7</v>
      </c>
      <c r="AZ210" t="inlineStr">
        <is>
          <t>ok</t>
        </is>
      </c>
      <c r="BA210" t="b">
        <v>1</v>
      </c>
      <c r="BB210" t="inlineStr">
        <is>
          <t>Assets/MachineBrigade/Resources/Data/balance.json: weapons[id=p26_bastion_sec_b240] (lớp B trên 01_chien_dau/Vu_khi)</t>
        </is>
      </c>
      <c r="BC210" t="inlineStr"/>
    </row>
    <row r="211">
      <c r="A211" t="inlineStr">
        <is>
          <t>p26_bastion_tiny_autocannon_40</t>
        </is>
      </c>
      <c r="B211" t="n">
        <v>1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10</v>
      </c>
      <c r="G211">
        <f>IF(Vu_khi!$S$211&gt;0,(Vu_khi!$S$211-1)*Vu_khi!$R$211+Vu_khi!$T$211,Vu_khi!$R$211+(Vu_khi!$P$211-1)*Vu_khi!$Q$211)</f>
        <v/>
      </c>
      <c r="H211" t="n">
        <v>3.32</v>
      </c>
      <c r="I211">
        <f>Vu_khi!$W$211*MAX(1,$E$211)</f>
        <v/>
      </c>
      <c r="J211" t="n">
        <v>300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90.36144578313252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1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0.3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0.6</v>
      </c>
      <c r="AA211">
        <f>INDEX(Bang_xuyen_giap!$C$2:$C$7,MIN(6,MAX(1,IF($O$211,MAX(1,2-(Vu_khi!$L$211-0)),2-(Vu_khi!$L$211-0))+1)))</f>
        <v/>
      </c>
      <c r="AB211" t="n">
        <v>1.2</v>
      </c>
      <c r="AC211">
        <f>INDEX(Bang_xuyen_giap!$C$2:$C$7,MIN(6,MAX(1,IF($O$211,MAX(1,2-(Vu_khi!$L$211-2)),2-(Vu_khi!$L$211-2))+1)))</f>
        <v/>
      </c>
      <c r="AD211" t="n">
        <v>0.85</v>
      </c>
      <c r="AE211">
        <f>INDEX(Bang_xuyen_giap!$C$2:$C$7,MIN(6,MAX(1,IF($O$211,MAX(1,2-(Vu_khi!$L$211-4)),2-(Vu_khi!$L$211-4))+1)))</f>
        <v/>
      </c>
      <c r="AF211" t="n">
        <v>0.25</v>
      </c>
      <c r="AG211">
        <f>INDEX(Bang_xuyen_giap!$C$2:$C$7,MIN(6,MAX(1,MAX(1,2-(Vu_khi!$L$211-0))+1)))</f>
        <v/>
      </c>
      <c r="AH211" t="n">
        <v>1</v>
      </c>
      <c r="AI211">
        <f>IF($Q$211,$M$211*$AA$211*$U$211,0)</f>
        <v/>
      </c>
      <c r="AJ211" t="n">
        <v>108.433734939759</v>
      </c>
      <c r="AK211">
        <f>IF($Q$211,$M$211*$AC$211*$U$211,0)</f>
        <v/>
      </c>
      <c r="AL211" t="n">
        <v>76.80722891566265</v>
      </c>
      <c r="AM211">
        <f>IF($Q$211,$M$211*$AE$211*$U$211,0)</f>
        <v/>
      </c>
      <c r="AN211" t="n">
        <v>22.59036144578313</v>
      </c>
      <c r="AO211">
        <f>IF($Q$211,$M$211*$AC$211*$Y$211,0)</f>
        <v/>
      </c>
      <c r="AP211" t="n">
        <v>46.08433734939759</v>
      </c>
      <c r="AQ211">
        <f>IF($S$211,$M$211*$AG$211*$W$211,0)</f>
        <v/>
      </c>
      <c r="AR211" t="n">
        <v>27.10843373493976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0</v>
      </c>
      <c r="AU211">
        <f>IF(AND($B$211&lt;0,$AS$211),4,$B$211)</f>
        <v/>
      </c>
      <c r="AV211" t="n">
        <v>1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0</v>
      </c>
      <c r="AY211" t="n">
        <v>1.826</v>
      </c>
      <c r="AZ211" t="inlineStr">
        <is>
          <t>ok</t>
        </is>
      </c>
      <c r="BA211" t="b">
        <v>1</v>
      </c>
      <c r="BB211" t="inlineStr">
        <is>
          <t>Assets/MachineBrigade/Resources/Data/balance.json: weapons[id=p26_bastion_tiny_autocannon_40] (lớp B trên 01_chien_dau/Vu_khi)</t>
        </is>
      </c>
      <c r="BC211" t="inlineStr"/>
    </row>
    <row r="212">
      <c r="A212" t="inlineStr">
        <is>
          <t>p26_bastion_tiny_kornet_twin</t>
        </is>
      </c>
      <c r="B212" t="n">
        <v>2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2</v>
      </c>
      <c r="G212">
        <f>IF(Vu_khi!$S$212&gt;0,(Vu_khi!$S$212-1)*Vu_khi!$R$212+Vu_khi!$T$212,Vu_khi!$R$212+(Vu_khi!$P$212-1)*Vu_khi!$Q$212)</f>
        <v/>
      </c>
      <c r="H212" t="n">
        <v>20</v>
      </c>
      <c r="I212">
        <f>Vu_khi!$W$212*MAX(1,$E$212)</f>
        <v/>
      </c>
      <c r="J212" t="n">
        <v>460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23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0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0.6</v>
      </c>
      <c r="AA212">
        <f>INDEX(Bang_xuyen_giap!$C$2:$C$7,MIN(6,MAX(1,IF($O$212,MAX(1,2-(Vu_khi!$L$212-0)),2-(Vu_khi!$L$212-0))+1)))</f>
        <v/>
      </c>
      <c r="AB212" t="n">
        <v>1.2</v>
      </c>
      <c r="AC212">
        <f>INDEX(Bang_xuyen_giap!$C$2:$C$7,MIN(6,MAX(1,IF($O$212,MAX(1,2-(Vu_khi!$L$212-2)),2-(Vu_khi!$L$212-2))+1)))</f>
        <v/>
      </c>
      <c r="AD212" t="n">
        <v>1.2</v>
      </c>
      <c r="AE212">
        <f>INDEX(Bang_xuyen_giap!$C$2:$C$7,MIN(6,MAX(1,IF($O$212,MAX(1,2-(Vu_khi!$L$212-4)),2-(Vu_khi!$L$212-4))+1)))</f>
        <v/>
      </c>
      <c r="AF212" t="n">
        <v>0.85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27.6</v>
      </c>
      <c r="AK212">
        <f>IF($Q$212,$M$212*$AC$212*$U$212,0)</f>
        <v/>
      </c>
      <c r="AL212" t="n">
        <v>27.6</v>
      </c>
      <c r="AM212">
        <f>IF($Q$212,$M$212*$AE$212*$U$212,0)</f>
        <v/>
      </c>
      <c r="AN212" t="n">
        <v>19.55</v>
      </c>
      <c r="AO212">
        <f>IF($Q$212,$M$212*$AC$212*$Y$212,0)</f>
        <v/>
      </c>
      <c r="AP212" t="n">
        <v>16.56</v>
      </c>
      <c r="AQ212">
        <f>IF($S$212,$M$212*$AG$212*$W$212,0)</f>
        <v/>
      </c>
      <c r="AR212" t="n">
        <v>0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2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weapons[id=p26_bastion_tiny_kornet_twin] (lớp B trên 01_chien_dau/Vu_khi)</t>
        </is>
      </c>
      <c r="BC212" t="inlineStr"/>
    </row>
    <row r="213">
      <c r="A213" t="inlineStr">
        <is>
          <t>p26_bastion_tiny_zu23</t>
        </is>
      </c>
      <c r="B213" t="n">
        <v>1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100</v>
      </c>
      <c r="G213">
        <f>IF(Vu_khi!$S$213&gt;0,(Vu_khi!$S$213-1)*Vu_khi!$R$213+Vu_khi!$T$213,Vu_khi!$R$213+(Vu_khi!$P$213-1)*Vu_khi!$Q$213)</f>
        <v/>
      </c>
      <c r="H213" t="n">
        <v>4.96</v>
      </c>
      <c r="I213">
        <f>Vu_khi!$W$213*MAX(1,$E$213)</f>
        <v/>
      </c>
      <c r="J213" t="n">
        <v>350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70.56451612903226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1</v>
      </c>
      <c r="U213">
        <f>INDEX(Bang_sat_thuong!$B$2:$B$7,MATCH(Vu_khi!$K$213,Bang_sat_thuong!$A$2:$A$7,0))</f>
        <v/>
      </c>
      <c r="V213" t="n">
        <v>0.5</v>
      </c>
      <c r="W213">
        <f>INDEX(Bang_sat_thuong!$C$2:$C$7,MATCH(Vu_khi!$K$213,Bang_sat_thuong!$A$2:$A$7,0))</f>
        <v/>
      </c>
      <c r="X213" t="n">
        <v>1.3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0.1</v>
      </c>
      <c r="AA213">
        <f>INDEX(Bang_xuyen_giap!$C$2:$C$7,MIN(6,MAX(1,IF($O$213,MAX(1,2-(Vu_khi!$L$213-0)),2-(Vu_khi!$L$213-0))+1)))</f>
        <v/>
      </c>
      <c r="AB213" t="n">
        <v>1</v>
      </c>
      <c r="AC213">
        <f>INDEX(Bang_xuyen_giap!$C$2:$C$7,MIN(6,MAX(1,IF($O$213,MAX(1,2-(Vu_khi!$L$213-2)),2-(Vu_khi!$L$213-2))+1)))</f>
        <v/>
      </c>
      <c r="AD213" t="n">
        <v>0.5</v>
      </c>
      <c r="AE213">
        <f>INDEX(Bang_xuyen_giap!$C$2:$C$7,MIN(6,MAX(1,IF($O$213,MAX(1,2-(Vu_khi!$L$213-4)),2-(Vu_khi!$L$213-4))+1)))</f>
        <v/>
      </c>
      <c r="AF213" t="n">
        <v>0.1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35.28225806451613</v>
      </c>
      <c r="AK213">
        <f>IF($Q$213,$M$213*$AC$213*$U$213,0)</f>
        <v/>
      </c>
      <c r="AL213" t="n">
        <v>17.64112903225806</v>
      </c>
      <c r="AM213">
        <f>IF($Q$213,$M$213*$AE$213*$U$213,0)</f>
        <v/>
      </c>
      <c r="AN213" t="n">
        <v>3.528225806451613</v>
      </c>
      <c r="AO213">
        <f>IF($Q$213,$M$213*$AC$213*$Y$213,0)</f>
        <v/>
      </c>
      <c r="AP213" t="n">
        <v>3.528225806451613</v>
      </c>
      <c r="AQ213">
        <f>IF($S$213,$M$213*$AG$213*$W$213,0)</f>
        <v/>
      </c>
      <c r="AR213" t="n">
        <v>91.73387096774194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1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1.653333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weapons[id=p26_bastion_tiny_zu23] (lớp B trên 01_chien_dau/Vu_khi)</t>
        </is>
      </c>
      <c r="BC213" t="inlineStr"/>
    </row>
    <row r="214">
      <c r="A214" t="inlineStr">
        <is>
          <t>p26_behemoth_be120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4</v>
      </c>
      <c r="I214">
        <f>Vu_khi!$W$214*MAX(1,$E$214)</f>
        <v/>
      </c>
      <c r="J214" t="n">
        <v>260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65</v>
      </c>
      <c r="O214">
        <f>OR(Vu_khi!$AG$214,Vu_khi!$AB$214&gt;0,Vu_khi!$AH$214,Vu_khi!$M$214="Bomb",Vu_khi!$M$214="Drone")</f>
        <v/>
      </c>
      <c r="P214" t="b">
        <v>0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0.3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0.6</v>
      </c>
      <c r="AA214">
        <f>INDEX(Bang_xuyen_giap!$C$2:$C$7,MIN(6,MAX(1,IF($O$214,MAX(1,2-(Vu_khi!$L$214-0)),2-(Vu_khi!$L$214-0))+1)))</f>
        <v/>
      </c>
      <c r="AB214" t="n">
        <v>1.2</v>
      </c>
      <c r="AC214">
        <f>INDEX(Bang_xuyen_giap!$C$2:$C$7,MIN(6,MAX(1,IF($O$214,MAX(1,2-(Vu_khi!$L$214-2)),2-(Vu_khi!$L$214-2))+1)))</f>
        <v/>
      </c>
      <c r="AD214" t="n">
        <v>1.2</v>
      </c>
      <c r="AE214">
        <f>INDEX(Bang_xuyen_giap!$C$2:$C$7,MIN(6,MAX(1,IF($O$214,MAX(1,2-(Vu_khi!$L$214-4)),2-(Vu_khi!$L$214-4))+1)))</f>
        <v/>
      </c>
      <c r="AF214" t="n">
        <v>1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78</v>
      </c>
      <c r="AK214">
        <f>IF($Q$214,$M$214*$AC$214*$U$214,0)</f>
        <v/>
      </c>
      <c r="AL214" t="n">
        <v>78</v>
      </c>
      <c r="AM214">
        <f>IF($Q$214,$M$214*$AE$214*$U$214,0)</f>
        <v/>
      </c>
      <c r="AN214" t="n">
        <v>65</v>
      </c>
      <c r="AO214">
        <f>IF($Q$214,$M$214*$AC$214*$Y$214,0)</f>
        <v/>
      </c>
      <c r="AP214" t="n">
        <v>46.8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0.373333</v>
      </c>
      <c r="AZ214" t="inlineStr">
        <is>
          <t>NHANH_QUA;LECH_DOT_1</t>
        </is>
      </c>
      <c r="BA214" t="inlineStr"/>
      <c r="BB214" t="inlineStr">
        <is>
          <t>Assets/MachineBrigade/Resources/Data/balance.json: weapons[id=p26_behemoth_be120] (lớp B trên 01_chien_dau/Vu_khi)</t>
        </is>
      </c>
      <c r="BC214" t="inlineStr"/>
    </row>
    <row r="215">
      <c r="A215" t="inlineStr">
        <is>
          <t>p26_behemoth_be152</t>
        </is>
      </c>
      <c r="B215" t="n">
        <v>3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2</v>
      </c>
      <c r="I215">
        <f>Vu_khi!$W$215*MAX(1,$E$215)</f>
        <v/>
      </c>
      <c r="J215" t="n">
        <v>590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295</v>
      </c>
      <c r="O215">
        <f>OR(Vu_khi!$AG$215,Vu_khi!$AB$215&gt;0,Vu_khi!$AH$215,Vu_khi!$M$215="Bomb",Vu_khi!$M$215="Drone")</f>
        <v/>
      </c>
      <c r="P215" t="b">
        <v>0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1.2</v>
      </c>
      <c r="AC215">
        <f>INDEX(Bang_xuyen_giap!$C$2:$C$7,MIN(6,MAX(1,IF($O$215,MAX(1,2-(Vu_khi!$L$215-2)),2-(Vu_khi!$L$215-2))+1)))</f>
        <v/>
      </c>
      <c r="AD215" t="n">
        <v>1</v>
      </c>
      <c r="AE215">
        <f>INDEX(Bang_xuyen_giap!$C$2:$C$7,MIN(6,MAX(1,IF($O$215,MAX(1,2-(Vu_khi!$L$215-4)),2-(Vu_khi!$L$215-4))+1)))</f>
        <v/>
      </c>
      <c r="AF215" t="n">
        <v>0.5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354</v>
      </c>
      <c r="AK215">
        <f>IF($Q$215,$M$215*$AC$215*$U$215,0)</f>
        <v/>
      </c>
      <c r="AL215" t="n">
        <v>295</v>
      </c>
      <c r="AM215">
        <f>IF($Q$215,$M$215*$AE$215*$U$215,0)</f>
        <v/>
      </c>
      <c r="AN215" t="n">
        <v>147.5</v>
      </c>
      <c r="AO215">
        <f>IF($Q$215,$M$215*$AC$215*$Y$215,0)</f>
        <v/>
      </c>
      <c r="AP215" t="n">
        <v>442.5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0</v>
      </c>
      <c r="AU215">
        <f>IF(AND($B$215&lt;0,$AS$215),4,$B$215)</f>
        <v/>
      </c>
      <c r="AV215" t="n">
        <v>3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0</v>
      </c>
      <c r="AY215" t="n">
        <v>0.186667</v>
      </c>
      <c r="AZ215" t="inlineStr">
        <is>
          <t>NHANH_QUA;LECH_DOT_1</t>
        </is>
      </c>
      <c r="BA215" t="inlineStr"/>
      <c r="BB215" t="inlineStr">
        <is>
          <t>Assets/MachineBrigade/Resources/Data/balance.json: weapons[id=p26_behemoth_be152] (lớp B trên 01_chien_dau/Vu_khi)</t>
        </is>
      </c>
      <c r="BC215" t="inlineStr"/>
    </row>
    <row r="216">
      <c r="A216" t="inlineStr">
        <is>
          <t>p26_behemoth_be_rockets</t>
        </is>
      </c>
      <c r="B216" t="n">
        <v>3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8</v>
      </c>
      <c r="G216">
        <f>IF(Vu_khi!$S$216&gt;0,(Vu_khi!$S$216-1)*Vu_khi!$R$216+Vu_khi!$T$216,Vu_khi!$R$216+(Vu_khi!$P$216-1)*Vu_khi!$Q$216)</f>
        <v/>
      </c>
      <c r="H216" t="n">
        <v>8</v>
      </c>
      <c r="I216">
        <f>Vu_khi!$W$216*MAX(1,$E$216)</f>
        <v/>
      </c>
      <c r="J216" t="n">
        <v>1280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160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1.5</v>
      </c>
      <c r="AA216">
        <f>INDEX(Bang_xuyen_giap!$C$2:$C$7,MIN(6,MAX(1,IF($O$216,MAX(1,2-(Vu_khi!$L$216-0)),2-(Vu_khi!$L$216-0))+1)))</f>
        <v/>
      </c>
      <c r="AB216" t="n">
        <v>1.2</v>
      </c>
      <c r="AC216">
        <f>INDEX(Bang_xuyen_giap!$C$2:$C$7,MIN(6,MAX(1,IF($O$216,MAX(1,2-(Vu_khi!$L$216-2)),2-(Vu_khi!$L$216-2))+1)))</f>
        <v/>
      </c>
      <c r="AD216" t="n">
        <v>0.85</v>
      </c>
      <c r="AE216">
        <f>INDEX(Bang_xuyen_giap!$C$2:$C$7,MIN(6,MAX(1,IF($O$216,MAX(1,2-(Vu_khi!$L$216-4)),2-(Vu_khi!$L$216-4))+1)))</f>
        <v/>
      </c>
      <c r="AF216" t="n">
        <v>0.25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192</v>
      </c>
      <c r="AK216">
        <f>IF($Q$216,$M$216*$AC$216*$U$216,0)</f>
        <v/>
      </c>
      <c r="AL216" t="n">
        <v>136</v>
      </c>
      <c r="AM216">
        <f>IF($Q$216,$M$216*$AE$216*$U$216,0)</f>
        <v/>
      </c>
      <c r="AN216" t="n">
        <v>40</v>
      </c>
      <c r="AO216">
        <f>IF($Q$216,$M$216*$AC$216*$Y$216,0)</f>
        <v/>
      </c>
      <c r="AP216" t="n">
        <v>204</v>
      </c>
      <c r="AQ216">
        <f>IF($S$216,$M$216*$AG$216*$W$216,0)</f>
        <v/>
      </c>
      <c r="AR216" t="n">
        <v>0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3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0.6</v>
      </c>
      <c r="AZ216" t="inlineStr">
        <is>
          <t>LECH_DOT_1</t>
        </is>
      </c>
      <c r="BA216" t="inlineStr"/>
      <c r="BB216" t="inlineStr">
        <is>
          <t>Assets/MachineBrigade/Resources/Data/balance.json: weapons[id=p26_behemoth_be_rockets] (lớp B trên 01_chien_dau/Vu_khi)</t>
        </is>
      </c>
      <c r="BC216" t="inlineStr"/>
    </row>
    <row r="217">
      <c r="A217" t="inlineStr">
        <is>
          <t>p26_behemoth_close_boss_flak</t>
        </is>
      </c>
      <c r="B217" t="n">
        <v>1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41</v>
      </c>
      <c r="G217">
        <f>IF(Vu_khi!$S$217&gt;0,(Vu_khi!$S$217-1)*Vu_khi!$R$217+Vu_khi!$T$217,Vu_khi!$R$217+(Vu_khi!$P$217-1)*Vu_khi!$Q$217)</f>
        <v/>
      </c>
      <c r="H217" t="n">
        <v>5.38</v>
      </c>
      <c r="I217">
        <f>Vu_khi!$W$217*MAX(1,$E$217)</f>
        <v/>
      </c>
      <c r="J217" t="n">
        <v>1025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190.5204460966543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1</v>
      </c>
      <c r="U217">
        <f>INDEX(Bang_sat_thuong!$B$2:$B$7,MATCH(Vu_khi!$K$217,Bang_sat_thuong!$A$2:$A$7,0))</f>
        <v/>
      </c>
      <c r="V217" t="n">
        <v>0.5</v>
      </c>
      <c r="W217">
        <f>INDEX(Bang_sat_thuong!$C$2:$C$7,MATCH(Vu_khi!$K$217,Bang_sat_thuong!$A$2:$A$7,0))</f>
        <v/>
      </c>
      <c r="X217" t="n">
        <v>1.3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0.1</v>
      </c>
      <c r="AA217">
        <f>INDEX(Bang_xuyen_giap!$C$2:$C$7,MIN(6,MAX(1,IF($O$217,MAX(1,2-(Vu_khi!$L$217-0)),2-(Vu_khi!$L$217-0))+1)))</f>
        <v/>
      </c>
      <c r="AB217" t="n">
        <v>1.2</v>
      </c>
      <c r="AC217">
        <f>INDEX(Bang_xuyen_giap!$C$2:$C$7,MIN(6,MAX(1,IF($O$217,MAX(1,2-(Vu_khi!$L$217-2)),2-(Vu_khi!$L$217-2))+1)))</f>
        <v/>
      </c>
      <c r="AD217" t="n">
        <v>0.85</v>
      </c>
      <c r="AE217">
        <f>INDEX(Bang_xuyen_giap!$C$2:$C$7,MIN(6,MAX(1,IF($O$217,MAX(1,2-(Vu_khi!$L$217-4)),2-(Vu_khi!$L$217-4))+1)))</f>
        <v/>
      </c>
      <c r="AF217" t="n">
        <v>0.25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114.3122676579926</v>
      </c>
      <c r="AK217">
        <f>IF($Q$217,$M$217*$AC$217*$U$217,0)</f>
        <v/>
      </c>
      <c r="AL217" t="n">
        <v>80.97118959107806</v>
      </c>
      <c r="AM217">
        <f>IF($Q$217,$M$217*$AE$217*$U$217,0)</f>
        <v/>
      </c>
      <c r="AN217" t="n">
        <v>23.81505576208178</v>
      </c>
      <c r="AO217">
        <f>IF($Q$217,$M$217*$AC$217*$Y$217,0)</f>
        <v/>
      </c>
      <c r="AP217" t="n">
        <v>16.19423791821561</v>
      </c>
      <c r="AQ217">
        <f>IF($S$217,$M$217*$AG$217*$W$217,0)</f>
        <v/>
      </c>
      <c r="AR217" t="n">
        <v>247.6765799256505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1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2.405691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weapons[id=p26_behemoth_close_boss_flak] (lớp B trên 01_chien_dau/Vu_khi)</t>
        </is>
      </c>
      <c r="BC217" t="inlineStr"/>
    </row>
    <row r="218">
      <c r="A218" t="inlineStr">
        <is>
          <t>p26_behemoth_direct_be120</t>
        </is>
      </c>
      <c r="B218" t="n">
        <v>3</v>
      </c>
      <c r="C218">
        <f>IF(Vu_khi!$O$218="SIMULTANEOUS",MAX(1,Vu_khi!$N$218),1)</f>
        <v/>
      </c>
      <c r="D218" t="n">
        <v>2</v>
      </c>
      <c r="E218">
        <f>IF(Vu_khi!$S$218&gt;0,Vu_khi!$S$218,Vu_khi!$P$218*$C$218)</f>
        <v/>
      </c>
      <c r="F218" t="n">
        <v>2</v>
      </c>
      <c r="G218">
        <f>IF(Vu_khi!$S$218&gt;0,(Vu_khi!$S$218-1)*Vu_khi!$R$218+Vu_khi!$T$218,Vu_khi!$R$218+(Vu_khi!$P$218-1)*Vu_khi!$Q$218)</f>
        <v/>
      </c>
      <c r="H218" t="n">
        <v>7.5</v>
      </c>
      <c r="I218">
        <f>Vu_khi!$W$218*MAX(1,$E$218)</f>
        <v/>
      </c>
      <c r="J218" t="n">
        <v>520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69.33333333333333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0.3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0.6</v>
      </c>
      <c r="AA218">
        <f>INDEX(Bang_xuyen_giap!$C$2:$C$7,MIN(6,MAX(1,IF($O$218,MAX(1,2-(Vu_khi!$L$218-0)),2-(Vu_khi!$L$218-0))+1)))</f>
        <v/>
      </c>
      <c r="AB218" t="n">
        <v>1.2</v>
      </c>
      <c r="AC218">
        <f>INDEX(Bang_xuyen_giap!$C$2:$C$7,MIN(6,MAX(1,IF($O$218,MAX(1,2-(Vu_khi!$L$218-2)),2-(Vu_khi!$L$218-2))+1)))</f>
        <v/>
      </c>
      <c r="AD218" t="n">
        <v>1.2</v>
      </c>
      <c r="AE218">
        <f>INDEX(Bang_xuyen_giap!$C$2:$C$7,MIN(6,MAX(1,IF($O$218,MAX(1,2-(Vu_khi!$L$218-4)),2-(Vu_khi!$L$218-4))+1)))</f>
        <v/>
      </c>
      <c r="AF218" t="n">
        <v>1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83.19999999999999</v>
      </c>
      <c r="AK218">
        <f>IF($Q$218,$M$218*$AC$218*$U$218,0)</f>
        <v/>
      </c>
      <c r="AL218" t="n">
        <v>83.19999999999999</v>
      </c>
      <c r="AM218">
        <f>IF($Q$218,$M$218*$AE$218*$U$218,0)</f>
        <v/>
      </c>
      <c r="AN218" t="n">
        <v>69.33333333333333</v>
      </c>
      <c r="AO218">
        <f>IF($Q$218,$M$218*$AC$218*$Y$218,0)</f>
        <v/>
      </c>
      <c r="AP218" t="n">
        <v>49.91999999999999</v>
      </c>
      <c r="AQ218">
        <f>IF($S$218,$M$218*$AG$218*$W$218,0)</f>
        <v/>
      </c>
      <c r="AR218" t="n">
        <v>0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3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0.7</v>
      </c>
      <c r="AZ218" t="inlineStr">
        <is>
          <t>LECH_HO</t>
        </is>
      </c>
      <c r="BA218" t="b">
        <v>0</v>
      </c>
      <c r="BB218" t="inlineStr">
        <is>
          <t>Assets/MachineBrigade/Resources/Data/balance.json: weapons[id=p26_behemoth_direct_be120] (lớp B trên 01_chien_dau/Vu_khi)</t>
        </is>
      </c>
      <c r="BC218" t="inlineStr"/>
    </row>
    <row r="219">
      <c r="A219" t="inlineStr">
        <is>
          <t>p26_behemoth_main_be152</t>
        </is>
      </c>
      <c r="B219" t="n">
        <v>3</v>
      </c>
      <c r="C219">
        <f>IF(Vu_khi!$O$219="SIMULTANEOUS",MAX(1,Vu_khi!$N$219),1)</f>
        <v/>
      </c>
      <c r="D219" t="n">
        <v>2</v>
      </c>
      <c r="E219">
        <f>IF(Vu_khi!$S$219&gt;0,Vu_khi!$S$219,Vu_khi!$P$219*$C$219)</f>
        <v/>
      </c>
      <c r="F219" t="n">
        <v>2</v>
      </c>
      <c r="G219">
        <f>IF(Vu_khi!$S$219&gt;0,(Vu_khi!$S$219-1)*Vu_khi!$R$219+Vu_khi!$T$219,Vu_khi!$R$219+(Vu_khi!$P$219-1)*Vu_khi!$Q$219)</f>
        <v/>
      </c>
      <c r="H219" t="n">
        <v>8.98</v>
      </c>
      <c r="I219">
        <f>Vu_khi!$W$219*MAX(1,$E$219)</f>
        <v/>
      </c>
      <c r="J219" t="n">
        <v>1200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133.630289532294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1.5</v>
      </c>
      <c r="AA219">
        <f>INDEX(Bang_xuyen_giap!$C$2:$C$7,MIN(6,MAX(1,IF($O$219,MAX(1,2-(Vu_khi!$L$219-0)),2-(Vu_khi!$L$219-0))+1)))</f>
        <v/>
      </c>
      <c r="AB219" t="n">
        <v>1.2</v>
      </c>
      <c r="AC219">
        <f>INDEX(Bang_xuyen_giap!$C$2:$C$7,MIN(6,MAX(1,IF($O$219,MAX(1,2-(Vu_khi!$L$219-2)),2-(Vu_khi!$L$219-2))+1)))</f>
        <v/>
      </c>
      <c r="AD219" t="n">
        <v>1</v>
      </c>
      <c r="AE219">
        <f>INDEX(Bang_xuyen_giap!$C$2:$C$7,MIN(6,MAX(1,IF($O$219,MAX(1,2-(Vu_khi!$L$219-4)),2-(Vu_khi!$L$219-4))+1)))</f>
        <v/>
      </c>
      <c r="AF219" t="n">
        <v>0.5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160.3563474387527</v>
      </c>
      <c r="AK219">
        <f>IF($Q$219,$M$219*$AC$219*$U$219,0)</f>
        <v/>
      </c>
      <c r="AL219" t="n">
        <v>133.630289532294</v>
      </c>
      <c r="AM219">
        <f>IF($Q$219,$M$219*$AE$219*$U$219,0)</f>
        <v/>
      </c>
      <c r="AN219" t="n">
        <v>66.81514476614699</v>
      </c>
      <c r="AO219">
        <f>IF($Q$219,$M$219*$AC$219*$Y$219,0)</f>
        <v/>
      </c>
      <c r="AP219" t="n">
        <v>200.4454342984409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0.838133</v>
      </c>
      <c r="AZ219" t="inlineStr">
        <is>
          <t>ok</t>
        </is>
      </c>
      <c r="BA219" t="b">
        <v>1</v>
      </c>
      <c r="BB219" t="inlineStr">
        <is>
          <t>Assets/MachineBrigade/Resources/Data/balance.json: weapons[id=p26_behemoth_main_be152] (lớp B trên 01_chien_dau/Vu_khi)</t>
        </is>
      </c>
      <c r="BC219" t="inlineStr"/>
    </row>
    <row r="220">
      <c r="A220" t="inlineStr">
        <is>
          <t>p26_behemoth_sec_be_rockets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40</v>
      </c>
      <c r="G220">
        <f>IF(Vu_khi!$S$220&gt;0,(Vu_khi!$S$220-1)*Vu_khi!$R$220+Vu_khi!$T$220,Vu_khi!$R$220+(Vu_khi!$P$220-1)*Vu_khi!$Q$220)</f>
        <v/>
      </c>
      <c r="H220" t="n">
        <v>21.94</v>
      </c>
      <c r="I220">
        <f>Vu_khi!$W$220*MAX(1,$E$220)</f>
        <v/>
      </c>
      <c r="J220" t="n">
        <v>8000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364.6308113035551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0.85</v>
      </c>
      <c r="AE220">
        <f>INDEX(Bang_xuyen_giap!$C$2:$C$7,MIN(6,MAX(1,IF($O$220,MAX(1,2-(Vu_khi!$L$220-4)),2-(Vu_khi!$L$220-4))+1)))</f>
        <v/>
      </c>
      <c r="AF220" t="n">
        <v>0.25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437.5569735642661</v>
      </c>
      <c r="AK220">
        <f>IF($Q$220,$M$220*$AC$220*$U$220,0)</f>
        <v/>
      </c>
      <c r="AL220" t="n">
        <v>309.9361896080218</v>
      </c>
      <c r="AM220">
        <f>IF($Q$220,$M$220*$AE$220*$U$220,0)</f>
        <v/>
      </c>
      <c r="AN220" t="n">
        <v>91.15770282588878</v>
      </c>
      <c r="AO220">
        <f>IF($Q$220,$M$220*$AC$220*$Y$220,0)</f>
        <v/>
      </c>
      <c r="AP220" t="n">
        <v>464.9042844120327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1</v>
      </c>
      <c r="AZ220" t="inlineStr">
        <is>
          <t>ok</t>
        </is>
      </c>
      <c r="BA220" t="b">
        <v>1</v>
      </c>
      <c r="BB220" t="inlineStr">
        <is>
          <t>Assets/MachineBrigade/Resources/Data/balance.json: weapons[id=p26_behemoth_sec_be_rockets] (lớp B trên 01_chien_dau/Vu_khi)</t>
        </is>
      </c>
      <c r="BC220" t="inlineStr"/>
    </row>
    <row r="221">
      <c r="A221" t="inlineStr">
        <is>
          <t>p26_behemoth_tiny_be120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1</v>
      </c>
      <c r="G221">
        <f>IF(Vu_khi!$S$221&gt;0,(Vu_khi!$S$221-1)*Vu_khi!$R$221+Vu_khi!$T$221,Vu_khi!$R$221+(Vu_khi!$P$221-1)*Vu_khi!$Q$221)</f>
        <v/>
      </c>
      <c r="H221" t="n">
        <v>7.5</v>
      </c>
      <c r="I221">
        <f>Vu_khi!$W$221*MAX(1,$E$221)</f>
        <v/>
      </c>
      <c r="J221" t="n">
        <v>260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34.66666666666666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0.3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0.6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1.2</v>
      </c>
      <c r="AE221">
        <f>INDEX(Bang_xuyen_giap!$C$2:$C$7,MIN(6,MAX(1,IF($O$221,MAX(1,2-(Vu_khi!$L$221-4)),2-(Vu_khi!$L$221-4))+1)))</f>
        <v/>
      </c>
      <c r="AF221" t="n">
        <v>1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41.59999999999999</v>
      </c>
      <c r="AK221">
        <f>IF($Q$221,$M$221*$AC$221*$U$221,0)</f>
        <v/>
      </c>
      <c r="AL221" t="n">
        <v>41.59999999999999</v>
      </c>
      <c r="AM221">
        <f>IF($Q$221,$M$221*$AE$221*$U$221,0)</f>
        <v/>
      </c>
      <c r="AN221" t="n">
        <v>34.66666666666666</v>
      </c>
      <c r="AO221">
        <f>IF($Q$221,$M$221*$AC$221*$Y$221,0)</f>
        <v/>
      </c>
      <c r="AP221" t="n">
        <v>24.96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0.7</v>
      </c>
      <c r="AZ221" t="inlineStr">
        <is>
          <t>LECH_HO</t>
        </is>
      </c>
      <c r="BA221" t="b">
        <v>0</v>
      </c>
      <c r="BB221" t="inlineStr">
        <is>
          <t>Assets/MachineBrigade/Resources/Data/balance.json: weapons[id=p26_behemoth_tiny_be120] (lớp B trên 01_chien_dau/Vu_khi)</t>
        </is>
      </c>
      <c r="BC221" t="inlineStr"/>
    </row>
    <row r="222">
      <c r="A222" t="inlineStr">
        <is>
          <t>p26_behemoth_tiny_boss_missiles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1</v>
      </c>
      <c r="G222">
        <f>IF(Vu_khi!$S$222&gt;0,(Vu_khi!$S$222-1)*Vu_khi!$R$222+Vu_khi!$T$222,Vu_khi!$R$222+(Vu_khi!$P$222-1)*Vu_khi!$Q$222)</f>
        <v/>
      </c>
      <c r="H222" t="n">
        <v>20</v>
      </c>
      <c r="I222">
        <f>Vu_khi!$W$222*MAX(1,$E$222)</f>
        <v/>
      </c>
      <c r="J222" t="n">
        <v>230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11.5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</v>
      </c>
      <c r="W222">
        <f>INDEX(Bang_sat_thuong!$C$2:$C$7,MATCH(Vu_khi!$K$222,Bang_sat_thuong!$A$2:$A$7,0))</f>
        <v/>
      </c>
      <c r="X222" t="n">
        <v>0.3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0.6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1.2</v>
      </c>
      <c r="AE222">
        <f>INDEX(Bang_xuyen_giap!$C$2:$C$7,MIN(6,MAX(1,IF($O$222,MAX(1,2-(Vu_khi!$L$222-4)),2-(Vu_khi!$L$222-4))+1)))</f>
        <v/>
      </c>
      <c r="AF222" t="n">
        <v>0.85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13.8</v>
      </c>
      <c r="AK222">
        <f>IF($Q$222,$M$222*$AC$222*$U$222,0)</f>
        <v/>
      </c>
      <c r="AL222" t="n">
        <v>13.8</v>
      </c>
      <c r="AM222">
        <f>IF($Q$222,$M$222*$AE$222*$U$222,0)</f>
        <v/>
      </c>
      <c r="AN222" t="n">
        <v>9.775</v>
      </c>
      <c r="AO222">
        <f>IF($Q$222,$M$222*$AC$222*$Y$222,0)</f>
        <v/>
      </c>
      <c r="AP222" t="n">
        <v>8.279999999999999</v>
      </c>
      <c r="AQ222">
        <f>IF($S$222,$M$222*$AG$222*$W$222,0)</f>
        <v/>
      </c>
      <c r="AR222" t="n">
        <v>0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2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weapons[id=p26_behemoth_tiny_boss_missiles] (lớp B trên 01_chien_dau/Vu_khi)</t>
        </is>
      </c>
      <c r="BC222" t="inlineStr"/>
    </row>
    <row r="223">
      <c r="A223" t="inlineStr">
        <is>
          <t>p26_behemoth_tiny_kornet_twin</t>
        </is>
      </c>
      <c r="B223" t="n">
        <v>3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9.699999999999999</v>
      </c>
      <c r="I223">
        <f>Vu_khi!$W$223*MAX(1,$E$223)</f>
        <v/>
      </c>
      <c r="J223" t="n">
        <v>230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23.71134020618557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0.6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1.2</v>
      </c>
      <c r="AE223">
        <f>INDEX(Bang_xuyen_giap!$C$2:$C$7,MIN(6,MAX(1,IF($O$223,MAX(1,2-(Vu_khi!$L$223-4)),2-(Vu_khi!$L$223-4))+1)))</f>
        <v/>
      </c>
      <c r="AF223" t="n">
        <v>1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28.45360824742268</v>
      </c>
      <c r="AK223">
        <f>IF($Q$223,$M$223*$AC$223*$U$223,0)</f>
        <v/>
      </c>
      <c r="AL223" t="n">
        <v>28.45360824742268</v>
      </c>
      <c r="AM223">
        <f>IF($Q$223,$M$223*$AE$223*$U$223,0)</f>
        <v/>
      </c>
      <c r="AN223" t="n">
        <v>23.71134020618557</v>
      </c>
      <c r="AO223">
        <f>IF($Q$223,$M$223*$AC$223*$Y$223,0)</f>
        <v/>
      </c>
      <c r="AP223" t="n">
        <v>17.07216494845361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0.9053330000000001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weapons[id=p26_behemoth_tiny_kornet_twin] (lớp B trên 01_chien_dau/Vu_khi)</t>
        </is>
      </c>
      <c r="BC223" t="inlineStr"/>
    </row>
    <row r="224">
      <c r="A224" t="inlineStr">
        <is>
          <t>p26_daedalus_dae57</t>
        </is>
      </c>
      <c r="B224" t="n">
        <v>2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2.5</v>
      </c>
      <c r="I224">
        <f>Vu_khi!$W$224*MAX(1,$E$224)</f>
        <v/>
      </c>
      <c r="J224" t="n">
        <v>240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96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1.2</v>
      </c>
      <c r="AE224">
        <f>INDEX(Bang_xuyen_giap!$C$2:$C$7,MIN(6,MAX(1,IF($O$224,MAX(1,2-(Vu_khi!$L$224-4)),2-(Vu_khi!$L$224-4))+1)))</f>
        <v/>
      </c>
      <c r="AF224" t="n">
        <v>0.85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115.2</v>
      </c>
      <c r="AK224">
        <f>IF($Q$224,$M$224*$AC$224*$U$224,0)</f>
        <v/>
      </c>
      <c r="AL224" t="n">
        <v>115.2</v>
      </c>
      <c r="AM224">
        <f>IF($Q$224,$M$224*$AE$224*$U$224,0)</f>
        <v/>
      </c>
      <c r="AN224" t="n">
        <v>81.59999999999999</v>
      </c>
      <c r="AO224">
        <f>IF($Q$224,$M$224*$AC$224*$Y$224,0)</f>
        <v/>
      </c>
      <c r="AP224" t="n">
        <v>172.8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2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2.5</v>
      </c>
      <c r="AZ224" t="inlineStr">
        <is>
          <t>NHANH_QUA;LECH_DOT_1</t>
        </is>
      </c>
      <c r="BA224" t="inlineStr"/>
      <c r="BB224" t="inlineStr">
        <is>
          <t>Assets/MachineBrigade/Resources/Data/balance.json: weapons[id=p26_daedalus_dae57] (lớp B trên 01_chien_dau/Vu_khi)</t>
        </is>
      </c>
      <c r="BC224" t="inlineStr"/>
    </row>
    <row r="225">
      <c r="A225" t="inlineStr">
        <is>
          <t>p26_daedalus_dae_laser</t>
        </is>
      </c>
      <c r="B225" t="n">
        <v>1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1</v>
      </c>
      <c r="G225">
        <f>IF(Vu_khi!$S$225&gt;0,(Vu_khi!$S$225-1)*Vu_khi!$R$225+Vu_khi!$T$225,Vu_khi!$R$225+(Vu_khi!$P$225-1)*Vu_khi!$Q$225)</f>
        <v/>
      </c>
      <c r="H225" t="n">
        <v>0.1</v>
      </c>
      <c r="I225">
        <f>Vu_khi!$W$225*MAX(1,$E$225)</f>
        <v/>
      </c>
      <c r="J225" t="n">
        <v>40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400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1.5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0.5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1.2</v>
      </c>
      <c r="AE225">
        <f>INDEX(Bang_xuyen_giap!$C$2:$C$7,MIN(6,MAX(1,IF($O$225,MAX(1,2-(Vu_khi!$L$225-4)),2-(Vu_khi!$L$225-4))+1)))</f>
        <v/>
      </c>
      <c r="AF225" t="n">
        <v>0.85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480</v>
      </c>
      <c r="AK225">
        <f>IF($Q$225,$M$225*$AC$225*$U$225,0)</f>
        <v/>
      </c>
      <c r="AL225" t="n">
        <v>480</v>
      </c>
      <c r="AM225">
        <f>IF($Q$225,$M$225*$AE$225*$U$225,0)</f>
        <v/>
      </c>
      <c r="AN225" t="n">
        <v>340</v>
      </c>
      <c r="AO225">
        <f>IF($Q$225,$M$225*$AC$225*$Y$225,0)</f>
        <v/>
      </c>
      <c r="AP225" t="n">
        <v>240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1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inlineStr"/>
      <c r="AZ225" t="inlineStr">
        <is>
          <t>ok</t>
        </is>
      </c>
      <c r="BA225" t="inlineStr"/>
      <c r="BB225" t="inlineStr">
        <is>
          <t>Assets/MachineBrigade/Resources/Data/balance.json: weapons[id=p26_daedalus_dae_laser] (lớp B trên 01_chien_dau/Vu_khi)</t>
        </is>
      </c>
      <c r="BC225" t="inlineStr"/>
    </row>
    <row r="226">
      <c r="A226" t="inlineStr">
        <is>
          <t>p26_daedalus_direct_dae_laser</t>
        </is>
      </c>
      <c r="B226" t="n">
        <v>1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0.1</v>
      </c>
      <c r="I226">
        <f>Vu_khi!$W$226*MAX(1,$E$226)</f>
        <v/>
      </c>
      <c r="J226" t="n">
        <v>16.5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165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1.5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0.5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1.2</v>
      </c>
      <c r="AE226">
        <f>INDEX(Bang_xuyen_giap!$C$2:$C$7,MIN(6,MAX(1,IF($O$226,MAX(1,2-(Vu_khi!$L$226-4)),2-(Vu_khi!$L$226-4))+1)))</f>
        <v/>
      </c>
      <c r="AF226" t="n">
        <v>0.85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198</v>
      </c>
      <c r="AK226">
        <f>IF($Q$226,$M$226*$AC$226*$U$226,0)</f>
        <v/>
      </c>
      <c r="AL226" t="n">
        <v>198</v>
      </c>
      <c r="AM226">
        <f>IF($Q$226,$M$226*$AE$226*$U$226,0)</f>
        <v/>
      </c>
      <c r="AN226" t="n">
        <v>140.25</v>
      </c>
      <c r="AO226">
        <f>IF($Q$226,$M$226*$AC$226*$Y$226,0)</f>
        <v/>
      </c>
      <c r="AP226" t="n">
        <v>99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1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inlineStr"/>
      <c r="AZ226" t="inlineStr">
        <is>
          <t>ok</t>
        </is>
      </c>
      <c r="BA226" t="b">
        <v>1</v>
      </c>
      <c r="BB226" t="inlineStr">
        <is>
          <t>Assets/MachineBrigade/Resources/Data/balance.json: weapons[id=p26_daedalus_direct_dae_laser] (lớp B trên 01_chien_dau/Vu_khi)</t>
        </is>
      </c>
      <c r="BC226" t="inlineStr"/>
    </row>
    <row r="227">
      <c r="A227" t="inlineStr">
        <is>
          <t>p26_daedalus_sec_dae57</t>
        </is>
      </c>
      <c r="B227" t="n">
        <v>2</v>
      </c>
      <c r="C227">
        <f>IF(Vu_khi!$O$227="SIMULTANEOUS",MAX(1,Vu_khi!$N$227),1)</f>
        <v/>
      </c>
      <c r="D227" t="n">
        <v>2</v>
      </c>
      <c r="E227">
        <f>IF(Vu_khi!$S$227&gt;0,Vu_khi!$S$227,Vu_khi!$P$227*$C$227)</f>
        <v/>
      </c>
      <c r="F227" t="n">
        <v>8</v>
      </c>
      <c r="G227">
        <f>IF(Vu_khi!$S$227&gt;0,(Vu_khi!$S$227-1)*Vu_khi!$R$227+Vu_khi!$T$227,Vu_khi!$R$227+(Vu_khi!$P$227-1)*Vu_khi!$Q$227)</f>
        <v/>
      </c>
      <c r="H227" t="n">
        <v>4.29</v>
      </c>
      <c r="I227">
        <f>Vu_khi!$W$227*MAX(1,$E$227)</f>
        <v/>
      </c>
      <c r="J227" t="n">
        <v>960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223.7762237762238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1.5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1.2</v>
      </c>
      <c r="AE227">
        <f>INDEX(Bang_xuyen_giap!$C$2:$C$7,MIN(6,MAX(1,IF($O$227,MAX(1,2-(Vu_khi!$L$227-4)),2-(Vu_khi!$L$227-4))+1)))</f>
        <v/>
      </c>
      <c r="AF227" t="n">
        <v>0.85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268.5314685314685</v>
      </c>
      <c r="AK227">
        <f>IF($Q$227,$M$227*$AC$227*$U$227,0)</f>
        <v/>
      </c>
      <c r="AL227" t="n">
        <v>268.5314685314685</v>
      </c>
      <c r="AM227">
        <f>IF($Q$227,$M$227*$AE$227*$U$227,0)</f>
        <v/>
      </c>
      <c r="AN227" t="n">
        <v>190.2097902097902</v>
      </c>
      <c r="AO227">
        <f>IF($Q$227,$M$227*$AC$227*$Y$227,0)</f>
        <v/>
      </c>
      <c r="AP227" t="n">
        <v>402.7972027972028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2.145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weapons[id=p26_daedalus_sec_dae57] (lớp B trên 01_chien_dau/Vu_khi)</t>
        </is>
      </c>
      <c r="BC227" t="inlineStr"/>
    </row>
    <row r="228">
      <c r="A228" t="inlineStr">
        <is>
          <t>p26_icarus_close_autocannon_40</t>
        </is>
      </c>
      <c r="B228" t="n">
        <v>1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10</v>
      </c>
      <c r="G228">
        <f>IF(Vu_khi!$S$228&gt;0,(Vu_khi!$S$228-1)*Vu_khi!$R$228+Vu_khi!$T$228,Vu_khi!$R$228+(Vu_khi!$P$228-1)*Vu_khi!$Q$228)</f>
        <v/>
      </c>
      <c r="H228" t="n">
        <v>3.32</v>
      </c>
      <c r="I228">
        <f>Vu_khi!$W$228*MAX(1,$E$228)</f>
        <v/>
      </c>
      <c r="J228" t="n">
        <v>300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90.36144578313252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1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0.6</v>
      </c>
      <c r="AA228">
        <f>INDEX(Bang_xuyen_giap!$C$2:$C$7,MIN(6,MAX(1,IF($O$228,MAX(1,2-(Vu_khi!$L$228-0)),2-(Vu_khi!$L$228-0))+1)))</f>
        <v/>
      </c>
      <c r="AB228" t="n">
        <v>1.2</v>
      </c>
      <c r="AC228">
        <f>INDEX(Bang_xuyen_giap!$C$2:$C$7,MIN(6,MAX(1,IF($O$228,MAX(1,2-(Vu_khi!$L$228-2)),2-(Vu_khi!$L$228-2))+1)))</f>
        <v/>
      </c>
      <c r="AD228" t="n">
        <v>0.85</v>
      </c>
      <c r="AE228">
        <f>INDEX(Bang_xuyen_giap!$C$2:$C$7,MIN(6,MAX(1,IF($O$228,MAX(1,2-(Vu_khi!$L$228-4)),2-(Vu_khi!$L$228-4))+1)))</f>
        <v/>
      </c>
      <c r="AF228" t="n">
        <v>0.25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108.433734939759</v>
      </c>
      <c r="AK228">
        <f>IF($Q$228,$M$228*$AC$228*$U$228,0)</f>
        <v/>
      </c>
      <c r="AL228" t="n">
        <v>76.80722891566265</v>
      </c>
      <c r="AM228">
        <f>IF($Q$228,$M$228*$AE$228*$U$228,0)</f>
        <v/>
      </c>
      <c r="AN228" t="n">
        <v>22.59036144578313</v>
      </c>
      <c r="AO228">
        <f>IF($Q$228,$M$228*$AC$228*$Y$228,0)</f>
        <v/>
      </c>
      <c r="AP228" t="n">
        <v>46.08433734939759</v>
      </c>
      <c r="AQ228">
        <f>IF($S$228,$M$228*$AG$228*$W$228,0)</f>
        <v/>
      </c>
      <c r="AR228" t="n">
        <v>27.10843373493976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1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1.826</v>
      </c>
      <c r="AZ228" t="inlineStr">
        <is>
          <t>ok</t>
        </is>
      </c>
      <c r="BA228" t="b">
        <v>1</v>
      </c>
      <c r="BB228" t="inlineStr">
        <is>
          <t>Assets/MachineBrigade/Resources/Data/balance.json: weapons[id=p26_icarus_close_autocannon_40] (lớp B trên 01_chien_dau/Vu_khi)</t>
        </is>
      </c>
      <c r="BC228" t="inlineStr"/>
    </row>
    <row r="229">
      <c r="A229" t="inlineStr">
        <is>
          <t>p26_icarus_direct_ic_laser</t>
        </is>
      </c>
      <c r="B229" t="n">
        <v>1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</v>
      </c>
      <c r="G229">
        <f>IF(Vu_khi!$S$229&gt;0,(Vu_khi!$S$229-1)*Vu_khi!$R$229+Vu_khi!$T$229,Vu_khi!$R$229+(Vu_khi!$P$229-1)*Vu_khi!$Q$229)</f>
        <v/>
      </c>
      <c r="H229" t="n">
        <v>0.1</v>
      </c>
      <c r="I229">
        <f>Vu_khi!$W$229*MAX(1,$E$229)</f>
        <v/>
      </c>
      <c r="J229" t="n">
        <v>16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160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1.5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0.5</v>
      </c>
      <c r="AA229">
        <f>INDEX(Bang_xuyen_giap!$C$2:$C$7,MIN(6,MAX(1,IF($O$229,MAX(1,2-(Vu_khi!$L$229-0)),2-(Vu_khi!$L$229-0))+1)))</f>
        <v/>
      </c>
      <c r="AB229" t="n">
        <v>1.2</v>
      </c>
      <c r="AC229">
        <f>INDEX(Bang_xuyen_giap!$C$2:$C$7,MIN(6,MAX(1,IF($O$229,MAX(1,2-(Vu_khi!$L$229-2)),2-(Vu_khi!$L$229-2))+1)))</f>
        <v/>
      </c>
      <c r="AD229" t="n">
        <v>1.2</v>
      </c>
      <c r="AE229">
        <f>INDEX(Bang_xuyen_giap!$C$2:$C$7,MIN(6,MAX(1,IF($O$229,MAX(1,2-(Vu_khi!$L$229-4)),2-(Vu_khi!$L$229-4))+1)))</f>
        <v/>
      </c>
      <c r="AF229" t="n">
        <v>0.85</v>
      </c>
      <c r="AG229">
        <f>INDEX(Bang_xuyen_giap!$C$2:$C$7,MIN(6,MAX(1,MAX(1,2-(Vu_khi!$L$229-0))+1)))</f>
        <v/>
      </c>
      <c r="AH229" t="n">
        <v>1</v>
      </c>
      <c r="AI229">
        <f>IF($Q$229,$M$229*$AA$229*$U$229,0)</f>
        <v/>
      </c>
      <c r="AJ229" t="n">
        <v>192</v>
      </c>
      <c r="AK229">
        <f>IF($Q$229,$M$229*$AC$229*$U$229,0)</f>
        <v/>
      </c>
      <c r="AL229" t="n">
        <v>192</v>
      </c>
      <c r="AM229">
        <f>IF($Q$229,$M$229*$AE$229*$U$229,0)</f>
        <v/>
      </c>
      <c r="AN229" t="n">
        <v>136</v>
      </c>
      <c r="AO229">
        <f>IF($Q$229,$M$229*$AC$229*$Y$229,0)</f>
        <v/>
      </c>
      <c r="AP229" t="n">
        <v>96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1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inlineStr"/>
      <c r="AZ229" t="inlineStr">
        <is>
          <t>ok</t>
        </is>
      </c>
      <c r="BA229" t="b">
        <v>1</v>
      </c>
      <c r="BB229" t="inlineStr">
        <is>
          <t>Assets/MachineBrigade/Resources/Data/balance.json: weapons[id=p26_icarus_direct_ic_laser] (lớp B trên 01_chien_dau/Vu_khi)</t>
        </is>
      </c>
      <c r="BC229" t="inlineStr"/>
    </row>
    <row r="230">
      <c r="A230" t="inlineStr">
        <is>
          <t>p26_icarus_ic_coil</t>
        </is>
      </c>
      <c r="B230" t="n">
        <v>3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2</v>
      </c>
      <c r="I230">
        <f>Vu_khi!$W$230*MAX(1,$E$230)</f>
        <v/>
      </c>
      <c r="J230" t="n">
        <v>1440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720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1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0.3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0.6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1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864</v>
      </c>
      <c r="AK230">
        <f>IF($Q$230,$M$230*$AC$230*$U$230,0)</f>
        <v/>
      </c>
      <c r="AL230" t="n">
        <v>864</v>
      </c>
      <c r="AM230">
        <f>IF($Q$230,$M$230*$AE$230*$U$230,0)</f>
        <v/>
      </c>
      <c r="AN230" t="n">
        <v>720</v>
      </c>
      <c r="AO230">
        <f>IF($Q$230,$M$230*$AC$230*$Y$230,0)</f>
        <v/>
      </c>
      <c r="AP230" t="n">
        <v>518.4</v>
      </c>
      <c r="AQ230">
        <f>IF($S$230,$M$230*$AG$230*$W$230,0)</f>
        <v/>
      </c>
      <c r="AR230" t="n">
        <v>216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3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LECH_DOT_1</t>
        </is>
      </c>
      <c r="BA230" t="inlineStr"/>
      <c r="BB230" t="inlineStr">
        <is>
          <t>Assets/MachineBrigade/Resources/Data/balance.json: weapons[id=p26_icarus_ic_coil] (lớp B trên 01_chien_dau/Vu_khi)</t>
        </is>
      </c>
      <c r="BC230" t="inlineStr"/>
    </row>
    <row r="231">
      <c r="A231" t="inlineStr">
        <is>
          <t>p26_icarus_ic_laser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40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400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0.5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480</v>
      </c>
      <c r="AK231">
        <f>IF($Q$231,$M$231*$AC$231*$U$231,0)</f>
        <v/>
      </c>
      <c r="AL231" t="n">
        <v>480</v>
      </c>
      <c r="AM231">
        <f>IF($Q$231,$M$231*$AE$231*$U$231,0)</f>
        <v/>
      </c>
      <c r="AN231" t="n">
        <v>340</v>
      </c>
      <c r="AO231">
        <f>IF($Q$231,$M$231*$AC$231*$Y$231,0)</f>
        <v/>
      </c>
      <c r="AP231" t="n">
        <v>240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inlineStr"/>
      <c r="BB231" t="inlineStr">
        <is>
          <t>Assets/MachineBrigade/Resources/Data/balance.json: weapons[id=p26_icarus_ic_laser] (lớp B trên 01_chien_dau/Vu_khi)</t>
        </is>
      </c>
      <c r="BC231" t="inlineStr"/>
    </row>
    <row r="232">
      <c r="A232" t="inlineStr">
        <is>
          <t>p26_icarus_main_ic_coil</t>
        </is>
      </c>
      <c r="B232" t="n">
        <v>3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5</v>
      </c>
      <c r="I232">
        <f>Vu_khi!$W$232*MAX(1,$E$232)</f>
        <v/>
      </c>
      <c r="J232" t="n">
        <v>1500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300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1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0.3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0.6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1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360</v>
      </c>
      <c r="AK232">
        <f>IF($Q$232,$M$232*$AC$232*$U$232,0)</f>
        <v/>
      </c>
      <c r="AL232" t="n">
        <v>360</v>
      </c>
      <c r="AM232">
        <f>IF($Q$232,$M$232*$AE$232*$U$232,0)</f>
        <v/>
      </c>
      <c r="AN232" t="n">
        <v>300</v>
      </c>
      <c r="AO232">
        <f>IF($Q$232,$M$232*$AC$232*$Y$232,0)</f>
        <v/>
      </c>
      <c r="AP232" t="n">
        <v>216</v>
      </c>
      <c r="AQ232">
        <f>IF($S$232,$M$232*$AG$232*$W$232,0)</f>
        <v/>
      </c>
      <c r="AR232" t="n">
        <v>90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3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inlineStr"/>
      <c r="AZ232" t="inlineStr">
        <is>
          <t>ok</t>
        </is>
      </c>
      <c r="BA232" t="b">
        <v>1</v>
      </c>
      <c r="BB232" t="inlineStr">
        <is>
          <t>Assets/MachineBrigade/Resources/Data/balance.json: weapons[id=p26_icarus_main_ic_coil] (lớp B trên 01_chien_dau/Vu_khi)</t>
        </is>
      </c>
      <c r="BC232" t="inlineStr"/>
    </row>
    <row r="233">
      <c r="A233" t="inlineStr">
        <is>
          <t>p26_icarus_sec_orbital_laser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0.1</v>
      </c>
      <c r="I233">
        <f>Vu_khi!$W$233*MAX(1,$E$233)</f>
        <v/>
      </c>
      <c r="J233" t="n">
        <v>40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400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1.5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0.5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1.2</v>
      </c>
      <c r="AE233">
        <f>INDEX(Bang_xuyen_giap!$C$2:$C$7,MIN(6,MAX(1,IF($O$233,MAX(1,2-(Vu_khi!$L$233-4)),2-(Vu_khi!$L$233-4))+1)))</f>
        <v/>
      </c>
      <c r="AF233" t="n">
        <v>0.85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480</v>
      </c>
      <c r="AK233">
        <f>IF($Q$233,$M$233*$AC$233*$U$233,0)</f>
        <v/>
      </c>
      <c r="AL233" t="n">
        <v>480</v>
      </c>
      <c r="AM233">
        <f>IF($Q$233,$M$233*$AE$233*$U$233,0)</f>
        <v/>
      </c>
      <c r="AN233" t="n">
        <v>340</v>
      </c>
      <c r="AO233">
        <f>IF($Q$233,$M$233*$AC$233*$Y$233,0)</f>
        <v/>
      </c>
      <c r="AP233" t="n">
        <v>240</v>
      </c>
      <c r="AQ233">
        <f>IF($S$233,$M$233*$AG$233*$W$233,0)</f>
        <v/>
      </c>
      <c r="AR233" t="n">
        <v>0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inlineStr"/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weapons[id=p26_icarus_sec_orbital_laser] (lớp B trên 01_chien_dau/Vu_khi)</t>
        </is>
      </c>
      <c r="BC233" t="inlineStr"/>
    </row>
    <row r="234">
      <c r="A234" t="inlineStr">
        <is>
          <t>p26_ixion_125</t>
        </is>
      </c>
      <c r="B234" t="n">
        <v>3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7.5</v>
      </c>
      <c r="I234">
        <f>Vu_khi!$W$234*MAX(1,$E$234)</f>
        <v/>
      </c>
      <c r="J234" t="n">
        <v>400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53.33333333333334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0.3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0.6</v>
      </c>
      <c r="AA234">
        <f>INDEX(Bang_xuyen_giap!$C$2:$C$7,MIN(6,MAX(1,IF($O$234,MAX(1,2-(Vu_khi!$L$234-0)),2-(Vu_khi!$L$234-0))+1)))</f>
        <v/>
      </c>
      <c r="AB234" t="n">
        <v>1.2</v>
      </c>
      <c r="AC234">
        <f>INDEX(Bang_xuyen_giap!$C$2:$C$7,MIN(6,MAX(1,IF($O$234,MAX(1,2-(Vu_khi!$L$234-2)),2-(Vu_khi!$L$234-2))+1)))</f>
        <v/>
      </c>
      <c r="AD234" t="n">
        <v>1.2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64</v>
      </c>
      <c r="AK234">
        <f>IF($Q$234,$M$234*$AC$234*$U$234,0)</f>
        <v/>
      </c>
      <c r="AL234" t="n">
        <v>64</v>
      </c>
      <c r="AM234">
        <f>IF($Q$234,$M$234*$AE$234*$U$234,0)</f>
        <v/>
      </c>
      <c r="AN234" t="n">
        <v>45.33333333333334</v>
      </c>
      <c r="AO234">
        <f>IF($Q$234,$M$234*$AC$234*$Y$234,0)</f>
        <v/>
      </c>
      <c r="AP234" t="n">
        <v>38.4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3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n">
        <v>0.7</v>
      </c>
      <c r="AZ234" t="inlineStr">
        <is>
          <t>ok</t>
        </is>
      </c>
      <c r="BA234" t="b">
        <v>1</v>
      </c>
      <c r="BB234" t="inlineStr">
        <is>
          <t>Assets/MachineBrigade/Resources/Data/balance.json: weapons[id=p26_ixion_125] (lớp B trên 01_chien_dau/Vu_khi)</t>
        </is>
      </c>
      <c r="BC234" t="inlineStr"/>
    </row>
    <row r="235">
      <c r="A235" t="inlineStr">
        <is>
          <t>p26_ixion_125_he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7.5</v>
      </c>
      <c r="I235">
        <f>Vu_khi!$W$235*MAX(1,$E$235)</f>
        <v/>
      </c>
      <c r="J235" t="n">
        <v>400.1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53.34666666666667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1.5</v>
      </c>
      <c r="AA235">
        <f>INDEX(Bang_xuyen_giap!$C$2:$C$7,MIN(6,MAX(1,IF($O$235,MAX(1,2-(Vu_khi!$L$235-0)),2-(Vu_khi!$L$235-0))+1)))</f>
        <v/>
      </c>
      <c r="AB235" t="n">
        <v>1.2</v>
      </c>
      <c r="AC235">
        <f>INDEX(Bang_xuyen_giap!$C$2:$C$7,MIN(6,MAX(1,IF($O$235,MAX(1,2-(Vu_khi!$L$235-2)),2-(Vu_khi!$L$235-2))+1)))</f>
        <v/>
      </c>
      <c r="AD235" t="n">
        <v>1</v>
      </c>
      <c r="AE235">
        <f>INDEX(Bang_xuyen_giap!$C$2:$C$7,MIN(6,MAX(1,IF($O$235,MAX(1,2-(Vu_khi!$L$235-4)),2-(Vu_khi!$L$235-4))+1)))</f>
        <v/>
      </c>
      <c r="AF235" t="n">
        <v>0.5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64.01600000000001</v>
      </c>
      <c r="AK235">
        <f>IF($Q$235,$M$235*$AC$235*$U$235,0)</f>
        <v/>
      </c>
      <c r="AL235" t="n">
        <v>53.34666666666667</v>
      </c>
      <c r="AM235">
        <f>IF($Q$235,$M$235*$AE$235*$U$235,0)</f>
        <v/>
      </c>
      <c r="AN235" t="n">
        <v>26.67333333333334</v>
      </c>
      <c r="AO235">
        <f>IF($Q$235,$M$235*$AC$235*$Y$235,0)</f>
        <v/>
      </c>
      <c r="AP235" t="n">
        <v>80.02000000000001</v>
      </c>
      <c r="AQ235">
        <f>IF($S$235,$M$235*$AG$235*$W$235,0)</f>
        <v/>
      </c>
      <c r="AR235" t="n">
        <v>0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BB235" t="inlineStr">
        <is>
          <t>Assets/MachineBrigade/Resources/Data/balance.json: weapons[id=p26_ixion_125_he] (lớp B trên 01_chien_dau/Vu_khi)</t>
        </is>
      </c>
      <c r="BC235" t="inlineStr"/>
    </row>
    <row r="236">
      <c r="A236" t="inlineStr">
        <is>
          <t>p26_ixion_mg</t>
        </is>
      </c>
      <c r="B236" t="n">
        <v>0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100</v>
      </c>
      <c r="G236">
        <f>IF(Vu_khi!$S$236&gt;0,(Vu_khi!$S$236-1)*Vu_khi!$R$236+Vu_khi!$T$236,Vu_khi!$R$236+(Vu_khi!$P$236-1)*Vu_khi!$Q$236)</f>
        <v/>
      </c>
      <c r="H236" t="n">
        <v>13.2467</v>
      </c>
      <c r="I236">
        <f>Vu_khi!$W$236*MAX(1,$E$236)</f>
        <v/>
      </c>
      <c r="J236" t="n">
        <v>1500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113.235749280953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1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0.3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0.6</v>
      </c>
      <c r="AA236">
        <f>INDEX(Bang_xuyen_giap!$C$2:$C$7,MIN(6,MAX(1,IF($O$236,MAX(1,2-(Vu_khi!$L$236-0)),2-(Vu_khi!$L$236-0))+1)))</f>
        <v/>
      </c>
      <c r="AB236" t="n">
        <v>1</v>
      </c>
      <c r="AC236">
        <f>INDEX(Bang_xuyen_giap!$C$2:$C$7,MIN(6,MAX(1,IF($O$236,MAX(1,2-(Vu_khi!$L$236-2)),2-(Vu_khi!$L$236-2))+1)))</f>
        <v/>
      </c>
      <c r="AD236" t="n">
        <v>0.5</v>
      </c>
      <c r="AE236">
        <f>INDEX(Bang_xuyen_giap!$C$2:$C$7,MIN(6,MAX(1,IF($O$236,MAX(1,2-(Vu_khi!$L$236-4)),2-(Vu_khi!$L$236-4))+1)))</f>
        <v/>
      </c>
      <c r="AF236" t="n">
        <v>0.1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113.235749280953</v>
      </c>
      <c r="AK236">
        <f>IF($Q$236,$M$236*$AC$236*$U$236,0)</f>
        <v/>
      </c>
      <c r="AL236" t="n">
        <v>56.61787464047649</v>
      </c>
      <c r="AM236">
        <f>IF($Q$236,$M$236*$AE$236*$U$236,0)</f>
        <v/>
      </c>
      <c r="AN236" t="n">
        <v>11.3235749280953</v>
      </c>
      <c r="AO236">
        <f>IF($Q$236,$M$236*$AC$236*$Y$236,0)</f>
        <v/>
      </c>
      <c r="AP236" t="n">
        <v>33.97072478428589</v>
      </c>
      <c r="AQ236">
        <f>IF($S$236,$M$236*$AG$236*$W$236,0)</f>
        <v/>
      </c>
      <c r="AR236" t="n">
        <v>33.97072478428589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0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n">
        <v>1.766227</v>
      </c>
      <c r="AZ236" t="inlineStr">
        <is>
          <t>ok</t>
        </is>
      </c>
      <c r="BA236" t="b">
        <v>1</v>
      </c>
      <c r="BB236" t="inlineStr">
        <is>
          <t>Assets/MachineBrigade/Resources/Data/balance.json: weapons[id=p26_ixion_mg] (lớp B trên 01_chien_dau/Vu_khi)</t>
        </is>
      </c>
      <c r="BC236" t="inlineStr"/>
    </row>
    <row r="237">
      <c r="A237" t="inlineStr">
        <is>
          <t>p26_jotunn_close_boss_flak</t>
        </is>
      </c>
      <c r="B237" t="n">
        <v>1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41</v>
      </c>
      <c r="G237">
        <f>IF(Vu_khi!$S$237&gt;0,(Vu_khi!$S$237-1)*Vu_khi!$R$237+Vu_khi!$T$237,Vu_khi!$R$237+(Vu_khi!$P$237-1)*Vu_khi!$Q$237)</f>
        <v/>
      </c>
      <c r="H237" t="n">
        <v>5.38</v>
      </c>
      <c r="I237">
        <f>Vu_khi!$W$237*MAX(1,$E$237)</f>
        <v/>
      </c>
      <c r="J237" t="n">
        <v>1025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190.5204460966543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0.5</v>
      </c>
      <c r="W237">
        <f>INDEX(Bang_sat_thuong!$C$2:$C$7,MATCH(Vu_khi!$K$237,Bang_sat_thuong!$A$2:$A$7,0))</f>
        <v/>
      </c>
      <c r="X237" t="n">
        <v>1.3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0.1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0.85</v>
      </c>
      <c r="AE237">
        <f>INDEX(Bang_xuyen_giap!$C$2:$C$7,MIN(6,MAX(1,IF($O$237,MAX(1,2-(Vu_khi!$L$237-4)),2-(Vu_khi!$L$237-4))+1)))</f>
        <v/>
      </c>
      <c r="AF237" t="n">
        <v>0.25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114.3122676579926</v>
      </c>
      <c r="AK237">
        <f>IF($Q$237,$M$237*$AC$237*$U$237,0)</f>
        <v/>
      </c>
      <c r="AL237" t="n">
        <v>80.97118959107806</v>
      </c>
      <c r="AM237">
        <f>IF($Q$237,$M$237*$AE$237*$U$237,0)</f>
        <v/>
      </c>
      <c r="AN237" t="n">
        <v>23.81505576208178</v>
      </c>
      <c r="AO237">
        <f>IF($Q$237,$M$237*$AC$237*$Y$237,0)</f>
        <v/>
      </c>
      <c r="AP237" t="n">
        <v>16.19423791821561</v>
      </c>
      <c r="AQ237">
        <f>IF($S$237,$M$237*$AG$237*$W$237,0)</f>
        <v/>
      </c>
      <c r="AR237" t="n">
        <v>247.6765799256505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1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n">
        <v>2.405691</v>
      </c>
      <c r="AZ237" t="inlineStr">
        <is>
          <t>ok</t>
        </is>
      </c>
      <c r="BA237" t="b">
        <v>1</v>
      </c>
      <c r="BB237" t="inlineStr">
        <is>
          <t>Assets/MachineBrigade/Resources/Data/balance.json: weapons[id=p26_jotunn_close_boss_flak] (lớp B trên 01_chien_dau/Vu_khi)</t>
        </is>
      </c>
      <c r="BC237" t="inlineStr"/>
    </row>
    <row r="238">
      <c r="A238" t="inlineStr">
        <is>
          <t>p26_jotunn_direct_jo125</t>
        </is>
      </c>
      <c r="B238" t="n">
        <v>3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7.5</v>
      </c>
      <c r="I238">
        <f>Vu_khi!$W$238*MAX(1,$E$238)</f>
        <v/>
      </c>
      <c r="J238" t="n">
        <v>400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53.33333333333334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0.3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0.6</v>
      </c>
      <c r="AA238">
        <f>INDEX(Bang_xuyen_giap!$C$2:$C$7,MIN(6,MAX(1,IF($O$238,MAX(1,2-(Vu_khi!$L$238-0)),2-(Vu_khi!$L$238-0))+1)))</f>
        <v/>
      </c>
      <c r="AB238" t="n">
        <v>1.2</v>
      </c>
      <c r="AC238">
        <f>INDEX(Bang_xuyen_giap!$C$2:$C$7,MIN(6,MAX(1,IF($O$238,MAX(1,2-(Vu_khi!$L$238-2)),2-(Vu_khi!$L$238-2))+1)))</f>
        <v/>
      </c>
      <c r="AD238" t="n">
        <v>1.2</v>
      </c>
      <c r="AE238">
        <f>INDEX(Bang_xuyen_giap!$C$2:$C$7,MIN(6,MAX(1,IF($O$238,MAX(1,2-(Vu_khi!$L$238-4)),2-(Vu_khi!$L$238-4))+1)))</f>
        <v/>
      </c>
      <c r="AF238" t="n">
        <v>1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64</v>
      </c>
      <c r="AK238">
        <f>IF($Q$238,$M$238*$AC$238*$U$238,0)</f>
        <v/>
      </c>
      <c r="AL238" t="n">
        <v>64</v>
      </c>
      <c r="AM238">
        <f>IF($Q$238,$M$238*$AE$238*$U$238,0)</f>
        <v/>
      </c>
      <c r="AN238" t="n">
        <v>53.33333333333334</v>
      </c>
      <c r="AO238">
        <f>IF($Q$238,$M$238*$AC$238*$Y$238,0)</f>
        <v/>
      </c>
      <c r="AP238" t="n">
        <v>38.4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3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n">
        <v>0.7</v>
      </c>
      <c r="AZ238" t="inlineStr">
        <is>
          <t>ok</t>
        </is>
      </c>
      <c r="BA238" t="b">
        <v>1</v>
      </c>
      <c r="BB238" t="inlineStr">
        <is>
          <t>Assets/MachineBrigade/Resources/Data/balance.json: weapons[id=p26_jotunn_direct_jo125] (lớp B trên 01_chien_dau/Vu_khi)</t>
        </is>
      </c>
      <c r="BC238" t="inlineStr"/>
    </row>
    <row r="239">
      <c r="A239" t="inlineStr">
        <is>
          <t>p26_jotunn_jo125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2</v>
      </c>
      <c r="I239">
        <f>Vu_khi!$W$239*MAX(1,$E$239)</f>
        <v/>
      </c>
      <c r="J239" t="n">
        <v>280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140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0.6</v>
      </c>
      <c r="AA239">
        <f>INDEX(Bang_xuyen_giap!$C$2:$C$7,MIN(6,MAX(1,IF($O$239,MAX(1,2-(Vu_khi!$L$239-0)),2-(Vu_khi!$L$239-0))+1)))</f>
        <v/>
      </c>
      <c r="AB239" t="n">
        <v>1.2</v>
      </c>
      <c r="AC239">
        <f>INDEX(Bang_xuyen_giap!$C$2:$C$7,MIN(6,MAX(1,IF($O$239,MAX(1,2-(Vu_khi!$L$239-2)),2-(Vu_khi!$L$239-2))+1)))</f>
        <v/>
      </c>
      <c r="AD239" t="n">
        <v>1.2</v>
      </c>
      <c r="AE239">
        <f>INDEX(Bang_xuyen_giap!$C$2:$C$7,MIN(6,MAX(1,IF($O$239,MAX(1,2-(Vu_khi!$L$239-4)),2-(Vu_khi!$L$239-4))+1)))</f>
        <v/>
      </c>
      <c r="AF239" t="n">
        <v>1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168</v>
      </c>
      <c r="AK239">
        <f>IF($Q$239,$M$239*$AC$239*$U$239,0)</f>
        <v/>
      </c>
      <c r="AL239" t="n">
        <v>168</v>
      </c>
      <c r="AM239">
        <f>IF($Q$239,$M$239*$AE$239*$U$239,0)</f>
        <v/>
      </c>
      <c r="AN239" t="n">
        <v>140</v>
      </c>
      <c r="AO239">
        <f>IF($Q$239,$M$239*$AC$239*$Y$239,0)</f>
        <v/>
      </c>
      <c r="AP239" t="n">
        <v>100.8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0.186667</v>
      </c>
      <c r="AZ239" t="inlineStr">
        <is>
          <t>NHANH_QUA;LECH_DOT_1</t>
        </is>
      </c>
      <c r="BA239" t="inlineStr"/>
      <c r="BB239" t="inlineStr">
        <is>
          <t>Assets/MachineBrigade/Resources/Data/balance.json: weapons[id=p26_jotunn_jo125] (lớp B trên 01_chien_dau/Vu_khi)</t>
        </is>
      </c>
      <c r="BC239" t="inlineStr"/>
    </row>
    <row r="240">
      <c r="A240" t="inlineStr">
        <is>
          <t>p26_jotunn_jo203</t>
        </is>
      </c>
      <c r="B240" t="n">
        <v>4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24</v>
      </c>
      <c r="I240">
        <f>Vu_khi!$W$240*MAX(1,$E$240)</f>
        <v/>
      </c>
      <c r="J240" t="n">
        <v>900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37.5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1.5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1.2</v>
      </c>
      <c r="AE240">
        <f>INDEX(Bang_xuyen_giap!$C$2:$C$7,MIN(6,MAX(1,IF($O$240,MAX(1,2-(Vu_khi!$L$240-4)),2-(Vu_khi!$L$240-4))+1)))</f>
        <v/>
      </c>
      <c r="AF240" t="n">
        <v>0.85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45</v>
      </c>
      <c r="AK240">
        <f>IF($Q$240,$M$240*$AC$240*$U$240,0)</f>
        <v/>
      </c>
      <c r="AL240" t="n">
        <v>45</v>
      </c>
      <c r="AM240">
        <f>IF($Q$240,$M$240*$AE$240*$U$240,0)</f>
        <v/>
      </c>
      <c r="AN240" t="n">
        <v>31.875</v>
      </c>
      <c r="AO240">
        <f>IF($Q$240,$M$240*$AC$240*$Y$240,0)</f>
        <v/>
      </c>
      <c r="AP240" t="n">
        <v>67.5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1</v>
      </c>
      <c r="AU240">
        <f>IF(AND($B$240&lt;0,$AS$240),4,$B$240)</f>
        <v/>
      </c>
      <c r="AV240" t="n">
        <v>4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2.5</v>
      </c>
      <c r="AY240" t="n">
        <v>0.7</v>
      </c>
      <c r="AZ240" t="inlineStr">
        <is>
          <t>ok</t>
        </is>
      </c>
      <c r="BA240" t="b">
        <v>1</v>
      </c>
      <c r="BB240" t="inlineStr">
        <is>
          <t>Assets/MachineBrigade/Resources/Data/balance.json: weapons[id=p26_jotunn_jo203] (lớp B trên 01_chien_dau/Vu_khi)</t>
        </is>
      </c>
      <c r="BC240" t="inlineStr"/>
    </row>
    <row r="241">
      <c r="A241" t="inlineStr">
        <is>
          <t>p26_jotunn_jo_rockets</t>
        </is>
      </c>
      <c r="B241" t="n">
        <v>4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8</v>
      </c>
      <c r="G241">
        <f>IF(Vu_khi!$S$241&gt;0,(Vu_khi!$S$241-1)*Vu_khi!$R$241+Vu_khi!$T$241,Vu_khi!$R$241+(Vu_khi!$P$241-1)*Vu_khi!$Q$241)</f>
        <v/>
      </c>
      <c r="H241" t="n">
        <v>10</v>
      </c>
      <c r="I241">
        <f>Vu_khi!$W$241*MAX(1,$E$241)</f>
        <v/>
      </c>
      <c r="J241" t="n">
        <v>880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88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1.5</v>
      </c>
      <c r="AA241">
        <f>INDEX(Bang_xuyen_giap!$C$2:$C$7,MIN(6,MAX(1,IF($O$241,MAX(1,2-(Vu_khi!$L$241-0)),2-(Vu_khi!$L$241-0))+1)))</f>
        <v/>
      </c>
      <c r="AB241" t="n">
        <v>1.2</v>
      </c>
      <c r="AC241">
        <f>INDEX(Bang_xuyen_giap!$C$2:$C$7,MIN(6,MAX(1,IF($O$241,MAX(1,2-(Vu_khi!$L$241-2)),2-(Vu_khi!$L$241-2))+1)))</f>
        <v/>
      </c>
      <c r="AD241" t="n">
        <v>0.85</v>
      </c>
      <c r="AE241">
        <f>INDEX(Bang_xuyen_giap!$C$2:$C$7,MIN(6,MAX(1,IF($O$241,MAX(1,2-(Vu_khi!$L$241-4)),2-(Vu_khi!$L$241-4))+1)))</f>
        <v/>
      </c>
      <c r="AF241" t="n">
        <v>0.25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105.6</v>
      </c>
      <c r="AK241">
        <f>IF($Q$241,$M$241*$AC$241*$U$241,0)</f>
        <v/>
      </c>
      <c r="AL241" t="n">
        <v>74.8</v>
      </c>
      <c r="AM241">
        <f>IF($Q$241,$M$241*$AE$241*$U$241,0)</f>
        <v/>
      </c>
      <c r="AN241" t="n">
        <v>22</v>
      </c>
      <c r="AO241">
        <f>IF($Q$241,$M$241*$AC$241*$Y$241,0)</f>
        <v/>
      </c>
      <c r="AP241" t="n">
        <v>112.2</v>
      </c>
      <c r="AQ241">
        <f>IF($S$241,$M$241*$AG$241*$W$241,0)</f>
        <v/>
      </c>
      <c r="AR241" t="n">
        <v>0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1</v>
      </c>
      <c r="AU241">
        <f>IF(AND($B$241&lt;0,$AS$241),4,$B$241)</f>
        <v/>
      </c>
      <c r="AV241" t="n">
        <v>4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2.5</v>
      </c>
      <c r="AY241" t="n">
        <v>0.095</v>
      </c>
      <c r="AZ241" t="inlineStr">
        <is>
          <t>NHANH_QUA;LECH_DOT_1</t>
        </is>
      </c>
      <c r="BA241" t="inlineStr"/>
      <c r="BB241" t="inlineStr">
        <is>
          <t>Assets/MachineBrigade/Resources/Data/balance.json: weapons[id=p26_jotunn_jo_rockets] (lớp B trên 01_chien_dau/Vu_khi)</t>
        </is>
      </c>
      <c r="BC241" t="inlineStr"/>
    </row>
    <row r="242">
      <c r="A242" t="inlineStr">
        <is>
          <t>p26_jotunn_sec_jo_rockets</t>
        </is>
      </c>
      <c r="B242" t="n">
        <v>4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8</v>
      </c>
      <c r="G242">
        <f>IF(Vu_khi!$S$242&gt;0,(Vu_khi!$S$242-1)*Vu_khi!$R$242+Vu_khi!$T$242,Vu_khi!$R$242+(Vu_khi!$P$242-1)*Vu_khi!$Q$242)</f>
        <v/>
      </c>
      <c r="H242" t="n">
        <v>37.95</v>
      </c>
      <c r="I242">
        <f>Vu_khi!$W$242*MAX(1,$E$242)</f>
        <v/>
      </c>
      <c r="J242" t="n">
        <v>3600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94.86166007905139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0</v>
      </c>
      <c r="U242">
        <f>INDEX(Bang_sat_thuong!$B$2:$B$7,MATCH(Vu_khi!$K$242,Bang_sat_thuong!$A$2:$A$7,0))</f>
        <v/>
      </c>
      <c r="V242" t="n">
        <v>1</v>
      </c>
      <c r="W242">
        <f>INDEX(Bang_sat_thuong!$C$2:$C$7,MATCH(Vu_khi!$K$242,Bang_sat_thuong!$A$2:$A$7,0))</f>
        <v/>
      </c>
      <c r="X242" t="n">
        <v>0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1.5</v>
      </c>
      <c r="AA242">
        <f>INDEX(Bang_xuyen_giap!$C$2:$C$7,MIN(6,MAX(1,IF($O$242,MAX(1,2-(Vu_khi!$L$242-0)),2-(Vu_khi!$L$242-0))+1)))</f>
        <v/>
      </c>
      <c r="AB242" t="n">
        <v>1.2</v>
      </c>
      <c r="AC242">
        <f>INDEX(Bang_xuyen_giap!$C$2:$C$7,MIN(6,MAX(1,IF($O$242,MAX(1,2-(Vu_khi!$L$242-2)),2-(Vu_khi!$L$242-2))+1)))</f>
        <v/>
      </c>
      <c r="AD242" t="n">
        <v>0.85</v>
      </c>
      <c r="AE242">
        <f>INDEX(Bang_xuyen_giap!$C$2:$C$7,MIN(6,MAX(1,IF($O$242,MAX(1,2-(Vu_khi!$L$242-4)),2-(Vu_khi!$L$242-4))+1)))</f>
        <v/>
      </c>
      <c r="AF242" t="n">
        <v>0.25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113.8339920948617</v>
      </c>
      <c r="AK242">
        <f>IF($Q$242,$M$242*$AC$242*$U$242,0)</f>
        <v/>
      </c>
      <c r="AL242" t="n">
        <v>80.63241106719369</v>
      </c>
      <c r="AM242">
        <f>IF($Q$242,$M$242*$AE$242*$U$242,0)</f>
        <v/>
      </c>
      <c r="AN242" t="n">
        <v>23.71541501976285</v>
      </c>
      <c r="AO242">
        <f>IF($Q$242,$M$242*$AC$242*$Y$242,0)</f>
        <v/>
      </c>
      <c r="AP242" t="n">
        <v>120.9486166007905</v>
      </c>
      <c r="AQ242">
        <f>IF($S$242,$M$242*$AG$242*$W$242,0)</f>
        <v/>
      </c>
      <c r="AR242" t="n">
        <v>0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1</v>
      </c>
      <c r="AU242">
        <f>IF(AND($B$242&lt;0,$AS$242),4,$B$242)</f>
        <v/>
      </c>
      <c r="AV242" t="n">
        <v>4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2.5</v>
      </c>
      <c r="AY242" t="n">
        <v>1.003833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weapons[id=p26_jotunn_sec_jo_rockets] (lớp B trên 01_chien_dau/Vu_khi)</t>
        </is>
      </c>
      <c r="BC242" t="inlineStr"/>
    </row>
    <row r="243">
      <c r="A243" t="inlineStr">
        <is>
          <t>p26_jotunn_tiny_twin_30_flak</t>
        </is>
      </c>
      <c r="B243" t="n">
        <v>1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160</v>
      </c>
      <c r="G243">
        <f>IF(Vu_khi!$S$243&gt;0,(Vu_khi!$S$243-1)*Vu_khi!$R$243+Vu_khi!$T$243,Vu_khi!$R$243+(Vu_khi!$P$243-1)*Vu_khi!$Q$243)</f>
        <v/>
      </c>
      <c r="H243" t="n">
        <v>6.975</v>
      </c>
      <c r="I243">
        <f>Vu_khi!$W$243*MAX(1,$E$243)</f>
        <v/>
      </c>
      <c r="J243" t="n">
        <v>3520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504.6594982078853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1</v>
      </c>
      <c r="U243">
        <f>INDEX(Bang_sat_thuong!$B$2:$B$7,MATCH(Vu_khi!$K$243,Bang_sat_thuong!$A$2:$A$7,0))</f>
        <v/>
      </c>
      <c r="V243" t="n">
        <v>0.5</v>
      </c>
      <c r="W243">
        <f>INDEX(Bang_sat_thuong!$C$2:$C$7,MATCH(Vu_khi!$K$243,Bang_sat_thuong!$A$2:$A$7,0))</f>
        <v/>
      </c>
      <c r="X243" t="n">
        <v>1.3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0.1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0.85</v>
      </c>
      <c r="AE243">
        <f>INDEX(Bang_xuyen_giap!$C$2:$C$7,MIN(6,MAX(1,IF($O$243,MAX(1,2-(Vu_khi!$L$243-4)),2-(Vu_khi!$L$243-4))+1)))</f>
        <v/>
      </c>
      <c r="AF243" t="n">
        <v>0.25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302.7956989247312</v>
      </c>
      <c r="AK243">
        <f>IF($Q$243,$M$243*$AC$243*$U$243,0)</f>
        <v/>
      </c>
      <c r="AL243" t="n">
        <v>214.4802867383513</v>
      </c>
      <c r="AM243">
        <f>IF($Q$243,$M$243*$AE$243*$U$243,0)</f>
        <v/>
      </c>
      <c r="AN243" t="n">
        <v>63.08243727598567</v>
      </c>
      <c r="AO243">
        <f>IF($Q$243,$M$243*$AC$243*$Y$243,0)</f>
        <v/>
      </c>
      <c r="AP243" t="n">
        <v>42.89605734767026</v>
      </c>
      <c r="AQ243">
        <f>IF($S$243,$M$243*$AG$243*$W$243,0)</f>
        <v/>
      </c>
      <c r="AR243" t="n">
        <v>656.0573476702509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1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3.632812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weapons[id=p26_jotunn_tiny_twin_30_flak] (lớp B trên 01_chien_dau/Vu_khi)</t>
        </is>
      </c>
      <c r="BC243" t="inlineStr"/>
    </row>
    <row r="244">
      <c r="A244" t="inlineStr">
        <is>
          <t>p26_leviathan_direct_lev127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3</v>
      </c>
      <c r="I244">
        <f>Vu_khi!$W$244*MAX(1,$E$244)</f>
        <v/>
      </c>
      <c r="J244" t="n">
        <v>380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126.6666666666667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0.6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1.2</v>
      </c>
      <c r="AE244">
        <f>INDEX(Bang_xuyen_giap!$C$2:$C$7,MIN(6,MAX(1,IF($O$244,MAX(1,2-(Vu_khi!$L$244-4)),2-(Vu_khi!$L$244-4))+1)))</f>
        <v/>
      </c>
      <c r="AF244" t="n">
        <v>1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152</v>
      </c>
      <c r="AK244">
        <f>IF($Q$244,$M$244*$AC$244*$U$244,0)</f>
        <v/>
      </c>
      <c r="AL244" t="n">
        <v>152</v>
      </c>
      <c r="AM244">
        <f>IF($Q$244,$M$244*$AE$244*$U$244,0)</f>
        <v/>
      </c>
      <c r="AN244" t="n">
        <v>126.6666666666667</v>
      </c>
      <c r="AO244">
        <f>IF($Q$244,$M$244*$AC$244*$Y$244,0)</f>
        <v/>
      </c>
      <c r="AP244" t="n">
        <v>91.2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1.05</v>
      </c>
      <c r="AZ244" t="inlineStr">
        <is>
          <t>ok</t>
        </is>
      </c>
      <c r="BA244" t="b">
        <v>1</v>
      </c>
      <c r="BB244" t="inlineStr">
        <is>
          <t>Assets/MachineBrigade/Resources/Data/balance.json: weapons[id=p26_leviathan_direct_lev127] (lớp B trên 01_chien_dau/Vu_khi)</t>
        </is>
      </c>
      <c r="BC244" t="inlineStr"/>
    </row>
    <row r="245">
      <c r="A245" t="inlineStr">
        <is>
          <t>p26_leviathan_lev127</t>
        </is>
      </c>
      <c r="B245" t="n">
        <v>3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</v>
      </c>
      <c r="I245">
        <f>Vu_khi!$W$245*MAX(1,$E$245)</f>
        <v/>
      </c>
      <c r="J245" t="n">
        <v>320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160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0.3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0.6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1.2</v>
      </c>
      <c r="AE245">
        <f>INDEX(Bang_xuyen_giap!$C$2:$C$7,MIN(6,MAX(1,IF($O$245,MAX(1,2-(Vu_khi!$L$245-4)),2-(Vu_khi!$L$245-4))+1)))</f>
        <v/>
      </c>
      <c r="AF245" t="n">
        <v>1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192</v>
      </c>
      <c r="AK245">
        <f>IF($Q$245,$M$245*$AC$245*$U$245,0)</f>
        <v/>
      </c>
      <c r="AL245" t="n">
        <v>192</v>
      </c>
      <c r="AM245">
        <f>IF($Q$245,$M$245*$AE$245*$U$245,0)</f>
        <v/>
      </c>
      <c r="AN245" t="n">
        <v>160</v>
      </c>
      <c r="AO245">
        <f>IF($Q$245,$M$245*$AC$245*$Y$245,0)</f>
        <v/>
      </c>
      <c r="AP245" t="n">
        <v>115.2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0</v>
      </c>
      <c r="AU245">
        <f>IF(AND($B$245&lt;0,$AS$245),4,$B$245)</f>
        <v/>
      </c>
      <c r="AV245" t="n">
        <v>3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0</v>
      </c>
      <c r="AY245" t="n">
        <v>0.7</v>
      </c>
      <c r="AZ245" t="inlineStr">
        <is>
          <t>LECH_DOT_1</t>
        </is>
      </c>
      <c r="BA245" t="inlineStr"/>
      <c r="BB245" t="inlineStr">
        <is>
          <t>Assets/MachineBrigade/Resources/Data/balance.json: weapons[id=p26_leviathan_lev127] (lớp B trên 01_chien_dau/Vu_khi)</t>
        </is>
      </c>
      <c r="BC245" t="inlineStr"/>
    </row>
    <row r="246">
      <c r="A246" t="inlineStr">
        <is>
          <t>p26_leviathan_lev155</t>
        </is>
      </c>
      <c r="B246" t="n">
        <v>3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3</v>
      </c>
      <c r="G246">
        <f>IF(Vu_khi!$S$246&gt;0,(Vu_khi!$S$246-1)*Vu_khi!$R$246+Vu_khi!$T$246,Vu_khi!$R$246+(Vu_khi!$P$246-1)*Vu_khi!$Q$246)</f>
        <v/>
      </c>
      <c r="H246" t="n">
        <v>5</v>
      </c>
      <c r="I246">
        <f>Vu_khi!$W$246*MAX(1,$E$246)</f>
        <v/>
      </c>
      <c r="J246" t="n">
        <v>510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102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1.5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1</v>
      </c>
      <c r="AE246">
        <f>INDEX(Bang_xuyen_giap!$C$2:$C$7,MIN(6,MAX(1,IF($O$246,MAX(1,2-(Vu_khi!$L$246-4)),2-(Vu_khi!$L$246-4))+1)))</f>
        <v/>
      </c>
      <c r="AF246" t="n">
        <v>0.5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122.4</v>
      </c>
      <c r="AK246">
        <f>IF($Q$246,$M$246*$AC$246*$U$246,0)</f>
        <v/>
      </c>
      <c r="AL246" t="n">
        <v>102</v>
      </c>
      <c r="AM246">
        <f>IF($Q$246,$M$246*$AE$246*$U$246,0)</f>
        <v/>
      </c>
      <c r="AN246" t="n">
        <v>51</v>
      </c>
      <c r="AO246">
        <f>IF($Q$246,$M$246*$AC$246*$Y$246,0)</f>
        <v/>
      </c>
      <c r="AP246" t="n">
        <v>153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0</v>
      </c>
      <c r="AU246">
        <f>IF(AND($B$246&lt;0,$AS$246),4,$B$246)</f>
        <v/>
      </c>
      <c r="AV246" t="n">
        <v>3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0</v>
      </c>
      <c r="AY246" t="n">
        <v>0.291667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weapons[id=p26_leviathan_lev155] (lớp B trên 01_chien_dau/Vu_khi)</t>
        </is>
      </c>
      <c r="BC246" t="inlineStr"/>
    </row>
    <row r="247">
      <c r="A247" t="inlineStr">
        <is>
          <t>p26_leviathan_lev406</t>
        </is>
      </c>
      <c r="B247" t="n">
        <v>5</v>
      </c>
      <c r="C247">
        <f>IF(Vu_khi!$O$247="SIMULTANEOUS",MAX(1,Vu_khi!$N$247),1)</f>
        <v/>
      </c>
      <c r="D247" t="n">
        <v>3</v>
      </c>
      <c r="E247">
        <f>IF(Vu_khi!$S$247&gt;0,Vu_khi!$S$247,Vu_khi!$P$247*$C$247)</f>
        <v/>
      </c>
      <c r="F247" t="n">
        <v>3</v>
      </c>
      <c r="G247">
        <f>IF(Vu_khi!$S$247&gt;0,(Vu_khi!$S$247-1)*Vu_khi!$R$247+Vu_khi!$T$247,Vu_khi!$R$247+(Vu_khi!$P$247-1)*Vu_khi!$Q$247)</f>
        <v/>
      </c>
      <c r="H247" t="n">
        <v>60</v>
      </c>
      <c r="I247">
        <f>Vu_khi!$W$247*MAX(1,$E$247)</f>
        <v/>
      </c>
      <c r="J247" t="n">
        <v>7200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120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1.5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1.2</v>
      </c>
      <c r="AE247">
        <f>INDEX(Bang_xuyen_giap!$C$2:$C$7,MIN(6,MAX(1,IF($O$247,MAX(1,2-(Vu_khi!$L$247-4)),2-(Vu_khi!$L$247-4))+1)))</f>
        <v/>
      </c>
      <c r="AF247" t="n">
        <v>0.85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144</v>
      </c>
      <c r="AK247">
        <f>IF($Q$247,$M$247*$AC$247*$U$247,0)</f>
        <v/>
      </c>
      <c r="AL247" t="n">
        <v>144</v>
      </c>
      <c r="AM247">
        <f>IF($Q$247,$M$247*$AE$247*$U$247,0)</f>
        <v/>
      </c>
      <c r="AN247" t="n">
        <v>102</v>
      </c>
      <c r="AO247">
        <f>IF($Q$247,$M$247*$AC$247*$Y$247,0)</f>
        <v/>
      </c>
      <c r="AP247" t="n">
        <v>216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0</v>
      </c>
      <c r="AU247">
        <f>IF(AND($B$247&lt;0,$AS$247),4,$B$247)</f>
        <v/>
      </c>
      <c r="AV247" t="n">
        <v>5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3.611111111111111</v>
      </c>
      <c r="AY247" t="n">
        <v>1.4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weapons[id=p26_leviathan_lev406] (lớp B trên 01_chien_dau/Vu_khi)</t>
        </is>
      </c>
      <c r="BC247" t="inlineStr"/>
    </row>
    <row r="248">
      <c r="A248" t="inlineStr">
        <is>
          <t>p26_leviathan_sec_lev155</t>
        </is>
      </c>
      <c r="B248" t="n">
        <v>3</v>
      </c>
      <c r="C248">
        <f>IF(Vu_khi!$O$248="SIMULTANEOUS",MAX(1,Vu_khi!$N$248),1)</f>
        <v/>
      </c>
      <c r="D248" t="n">
        <v>3</v>
      </c>
      <c r="E248">
        <f>IF(Vu_khi!$S$248&gt;0,Vu_khi!$S$248,Vu_khi!$P$248*$C$248)</f>
        <v/>
      </c>
      <c r="F248" t="n">
        <v>3</v>
      </c>
      <c r="G248">
        <f>IF(Vu_khi!$S$248&gt;0,(Vu_khi!$S$248-1)*Vu_khi!$R$248+Vu_khi!$T$248,Vu_khi!$R$248+(Vu_khi!$P$248-1)*Vu_khi!$Q$248)</f>
        <v/>
      </c>
      <c r="H248" t="n">
        <v>10.5</v>
      </c>
      <c r="I248">
        <f>Vu_khi!$W$248*MAX(1,$E$248)</f>
        <v/>
      </c>
      <c r="J248" t="n">
        <v>1800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171.4285714285714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</v>
      </c>
      <c r="W248">
        <f>INDEX(Bang_sat_thuong!$C$2:$C$7,MATCH(Vu_khi!$K$248,Bang_sat_thuong!$A$2:$A$7,0))</f>
        <v/>
      </c>
      <c r="X248" t="n">
        <v>0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1.5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1</v>
      </c>
      <c r="AE248">
        <f>INDEX(Bang_xuyen_giap!$C$2:$C$7,MIN(6,MAX(1,IF($O$248,MAX(1,2-(Vu_khi!$L$248-4)),2-(Vu_khi!$L$248-4))+1)))</f>
        <v/>
      </c>
      <c r="AF248" t="n">
        <v>0.5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205.7142857142857</v>
      </c>
      <c r="AK248">
        <f>IF($Q$248,$M$248*$AC$248*$U$248,0)</f>
        <v/>
      </c>
      <c r="AL248" t="n">
        <v>171.4285714285714</v>
      </c>
      <c r="AM248">
        <f>IF($Q$248,$M$248*$AE$248*$U$248,0)</f>
        <v/>
      </c>
      <c r="AN248" t="n">
        <v>85.71428571428571</v>
      </c>
      <c r="AO248">
        <f>IF($Q$248,$M$248*$AC$248*$Y$248,0)</f>
        <v/>
      </c>
      <c r="AP248" t="n">
        <v>257.1428571428571</v>
      </c>
      <c r="AQ248">
        <f>IF($S$248,$M$248*$AG$248*$W$248,0)</f>
        <v/>
      </c>
      <c r="AR248" t="n">
        <v>0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3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0.6125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weapons[id=p26_leviathan_sec_lev155] (lớp B trên 01_chien_dau/Vu_khi)</t>
        </is>
      </c>
      <c r="BC248" t="inlineStr"/>
    </row>
    <row r="249">
      <c r="A249" t="inlineStr">
        <is>
          <t>p26_matriarch_close_boss_flak</t>
        </is>
      </c>
      <c r="B249" t="n">
        <v>1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41</v>
      </c>
      <c r="G249">
        <f>IF(Vu_khi!$S$249&gt;0,(Vu_khi!$S$249-1)*Vu_khi!$R$249+Vu_khi!$T$249,Vu_khi!$R$249+(Vu_khi!$P$249-1)*Vu_khi!$Q$249)</f>
        <v/>
      </c>
      <c r="H249" t="n">
        <v>5.38</v>
      </c>
      <c r="I249">
        <f>Vu_khi!$W$249*MAX(1,$E$249)</f>
        <v/>
      </c>
      <c r="J249" t="n">
        <v>1025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190.5204460966543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1</v>
      </c>
      <c r="U249">
        <f>INDEX(Bang_sat_thuong!$B$2:$B$7,MATCH(Vu_khi!$K$249,Bang_sat_thuong!$A$2:$A$7,0))</f>
        <v/>
      </c>
      <c r="V249" t="n">
        <v>0.5</v>
      </c>
      <c r="W249">
        <f>INDEX(Bang_sat_thuong!$C$2:$C$7,MATCH(Vu_khi!$K$249,Bang_sat_thuong!$A$2:$A$7,0))</f>
        <v/>
      </c>
      <c r="X249" t="n">
        <v>1.3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0.1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0.85</v>
      </c>
      <c r="AE249">
        <f>INDEX(Bang_xuyen_giap!$C$2:$C$7,MIN(6,MAX(1,IF($O$249,MAX(1,2-(Vu_khi!$L$249-4)),2-(Vu_khi!$L$249-4))+1)))</f>
        <v/>
      </c>
      <c r="AF249" t="n">
        <v>0.25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114.3122676579926</v>
      </c>
      <c r="AK249">
        <f>IF($Q$249,$M$249*$AC$249*$U$249,0)</f>
        <v/>
      </c>
      <c r="AL249" t="n">
        <v>80.97118959107806</v>
      </c>
      <c r="AM249">
        <f>IF($Q$249,$M$249*$AE$249*$U$249,0)</f>
        <v/>
      </c>
      <c r="AN249" t="n">
        <v>23.81505576208178</v>
      </c>
      <c r="AO249">
        <f>IF($Q$249,$M$249*$AC$249*$Y$249,0)</f>
        <v/>
      </c>
      <c r="AP249" t="n">
        <v>16.19423791821561</v>
      </c>
      <c r="AQ249">
        <f>IF($S$249,$M$249*$AG$249*$W$249,0)</f>
        <v/>
      </c>
      <c r="AR249" t="n">
        <v>247.6765799256505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1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2.405691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weapons[id=p26_matriarch_close_boss_flak] (lớp B trên 01_chien_dau/Vu_khi)</t>
        </is>
      </c>
      <c r="BC249" t="inlineStr"/>
    </row>
    <row r="250">
      <c r="A250" t="inlineStr">
        <is>
          <t>p26_matriarch_direct_ma_atgm</t>
        </is>
      </c>
      <c r="B250" t="n">
        <v>2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20</v>
      </c>
      <c r="I250">
        <f>Vu_khi!$W$250*MAX(1,$E$250)</f>
        <v/>
      </c>
      <c r="J250" t="n">
        <v>230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11.5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13.8</v>
      </c>
      <c r="AK250">
        <f>IF($Q$250,$M$250*$AC$250*$U$250,0)</f>
        <v/>
      </c>
      <c r="AL250" t="n">
        <v>13.8</v>
      </c>
      <c r="AM250">
        <f>IF($Q$250,$M$250*$AE$250*$U$250,0)</f>
        <v/>
      </c>
      <c r="AN250" t="n">
        <v>11.5</v>
      </c>
      <c r="AO250">
        <f>IF($Q$250,$M$250*$AC$250*$Y$250,0)</f>
        <v/>
      </c>
      <c r="AP250" t="n">
        <v>8.279999999999999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2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1</v>
      </c>
      <c r="AZ250" t="inlineStr">
        <is>
          <t>ok</t>
        </is>
      </c>
      <c r="BA250" t="b">
        <v>1</v>
      </c>
      <c r="BB250" t="inlineStr">
        <is>
          <t>Assets/MachineBrigade/Resources/Data/balance.json: weapons[id=p26_matriarch_direct_ma_atgm] (lớp B trên 01_chien_dau/Vu_khi)</t>
        </is>
      </c>
      <c r="BC250" t="inlineStr"/>
    </row>
    <row r="251">
      <c r="A251" t="inlineStr">
        <is>
          <t>p26_matriarch_ma_atgm</t>
        </is>
      </c>
      <c r="B251" t="n">
        <v>2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2</v>
      </c>
      <c r="I251">
        <f>Vu_khi!$W$251*MAX(1,$E$251)</f>
        <v/>
      </c>
      <c r="J251" t="n">
        <v>340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170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0.6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1.2</v>
      </c>
      <c r="AE251">
        <f>INDEX(Bang_xuyen_giap!$C$2:$C$7,MIN(6,MAX(1,IF($O$251,MAX(1,2-(Vu_khi!$L$251-4)),2-(Vu_khi!$L$251-4))+1)))</f>
        <v/>
      </c>
      <c r="AF251" t="n">
        <v>1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204</v>
      </c>
      <c r="AK251">
        <f>IF($Q$251,$M$251*$AC$251*$U$251,0)</f>
        <v/>
      </c>
      <c r="AL251" t="n">
        <v>204</v>
      </c>
      <c r="AM251">
        <f>IF($Q$251,$M$251*$AE$251*$U$251,0)</f>
        <v/>
      </c>
      <c r="AN251" t="n">
        <v>170</v>
      </c>
      <c r="AO251">
        <f>IF($Q$251,$M$251*$AC$251*$Y$251,0)</f>
        <v/>
      </c>
      <c r="AP251" t="n">
        <v>122.4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2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0.1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weapons[id=p26_matriarch_ma_atgm] (lớp B trên 01_chien_dau/Vu_khi)</t>
        </is>
      </c>
      <c r="BC251" t="inlineStr"/>
    </row>
    <row r="252">
      <c r="A252" t="inlineStr">
        <is>
          <t>p26_matriarch_ma_drones</t>
        </is>
      </c>
      <c r="B252" t="n">
        <v>2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6</v>
      </c>
      <c r="G252">
        <f>IF(Vu_khi!$S$252&gt;0,(Vu_khi!$S$252-1)*Vu_khi!$R$252+Vu_khi!$T$252,Vu_khi!$R$252+(Vu_khi!$P$252-1)*Vu_khi!$Q$252)</f>
        <v/>
      </c>
      <c r="H252" t="n">
        <v>5</v>
      </c>
      <c r="I252">
        <f>Vu_khi!$W$252*MAX(1,$E$252)</f>
        <v/>
      </c>
      <c r="J252" t="n">
        <v>1920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384</v>
      </c>
      <c r="O252">
        <f>OR(Vu_khi!$AG$252,Vu_khi!$AB$252&gt;0,Vu_khi!$AH$252,Vu_khi!$M$252="Bomb",Vu_khi!$M$252="Drone")</f>
        <v/>
      </c>
      <c r="P252" t="b">
        <v>1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0.6</v>
      </c>
      <c r="AA252">
        <f>INDEX(Bang_xuyen_giap!$C$2:$C$7,MIN(6,MAX(1,IF($O$252,MAX(1,2-(Vu_khi!$L$252-0)),2-(Vu_khi!$L$252-0))+1)))</f>
        <v/>
      </c>
      <c r="AB252" t="n">
        <v>1</v>
      </c>
      <c r="AC252">
        <f>INDEX(Bang_xuyen_giap!$C$2:$C$7,MIN(6,MAX(1,IF($O$252,MAX(1,2-(Vu_khi!$L$252-2)),2-(Vu_khi!$L$252-2))+1)))</f>
        <v/>
      </c>
      <c r="AD252" t="n">
        <v>1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384</v>
      </c>
      <c r="AK252">
        <f>IF($Q$252,$M$252*$AC$252*$U$252,0)</f>
        <v/>
      </c>
      <c r="AL252" t="n">
        <v>384</v>
      </c>
      <c r="AM252">
        <f>IF($Q$252,$M$252*$AE$252*$U$252,0)</f>
        <v/>
      </c>
      <c r="AN252" t="n">
        <v>326.4</v>
      </c>
      <c r="AO252">
        <f>IF($Q$252,$M$252*$AC$252*$Y$252,0)</f>
        <v/>
      </c>
      <c r="AP252" t="n">
        <v>230.4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2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0</v>
      </c>
      <c r="AY252" t="inlineStr"/>
      <c r="AZ252" t="inlineStr">
        <is>
          <t>ok</t>
        </is>
      </c>
      <c r="BA252" t="b">
        <v>1</v>
      </c>
      <c r="BB252" t="inlineStr">
        <is>
          <t>Assets/MachineBrigade/Resources/Data/balance.json: weapons[id=p26_matriarch_ma_drones] (lớp B trên 01_chien_dau/Vu_khi)</t>
        </is>
      </c>
      <c r="BC252" t="inlineStr"/>
    </row>
    <row r="253">
      <c r="A253" t="inlineStr">
        <is>
          <t>p26_matriarch_sec_autocannon_30</t>
        </is>
      </c>
      <c r="B253" t="n">
        <v>1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10</v>
      </c>
      <c r="G253">
        <f>IF(Vu_khi!$S$253&gt;0,(Vu_khi!$S$253-1)*Vu_khi!$R$253+Vu_khi!$T$253,Vu_khi!$R$253+(Vu_khi!$P$253-1)*Vu_khi!$Q$253)</f>
        <v/>
      </c>
      <c r="H253" t="n">
        <v>2.4999</v>
      </c>
      <c r="I253">
        <f>Vu_khi!$W$253*MAX(1,$E$253)</f>
        <v/>
      </c>
      <c r="J253" t="n">
        <v>220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88.00352014080562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0.3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0.6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0.85</v>
      </c>
      <c r="AE253">
        <f>INDEX(Bang_xuyen_giap!$C$2:$C$7,MIN(6,MAX(1,IF($O$253,MAX(1,2-(Vu_khi!$L$253-4)),2-(Vu_khi!$L$253-4))+1)))</f>
        <v/>
      </c>
      <c r="AF253" t="n">
        <v>0.25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105.6042241689667</v>
      </c>
      <c r="AK253">
        <f>IF($Q$253,$M$253*$AC$253*$U$253,0)</f>
        <v/>
      </c>
      <c r="AL253" t="n">
        <v>74.80299211968477</v>
      </c>
      <c r="AM253">
        <f>IF($Q$253,$M$253*$AE$253*$U$253,0)</f>
        <v/>
      </c>
      <c r="AN253" t="n">
        <v>22.0008800352014</v>
      </c>
      <c r="AO253">
        <f>IF($Q$253,$M$253*$AC$253*$Y$253,0)</f>
        <v/>
      </c>
      <c r="AP253" t="n">
        <v>44.88179527181087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1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3.3332</v>
      </c>
      <c r="AZ253" t="inlineStr">
        <is>
          <t>ok</t>
        </is>
      </c>
      <c r="BA253" t="b">
        <v>1</v>
      </c>
      <c r="BB253" t="inlineStr">
        <is>
          <t>Assets/MachineBrigade/Resources/Data/balance.json: weapons[id=p26_matriarch_sec_autocannon_30] (lớp B trên 01_chien_dau/Vu_khi)</t>
        </is>
      </c>
      <c r="BC253" t="inlineStr"/>
    </row>
    <row r="254">
      <c r="A254" t="inlineStr">
        <is>
          <t>p26_matriarch_tiny_mothership_cannon</t>
        </is>
      </c>
      <c r="B254" t="n">
        <v>2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</v>
      </c>
      <c r="G254">
        <f>IF(Vu_khi!$S$254&gt;0,(Vu_khi!$S$254-1)*Vu_khi!$R$254+Vu_khi!$T$254,Vu_khi!$R$254+(Vu_khi!$P$254-1)*Vu_khi!$Q$254)</f>
        <v/>
      </c>
      <c r="H254" t="n">
        <v>4.29</v>
      </c>
      <c r="I254">
        <f>Vu_khi!$W$254*MAX(1,$E$254)</f>
        <v/>
      </c>
      <c r="J254" t="n">
        <v>480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111.8881118881119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0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1.5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0.85</v>
      </c>
      <c r="AE254">
        <f>INDEX(Bang_xuyen_giap!$C$2:$C$7,MIN(6,MAX(1,IF($O$254,MAX(1,2-(Vu_khi!$L$254-4)),2-(Vu_khi!$L$254-4))+1)))</f>
        <v/>
      </c>
      <c r="AF254" t="n">
        <v>0.25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134.2657342657343</v>
      </c>
      <c r="AK254">
        <f>IF($Q$254,$M$254*$AC$254*$U$254,0)</f>
        <v/>
      </c>
      <c r="AL254" t="n">
        <v>95.10489510489511</v>
      </c>
      <c r="AM254">
        <f>IF($Q$254,$M$254*$AE$254*$U$254,0)</f>
        <v/>
      </c>
      <c r="AN254" t="n">
        <v>27.97202797202797</v>
      </c>
      <c r="AO254">
        <f>IF($Q$254,$M$254*$AC$254*$Y$254,0)</f>
        <v/>
      </c>
      <c r="AP254" t="n">
        <v>142.6573426573427</v>
      </c>
      <c r="AQ254">
        <f>IF($S$254,$M$254*$AG$254*$W$254,0)</f>
        <v/>
      </c>
      <c r="AR254" t="n">
        <v>0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2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2.145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weapons[id=p26_matriarch_tiny_mothership_cannon] (lớp B trên 01_chien_dau/Vu_khi)</t>
        </is>
      </c>
      <c r="BC254" t="inlineStr"/>
    </row>
    <row r="255">
      <c r="A255" t="inlineStr">
        <is>
          <t>p26_moloch_close_boss_flak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41</v>
      </c>
      <c r="G255">
        <f>IF(Vu_khi!$S$255&gt;0,(Vu_khi!$S$255-1)*Vu_khi!$R$255+Vu_khi!$T$255,Vu_khi!$R$255+(Vu_khi!$P$255-1)*Vu_khi!$Q$255)</f>
        <v/>
      </c>
      <c r="H255" t="n">
        <v>5.38</v>
      </c>
      <c r="I255">
        <f>Vu_khi!$W$255*MAX(1,$E$255)</f>
        <v/>
      </c>
      <c r="J255" t="n">
        <v>1025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190.5204460966543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1</v>
      </c>
      <c r="U255">
        <f>INDEX(Bang_sat_thuong!$B$2:$B$7,MATCH(Vu_khi!$K$255,Bang_sat_thuong!$A$2:$A$7,0))</f>
        <v/>
      </c>
      <c r="V255" t="n">
        <v>0.5</v>
      </c>
      <c r="W255">
        <f>INDEX(Bang_sat_thuong!$C$2:$C$7,MATCH(Vu_khi!$K$255,Bang_sat_thuong!$A$2:$A$7,0))</f>
        <v/>
      </c>
      <c r="X255" t="n">
        <v>1.3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0.1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0.85</v>
      </c>
      <c r="AE255">
        <f>INDEX(Bang_xuyen_giap!$C$2:$C$7,MIN(6,MAX(1,IF($O$255,MAX(1,2-(Vu_khi!$L$255-4)),2-(Vu_khi!$L$255-4))+1)))</f>
        <v/>
      </c>
      <c r="AF255" t="n">
        <v>0.25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114.3122676579926</v>
      </c>
      <c r="AK255">
        <f>IF($Q$255,$M$255*$AC$255*$U$255,0)</f>
        <v/>
      </c>
      <c r="AL255" t="n">
        <v>80.97118959107806</v>
      </c>
      <c r="AM255">
        <f>IF($Q$255,$M$255*$AE$255*$U$255,0)</f>
        <v/>
      </c>
      <c r="AN255" t="n">
        <v>23.81505576208178</v>
      </c>
      <c r="AO255">
        <f>IF($Q$255,$M$255*$AC$255*$Y$255,0)</f>
        <v/>
      </c>
      <c r="AP255" t="n">
        <v>16.19423791821561</v>
      </c>
      <c r="AQ255">
        <f>IF($S$255,$M$255*$AG$255*$W$255,0)</f>
        <v/>
      </c>
      <c r="AR255" t="n">
        <v>247.6765799256505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1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2.405691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weapons[id=p26_moloch_close_boss_flak] (lớp B trên 01_chien_dau/Vu_khi)</t>
        </is>
      </c>
      <c r="BC255" t="inlineStr"/>
    </row>
    <row r="256">
      <c r="A256" t="inlineStr">
        <is>
          <t>p26_moloch_direct_mo120ap</t>
        </is>
      </c>
      <c r="B256" t="n">
        <v>3</v>
      </c>
      <c r="C256">
        <f>IF(Vu_khi!$O$256="SIMULTANEOUS",MAX(1,Vu_khi!$N$256),1)</f>
        <v/>
      </c>
      <c r="D256" t="n">
        <v>2</v>
      </c>
      <c r="E256">
        <f>IF(Vu_khi!$S$256&gt;0,Vu_khi!$S$256,Vu_khi!$P$256*$C$256)</f>
        <v/>
      </c>
      <c r="F256" t="n">
        <v>2</v>
      </c>
      <c r="G256">
        <f>IF(Vu_khi!$S$256&gt;0,(Vu_khi!$S$256-1)*Vu_khi!$R$256+Vu_khi!$T$256,Vu_khi!$R$256+(Vu_khi!$P$256-1)*Vu_khi!$Q$256)</f>
        <v/>
      </c>
      <c r="H256" t="n">
        <v>7.5</v>
      </c>
      <c r="I256">
        <f>Vu_khi!$W$256*MAX(1,$E$256)</f>
        <v/>
      </c>
      <c r="J256" t="n">
        <v>520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69.33333333333333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0.6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1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83.19999999999999</v>
      </c>
      <c r="AK256">
        <f>IF($Q$256,$M$256*$AC$256*$U$256,0)</f>
        <v/>
      </c>
      <c r="AL256" t="n">
        <v>83.19999999999999</v>
      </c>
      <c r="AM256">
        <f>IF($Q$256,$M$256*$AE$256*$U$256,0)</f>
        <v/>
      </c>
      <c r="AN256" t="n">
        <v>69.33333333333333</v>
      </c>
      <c r="AO256">
        <f>IF($Q$256,$M$256*$AC$256*$Y$256,0)</f>
        <v/>
      </c>
      <c r="AP256" t="n">
        <v>49.91999999999999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3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0.7</v>
      </c>
      <c r="AZ256" t="inlineStr">
        <is>
          <t>ok</t>
        </is>
      </c>
      <c r="BA256" t="b">
        <v>1</v>
      </c>
      <c r="BB256" t="inlineStr">
        <is>
          <t>Assets/MachineBrigade/Resources/Data/balance.json: weapons[id=p26_moloch_direct_mo120ap] (lớp B trên 01_chien_dau/Vu_khi)</t>
        </is>
      </c>
      <c r="BC256" t="inlineStr"/>
    </row>
    <row r="257">
      <c r="A257" t="inlineStr">
        <is>
          <t>p26_moloch_main_mo120</t>
        </is>
      </c>
      <c r="B257" t="n">
        <v>3</v>
      </c>
      <c r="C257">
        <f>IF(Vu_khi!$O$257="SIMULTANEOUS",MAX(1,Vu_khi!$N$257),1)</f>
        <v/>
      </c>
      <c r="D257" t="n">
        <v>2</v>
      </c>
      <c r="E257">
        <f>IF(Vu_khi!$S$257&gt;0,Vu_khi!$S$257,Vu_khi!$P$257*$C$257)</f>
        <v/>
      </c>
      <c r="F257" t="n">
        <v>2</v>
      </c>
      <c r="G257">
        <f>IF(Vu_khi!$S$257&gt;0,(Vu_khi!$S$257-1)*Vu_khi!$R$257+Vu_khi!$T$257,Vu_khi!$R$257+(Vu_khi!$P$257-1)*Vu_khi!$Q$257)</f>
        <v/>
      </c>
      <c r="H257" t="n">
        <v>7.5</v>
      </c>
      <c r="I257">
        <f>Vu_khi!$W$257*MAX(1,$E$257)</f>
        <v/>
      </c>
      <c r="J257" t="n">
        <v>680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90.66666666666667</v>
      </c>
      <c r="O257">
        <f>OR(Vu_khi!$AG$257,Vu_khi!$AB$257&gt;0,Vu_khi!$AH$257,Vu_khi!$M$257="Bomb",Vu_khi!$M$257="Drone")</f>
        <v/>
      </c>
      <c r="P257" t="b">
        <v>0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1.5</v>
      </c>
      <c r="AA257">
        <f>INDEX(Bang_xuyen_giap!$C$2:$C$7,MIN(6,MAX(1,IF($O$257,MAX(1,2-(Vu_khi!$L$257-0)),2-(Vu_khi!$L$257-0))+1)))</f>
        <v/>
      </c>
      <c r="AB257" t="n">
        <v>1.2</v>
      </c>
      <c r="AC257">
        <f>INDEX(Bang_xuyen_giap!$C$2:$C$7,MIN(6,MAX(1,IF($O$257,MAX(1,2-(Vu_khi!$L$257-2)),2-(Vu_khi!$L$257-2))+1)))</f>
        <v/>
      </c>
      <c r="AD257" t="n">
        <v>1.2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108.8</v>
      </c>
      <c r="AK257">
        <f>IF($Q$257,$M$257*$AC$257*$U$257,0)</f>
        <v/>
      </c>
      <c r="AL257" t="n">
        <v>108.8</v>
      </c>
      <c r="AM257">
        <f>IF($Q$257,$M$257*$AE$257*$U$257,0)</f>
        <v/>
      </c>
      <c r="AN257" t="n">
        <v>77.06666666666666</v>
      </c>
      <c r="AO257">
        <f>IF($Q$257,$M$257*$AC$257*$Y$257,0)</f>
        <v/>
      </c>
      <c r="AP257" t="n">
        <v>163.2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3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n">
        <v>0.7</v>
      </c>
      <c r="AZ257" t="inlineStr">
        <is>
          <t>ok</t>
        </is>
      </c>
      <c r="BA257" t="b">
        <v>1</v>
      </c>
      <c r="BB257" t="inlineStr">
        <is>
          <t>Assets/MachineBrigade/Resources/Data/balance.json: weapons[id=p26_moloch_main_mo120] (lớp B trên 01_chien_dau/Vu_khi)</t>
        </is>
      </c>
      <c r="BC257" t="inlineStr"/>
    </row>
    <row r="258">
      <c r="A258" t="inlineStr">
        <is>
          <t>p26_moloch_mo120</t>
        </is>
      </c>
      <c r="B258" t="n">
        <v>3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</v>
      </c>
      <c r="G258">
        <f>IF(Vu_khi!$S$258&gt;0,(Vu_khi!$S$258-1)*Vu_khi!$R$258+Vu_khi!$T$258,Vu_khi!$R$258+(Vu_khi!$P$258-1)*Vu_khi!$Q$258)</f>
        <v/>
      </c>
      <c r="H258" t="n">
        <v>2</v>
      </c>
      <c r="I258">
        <f>Vu_khi!$W$258*MAX(1,$E$258)</f>
        <v/>
      </c>
      <c r="J258" t="n">
        <v>225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112.5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1.5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1.2</v>
      </c>
      <c r="AE258">
        <f>INDEX(Bang_xuyen_giap!$C$2:$C$7,MIN(6,MAX(1,IF($O$258,MAX(1,2-(Vu_khi!$L$258-4)),2-(Vu_khi!$L$258-4))+1)))</f>
        <v/>
      </c>
      <c r="AF258" t="n">
        <v>0.85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135</v>
      </c>
      <c r="AK258">
        <f>IF($Q$258,$M$258*$AC$258*$U$258,0)</f>
        <v/>
      </c>
      <c r="AL258" t="n">
        <v>135</v>
      </c>
      <c r="AM258">
        <f>IF($Q$258,$M$258*$AE$258*$U$258,0)</f>
        <v/>
      </c>
      <c r="AN258" t="n">
        <v>95.625</v>
      </c>
      <c r="AO258">
        <f>IF($Q$258,$M$258*$AC$258*$Y$258,0)</f>
        <v/>
      </c>
      <c r="AP258" t="n">
        <v>202.5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3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0.186667</v>
      </c>
      <c r="AZ258" t="inlineStr">
        <is>
          <t>NHANH_QUA;LECH_DOT_1</t>
        </is>
      </c>
      <c r="BA258" t="inlineStr"/>
      <c r="BB258" t="inlineStr">
        <is>
          <t>Assets/MachineBrigade/Resources/Data/balance.json: weapons[id=p26_moloch_mo120] (lớp B trên 01_chien_dau/Vu_khi)</t>
        </is>
      </c>
      <c r="BC258" t="inlineStr"/>
    </row>
    <row r="259">
      <c r="A259" t="inlineStr">
        <is>
          <t>p26_moloch_mo120ap</t>
        </is>
      </c>
      <c r="B259" t="n">
        <v>3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2</v>
      </c>
      <c r="I259">
        <f>Vu_khi!$W$259*MAX(1,$E$259)</f>
        <v/>
      </c>
      <c r="J259" t="n">
        <v>240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120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0.3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0.6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1.2</v>
      </c>
      <c r="AE259">
        <f>INDEX(Bang_xuyen_giap!$C$2:$C$7,MIN(6,MAX(1,IF($O$259,MAX(1,2-(Vu_khi!$L$259-4)),2-(Vu_khi!$L$259-4))+1)))</f>
        <v/>
      </c>
      <c r="AF259" t="n">
        <v>1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144</v>
      </c>
      <c r="AK259">
        <f>IF($Q$259,$M$259*$AC$259*$U$259,0)</f>
        <v/>
      </c>
      <c r="AL259" t="n">
        <v>144</v>
      </c>
      <c r="AM259">
        <f>IF($Q$259,$M$259*$AE$259*$U$259,0)</f>
        <v/>
      </c>
      <c r="AN259" t="n">
        <v>120</v>
      </c>
      <c r="AO259">
        <f>IF($Q$259,$M$259*$AC$259*$Y$259,0)</f>
        <v/>
      </c>
      <c r="AP259" t="n">
        <v>86.39999999999999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3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0.186667</v>
      </c>
      <c r="AZ259" t="inlineStr">
        <is>
          <t>NHANH_QUA;LECH_DOT_1</t>
        </is>
      </c>
      <c r="BA259" t="inlineStr"/>
      <c r="BB259" t="inlineStr">
        <is>
          <t>Assets/MachineBrigade/Resources/Data/balance.json: weapons[id=p26_moloch_mo120ap] (lớp B trên 01_chien_dau/Vu_khi)</t>
        </is>
      </c>
      <c r="BC259" t="inlineStr"/>
    </row>
    <row r="260">
      <c r="A260" t="inlineStr">
        <is>
          <t>p26_moloch_tiny_zu23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100</v>
      </c>
      <c r="G260">
        <f>IF(Vu_khi!$S$260&gt;0,(Vu_khi!$S$260-1)*Vu_khi!$R$260+Vu_khi!$T$260,Vu_khi!$R$260+(Vu_khi!$P$260-1)*Vu_khi!$Q$260)</f>
        <v/>
      </c>
      <c r="H260" t="n">
        <v>4.96</v>
      </c>
      <c r="I260">
        <f>Vu_khi!$W$260*MAX(1,$E$260)</f>
        <v/>
      </c>
      <c r="J260" t="n">
        <v>350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70.56451612903226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0.5</v>
      </c>
      <c r="W260">
        <f>INDEX(Bang_sat_thuong!$C$2:$C$7,MATCH(Vu_khi!$K$260,Bang_sat_thuong!$A$2:$A$7,0))</f>
        <v/>
      </c>
      <c r="X260" t="n">
        <v>1.3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INDEX(Bang_xuyen_giap!$C$2:$C$7,MIN(6,MAX(1,IF($O$260,MAX(1,2-(Vu_khi!$L$260-0)),2-(Vu_khi!$L$260-0))+1)))</f>
        <v/>
      </c>
      <c r="AB260" t="n">
        <v>1</v>
      </c>
      <c r="AC260">
        <f>INDEX(Bang_xuyen_giap!$C$2:$C$7,MIN(6,MAX(1,IF($O$260,MAX(1,2-(Vu_khi!$L$260-2)),2-(Vu_khi!$L$260-2))+1)))</f>
        <v/>
      </c>
      <c r="AD260" t="n">
        <v>0.5</v>
      </c>
      <c r="AE260">
        <f>INDEX(Bang_xuyen_giap!$C$2:$C$7,MIN(6,MAX(1,IF($O$260,MAX(1,2-(Vu_khi!$L$260-4)),2-(Vu_khi!$L$260-4))+1)))</f>
        <v/>
      </c>
      <c r="AF260" t="n">
        <v>0.1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35.28225806451613</v>
      </c>
      <c r="AK260">
        <f>IF($Q$260,$M$260*$AC$260*$U$260,0)</f>
        <v/>
      </c>
      <c r="AL260" t="n">
        <v>17.64112903225806</v>
      </c>
      <c r="AM260">
        <f>IF($Q$260,$M$260*$AE$260*$U$260,0)</f>
        <v/>
      </c>
      <c r="AN260" t="n">
        <v>3.528225806451613</v>
      </c>
      <c r="AO260">
        <f>IF($Q$260,$M$260*$AC$260*$Y$260,0)</f>
        <v/>
      </c>
      <c r="AP260" t="n">
        <v>3.528225806451613</v>
      </c>
      <c r="AQ260">
        <f>IF($S$260,$M$260*$AG$260*$W$260,0)</f>
        <v/>
      </c>
      <c r="AR260" t="n">
        <v>91.73387096774194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1.653333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weapons[id=p26_moloch_tiny_zu23] (lớp B trên 01_chien_dau/Vu_khi)</t>
        </is>
      </c>
      <c r="BC260" t="inlineStr"/>
    </row>
    <row r="261">
      <c r="A261" t="inlineStr">
        <is>
          <t>p26_nemesis_close_boss_flak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41</v>
      </c>
      <c r="G261">
        <f>IF(Vu_khi!$S$261&gt;0,(Vu_khi!$S$261-1)*Vu_khi!$R$261+Vu_khi!$T$261,Vu_khi!$R$261+(Vu_khi!$P$261-1)*Vu_khi!$Q$261)</f>
        <v/>
      </c>
      <c r="H261" t="n">
        <v>5.38</v>
      </c>
      <c r="I261">
        <f>Vu_khi!$W$261*MAX(1,$E$261)</f>
        <v/>
      </c>
      <c r="J261" t="n">
        <v>1025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190.5204460966543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1</v>
      </c>
      <c r="U261">
        <f>INDEX(Bang_sat_thuong!$B$2:$B$7,MATCH(Vu_khi!$K$261,Bang_sat_thuong!$A$2:$A$7,0))</f>
        <v/>
      </c>
      <c r="V261" t="n">
        <v>0.5</v>
      </c>
      <c r="W261">
        <f>INDEX(Bang_sat_thuong!$C$2:$C$7,MATCH(Vu_khi!$K$261,Bang_sat_thuong!$A$2:$A$7,0))</f>
        <v/>
      </c>
      <c r="X261" t="n">
        <v>1.3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0.1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0.85</v>
      </c>
      <c r="AE261">
        <f>INDEX(Bang_xuyen_giap!$C$2:$C$7,MIN(6,MAX(1,IF($O$261,MAX(1,2-(Vu_khi!$L$261-4)),2-(Vu_khi!$L$261-4))+1)))</f>
        <v/>
      </c>
      <c r="AF261" t="n">
        <v>0.25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114.3122676579926</v>
      </c>
      <c r="AK261">
        <f>IF($Q$261,$M$261*$AC$261*$U$261,0)</f>
        <v/>
      </c>
      <c r="AL261" t="n">
        <v>80.97118959107806</v>
      </c>
      <c r="AM261">
        <f>IF($Q$261,$M$261*$AE$261*$U$261,0)</f>
        <v/>
      </c>
      <c r="AN261" t="n">
        <v>23.81505576208178</v>
      </c>
      <c r="AO261">
        <f>IF($Q$261,$M$261*$AC$261*$Y$261,0)</f>
        <v/>
      </c>
      <c r="AP261" t="n">
        <v>16.19423791821561</v>
      </c>
      <c r="AQ261">
        <f>IF($S$261,$M$261*$AG$261*$W$261,0)</f>
        <v/>
      </c>
      <c r="AR261" t="n">
        <v>247.6765799256505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1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2.405691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weapons[id=p26_nemesis_close_boss_flak] (lớp B trên 01_chien_dau/Vu_khi)</t>
        </is>
      </c>
      <c r="BC261" t="inlineStr"/>
    </row>
    <row r="262">
      <c r="A262" t="inlineStr">
        <is>
          <t>p26_nemesis_direct_ne125</t>
        </is>
      </c>
      <c r="B262" t="n">
        <v>3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400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53.33333333333334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0.6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1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64</v>
      </c>
      <c r="AK262">
        <f>IF($Q$262,$M$262*$AC$262*$U$262,0)</f>
        <v/>
      </c>
      <c r="AL262" t="n">
        <v>64</v>
      </c>
      <c r="AM262">
        <f>IF($Q$262,$M$262*$AE$262*$U$262,0)</f>
        <v/>
      </c>
      <c r="AN262" t="n">
        <v>53.33333333333334</v>
      </c>
      <c r="AO262">
        <f>IF($Q$262,$M$262*$AC$262*$Y$262,0)</f>
        <v/>
      </c>
      <c r="AP262" t="n">
        <v>38.4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weapons[id=p26_nemesis_direct_ne125] (lớp B trên 01_chien_dau/Vu_khi)</t>
        </is>
      </c>
      <c r="BC262" t="inlineStr"/>
    </row>
    <row r="263">
      <c r="A263" t="inlineStr">
        <is>
          <t>p26_nemesis_main_ne152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7.5</v>
      </c>
      <c r="I263">
        <f>Vu_khi!$W$263*MAX(1,$E$263)</f>
        <v/>
      </c>
      <c r="J263" t="n">
        <v>600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80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</v>
      </c>
      <c r="AE263">
        <f>INDEX(Bang_xuyen_giap!$C$2:$C$7,MIN(6,MAX(1,IF($O$263,MAX(1,2-(Vu_khi!$L$263-4)),2-(Vu_khi!$L$263-4))+1)))</f>
        <v/>
      </c>
      <c r="AF263" t="n">
        <v>0.5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96</v>
      </c>
      <c r="AK263">
        <f>IF($Q$263,$M$263*$AC$263*$U$263,0)</f>
        <v/>
      </c>
      <c r="AL263" t="n">
        <v>80</v>
      </c>
      <c r="AM263">
        <f>IF($Q$263,$M$263*$AE$263*$U$263,0)</f>
        <v/>
      </c>
      <c r="AN263" t="n">
        <v>40</v>
      </c>
      <c r="AO263">
        <f>IF($Q$263,$M$263*$AC$263*$Y$263,0)</f>
        <v/>
      </c>
      <c r="AP263" t="n">
        <v>120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0.7</v>
      </c>
      <c r="AZ263" t="inlineStr">
        <is>
          <t>ok</t>
        </is>
      </c>
      <c r="BA263" t="b">
        <v>1</v>
      </c>
      <c r="BB263" t="inlineStr">
        <is>
          <t>Assets/MachineBrigade/Resources/Data/balance.json: weapons[id=p26_nemesis_main_ne152] (lớp B trên 01_chien_dau/Vu_khi)</t>
        </is>
      </c>
      <c r="BC263" t="inlineStr"/>
    </row>
    <row r="264">
      <c r="A264" t="inlineStr">
        <is>
          <t>p26_nemesis_ne125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280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140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1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168</v>
      </c>
      <c r="AK264">
        <f>IF($Q$264,$M$264*$AC$264*$U$264,0)</f>
        <v/>
      </c>
      <c r="AL264" t="n">
        <v>168</v>
      </c>
      <c r="AM264">
        <f>IF($Q$264,$M$264*$AE$264*$U$264,0)</f>
        <v/>
      </c>
      <c r="AN264" t="n">
        <v>140</v>
      </c>
      <c r="AO264">
        <f>IF($Q$264,$M$264*$AC$264*$Y$264,0)</f>
        <v/>
      </c>
      <c r="AP264" t="n">
        <v>100.8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weapons[id=p26_nemesis_ne125] (lớp B trên 01_chien_dau/Vu_khi)</t>
        </is>
      </c>
      <c r="BC264" t="inlineStr"/>
    </row>
    <row r="265">
      <c r="A265" t="inlineStr">
        <is>
          <t>p26_nemesis_ne152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4</v>
      </c>
      <c r="G265">
        <f>IF(Vu_khi!$S$265&gt;0,(Vu_khi!$S$265-1)*Vu_khi!$R$265+Vu_khi!$T$265,Vu_khi!$R$265+(Vu_khi!$P$265-1)*Vu_khi!$Q$265)</f>
        <v/>
      </c>
      <c r="H265" t="n">
        <v>5</v>
      </c>
      <c r="I265">
        <f>Vu_khi!$W$265*MAX(1,$E$265)</f>
        <v/>
      </c>
      <c r="J265" t="n">
        <v>2480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496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1.5</v>
      </c>
      <c r="AA265">
        <f>INDEX(Bang_xuyen_giap!$C$2:$C$7,MIN(6,MAX(1,IF($O$265,MAX(1,2-(Vu_khi!$L$265-0)),2-(Vu_khi!$L$265-0))+1)))</f>
        <v/>
      </c>
      <c r="AB265" t="n">
        <v>1.2</v>
      </c>
      <c r="AC265">
        <f>INDEX(Bang_xuyen_giap!$C$2:$C$7,MIN(6,MAX(1,IF($O$265,MAX(1,2-(Vu_khi!$L$265-2)),2-(Vu_khi!$L$265-2))+1)))</f>
        <v/>
      </c>
      <c r="AD265" t="n">
        <v>1</v>
      </c>
      <c r="AE265">
        <f>INDEX(Bang_xuyen_giap!$C$2:$C$7,MIN(6,MAX(1,IF($O$265,MAX(1,2-(Vu_khi!$L$265-4)),2-(Vu_khi!$L$265-4))+1)))</f>
        <v/>
      </c>
      <c r="AF265" t="n">
        <v>0.5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595.1999999999999</v>
      </c>
      <c r="AK265">
        <f>IF($Q$265,$M$265*$AC$265*$U$265,0)</f>
        <v/>
      </c>
      <c r="AL265" t="n">
        <v>496</v>
      </c>
      <c r="AM265">
        <f>IF($Q$265,$M$265*$AE$265*$U$265,0)</f>
        <v/>
      </c>
      <c r="AN265" t="n">
        <v>248</v>
      </c>
      <c r="AO265">
        <f>IF($Q$265,$M$265*$AC$265*$Y$265,0)</f>
        <v/>
      </c>
      <c r="AP265" t="n">
        <v>744</v>
      </c>
      <c r="AQ265">
        <f>IF($S$265,$M$265*$AG$265*$W$265,0)</f>
        <v/>
      </c>
      <c r="AR265" t="n">
        <v>0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3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0.116667</v>
      </c>
      <c r="AZ265" t="inlineStr">
        <is>
          <t>NHANH_QUA;LECH_DOT_1</t>
        </is>
      </c>
      <c r="BA265" t="inlineStr"/>
      <c r="BB265" t="inlineStr">
        <is>
          <t>Assets/MachineBrigade/Resources/Data/balance.json: weapons[id=p26_nemesis_ne152] (lớp B trên 01_chien_dau/Vu_khi)</t>
        </is>
      </c>
      <c r="BC265" t="inlineStr"/>
    </row>
    <row r="266">
      <c r="A266" t="inlineStr">
        <is>
          <t>p26_nemesis_sec_boss_rockets</t>
        </is>
      </c>
      <c r="B266" t="n">
        <v>3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40</v>
      </c>
      <c r="G266">
        <f>IF(Vu_khi!$S$266&gt;0,(Vu_khi!$S$266-1)*Vu_khi!$R$266+Vu_khi!$T$266,Vu_khi!$R$266+(Vu_khi!$P$266-1)*Vu_khi!$Q$266)</f>
        <v/>
      </c>
      <c r="H266" t="n">
        <v>21.94</v>
      </c>
      <c r="I266">
        <f>Vu_khi!$W$266*MAX(1,$E$266)</f>
        <v/>
      </c>
      <c r="J266" t="n">
        <v>8000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364.6308113035551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0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1.5</v>
      </c>
      <c r="AA266">
        <f>INDEX(Bang_xuyen_giap!$C$2:$C$7,MIN(6,MAX(1,IF($O$266,MAX(1,2-(Vu_khi!$L$266-0)),2-(Vu_khi!$L$266-0))+1)))</f>
        <v/>
      </c>
      <c r="AB266" t="n">
        <v>1.2</v>
      </c>
      <c r="AC266">
        <f>INDEX(Bang_xuyen_giap!$C$2:$C$7,MIN(6,MAX(1,IF($O$266,MAX(1,2-(Vu_khi!$L$266-2)),2-(Vu_khi!$L$266-2))+1)))</f>
        <v/>
      </c>
      <c r="AD266" t="n">
        <v>0.85</v>
      </c>
      <c r="AE266">
        <f>INDEX(Bang_xuyen_giap!$C$2:$C$7,MIN(6,MAX(1,IF($O$266,MAX(1,2-(Vu_khi!$L$266-4)),2-(Vu_khi!$L$266-4))+1)))</f>
        <v/>
      </c>
      <c r="AF266" t="n">
        <v>0.25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437.5569735642661</v>
      </c>
      <c r="AK266">
        <f>IF($Q$266,$M$266*$AC$266*$U$266,0)</f>
        <v/>
      </c>
      <c r="AL266" t="n">
        <v>309.9361896080218</v>
      </c>
      <c r="AM266">
        <f>IF($Q$266,$M$266*$AE$266*$U$266,0)</f>
        <v/>
      </c>
      <c r="AN266" t="n">
        <v>91.15770282588878</v>
      </c>
      <c r="AO266">
        <f>IF($Q$266,$M$266*$AC$266*$Y$266,0)</f>
        <v/>
      </c>
      <c r="AP266" t="n">
        <v>464.9042844120327</v>
      </c>
      <c r="AQ266">
        <f>IF($S$266,$M$266*$AG$266*$W$266,0)</f>
        <v/>
      </c>
      <c r="AR266" t="n">
        <v>0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3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weapons[id=p26_nemesis_sec_boss_rockets] (lớp B trên 01_chien_dau/Vu_khi)</t>
        </is>
      </c>
      <c r="BC266" t="inlineStr"/>
    </row>
    <row r="267">
      <c r="A267" t="inlineStr">
        <is>
          <t>p26_roc_close_twin_30_bmpt</t>
        </is>
      </c>
      <c r="B267" t="n">
        <v>1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12</v>
      </c>
      <c r="G267">
        <f>IF(Vu_khi!$S$267&gt;0,(Vu_khi!$S$267-1)*Vu_khi!$R$267+Vu_khi!$T$267,Vu_khi!$R$267+(Vu_khi!$P$267-1)*Vu_khi!$Q$267)</f>
        <v/>
      </c>
      <c r="H267" t="n">
        <v>2.3663</v>
      </c>
      <c r="I267">
        <f>Vu_khi!$W$267*MAX(1,$E$267)</f>
        <v/>
      </c>
      <c r="J267" t="n">
        <v>264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111.5665807378608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0.6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0.85</v>
      </c>
      <c r="AE267">
        <f>INDEX(Bang_xuyen_giap!$C$2:$C$7,MIN(6,MAX(1,IF($O$267,MAX(1,2-(Vu_khi!$L$267-4)),2-(Vu_khi!$L$267-4))+1)))</f>
        <v/>
      </c>
      <c r="AF267" t="n">
        <v>0.25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133.879896885433</v>
      </c>
      <c r="AK267">
        <f>IF($Q$267,$M$267*$AC$267*$U$267,0)</f>
        <v/>
      </c>
      <c r="AL267" t="n">
        <v>94.83159362718168</v>
      </c>
      <c r="AM267">
        <f>IF($Q$267,$M$267*$AE$267*$U$267,0)</f>
        <v/>
      </c>
      <c r="AN267" t="n">
        <v>27.8916451844652</v>
      </c>
      <c r="AO267">
        <f>IF($Q$267,$M$267*$AC$267*$Y$267,0)</f>
        <v/>
      </c>
      <c r="AP267" t="n">
        <v>56.89895617630901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1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5.258444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weapons[id=p26_roc_close_twin_30_bmpt] (lớp B trên 01_chien_dau/Vu_khi)</t>
        </is>
      </c>
      <c r="BC267" t="inlineStr"/>
    </row>
    <row r="268">
      <c r="A268" t="inlineStr">
        <is>
          <t>p26_roc_direct_roc_atgm</t>
        </is>
      </c>
      <c r="B268" t="n">
        <v>2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2</v>
      </c>
      <c r="G268">
        <f>IF(Vu_khi!$S$268&gt;0,(Vu_khi!$S$268-1)*Vu_khi!$R$268+Vu_khi!$T$268,Vu_khi!$R$268+(Vu_khi!$P$268-1)*Vu_khi!$Q$268)</f>
        <v/>
      </c>
      <c r="H268" t="n">
        <v>20</v>
      </c>
      <c r="I268">
        <f>Vu_khi!$W$268*MAX(1,$E$268)</f>
        <v/>
      </c>
      <c r="J268" t="n">
        <v>460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23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0.6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1.2</v>
      </c>
      <c r="AE268">
        <f>INDEX(Bang_xuyen_giap!$C$2:$C$7,MIN(6,MAX(1,IF($O$268,MAX(1,2-(Vu_khi!$L$268-4)),2-(Vu_khi!$L$268-4))+1)))</f>
        <v/>
      </c>
      <c r="AF268" t="n">
        <v>1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27.6</v>
      </c>
      <c r="AK268">
        <f>IF($Q$268,$M$268*$AC$268*$U$268,0)</f>
        <v/>
      </c>
      <c r="AL268" t="n">
        <v>27.6</v>
      </c>
      <c r="AM268">
        <f>IF($Q$268,$M$268*$AE$268*$U$268,0)</f>
        <v/>
      </c>
      <c r="AN268" t="n">
        <v>23</v>
      </c>
      <c r="AO268">
        <f>IF($Q$268,$M$268*$AC$268*$Y$268,0)</f>
        <v/>
      </c>
      <c r="AP268" t="n">
        <v>16.56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2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1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weapons[id=p26_roc_direct_roc_atgm] (lớp B trên 01_chien_dau/Vu_khi)</t>
        </is>
      </c>
      <c r="BC268" t="inlineStr"/>
    </row>
    <row r="269">
      <c r="A269" t="inlineStr">
        <is>
          <t>p26_roc_main_roc_bombs</t>
        </is>
      </c>
      <c r="B269" t="n">
        <v>4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8</v>
      </c>
      <c r="G269">
        <f>IF(Vu_khi!$S$269&gt;0,(Vu_khi!$S$269-1)*Vu_khi!$R$269+Vu_khi!$T$269,Vu_khi!$R$269+(Vu_khi!$P$269-1)*Vu_khi!$Q$269)</f>
        <v/>
      </c>
      <c r="H269" t="n">
        <v>35.44</v>
      </c>
      <c r="I269">
        <f>Vu_khi!$W$269*MAX(1,$E$269)</f>
        <v/>
      </c>
      <c r="J269" t="n">
        <v>5600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158.0135440180587</v>
      </c>
      <c r="O269">
        <f>OR(Vu_khi!$AG$269,Vu_khi!$AB$269&gt;0,Vu_khi!$AH$269,Vu_khi!$M$269="Bomb",Vu_khi!$M$269="Drone")</f>
        <v/>
      </c>
      <c r="P269" t="b">
        <v>1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1.5</v>
      </c>
      <c r="AA269">
        <f>INDEX(Bang_xuyen_giap!$C$2:$C$7,MIN(6,MAX(1,IF($O$269,MAX(1,2-(Vu_khi!$L$269-0)),2-(Vu_khi!$L$269-0))+1)))</f>
        <v/>
      </c>
      <c r="AB269" t="n">
        <v>1</v>
      </c>
      <c r="AC269">
        <f>INDEX(Bang_xuyen_giap!$C$2:$C$7,MIN(6,MAX(1,IF($O$269,MAX(1,2-(Vu_khi!$L$269-2)),2-(Vu_khi!$L$269-2))+1)))</f>
        <v/>
      </c>
      <c r="AD269" t="n">
        <v>1</v>
      </c>
      <c r="AE269">
        <f>INDEX(Bang_xuyen_giap!$C$2:$C$7,MIN(6,MAX(1,IF($O$269,MAX(1,2-(Vu_khi!$L$269-4)),2-(Vu_khi!$L$269-4))+1)))</f>
        <v/>
      </c>
      <c r="AF269" t="n">
        <v>0.85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158.0135440180587</v>
      </c>
      <c r="AK269">
        <f>IF($Q$269,$M$269*$AC$269*$U$269,0)</f>
        <v/>
      </c>
      <c r="AL269" t="n">
        <v>158.0135440180587</v>
      </c>
      <c r="AM269">
        <f>IF($Q$269,$M$269*$AE$269*$U$269,0)</f>
        <v/>
      </c>
      <c r="AN269" t="n">
        <v>134.3115124153499</v>
      </c>
      <c r="AO269">
        <f>IF($Q$269,$M$269*$AC$269*$Y$269,0)</f>
        <v/>
      </c>
      <c r="AP269" t="n">
        <v>237.020316027088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1</v>
      </c>
      <c r="AU269">
        <f>IF(AND($B$269&lt;0,$AS$269),4,$B$269)</f>
        <v/>
      </c>
      <c r="AV269" t="n">
        <v>4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2.722222222222222</v>
      </c>
      <c r="AY269" t="n">
        <v>3</v>
      </c>
      <c r="AZ269" t="inlineStr">
        <is>
          <t>ok</t>
        </is>
      </c>
      <c r="BA269" t="b">
        <v>1</v>
      </c>
      <c r="BB269" t="inlineStr">
        <is>
          <t>Assets/MachineBrigade/Resources/Data/balance.json: weapons[id=p26_roc_main_roc_bombs] (lớp B trên 01_chien_dau/Vu_khi)</t>
        </is>
      </c>
      <c r="BC269" t="inlineStr"/>
    </row>
    <row r="270">
      <c r="A270" t="inlineStr">
        <is>
          <t>p26_roc_roc105</t>
        </is>
      </c>
      <c r="B270" t="n">
        <v>2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1</v>
      </c>
      <c r="G270">
        <f>IF(Vu_khi!$S$270&gt;0,(Vu_khi!$S$270-1)*Vu_khi!$R$270+Vu_khi!$T$270,Vu_khi!$R$270+(Vu_khi!$P$270-1)*Vu_khi!$Q$270)</f>
        <v/>
      </c>
      <c r="H270" t="n">
        <v>6</v>
      </c>
      <c r="I270">
        <f>Vu_khi!$W$270*MAX(1,$E$270)</f>
        <v/>
      </c>
      <c r="J270" t="n">
        <v>300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50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0.85</v>
      </c>
      <c r="AE270">
        <f>INDEX(Bang_xuyen_giap!$C$2:$C$7,MIN(6,MAX(1,IF($O$270,MAX(1,2-(Vu_khi!$L$270-4)),2-(Vu_khi!$L$270-4))+1)))</f>
        <v/>
      </c>
      <c r="AF270" t="n">
        <v>0.25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60</v>
      </c>
      <c r="AK270">
        <f>IF($Q$270,$M$270*$AC$270*$U$270,0)</f>
        <v/>
      </c>
      <c r="AL270" t="n">
        <v>42.5</v>
      </c>
      <c r="AM270">
        <f>IF($Q$270,$M$270*$AE$270*$U$270,0)</f>
        <v/>
      </c>
      <c r="AN270" t="n">
        <v>12.5</v>
      </c>
      <c r="AO270">
        <f>IF($Q$270,$M$270*$AC$270*$Y$270,0)</f>
        <v/>
      </c>
      <c r="AP270" t="n">
        <v>63.74999999999999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2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0.7</v>
      </c>
      <c r="AZ270" t="inlineStr">
        <is>
          <t>ok</t>
        </is>
      </c>
      <c r="BA270" t="b">
        <v>1</v>
      </c>
      <c r="BB270" t="inlineStr">
        <is>
          <t>Assets/MachineBrigade/Resources/Data/balance.json: weapons[id=p26_roc_roc105] (lớp B trên 01_chien_dau/Vu_khi)</t>
        </is>
      </c>
      <c r="BC270" t="inlineStr"/>
    </row>
    <row r="271">
      <c r="A271" t="inlineStr">
        <is>
          <t>p26_roc_roc_atgm</t>
        </is>
      </c>
      <c r="B271" t="n">
        <v>2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1</v>
      </c>
      <c r="G271">
        <f>IF(Vu_khi!$S$271&gt;0,(Vu_khi!$S$271-1)*Vu_khi!$R$271+Vu_khi!$T$271,Vu_khi!$R$271+(Vu_khi!$P$271-1)*Vu_khi!$Q$271)</f>
        <v/>
      </c>
      <c r="H271" t="n">
        <v>2</v>
      </c>
      <c r="I271">
        <f>Vu_khi!$W$271*MAX(1,$E$271)</f>
        <v/>
      </c>
      <c r="J271" t="n">
        <v>300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150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0.3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0.6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1.2</v>
      </c>
      <c r="AE271">
        <f>INDEX(Bang_xuyen_giap!$C$2:$C$7,MIN(6,MAX(1,IF($O$271,MAX(1,2-(Vu_khi!$L$271-4)),2-(Vu_khi!$L$271-4))+1)))</f>
        <v/>
      </c>
      <c r="AF271" t="n">
        <v>1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180</v>
      </c>
      <c r="AK271">
        <f>IF($Q$271,$M$271*$AC$271*$U$271,0)</f>
        <v/>
      </c>
      <c r="AL271" t="n">
        <v>180</v>
      </c>
      <c r="AM271">
        <f>IF($Q$271,$M$271*$AE$271*$U$271,0)</f>
        <v/>
      </c>
      <c r="AN271" t="n">
        <v>150</v>
      </c>
      <c r="AO271">
        <f>IF($Q$271,$M$271*$AC$271*$Y$271,0)</f>
        <v/>
      </c>
      <c r="AP271" t="n">
        <v>108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2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0.1</v>
      </c>
      <c r="AZ271" t="inlineStr">
        <is>
          <t>NHANH_QUA;LECH_DOT_1</t>
        </is>
      </c>
      <c r="BA271" t="inlineStr"/>
      <c r="BB271" t="inlineStr">
        <is>
          <t>Assets/MachineBrigade/Resources/Data/balance.json: weapons[id=p26_roc_roc_atgm] (lớp B trên 01_chien_dau/Vu_khi)</t>
        </is>
      </c>
      <c r="BC271" t="inlineStr"/>
    </row>
    <row r="272">
      <c r="A272" t="inlineStr">
        <is>
          <t>p26_roc_roc_bombs</t>
        </is>
      </c>
      <c r="B272" t="n">
        <v>4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8</v>
      </c>
      <c r="G272">
        <f>IF(Vu_khi!$S$272&gt;0,(Vu_khi!$S$272-1)*Vu_khi!$R$272+Vu_khi!$T$272,Vu_khi!$R$272+(Vu_khi!$P$272-1)*Vu_khi!$Q$272)</f>
        <v/>
      </c>
      <c r="H272" t="n">
        <v>5</v>
      </c>
      <c r="I272">
        <f>Vu_khi!$W$272*MAX(1,$E$272)</f>
        <v/>
      </c>
      <c r="J272" t="n">
        <v>3200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640</v>
      </c>
      <c r="O272">
        <f>OR(Vu_khi!$AG$272,Vu_khi!$AB$272&gt;0,Vu_khi!$AH$272,Vu_khi!$M$272="Bomb",Vu_khi!$M$272="Drone")</f>
        <v/>
      </c>
      <c r="P272" t="b">
        <v>1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1.5</v>
      </c>
      <c r="AA272">
        <f>INDEX(Bang_xuyen_giap!$C$2:$C$7,MIN(6,MAX(1,IF($O$272,MAX(1,2-(Vu_khi!$L$272-0)),2-(Vu_khi!$L$272-0))+1)))</f>
        <v/>
      </c>
      <c r="AB272" t="n">
        <v>1</v>
      </c>
      <c r="AC272">
        <f>INDEX(Bang_xuyen_giap!$C$2:$C$7,MIN(6,MAX(1,IF($O$272,MAX(1,2-(Vu_khi!$L$272-2)),2-(Vu_khi!$L$272-2))+1)))</f>
        <v/>
      </c>
      <c r="AD272" t="n">
        <v>1</v>
      </c>
      <c r="AE272">
        <f>INDEX(Bang_xuyen_giap!$C$2:$C$7,MIN(6,MAX(1,IF($O$272,MAX(1,2-(Vu_khi!$L$272-4)),2-(Vu_khi!$L$272-4))+1)))</f>
        <v/>
      </c>
      <c r="AF272" t="n">
        <v>0.85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640</v>
      </c>
      <c r="AK272">
        <f>IF($Q$272,$M$272*$AC$272*$U$272,0)</f>
        <v/>
      </c>
      <c r="AL272" t="n">
        <v>640</v>
      </c>
      <c r="AM272">
        <f>IF($Q$272,$M$272*$AE$272*$U$272,0)</f>
        <v/>
      </c>
      <c r="AN272" t="n">
        <v>544</v>
      </c>
      <c r="AO272">
        <f>IF($Q$272,$M$272*$AC$272*$Y$272,0)</f>
        <v/>
      </c>
      <c r="AP272" t="n">
        <v>960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1</v>
      </c>
      <c r="AU272">
        <f>IF(AND($B$272&lt;0,$AS$272),4,$B$272)</f>
        <v/>
      </c>
      <c r="AV272" t="n">
        <v>4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2.5</v>
      </c>
      <c r="AY272" t="n">
        <v>3</v>
      </c>
      <c r="AZ272" t="inlineStr">
        <is>
          <t>LECH_DOT_1</t>
        </is>
      </c>
      <c r="BA272" t="inlineStr"/>
      <c r="BB272" t="inlineStr">
        <is>
          <t>Assets/MachineBrigade/Resources/Data/balance.json: weapons[id=p26_roc_roc_bombs] (lớp B trên 01_chien_dau/Vu_khi)</t>
        </is>
      </c>
      <c r="BC272" t="inlineStr"/>
    </row>
    <row r="273">
      <c r="A273" t="inlineStr">
        <is>
          <t>p26_typhon_direct_ty100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3.5</v>
      </c>
      <c r="I273">
        <f>Vu_khi!$W$273*MAX(1,$E$273)</f>
        <v/>
      </c>
      <c r="J273" t="n">
        <v>600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171.4285714285714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</v>
      </c>
      <c r="W273">
        <f>INDEX(Bang_sat_thuong!$C$2:$C$7,MATCH(Vu_khi!$K$273,Bang_sat_thuong!$A$2:$A$7,0))</f>
        <v/>
      </c>
      <c r="X273" t="n">
        <v>0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1.5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1.2</v>
      </c>
      <c r="AE273">
        <f>INDEX(Bang_xuyen_giap!$C$2:$C$7,MIN(6,MAX(1,IF($O$273,MAX(1,2-(Vu_khi!$L$273-4)),2-(Vu_khi!$L$273-4))+1)))</f>
        <v/>
      </c>
      <c r="AF273" t="n">
        <v>0.85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205.7142857142857</v>
      </c>
      <c r="AK273">
        <f>IF($Q$273,$M$273*$AC$273*$U$273,0)</f>
        <v/>
      </c>
      <c r="AL273" t="n">
        <v>205.7142857142857</v>
      </c>
      <c r="AM273">
        <f>IF($Q$273,$M$273*$AE$273*$U$273,0)</f>
        <v/>
      </c>
      <c r="AN273" t="n">
        <v>145.7142857142857</v>
      </c>
      <c r="AO273">
        <f>IF($Q$273,$M$273*$AC$273*$Y$273,0)</f>
        <v/>
      </c>
      <c r="AP273" t="n">
        <v>308.5714285714285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1.225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weapons[id=p26_typhon_direct_ty100] (lớp B trên 01_chien_dau/Vu_khi)</t>
        </is>
      </c>
      <c r="BC273" t="inlineStr"/>
    </row>
    <row r="274">
      <c r="A274" t="inlineStr">
        <is>
          <t>p26_typhon_sec_ty57</t>
        </is>
      </c>
      <c r="B274" t="n">
        <v>2</v>
      </c>
      <c r="C274">
        <f>IF(Vu_khi!$O$274="SIMULTANEOUS",MAX(1,Vu_khi!$N$274),1)</f>
        <v/>
      </c>
      <c r="D274" t="n">
        <v>2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4.29</v>
      </c>
      <c r="I274">
        <f>Vu_khi!$W$274*MAX(1,$E$274)</f>
        <v/>
      </c>
      <c r="J274" t="n">
        <v>960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223.7762237762238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1.5</v>
      </c>
      <c r="AA274">
        <f>INDEX(Bang_xuyen_giap!$C$2:$C$7,MIN(6,MAX(1,IF($O$274,MAX(1,2-(Vu_khi!$L$274-0)),2-(Vu_khi!$L$274-0))+1)))</f>
        <v/>
      </c>
      <c r="AB274" t="n">
        <v>1.2</v>
      </c>
      <c r="AC274">
        <f>INDEX(Bang_xuyen_giap!$C$2:$C$7,MIN(6,MAX(1,IF($O$274,MAX(1,2-(Vu_khi!$L$274-2)),2-(Vu_khi!$L$274-2))+1)))</f>
        <v/>
      </c>
      <c r="AD274" t="n">
        <v>1</v>
      </c>
      <c r="AE274">
        <f>INDEX(Bang_xuyen_giap!$C$2:$C$7,MIN(6,MAX(1,IF($O$274,MAX(1,2-(Vu_khi!$L$274-4)),2-(Vu_khi!$L$274-4))+1)))</f>
        <v/>
      </c>
      <c r="AF274" t="n">
        <v>0.5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268.5314685314685</v>
      </c>
      <c r="AK274">
        <f>IF($Q$274,$M$274*$AC$274*$U$274,0)</f>
        <v/>
      </c>
      <c r="AL274" t="n">
        <v>223.7762237762238</v>
      </c>
      <c r="AM274">
        <f>IF($Q$274,$M$274*$AE$274*$U$274,0)</f>
        <v/>
      </c>
      <c r="AN274" t="n">
        <v>111.8881118881119</v>
      </c>
      <c r="AO274">
        <f>IF($Q$274,$M$274*$AC$274*$Y$274,0)</f>
        <v/>
      </c>
      <c r="AP274" t="n">
        <v>335.6643356643357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0</v>
      </c>
      <c r="AU274">
        <f>IF(AND($B$274&lt;0,$AS$274),4,$B$274)</f>
        <v/>
      </c>
      <c r="AV274" t="n">
        <v>2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0</v>
      </c>
      <c r="AY274" t="n">
        <v>2.145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weapons[id=p26_typhon_sec_ty57] (lớp B trên 01_chien_dau/Vu_khi)</t>
        </is>
      </c>
      <c r="BC274" t="inlineStr"/>
    </row>
    <row r="275">
      <c r="A275" t="inlineStr">
        <is>
          <t>p26_typhon_ty57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2</v>
      </c>
      <c r="G275">
        <f>IF(Vu_khi!$S$275&gt;0,(Vu_khi!$S$275-1)*Vu_khi!$R$275+Vu_khi!$T$275,Vu_khi!$R$275+(Vu_khi!$P$275-1)*Vu_khi!$Q$275)</f>
        <v/>
      </c>
      <c r="H275" t="n">
        <v>1.5</v>
      </c>
      <c r="I275">
        <f>Vu_khi!$W$275*MAX(1,$E$275)</f>
        <v/>
      </c>
      <c r="J275" t="n">
        <v>260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173.3333333333333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1</v>
      </c>
      <c r="AE275">
        <f>INDEX(Bang_xuyen_giap!$C$2:$C$7,MIN(6,MAX(1,IF($O$275,MAX(1,2-(Vu_khi!$L$275-4)),2-(Vu_khi!$L$275-4))+1)))</f>
        <v/>
      </c>
      <c r="AF275" t="n">
        <v>0.5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208</v>
      </c>
      <c r="AK275">
        <f>IF($Q$275,$M$275*$AC$275*$U$275,0)</f>
        <v/>
      </c>
      <c r="AL275" t="n">
        <v>173.3333333333333</v>
      </c>
      <c r="AM275">
        <f>IF($Q$275,$M$275*$AE$275*$U$275,0)</f>
        <v/>
      </c>
      <c r="AN275" t="n">
        <v>86.66666666666667</v>
      </c>
      <c r="AO275">
        <f>IF($Q$275,$M$275*$AC$275*$Y$275,0)</f>
        <v/>
      </c>
      <c r="AP275" t="n">
        <v>260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1.5</v>
      </c>
      <c r="AZ275" t="inlineStr">
        <is>
          <t>NHANH_QUA;LECH_DOT_1</t>
        </is>
      </c>
      <c r="BA275" t="inlineStr"/>
      <c r="BB275" t="inlineStr">
        <is>
          <t>Assets/MachineBrigade/Resources/Data/balance.json: weapons[id=p26_typhon_ty57] (lớp B trên 01_chien_dau/Vu_khi)</t>
        </is>
      </c>
      <c r="BC275" t="inlineStr"/>
    </row>
    <row r="276">
      <c r="A276" t="inlineStr">
        <is>
          <t>p26_typhon_ty100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2.5</v>
      </c>
      <c r="I276">
        <f>Vu_khi!$W$276*MAX(1,$E$276)</f>
        <v/>
      </c>
      <c r="J276" t="n">
        <v>600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240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1.5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0.85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288</v>
      </c>
      <c r="AK276">
        <f>IF($Q$276,$M$276*$AC$276*$U$276,0)</f>
        <v/>
      </c>
      <c r="AL276" t="n">
        <v>288</v>
      </c>
      <c r="AM276">
        <f>IF($Q$276,$M$276*$AE$276*$U$276,0)</f>
        <v/>
      </c>
      <c r="AN276" t="n">
        <v>204</v>
      </c>
      <c r="AO276">
        <f>IF($Q$276,$M$276*$AC$276*$Y$276,0)</f>
        <v/>
      </c>
      <c r="AP276" t="n">
        <v>431.9999999999999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1.75</v>
      </c>
      <c r="AZ276" t="inlineStr">
        <is>
          <t>LECH_DOT_1</t>
        </is>
      </c>
      <c r="BA276" t="inlineStr"/>
      <c r="BB276" t="inlineStr">
        <is>
          <t>Assets/MachineBrigade/Resources/Data/balance.json: weapons[id=p26_typhon_ty100] (lớp B trên 01_chien_dau/Vu_khi)</t>
        </is>
      </c>
      <c r="BC276" t="inlineStr"/>
    </row>
    <row r="277">
      <c r="A277" t="inlineStr">
        <is>
          <t>patriot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2</v>
      </c>
      <c r="G277">
        <f>IF(Vu_khi!$S$277&gt;0,(Vu_khi!$S$277-1)*Vu_khi!$R$277+Vu_khi!$T$277,Vu_khi!$R$277+(Vu_khi!$P$277-1)*Vu_khi!$Q$277)</f>
        <v/>
      </c>
      <c r="H277" t="n">
        <v>3.2</v>
      </c>
      <c r="I277">
        <f>Vu_khi!$W$277*MAX(1,$E$277)</f>
        <v/>
      </c>
      <c r="J277" t="n">
        <v>680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212.5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0</v>
      </c>
      <c r="S277">
        <f>AND(NOT(Vu_khi!$AJ$277),OR(Vu_khi!$AC$277="Air",Vu_khi!$AC$277="All"))</f>
        <v/>
      </c>
      <c r="T277" t="b">
        <v>1</v>
      </c>
      <c r="U277">
        <f>INDEX(Bang_sat_thuong!$B$2:$B$7,MATCH(Vu_khi!$K$277,Bang_sat_thuong!$A$2:$A$7,0))</f>
        <v/>
      </c>
      <c r="V277" t="n">
        <v>0.5</v>
      </c>
      <c r="W277">
        <f>INDEX(Bang_sat_thuong!$C$2:$C$7,MATCH(Vu_khi!$K$277,Bang_sat_thuong!$A$2:$A$7,0))</f>
        <v/>
      </c>
      <c r="X277" t="n">
        <v>1.3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0.1</v>
      </c>
      <c r="AA277">
        <f>INDEX(Bang_xuyen_giap!$C$2:$C$7,MIN(6,MAX(1,IF($O$277,MAX(1,2-(Vu_khi!$L$277-0)),2-(Vu_khi!$L$277-0))+1)))</f>
        <v/>
      </c>
      <c r="AB277" t="n">
        <v>1</v>
      </c>
      <c r="AC277">
        <f>INDEX(Bang_xuyen_giap!$C$2:$C$7,MIN(6,MAX(1,IF($O$277,MAX(1,2-(Vu_khi!$L$277-2)),2-(Vu_khi!$L$277-2))+1)))</f>
        <v/>
      </c>
      <c r="AD277" t="n">
        <v>1</v>
      </c>
      <c r="AE277">
        <f>INDEX(Bang_xuyen_giap!$C$2:$C$7,MIN(6,MAX(1,IF($O$277,MAX(1,2-(Vu_khi!$L$277-4)),2-(Vu_khi!$L$277-4))+1)))</f>
        <v/>
      </c>
      <c r="AF277" t="n">
        <v>0.5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0</v>
      </c>
      <c r="AK277">
        <f>IF($Q$277,$M$277*$AC$277*$U$277,0)</f>
        <v/>
      </c>
      <c r="AL277" t="n">
        <v>0</v>
      </c>
      <c r="AM277">
        <f>IF($Q$277,$M$277*$AE$277*$U$277,0)</f>
        <v/>
      </c>
      <c r="AN277" t="n">
        <v>0</v>
      </c>
      <c r="AO277">
        <f>IF($Q$277,$M$277*$AC$277*$Y$277,0)</f>
        <v/>
      </c>
      <c r="AP277" t="n">
        <v>0</v>
      </c>
      <c r="AQ277">
        <f>IF($S$277,$M$277*$AG$277*$W$277,0)</f>
        <v/>
      </c>
      <c r="AR277" t="n">
        <v>276.25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0</v>
      </c>
      <c r="AU277">
        <f>IF(AND($B$277&lt;0,$AS$277),4,$B$277)</f>
        <v/>
      </c>
      <c r="AV277" t="n">
        <v>2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0</v>
      </c>
      <c r="AY277" t="n">
        <v>0.5333329999999999</v>
      </c>
      <c r="AZ277" t="inlineStr">
        <is>
          <t>NHANH_QUA</t>
        </is>
      </c>
      <c r="BA277" t="inlineStr"/>
      <c r="BB277" t="inlineStr">
        <is>
          <t>Assets/MachineBrigade/Resources/Data/balance.json: weapons[id=patriot] (lớp B trên 01_chien_dau/Vu_khi)</t>
        </is>
      </c>
      <c r="BC277" t="inlineStr"/>
    </row>
    <row r="278">
      <c r="A278" t="inlineStr">
        <is>
          <t>pt14_ixion_30</t>
        </is>
      </c>
      <c r="B278" t="n">
        <v>1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8</v>
      </c>
      <c r="G278">
        <f>IF(Vu_khi!$S$278&gt;0,(Vu_khi!$S$278-1)*Vu_khi!$R$278+Vu_khi!$T$278,Vu_khi!$R$278+(Vu_khi!$P$278-1)*Vu_khi!$Q$278)</f>
        <v/>
      </c>
      <c r="H278" t="n">
        <v>4.2777</v>
      </c>
      <c r="I278">
        <f>Vu_khi!$W$278*MAX(1,$E$278)</f>
        <v/>
      </c>
      <c r="J278" t="n">
        <v>176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41.14360520840638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0.6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0.85</v>
      </c>
      <c r="AE278">
        <f>INDEX(Bang_xuyen_giap!$C$2:$C$7,MIN(6,MAX(1,IF($O$278,MAX(1,2-(Vu_khi!$L$278-4)),2-(Vu_khi!$L$278-4))+1)))</f>
        <v/>
      </c>
      <c r="AF278" t="n">
        <v>0.25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49.37232625008766</v>
      </c>
      <c r="AK278">
        <f>IF($Q$278,$M$278*$AC$278*$U$278,0)</f>
        <v/>
      </c>
      <c r="AL278" t="n">
        <v>34.97206442714543</v>
      </c>
      <c r="AM278">
        <f>IF($Q$278,$M$278*$AE$278*$U$278,0)</f>
        <v/>
      </c>
      <c r="AN278" t="n">
        <v>10.2859013021016</v>
      </c>
      <c r="AO278">
        <f>IF($Q$278,$M$278*$AC$278*$Y$278,0)</f>
        <v/>
      </c>
      <c r="AP278" t="n">
        <v>20.98323865628726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1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7.1295</v>
      </c>
      <c r="AZ278" t="inlineStr">
        <is>
          <t>CHAM_QUA;LECH_DOT_1</t>
        </is>
      </c>
      <c r="BA278" t="b">
        <v>1</v>
      </c>
      <c r="BB278" t="inlineStr">
        <is>
          <t>Assets/MachineBrigade/Resources/Data/balance.json: weapons[id=pt14_ixion_30] (lớp B trên 01_chien_dau/Vu_khi)</t>
        </is>
      </c>
      <c r="BC278" t="inlineStr"/>
    </row>
    <row r="279">
      <c r="A279" t="inlineStr">
        <is>
          <t>pt14_ixion_grad</t>
        </is>
      </c>
      <c r="B279" t="n">
        <v>3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9</v>
      </c>
      <c r="G279">
        <f>IF(Vu_khi!$S$279&gt;0,(Vu_khi!$S$279-1)*Vu_khi!$R$279+Vu_khi!$T$279,Vu_khi!$R$279+(Vu_khi!$P$279-1)*Vu_khi!$Q$279)</f>
        <v/>
      </c>
      <c r="H279" t="n">
        <v>24</v>
      </c>
      <c r="I279">
        <f>Vu_khi!$W$279*MAX(1,$E$279)</f>
        <v/>
      </c>
      <c r="J279" t="n">
        <v>513</v>
      </c>
      <c r="K279">
        <f>IF(Vu_khi!$V$279&gt;0,Vu_khi!$V$279,MIN(28,MAX(10,Vu_khi!$U$279*Vu_khi!$R$279*0.4)))</f>
        <v/>
      </c>
      <c r="L279" t="n">
        <v>16.6</v>
      </c>
      <c r="M279">
        <f>IF(Vu_khi!$W$279&lt;=0,0,IF(Vu_khi!$U$279&gt;0,$I$279*Vu_khi!$U$279/(MAX(0.05,$G$279)*Vu_khi!$U$279+$K$279),$I$279/MAX(0.05,$G$279)))</f>
        <v/>
      </c>
      <c r="N279" t="n">
        <v>17.37020316027088</v>
      </c>
      <c r="O279">
        <f>OR(Vu_khi!$AG$279,Vu_khi!$AB$279&gt;0,Vu_khi!$AH$279,Vu_khi!$M$279="Bomb",Vu_khi!$M$279="Drone")</f>
        <v/>
      </c>
      <c r="P279" t="b">
        <v>1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1.5</v>
      </c>
      <c r="AA279">
        <f>INDEX(Bang_xuyen_giap!$C$2:$C$7,MIN(6,MAX(1,IF($O$279,MAX(1,2-(Vu_khi!$L$279-0)),2-(Vu_khi!$L$279-0))+1)))</f>
        <v/>
      </c>
      <c r="AB279" t="n">
        <v>1</v>
      </c>
      <c r="AC279">
        <f>INDEX(Bang_xuyen_giap!$C$2:$C$7,MIN(6,MAX(1,IF($O$279,MAX(1,2-(Vu_khi!$L$279-2)),2-(Vu_khi!$L$279-2))+1)))</f>
        <v/>
      </c>
      <c r="AD279" t="n">
        <v>0.85</v>
      </c>
      <c r="AE279">
        <f>INDEX(Bang_xuyen_giap!$C$2:$C$7,MIN(6,MAX(1,IF($O$279,MAX(1,2-(Vu_khi!$L$279-4)),2-(Vu_khi!$L$279-4))+1)))</f>
        <v/>
      </c>
      <c r="AF279" t="n">
        <v>0.25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17.37020316027088</v>
      </c>
      <c r="AK279">
        <f>IF($Q$279,$M$279*$AC$279*$U$279,0)</f>
        <v/>
      </c>
      <c r="AL279" t="n">
        <v>14.76467268623025</v>
      </c>
      <c r="AM279">
        <f>IF($Q$279,$M$279*$AE$279*$U$279,0)</f>
        <v/>
      </c>
      <c r="AN279" t="n">
        <v>4.342550790067721</v>
      </c>
      <c r="AO279">
        <f>IF($Q$279,$M$279*$AC$279*$Y$279,0)</f>
        <v/>
      </c>
      <c r="AP279" t="n">
        <v>22.14700902934537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3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1</v>
      </c>
      <c r="AZ279" t="inlineStr">
        <is>
          <t>ok</t>
        </is>
      </c>
      <c r="BA279" t="b">
        <v>1</v>
      </c>
      <c r="BB279" t="inlineStr">
        <is>
          <t>Assets/MachineBrigade/Resources/Data/balance.json: weapons[id=pt14_ixion_grad] (lớp B trên 01_chien_dau/Vu_khi)</t>
        </is>
      </c>
      <c r="BC279" t="inlineStr"/>
    </row>
    <row r="280">
      <c r="A280" t="inlineStr">
        <is>
          <t>pt14_ixion_kornet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1</v>
      </c>
      <c r="G280">
        <f>IF(Vu_khi!$S$280&gt;0,(Vu_khi!$S$280-1)*Vu_khi!$R$280+Vu_khi!$T$280,Vu_khi!$R$280+(Vu_khi!$P$280-1)*Vu_khi!$Q$280)</f>
        <v/>
      </c>
      <c r="H280" t="n">
        <v>12</v>
      </c>
      <c r="I280">
        <f>Vu_khi!$W$280*MAX(1,$E$280)</f>
        <v/>
      </c>
      <c r="J280" t="n">
        <v>230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19.16666666666667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0.3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0.6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1.2</v>
      </c>
      <c r="AE280">
        <f>INDEX(Bang_xuyen_giap!$C$2:$C$7,MIN(6,MAX(1,IF($O$280,MAX(1,2-(Vu_khi!$L$280-4)),2-(Vu_khi!$L$280-4))+1)))</f>
        <v/>
      </c>
      <c r="AF280" t="n">
        <v>0.85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23</v>
      </c>
      <c r="AK280">
        <f>IF($Q$280,$M$280*$AC$280*$U$280,0)</f>
        <v/>
      </c>
      <c r="AL280" t="n">
        <v>23</v>
      </c>
      <c r="AM280">
        <f>IF($Q$280,$M$280*$AE$280*$U$280,0)</f>
        <v/>
      </c>
      <c r="AN280" t="n">
        <v>16.29166666666667</v>
      </c>
      <c r="AO280">
        <f>IF($Q$280,$M$280*$AC$280*$Y$280,0)</f>
        <v/>
      </c>
      <c r="AP280" t="n">
        <v>13.8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1.2</v>
      </c>
      <c r="AZ280" t="inlineStr">
        <is>
          <t>LECH_DOT_1</t>
        </is>
      </c>
      <c r="BA280" t="b">
        <v>1</v>
      </c>
      <c r="BB280" t="inlineStr">
        <is>
          <t>Assets/MachineBrigade/Resources/Data/balance.json: weapons[id=pt14_ixion_kornet] (lớp B trên 01_chien_dau/Vu_khi)</t>
        </is>
      </c>
      <c r="BC280" t="inlineStr"/>
    </row>
    <row r="281">
      <c r="A281" t="inlineStr">
        <is>
          <t>r60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7</v>
      </c>
      <c r="I281">
        <f>Vu_khi!$W$281*MAX(1,$E$281)</f>
        <v/>
      </c>
      <c r="J281" t="n">
        <v>184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26.28571428571428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0</v>
      </c>
      <c r="S281">
        <f>AND(NOT(Vu_khi!$AJ$281),OR(Vu_khi!$AC$281="Air",Vu_khi!$AC$281="All"))</f>
        <v/>
      </c>
      <c r="T281" t="b">
        <v>1</v>
      </c>
      <c r="U281">
        <f>INDEX(Bang_sat_thuong!$B$2:$B$7,MATCH(Vu_khi!$K$281,Bang_sat_thuong!$A$2:$A$7,0))</f>
        <v/>
      </c>
      <c r="V281" t="n">
        <v>0.5</v>
      </c>
      <c r="W281">
        <f>INDEX(Bang_sat_thuong!$C$2:$C$7,MATCH(Vu_khi!$K$281,Bang_sat_thuong!$A$2:$A$7,0))</f>
        <v/>
      </c>
      <c r="X281" t="n">
        <v>1.3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0.1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0.85</v>
      </c>
      <c r="AE281">
        <f>INDEX(Bang_xuyen_giap!$C$2:$C$7,MIN(6,MAX(1,IF($O$281,MAX(1,2-(Vu_khi!$L$281-4)),2-(Vu_khi!$L$281-4))+1)))</f>
        <v/>
      </c>
      <c r="AF281" t="n">
        <v>0.25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0</v>
      </c>
      <c r="AK281">
        <f>IF($Q$281,$M$281*$AC$281*$U$281,0)</f>
        <v/>
      </c>
      <c r="AL281" t="n">
        <v>0</v>
      </c>
      <c r="AM281">
        <f>IF($Q$281,$M$281*$AE$281*$U$281,0)</f>
        <v/>
      </c>
      <c r="AN281" t="n">
        <v>0</v>
      </c>
      <c r="AO281">
        <f>IF($Q$281,$M$281*$AC$281*$Y$281,0)</f>
        <v/>
      </c>
      <c r="AP281" t="n">
        <v>0</v>
      </c>
      <c r="AQ281">
        <f>IF($S$281,$M$281*$AG$281*$W$281,0)</f>
        <v/>
      </c>
      <c r="AR281" t="n">
        <v>34.17142857142857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inlineStr"/>
      <c r="AZ281" t="inlineStr">
        <is>
          <t>ok</t>
        </is>
      </c>
      <c r="BA281" t="inlineStr"/>
      <c r="BB281" t="inlineStr">
        <is>
          <t>Assets/MachineBrigade/Resources/Data/balance.json: weapons[id=r60] (lớp B trên 01_chien_dau/Vu_khi)</t>
        </is>
      </c>
      <c r="BC281" t="inlineStr"/>
    </row>
    <row r="282">
      <c r="A282" t="inlineStr">
        <is>
          <t>railgun</t>
        </is>
      </c>
      <c r="B282" t="n">
        <v>3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1</v>
      </c>
      <c r="G282">
        <f>IF(Vu_khi!$S$282&gt;0,(Vu_khi!$S$282-1)*Vu_khi!$R$282+Vu_khi!$T$282,Vu_khi!$R$282+(Vu_khi!$P$282-1)*Vu_khi!$Q$282)</f>
        <v/>
      </c>
      <c r="H282" t="n">
        <v>7</v>
      </c>
      <c r="I282">
        <f>Vu_khi!$W$282*MAX(1,$E$282)</f>
        <v/>
      </c>
      <c r="J282" t="n">
        <v>510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72.85714285714286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</v>
      </c>
      <c r="W282">
        <f>INDEX(Bang_sat_thuong!$C$2:$C$7,MATCH(Vu_khi!$K$282,Bang_sat_thuong!$A$2:$A$7,0))</f>
        <v/>
      </c>
      <c r="X282" t="n">
        <v>0.3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0.6</v>
      </c>
      <c r="AA282">
        <f>INDEX(Bang_xuyen_giap!$C$2:$C$7,MIN(6,MAX(1,IF($O$282,MAX(1,2-(Vu_khi!$L$282-0)),2-(Vu_khi!$L$282-0))+1)))</f>
        <v/>
      </c>
      <c r="AB282" t="n">
        <v>1.2</v>
      </c>
      <c r="AC282">
        <f>INDEX(Bang_xuyen_giap!$C$2:$C$7,MIN(6,MAX(1,IF($O$282,MAX(1,2-(Vu_khi!$L$282-2)),2-(Vu_khi!$L$282-2))+1)))</f>
        <v/>
      </c>
      <c r="AD282" t="n">
        <v>1.2</v>
      </c>
      <c r="AE282">
        <f>INDEX(Bang_xuyen_giap!$C$2:$C$7,MIN(6,MAX(1,IF($O$282,MAX(1,2-(Vu_khi!$L$282-4)),2-(Vu_khi!$L$282-4))+1)))</f>
        <v/>
      </c>
      <c r="AF282" t="n">
        <v>0.85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87.42857142857143</v>
      </c>
      <c r="AK282">
        <f>IF($Q$282,$M$282*$AC$282*$U$282,0)</f>
        <v/>
      </c>
      <c r="AL282" t="n">
        <v>87.42857142857143</v>
      </c>
      <c r="AM282">
        <f>IF($Q$282,$M$282*$AE$282*$U$282,0)</f>
        <v/>
      </c>
      <c r="AN282" t="n">
        <v>61.92857142857143</v>
      </c>
      <c r="AO282">
        <f>IF($Q$282,$M$282*$AC$282*$Y$282,0)</f>
        <v/>
      </c>
      <c r="AP282" t="n">
        <v>52.45714285714286</v>
      </c>
      <c r="AQ282">
        <f>IF($S$282,$M$282*$AG$282*$W$282,0)</f>
        <v/>
      </c>
      <c r="AR282" t="n">
        <v>0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0</v>
      </c>
      <c r="AU282">
        <f>IF(AND($B$282&lt;0,$AS$282),4,$B$282)</f>
        <v/>
      </c>
      <c r="AV282" t="n">
        <v>3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inlineStr"/>
      <c r="AZ282" t="inlineStr">
        <is>
          <t>ok</t>
        </is>
      </c>
      <c r="BA282" t="inlineStr"/>
      <c r="BB282" t="inlineStr">
        <is>
          <t>Assets/MachineBrigade/Resources/Data/balance.json: weapons[id=railgun] (lớp B trên 01_chien_dau/Vu_khi)</t>
        </is>
      </c>
      <c r="BC282" t="inlineStr"/>
    </row>
    <row r="283">
      <c r="A283" t="inlineStr">
        <is>
          <t>recoilless_106</t>
        </is>
      </c>
      <c r="B283" t="n">
        <v>2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1</v>
      </c>
      <c r="G283">
        <f>IF(Vu_khi!$S$283&gt;0,(Vu_khi!$S$283-1)*Vu_khi!$R$283+Vu_khi!$T$283,Vu_khi!$R$283+(Vu_khi!$P$283-1)*Vu_khi!$Q$283)</f>
        <v/>
      </c>
      <c r="H283" t="n">
        <v>6.6667</v>
      </c>
      <c r="I283">
        <f>Vu_khi!$W$283*MAX(1,$E$283)</f>
        <v/>
      </c>
      <c r="J283" t="n">
        <v>220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32.99983500082499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0.3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0.6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1</v>
      </c>
      <c r="AE283">
        <f>INDEX(Bang_xuyen_giap!$C$2:$C$7,MIN(6,MAX(1,IF($O$283,MAX(1,2-(Vu_khi!$L$283-4)),2-(Vu_khi!$L$283-4))+1)))</f>
        <v/>
      </c>
      <c r="AF283" t="n">
        <v>0.5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39.59980200098999</v>
      </c>
      <c r="AK283">
        <f>IF($Q$283,$M$283*$AC$283*$U$283,0)</f>
        <v/>
      </c>
      <c r="AL283" t="n">
        <v>32.99983500082499</v>
      </c>
      <c r="AM283">
        <f>IF($Q$283,$M$283*$AE$283*$U$283,0)</f>
        <v/>
      </c>
      <c r="AN283" t="n">
        <v>16.4999175004125</v>
      </c>
      <c r="AO283">
        <f>IF($Q$283,$M$283*$AC$283*$Y$283,0)</f>
        <v/>
      </c>
      <c r="AP283" t="n">
        <v>19.79990100049499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0</v>
      </c>
      <c r="AU283">
        <f>IF(AND($B$283&lt;0,$AS$283),4,$B$283)</f>
        <v/>
      </c>
      <c r="AV283" t="n">
        <v>2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0</v>
      </c>
      <c r="AY283" t="n">
        <v>0.388891</v>
      </c>
      <c r="AZ283" t="inlineStr">
        <is>
          <t>NHANH_QUA</t>
        </is>
      </c>
      <c r="BA283" t="inlineStr"/>
      <c r="BB283" t="inlineStr">
        <is>
          <t>Assets/MachineBrigade/Resources/Data/balance.json: weapons[id=recoilless_106] (lớp B trên 01_chien_dau/Vu_khi)</t>
        </is>
      </c>
      <c r="BC283" t="inlineStr"/>
    </row>
    <row r="284">
      <c r="A284" t="inlineStr">
        <is>
          <t>recon_missile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11.59</v>
      </c>
      <c r="I284">
        <f>Vu_khi!$W$284*MAX(1,$E$284)</f>
        <v/>
      </c>
      <c r="J284" t="n">
        <v>190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16.39344262295082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</v>
      </c>
      <c r="AE284">
        <f>INDEX(Bang_xuyen_giap!$C$2:$C$7,MIN(6,MAX(1,IF($O$284,MAX(1,2-(Vu_khi!$L$284-4)),2-(Vu_khi!$L$284-4))+1)))</f>
        <v/>
      </c>
      <c r="AF284" t="n">
        <v>0.5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19.67213114754098</v>
      </c>
      <c r="AK284">
        <f>IF($Q$284,$M$284*$AC$284*$U$284,0)</f>
        <v/>
      </c>
      <c r="AL284" t="n">
        <v>16.39344262295082</v>
      </c>
      <c r="AM284">
        <f>IF($Q$284,$M$284*$AE$284*$U$284,0)</f>
        <v/>
      </c>
      <c r="AN284" t="n">
        <v>8.196721311475409</v>
      </c>
      <c r="AO284">
        <f>IF($Q$284,$M$284*$AC$284*$Y$284,0)</f>
        <v/>
      </c>
      <c r="AP284" t="n">
        <v>9.83606557377049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inlineStr"/>
      <c r="AZ284" t="inlineStr">
        <is>
          <t>ok</t>
        </is>
      </c>
      <c r="BA284" t="inlineStr"/>
      <c r="BB284" t="inlineStr">
        <is>
          <t>Assets/MachineBrigade/Resources/Data/balance.json: weapons[id=recon_missile] (lớp B trên 01_chien_dau/Vu_khi)</t>
        </is>
      </c>
      <c r="BC284" t="inlineStr"/>
    </row>
    <row r="285">
      <c r="A285" t="inlineStr">
        <is>
          <t>rockets_300mm</t>
        </is>
      </c>
      <c r="B285" t="n">
        <v>4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11</v>
      </c>
      <c r="G285">
        <f>IF(Vu_khi!$S$285&gt;0,(Vu_khi!$S$285-1)*Vu_khi!$R$285+Vu_khi!$T$285,Vu_khi!$R$285+(Vu_khi!$P$285-1)*Vu_khi!$Q$285)</f>
        <v/>
      </c>
      <c r="H285" t="n">
        <v>18.26</v>
      </c>
      <c r="I285">
        <f>Vu_khi!$W$285*MAX(1,$E$285)</f>
        <v/>
      </c>
      <c r="J285" t="n">
        <v>1595</v>
      </c>
      <c r="K285">
        <f>IF(Vu_khi!$V$285&gt;0,Vu_khi!$V$285,MIN(28,MAX(10,Vu_khi!$U$285*Vu_khi!$R$285*0.4)))</f>
        <v/>
      </c>
      <c r="L285" t="n">
        <v>18.912</v>
      </c>
      <c r="M285">
        <f>IF(Vu_khi!$W$285&lt;=0,0,IF(Vu_khi!$U$285&gt;0,$I$285*Vu_khi!$U$285/(MAX(0.05,$G$285)*Vu_khi!$U$285+$K$285),$I$285/MAX(0.05,$G$285)))</f>
        <v/>
      </c>
      <c r="N285" t="n">
        <v>64.93242142973457</v>
      </c>
      <c r="O285">
        <f>OR(Vu_khi!$AG$285,Vu_khi!$AB$285&gt;0,Vu_khi!$AH$285,Vu_khi!$M$285="Bomb",Vu_khi!$M$285="Drone")</f>
        <v/>
      </c>
      <c r="P285" t="b">
        <v>1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1.5</v>
      </c>
      <c r="AA285">
        <f>INDEX(Bang_xuyen_giap!$C$2:$C$7,MIN(6,MAX(1,IF($O$285,MAX(1,2-(Vu_khi!$L$285-0)),2-(Vu_khi!$L$285-0))+1)))</f>
        <v/>
      </c>
      <c r="AB285" t="n">
        <v>1</v>
      </c>
      <c r="AC285">
        <f>INDEX(Bang_xuyen_giap!$C$2:$C$7,MIN(6,MAX(1,IF($O$285,MAX(1,2-(Vu_khi!$L$285-2)),2-(Vu_khi!$L$285-2))+1)))</f>
        <v/>
      </c>
      <c r="AD285" t="n">
        <v>1</v>
      </c>
      <c r="AE285">
        <f>INDEX(Bang_xuyen_giap!$C$2:$C$7,MIN(6,MAX(1,IF($O$285,MAX(1,2-(Vu_khi!$L$285-4)),2-(Vu_khi!$L$285-4))+1)))</f>
        <v/>
      </c>
      <c r="AF285" t="n">
        <v>0.5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64.93242142973457</v>
      </c>
      <c r="AK285">
        <f>IF($Q$285,$M$285*$AC$285*$U$285,0)</f>
        <v/>
      </c>
      <c r="AL285" t="n">
        <v>64.93242142973457</v>
      </c>
      <c r="AM285">
        <f>IF($Q$285,$M$285*$AE$285*$U$285,0)</f>
        <v/>
      </c>
      <c r="AN285" t="n">
        <v>32.46621071486729</v>
      </c>
      <c r="AO285">
        <f>IF($Q$285,$M$285*$AC$285*$Y$285,0)</f>
        <v/>
      </c>
      <c r="AP285" t="n">
        <v>97.39863214460186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1</v>
      </c>
      <c r="AU285">
        <f>IF(AND($B$285&lt;0,$AS$285),4,$B$285)</f>
        <v/>
      </c>
      <c r="AV285" t="n">
        <v>4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2.5</v>
      </c>
      <c r="AY285" t="n">
        <v>0.079167</v>
      </c>
      <c r="AZ285" t="inlineStr">
        <is>
          <t>NHANH_QUA</t>
        </is>
      </c>
      <c r="BA285" t="inlineStr"/>
      <c r="BB285" t="inlineStr">
        <is>
          <t>Assets/MachineBrigade/Resources/Data/balance.json: weapons[id=rockets_300mm] (lớp B trên 01_chien_dau/Vu_khi)</t>
        </is>
      </c>
      <c r="BC285" t="inlineStr"/>
    </row>
    <row r="286">
      <c r="A286" t="inlineStr">
        <is>
          <t>s8_pods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8</v>
      </c>
      <c r="G286">
        <f>IF(Vu_khi!$S$286&gt;0,(Vu_khi!$S$286-1)*Vu_khi!$R$286+Vu_khi!$T$286,Vu_khi!$R$286+(Vu_khi!$P$286-1)*Vu_khi!$Q$286)</f>
        <v/>
      </c>
      <c r="H286" t="n">
        <v>4.399999999999999</v>
      </c>
      <c r="I286">
        <f>Vu_khi!$W$286*MAX(1,$E$286)</f>
        <v/>
      </c>
      <c r="J286" t="n">
        <v>256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58.18181818181819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1.5</v>
      </c>
      <c r="AA286">
        <f>INDEX(Bang_xuyen_giap!$C$2:$C$7,MIN(6,MAX(1,IF($O$286,MAX(1,2-(Vu_khi!$L$286-0)),2-(Vu_khi!$L$286-0))+1)))</f>
        <v/>
      </c>
      <c r="AB286" t="n">
        <v>1.2</v>
      </c>
      <c r="AC286">
        <f>INDEX(Bang_xuyen_giap!$C$2:$C$7,MIN(6,MAX(1,IF($O$286,MAX(1,2-(Vu_khi!$L$286-2)),2-(Vu_khi!$L$286-2))+1)))</f>
        <v/>
      </c>
      <c r="AD286" t="n">
        <v>0.85</v>
      </c>
      <c r="AE286">
        <f>INDEX(Bang_xuyen_giap!$C$2:$C$7,MIN(6,MAX(1,IF($O$286,MAX(1,2-(Vu_khi!$L$286-4)),2-(Vu_khi!$L$286-4))+1)))</f>
        <v/>
      </c>
      <c r="AF286" t="n">
        <v>0.25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69.81818181818183</v>
      </c>
      <c r="AK286">
        <f>IF($Q$286,$M$286*$AC$286*$U$286,0)</f>
        <v/>
      </c>
      <c r="AL286" t="n">
        <v>49.45454545454546</v>
      </c>
      <c r="AM286">
        <f>IF($Q$286,$M$286*$AE$286*$U$286,0)</f>
        <v/>
      </c>
      <c r="AN286" t="n">
        <v>14.54545454545455</v>
      </c>
      <c r="AO286">
        <f>IF($Q$286,$M$286*$AC$286*$Y$286,0)</f>
        <v/>
      </c>
      <c r="AP286" t="n">
        <v>74.18181818181819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2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0.75</v>
      </c>
      <c r="AZ286" t="inlineStr">
        <is>
          <t>ok</t>
        </is>
      </c>
      <c r="BA286" t="inlineStr"/>
      <c r="BB286" t="inlineStr">
        <is>
          <t>Assets/MachineBrigade/Resources/Data/balance.json: weapons[id=s8_pods] (lớp B trên 01_chien_dau/Vu_khi)</t>
        </is>
      </c>
      <c r="BC286" t="inlineStr"/>
    </row>
    <row r="287">
      <c r="A287" t="inlineStr">
        <is>
          <t>sam</t>
        </is>
      </c>
      <c r="B287" t="n">
        <v>2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1</v>
      </c>
      <c r="G287">
        <f>IF(Vu_khi!$S$287&gt;0,(Vu_khi!$S$287-1)*Vu_khi!$R$287+Vu_khi!$T$287,Vu_khi!$R$287+(Vu_khi!$P$287-1)*Vu_khi!$Q$287)</f>
        <v/>
      </c>
      <c r="H287" t="n">
        <v>4.452</v>
      </c>
      <c r="I287">
        <f>Vu_khi!$W$287*MAX(1,$E$287)</f>
        <v/>
      </c>
      <c r="J287" t="n">
        <v>170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38.18508535489668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0</v>
      </c>
      <c r="S287">
        <f>AND(NOT(Vu_khi!$AJ$287),OR(Vu_khi!$AC$287="Air",Vu_khi!$AC$287="All"))</f>
        <v/>
      </c>
      <c r="T287" t="b">
        <v>1</v>
      </c>
      <c r="U287">
        <f>INDEX(Bang_sat_thuong!$B$2:$B$7,MATCH(Vu_khi!$K$287,Bang_sat_thuong!$A$2:$A$7,0))</f>
        <v/>
      </c>
      <c r="V287" t="n">
        <v>0.5</v>
      </c>
      <c r="W287">
        <f>INDEX(Bang_sat_thuong!$C$2:$C$7,MATCH(Vu_khi!$K$287,Bang_sat_thuong!$A$2:$A$7,0))</f>
        <v/>
      </c>
      <c r="X287" t="n">
        <v>1.3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0.1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0.85</v>
      </c>
      <c r="AE287">
        <f>INDEX(Bang_xuyen_giap!$C$2:$C$7,MIN(6,MAX(1,IF($O$287,MAX(1,2-(Vu_khi!$L$287-4)),2-(Vu_khi!$L$287-4))+1)))</f>
        <v/>
      </c>
      <c r="AF287" t="n">
        <v>0.25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0</v>
      </c>
      <c r="AK287">
        <f>IF($Q$287,$M$287*$AC$287*$U$287,0)</f>
        <v/>
      </c>
      <c r="AL287" t="n">
        <v>0</v>
      </c>
      <c r="AM287">
        <f>IF($Q$287,$M$287*$AE$287*$U$287,0)</f>
        <v/>
      </c>
      <c r="AN287" t="n">
        <v>0</v>
      </c>
      <c r="AO287">
        <f>IF($Q$287,$M$287*$AC$287*$Y$287,0)</f>
        <v/>
      </c>
      <c r="AP287" t="n">
        <v>0</v>
      </c>
      <c r="AQ287">
        <f>IF($S$287,$M$287*$AG$287*$W$287,0)</f>
        <v/>
      </c>
      <c r="AR287" t="n">
        <v>49.64061096136568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1.484</v>
      </c>
      <c r="AZ287" t="inlineStr">
        <is>
          <t>ok</t>
        </is>
      </c>
      <c r="BA287" t="inlineStr"/>
      <c r="BB287" t="inlineStr">
        <is>
          <t>Assets/MachineBrigade/Resources/Data/balance.json: weapons[id=sam] (lớp B trên 01_chien_dau/Vu_khi)</t>
        </is>
      </c>
      <c r="BC287" t="inlineStr"/>
    </row>
    <row r="288">
      <c r="A288" t="inlineStr">
        <is>
          <t>sam_48n6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1</v>
      </c>
      <c r="G288">
        <f>IF(Vu_khi!$S$288&gt;0,(Vu_khi!$S$288-1)*Vu_khi!$R$288+Vu_khi!$T$288,Vu_khi!$R$288+(Vu_khi!$P$288-1)*Vu_khi!$Q$288)</f>
        <v/>
      </c>
      <c r="H288" t="n">
        <v>7.2</v>
      </c>
      <c r="I288">
        <f>Vu_khi!$W$288*MAX(1,$E$288)</f>
        <v/>
      </c>
      <c r="J288" t="n">
        <v>630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87.5</v>
      </c>
      <c r="O288">
        <f>OR(Vu_khi!$AG$288,Vu_khi!$AB$288&gt;0,Vu_khi!$AH$288,Vu_khi!$M$288="Bomb",Vu_khi!$M$288="Drone")</f>
        <v/>
      </c>
      <c r="P288" t="b">
        <v>1</v>
      </c>
      <c r="Q288">
        <f>AND(NOT(Vu_khi!$AJ$288),OR(Vu_khi!$AC$288="Ground",Vu_khi!$AC$288="All"))</f>
        <v/>
      </c>
      <c r="R288" t="b">
        <v>0</v>
      </c>
      <c r="S288">
        <f>AND(NOT(Vu_khi!$AJ$288),OR(Vu_khi!$AC$288="Air",Vu_khi!$AC$288="All"))</f>
        <v/>
      </c>
      <c r="T288" t="b">
        <v>1</v>
      </c>
      <c r="U288">
        <f>INDEX(Bang_sat_thuong!$B$2:$B$7,MATCH(Vu_khi!$K$288,Bang_sat_thuong!$A$2:$A$7,0))</f>
        <v/>
      </c>
      <c r="V288" t="n">
        <v>0.5</v>
      </c>
      <c r="W288">
        <f>INDEX(Bang_sat_thuong!$C$2:$C$7,MATCH(Vu_khi!$K$288,Bang_sat_thuong!$A$2:$A$7,0))</f>
        <v/>
      </c>
      <c r="X288" t="n">
        <v>1.3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0.1</v>
      </c>
      <c r="AA288">
        <f>INDEX(Bang_xuyen_giap!$C$2:$C$7,MIN(6,MAX(1,IF($O$288,MAX(1,2-(Vu_khi!$L$288-0)),2-(Vu_khi!$L$288-0))+1)))</f>
        <v/>
      </c>
      <c r="AB288" t="n">
        <v>1</v>
      </c>
      <c r="AC288">
        <f>INDEX(Bang_xuyen_giap!$C$2:$C$7,MIN(6,MAX(1,IF($O$288,MAX(1,2-(Vu_khi!$L$288-2)),2-(Vu_khi!$L$288-2))+1)))</f>
        <v/>
      </c>
      <c r="AD288" t="n">
        <v>1</v>
      </c>
      <c r="AE288">
        <f>INDEX(Bang_xuyen_giap!$C$2:$C$7,MIN(6,MAX(1,IF($O$288,MAX(1,2-(Vu_khi!$L$288-4)),2-(Vu_khi!$L$288-4))+1)))</f>
        <v/>
      </c>
      <c r="AF288" t="n">
        <v>0.5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0</v>
      </c>
      <c r="AK288">
        <f>IF($Q$288,$M$288*$AC$288*$U$288,0)</f>
        <v/>
      </c>
      <c r="AL288" t="n">
        <v>0</v>
      </c>
      <c r="AM288">
        <f>IF($Q$288,$M$288*$AE$288*$U$288,0)</f>
        <v/>
      </c>
      <c r="AN288" t="n">
        <v>0</v>
      </c>
      <c r="AO288">
        <f>IF($Q$288,$M$288*$AC$288*$Y$288,0)</f>
        <v/>
      </c>
      <c r="AP288" t="n">
        <v>0</v>
      </c>
      <c r="AQ288">
        <f>IF($S$288,$M$288*$AG$288*$W$288,0)</f>
        <v/>
      </c>
      <c r="AR288" t="n">
        <v>113.75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2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2.4</v>
      </c>
      <c r="AZ288" t="inlineStr">
        <is>
          <t>ok</t>
        </is>
      </c>
      <c r="BA288" t="inlineStr"/>
      <c r="BB288" t="inlineStr">
        <is>
          <t>Assets/MachineBrigade/Resources/Data/balance.json: weapons[id=sam_48n6] (lớp B trên 01_chien_dau/Vu_khi)</t>
        </is>
      </c>
      <c r="BC288" t="inlineStr"/>
    </row>
    <row r="289">
      <c r="A289" t="inlineStr">
        <is>
          <t>sam_battery</t>
        </is>
      </c>
      <c r="B289" t="n">
        <v>2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11</v>
      </c>
      <c r="I289">
        <f>Vu_khi!$W$289*MAX(1,$E$289)</f>
        <v/>
      </c>
      <c r="J289" t="n">
        <v>680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61.81818181818182</v>
      </c>
      <c r="O289">
        <f>OR(Vu_khi!$AG$289,Vu_khi!$AB$289&gt;0,Vu_khi!$AH$289,Vu_khi!$M$289="Bomb",Vu_khi!$M$289="Drone")</f>
        <v/>
      </c>
      <c r="P289" t="b">
        <v>1</v>
      </c>
      <c r="Q289">
        <f>AND(NOT(Vu_khi!$AJ$289),OR(Vu_khi!$AC$289="Ground",Vu_khi!$AC$289="All"))</f>
        <v/>
      </c>
      <c r="R289" t="b">
        <v>0</v>
      </c>
      <c r="S289">
        <f>AND(NOT(Vu_khi!$AJ$289),OR(Vu_khi!$AC$289="Air",Vu_khi!$AC$289="All"))</f>
        <v/>
      </c>
      <c r="T289" t="b">
        <v>1</v>
      </c>
      <c r="U289">
        <f>INDEX(Bang_sat_thuong!$B$2:$B$7,MATCH(Vu_khi!$K$289,Bang_sat_thuong!$A$2:$A$7,0))</f>
        <v/>
      </c>
      <c r="V289" t="n">
        <v>0.5</v>
      </c>
      <c r="W289">
        <f>INDEX(Bang_sat_thuong!$C$2:$C$7,MATCH(Vu_khi!$K$289,Bang_sat_thuong!$A$2:$A$7,0))</f>
        <v/>
      </c>
      <c r="X289" t="n">
        <v>1.3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0.1</v>
      </c>
      <c r="AA289">
        <f>INDEX(Bang_xuyen_giap!$C$2:$C$7,MIN(6,MAX(1,IF($O$289,MAX(1,2-(Vu_khi!$L$289-0)),2-(Vu_khi!$L$289-0))+1)))</f>
        <v/>
      </c>
      <c r="AB289" t="n">
        <v>1</v>
      </c>
      <c r="AC289">
        <f>INDEX(Bang_xuyen_giap!$C$2:$C$7,MIN(6,MAX(1,IF($O$289,MAX(1,2-(Vu_khi!$L$289-2)),2-(Vu_khi!$L$289-2))+1)))</f>
        <v/>
      </c>
      <c r="AD289" t="n">
        <v>1</v>
      </c>
      <c r="AE289">
        <f>INDEX(Bang_xuyen_giap!$C$2:$C$7,MIN(6,MAX(1,IF($O$289,MAX(1,2-(Vu_khi!$L$289-4)),2-(Vu_khi!$L$289-4))+1)))</f>
        <v/>
      </c>
      <c r="AF289" t="n">
        <v>0.5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0</v>
      </c>
      <c r="AK289">
        <f>IF($Q$289,$M$289*$AC$289*$U$289,0)</f>
        <v/>
      </c>
      <c r="AL289" t="n">
        <v>0</v>
      </c>
      <c r="AM289">
        <f>IF($Q$289,$M$289*$AE$289*$U$289,0)</f>
        <v/>
      </c>
      <c r="AN289" t="n">
        <v>0</v>
      </c>
      <c r="AO289">
        <f>IF($Q$289,$M$289*$AC$289*$Y$289,0)</f>
        <v/>
      </c>
      <c r="AP289" t="n">
        <v>0</v>
      </c>
      <c r="AQ289">
        <f>IF($S$289,$M$289*$AG$289*$W$289,0)</f>
        <v/>
      </c>
      <c r="AR289" t="n">
        <v>80.36363636363637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2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0</v>
      </c>
      <c r="AY289" t="n">
        <v>1.833333</v>
      </c>
      <c r="AZ289" t="inlineStr">
        <is>
          <t>ok</t>
        </is>
      </c>
      <c r="BA289" t="b">
        <v>1</v>
      </c>
      <c r="BB289" t="inlineStr">
        <is>
          <t>Assets/MachineBrigade/Resources/Data/balance.json: weapons[id=sam_battery] (lớp B trên 01_chien_dau/Vu_khi)</t>
        </is>
      </c>
      <c r="BC289" t="inlineStr"/>
    </row>
    <row r="290">
      <c r="A290" t="inlineStr">
        <is>
          <t>sam_battery_lrr</t>
        </is>
      </c>
      <c r="B290" t="n">
        <v>2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3.9</v>
      </c>
      <c r="I290">
        <f>Vu_khi!$W$290*MAX(1,$E$290)</f>
        <v/>
      </c>
      <c r="J290" t="n">
        <v>680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174.3589743589743</v>
      </c>
      <c r="O290">
        <f>OR(Vu_khi!$AG$290,Vu_khi!$AB$290&gt;0,Vu_khi!$AH$290,Vu_khi!$M$290="Bomb",Vu_khi!$M$290="Drone")</f>
        <v/>
      </c>
      <c r="P290" t="b">
        <v>1</v>
      </c>
      <c r="Q290">
        <f>AND(NOT(Vu_khi!$AJ$290),OR(Vu_khi!$AC$290="Ground",Vu_khi!$AC$290="All"))</f>
        <v/>
      </c>
      <c r="R290" t="b">
        <v>0</v>
      </c>
      <c r="S290">
        <f>AND(NOT(Vu_khi!$AJ$290),OR(Vu_khi!$AC$290="Air",Vu_khi!$AC$290="All"))</f>
        <v/>
      </c>
      <c r="T290" t="b">
        <v>1</v>
      </c>
      <c r="U290">
        <f>INDEX(Bang_sat_thuong!$B$2:$B$7,MATCH(Vu_khi!$K$290,Bang_sat_thuong!$A$2:$A$7,0))</f>
        <v/>
      </c>
      <c r="V290" t="n">
        <v>0.5</v>
      </c>
      <c r="W290">
        <f>INDEX(Bang_sat_thuong!$C$2:$C$7,MATCH(Vu_khi!$K$290,Bang_sat_thuong!$A$2:$A$7,0))</f>
        <v/>
      </c>
      <c r="X290" t="n">
        <v>1.3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0.1</v>
      </c>
      <c r="AA290">
        <f>INDEX(Bang_xuyen_giap!$C$2:$C$7,MIN(6,MAX(1,IF($O$290,MAX(1,2-(Vu_khi!$L$290-0)),2-(Vu_khi!$L$290-0))+1)))</f>
        <v/>
      </c>
      <c r="AB290" t="n">
        <v>1</v>
      </c>
      <c r="AC290">
        <f>INDEX(Bang_xuyen_giap!$C$2:$C$7,MIN(6,MAX(1,IF($O$290,MAX(1,2-(Vu_khi!$L$290-2)),2-(Vu_khi!$L$290-2))+1)))</f>
        <v/>
      </c>
      <c r="AD290" t="n">
        <v>1</v>
      </c>
      <c r="AE290">
        <f>INDEX(Bang_xuyen_giap!$C$2:$C$7,MIN(6,MAX(1,IF($O$290,MAX(1,2-(Vu_khi!$L$290-4)),2-(Vu_khi!$L$290-4))+1)))</f>
        <v/>
      </c>
      <c r="AF290" t="n">
        <v>0.5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0</v>
      </c>
      <c r="AK290">
        <f>IF($Q$290,$M$290*$AC$290*$U$290,0)</f>
        <v/>
      </c>
      <c r="AL290" t="n">
        <v>0</v>
      </c>
      <c r="AM290">
        <f>IF($Q$290,$M$290*$AE$290*$U$290,0)</f>
        <v/>
      </c>
      <c r="AN290" t="n">
        <v>0</v>
      </c>
      <c r="AO290">
        <f>IF($Q$290,$M$290*$AC$290*$Y$290,0)</f>
        <v/>
      </c>
      <c r="AP290" t="n">
        <v>0</v>
      </c>
      <c r="AQ290">
        <f>IF($S$290,$M$290*$AG$290*$W$290,0)</f>
        <v/>
      </c>
      <c r="AR290" t="n">
        <v>226.6666666666667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2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0.65</v>
      </c>
      <c r="AZ290" t="inlineStr">
        <is>
          <t>NHANH_QUA</t>
        </is>
      </c>
      <c r="BA290" t="inlineStr"/>
      <c r="BB290" t="inlineStr">
        <is>
          <t>Assets/MachineBrigade/Resources/Data/balance.json: weapons[id=sam_battery_lrr] (lớp B trên 01_chien_dau/Vu_khi)</t>
        </is>
      </c>
      <c r="BC290" t="inlineStr"/>
    </row>
    <row r="291">
      <c r="A291" t="inlineStr">
        <is>
          <t>sam_long</t>
        </is>
      </c>
      <c r="B291" t="n">
        <v>2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2</v>
      </c>
      <c r="G291">
        <f>IF(Vu_khi!$S$291&gt;0,(Vu_khi!$S$291-1)*Vu_khi!$R$291+Vu_khi!$T$291,Vu_khi!$R$291+(Vu_khi!$P$291-1)*Vu_khi!$Q$291)</f>
        <v/>
      </c>
      <c r="H291" t="n">
        <v>6.23</v>
      </c>
      <c r="I291">
        <f>Vu_khi!$W$291*MAX(1,$E$291)</f>
        <v/>
      </c>
      <c r="J291" t="n">
        <v>640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102.7287319422151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0</v>
      </c>
      <c r="S291">
        <f>AND(NOT(Vu_khi!$AJ$291),OR(Vu_khi!$AC$291="Air",Vu_khi!$AC$291="All"))</f>
        <v/>
      </c>
      <c r="T291" t="b">
        <v>1</v>
      </c>
      <c r="U291">
        <f>INDEX(Bang_sat_thuong!$B$2:$B$7,MATCH(Vu_khi!$K$291,Bang_sat_thuong!$A$2:$A$7,0))</f>
        <v/>
      </c>
      <c r="V291" t="n">
        <v>0.5</v>
      </c>
      <c r="W291">
        <f>INDEX(Bang_sat_thuong!$C$2:$C$7,MATCH(Vu_khi!$K$291,Bang_sat_thuong!$A$2:$A$7,0))</f>
        <v/>
      </c>
      <c r="X291" t="n">
        <v>1.3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0.1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1</v>
      </c>
      <c r="AE291">
        <f>INDEX(Bang_xuyen_giap!$C$2:$C$7,MIN(6,MAX(1,IF($O$291,MAX(1,2-(Vu_khi!$L$291-4)),2-(Vu_khi!$L$291-4))+1)))</f>
        <v/>
      </c>
      <c r="AF291" t="n">
        <v>0.5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0</v>
      </c>
      <c r="AK291">
        <f>IF($Q$291,$M$291*$AC$291*$U$291,0)</f>
        <v/>
      </c>
      <c r="AL291" t="n">
        <v>0</v>
      </c>
      <c r="AM291">
        <f>IF($Q$291,$M$291*$AE$291*$U$291,0)</f>
        <v/>
      </c>
      <c r="AN291" t="n">
        <v>0</v>
      </c>
      <c r="AO291">
        <f>IF($Q$291,$M$291*$AC$291*$Y$291,0)</f>
        <v/>
      </c>
      <c r="AP291" t="n">
        <v>0</v>
      </c>
      <c r="AQ291">
        <f>IF($S$291,$M$291*$AG$291*$W$291,0)</f>
        <v/>
      </c>
      <c r="AR291" t="n">
        <v>133.5473515248796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2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n">
        <v>0.7787500000000001</v>
      </c>
      <c r="AZ291" t="inlineStr">
        <is>
          <t>NHANH_QUA</t>
        </is>
      </c>
      <c r="BA291" t="inlineStr"/>
      <c r="BB291" t="inlineStr">
        <is>
          <t>Assets/MachineBrigade/Resources/Data/balance.json: weapons[id=sam_long] (lớp B trên 01_chien_dau/Vu_khi)</t>
        </is>
      </c>
      <c r="BC291" t="inlineStr"/>
    </row>
    <row r="292">
      <c r="A292" t="inlineStr">
        <is>
          <t>sam_pac3</t>
        </is>
      </c>
      <c r="B292" t="n">
        <v>2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2</v>
      </c>
      <c r="G292">
        <f>IF(Vu_khi!$S$292&gt;0,(Vu_khi!$S$292-1)*Vu_khi!$R$292+Vu_khi!$T$292,Vu_khi!$R$292+(Vu_khi!$P$292-1)*Vu_khi!$Q$292)</f>
        <v/>
      </c>
      <c r="H292" t="n">
        <v>6.7</v>
      </c>
      <c r="I292">
        <f>Vu_khi!$W$292*MAX(1,$E$292)</f>
        <v/>
      </c>
      <c r="J292" t="n">
        <v>720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107.4626865671642</v>
      </c>
      <c r="O292">
        <f>OR(Vu_khi!$AG$292,Vu_khi!$AB$292&gt;0,Vu_khi!$AH$292,Vu_khi!$M$292="Bomb",Vu_khi!$M$292="Drone")</f>
        <v/>
      </c>
      <c r="P292" t="b">
        <v>1</v>
      </c>
      <c r="Q292">
        <f>AND(NOT(Vu_khi!$AJ$292),OR(Vu_khi!$AC$292="Ground",Vu_khi!$AC$292="All"))</f>
        <v/>
      </c>
      <c r="R292" t="b">
        <v>0</v>
      </c>
      <c r="S292">
        <f>AND(NOT(Vu_khi!$AJ$292),OR(Vu_khi!$AC$292="Air",Vu_khi!$AC$292="All"))</f>
        <v/>
      </c>
      <c r="T292" t="b">
        <v>1</v>
      </c>
      <c r="U292">
        <f>INDEX(Bang_sat_thuong!$B$2:$B$7,MATCH(Vu_khi!$K$292,Bang_sat_thuong!$A$2:$A$7,0))</f>
        <v/>
      </c>
      <c r="V292" t="n">
        <v>0.5</v>
      </c>
      <c r="W292">
        <f>INDEX(Bang_sat_thuong!$C$2:$C$7,MATCH(Vu_khi!$K$292,Bang_sat_thuong!$A$2:$A$7,0))</f>
        <v/>
      </c>
      <c r="X292" t="n">
        <v>1.3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0.1</v>
      </c>
      <c r="AA292">
        <f>INDEX(Bang_xuyen_giap!$C$2:$C$7,MIN(6,MAX(1,IF($O$292,MAX(1,2-(Vu_khi!$L$292-0)),2-(Vu_khi!$L$292-0))+1)))</f>
        <v/>
      </c>
      <c r="AB292" t="n">
        <v>1</v>
      </c>
      <c r="AC292">
        <f>INDEX(Bang_xuyen_giap!$C$2:$C$7,MIN(6,MAX(1,IF($O$292,MAX(1,2-(Vu_khi!$L$292-2)),2-(Vu_khi!$L$292-2))+1)))</f>
        <v/>
      </c>
      <c r="AD292" t="n">
        <v>1</v>
      </c>
      <c r="AE292">
        <f>INDEX(Bang_xuyen_giap!$C$2:$C$7,MIN(6,MAX(1,IF($O$292,MAX(1,2-(Vu_khi!$L$292-4)),2-(Vu_khi!$L$292-4))+1)))</f>
        <v/>
      </c>
      <c r="AF292" t="n">
        <v>0.5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0</v>
      </c>
      <c r="AK292">
        <f>IF($Q$292,$M$292*$AC$292*$U$292,0)</f>
        <v/>
      </c>
      <c r="AL292" t="n">
        <v>0</v>
      </c>
      <c r="AM292">
        <f>IF($Q$292,$M$292*$AE$292*$U$292,0)</f>
        <v/>
      </c>
      <c r="AN292" t="n">
        <v>0</v>
      </c>
      <c r="AO292">
        <f>IF($Q$292,$M$292*$AC$292*$Y$292,0)</f>
        <v/>
      </c>
      <c r="AP292" t="n">
        <v>0</v>
      </c>
      <c r="AQ292">
        <f>IF($S$292,$M$292*$AG$292*$W$292,0)</f>
        <v/>
      </c>
      <c r="AR292" t="n">
        <v>139.7014925373134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2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1.116667</v>
      </c>
      <c r="AZ292" t="inlineStr">
        <is>
          <t>NHANH_QUA</t>
        </is>
      </c>
      <c r="BA292" t="inlineStr"/>
      <c r="BB292" t="inlineStr">
        <is>
          <t>Assets/MachineBrigade/Resources/Data/balance.json: weapons[id=sam_pac3] (lớp B trên 01_chien_dau/Vu_khi)</t>
        </is>
      </c>
      <c r="BC292" t="inlineStr"/>
    </row>
    <row r="293">
      <c r="A293" t="inlineStr">
        <is>
          <t>sam_post</t>
        </is>
      </c>
      <c r="B293" t="n">
        <v>2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2</v>
      </c>
      <c r="G293">
        <f>IF(Vu_khi!$S$293&gt;0,(Vu_khi!$S$293-1)*Vu_khi!$R$293+Vu_khi!$T$293,Vu_khi!$R$293+(Vu_khi!$P$293-1)*Vu_khi!$Q$293)</f>
        <v/>
      </c>
      <c r="H293" t="n">
        <v>4.4</v>
      </c>
      <c r="I293">
        <f>Vu_khi!$W$293*MAX(1,$E$293)</f>
        <v/>
      </c>
      <c r="J293" t="n">
        <v>640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145.4545454545454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0</v>
      </c>
      <c r="S293">
        <f>AND(NOT(Vu_khi!$AJ$293),OR(Vu_khi!$AC$293="Air",Vu_khi!$AC$293="All"))</f>
        <v/>
      </c>
      <c r="T293" t="b">
        <v>1</v>
      </c>
      <c r="U293">
        <f>INDEX(Bang_sat_thuong!$B$2:$B$7,MATCH(Vu_khi!$K$293,Bang_sat_thuong!$A$2:$A$7,0))</f>
        <v/>
      </c>
      <c r="V293" t="n">
        <v>0.5</v>
      </c>
      <c r="W293">
        <f>INDEX(Bang_sat_thuong!$C$2:$C$7,MATCH(Vu_khi!$K$293,Bang_sat_thuong!$A$2:$A$7,0))</f>
        <v/>
      </c>
      <c r="X293" t="n">
        <v>1.3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0.1</v>
      </c>
      <c r="AA293">
        <f>INDEX(Bang_xuyen_giap!$C$2:$C$7,MIN(6,MAX(1,IF($O$293,MAX(1,2-(Vu_khi!$L$293-0)),2-(Vu_khi!$L$293-0))+1)))</f>
        <v/>
      </c>
      <c r="AB293" t="n">
        <v>1.2</v>
      </c>
      <c r="AC293">
        <f>INDEX(Bang_xuyen_giap!$C$2:$C$7,MIN(6,MAX(1,IF($O$293,MAX(1,2-(Vu_khi!$L$293-2)),2-(Vu_khi!$L$293-2))+1)))</f>
        <v/>
      </c>
      <c r="AD293" t="n">
        <v>1</v>
      </c>
      <c r="AE293">
        <f>INDEX(Bang_xuyen_giap!$C$2:$C$7,MIN(6,MAX(1,IF($O$293,MAX(1,2-(Vu_khi!$L$293-4)),2-(Vu_khi!$L$293-4))+1)))</f>
        <v/>
      </c>
      <c r="AF293" t="n">
        <v>0.5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0</v>
      </c>
      <c r="AK293">
        <f>IF($Q$293,$M$293*$AC$293*$U$293,0)</f>
        <v/>
      </c>
      <c r="AL293" t="n">
        <v>0</v>
      </c>
      <c r="AM293">
        <f>IF($Q$293,$M$293*$AE$293*$U$293,0)</f>
        <v/>
      </c>
      <c r="AN293" t="n">
        <v>0</v>
      </c>
      <c r="AO293">
        <f>IF($Q$293,$M$293*$AC$293*$Y$293,0)</f>
        <v/>
      </c>
      <c r="AP293" t="n">
        <v>0</v>
      </c>
      <c r="AQ293">
        <f>IF($S$293,$M$293*$AG$293*$W$293,0)</f>
        <v/>
      </c>
      <c r="AR293" t="n">
        <v>189.0909090909091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2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0.55</v>
      </c>
      <c r="AZ293" t="inlineStr">
        <is>
          <t>NHANH_QUA</t>
        </is>
      </c>
      <c r="BA293" t="b">
        <v>1</v>
      </c>
      <c r="BB293" t="inlineStr">
        <is>
          <t>Assets/MachineBrigade/Resources/Data/balance.json: weapons[id=sam_post] (lớp B trên 01_chien_dau/Vu_khi)</t>
        </is>
      </c>
      <c r="BC293" t="inlineStr"/>
    </row>
    <row r="294">
      <c r="A294" t="inlineStr">
        <is>
          <t>scout_rockets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12</v>
      </c>
      <c r="G294">
        <f>IF(Vu_khi!$S$294&gt;0,(Vu_khi!$S$294-1)*Vu_khi!$R$294+Vu_khi!$T$294,Vu_khi!$R$294+(Vu_khi!$P$294-1)*Vu_khi!$Q$294)</f>
        <v/>
      </c>
      <c r="H294" t="n">
        <v>8.609999999999999</v>
      </c>
      <c r="I294">
        <f>Vu_khi!$W$294*MAX(1,$E$294)</f>
        <v/>
      </c>
      <c r="J294" t="n">
        <v>360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41.81184668989548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1.5</v>
      </c>
      <c r="AA294">
        <f>INDEX(Bang_xuyen_giap!$C$2:$C$7,MIN(6,MAX(1,IF($O$294,MAX(1,2-(Vu_khi!$L$294-0)),2-(Vu_khi!$L$294-0))+1)))</f>
        <v/>
      </c>
      <c r="AB294" t="n">
        <v>1.2</v>
      </c>
      <c r="AC294">
        <f>INDEX(Bang_xuyen_giap!$C$2:$C$7,MIN(6,MAX(1,IF($O$294,MAX(1,2-(Vu_khi!$L$294-2)),2-(Vu_khi!$L$294-2))+1)))</f>
        <v/>
      </c>
      <c r="AD294" t="n">
        <v>0.85</v>
      </c>
      <c r="AE294">
        <f>INDEX(Bang_xuyen_giap!$C$2:$C$7,MIN(6,MAX(1,IF($O$294,MAX(1,2-(Vu_khi!$L$294-4)),2-(Vu_khi!$L$294-4))+1)))</f>
        <v/>
      </c>
      <c r="AF294" t="n">
        <v>0.25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50.17421602787457</v>
      </c>
      <c r="AK294">
        <f>IF($Q$294,$M$294*$AC$294*$U$294,0)</f>
        <v/>
      </c>
      <c r="AL294" t="n">
        <v>35.54006968641115</v>
      </c>
      <c r="AM294">
        <f>IF($Q$294,$M$294*$AE$294*$U$294,0)</f>
        <v/>
      </c>
      <c r="AN294" t="n">
        <v>10.45296167247387</v>
      </c>
      <c r="AO294">
        <f>IF($Q$294,$M$294*$AC$294*$Y$294,0)</f>
        <v/>
      </c>
      <c r="AP294" t="n">
        <v>53.31010452961673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1.65</v>
      </c>
      <c r="AZ294" t="inlineStr">
        <is>
          <t>ok</t>
        </is>
      </c>
      <c r="BA294" t="inlineStr"/>
      <c r="BB294" t="inlineStr">
        <is>
          <t>Assets/MachineBrigade/Resources/Data/balance.json: weapons[id=scout_rockets] (lớp B trên 01_chien_dau/Vu_khi)</t>
        </is>
      </c>
      <c r="BC294" t="inlineStr"/>
    </row>
    <row r="295">
      <c r="A295" t="inlineStr">
        <is>
          <t>shahed</t>
        </is>
      </c>
      <c r="B295" t="n">
        <v>3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1</v>
      </c>
      <c r="G295">
        <f>IF(Vu_khi!$S$295&gt;0,(Vu_khi!$S$295-1)*Vu_khi!$R$295+Vu_khi!$T$295,Vu_khi!$R$295+(Vu_khi!$P$295-1)*Vu_khi!$Q$295)</f>
        <v/>
      </c>
      <c r="H295" t="n">
        <v>8.5</v>
      </c>
      <c r="I295">
        <f>Vu_khi!$W$295*MAX(1,$E$295)</f>
        <v/>
      </c>
      <c r="J295" t="n">
        <v>344</v>
      </c>
      <c r="K295">
        <f>IF(Vu_khi!$V$295&gt;0,Vu_khi!$V$295,MIN(28,MAX(10,Vu_khi!$U$295*Vu_khi!$R$295*0.4)))</f>
        <v/>
      </c>
      <c r="L295" t="n">
        <v>8.5</v>
      </c>
      <c r="M295">
        <f>IF(Vu_khi!$W$295&lt;=0,0,IF(Vu_khi!$U$295&gt;0,$I$295*Vu_khi!$U$295/(MAX(0.05,$G$295)*Vu_khi!$U$295+$K$295),$I$295/MAX(0.05,$G$295)))</f>
        <v/>
      </c>
      <c r="N295" t="n">
        <v>33.72549019607843</v>
      </c>
      <c r="O295">
        <f>OR(Vu_khi!$AG$295,Vu_khi!$AB$295&gt;0,Vu_khi!$AH$295,Vu_khi!$M$295="Bomb",Vu_khi!$M$295="Drone")</f>
        <v/>
      </c>
      <c r="P295" t="b">
        <v>1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0</v>
      </c>
      <c r="U295">
        <f>INDEX(Bang_sat_thuong!$B$2:$B$7,MATCH(Vu_khi!$K$295,Bang_sat_thuong!$A$2:$A$7,0))</f>
        <v/>
      </c>
      <c r="V295" t="n">
        <v>1</v>
      </c>
      <c r="W295">
        <f>INDEX(Bang_sat_thuong!$C$2:$C$7,MATCH(Vu_khi!$K$295,Bang_sat_thuong!$A$2:$A$7,0))</f>
        <v/>
      </c>
      <c r="X295" t="n">
        <v>0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1.5</v>
      </c>
      <c r="AA295">
        <f>INDEX(Bang_xuyen_giap!$C$2:$C$7,MIN(6,MAX(1,IF($O$295,MAX(1,2-(Vu_khi!$L$295-0)),2-(Vu_khi!$L$295-0))+1)))</f>
        <v/>
      </c>
      <c r="AB295" t="n">
        <v>1</v>
      </c>
      <c r="AC295">
        <f>INDEX(Bang_xuyen_giap!$C$2:$C$7,MIN(6,MAX(1,IF($O$295,MAX(1,2-(Vu_khi!$L$295-2)),2-(Vu_khi!$L$295-2))+1)))</f>
        <v/>
      </c>
      <c r="AD295" t="n">
        <v>1</v>
      </c>
      <c r="AE295">
        <f>INDEX(Bang_xuyen_giap!$C$2:$C$7,MIN(6,MAX(1,IF($O$295,MAX(1,2-(Vu_khi!$L$295-4)),2-(Vu_khi!$L$295-4))+1)))</f>
        <v/>
      </c>
      <c r="AF295" t="n">
        <v>0.5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33.72549019607843</v>
      </c>
      <c r="AK295">
        <f>IF($Q$295,$M$295*$AC$295*$U$295,0)</f>
        <v/>
      </c>
      <c r="AL295" t="n">
        <v>33.72549019607843</v>
      </c>
      <c r="AM295">
        <f>IF($Q$295,$M$295*$AE$295*$U$295,0)</f>
        <v/>
      </c>
      <c r="AN295" t="n">
        <v>16.86274509803922</v>
      </c>
      <c r="AO295">
        <f>IF($Q$295,$M$295*$AC$295*$Y$295,0)</f>
        <v/>
      </c>
      <c r="AP295" t="n">
        <v>50.58823529411765</v>
      </c>
      <c r="AQ295">
        <f>IF($S$295,$M$295*$AG$295*$W$295,0)</f>
        <v/>
      </c>
      <c r="AR295" t="n">
        <v>0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0</v>
      </c>
      <c r="AU295">
        <f>IF(AND($B$295&lt;0,$AS$295),4,$B$295)</f>
        <v/>
      </c>
      <c r="AV295" t="n">
        <v>3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inlineStr"/>
      <c r="AZ295" t="inlineStr">
        <is>
          <t>ok</t>
        </is>
      </c>
      <c r="BA295" t="inlineStr"/>
      <c r="BB295" t="inlineStr">
        <is>
          <t>Assets/MachineBrigade/Resources/Data/balance.json: weapons[id=shahed] (lớp B trên 01_chien_dau/Vu_khi)</t>
        </is>
      </c>
      <c r="BC295" t="inlineStr"/>
    </row>
    <row r="296">
      <c r="A296" t="inlineStr">
        <is>
          <t>siege_gun_105</t>
        </is>
      </c>
      <c r="B296" t="n">
        <v>2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1</v>
      </c>
      <c r="G296">
        <f>IF(Vu_khi!$S$296&gt;0,(Vu_khi!$S$296-1)*Vu_khi!$R$296+Vu_khi!$T$296,Vu_khi!$R$296+(Vu_khi!$P$296-1)*Vu_khi!$Q$296)</f>
        <v/>
      </c>
      <c r="H296" t="n">
        <v>4.6</v>
      </c>
      <c r="I296">
        <f>Vu_khi!$W$296*MAX(1,$E$296)</f>
        <v/>
      </c>
      <c r="J296" t="n">
        <v>212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46.08695652173913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1</v>
      </c>
      <c r="AE296">
        <f>INDEX(Bang_xuyen_giap!$C$2:$C$7,MIN(6,MAX(1,IF($O$296,MAX(1,2-(Vu_khi!$L$296-4)),2-(Vu_khi!$L$296-4))+1)))</f>
        <v/>
      </c>
      <c r="AF296" t="n">
        <v>0.5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55.30434782608696</v>
      </c>
      <c r="AK296">
        <f>IF($Q$296,$M$296*$AC$296*$U$296,0)</f>
        <v/>
      </c>
      <c r="AL296" t="n">
        <v>46.08695652173913</v>
      </c>
      <c r="AM296">
        <f>IF($Q$296,$M$296*$AE$296*$U$296,0)</f>
        <v/>
      </c>
      <c r="AN296" t="n">
        <v>23.04347826086957</v>
      </c>
      <c r="AO296">
        <f>IF($Q$296,$M$296*$AC$296*$Y$296,0)</f>
        <v/>
      </c>
      <c r="AP296" t="n">
        <v>27.65217391304348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2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n">
        <v>0.536667</v>
      </c>
      <c r="AZ296" t="inlineStr">
        <is>
          <t>NHANH_QUA</t>
        </is>
      </c>
      <c r="BA296" t="inlineStr"/>
      <c r="BB296" t="inlineStr">
        <is>
          <t>Assets/MachineBrigade/Resources/Data/balance.json: weapons[id=siege_gun_105] (lớp B trên 01_chien_dau/Vu_khi)</t>
        </is>
      </c>
      <c r="BC296" t="inlineStr"/>
    </row>
    <row r="297">
      <c r="A297" t="inlineStr">
        <is>
          <t>siege_gun_105_he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4.6</v>
      </c>
      <c r="I297">
        <f>Vu_khi!$W$297*MAX(1,$E$297)</f>
        <v/>
      </c>
      <c r="J297" t="n">
        <v>212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46.08695652173913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0.85</v>
      </c>
      <c r="AE297">
        <f>INDEX(Bang_xuyen_giap!$C$2:$C$7,MIN(6,MAX(1,IF($O$297,MAX(1,2-(Vu_khi!$L$297-4)),2-(Vu_khi!$L$297-4))+1)))</f>
        <v/>
      </c>
      <c r="AF297" t="n">
        <v>0.25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55.30434782608696</v>
      </c>
      <c r="AK297">
        <f>IF($Q$297,$M$297*$AC$297*$U$297,0)</f>
        <v/>
      </c>
      <c r="AL297" t="n">
        <v>39.17391304347827</v>
      </c>
      <c r="AM297">
        <f>IF($Q$297,$M$297*$AE$297*$U$297,0)</f>
        <v/>
      </c>
      <c r="AN297" t="n">
        <v>11.52173913043478</v>
      </c>
      <c r="AO297">
        <f>IF($Q$297,$M$297*$AC$297*$Y$297,0)</f>
        <v/>
      </c>
      <c r="AP297" t="n">
        <v>58.76086956521739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0</v>
      </c>
      <c r="AU297">
        <f>IF(AND($B$297&lt;0,$AS$297),4,$B$297)</f>
        <v/>
      </c>
      <c r="AV297" t="n">
        <v>2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BB297" t="inlineStr">
        <is>
          <t>Assets/MachineBrigade/Resources/Data/balance.json: weapons[id=siege_gun_105_he] (lớp B trên 01_chien_dau/Vu_khi)</t>
        </is>
      </c>
      <c r="BC297" t="inlineStr"/>
    </row>
    <row r="298">
      <c r="A298" t="inlineStr">
        <is>
          <t>siege_mortar_240</t>
        </is>
      </c>
      <c r="B298" t="n">
        <v>4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7.619</v>
      </c>
      <c r="I298">
        <f>Vu_khi!$W$298*MAX(1,$E$298)</f>
        <v/>
      </c>
      <c r="J298" t="n">
        <v>450</v>
      </c>
      <c r="K298">
        <f>IF(Vu_khi!$V$298&gt;0,Vu_khi!$V$298,MIN(28,MAX(10,Vu_khi!$U$298*Vu_khi!$R$298*0.4)))</f>
        <v/>
      </c>
      <c r="L298" t="n">
        <v>28.57</v>
      </c>
      <c r="M298">
        <f>IF(Vu_khi!$W$298&lt;=0,0,IF(Vu_khi!$U$298&gt;0,$I$298*Vu_khi!$U$298/(MAX(0.05,$G$298)*Vu_khi!$U$298+$K$298),$I$298/MAX(0.05,$G$298)))</f>
        <v/>
      </c>
      <c r="N298" t="n">
        <v>42.9553264604811</v>
      </c>
      <c r="O298">
        <f>OR(Vu_khi!$AG$298,Vu_khi!$AB$298&gt;0,Vu_khi!$AH$298,Vu_khi!$M$298="Bomb",Vu_khi!$M$298="Drone")</f>
        <v/>
      </c>
      <c r="P298" t="b">
        <v>1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1.5</v>
      </c>
      <c r="AA298">
        <f>INDEX(Bang_xuyen_giap!$C$2:$C$7,MIN(6,MAX(1,IF($O$298,MAX(1,2-(Vu_khi!$L$298-0)),2-(Vu_khi!$L$298-0))+1)))</f>
        <v/>
      </c>
      <c r="AB298" t="n">
        <v>1</v>
      </c>
      <c r="AC298">
        <f>INDEX(Bang_xuyen_giap!$C$2:$C$7,MIN(6,MAX(1,IF($O$298,MAX(1,2-(Vu_khi!$L$298-2)),2-(Vu_khi!$L$298-2))+1)))</f>
        <v/>
      </c>
      <c r="AD298" t="n">
        <v>1</v>
      </c>
      <c r="AE298">
        <f>INDEX(Bang_xuyen_giap!$C$2:$C$7,MIN(6,MAX(1,IF($O$298,MAX(1,2-(Vu_khi!$L$298-4)),2-(Vu_khi!$L$298-4))+1)))</f>
        <v/>
      </c>
      <c r="AF298" t="n">
        <v>0.85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42.9553264604811</v>
      </c>
      <c r="AK298">
        <f>IF($Q$298,$M$298*$AC$298*$U$298,0)</f>
        <v/>
      </c>
      <c r="AL298" t="n">
        <v>42.9553264604811</v>
      </c>
      <c r="AM298">
        <f>IF($Q$298,$M$298*$AE$298*$U$298,0)</f>
        <v/>
      </c>
      <c r="AN298" t="n">
        <v>36.51202749140894</v>
      </c>
      <c r="AO298">
        <f>IF($Q$298,$M$298*$AC$298*$Y$298,0)</f>
        <v/>
      </c>
      <c r="AP298" t="n">
        <v>64.43298969072166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1</v>
      </c>
      <c r="AU298">
        <f>IF(AND($B$298&lt;0,$AS$298),4,$B$298)</f>
        <v/>
      </c>
      <c r="AV298" t="n">
        <v>4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2.5</v>
      </c>
      <c r="AY298" t="n">
        <v>0.12222</v>
      </c>
      <c r="AZ298" t="inlineStr">
        <is>
          <t>NHANH_QUA</t>
        </is>
      </c>
      <c r="BA298" t="inlineStr"/>
      <c r="BB298" t="inlineStr">
        <is>
          <t>Assets/MachineBrigade/Resources/Data/balance.json: weapons[id=siege_mortar_240] (lớp B trên 01_chien_dau/Vu_khi)</t>
        </is>
      </c>
      <c r="BC298" t="inlineStr"/>
    </row>
    <row r="299">
      <c r="A299" t="inlineStr">
        <is>
          <t>spg9_73mm</t>
        </is>
      </c>
      <c r="B299" t="n">
        <v>2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6.67</v>
      </c>
      <c r="I299">
        <f>Vu_khi!$W$299*MAX(1,$E$299)</f>
        <v/>
      </c>
      <c r="J299" t="n">
        <v>180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26.98650674662669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0.3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0.6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1</v>
      </c>
      <c r="AE299">
        <f>INDEX(Bang_xuyen_giap!$C$2:$C$7,MIN(6,MAX(1,IF($O$299,MAX(1,2-(Vu_khi!$L$299-4)),2-(Vu_khi!$L$299-4))+1)))</f>
        <v/>
      </c>
      <c r="AF299" t="n">
        <v>0.5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32.38380809595203</v>
      </c>
      <c r="AK299">
        <f>IF($Q$299,$M$299*$AC$299*$U$299,0)</f>
        <v/>
      </c>
      <c r="AL299" t="n">
        <v>26.98650674662669</v>
      </c>
      <c r="AM299">
        <f>IF($Q$299,$M$299*$AE$299*$U$299,0)</f>
        <v/>
      </c>
      <c r="AN299" t="n">
        <v>13.49325337331334</v>
      </c>
      <c r="AO299">
        <f>IF($Q$299,$M$299*$AC$299*$Y$299,0)</f>
        <v/>
      </c>
      <c r="AP299" t="n">
        <v>16.19190404797601</v>
      </c>
      <c r="AQ299">
        <f>IF($S$299,$M$299*$AG$299*$W$299,0)</f>
        <v/>
      </c>
      <c r="AR299" t="n">
        <v>8.095952023988007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2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n">
        <v>0.4669</v>
      </c>
      <c r="AZ299" t="inlineStr">
        <is>
          <t>NHANH_QUA</t>
        </is>
      </c>
      <c r="BA299" t="inlineStr"/>
      <c r="BB299" t="inlineStr">
        <is>
          <t>Assets/MachineBrigade/Resources/Data/balance.json: weapons[id=spg9_73mm] (lớp B trên 01_chien_dau/Vu_khi)</t>
        </is>
      </c>
      <c r="BC299" t="inlineStr"/>
    </row>
    <row r="300">
      <c r="A300" t="inlineStr">
        <is>
          <t>stealth_payload</t>
        </is>
      </c>
      <c r="B300" t="n">
        <v>4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2</v>
      </c>
      <c r="G300">
        <f>IF(Vu_khi!$S$300&gt;0,(Vu_khi!$S$300-1)*Vu_khi!$R$300+Vu_khi!$T$300,Vu_khi!$R$300+(Vu_khi!$P$300-1)*Vu_khi!$Q$300)</f>
        <v/>
      </c>
      <c r="H300" t="n">
        <v>14.3</v>
      </c>
      <c r="I300">
        <f>Vu_khi!$W$300*MAX(1,$E$300)</f>
        <v/>
      </c>
      <c r="J300" t="n">
        <v>1784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124.7552447552447</v>
      </c>
      <c r="O300">
        <f>OR(Vu_khi!$AG$300,Vu_khi!$AB$300&gt;0,Vu_khi!$AH$300,Vu_khi!$M$300="Bomb",Vu_khi!$M$300="Drone")</f>
        <v/>
      </c>
      <c r="P300" t="b">
        <v>1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1.5</v>
      </c>
      <c r="AA300">
        <f>INDEX(Bang_xuyen_giap!$C$2:$C$7,MIN(6,MAX(1,IF($O$300,MAX(1,2-(Vu_khi!$L$300-0)),2-(Vu_khi!$L$300-0))+1)))</f>
        <v/>
      </c>
      <c r="AB300" t="n">
        <v>1</v>
      </c>
      <c r="AC300">
        <f>INDEX(Bang_xuyen_giap!$C$2:$C$7,MIN(6,MAX(1,IF($O$300,MAX(1,2-(Vu_khi!$L$300-2)),2-(Vu_khi!$L$300-2))+1)))</f>
        <v/>
      </c>
      <c r="AD300" t="n">
        <v>1</v>
      </c>
      <c r="AE300">
        <f>INDEX(Bang_xuyen_giap!$C$2:$C$7,MIN(6,MAX(1,IF($O$300,MAX(1,2-(Vu_khi!$L$300-4)),2-(Vu_khi!$L$300-4))+1)))</f>
        <v/>
      </c>
      <c r="AF300" t="n">
        <v>0.85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124.7552447552447</v>
      </c>
      <c r="AK300">
        <f>IF($Q$300,$M$300*$AC$300*$U$300,0)</f>
        <v/>
      </c>
      <c r="AL300" t="n">
        <v>124.7552447552447</v>
      </c>
      <c r="AM300">
        <f>IF($Q$300,$M$300*$AE$300*$U$300,0)</f>
        <v/>
      </c>
      <c r="AN300" t="n">
        <v>106.041958041958</v>
      </c>
      <c r="AO300">
        <f>IF($Q$300,$M$300*$AC$300*$Y$300,0)</f>
        <v/>
      </c>
      <c r="AP300" t="n">
        <v>187.1328671328671</v>
      </c>
      <c r="AQ300">
        <f>IF($S$300,$M$300*$AG$300*$W$300,0)</f>
        <v/>
      </c>
      <c r="AR300" t="n">
        <v>0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1</v>
      </c>
      <c r="AU300">
        <f>IF(AND($B$300&lt;0,$AS$300),4,$B$300)</f>
        <v/>
      </c>
      <c r="AV300" t="n">
        <v>4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3.388888888888889</v>
      </c>
      <c r="AY300" t="n">
        <v>3</v>
      </c>
      <c r="AZ300" t="inlineStr">
        <is>
          <t>ok</t>
        </is>
      </c>
      <c r="BA300" t="inlineStr"/>
      <c r="BB300" t="inlineStr">
        <is>
          <t>Assets/MachineBrigade/Resources/Data/balance.json: weapons[id=stealth_payload] (lớp B trên 01_chien_dau/Vu_khi)</t>
        </is>
      </c>
      <c r="BC300" t="inlineStr"/>
    </row>
    <row r="301">
      <c r="A301" t="inlineStr">
        <is>
          <t>stinger_atas</t>
        </is>
      </c>
      <c r="B301" t="n">
        <v>2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</v>
      </c>
      <c r="G301">
        <f>IF(Vu_khi!$S$301&gt;0,(Vu_khi!$S$301-1)*Vu_khi!$R$301+Vu_khi!$T$301,Vu_khi!$R$301+(Vu_khi!$P$301-1)*Vu_khi!$Q$301)</f>
        <v/>
      </c>
      <c r="H301" t="n">
        <v>9.07</v>
      </c>
      <c r="I301">
        <f>Vu_khi!$W$301*MAX(1,$E$301)</f>
        <v/>
      </c>
      <c r="J301" t="n">
        <v>178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19.62513781697905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0</v>
      </c>
      <c r="S301">
        <f>AND(NOT(Vu_khi!$AJ$301),OR(Vu_khi!$AC$301="Air",Vu_khi!$AC$301="All"))</f>
        <v/>
      </c>
      <c r="T301" t="b">
        <v>1</v>
      </c>
      <c r="U301">
        <f>INDEX(Bang_sat_thuong!$B$2:$B$7,MATCH(Vu_khi!$K$301,Bang_sat_thuong!$A$2:$A$7,0))</f>
        <v/>
      </c>
      <c r="V301" t="n">
        <v>0.5</v>
      </c>
      <c r="W301">
        <f>INDEX(Bang_sat_thuong!$C$2:$C$7,MATCH(Vu_khi!$K$301,Bang_sat_thuong!$A$2:$A$7,0))</f>
        <v/>
      </c>
      <c r="X301" t="n">
        <v>1.3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0.1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0</v>
      </c>
      <c r="AK301">
        <f>IF($Q$301,$M$301*$AC$301*$U$301,0)</f>
        <v/>
      </c>
      <c r="AL301" t="n">
        <v>0</v>
      </c>
      <c r="AM301">
        <f>IF($Q$301,$M$301*$AE$301*$U$301,0)</f>
        <v/>
      </c>
      <c r="AN301" t="n">
        <v>0</v>
      </c>
      <c r="AO301">
        <f>IF($Q$301,$M$301*$AC$301*$Y$301,0)</f>
        <v/>
      </c>
      <c r="AP301" t="n">
        <v>0</v>
      </c>
      <c r="AQ301">
        <f>IF($S$301,$M$301*$AG$301*$W$301,0)</f>
        <v/>
      </c>
      <c r="AR301" t="n">
        <v>25.51267916207277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2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inlineStr"/>
      <c r="AZ301" t="inlineStr">
        <is>
          <t>ok</t>
        </is>
      </c>
      <c r="BA301" t="inlineStr"/>
      <c r="BB301" t="inlineStr">
        <is>
          <t>Assets/MachineBrigade/Resources/Data/balance.json: weapons[id=stinger_atas] (lớp B trên 01_chien_dau/Vu_khi)</t>
        </is>
      </c>
      <c r="BC301" t="inlineStr"/>
    </row>
    <row r="302">
      <c r="A302" t="inlineStr">
        <is>
          <t>stinger_post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4.452</v>
      </c>
      <c r="I302">
        <f>Vu_khi!$W$302*MAX(1,$E$302)</f>
        <v/>
      </c>
      <c r="J302" t="n">
        <v>170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38.18508535489668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0.5</v>
      </c>
      <c r="W302">
        <f>INDEX(Bang_sat_thuong!$C$2:$C$7,MATCH(Vu_khi!$K$302,Bang_sat_thuong!$A$2:$A$7,0))</f>
        <v/>
      </c>
      <c r="X302" t="n">
        <v>1.3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0.85</v>
      </c>
      <c r="AE302">
        <f>INDEX(Bang_xuyen_giap!$C$2:$C$7,MIN(6,MAX(1,IF($O$302,MAX(1,2-(Vu_khi!$L$302-4)),2-(Vu_khi!$L$302-4))+1)))</f>
        <v/>
      </c>
      <c r="AF302" t="n">
        <v>0.25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0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IF($Q$302,$M$302*$AC$302*$Y$302,0)</f>
        <v/>
      </c>
      <c r="AP302" t="n">
        <v>0</v>
      </c>
      <c r="AQ302">
        <f>IF($S$302,$M$302*$AG$302*$W$302,0)</f>
        <v/>
      </c>
      <c r="AR302" t="n">
        <v>49.64061096136568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n">
        <v>1.484</v>
      </c>
      <c r="AZ302" t="inlineStr">
        <is>
          <t>ok</t>
        </is>
      </c>
      <c r="BA302" t="inlineStr"/>
      <c r="BB302" t="inlineStr">
        <is>
          <t>Assets/MachineBrigade/Resources/Data/balance.json: weapons[id=stinger_post] (lớp B trên 01_chien_dau/Vu_khi)</t>
        </is>
      </c>
      <c r="BC302" t="inlineStr"/>
    </row>
    <row r="303">
      <c r="A303" t="inlineStr">
        <is>
          <t>swarm_drones</t>
        </is>
      </c>
      <c r="B303" t="n">
        <v>2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3.3</v>
      </c>
      <c r="I303">
        <f>Vu_khi!$W$303*MAX(1,$E$303)</f>
        <v/>
      </c>
      <c r="J303" t="n">
        <v>140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42.42424242424243</v>
      </c>
      <c r="O303">
        <f>OR(Vu_khi!$AG$303,Vu_khi!$AB$303&gt;0,Vu_khi!$AH$303,Vu_khi!$M$303="Bomb",Vu_khi!$M$303="Drone")</f>
        <v/>
      </c>
      <c r="P303" t="b">
        <v>1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0.6</v>
      </c>
      <c r="AA303">
        <f>INDEX(Bang_xuyen_giap!$C$2:$C$7,MIN(6,MAX(1,IF($O$303,MAX(1,2-(Vu_khi!$L$303-0)),2-(Vu_khi!$L$303-0))+1)))</f>
        <v/>
      </c>
      <c r="AB303" t="n">
        <v>1</v>
      </c>
      <c r="AC303">
        <f>INDEX(Bang_xuyen_giap!$C$2:$C$7,MIN(6,MAX(1,IF($O$303,MAX(1,2-(Vu_khi!$L$303-2)),2-(Vu_khi!$L$303-2))+1)))</f>
        <v/>
      </c>
      <c r="AD303" t="n">
        <v>1</v>
      </c>
      <c r="AE303">
        <f>INDEX(Bang_xuyen_giap!$C$2:$C$7,MIN(6,MAX(1,IF($O$303,MAX(1,2-(Vu_khi!$L$303-4)),2-(Vu_khi!$L$303-4))+1)))</f>
        <v/>
      </c>
      <c r="AF303" t="n">
        <v>0.5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42.42424242424243</v>
      </c>
      <c r="AK303">
        <f>IF($Q$303,$M$303*$AC$303*$U$303,0)</f>
        <v/>
      </c>
      <c r="AL303" t="n">
        <v>42.42424242424243</v>
      </c>
      <c r="AM303">
        <f>IF($Q$303,$M$303*$AE$303*$U$303,0)</f>
        <v/>
      </c>
      <c r="AN303" t="n">
        <v>21.21212121212121</v>
      </c>
      <c r="AO303">
        <f>IF($Q$303,$M$303*$AC$303*$Y$303,0)</f>
        <v/>
      </c>
      <c r="AP303" t="n">
        <v>25.45454545454546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0</v>
      </c>
      <c r="AU303">
        <f>IF(AND($B$303&lt;0,$AS$303),4,$B$303)</f>
        <v/>
      </c>
      <c r="AV303" t="n">
        <v>2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0</v>
      </c>
      <c r="AY303" t="inlineStr"/>
      <c r="AZ303" t="inlineStr">
        <is>
          <t>ok</t>
        </is>
      </c>
      <c r="BA303" t="inlineStr"/>
      <c r="BB303" t="inlineStr">
        <is>
          <t>Assets/MachineBrigade/Resources/Data/balance.json: weapons[id=swarm_drones] (lớp B trên 01_chien_dau/Vu_khi)</t>
        </is>
      </c>
      <c r="BC303" t="inlineStr"/>
    </row>
    <row r="304">
      <c r="A304" t="inlineStr">
        <is>
          <t>tamir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3.5</v>
      </c>
      <c r="I304">
        <f>Vu_khi!$W$304*MAX(1,$E$304)</f>
        <v/>
      </c>
      <c r="J304" t="n">
        <v>110</v>
      </c>
      <c r="K304">
        <f>IF(Vu_khi!$V$304&gt;0,Vu_khi!$V$304,MIN(28,MAX(10,Vu_khi!$U$304*Vu_khi!$R$304*0.4)))</f>
        <v/>
      </c>
      <c r="L304" t="n">
        <v>20</v>
      </c>
      <c r="M304">
        <f>IF(Vu_khi!$W$304&lt;=0,0,IF(Vu_khi!$U$304&gt;0,$I$304*Vu_khi!$U$304/(MAX(0.05,$G$304)*Vu_khi!$U$304+$K$304),$I$304/MAX(0.05,$G$304)))</f>
        <v/>
      </c>
      <c r="N304" t="n">
        <v>16.09756097560976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0</v>
      </c>
      <c r="S304">
        <f>AND(NOT(Vu_khi!$AJ$304),OR(Vu_khi!$AC$304="Air",Vu_khi!$AC$304="All"))</f>
        <v/>
      </c>
      <c r="T304" t="b">
        <v>1</v>
      </c>
      <c r="U304">
        <f>INDEX(Bang_sat_thuong!$B$2:$B$7,MATCH(Vu_khi!$K$304,Bang_sat_thuong!$A$2:$A$7,0))</f>
        <v/>
      </c>
      <c r="V304" t="n">
        <v>0.5</v>
      </c>
      <c r="W304">
        <f>INDEX(Bang_sat_thuong!$C$2:$C$7,MATCH(Vu_khi!$K$304,Bang_sat_thuong!$A$2:$A$7,0))</f>
        <v/>
      </c>
      <c r="X304" t="n">
        <v>1.3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0.1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0.85</v>
      </c>
      <c r="AE304">
        <f>INDEX(Bang_xuyen_giap!$C$2:$C$7,MIN(6,MAX(1,IF($O$304,MAX(1,2-(Vu_khi!$L$304-4)),2-(Vu_khi!$L$304-4))+1)))</f>
        <v/>
      </c>
      <c r="AF304" t="n">
        <v>0.25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0</v>
      </c>
      <c r="AK304">
        <f>IF($Q$304,$M$304*$AC$304*$U$304,0)</f>
        <v/>
      </c>
      <c r="AL304" t="n">
        <v>0</v>
      </c>
      <c r="AM304">
        <f>IF($Q$304,$M$304*$AE$304*$U$304,0)</f>
        <v/>
      </c>
      <c r="AN304" t="n">
        <v>0</v>
      </c>
      <c r="AO304">
        <f>IF($Q$304,$M$304*$AC$304*$Y$304,0)</f>
        <v/>
      </c>
      <c r="AP304" t="n">
        <v>0</v>
      </c>
      <c r="AQ304">
        <f>IF($S$304,$M$304*$AG$304*$W$304,0)</f>
        <v/>
      </c>
      <c r="AR304" t="n">
        <v>20.92682926829269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6.833333</v>
      </c>
      <c r="AZ304" t="inlineStr">
        <is>
          <t>CHAM_QUA</t>
        </is>
      </c>
      <c r="BA304" t="inlineStr"/>
      <c r="BB304" t="inlineStr">
        <is>
          <t>Assets/MachineBrigade/Resources/Data/balance.json: weapons[id=tamir] (lớp B trên 01_chien_dau/Vu_khi)</t>
        </is>
      </c>
      <c r="BC304" t="inlineStr"/>
    </row>
    <row r="305">
      <c r="A305" t="inlineStr">
        <is>
          <t>technical_rockets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5</v>
      </c>
      <c r="G305">
        <f>IF(Vu_khi!$S$305&gt;0,(Vu_khi!$S$305-1)*Vu_khi!$R$305+Vu_khi!$T$305,Vu_khi!$R$305+(Vu_khi!$P$305-1)*Vu_khi!$Q$305)</f>
        <v/>
      </c>
      <c r="H305" t="n">
        <v>7.6</v>
      </c>
      <c r="I305">
        <f>Vu_khi!$W$305*MAX(1,$E$305)</f>
        <v/>
      </c>
      <c r="J305" t="n">
        <v>247.5</v>
      </c>
      <c r="K305">
        <f>IF(Vu_khi!$V$305&gt;0,Vu_khi!$V$305,MIN(28,MAX(10,Vu_khi!$U$305*Vu_khi!$R$305*0.4)))</f>
        <v/>
      </c>
      <c r="L305" t="n">
        <v>18</v>
      </c>
      <c r="M305">
        <f>IF(Vu_khi!$W$305&lt;=0,0,IF(Vu_khi!$U$305&gt;0,$I$305*Vu_khi!$U$305/(MAX(0.05,$G$305)*Vu_khi!$U$305+$K$305),$I$305/MAX(0.05,$G$305)))</f>
        <v/>
      </c>
      <c r="N305" t="n">
        <v>23.34905660377359</v>
      </c>
      <c r="O305">
        <f>OR(Vu_khi!$AG$305,Vu_khi!$AB$305&gt;0,Vu_khi!$AH$305,Vu_khi!$M$305="Bomb",Vu_khi!$M$305="Drone")</f>
        <v/>
      </c>
      <c r="P305" t="b">
        <v>1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1.5</v>
      </c>
      <c r="AA305">
        <f>INDEX(Bang_xuyen_giap!$C$2:$C$7,MIN(6,MAX(1,IF($O$305,MAX(1,2-(Vu_khi!$L$305-0)),2-(Vu_khi!$L$305-0))+1)))</f>
        <v/>
      </c>
      <c r="AB305" t="n">
        <v>1</v>
      </c>
      <c r="AC305">
        <f>INDEX(Bang_xuyen_giap!$C$2:$C$7,MIN(6,MAX(1,IF($O$305,MAX(1,2-(Vu_khi!$L$305-2)),2-(Vu_khi!$L$305-2))+1)))</f>
        <v/>
      </c>
      <c r="AD305" t="n">
        <v>0.85</v>
      </c>
      <c r="AE305">
        <f>INDEX(Bang_xuyen_giap!$C$2:$C$7,MIN(6,MAX(1,IF($O$305,MAX(1,2-(Vu_khi!$L$305-4)),2-(Vu_khi!$L$305-4))+1)))</f>
        <v/>
      </c>
      <c r="AF305" t="n">
        <v>0.25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23.34905660377359</v>
      </c>
      <c r="AK305">
        <f>IF($Q$305,$M$305*$AC$305*$U$305,0)</f>
        <v/>
      </c>
      <c r="AL305" t="n">
        <v>19.84669811320755</v>
      </c>
      <c r="AM305">
        <f>IF($Q$305,$M$305*$AE$305*$U$305,0)</f>
        <v/>
      </c>
      <c r="AN305" t="n">
        <v>5.837264150943397</v>
      </c>
      <c r="AO305">
        <f>IF($Q$305,$M$305*$AC$305*$Y$305,0)</f>
        <v/>
      </c>
      <c r="AP305" t="n">
        <v>29.77004716981132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n">
        <v>0.833333</v>
      </c>
      <c r="AZ305" t="inlineStr">
        <is>
          <t>ok</t>
        </is>
      </c>
      <c r="BA305" t="inlineStr"/>
      <c r="BB305" t="inlineStr">
        <is>
          <t>Assets/MachineBrigade/Resources/Data/balance.json: weapons[id=technical_rockets] (lớp B trên 01_chien_dau/Vu_khi)</t>
        </is>
      </c>
      <c r="BC305" t="inlineStr"/>
    </row>
    <row r="306">
      <c r="A306" t="inlineStr">
        <is>
          <t>thermobaric_rockets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9</v>
      </c>
      <c r="G306">
        <f>IF(Vu_khi!$S$306&gt;0,(Vu_khi!$S$306-1)*Vu_khi!$R$306+Vu_khi!$T$306,Vu_khi!$R$306+(Vu_khi!$P$306-1)*Vu_khi!$Q$306)</f>
        <v/>
      </c>
      <c r="H306" t="n">
        <v>12.95</v>
      </c>
      <c r="I306">
        <f>Vu_khi!$W$306*MAX(1,$E$306)</f>
        <v/>
      </c>
      <c r="J306" t="n">
        <v>873</v>
      </c>
      <c r="K306">
        <f>IF(Vu_khi!$V$306&gt;0,Vu_khi!$V$306,MIN(28,MAX(10,Vu_khi!$U$306*Vu_khi!$R$306*0.4)))</f>
        <v/>
      </c>
      <c r="L306" t="n">
        <v>21.67</v>
      </c>
      <c r="M306">
        <f>IF(Vu_khi!$W$306&lt;=0,0,IF(Vu_khi!$U$306&gt;0,$I$306*Vu_khi!$U$306/(MAX(0.05,$G$306)*Vu_khi!$U$306+$K$306),$I$306/MAX(0.05,$G$306)))</f>
        <v/>
      </c>
      <c r="N306" t="n">
        <v>47.52960391996734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2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1</v>
      </c>
      <c r="AE306">
        <f>INDEX(Bang_xuyen_giap!$C$2:$C$7,MIN(6,MAX(1,IF($O$306,MAX(1,2-(Vu_khi!$L$306-4)),2-(Vu_khi!$L$306-4))+1)))</f>
        <v/>
      </c>
      <c r="AF306" t="n">
        <v>0.5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47.52960391996734</v>
      </c>
      <c r="AK306">
        <f>IF($Q$306,$M$306*$AC$306*$U$306,0)</f>
        <v/>
      </c>
      <c r="AL306" t="n">
        <v>47.52960391996734</v>
      </c>
      <c r="AM306">
        <f>IF($Q$306,$M$306*$AE$306*$U$306,0)</f>
        <v/>
      </c>
      <c r="AN306" t="n">
        <v>23.76480195998367</v>
      </c>
      <c r="AO306">
        <f>IF($Q$306,$M$306*$AC$306*$Y$306,0)</f>
        <v/>
      </c>
      <c r="AP306" t="n">
        <v>95.05920783993467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1.2</v>
      </c>
      <c r="AZ306" t="inlineStr">
        <is>
          <t>ok</t>
        </is>
      </c>
      <c r="BA306" t="inlineStr"/>
      <c r="BB306" t="inlineStr">
        <is>
          <t>Assets/MachineBrigade/Resources/Data/balance.json: weapons[id=thermobaric_rockets] (lớp B trên 01_chien_dau/Vu_khi)</t>
        </is>
      </c>
      <c r="BC306" t="inlineStr"/>
    </row>
    <row r="307">
      <c r="A307" t="inlineStr">
        <is>
          <t>tower_ac25</t>
        </is>
      </c>
      <c r="B307" t="n">
        <v>1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10</v>
      </c>
      <c r="G307">
        <f>IF(Vu_khi!$S$307&gt;0,(Vu_khi!$S$307-1)*Vu_khi!$R$307+Vu_khi!$T$307,Vu_khi!$R$307+(Vu_khi!$P$307-1)*Vu_khi!$Q$307)</f>
        <v/>
      </c>
      <c r="H307" t="n">
        <v>2.55</v>
      </c>
      <c r="I307">
        <f>Vu_khi!$W$307*MAX(1,$E$307)</f>
        <v/>
      </c>
      <c r="J307" t="n">
        <v>170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66.66666666666667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0.3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0.6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0.85</v>
      </c>
      <c r="AE307">
        <f>INDEX(Bang_xuyen_giap!$C$2:$C$7,MIN(6,MAX(1,IF($O$307,MAX(1,2-(Vu_khi!$L$307-4)),2-(Vu_khi!$L$307-4))+1)))</f>
        <v/>
      </c>
      <c r="AF307" t="n">
        <v>0.25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80</v>
      </c>
      <c r="AK307">
        <f>IF($Q$307,$M$307*$AC$307*$U$307,0)</f>
        <v/>
      </c>
      <c r="AL307" t="n">
        <v>56.66666666666667</v>
      </c>
      <c r="AM307">
        <f>IF($Q$307,$M$307*$AE$307*$U$307,0)</f>
        <v/>
      </c>
      <c r="AN307" t="n">
        <v>16.66666666666667</v>
      </c>
      <c r="AO307">
        <f>IF($Q$307,$M$307*$AC$307*$Y$307,0)</f>
        <v/>
      </c>
      <c r="AP307" t="n">
        <v>34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1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2.125</v>
      </c>
      <c r="AZ307" t="inlineStr">
        <is>
          <t>ok</t>
        </is>
      </c>
      <c r="BA307" t="inlineStr"/>
      <c r="BB307" t="inlineStr">
        <is>
          <t>Assets/MachineBrigade/Resources/Data/balance.json: weapons[id=tower_ac25] (lớp B trên 01_chien_dau/Vu_khi)</t>
        </is>
      </c>
      <c r="BC307" t="inlineStr"/>
    </row>
    <row r="308">
      <c r="A308" t="inlineStr">
        <is>
          <t>tower_ac25_flak</t>
        </is>
      </c>
      <c r="B308" t="n">
        <v>1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10</v>
      </c>
      <c r="G308">
        <f>IF(Vu_khi!$S$308&gt;0,(Vu_khi!$S$308-1)*Vu_khi!$R$308+Vu_khi!$T$308,Vu_khi!$R$308+(Vu_khi!$P$308-1)*Vu_khi!$Q$308)</f>
        <v/>
      </c>
      <c r="H308" t="n">
        <v>2.55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66.66666666666667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0.5</v>
      </c>
      <c r="W308">
        <f>INDEX(Bang_sat_thuong!$C$2:$C$7,MATCH(Vu_khi!$K$308,Bang_sat_thuong!$A$2:$A$7,0))</f>
        <v/>
      </c>
      <c r="X308" t="n">
        <v>1.3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INDEX(Bang_xuyen_giap!$C$2:$C$7,MIN(6,MAX(1,IF($O$308,MAX(1,2-(Vu_khi!$L$308-0)),2-(Vu_khi!$L$308-0))+1)))</f>
        <v/>
      </c>
      <c r="AB308" t="n">
        <v>1</v>
      </c>
      <c r="AC308">
        <f>INDEX(Bang_xuyen_giap!$C$2:$C$7,MIN(6,MAX(1,IF($O$308,MAX(1,2-(Vu_khi!$L$308-2)),2-(Vu_khi!$L$308-2))+1)))</f>
        <v/>
      </c>
      <c r="AD308" t="n">
        <v>0.5</v>
      </c>
      <c r="AE308">
        <f>INDEX(Bang_xuyen_giap!$C$2:$C$7,MIN(6,MAX(1,IF($O$308,MAX(1,2-(Vu_khi!$L$308-4)),2-(Vu_khi!$L$308-4))+1)))</f>
        <v/>
      </c>
      <c r="AF308" t="n">
        <v>0.1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0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IF($Q$308,$M$308*$AC$308*$Y$308,0)</f>
        <v/>
      </c>
      <c r="AP308" t="n">
        <v>0</v>
      </c>
      <c r="AQ308">
        <f>IF($S$308,$M$308*$AG$308*$W$308,0)</f>
        <v/>
      </c>
      <c r="AR308" t="n">
        <v>86.66666666666667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1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BB308" t="inlineStr">
        <is>
          <t>Assets/MachineBrigade/Resources/Data/balance.json: weapons[id=tower_ac25_flak] (lớp B trên 01_chien_dau/Vu_khi)</t>
        </is>
      </c>
      <c r="BC308" t="inlineStr"/>
    </row>
    <row r="309">
      <c r="A309" t="inlineStr">
        <is>
          <t>tower_agl</t>
        </is>
      </c>
      <c r="B309" t="n">
        <v>1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6</v>
      </c>
      <c r="G309">
        <f>IF(Vu_khi!$S$309&gt;0,(Vu_khi!$S$309-1)*Vu_khi!$R$309+Vu_khi!$T$309,Vu_khi!$R$309+(Vu_khi!$P$309-1)*Vu_khi!$Q$309)</f>
        <v/>
      </c>
      <c r="H309" t="n">
        <v>5.3</v>
      </c>
      <c r="I309">
        <f>Vu_khi!$W$309*MAX(1,$E$309)</f>
        <v/>
      </c>
      <c r="J309" t="n">
        <v>156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29.43396226415095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0</v>
      </c>
      <c r="U309">
        <f>INDEX(Bang_sat_thuong!$B$2:$B$7,MATCH(Vu_khi!$K$309,Bang_sat_thuong!$A$2:$A$7,0))</f>
        <v/>
      </c>
      <c r="V309" t="n">
        <v>1</v>
      </c>
      <c r="W309">
        <f>INDEX(Bang_sat_thuong!$C$2:$C$7,MATCH(Vu_khi!$K$309,Bang_sat_thuong!$A$2:$A$7,0))</f>
        <v/>
      </c>
      <c r="X309" t="n">
        <v>0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1.5</v>
      </c>
      <c r="AA309">
        <f>INDEX(Bang_xuyen_giap!$C$2:$C$7,MIN(6,MAX(1,IF($O$309,MAX(1,2-(Vu_khi!$L$309-0)),2-(Vu_khi!$L$309-0))+1)))</f>
        <v/>
      </c>
      <c r="AB309" t="n">
        <v>1.2</v>
      </c>
      <c r="AC309">
        <f>INDEX(Bang_xuyen_giap!$C$2:$C$7,MIN(6,MAX(1,IF($O$309,MAX(1,2-(Vu_khi!$L$309-2)),2-(Vu_khi!$L$309-2))+1)))</f>
        <v/>
      </c>
      <c r="AD309" t="n">
        <v>0.85</v>
      </c>
      <c r="AE309">
        <f>INDEX(Bang_xuyen_giap!$C$2:$C$7,MIN(6,MAX(1,IF($O$309,MAX(1,2-(Vu_khi!$L$309-4)),2-(Vu_khi!$L$309-4))+1)))</f>
        <v/>
      </c>
      <c r="AF309" t="n">
        <v>0.25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35.32075471698113</v>
      </c>
      <c r="AK309">
        <f>IF($Q$309,$M$309*$AC$309*$U$309,0)</f>
        <v/>
      </c>
      <c r="AL309" t="n">
        <v>25.0188679245283</v>
      </c>
      <c r="AM309">
        <f>IF($Q$309,$M$309*$AE$309*$U$309,0)</f>
        <v/>
      </c>
      <c r="AN309" t="n">
        <v>7.358490566037736</v>
      </c>
      <c r="AO309">
        <f>IF($Q$309,$M$309*$AC$309*$Y$309,0)</f>
        <v/>
      </c>
      <c r="AP309" t="n">
        <v>37.52830188679246</v>
      </c>
      <c r="AQ309">
        <f>IF($S$309,$M$309*$AG$309*$W$309,0)</f>
        <v/>
      </c>
      <c r="AR309" t="n">
        <v>0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1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5.520833</v>
      </c>
      <c r="AZ309" t="inlineStr">
        <is>
          <t>LECH_DOT_1</t>
        </is>
      </c>
      <c r="BA309" t="inlineStr"/>
      <c r="BB309" t="inlineStr">
        <is>
          <t>Assets/MachineBrigade/Resources/Data/balance.json: weapons[id=tower_agl] (lớp B trên 01_chien_dau/Vu_khi)</t>
        </is>
      </c>
      <c r="BC309" t="inlineStr"/>
    </row>
    <row r="310">
      <c r="A310" t="inlineStr">
        <is>
          <t>tower_flak_30</t>
        </is>
      </c>
      <c r="B310" t="n">
        <v>1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120</v>
      </c>
      <c r="G310">
        <f>IF(Vu_khi!$S$310&gt;0,(Vu_khi!$S$310-1)*Vu_khi!$R$310+Vu_khi!$T$310,Vu_khi!$R$310+(Vu_khi!$P$310-1)*Vu_khi!$Q$310)</f>
        <v/>
      </c>
      <c r="H310" t="n">
        <v>6.432</v>
      </c>
      <c r="I310">
        <f>Vu_khi!$W$310*MAX(1,$E$310)</f>
        <v/>
      </c>
      <c r="J310" t="n">
        <v>840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130.5970149253731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0.5</v>
      </c>
      <c r="W310">
        <f>INDEX(Bang_sat_thuong!$C$2:$C$7,MATCH(Vu_khi!$K$310,Bang_sat_thuong!$A$2:$A$7,0))</f>
        <v/>
      </c>
      <c r="X310" t="n">
        <v>1.3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INDEX(Bang_xuyen_giap!$C$2:$C$7,MIN(6,MAX(1,IF($O$310,MAX(1,2-(Vu_khi!$L$310-0)),2-(Vu_khi!$L$310-0))+1)))</f>
        <v/>
      </c>
      <c r="AB310" t="n">
        <v>1.2</v>
      </c>
      <c r="AC310">
        <f>INDEX(Bang_xuyen_giap!$C$2:$C$7,MIN(6,MAX(1,IF($O$310,MAX(1,2-(Vu_khi!$L$310-2)),2-(Vu_khi!$L$310-2))+1)))</f>
        <v/>
      </c>
      <c r="AD310" t="n">
        <v>0.85</v>
      </c>
      <c r="AE310">
        <f>INDEX(Bang_xuyen_giap!$C$2:$C$7,MIN(6,MAX(1,IF($O$310,MAX(1,2-(Vu_khi!$L$310-4)),2-(Vu_khi!$L$310-4))+1)))</f>
        <v/>
      </c>
      <c r="AF310" t="n">
        <v>0.25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78.35820895522387</v>
      </c>
      <c r="AK310">
        <f>IF($Q$310,$M$310*$AC$310*$U$310,0)</f>
        <v/>
      </c>
      <c r="AL310" t="n">
        <v>55.50373134328358</v>
      </c>
      <c r="AM310">
        <f>IF($Q$310,$M$310*$AE$310*$U$310,0)</f>
        <v/>
      </c>
      <c r="AN310" t="n">
        <v>16.32462686567164</v>
      </c>
      <c r="AO310">
        <f>IF($Q$310,$M$310*$AC$310*$Y$310,0)</f>
        <v/>
      </c>
      <c r="AP310" t="n">
        <v>11.10074626865672</v>
      </c>
      <c r="AQ310">
        <f>IF($S$310,$M$310*$AG$310*$W$310,0)</f>
        <v/>
      </c>
      <c r="AR310" t="n">
        <v>169.776119402985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1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4.466667</v>
      </c>
      <c r="AZ310" t="inlineStr">
        <is>
          <t>ok</t>
        </is>
      </c>
      <c r="BA310" t="inlineStr"/>
      <c r="BB310" t="inlineStr">
        <is>
          <t>Assets/MachineBrigade/Resources/Data/balance.json: weapons[id=tower_flak_30] (lớp B trên 01_chien_dau/Vu_khi)</t>
        </is>
      </c>
      <c r="BC310" t="inlineStr"/>
    </row>
    <row r="311">
      <c r="A311" t="inlineStr">
        <is>
          <t>tower_flak_30_ap</t>
        </is>
      </c>
      <c r="B311" t="n">
        <v>1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120</v>
      </c>
      <c r="G311">
        <f>IF(Vu_khi!$S$311&gt;0,(Vu_khi!$S$311-1)*Vu_khi!$R$311+Vu_khi!$T$311,Vu_khi!$R$311+(Vu_khi!$P$311-1)*Vu_khi!$Q$311)</f>
        <v/>
      </c>
      <c r="H311" t="n">
        <v>6.432</v>
      </c>
      <c r="I311">
        <f>Vu_khi!$W$311*MAX(1,$E$311)</f>
        <v/>
      </c>
      <c r="J311" t="n">
        <v>840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130.5970149253731</v>
      </c>
      <c r="O311">
        <f>OR(Vu_khi!$AG$311,Vu_khi!$AB$311&gt;0,Vu_khi!$AH$311,Vu_khi!$M$311="Bomb",Vu_khi!$M$311="Drone")</f>
        <v/>
      </c>
      <c r="P311" t="b">
        <v>0</v>
      </c>
      <c r="Q311">
        <f>AND(NOT(Vu_khi!$AJ$311),OR(Vu_khi!$AC$311="Ground",Vu_khi!$AC$311="All"))</f>
        <v/>
      </c>
      <c r="R311" t="b">
        <v>1</v>
      </c>
      <c r="S311">
        <f>AND(NOT(Vu_khi!$AJ$311),OR(Vu_khi!$AC$311="Air",Vu_khi!$AC$311="All"))</f>
        <v/>
      </c>
      <c r="T311" t="b">
        <v>0</v>
      </c>
      <c r="U311">
        <f>INDEX(Bang_sat_thuong!$B$2:$B$7,MATCH(Vu_khi!$K$311,Bang_sat_thuong!$A$2:$A$7,0))</f>
        <v/>
      </c>
      <c r="V311" t="n">
        <v>1</v>
      </c>
      <c r="W311">
        <f>INDEX(Bang_sat_thuong!$C$2:$C$7,MATCH(Vu_khi!$K$311,Bang_sat_thuong!$A$2:$A$7,0))</f>
        <v/>
      </c>
      <c r="X311" t="n">
        <v>0.3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0.6</v>
      </c>
      <c r="AA311">
        <f>INDEX(Bang_xuyen_giap!$C$2:$C$7,MIN(6,MAX(1,IF($O$311,MAX(1,2-(Vu_khi!$L$311-0)),2-(Vu_khi!$L$311-0))+1)))</f>
        <v/>
      </c>
      <c r="AB311" t="n">
        <v>1.2</v>
      </c>
      <c r="AC311">
        <f>INDEX(Bang_xuyen_giap!$C$2:$C$7,MIN(6,MAX(1,IF($O$311,MAX(1,2-(Vu_khi!$L$311-2)),2-(Vu_khi!$L$311-2))+1)))</f>
        <v/>
      </c>
      <c r="AD311" t="n">
        <v>0.85</v>
      </c>
      <c r="AE311">
        <f>INDEX(Bang_xuyen_giap!$C$2:$C$7,MIN(6,MAX(1,IF($O$311,MAX(1,2-(Vu_khi!$L$311-4)),2-(Vu_khi!$L$311-4))+1)))</f>
        <v/>
      </c>
      <c r="AF311" t="n">
        <v>0.25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156.7164179104477</v>
      </c>
      <c r="AK311">
        <f>IF($Q$311,$M$311*$AC$311*$U$311,0)</f>
        <v/>
      </c>
      <c r="AL311" t="n">
        <v>111.0074626865672</v>
      </c>
      <c r="AM311">
        <f>IF($Q$311,$M$311*$AE$311*$U$311,0)</f>
        <v/>
      </c>
      <c r="AN311" t="n">
        <v>32.64925373134328</v>
      </c>
      <c r="AO311">
        <f>IF($Q$311,$M$311*$AC$311*$Y$311,0)</f>
        <v/>
      </c>
      <c r="AP311" t="n">
        <v>66.6044776119403</v>
      </c>
      <c r="AQ311">
        <f>IF($S$311,$M$311*$AG$311*$W$311,0)</f>
        <v/>
      </c>
      <c r="AR311" t="n">
        <v>0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1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BB311" t="inlineStr">
        <is>
          <t>Assets/MachineBrigade/Resources/Data/balance.json: weapons[id=tower_flak_30_ap] (lớp B trên 01_chien_dau/Vu_khi)</t>
        </is>
      </c>
      <c r="BC311" t="inlineStr"/>
    </row>
    <row r="312">
      <c r="A312" t="inlineStr">
        <is>
          <t>tower_hmg</t>
        </is>
      </c>
      <c r="B312" t="n">
        <v>0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100</v>
      </c>
      <c r="G312">
        <f>IF(Vu_khi!$S$312&gt;0,(Vu_khi!$S$312-1)*Vu_khi!$R$312+Vu_khi!$T$312,Vu_khi!$R$312+(Vu_khi!$P$312-1)*Vu_khi!$Q$312)</f>
        <v/>
      </c>
      <c r="H312" t="n">
        <v>12.5</v>
      </c>
      <c r="I312">
        <f>Vu_khi!$W$312*MAX(1,$E$312)</f>
        <v/>
      </c>
      <c r="J312" t="n">
        <v>950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76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1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1</v>
      </c>
      <c r="W312">
        <f>INDEX(Bang_sat_thuong!$C$2:$C$7,MATCH(Vu_khi!$K$312,Bang_sat_thuong!$A$2:$A$7,0))</f>
        <v/>
      </c>
      <c r="X312" t="n">
        <v>0.3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0.6</v>
      </c>
      <c r="AA312">
        <f>INDEX(Bang_xuyen_giap!$C$2:$C$7,MIN(6,MAX(1,IF($O$312,MAX(1,2-(Vu_khi!$L$312-0)),2-(Vu_khi!$L$312-0))+1)))</f>
        <v/>
      </c>
      <c r="AB312" t="n">
        <v>1</v>
      </c>
      <c r="AC312">
        <f>INDEX(Bang_xuyen_giap!$C$2:$C$7,MIN(6,MAX(1,IF($O$312,MAX(1,2-(Vu_khi!$L$312-2)),2-(Vu_khi!$L$312-2))+1)))</f>
        <v/>
      </c>
      <c r="AD312" t="n">
        <v>0.5</v>
      </c>
      <c r="AE312">
        <f>INDEX(Bang_xuyen_giap!$C$2:$C$7,MIN(6,MAX(1,IF($O$312,MAX(1,2-(Vu_khi!$L$312-4)),2-(Vu_khi!$L$312-4))+1)))</f>
        <v/>
      </c>
      <c r="AF312" t="n">
        <v>0.1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76</v>
      </c>
      <c r="AK312">
        <f>IF($Q$312,$M$312*$AC$312*$U$312,0)</f>
        <v/>
      </c>
      <c r="AL312" t="n">
        <v>38</v>
      </c>
      <c r="AM312">
        <f>IF($Q$312,$M$312*$AE$312*$U$312,0)</f>
        <v/>
      </c>
      <c r="AN312" t="n">
        <v>7.600000000000001</v>
      </c>
      <c r="AO312">
        <f>IF($Q$312,$M$312*$AC$312*$Y$312,0)</f>
        <v/>
      </c>
      <c r="AP312" t="n">
        <v>22.8</v>
      </c>
      <c r="AQ312">
        <f>IF($S$312,$M$312*$AG$312*$W$312,0)</f>
        <v/>
      </c>
      <c r="AR312" t="n">
        <v>22.8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0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1.25</v>
      </c>
      <c r="AZ312" t="inlineStr">
        <is>
          <t>ok</t>
        </is>
      </c>
      <c r="BA312" t="inlineStr"/>
      <c r="BB312" t="inlineStr">
        <is>
          <t>Assets/MachineBrigade/Resources/Data/balance.json: weapons[id=tower_hmg] (lớp B trên 01_chien_dau/Vu_khi)</t>
        </is>
      </c>
      <c r="BC312" t="inlineStr"/>
    </row>
    <row r="313">
      <c r="A313" t="inlineStr">
        <is>
          <t>tower_hmg_api</t>
        </is>
      </c>
      <c r="B313" t="n">
        <v>0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100</v>
      </c>
      <c r="G313">
        <f>IF(Vu_khi!$S$313&gt;0,(Vu_khi!$S$313-1)*Vu_khi!$R$313+Vu_khi!$T$313,Vu_khi!$R$313+(Vu_khi!$P$313-1)*Vu_khi!$Q$313)</f>
        <v/>
      </c>
      <c r="H313" t="n">
        <v>12.5</v>
      </c>
      <c r="I313">
        <f>Vu_khi!$W$313*MAX(1,$E$313)</f>
        <v/>
      </c>
      <c r="J313" t="n">
        <v>950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76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1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1</v>
      </c>
      <c r="W313">
        <f>INDEX(Bang_sat_thuong!$C$2:$C$7,MATCH(Vu_khi!$K$313,Bang_sat_thuong!$A$2:$A$7,0))</f>
        <v/>
      </c>
      <c r="X313" t="n">
        <v>0.3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0.6</v>
      </c>
      <c r="AA313">
        <f>INDEX(Bang_xuyen_giap!$C$2:$C$7,MIN(6,MAX(1,IF($O$313,MAX(1,2-(Vu_khi!$L$313-0)),2-(Vu_khi!$L$313-0))+1)))</f>
        <v/>
      </c>
      <c r="AB313" t="n">
        <v>1.2</v>
      </c>
      <c r="AC313">
        <f>INDEX(Bang_xuyen_giap!$C$2:$C$7,MIN(6,MAX(1,IF($O$313,MAX(1,2-(Vu_khi!$L$313-2)),2-(Vu_khi!$L$313-2))+1)))</f>
        <v/>
      </c>
      <c r="AD313" t="n">
        <v>0.85</v>
      </c>
      <c r="AE313">
        <f>INDEX(Bang_xuyen_giap!$C$2:$C$7,MIN(6,MAX(1,IF($O$313,MAX(1,2-(Vu_khi!$L$313-4)),2-(Vu_khi!$L$313-4))+1)))</f>
        <v/>
      </c>
      <c r="AF313" t="n">
        <v>0.25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91.2</v>
      </c>
      <c r="AK313">
        <f>IF($Q$313,$M$313*$AC$313*$U$313,0)</f>
        <v/>
      </c>
      <c r="AL313" t="n">
        <v>64.59999999999999</v>
      </c>
      <c r="AM313">
        <f>IF($Q$313,$M$313*$AE$313*$U$313,0)</f>
        <v/>
      </c>
      <c r="AN313" t="n">
        <v>19</v>
      </c>
      <c r="AO313">
        <f>IF($Q$313,$M$313*$AC$313*$Y$313,0)</f>
        <v/>
      </c>
      <c r="AP313" t="n">
        <v>38.76</v>
      </c>
      <c r="AQ313">
        <f>IF($S$313,$M$313*$AG$313*$W$313,0)</f>
        <v/>
      </c>
      <c r="AR313" t="n">
        <v>22.8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0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BB313" t="inlineStr">
        <is>
          <t>Assets/MachineBrigade/Resources/Data/balance.json: weapons[id=tower_hmg_api] (lớp B trên 01_chien_dau/Vu_khi)</t>
        </is>
      </c>
      <c r="BC313" t="inlineStr"/>
    </row>
    <row r="314">
      <c r="A314" t="inlineStr">
        <is>
          <t>tower_kornet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5.55</v>
      </c>
      <c r="I314">
        <f>Vu_khi!$W$314*MAX(1,$E$314)</f>
        <v/>
      </c>
      <c r="J314" t="n">
        <v>460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82.88288288288288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0.6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1.2</v>
      </c>
      <c r="AE314">
        <f>INDEX(Bang_xuyen_giap!$C$2:$C$7,MIN(6,MAX(1,IF($O$314,MAX(1,2-(Vu_khi!$L$314-4)),2-(Vu_khi!$L$314-4))+1)))</f>
        <v/>
      </c>
      <c r="AF314" t="n">
        <v>0.85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99.45945945945945</v>
      </c>
      <c r="AK314">
        <f>IF($Q$314,$M$314*$AC$314*$U$314,0)</f>
        <v/>
      </c>
      <c r="AL314" t="n">
        <v>99.45945945945945</v>
      </c>
      <c r="AM314">
        <f>IF($Q$314,$M$314*$AE$314*$U$314,0)</f>
        <v/>
      </c>
      <c r="AN314" t="n">
        <v>70.45045045045045</v>
      </c>
      <c r="AO314">
        <f>IF($Q$314,$M$314*$AC$314*$Y$314,0)</f>
        <v/>
      </c>
      <c r="AP314" t="n">
        <v>59.67567567567567</v>
      </c>
      <c r="AQ314">
        <f>IF($S$314,$M$314*$AG$314*$W$314,0)</f>
        <v/>
      </c>
      <c r="AR314" t="n">
        <v>0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2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0.2775</v>
      </c>
      <c r="AZ314" t="inlineStr">
        <is>
          <t>NHANH_QUA</t>
        </is>
      </c>
      <c r="BA314" t="inlineStr"/>
      <c r="BB314" t="inlineStr">
        <is>
          <t>Assets/MachineBrigade/Resources/Data/balance.json: weapons[id=tower_kornet] (lớp B trên 01_chien_dau/Vu_khi)</t>
        </is>
      </c>
      <c r="BC314" t="inlineStr"/>
    </row>
    <row r="315">
      <c r="A315" t="inlineStr">
        <is>
          <t>train_gun</t>
        </is>
      </c>
      <c r="B315" t="n">
        <v>3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</v>
      </c>
      <c r="G315">
        <f>IF(Vu_khi!$S$315&gt;0,(Vu_khi!$S$315-1)*Vu_khi!$R$315+Vu_khi!$T$315,Vu_khi!$R$315+(Vu_khi!$P$315-1)*Vu_khi!$Q$315)</f>
        <v/>
      </c>
      <c r="H315" t="n">
        <v>8</v>
      </c>
      <c r="I315">
        <f>Vu_khi!$W$315*MAX(1,$E$315)</f>
        <v/>
      </c>
      <c r="J315" t="n">
        <v>600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75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0.3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0.6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1.2</v>
      </c>
      <c r="AE315">
        <f>INDEX(Bang_xuyen_giap!$C$2:$C$7,MIN(6,MAX(1,IF($O$315,MAX(1,2-(Vu_khi!$L$315-4)),2-(Vu_khi!$L$315-4))+1)))</f>
        <v/>
      </c>
      <c r="AF315" t="n">
        <v>0.85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90</v>
      </c>
      <c r="AK315">
        <f>IF($Q$315,$M$315*$AC$315*$U$315,0)</f>
        <v/>
      </c>
      <c r="AL315" t="n">
        <v>90</v>
      </c>
      <c r="AM315">
        <f>IF($Q$315,$M$315*$AE$315*$U$315,0)</f>
        <v/>
      </c>
      <c r="AN315" t="n">
        <v>63.75</v>
      </c>
      <c r="AO315">
        <f>IF($Q$315,$M$315*$AC$315*$Y$315,0)</f>
        <v/>
      </c>
      <c r="AP315" t="n">
        <v>54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0</v>
      </c>
      <c r="AU315">
        <f>IF(AND($B$315&lt;0,$AS$315),4,$B$315)</f>
        <v/>
      </c>
      <c r="AV315" t="n">
        <v>3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0.7</v>
      </c>
      <c r="AZ315" t="inlineStr">
        <is>
          <t>ok</t>
        </is>
      </c>
      <c r="BA315" t="b">
        <v>1</v>
      </c>
      <c r="BB315" t="inlineStr">
        <is>
          <t>Assets/MachineBrigade/Resources/Data/balance.json: weapons[id=train_gun] (lớp B trên 01_chien_dau/Vu_khi)</t>
        </is>
      </c>
      <c r="BC315" t="inlineStr"/>
    </row>
    <row r="316">
      <c r="A316" t="inlineStr">
        <is>
          <t>train_gun_he</t>
        </is>
      </c>
      <c r="B316" t="n">
        <v>3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8</v>
      </c>
      <c r="I316">
        <f>Vu_khi!$W$316*MAX(1,$E$316)</f>
        <v/>
      </c>
      <c r="J316" t="n">
        <v>600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75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1.5</v>
      </c>
      <c r="AA316">
        <f>INDEX(Bang_xuyen_giap!$C$2:$C$7,MIN(6,MAX(1,IF($O$316,MAX(1,2-(Vu_khi!$L$316-0)),2-(Vu_khi!$L$316-0))+1)))</f>
        <v/>
      </c>
      <c r="AB316" t="n">
        <v>1.2</v>
      </c>
      <c r="AC316">
        <f>INDEX(Bang_xuyen_giap!$C$2:$C$7,MIN(6,MAX(1,IF($O$316,MAX(1,2-(Vu_khi!$L$316-2)),2-(Vu_khi!$L$316-2))+1)))</f>
        <v/>
      </c>
      <c r="AD316" t="n">
        <v>0.85</v>
      </c>
      <c r="AE316">
        <f>INDEX(Bang_xuyen_giap!$C$2:$C$7,MIN(6,MAX(1,IF($O$316,MAX(1,2-(Vu_khi!$L$316-4)),2-(Vu_khi!$L$316-4))+1)))</f>
        <v/>
      </c>
      <c r="AF316" t="n">
        <v>0.25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90</v>
      </c>
      <c r="AK316">
        <f>IF($Q$316,$M$316*$AC$316*$U$316,0)</f>
        <v/>
      </c>
      <c r="AL316" t="n">
        <v>63.75</v>
      </c>
      <c r="AM316">
        <f>IF($Q$316,$M$316*$AE$316*$U$316,0)</f>
        <v/>
      </c>
      <c r="AN316" t="n">
        <v>18.75</v>
      </c>
      <c r="AO316">
        <f>IF($Q$316,$M$316*$AC$316*$Y$316,0)</f>
        <v/>
      </c>
      <c r="AP316" t="n">
        <v>95.625</v>
      </c>
      <c r="AQ316">
        <f>IF($S$316,$M$316*$AG$316*$W$316,0)</f>
        <v/>
      </c>
      <c r="AR316" t="n">
        <v>0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3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BB316" t="inlineStr">
        <is>
          <t>Assets/MachineBrigade/Resources/Data/balance.json: weapons[id=train_gun_he] (lớp B trên 01_chien_dau/Vu_khi)</t>
        </is>
      </c>
      <c r="BC316" t="inlineStr"/>
    </row>
    <row r="317">
      <c r="A317" t="inlineStr">
        <is>
          <t>train_mortar</t>
        </is>
      </c>
      <c r="B317" t="n">
        <v>3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</v>
      </c>
      <c r="G317">
        <f>IF(Vu_khi!$S$317&gt;0,(Vu_khi!$S$317-1)*Vu_khi!$R$317+Vu_khi!$T$317,Vu_khi!$R$317+(Vu_khi!$P$317-1)*Vu_khi!$Q$317)</f>
        <v/>
      </c>
      <c r="H317" t="n">
        <v>8.300000000000001</v>
      </c>
      <c r="I317">
        <f>Vu_khi!$W$317*MAX(1,$E$317)</f>
        <v/>
      </c>
      <c r="J317" t="n">
        <v>300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36.14457831325301</v>
      </c>
      <c r="O317">
        <f>OR(Vu_khi!$AG$317,Vu_khi!$AB$317&gt;0,Vu_khi!$AH$317,Vu_khi!$M$317="Bomb",Vu_khi!$M$317="Drone")</f>
        <v/>
      </c>
      <c r="P317" t="b">
        <v>1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1.5</v>
      </c>
      <c r="AA317">
        <f>INDEX(Bang_xuyen_giap!$C$2:$C$7,MIN(6,MAX(1,IF($O$317,MAX(1,2-(Vu_khi!$L$317-0)),2-(Vu_khi!$L$317-0))+1)))</f>
        <v/>
      </c>
      <c r="AB317" t="n">
        <v>1</v>
      </c>
      <c r="AC317">
        <f>INDEX(Bang_xuyen_giap!$C$2:$C$7,MIN(6,MAX(1,IF($O$317,MAX(1,2-(Vu_khi!$L$317-2)),2-(Vu_khi!$L$317-2))+1)))</f>
        <v/>
      </c>
      <c r="AD317" t="n">
        <v>0.85</v>
      </c>
      <c r="AE317">
        <f>INDEX(Bang_xuyen_giap!$C$2:$C$7,MIN(6,MAX(1,IF($O$317,MAX(1,2-(Vu_khi!$L$317-4)),2-(Vu_khi!$L$317-4))+1)))</f>
        <v/>
      </c>
      <c r="AF317" t="n">
        <v>0.25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36.14457831325301</v>
      </c>
      <c r="AK317">
        <f>IF($Q$317,$M$317*$AC$317*$U$317,0)</f>
        <v/>
      </c>
      <c r="AL317" t="n">
        <v>30.72289156626506</v>
      </c>
      <c r="AM317">
        <f>IF($Q$317,$M$317*$AE$317*$U$317,0)</f>
        <v/>
      </c>
      <c r="AN317" t="n">
        <v>9.036144578313252</v>
      </c>
      <c r="AO317">
        <f>IF($Q$317,$M$317*$AC$317*$Y$317,0)</f>
        <v/>
      </c>
      <c r="AP317" t="n">
        <v>46.08433734939758</v>
      </c>
      <c r="AQ317">
        <f>IF($S$317,$M$317*$AG$317*$W$317,0)</f>
        <v/>
      </c>
      <c r="AR317" t="n">
        <v>0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3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n">
        <v>1.4525</v>
      </c>
      <c r="AZ317" t="inlineStr">
        <is>
          <t>ok</t>
        </is>
      </c>
      <c r="BA317" t="inlineStr"/>
      <c r="BB317" t="inlineStr">
        <is>
          <t>Assets/MachineBrigade/Resources/Data/balance.json: weapons[id=train_mortar] (lớp B trên 01_chien_dau/Vu_khi)</t>
        </is>
      </c>
      <c r="BC317" t="inlineStr"/>
    </row>
    <row r="318">
      <c r="A318" t="inlineStr">
        <is>
          <t>turret_gmlrs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8</v>
      </c>
      <c r="I318">
        <f>Vu_khi!$W$318*MAX(1,$E$318)</f>
        <v/>
      </c>
      <c r="J318" t="n">
        <v>320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40</v>
      </c>
      <c r="O318">
        <f>OR(Vu_khi!$AG$318,Vu_khi!$AB$318&gt;0,Vu_khi!$AH$318,Vu_khi!$M$318="Bomb",Vu_khi!$M$318="Drone")</f>
        <v/>
      </c>
      <c r="P318" t="b">
        <v>1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</v>
      </c>
      <c r="AC318">
        <f>INDEX(Bang_xuyen_giap!$C$2:$C$7,MIN(6,MAX(1,IF($O$318,MAX(1,2-(Vu_khi!$L$318-2)),2-(Vu_khi!$L$318-2))+1)))</f>
        <v/>
      </c>
      <c r="AD318" t="n">
        <v>1</v>
      </c>
      <c r="AE318">
        <f>INDEX(Bang_xuyen_giap!$C$2:$C$7,MIN(6,MAX(1,IF($O$318,MAX(1,2-(Vu_khi!$L$318-4)),2-(Vu_khi!$L$318-4))+1)))</f>
        <v/>
      </c>
      <c r="AF318" t="n">
        <v>0.5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40</v>
      </c>
      <c r="AK318">
        <f>IF($Q$318,$M$318*$AC$318*$U$318,0)</f>
        <v/>
      </c>
      <c r="AL318" t="n">
        <v>40</v>
      </c>
      <c r="AM318">
        <f>IF($Q$318,$M$318*$AE$318*$U$318,0)</f>
        <v/>
      </c>
      <c r="AN318" t="n">
        <v>20</v>
      </c>
      <c r="AO318">
        <f>IF($Q$318,$M$318*$AC$318*$Y$318,0)</f>
        <v/>
      </c>
      <c r="AP318" t="n">
        <v>60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1</v>
      </c>
      <c r="AU318">
        <f>IF(AND($B$318&lt;0,$AS$318),4,$B$318)</f>
        <v/>
      </c>
      <c r="AV318" t="n">
        <v>4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2.5</v>
      </c>
      <c r="AY318" t="n">
        <v>0.1</v>
      </c>
      <c r="AZ318" t="inlineStr">
        <is>
          <t>NHANH_QUA</t>
        </is>
      </c>
      <c r="BA318" t="inlineStr"/>
      <c r="BB318" t="inlineStr">
        <is>
          <t>Assets/MachineBrigade/Resources/Data/balance.json: weapons[id=turret_gmlrs] (lớp B trên 01_chien_dau/Vu_khi)</t>
        </is>
      </c>
      <c r="BC318" t="inlineStr"/>
    </row>
    <row r="319">
      <c r="A319" t="inlineStr">
        <is>
          <t>turret_gun_120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2.88</v>
      </c>
      <c r="I319">
        <f>Vu_khi!$W$319*MAX(1,$E$319)</f>
        <v/>
      </c>
      <c r="J319" t="n">
        <v>240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83.33333333333334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0.3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0.6</v>
      </c>
      <c r="AA319">
        <f>INDEX(Bang_xuyen_giap!$C$2:$C$7,MIN(6,MAX(1,IF($O$319,MAX(1,2-(Vu_khi!$L$319-0)),2-(Vu_khi!$L$319-0))+1)))</f>
        <v/>
      </c>
      <c r="AB319" t="n">
        <v>1.2</v>
      </c>
      <c r="AC319">
        <f>INDEX(Bang_xuyen_giap!$C$2:$C$7,MIN(6,MAX(1,IF($O$319,MAX(1,2-(Vu_khi!$L$319-2)),2-(Vu_khi!$L$319-2))+1)))</f>
        <v/>
      </c>
      <c r="AD319" t="n">
        <v>1.2</v>
      </c>
      <c r="AE319">
        <f>INDEX(Bang_xuyen_giap!$C$2:$C$7,MIN(6,MAX(1,IF($O$319,MAX(1,2-(Vu_khi!$L$319-4)),2-(Vu_khi!$L$319-4))+1)))</f>
        <v/>
      </c>
      <c r="AF319" t="n">
        <v>0.85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100</v>
      </c>
      <c r="AK319">
        <f>IF($Q$319,$M$319*$AC$319*$U$319,0)</f>
        <v/>
      </c>
      <c r="AL319" t="n">
        <v>100</v>
      </c>
      <c r="AM319">
        <f>IF($Q$319,$M$319*$AE$319*$U$319,0)</f>
        <v/>
      </c>
      <c r="AN319" t="n">
        <v>70.83333333333334</v>
      </c>
      <c r="AO319">
        <f>IF($Q$319,$M$319*$AC$319*$Y$319,0)</f>
        <v/>
      </c>
      <c r="AP319" t="n">
        <v>60.00000000000001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n">
        <v>0.2688</v>
      </c>
      <c r="AZ319" t="inlineStr">
        <is>
          <t>NHANH_QUA</t>
        </is>
      </c>
      <c r="BA319" t="inlineStr"/>
      <c r="BB319" t="inlineStr">
        <is>
          <t>Assets/MachineBrigade/Resources/Data/balance.json: weapons[id=turret_gun_120] (lớp B trên 01_chien_dau/Vu_khi)</t>
        </is>
      </c>
      <c r="BC319" t="inlineStr"/>
    </row>
    <row r="320">
      <c r="A320" t="inlineStr">
        <is>
          <t>turret_gun_120_auto</t>
        </is>
      </c>
      <c r="B320" t="n">
        <v>3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2.53</v>
      </c>
      <c r="I320">
        <f>Vu_khi!$W$320*MAX(1,$E$320)</f>
        <v/>
      </c>
      <c r="J320" t="n">
        <v>240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94.86166007905139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0.6</v>
      </c>
      <c r="AA320">
        <f>INDEX(Bang_xuyen_giap!$C$2:$C$7,MIN(6,MAX(1,IF($O$320,MAX(1,2-(Vu_khi!$L$320-0)),2-(Vu_khi!$L$320-0))+1)))</f>
        <v/>
      </c>
      <c r="AB320" t="n">
        <v>1.2</v>
      </c>
      <c r="AC320">
        <f>INDEX(Bang_xuyen_giap!$C$2:$C$7,MIN(6,MAX(1,IF($O$320,MAX(1,2-(Vu_khi!$L$320-2)),2-(Vu_khi!$L$320-2))+1)))</f>
        <v/>
      </c>
      <c r="AD320" t="n">
        <v>1.2</v>
      </c>
      <c r="AE320">
        <f>INDEX(Bang_xuyen_giap!$C$2:$C$7,MIN(6,MAX(1,IF($O$320,MAX(1,2-(Vu_khi!$L$320-4)),2-(Vu_khi!$L$320-4))+1)))</f>
        <v/>
      </c>
      <c r="AF320" t="n">
        <v>0.85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113.8339920948617</v>
      </c>
      <c r="AK320">
        <f>IF($Q$320,$M$320*$AC$320*$U$320,0)</f>
        <v/>
      </c>
      <c r="AL320" t="n">
        <v>113.8339920948617</v>
      </c>
      <c r="AM320">
        <f>IF($Q$320,$M$320*$AE$320*$U$320,0)</f>
        <v/>
      </c>
      <c r="AN320" t="n">
        <v>80.63241106719369</v>
      </c>
      <c r="AO320">
        <f>IF($Q$320,$M$320*$AC$320*$Y$320,0)</f>
        <v/>
      </c>
      <c r="AP320" t="n">
        <v>68.300395256917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3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0.236133</v>
      </c>
      <c r="AZ320" t="inlineStr">
        <is>
          <t>NHANH_QUA</t>
        </is>
      </c>
      <c r="BA320" t="inlineStr"/>
      <c r="BB320" t="inlineStr">
        <is>
          <t>Assets/MachineBrigade/Resources/Data/balance.json: weapons[id=turret_gun_120_auto] (lớp B trên 01_chien_dau/Vu_khi)</t>
        </is>
      </c>
      <c r="BC320" t="inlineStr"/>
    </row>
    <row r="321">
      <c r="A321" t="inlineStr">
        <is>
          <t>turret_gun_120_he</t>
        </is>
      </c>
      <c r="B321" t="n">
        <v>3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2.88</v>
      </c>
      <c r="I321">
        <f>Vu_khi!$W$321*MAX(1,$E$321)</f>
        <v/>
      </c>
      <c r="J321" t="n">
        <v>240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83.33333333333334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1.5</v>
      </c>
      <c r="AA321">
        <f>INDEX(Bang_xuyen_giap!$C$2:$C$7,MIN(6,MAX(1,IF($O$321,MAX(1,2-(Vu_khi!$L$321-0)),2-(Vu_khi!$L$321-0))+1)))</f>
        <v/>
      </c>
      <c r="AB321" t="n">
        <v>1.2</v>
      </c>
      <c r="AC321">
        <f>INDEX(Bang_xuyen_giap!$C$2:$C$7,MIN(6,MAX(1,IF($O$321,MAX(1,2-(Vu_khi!$L$321-2)),2-(Vu_khi!$L$321-2))+1)))</f>
        <v/>
      </c>
      <c r="AD321" t="n">
        <v>0.85</v>
      </c>
      <c r="AE321">
        <f>INDEX(Bang_xuyen_giap!$C$2:$C$7,MIN(6,MAX(1,IF($O$321,MAX(1,2-(Vu_khi!$L$321-4)),2-(Vu_khi!$L$321-4))+1)))</f>
        <v/>
      </c>
      <c r="AF321" t="n">
        <v>0.25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100</v>
      </c>
      <c r="AK321">
        <f>IF($Q$321,$M$321*$AC$321*$U$321,0)</f>
        <v/>
      </c>
      <c r="AL321" t="n">
        <v>70.83333333333334</v>
      </c>
      <c r="AM321">
        <f>IF($Q$321,$M$321*$AE$321*$U$321,0)</f>
        <v/>
      </c>
      <c r="AN321" t="n">
        <v>20.83333333333334</v>
      </c>
      <c r="AO321">
        <f>IF($Q$321,$M$321*$AC$321*$Y$321,0)</f>
        <v/>
      </c>
      <c r="AP321" t="n">
        <v>106.25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3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BB321" t="inlineStr">
        <is>
          <t>Assets/MachineBrigade/Resources/Data/balance.json: weapons[id=turret_gun_120_he] (lớp B trên 01_chien_dau/Vu_khi)</t>
        </is>
      </c>
      <c r="BC321" t="inlineStr"/>
    </row>
    <row r="322">
      <c r="A322" t="inlineStr">
        <is>
          <t>turret_gun_120_long</t>
        </is>
      </c>
      <c r="B322" t="n">
        <v>3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3.9</v>
      </c>
      <c r="I322">
        <f>Vu_khi!$W$322*MAX(1,$E$322)</f>
        <v/>
      </c>
      <c r="J322" t="n">
        <v>240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61.53846153846154</v>
      </c>
      <c r="O322">
        <f>OR(Vu_khi!$AG$322,Vu_khi!$AB$322&gt;0,Vu_khi!$AH$322,Vu_khi!$M$322="Bomb",Vu_khi!$M$322="Drone")</f>
        <v/>
      </c>
      <c r="P322" t="b">
        <v>0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0.3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0.6</v>
      </c>
      <c r="AA322">
        <f>INDEX(Bang_xuyen_giap!$C$2:$C$7,MIN(6,MAX(1,IF($O$322,MAX(1,2-(Vu_khi!$L$322-0)),2-(Vu_khi!$L$322-0))+1)))</f>
        <v/>
      </c>
      <c r="AB322" t="n">
        <v>1.2</v>
      </c>
      <c r="AC322">
        <f>INDEX(Bang_xuyen_giap!$C$2:$C$7,MIN(6,MAX(1,IF($O$322,MAX(1,2-(Vu_khi!$L$322-2)),2-(Vu_khi!$L$322-2))+1)))</f>
        <v/>
      </c>
      <c r="AD322" t="n">
        <v>1.2</v>
      </c>
      <c r="AE322">
        <f>INDEX(Bang_xuyen_giap!$C$2:$C$7,MIN(6,MAX(1,IF($O$322,MAX(1,2-(Vu_khi!$L$322-4)),2-(Vu_khi!$L$322-4))+1)))</f>
        <v/>
      </c>
      <c r="AF322" t="n">
        <v>1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73.84615384615384</v>
      </c>
      <c r="AK322">
        <f>IF($Q$322,$M$322*$AC$322*$U$322,0)</f>
        <v/>
      </c>
      <c r="AL322" t="n">
        <v>73.84615384615384</v>
      </c>
      <c r="AM322">
        <f>IF($Q$322,$M$322*$AE$322*$U$322,0)</f>
        <v/>
      </c>
      <c r="AN322" t="n">
        <v>61.53846153846154</v>
      </c>
      <c r="AO322">
        <f>IF($Q$322,$M$322*$AC$322*$Y$322,0)</f>
        <v/>
      </c>
      <c r="AP322" t="n">
        <v>44.30769230769231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0</v>
      </c>
      <c r="AU322">
        <f>IF(AND($B$322&lt;0,$AS$322),4,$B$322)</f>
        <v/>
      </c>
      <c r="AV322" t="n">
        <v>3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0</v>
      </c>
      <c r="AY322" t="n">
        <v>0.364</v>
      </c>
      <c r="AZ322" t="inlineStr">
        <is>
          <t>NHANH_QUA</t>
        </is>
      </c>
      <c r="BA322" t="inlineStr"/>
      <c r="BB322" t="inlineStr">
        <is>
          <t>Assets/MachineBrigade/Resources/Data/balance.json: weapons[id=turret_gun_120_long] (lớp B trên 01_chien_dau/Vu_khi)</t>
        </is>
      </c>
      <c r="BC322" t="inlineStr"/>
    </row>
    <row r="323">
      <c r="A323" t="inlineStr">
        <is>
          <t>turret_gun_120_long_he</t>
        </is>
      </c>
      <c r="B323" t="n">
        <v>3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3.9</v>
      </c>
      <c r="I323">
        <f>Vu_khi!$W$323*MAX(1,$E$323)</f>
        <v/>
      </c>
      <c r="J323" t="n">
        <v>240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61.53846153846154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0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1.5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0.85</v>
      </c>
      <c r="AE323">
        <f>INDEX(Bang_xuyen_giap!$C$2:$C$7,MIN(6,MAX(1,IF($O$323,MAX(1,2-(Vu_khi!$L$323-4)),2-(Vu_khi!$L$323-4))+1)))</f>
        <v/>
      </c>
      <c r="AF323" t="n">
        <v>0.25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73.84615384615384</v>
      </c>
      <c r="AK323">
        <f>IF($Q$323,$M$323*$AC$323*$U$323,0)</f>
        <v/>
      </c>
      <c r="AL323" t="n">
        <v>52.30769230769231</v>
      </c>
      <c r="AM323">
        <f>IF($Q$323,$M$323*$AE$323*$U$323,0)</f>
        <v/>
      </c>
      <c r="AN323" t="n">
        <v>15.38461538461539</v>
      </c>
      <c r="AO323">
        <f>IF($Q$323,$M$323*$AC$323*$Y$323,0)</f>
        <v/>
      </c>
      <c r="AP323" t="n">
        <v>78.46153846153845</v>
      </c>
      <c r="AQ323">
        <f>IF($S$323,$M$323*$AG$323*$W$323,0)</f>
        <v/>
      </c>
      <c r="AR323" t="n">
        <v>0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3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BB323" t="inlineStr">
        <is>
          <t>Assets/MachineBrigade/Resources/Data/balance.json: weapons[id=turret_gun_120_long_he] (lớp B trên 01_chien_dau/Vu_khi)</t>
        </is>
      </c>
      <c r="BC323" t="inlineStr"/>
    </row>
    <row r="324">
      <c r="A324" t="inlineStr">
        <is>
          <t>turret_rockets</t>
        </is>
      </c>
      <c r="B324" t="n">
        <v>3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6</v>
      </c>
      <c r="G324">
        <f>IF(Vu_khi!$S$324&gt;0,(Vu_khi!$S$324-1)*Vu_khi!$R$324+Vu_khi!$T$324,Vu_khi!$R$324+(Vu_khi!$P$324-1)*Vu_khi!$Q$324)</f>
        <v/>
      </c>
      <c r="H324" t="n">
        <v>4.07</v>
      </c>
      <c r="I324">
        <f>Vu_khi!$W$324*MAX(1,$E$324)</f>
        <v/>
      </c>
      <c r="J324" t="n">
        <v>396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97.29729729729729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1.5</v>
      </c>
      <c r="AA324">
        <f>INDEX(Bang_xuyen_giap!$C$2:$C$7,MIN(6,MAX(1,IF($O$324,MAX(1,2-(Vu_khi!$L$324-0)),2-(Vu_khi!$L$324-0))+1)))</f>
        <v/>
      </c>
      <c r="AB324" t="n">
        <v>1</v>
      </c>
      <c r="AC324">
        <f>INDEX(Bang_xuyen_giap!$C$2:$C$7,MIN(6,MAX(1,IF($O$324,MAX(1,2-(Vu_khi!$L$324-2)),2-(Vu_khi!$L$324-2))+1)))</f>
        <v/>
      </c>
      <c r="AD324" t="n">
        <v>0.85</v>
      </c>
      <c r="AE324">
        <f>INDEX(Bang_xuyen_giap!$C$2:$C$7,MIN(6,MAX(1,IF($O$324,MAX(1,2-(Vu_khi!$L$324-4)),2-(Vu_khi!$L$324-4))+1)))</f>
        <v/>
      </c>
      <c r="AF324" t="n">
        <v>0.25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97.29729729729729</v>
      </c>
      <c r="AK324">
        <f>IF($Q$324,$M$324*$AC$324*$U$324,0)</f>
        <v/>
      </c>
      <c r="AL324" t="n">
        <v>82.70270270270269</v>
      </c>
      <c r="AM324">
        <f>IF($Q$324,$M$324*$AE$324*$U$324,0)</f>
        <v/>
      </c>
      <c r="AN324" t="n">
        <v>24.32432432432432</v>
      </c>
      <c r="AO324">
        <f>IF($Q$324,$M$324*$AC$324*$Y$324,0)</f>
        <v/>
      </c>
      <c r="AP324" t="n">
        <v>124.054054054054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0</v>
      </c>
      <c r="AU324">
        <f>IF(AND($B$324&lt;0,$AS$324),4,$B$324)</f>
        <v/>
      </c>
      <c r="AV324" t="n">
        <v>3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0</v>
      </c>
      <c r="AY324" t="n">
        <v>1</v>
      </c>
      <c r="AZ324" t="inlineStr">
        <is>
          <t>ok</t>
        </is>
      </c>
      <c r="BA324" t="inlineStr"/>
      <c r="BB324" t="inlineStr">
        <is>
          <t>Assets/MachineBrigade/Resources/Data/balance.json: weapons[id=turret_rockets] (lớp B trên 01_chien_dau/Vu_khi)</t>
        </is>
      </c>
      <c r="BC324" t="inlineStr"/>
    </row>
    <row r="325">
      <c r="A325" t="inlineStr">
        <is>
          <t>turret_rockets_cluster</t>
        </is>
      </c>
      <c r="B325" t="n">
        <v>3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6</v>
      </c>
      <c r="G325">
        <f>IF(Vu_khi!$S$325&gt;0,(Vu_khi!$S$325-1)*Vu_khi!$R$325+Vu_khi!$T$325,Vu_khi!$R$325+(Vu_khi!$P$325-1)*Vu_khi!$Q$325)</f>
        <v/>
      </c>
      <c r="H325" t="n">
        <v>3.92</v>
      </c>
      <c r="I325">
        <f>Vu_khi!$W$325*MAX(1,$E$325)</f>
        <v/>
      </c>
      <c r="J325" t="n">
        <v>342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87.24489795918367</v>
      </c>
      <c r="O325">
        <f>OR(Vu_khi!$AG$325,Vu_khi!$AB$325&gt;0,Vu_khi!$AH$325,Vu_khi!$M$325="Bomb",Vu_khi!$M$325="Drone")</f>
        <v/>
      </c>
      <c r="P325" t="b">
        <v>1</v>
      </c>
      <c r="Q325">
        <f>AND(NOT(Vu_khi!$AJ$325),OR(Vu_khi!$AC$325="Ground",Vu_khi!$AC$325="All"))</f>
        <v/>
      </c>
      <c r="R325" t="b">
        <v>1</v>
      </c>
      <c r="S325">
        <f>AND(NOT(Vu_khi!$AJ$325),OR(Vu_khi!$AC$325="Air",Vu_khi!$AC$325="All"))</f>
        <v/>
      </c>
      <c r="T325" t="b">
        <v>0</v>
      </c>
      <c r="U325">
        <f>INDEX(Bang_sat_thuong!$B$2:$B$7,MATCH(Vu_khi!$K$325,Bang_sat_thuong!$A$2:$A$7,0))</f>
        <v/>
      </c>
      <c r="V325" t="n">
        <v>1</v>
      </c>
      <c r="W325">
        <f>INDEX(Bang_sat_thuong!$C$2:$C$7,MATCH(Vu_khi!$K$325,Bang_sat_thuong!$A$2:$A$7,0))</f>
        <v/>
      </c>
      <c r="X325" t="n">
        <v>0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1.5</v>
      </c>
      <c r="AA325">
        <f>INDEX(Bang_xuyen_giap!$C$2:$C$7,MIN(6,MAX(1,IF($O$325,MAX(1,2-(Vu_khi!$L$325-0)),2-(Vu_khi!$L$325-0))+1)))</f>
        <v/>
      </c>
      <c r="AB325" t="n">
        <v>1</v>
      </c>
      <c r="AC325">
        <f>INDEX(Bang_xuyen_giap!$C$2:$C$7,MIN(6,MAX(1,IF($O$325,MAX(1,2-(Vu_khi!$L$325-2)),2-(Vu_khi!$L$325-2))+1)))</f>
        <v/>
      </c>
      <c r="AD325" t="n">
        <v>0.85</v>
      </c>
      <c r="AE325">
        <f>INDEX(Bang_xuyen_giap!$C$2:$C$7,MIN(6,MAX(1,IF($O$325,MAX(1,2-(Vu_khi!$L$325-4)),2-(Vu_khi!$L$325-4))+1)))</f>
        <v/>
      </c>
      <c r="AF325" t="n">
        <v>0.25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87.24489795918367</v>
      </c>
      <c r="AK325">
        <f>IF($Q$325,$M$325*$AC$325*$U$325,0)</f>
        <v/>
      </c>
      <c r="AL325" t="n">
        <v>74.15816326530611</v>
      </c>
      <c r="AM325">
        <f>IF($Q$325,$M$325*$AE$325*$U$325,0)</f>
        <v/>
      </c>
      <c r="AN325" t="n">
        <v>21.81122448979592</v>
      </c>
      <c r="AO325">
        <f>IF($Q$325,$M$325*$AC$325*$Y$325,0)</f>
        <v/>
      </c>
      <c r="AP325" t="n">
        <v>111.2372448979592</v>
      </c>
      <c r="AQ325">
        <f>IF($S$325,$M$325*$AG$325*$W$325,0)</f>
        <v/>
      </c>
      <c r="AR325" t="n">
        <v>0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3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n">
        <v>1</v>
      </c>
      <c r="AZ325" t="inlineStr">
        <is>
          <t>ok</t>
        </is>
      </c>
      <c r="BA325" t="inlineStr"/>
      <c r="BB325" t="inlineStr">
        <is>
          <t>Assets/MachineBrigade/Resources/Data/balance.json: weapons[id=turret_rockets_cluster] (lớp B trên 01_chien_dau/Vu_khi)</t>
        </is>
      </c>
      <c r="BC325" t="inlineStr"/>
    </row>
    <row r="326">
      <c r="A326" t="inlineStr">
        <is>
          <t>turret_thermobaric</t>
        </is>
      </c>
      <c r="B326" t="n">
        <v>3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7</v>
      </c>
      <c r="G326">
        <f>IF(Vu_khi!$S$326&gt;0,(Vu_khi!$S$326-1)*Vu_khi!$R$326+Vu_khi!$T$326,Vu_khi!$R$326+(Vu_khi!$P$326-1)*Vu_khi!$Q$326)</f>
        <v/>
      </c>
      <c r="H326" t="n">
        <v>7.819999999999999</v>
      </c>
      <c r="I326">
        <f>Vu_khi!$W$326*MAX(1,$E$326)</f>
        <v/>
      </c>
      <c r="J326" t="n">
        <v>462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59.07928388746804</v>
      </c>
      <c r="O326">
        <f>OR(Vu_khi!$AG$326,Vu_khi!$AB$326&gt;0,Vu_khi!$AH$326,Vu_khi!$M$326="Bomb",Vu_khi!$M$326="Drone")</f>
        <v/>
      </c>
      <c r="P326" t="b">
        <v>1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0</v>
      </c>
      <c r="U326">
        <f>INDEX(Bang_sat_thuong!$B$2:$B$7,MATCH(Vu_khi!$K$326,Bang_sat_thuong!$A$2:$A$7,0))</f>
        <v/>
      </c>
      <c r="V326" t="n">
        <v>1</v>
      </c>
      <c r="W326">
        <f>INDEX(Bang_sat_thuong!$C$2:$C$7,MATCH(Vu_khi!$K$326,Bang_sat_thuong!$A$2:$A$7,0))</f>
        <v/>
      </c>
      <c r="X326" t="n">
        <v>0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2</v>
      </c>
      <c r="AA326">
        <f>INDEX(Bang_xuyen_giap!$C$2:$C$7,MIN(6,MAX(1,IF($O$326,MAX(1,2-(Vu_khi!$L$326-0)),2-(Vu_khi!$L$326-0))+1)))</f>
        <v/>
      </c>
      <c r="AB326" t="n">
        <v>1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59.07928388746804</v>
      </c>
      <c r="AK326">
        <f>IF($Q$326,$M$326*$AC$326*$U$326,0)</f>
        <v/>
      </c>
      <c r="AL326" t="n">
        <v>50.21739130434783</v>
      </c>
      <c r="AM326">
        <f>IF($Q$326,$M$326*$AE$326*$U$326,0)</f>
        <v/>
      </c>
      <c r="AN326" t="n">
        <v>14.76982097186701</v>
      </c>
      <c r="AO326">
        <f>IF($Q$326,$M$326*$AC$326*$Y$326,0)</f>
        <v/>
      </c>
      <c r="AP326" t="n">
        <v>100.4347826086957</v>
      </c>
      <c r="AQ326">
        <f>IF($S$326,$M$326*$AG$326*$W$326,0)</f>
        <v/>
      </c>
      <c r="AR326" t="n">
        <v>0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3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0.24</v>
      </c>
      <c r="AZ326" t="inlineStr">
        <is>
          <t>NHANH_QUA;LECH_DOT_1</t>
        </is>
      </c>
      <c r="BA326" t="inlineStr"/>
      <c r="BB326" t="inlineStr">
        <is>
          <t>Assets/MachineBrigade/Resources/Data/balance.json: weapons[id=turret_thermobaric] (lớp B trên 01_chien_dau/Vu_khi)</t>
        </is>
      </c>
      <c r="BC326" t="inlineStr"/>
    </row>
    <row r="327">
      <c r="A327" t="inlineStr">
        <is>
          <t>twin_30_bmpt</t>
        </is>
      </c>
      <c r="B327" t="n">
        <v>1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12</v>
      </c>
      <c r="G327">
        <f>IF(Vu_khi!$S$327&gt;0,(Vu_khi!$S$327-1)*Vu_khi!$R$327+Vu_khi!$T$327,Vu_khi!$R$327+(Vu_khi!$P$327-1)*Vu_khi!$Q$327)</f>
        <v/>
      </c>
      <c r="H327" t="n">
        <v>2.4996</v>
      </c>
      <c r="I327">
        <f>Vu_khi!$W$327*MAX(1,$E$327)</f>
        <v/>
      </c>
      <c r="J327" t="n">
        <v>264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105.6168987037926</v>
      </c>
      <c r="O327">
        <f>OR(Vu_khi!$AG$327,Vu_khi!$AB$327&gt;0,Vu_khi!$AH$327,Vu_khi!$M$327="Bomb",Vu_khi!$M$327="Drone")</f>
        <v/>
      </c>
      <c r="P327" t="b">
        <v>0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0.3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0.6</v>
      </c>
      <c r="AA327">
        <f>INDEX(Bang_xuyen_giap!$C$2:$C$7,MIN(6,MAX(1,IF($O$327,MAX(1,2-(Vu_khi!$L$327-0)),2-(Vu_khi!$L$327-0))+1)))</f>
        <v/>
      </c>
      <c r="AB327" t="n">
        <v>1.2</v>
      </c>
      <c r="AC327">
        <f>INDEX(Bang_xuyen_giap!$C$2:$C$7,MIN(6,MAX(1,IF($O$327,MAX(1,2-(Vu_khi!$L$327-2)),2-(Vu_khi!$L$327-2))+1)))</f>
        <v/>
      </c>
      <c r="AD327" t="n">
        <v>0.85</v>
      </c>
      <c r="AE327">
        <f>INDEX(Bang_xuyen_giap!$C$2:$C$7,MIN(6,MAX(1,IF($O$327,MAX(1,2-(Vu_khi!$L$327-4)),2-(Vu_khi!$L$327-4))+1)))</f>
        <v/>
      </c>
      <c r="AF327" t="n">
        <v>0.25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126.7402784445511</v>
      </c>
      <c r="AK327">
        <f>IF($Q$327,$M$327*$AC$327*$U$327,0)</f>
        <v/>
      </c>
      <c r="AL327" t="n">
        <v>89.77436389822371</v>
      </c>
      <c r="AM327">
        <f>IF($Q$327,$M$327*$AE$327*$U$327,0)</f>
        <v/>
      </c>
      <c r="AN327" t="n">
        <v>26.40422467594815</v>
      </c>
      <c r="AO327">
        <f>IF($Q$327,$M$327*$AC$327*$Y$327,0)</f>
        <v/>
      </c>
      <c r="AP327" t="n">
        <v>53.86461833893423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1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n">
        <v>5.554667</v>
      </c>
      <c r="AZ327" t="inlineStr">
        <is>
          <t>CHAM_QUA</t>
        </is>
      </c>
      <c r="BA327" t="inlineStr"/>
      <c r="BB327" t="inlineStr">
        <is>
          <t>Assets/MachineBrigade/Resources/Data/balance.json: weapons[id=twin_30_bmpt] (lớp B trên 01_chien_dau/Vu_khi)</t>
        </is>
      </c>
      <c r="BC327" t="inlineStr"/>
    </row>
    <row r="328">
      <c r="A328" t="inlineStr">
        <is>
          <t>twin_30_bmpt_flak</t>
        </is>
      </c>
      <c r="B328" t="n">
        <v>1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12</v>
      </c>
      <c r="G328">
        <f>IF(Vu_khi!$S$328&gt;0,(Vu_khi!$S$328-1)*Vu_khi!$R$328+Vu_khi!$T$328,Vu_khi!$R$328+(Vu_khi!$P$328-1)*Vu_khi!$Q$328)</f>
        <v/>
      </c>
      <c r="H328" t="n">
        <v>2.4996</v>
      </c>
      <c r="I328">
        <f>Vu_khi!$W$328*MAX(1,$E$328)</f>
        <v/>
      </c>
      <c r="J328" t="n">
        <v>264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105.6168987037926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0.5</v>
      </c>
      <c r="W328">
        <f>INDEX(Bang_sat_thuong!$C$2:$C$7,MATCH(Vu_khi!$K$328,Bang_sat_thuong!$A$2:$A$7,0))</f>
        <v/>
      </c>
      <c r="X328" t="n">
        <v>1.3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0.85</v>
      </c>
      <c r="AE328">
        <f>INDEX(Bang_xuyen_giap!$C$2:$C$7,MIN(6,MAX(1,IF($O$328,MAX(1,2-(Vu_khi!$L$328-4)),2-(Vu_khi!$L$328-4))+1)))</f>
        <v/>
      </c>
      <c r="AF328" t="n">
        <v>0.25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0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IF($Q$328,$M$328*$AC$328*$Y$328,0)</f>
        <v/>
      </c>
      <c r="AP328" t="n">
        <v>0</v>
      </c>
      <c r="AQ328">
        <f>IF($S$328,$M$328*$AG$328*$W$328,0)</f>
        <v/>
      </c>
      <c r="AR328" t="n">
        <v>137.3019683149304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1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BB328" t="inlineStr">
        <is>
          <t>Assets/MachineBrigade/Resources/Data/balance.json: weapons[id=twin_30_bmpt_flak] (lớp B trên 01_chien_dau/Vu_khi)</t>
        </is>
      </c>
      <c r="BC328" t="inlineStr"/>
    </row>
    <row r="329">
      <c r="A329" t="inlineStr">
        <is>
          <t>twin_30_flak</t>
        </is>
      </c>
      <c r="B329" t="n">
        <v>1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160</v>
      </c>
      <c r="G329">
        <f>IF(Vu_khi!$S$329&gt;0,(Vu_khi!$S$329-1)*Vu_khi!$R$329+Vu_khi!$T$329,Vu_khi!$R$329+(Vu_khi!$P$329-1)*Vu_khi!$Q$329)</f>
        <v/>
      </c>
      <c r="H329" t="n">
        <v>7</v>
      </c>
      <c r="I329">
        <f>Vu_khi!$W$329*MAX(1,$E$329)</f>
        <v/>
      </c>
      <c r="J329" t="n">
        <v>1200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171.4285714285714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1</v>
      </c>
      <c r="U329">
        <f>INDEX(Bang_sat_thuong!$B$2:$B$7,MATCH(Vu_khi!$K$329,Bang_sat_thuong!$A$2:$A$7,0))</f>
        <v/>
      </c>
      <c r="V329" t="n">
        <v>0.5</v>
      </c>
      <c r="W329">
        <f>INDEX(Bang_sat_thuong!$C$2:$C$7,MATCH(Vu_khi!$K$329,Bang_sat_thuong!$A$2:$A$7,0))</f>
        <v/>
      </c>
      <c r="X329" t="n">
        <v>1.3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0.1</v>
      </c>
      <c r="AA329">
        <f>INDEX(Bang_xuyen_giap!$C$2:$C$7,MIN(6,MAX(1,IF($O$329,MAX(1,2-(Vu_khi!$L$329-0)),2-(Vu_khi!$L$329-0))+1)))</f>
        <v/>
      </c>
      <c r="AB329" t="n">
        <v>1.2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102.8571428571428</v>
      </c>
      <c r="AK329">
        <f>IF($Q$329,$M$329*$AC$329*$U$329,0)</f>
        <v/>
      </c>
      <c r="AL329" t="n">
        <v>72.85714285714285</v>
      </c>
      <c r="AM329">
        <f>IF($Q$329,$M$329*$AE$329*$U$329,0)</f>
        <v/>
      </c>
      <c r="AN329" t="n">
        <v>21.42857142857143</v>
      </c>
      <c r="AO329">
        <f>IF($Q$329,$M$329*$AC$329*$Y$329,0)</f>
        <v/>
      </c>
      <c r="AP329" t="n">
        <v>14.57142857142857</v>
      </c>
      <c r="AQ329">
        <f>IF($S$329,$M$329*$AG$329*$W$329,0)</f>
        <v/>
      </c>
      <c r="AR329" t="n">
        <v>222.8571428571429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1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AY329" t="n">
        <v>3.645833</v>
      </c>
      <c r="AZ329" t="inlineStr">
        <is>
          <t>ok</t>
        </is>
      </c>
      <c r="BA329" t="inlineStr"/>
      <c r="BB329" t="inlineStr">
        <is>
          <t>Assets/MachineBrigade/Resources/Data/balance.json: weapons[id=twin_30_flak] (lớp B trên 01_chien_dau/Vu_khi)</t>
        </is>
      </c>
      <c r="BC329" t="inlineStr"/>
    </row>
    <row r="330">
      <c r="A330" t="inlineStr">
        <is>
          <t>twin_30_flak_ap</t>
        </is>
      </c>
      <c r="B330" t="n">
        <v>1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160</v>
      </c>
      <c r="G330">
        <f>IF(Vu_khi!$S$330&gt;0,(Vu_khi!$S$330-1)*Vu_khi!$R$330+Vu_khi!$T$330,Vu_khi!$R$330+(Vu_khi!$P$330-1)*Vu_khi!$Q$330)</f>
        <v/>
      </c>
      <c r="H330" t="n">
        <v>7</v>
      </c>
      <c r="I330">
        <f>Vu_khi!$W$330*MAX(1,$E$330)</f>
        <v/>
      </c>
      <c r="J330" t="n">
        <v>1200</v>
      </c>
      <c r="K330">
        <f>IF(Vu_khi!$V$330&gt;0,Vu_khi!$V$330,MIN(28,MAX(10,Vu_khi!$U$330*Vu_khi!$R$330*0.4)))</f>
        <v/>
      </c>
      <c r="L330" t="n">
        <v>10</v>
      </c>
      <c r="M330">
        <f>IF(Vu_khi!$W$330&lt;=0,0,IF(Vu_khi!$U$330&gt;0,$I$330*Vu_khi!$U$330/(MAX(0.05,$G$330)*Vu_khi!$U$330+$K$330),$I$330/MAX(0.05,$G$330)))</f>
        <v/>
      </c>
      <c r="N330" t="n">
        <v>171.4285714285714</v>
      </c>
      <c r="O330">
        <f>OR(Vu_khi!$AG$330,Vu_khi!$AB$330&gt;0,Vu_khi!$AH$330,Vu_khi!$M$330="Bomb",Vu_khi!$M$330="Drone")</f>
        <v/>
      </c>
      <c r="P330" t="b">
        <v>0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0.3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0.6</v>
      </c>
      <c r="AA330">
        <f>INDEX(Bang_xuyen_giap!$C$2:$C$7,MIN(6,MAX(1,IF($O$330,MAX(1,2-(Vu_khi!$L$330-0)),2-(Vu_khi!$L$330-0))+1)))</f>
        <v/>
      </c>
      <c r="AB330" t="n">
        <v>1.2</v>
      </c>
      <c r="AC330">
        <f>INDEX(Bang_xuyen_giap!$C$2:$C$7,MIN(6,MAX(1,IF($O$330,MAX(1,2-(Vu_khi!$L$330-2)),2-(Vu_khi!$L$330-2))+1)))</f>
        <v/>
      </c>
      <c r="AD330" t="n">
        <v>0.85</v>
      </c>
      <c r="AE330">
        <f>INDEX(Bang_xuyen_giap!$C$2:$C$7,MIN(6,MAX(1,IF($O$330,MAX(1,2-(Vu_khi!$L$330-4)),2-(Vu_khi!$L$330-4))+1)))</f>
        <v/>
      </c>
      <c r="AF330" t="n">
        <v>0.25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205.7142857142857</v>
      </c>
      <c r="AK330">
        <f>IF($Q$330,$M$330*$AC$330*$U$330,0)</f>
        <v/>
      </c>
      <c r="AL330" t="n">
        <v>145.7142857142857</v>
      </c>
      <c r="AM330">
        <f>IF($Q$330,$M$330*$AE$330*$U$330,0)</f>
        <v/>
      </c>
      <c r="AN330" t="n">
        <v>42.85714285714285</v>
      </c>
      <c r="AO330">
        <f>IF($Q$330,$M$330*$AC$330*$Y$330,0)</f>
        <v/>
      </c>
      <c r="AP330" t="n">
        <v>87.42857142857143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0</v>
      </c>
      <c r="AU330">
        <f>IF(AND($B$330&lt;0,$AS$330),4,$B$330)</f>
        <v/>
      </c>
      <c r="AV330" t="n">
        <v>1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0</v>
      </c>
      <c r="BB330" t="inlineStr">
        <is>
          <t>Assets/MachineBrigade/Resources/Data/balance.json: weapons[id=twin_30_flak_ap] (lớp B trên 01_chien_dau/Vu_khi)</t>
        </is>
      </c>
      <c r="BC330" t="inlineStr"/>
    </row>
    <row r="331">
      <c r="A331" t="inlineStr">
        <is>
          <t>twin_35_ahead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24</v>
      </c>
      <c r="G331">
        <f>IF(Vu_khi!$S$331&gt;0,(Vu_khi!$S$331-1)*Vu_khi!$R$331+Vu_khi!$T$331,Vu_khi!$R$331+(Vu_khi!$P$331-1)*Vu_khi!$Q$331)</f>
        <v/>
      </c>
      <c r="H331" t="n">
        <v>6.1288</v>
      </c>
      <c r="I331">
        <f>Vu_khi!$W$331*MAX(1,$E$331)</f>
        <v/>
      </c>
      <c r="J331" t="n">
        <v>624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101.8143845450985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1</v>
      </c>
      <c r="U331">
        <f>INDEX(Bang_sat_thuong!$B$2:$B$7,MATCH(Vu_khi!$K$331,Bang_sat_thuong!$A$2:$A$7,0))</f>
        <v/>
      </c>
      <c r="V331" t="n">
        <v>0.5</v>
      </c>
      <c r="W331">
        <f>INDEX(Bang_sat_thuong!$C$2:$C$7,MATCH(Vu_khi!$K$331,Bang_sat_thuong!$A$2:$A$7,0))</f>
        <v/>
      </c>
      <c r="X331" t="n">
        <v>1.3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0.1</v>
      </c>
      <c r="AA331">
        <f>INDEX(Bang_xuyen_giap!$C$2:$C$7,MIN(6,MAX(1,IF($O$331,MAX(1,2-(Vu_khi!$L$331-0)),2-(Vu_khi!$L$331-0))+1)))</f>
        <v/>
      </c>
      <c r="AB331" t="n">
        <v>1.2</v>
      </c>
      <c r="AC331">
        <f>INDEX(Bang_xuyen_giap!$C$2:$C$7,MIN(6,MAX(1,IF($O$331,MAX(1,2-(Vu_khi!$L$331-2)),2-(Vu_khi!$L$331-2))+1)))</f>
        <v/>
      </c>
      <c r="AD331" t="n">
        <v>0.85</v>
      </c>
      <c r="AE331">
        <f>INDEX(Bang_xuyen_giap!$C$2:$C$7,MIN(6,MAX(1,IF($O$331,MAX(1,2-(Vu_khi!$L$331-4)),2-(Vu_khi!$L$331-4))+1)))</f>
        <v/>
      </c>
      <c r="AF331" t="n">
        <v>0.25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61.08863072705913</v>
      </c>
      <c r="AK331">
        <f>IF($Q$331,$M$331*$AC$331*$U$331,0)</f>
        <v/>
      </c>
      <c r="AL331" t="n">
        <v>43.27111343166688</v>
      </c>
      <c r="AM331">
        <f>IF($Q$331,$M$331*$AE$331*$U$331,0)</f>
        <v/>
      </c>
      <c r="AN331" t="n">
        <v>12.72679806813732</v>
      </c>
      <c r="AO331">
        <f>IF($Q$331,$M$331*$AC$331*$Y$331,0)</f>
        <v/>
      </c>
      <c r="AP331" t="n">
        <v>8.654222686333377</v>
      </c>
      <c r="AQ331">
        <f>IF($S$331,$M$331*$AG$331*$W$331,0)</f>
        <v/>
      </c>
      <c r="AR331" t="n">
        <v>132.3586999086281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1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4.256111</v>
      </c>
      <c r="AZ331" t="inlineStr">
        <is>
          <t>LECH_DOT_1</t>
        </is>
      </c>
      <c r="BA331" t="inlineStr"/>
      <c r="BB331" t="inlineStr">
        <is>
          <t>Assets/MachineBrigade/Resources/Data/balance.json: weapons[id=twin_35_ahead] (lớp B trên 01_chien_dau/Vu_khi)</t>
        </is>
      </c>
      <c r="BC331" t="inlineStr"/>
    </row>
    <row r="332">
      <c r="A332" t="inlineStr">
        <is>
          <t>twin_35_ahead_ap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24</v>
      </c>
      <c r="G332">
        <f>IF(Vu_khi!$S$332&gt;0,(Vu_khi!$S$332-1)*Vu_khi!$R$332+Vu_khi!$T$332,Vu_khi!$R$332+(Vu_khi!$P$332-1)*Vu_khi!$Q$332)</f>
        <v/>
      </c>
      <c r="H332" t="n">
        <v>6.1288</v>
      </c>
      <c r="I332">
        <f>Vu_khi!$W$332*MAX(1,$E$332)</f>
        <v/>
      </c>
      <c r="J332" t="n">
        <v>624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101.8143845450985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0</v>
      </c>
      <c r="U332">
        <f>INDEX(Bang_sat_thuong!$B$2:$B$7,MATCH(Vu_khi!$K$332,Bang_sat_thuong!$A$2:$A$7,0))</f>
        <v/>
      </c>
      <c r="V332" t="n">
        <v>1</v>
      </c>
      <c r="W332">
        <f>INDEX(Bang_sat_thuong!$C$2:$C$7,MATCH(Vu_khi!$K$332,Bang_sat_thuong!$A$2:$A$7,0))</f>
        <v/>
      </c>
      <c r="X332" t="n">
        <v>0.3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0.6</v>
      </c>
      <c r="AA332">
        <f>INDEX(Bang_xuyen_giap!$C$2:$C$7,MIN(6,MAX(1,IF($O$332,MAX(1,2-(Vu_khi!$L$332-0)),2-(Vu_khi!$L$332-0))+1)))</f>
        <v/>
      </c>
      <c r="AB332" t="n">
        <v>1.2</v>
      </c>
      <c r="AC332">
        <f>INDEX(Bang_xuyen_giap!$C$2:$C$7,MIN(6,MAX(1,IF($O$332,MAX(1,2-(Vu_khi!$L$332-2)),2-(Vu_khi!$L$332-2))+1)))</f>
        <v/>
      </c>
      <c r="AD332" t="n">
        <v>0.85</v>
      </c>
      <c r="AE332">
        <f>INDEX(Bang_xuyen_giap!$C$2:$C$7,MIN(6,MAX(1,IF($O$332,MAX(1,2-(Vu_khi!$L$332-4)),2-(Vu_khi!$L$332-4))+1)))</f>
        <v/>
      </c>
      <c r="AF332" t="n">
        <v>0.25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122.1772614541183</v>
      </c>
      <c r="AK332">
        <f>IF($Q$332,$M$332*$AC$332*$U$332,0)</f>
        <v/>
      </c>
      <c r="AL332" t="n">
        <v>86.54222686333377</v>
      </c>
      <c r="AM332">
        <f>IF($Q$332,$M$332*$AE$332*$U$332,0)</f>
        <v/>
      </c>
      <c r="AN332" t="n">
        <v>25.45359613627464</v>
      </c>
      <c r="AO332">
        <f>IF($Q$332,$M$332*$AC$332*$Y$332,0)</f>
        <v/>
      </c>
      <c r="AP332" t="n">
        <v>51.92533611800026</v>
      </c>
      <c r="AQ332">
        <f>IF($S$332,$M$332*$AG$332*$W$332,0)</f>
        <v/>
      </c>
      <c r="AR332" t="n">
        <v>0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BB332" t="inlineStr">
        <is>
          <t>Assets/MachineBrigade/Resources/Data/balance.json: weapons[id=twin_35_ahead_ap] (lớp B trên 01_chien_dau/Vu_khi)</t>
        </is>
      </c>
      <c r="BC332" t="inlineStr"/>
    </row>
    <row r="333">
      <c r="A333" t="inlineStr">
        <is>
          <t>vikhr</t>
        </is>
      </c>
      <c r="B333" t="n">
        <v>2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2</v>
      </c>
      <c r="G333">
        <f>IF(Vu_khi!$S$333&gt;0,(Vu_khi!$S$333-1)*Vu_khi!$R$333+Vu_khi!$T$333,Vu_khi!$R$333+(Vu_khi!$P$333-1)*Vu_khi!$Q$333)</f>
        <v/>
      </c>
      <c r="H333" t="n">
        <v>7.55</v>
      </c>
      <c r="I333">
        <f>Vu_khi!$W$333*MAX(1,$E$333)</f>
        <v/>
      </c>
      <c r="J333" t="n">
        <v>500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66.22516556291392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0.6</v>
      </c>
      <c r="AA333">
        <f>INDEX(Bang_xuyen_giap!$C$2:$C$7,MIN(6,MAX(1,IF($O$333,MAX(1,2-(Vu_khi!$L$333-0)),2-(Vu_khi!$L$333-0))+1)))</f>
        <v/>
      </c>
      <c r="AB333" t="n">
        <v>1.2</v>
      </c>
      <c r="AC333">
        <f>INDEX(Bang_xuyen_giap!$C$2:$C$7,MIN(6,MAX(1,IF($O$333,MAX(1,2-(Vu_khi!$L$333-2)),2-(Vu_khi!$L$333-2))+1)))</f>
        <v/>
      </c>
      <c r="AD333" t="n">
        <v>1.2</v>
      </c>
      <c r="AE333">
        <f>INDEX(Bang_xuyen_giap!$C$2:$C$7,MIN(6,MAX(1,IF($O$333,MAX(1,2-(Vu_khi!$L$333-4)),2-(Vu_khi!$L$333-4))+1)))</f>
        <v/>
      </c>
      <c r="AF333" t="n">
        <v>0.85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79.47019867549669</v>
      </c>
      <c r="AK333">
        <f>IF($Q$333,$M$333*$AC$333*$U$333,0)</f>
        <v/>
      </c>
      <c r="AL333" t="n">
        <v>79.47019867549669</v>
      </c>
      <c r="AM333">
        <f>IF($Q$333,$M$333*$AE$333*$U$333,0)</f>
        <v/>
      </c>
      <c r="AN333" t="n">
        <v>56.29139072847683</v>
      </c>
      <c r="AO333">
        <f>IF($Q$333,$M$333*$AC$333*$Y$333,0)</f>
        <v/>
      </c>
      <c r="AP333" t="n">
        <v>47.68211920529802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2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inlineStr"/>
      <c r="AZ333" t="inlineStr">
        <is>
          <t>ok</t>
        </is>
      </c>
      <c r="BA333" t="inlineStr"/>
      <c r="BB333" t="inlineStr">
        <is>
          <t>Assets/MachineBrigade/Resources/Data/balance.json: weapons[id=vikhr] (lớp B trên 01_chien_dau/Vu_khi)</t>
        </is>
      </c>
      <c r="BC333" t="inlineStr"/>
    </row>
    <row r="334">
      <c r="A334" t="inlineStr">
        <is>
          <t>wvr_aam</t>
        </is>
      </c>
      <c r="B334" t="n">
        <v>2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</v>
      </c>
      <c r="G334">
        <f>IF(Vu_khi!$S$334&gt;0,(Vu_khi!$S$334-1)*Vu_khi!$R$334+Vu_khi!$T$334,Vu_khi!$R$334+(Vu_khi!$P$334-1)*Vu_khi!$Q$334)</f>
        <v/>
      </c>
      <c r="H334" t="n">
        <v>2.12</v>
      </c>
      <c r="I334">
        <f>Vu_khi!$W$334*MAX(1,$E$334)</f>
        <v/>
      </c>
      <c r="J334" t="n">
        <v>231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108.9622641509434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0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0.5</v>
      </c>
      <c r="W334">
        <f>INDEX(Bang_sat_thuong!$C$2:$C$7,MATCH(Vu_khi!$K$334,Bang_sat_thuong!$A$2:$A$7,0))</f>
        <v/>
      </c>
      <c r="X334" t="n">
        <v>1.3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INDEX(Bang_xuyen_giap!$C$2:$C$7,MIN(6,MAX(1,IF($O$334,MAX(1,2-(Vu_khi!$L$334-0)),2-(Vu_khi!$L$334-0))+1)))</f>
        <v/>
      </c>
      <c r="AB334" t="n">
        <v>1.2</v>
      </c>
      <c r="AC334">
        <f>INDEX(Bang_xuyen_giap!$C$2:$C$7,MIN(6,MAX(1,IF($O$334,MAX(1,2-(Vu_khi!$L$334-2)),2-(Vu_khi!$L$334-2))+1)))</f>
        <v/>
      </c>
      <c r="AD334" t="n">
        <v>0.85</v>
      </c>
      <c r="AE334">
        <f>INDEX(Bang_xuyen_giap!$C$2:$C$7,MIN(6,MAX(1,IF($O$334,MAX(1,2-(Vu_khi!$L$334-4)),2-(Vu_khi!$L$334-4))+1)))</f>
        <v/>
      </c>
      <c r="AF334" t="n">
        <v>0.25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0</v>
      </c>
      <c r="AK334">
        <f>IF($Q$334,$M$334*$AC$334*$U$334,0)</f>
        <v/>
      </c>
      <c r="AL334" t="n">
        <v>0</v>
      </c>
      <c r="AM334">
        <f>IF($Q$334,$M$334*$AE$334*$U$334,0)</f>
        <v/>
      </c>
      <c r="AN334" t="n">
        <v>0</v>
      </c>
      <c r="AO334">
        <f>IF($Q$334,$M$334*$AC$334*$Y$334,0)</f>
        <v/>
      </c>
      <c r="AP334" t="n">
        <v>0</v>
      </c>
      <c r="AQ334">
        <f>IF($S$334,$M$334*$AG$334*$W$334,0)</f>
        <v/>
      </c>
      <c r="AR334" t="n">
        <v>141.6509433962264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T334" t="b">
        <v>0</v>
      </c>
      <c r="AU334">
        <f>IF(AND($B$334&lt;0,$AS$334),4,$B$334)</f>
        <v/>
      </c>
      <c r="AV334" t="n">
        <v>2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0</v>
      </c>
      <c r="AY334" t="inlineStr"/>
      <c r="AZ334" t="inlineStr">
        <is>
          <t>ok</t>
        </is>
      </c>
      <c r="BA334" t="inlineStr"/>
      <c r="BB334" t="inlineStr">
        <is>
          <t>Assets/MachineBrigade/Resources/Data/balance.json: weapons[id=wvr_aam] (lớp B trên 01_chien_dau/Vu_khi)</t>
        </is>
      </c>
      <c r="BC334" t="inlineStr"/>
    </row>
    <row r="335">
      <c r="A335" t="inlineStr">
        <is>
          <t>zu23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100</v>
      </c>
      <c r="G335">
        <f>IF(Vu_khi!$S$335&gt;0,(Vu_khi!$S$335-1)*Vu_khi!$R$335+Vu_khi!$T$335,Vu_khi!$R$335+(Vu_khi!$P$335-1)*Vu_khi!$Q$335)</f>
        <v/>
      </c>
      <c r="H335" t="n">
        <v>5</v>
      </c>
      <c r="I335">
        <f>Vu_khi!$W$335*MAX(1,$E$335)</f>
        <v/>
      </c>
      <c r="J335" t="n">
        <v>350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70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1</v>
      </c>
      <c r="U335">
        <f>INDEX(Bang_sat_thuong!$B$2:$B$7,MATCH(Vu_khi!$K$335,Bang_sat_thuong!$A$2:$A$7,0))</f>
        <v/>
      </c>
      <c r="V335" t="n">
        <v>0.5</v>
      </c>
      <c r="W335">
        <f>INDEX(Bang_sat_thuong!$C$2:$C$7,MATCH(Vu_khi!$K$335,Bang_sat_thuong!$A$2:$A$7,0))</f>
        <v/>
      </c>
      <c r="X335" t="n">
        <v>1.3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0.1</v>
      </c>
      <c r="AA335">
        <f>INDEX(Bang_xuyen_giap!$C$2:$C$7,MIN(6,MAX(1,IF($O$335,MAX(1,2-(Vu_khi!$L$335-0)),2-(Vu_khi!$L$335-0))+1)))</f>
        <v/>
      </c>
      <c r="AB335" t="n">
        <v>1</v>
      </c>
      <c r="AC335">
        <f>INDEX(Bang_xuyen_giap!$C$2:$C$7,MIN(6,MAX(1,IF($O$335,MAX(1,2-(Vu_khi!$L$335-2)),2-(Vu_khi!$L$335-2))+1)))</f>
        <v/>
      </c>
      <c r="AD335" t="n">
        <v>0.5</v>
      </c>
      <c r="AE335">
        <f>INDEX(Bang_xuyen_giap!$C$2:$C$7,MIN(6,MAX(1,IF($O$335,MAX(1,2-(Vu_khi!$L$335-4)),2-(Vu_khi!$L$335-4))+1)))</f>
        <v/>
      </c>
      <c r="AF335" t="n">
        <v>0.1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35</v>
      </c>
      <c r="AK335">
        <f>IF($Q$335,$M$335*$AC$335*$U$335,0)</f>
        <v/>
      </c>
      <c r="AL335" t="n">
        <v>17.5</v>
      </c>
      <c r="AM335">
        <f>IF($Q$335,$M$335*$AE$335*$U$335,0)</f>
        <v/>
      </c>
      <c r="AN335" t="n">
        <v>3.5</v>
      </c>
      <c r="AO335">
        <f>IF($Q$335,$M$335*$AC$335*$Y$335,0)</f>
        <v/>
      </c>
      <c r="AP335" t="n">
        <v>3.5</v>
      </c>
      <c r="AQ335">
        <f>IF($S$335,$M$335*$AG$335*$W$335,0)</f>
        <v/>
      </c>
      <c r="AR335" t="n">
        <v>91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T335" t="b">
        <v>0</v>
      </c>
      <c r="AU335">
        <f>IF(AND($B$335&lt;0,$AS$335),4,$B$335)</f>
        <v/>
      </c>
      <c r="AV335" t="n">
        <v>1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AY335" t="n">
        <v>1.666667</v>
      </c>
      <c r="AZ335" t="inlineStr">
        <is>
          <t>ok</t>
        </is>
      </c>
      <c r="BA335" t="inlineStr"/>
      <c r="BB335" t="inlineStr">
        <is>
          <t>Assets/MachineBrigade/Resources/Data/balance.json: weapons[id=zu23] (lớp B trên 01_chien_dau/Vu_khi)</t>
        </is>
      </c>
      <c r="BC335" t="inlineStr"/>
    </row>
    <row r="336">
      <c r="A336" t="inlineStr">
        <is>
          <t>zu23_ap</t>
        </is>
      </c>
      <c r="B336" t="n">
        <v>1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5</v>
      </c>
      <c r="I336">
        <f>Vu_khi!$W$336*MAX(1,$E$336)</f>
        <v/>
      </c>
      <c r="J336" t="n">
        <v>350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70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0</v>
      </c>
      <c r="U336">
        <f>INDEX(Bang_sat_thuong!$B$2:$B$7,MATCH(Vu_khi!$K$336,Bang_sat_thuong!$A$2:$A$7,0))</f>
        <v/>
      </c>
      <c r="V336" t="n">
        <v>1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0.6</v>
      </c>
      <c r="AA336">
        <f>INDEX(Bang_xuyen_giap!$C$2:$C$7,MIN(6,MAX(1,IF($O$336,MAX(1,2-(Vu_khi!$L$336-0)),2-(Vu_khi!$L$336-0))+1)))</f>
        <v/>
      </c>
      <c r="AB336" t="n">
        <v>1.2</v>
      </c>
      <c r="AC336">
        <f>INDEX(Bang_xuyen_giap!$C$2:$C$7,MIN(6,MAX(1,IF($O$336,MAX(1,2-(Vu_khi!$L$336-2)),2-(Vu_khi!$L$336-2))+1)))</f>
        <v/>
      </c>
      <c r="AD336" t="n">
        <v>0.85</v>
      </c>
      <c r="AE336">
        <f>INDEX(Bang_xuyen_giap!$C$2:$C$7,MIN(6,MAX(1,IF($O$336,MAX(1,2-(Vu_khi!$L$336-4)),2-(Vu_khi!$L$336-4))+1)))</f>
        <v/>
      </c>
      <c r="AF336" t="n">
        <v>0.25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84</v>
      </c>
      <c r="AK336">
        <f>IF($Q$336,$M$336*$AC$336*$U$336,0)</f>
        <v/>
      </c>
      <c r="AL336" t="n">
        <v>59.5</v>
      </c>
      <c r="AM336">
        <f>IF($Q$336,$M$336*$AE$336*$U$336,0)</f>
        <v/>
      </c>
      <c r="AN336" t="n">
        <v>17.5</v>
      </c>
      <c r="AO336">
        <f>IF($Q$336,$M$336*$AC$336*$Y$336,0)</f>
        <v/>
      </c>
      <c r="AP336" t="n">
        <v>35.7</v>
      </c>
      <c r="AQ336">
        <f>IF($S$336,$M$336*$AG$336*$W$336,0)</f>
        <v/>
      </c>
      <c r="AR336" t="n">
        <v>0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T336" t="b">
        <v>0</v>
      </c>
      <c r="AU336">
        <f>IF(AND($B$336&lt;0,$AS$336),4,$B$336)</f>
        <v/>
      </c>
      <c r="AV336" t="n">
        <v>1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BB336" t="inlineStr">
        <is>
          <t>Assets/MachineBrigade/Resources/Data/balance.json: weapons[id=zu23_ap] (lớp B trên 01_chien_dau/Vu_khi)</t>
        </is>
      </c>
      <c r="BC336" t="inlineStr"/>
    </row>
  </sheetData>
  <autoFilter ref="A1:BC336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46" customWidth="1" min="3" max="3"/>
    <col width="17" customWidth="1" min="4" max="4"/>
    <col width="46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47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c_ram_gatling</t>
        </is>
      </c>
      <c r="B53" t="inlineStr">
        <is>
          <t>c_ram_gatling</t>
        </is>
      </c>
      <c r="C53" t="inlineStr">
        <is>
          <t>Phalanx M61 20 mm</t>
        </is>
      </c>
      <c r="D53" t="inlineStr">
        <is>
          <t>doi_that</t>
        </is>
      </c>
      <c r="E53" t="inlineStr">
        <is>
          <t>Phalanx M61 20 mm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R_balance;R_full_weapon_audit;W_wikipedia_phalanx_ciws;R_machine_brigade_can_bang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20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4500</v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>
        <is>
          <t>aa</t>
        </is>
      </c>
      <c r="AD53" t="inlineStr">
        <is>
          <t>Wikipedia 'Phalanx CIWS': 4,500 rpm (C-RAM)</t>
        </is>
      </c>
      <c r="AE53" t="inlineStr">
        <is>
          <t>Phalanx 20 mm: 4.500 phát/phút; tầm hiệu quả ~1,5 km</t>
        </is>
      </c>
      <c r="AF53" t="inlineStr">
        <is>
          <t>Tools/balance/full_weapon_audit.py: REAL / WARHEAD; balance.json weapons[id=c_ram_gatling].real</t>
        </is>
      </c>
      <c r="AG53" t="inlineStr"/>
    </row>
    <row r="54">
      <c r="A54" t="inlineStr">
        <is>
          <t>casemate_155</t>
        </is>
      </c>
      <c r="B54" t="inlineStr">
        <is>
          <t>casemate_155</t>
        </is>
      </c>
      <c r="C54" t="inlineStr">
        <is>
          <t>M284 155 mm (casemate)</t>
        </is>
      </c>
      <c r="D54" t="inlineStr">
        <is>
          <t>doi_that</t>
        </is>
      </c>
      <c r="E54" t="inlineStr">
        <is>
          <t>M284 155 mm (casemate)</t>
        </is>
      </c>
      <c r="F54" t="inlineStr"/>
      <c r="G54" t="inlineStr"/>
      <c r="H54" t="inlineStr"/>
      <c r="I54" t="inlineStr"/>
      <c r="J54" t="inlineStr"/>
      <c r="K54" t="inlineStr"/>
      <c r="L54" t="inlineStr">
        <is>
          <t>nhịp chậm hơn 30 % và mạnh hơn tương ứng (luật súng của game)</t>
        </is>
      </c>
      <c r="M54" t="inlineStr">
        <is>
          <t>gameplay</t>
        </is>
      </c>
      <c r="N54" t="inlineStr"/>
      <c r="O54" t="inlineStr">
        <is>
          <t>da_kiem_chung</t>
        </is>
      </c>
      <c r="P54" t="inlineStr">
        <is>
          <t>R_balance;R_full_weapon_audit;D_us_army_m109a7_fact_file;R_machine_brigade_can_bang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155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</v>
      </c>
      <c r="Y54" t="n">
        <v>1</v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gun</t>
        </is>
      </c>
      <c r="AD54" t="inlineStr">
        <is>
          <t>US Army M109A7 fact file: 4 rpm for 3 min, 1 rpm sustained</t>
        </is>
      </c>
      <c r="AE54" t="inlineStr">
        <is>
          <t>M284 155 mm</t>
        </is>
      </c>
      <c r="AF54" t="inlineStr">
        <is>
          <t>Tools/balance/full_weapon_audit.py: REAL / WARHEAD; balance.json weapons[id=casemate_155].real</t>
        </is>
      </c>
      <c r="AG54" t="inlineStr"/>
    </row>
    <row r="55">
      <c r="A55" t="inlineStr">
        <is>
          <t>casemate_155_guided</t>
        </is>
      </c>
      <c r="B55" t="inlineStr">
        <is>
          <t>casemate_155_guided</t>
        </is>
      </c>
      <c r="C55" t="inlineStr">
        <is>
          <t>M284 155 mm guided (casemate)</t>
        </is>
      </c>
      <c r="D55" t="inlineStr">
        <is>
          <t>doi_that</t>
        </is>
      </c>
      <c r="E55" t="inlineStr">
        <is>
          <t>M284 155 mm guided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/>
      <c r="AF55" t="inlineStr">
        <is>
          <t>Tools/balance/full_weapon_audit.py: REAL / WARHEAD; balance.json weapons[id=casemate_155_guided].real</t>
        </is>
      </c>
      <c r="AG55" t="inlineStr"/>
    </row>
    <row r="56">
      <c r="A56" t="inlineStr">
        <is>
          <t>ciws_aa</t>
        </is>
      </c>
      <c r="B56" t="inlineStr">
        <is>
          <t>ciws_aa</t>
        </is>
      </c>
      <c r="C56" t="inlineStr">
        <is>
          <t>AK-630 30 mm</t>
        </is>
      </c>
      <c r="D56" t="inlineStr">
        <is>
          <t>doi_that</t>
        </is>
      </c>
      <c r="E56" t="inlineStr">
        <is>
          <t>AK-630 30 mm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da_kiem_chung</t>
        </is>
      </c>
      <c r="P56" t="inlineStr">
        <is>
          <t>R_balance;R_full_weapon_audit;W_wikipedia_ak_630;R_machine_brigade_can_bang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30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5000</v>
      </c>
      <c r="Y56" t="n">
        <v>1000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aa</t>
        </is>
      </c>
      <c r="AD56" t="inlineStr">
        <is>
          <t>Wikipedia 'AK-630': 4,000-5,000 rpm, 2,000-round belt</t>
        </is>
      </c>
      <c r="AE56" t="inlineStr">
        <is>
          <t>AK-630: 4.000–5.000 phát/phút, băng 2.000 viên</t>
        </is>
      </c>
      <c r="AF56" t="inlineStr">
        <is>
          <t>Tools/balance/full_weapon_audit.py: REAL / WARHEAD; balance.json weapons[id=ciws_aa].real</t>
        </is>
      </c>
      <c r="AG56" t="inlineStr"/>
    </row>
    <row r="57">
      <c r="A57" t="inlineStr">
        <is>
          <t>ciws_aa_flak</t>
        </is>
      </c>
      <c r="B57" t="inlineStr">
        <is>
          <t>ciws_aa_flak</t>
        </is>
      </c>
      <c r="C57" t="inlineStr">
        <is>
          <t>AK-630 30 mm air-burst</t>
        </is>
      </c>
      <c r="D57" t="inlineStr">
        <is>
          <t>doi_that</t>
        </is>
      </c>
      <c r="E57" t="inlineStr">
        <is>
          <t>AK-630 30 mm air-burst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/>
      <c r="AF57" t="inlineStr">
        <is>
          <t>Tools/balance/full_weapon_audit.py: REAL / WARHEAD; balance.json weapons[id=ciws_aa_flak].real</t>
        </is>
      </c>
      <c r="AG57" t="inlineStr"/>
    </row>
    <row r="58">
      <c r="A58" t="inlineStr">
        <is>
          <t>coilgun</t>
        </is>
      </c>
      <c r="B58" t="inlineStr">
        <is>
          <t>coilgun</t>
        </is>
      </c>
      <c r="C58" t="inlineStr">
        <is>
          <t>coilgun (10 MJ)</t>
        </is>
      </c>
      <c r="D58" t="inlineStr">
        <is>
          <t>doi_that</t>
        </is>
      </c>
      <c r="E58" t="inlineStr">
        <is>
          <t>coilgun (10 MJ)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ban_dau_doan</t>
        </is>
      </c>
      <c r="P58" t="inlineStr">
        <is>
          <t>R_balance;R_machine_brigade_can_bang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inlineStr">
        <is>
          <t>NEED_SOURCE</t>
        </is>
      </c>
      <c r="Y58" t="inlineStr">
        <is>
          <t>NEED_SOURCE</t>
        </is>
      </c>
      <c r="Z58" t="inlineStr">
        <is>
          <t>NEED_SOURCE</t>
        </is>
      </c>
      <c r="AA58" t="inlineStr">
        <is>
          <t>NEED_SOURCE</t>
        </is>
      </c>
      <c r="AB58" t="inlineStr"/>
      <c r="AC58" t="inlineStr"/>
      <c r="AD58" t="inlineStr"/>
      <c r="AE58" t="inlineStr">
        <is>
          <t>coilgun (giả tưởng)</t>
        </is>
      </c>
      <c r="AF58" t="inlineStr">
        <is>
          <t>Tools/balance/full_weapon_audit.py: REAL / WARHEAD; balance.json weapons[id=coilgun].real</t>
        </is>
      </c>
      <c r="AG58" t="inlineStr"/>
    </row>
    <row r="59">
      <c r="A59" t="inlineStr">
        <is>
          <t>cruise_missile_ground</t>
        </is>
      </c>
      <c r="B59" t="inlineStr">
        <is>
          <t>cruise_missile_ground</t>
        </is>
      </c>
      <c r="C59" t="inlineStr">
        <is>
          <t>Typhon MRC (ground-launched Tomahawk)</t>
        </is>
      </c>
      <c r="D59" t="inlineStr">
        <is>
          <t>doi_that</t>
        </is>
      </c>
      <c r="E59" t="inlineStr">
        <is>
          <t>Typhon MRC (ground-launched Tomahawk)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uoc_dinh</t>
        </is>
      </c>
      <c r="P59" t="inlineStr">
        <is>
          <t>R_balance;R_full_weapon_audit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20</v>
      </c>
      <c r="Y59" t="n">
        <v>6</v>
      </c>
      <c r="Z59" t="inlineStr">
        <is>
          <t>NEED_SOURCE</t>
        </is>
      </c>
      <c r="AA59" t="inlineStr">
        <is>
          <t>NEED_SOURCE</t>
        </is>
      </c>
      <c r="AB59" t="inlineStr">
        <is>
          <t>NEED_SOURCE</t>
        </is>
      </c>
      <c r="AC59" t="inlineStr">
        <is>
          <t>missile</t>
        </is>
      </c>
      <c r="AD59" t="inlineStr">
        <is>
          <t>cruise missiles: ~3 s between launches (est.)</t>
        </is>
      </c>
      <c r="AE59" t="inlineStr"/>
      <c r="AF59" t="inlineStr">
        <is>
          <t>Tools/balance/full_weapon_audit.py: REAL / WARHEAD; balance.json weapons[id=cruise_missile_ground].real</t>
        </is>
      </c>
      <c r="AG59" t="inlineStr"/>
    </row>
    <row r="60">
      <c r="A60" t="inlineStr">
        <is>
          <t>cruiser_203</t>
        </is>
      </c>
      <c r="B60" t="inlineStr">
        <is>
          <t>cruiser_203</t>
        </is>
      </c>
      <c r="C60" t="inlineStr">
        <is>
          <t>Mk 71 203 mm (twin)</t>
        </is>
      </c>
      <c r="D60" t="inlineStr">
        <is>
          <t>doi_that</t>
        </is>
      </c>
      <c r="E60" t="inlineStr">
        <is>
          <t>Mk 71 203 mm (twin)</t>
        </is>
      </c>
      <c r="F60" t="inlineStr"/>
      <c r="G60" t="inlineStr"/>
      <c r="H60" t="inlineStr"/>
      <c r="I60" t="inlineStr"/>
      <c r="J60" t="inlineStr"/>
      <c r="K60" t="inlineStr"/>
      <c r="L60" t="inlineStr">
        <is>
          <t>nhịp chậm hơn 30 % và mạnh hơn tương ứng (luật súng của game)</t>
        </is>
      </c>
      <c r="M60" t="inlineStr">
        <is>
          <t>gameplay</t>
        </is>
      </c>
      <c r="N60" t="inlineStr"/>
      <c r="O60" t="inlineStr">
        <is>
          <t>da_kiem_chung</t>
        </is>
      </c>
      <c r="P60" t="inlineStr">
        <is>
          <t>R_balance;R_full_weapon_audit;W_wikipedia_8_55_caliber_mark_71;R_machine_brigade_can_bang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203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12</v>
      </c>
      <c r="Y60" t="n">
        <v>12</v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gun</t>
        </is>
      </c>
      <c r="AD60" t="inlineStr">
        <is>
          <t>Wikipedia '8"/55 caliber Mark 71': 12 rpm</t>
        </is>
      </c>
      <c r="AE60" t="inlineStr">
        <is>
          <t>Mk 71 203 mm: 12 phát/phút</t>
        </is>
      </c>
      <c r="AF60" t="inlineStr">
        <is>
          <t>Tools/balance/full_weapon_audit.py: REAL / WARHEAD; balance.json weapons[id=cruiser_203].real</t>
        </is>
      </c>
      <c r="AG60" t="inlineStr"/>
    </row>
    <row r="61">
      <c r="A61" t="inlineStr">
        <is>
          <t>cruiser_203_guided</t>
        </is>
      </c>
      <c r="B61" t="inlineStr">
        <is>
          <t>cruiser_203_guided</t>
        </is>
      </c>
      <c r="C61" t="inlineStr">
        <is>
          <t>Mk 71 203 mm guided (twin)</t>
        </is>
      </c>
      <c r="D61" t="inlineStr">
        <is>
          <t>doi_that</t>
        </is>
      </c>
      <c r="E61" t="inlineStr">
        <is>
          <t>Mk 71 203 mm guided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/>
      <c r="AF61" t="inlineStr">
        <is>
          <t>Tools/balance/full_weapon_audit.py: REAL / WARHEAD; balance.json weapons[id=cruiser_203_guided].real</t>
        </is>
      </c>
      <c r="AG61" t="inlineStr"/>
    </row>
    <row r="62">
      <c r="A62" t="inlineStr">
        <is>
          <t>detonator</t>
        </is>
      </c>
      <c r="B62" t="inlineStr">
        <is>
          <t>detonator</t>
        </is>
      </c>
      <c r="C62" t="inlineStr">
        <is>
          <t>car bomb (900 kg)</t>
        </is>
      </c>
      <c r="D62" t="inlineStr">
        <is>
          <t>doi_that</t>
        </is>
      </c>
      <c r="E62" t="inlineStr">
        <is>
          <t>car bomb (900 kg)</t>
        </is>
      </c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uoc_dinh</t>
        </is>
      </c>
      <c r="P62" t="inlineStr">
        <is>
          <t>R_balance;R_full_weapon_audit;R_machine_brigade_can_bang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600</v>
      </c>
      <c r="Y62" t="inlineStr">
        <is>
          <t>NEED_SOURCE</t>
        </is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bomb</t>
        </is>
      </c>
      <c r="AD62" t="inlineStr">
        <is>
          <t>a stick's release, 0.1 s and up (est.)</t>
        </is>
      </c>
      <c r="AE62" t="inlineStr">
        <is>
          <t>VBIED: hàng trăm kg tới hơn 1 tấn thuốc nổ</t>
        </is>
      </c>
      <c r="AF62" t="inlineStr">
        <is>
          <t>Tools/balance/full_weapon_audit.py: REAL / WARHEAD; balance.json weapons[id=detonator].real</t>
        </is>
      </c>
      <c r="AG62" t="inlineStr"/>
    </row>
    <row r="63">
      <c r="A63" t="inlineStr">
        <is>
          <t>dozer_blade</t>
        </is>
      </c>
      <c r="B63" t="inlineStr">
        <is>
          <t>dozer_blade</t>
        </is>
      </c>
      <c r="C63" t="inlineStr">
        <is>
          <t>dozer blade</t>
        </is>
      </c>
      <c r="D63" t="inlineStr">
        <is>
          <t>doi_that</t>
        </is>
      </c>
      <c r="E63" t="inlineStr">
        <is>
          <t>dozer blade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ban_dau_doan</t>
        </is>
      </c>
      <c r="P63" t="inlineStr">
        <is>
          <t>R_balance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inlineStr">
        <is>
          <t>NEED_SOURCE</t>
        </is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/>
      <c r="AD63" t="inlineStr"/>
      <c r="AE63" t="inlineStr"/>
      <c r="AF63" t="inlineStr">
        <is>
          <t>Tools/balance/full_weapon_audit.py: REAL / WARHEAD; balance.json weapons[id=dozer_blade].real</t>
        </is>
      </c>
      <c r="AG63" t="inlineStr"/>
    </row>
    <row r="64">
      <c r="A64" t="inlineStr">
        <is>
          <t>drone_gun</t>
        </is>
      </c>
      <c r="B64" t="inlineStr">
        <is>
          <t>drone_gun</t>
        </is>
      </c>
      <c r="C64" t="inlineStr">
        <is>
          <t>M3P 12.7 mm</t>
        </is>
      </c>
      <c r="D64" t="inlineStr">
        <is>
          <t>doi_that</t>
        </is>
      </c>
      <c r="E64" t="inlineStr">
        <is>
          <t>M3P 12.7 mm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da_kiem_chung</t>
        </is>
      </c>
      <c r="P64" t="inlineStr">
        <is>
          <t>R_balance;R_full_weapon_audit;W_wikipedia_m3_browning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12.7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1200</v>
      </c>
      <c r="Y64" t="n">
        <v>200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mg</t>
        </is>
      </c>
      <c r="AD64" t="inlineStr">
        <is>
          <t>Wikipedia 'M3 Browning' (AN/M3): 1,100-1,250 rpm</t>
        </is>
      </c>
      <c r="AE64" t="inlineStr"/>
      <c r="AF64" t="inlineStr">
        <is>
          <t>Tools/balance/full_weapon_audit.py: REAL / WARHEAD; balance.json weapons[id=drone_gun].real</t>
        </is>
      </c>
      <c r="AG64" t="inlineStr"/>
    </row>
    <row r="65">
      <c r="A65" t="inlineStr">
        <is>
          <t>drone_missile</t>
        </is>
      </c>
      <c r="B65" t="inlineStr">
        <is>
          <t>drone_missile</t>
        </is>
      </c>
      <c r="C65" t="inlineStr">
        <is>
          <t>AGM-114 Hellfire</t>
        </is>
      </c>
      <c r="D65" t="inlineStr">
        <is>
          <t>doi_that</t>
        </is>
      </c>
      <c r="E65" t="inlineStr">
        <is>
          <t>AGM-114 Hellfire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uoc_dinh</t>
        </is>
      </c>
      <c r="P65" t="inlineStr">
        <is>
          <t>R_balance;R_full_weapon_audit;W_wikipedia_bai_cua_tung_ten_lua_bang_warhead;R_machine_brigade_can_bang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60</v>
      </c>
      <c r="Y65" t="n">
        <v>10</v>
      </c>
      <c r="Z65" t="inlineStr">
        <is>
          <t>NEED_SOURCE</t>
        </is>
      </c>
      <c r="AA65" t="inlineStr">
        <is>
          <t>NEED_SOURCE</t>
        </is>
      </c>
      <c r="AB65" t="n">
        <v>9</v>
      </c>
      <c r="AC65" t="inlineStr">
        <is>
          <t>atgm</t>
        </is>
      </c>
      <c r="AD65" t="inlineStr">
        <is>
          <t>air-launched: ripples ~1 s apart, est. 6 s an aimed shot</t>
        </is>
      </c>
      <c r="AE65" t="inlineStr">
        <is>
          <t>Hellfire</t>
        </is>
      </c>
      <c r="AF65" t="inlineStr">
        <is>
          <t>Tools/balance/full_weapon_audit.py: REAL / WARHEAD; balance.json weapons[id=drone_missile].real</t>
        </is>
      </c>
      <c r="AG65" t="inlineStr"/>
    </row>
    <row r="66">
      <c r="A66" t="inlineStr">
        <is>
          <t>fighter_cannon</t>
        </is>
      </c>
      <c r="B66" t="inlineStr">
        <is>
          <t>fighter_cannon</t>
        </is>
      </c>
      <c r="C66" t="inlineStr">
        <is>
          <t>GAU-22/A 25 mm</t>
        </is>
      </c>
      <c r="D66" t="inlineStr">
        <is>
          <t>doi_that</t>
        </is>
      </c>
      <c r="E66" t="inlineStr">
        <is>
          <t>GAU-22/A 25 mm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da_kiem_chung</t>
        </is>
      </c>
      <c r="P66" t="inlineStr">
        <is>
          <t>R_balance;R_full_weapon_audit;W_wikipedia_gau_22_a;R_machine_brigade_can_bang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n">
        <v>25</v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3300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ac</t>
        </is>
      </c>
      <c r="AD66" t="inlineStr">
        <is>
          <t>Wikipedia 'GAU-22/A': 3,300 rpm</t>
        </is>
      </c>
      <c r="AE66" t="inlineStr">
        <is>
          <t>GAU-22/A: 3.300</t>
        </is>
      </c>
      <c r="AF66" t="inlineStr">
        <is>
          <t>Tools/balance/full_weapon_audit.py: REAL / WARHEAD; balance.json weapons[id=fighter_cannon].real</t>
        </is>
      </c>
      <c r="AG66" t="inlineStr"/>
    </row>
    <row r="67">
      <c r="A67" t="inlineStr">
        <is>
          <t>fighter_cannon_ap</t>
        </is>
      </c>
      <c r="B67" t="inlineStr">
        <is>
          <t>fighter_cannon_ap</t>
        </is>
      </c>
      <c r="C67" t="inlineStr">
        <is>
          <t>GAU-22/A 25 mm AP</t>
        </is>
      </c>
      <c r="D67" t="inlineStr">
        <is>
          <t>doi_that</t>
        </is>
      </c>
      <c r="E67" t="inlineStr">
        <is>
          <t>GAU-22/A 25 mm AP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/>
      <c r="AF67" t="inlineStr">
        <is>
          <t>Tools/balance/full_weapon_audit.py: REAL / WARHEAD; balance.json weapons[id=fighter_cannon_ap].real</t>
        </is>
      </c>
      <c r="AG67" t="inlineStr"/>
    </row>
    <row r="68">
      <c r="A68" t="inlineStr">
        <is>
          <t>flak_35</t>
        </is>
      </c>
      <c r="B68" t="inlineStr">
        <is>
          <t>flak_35</t>
        </is>
      </c>
      <c r="C68" t="inlineStr">
        <is>
          <t>Oerlikon KDA 35 mm (Gepard)</t>
        </is>
      </c>
      <c r="D68" t="inlineStr">
        <is>
          <t>doi_that</t>
        </is>
      </c>
      <c r="E68" t="inlineStr">
        <is>
          <t>Oerlikon KDA 35 mm (Gepard)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R_balance;R_full_weapon_audit;W_wikipedia_oerlikon_gdf;R_machine_brigade_can_bang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35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550</v>
      </c>
      <c r="Y68" t="n">
        <v>300</v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aa</t>
        </is>
      </c>
      <c r="AD68" t="inlineStr">
        <is>
          <t>Wikipedia 'Oerlikon GDF' / 'Gepard': 2 x 550 rpm</t>
        </is>
      </c>
      <c r="AE68" t="inlineStr">
        <is>
          <t>KDA 35 mm: 550 phát/phút mỗi nòng</t>
        </is>
      </c>
      <c r="AF68" t="inlineStr">
        <is>
          <t>Tools/balance/full_weapon_audit.py: REAL / WARHEAD; balance.json weapons[id=flak_35].real</t>
        </is>
      </c>
      <c r="AG68" t="inlineStr"/>
    </row>
    <row r="69">
      <c r="A69" t="inlineStr">
        <is>
          <t>flak_35_ap</t>
        </is>
      </c>
      <c r="B69" t="inlineStr">
        <is>
          <t>flak_35_ap</t>
        </is>
      </c>
      <c r="C69" t="inlineStr">
        <is>
          <t>Oerlikon 35 mm AP (Gepard)</t>
        </is>
      </c>
      <c r="D69" t="inlineStr">
        <is>
          <t>doi_that</t>
        </is>
      </c>
      <c r="E69" t="inlineStr">
        <is>
          <t>Oerlikon 35 mm AP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GDF': 550 rpm a gun (the twin: 1,100)</t>
        </is>
      </c>
      <c r="AE69" t="inlineStr"/>
      <c r="AF69" t="inlineStr">
        <is>
          <t>Tools/balance/full_weapon_audit.py: REAL / WARHEAD; balance.json weapons[id=flak_35_ap].real</t>
        </is>
      </c>
      <c r="AG69" t="inlineStr"/>
    </row>
    <row r="70">
      <c r="A70" t="inlineStr">
        <is>
          <t>flak_quad</t>
        </is>
      </c>
      <c r="B70" t="inlineStr">
        <is>
          <t>flak_quad</t>
        </is>
      </c>
      <c r="C70" t="inlineStr">
        <is>
          <t>ZSU-23-4 23 mm (quad)</t>
        </is>
      </c>
      <c r="D70" t="inlineStr">
        <is>
          <t>doi_that</t>
        </is>
      </c>
      <c r="E70" t="inlineStr">
        <is>
          <t>ZSU-23-4 23 mm (quad)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R_balance;R_full_weapon_audit;W_wikipedia_zsu_23_4_shilka;R_machine_brigade_can_bang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23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1000</v>
      </c>
      <c r="Y70" t="n">
        <v>400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'ZSU-23-4 Shilka': 4 x 850-1,000 rpm</t>
        </is>
      </c>
      <c r="AE70" t="inlineStr">
        <is>
          <t>ZSU-23-4: 3.400–4.000 phát/phút</t>
        </is>
      </c>
      <c r="AF70" t="inlineStr">
        <is>
          <t>Tools/balance/full_weapon_audit.py: REAL / WARHEAD; balance.json weapons[id=flak_quad].real</t>
        </is>
      </c>
      <c r="AG70" t="inlineStr"/>
    </row>
    <row r="71">
      <c r="A71" t="inlineStr">
        <is>
          <t>flak_quad_ap</t>
        </is>
      </c>
      <c r="B71" t="inlineStr">
        <is>
          <t>flak_quad_ap</t>
        </is>
      </c>
      <c r="C71" t="inlineStr">
        <is>
          <t>ZSU-23-4 23 mm AP (quad)</t>
        </is>
      </c>
      <c r="D71" t="inlineStr">
        <is>
          <t>doi_that</t>
        </is>
      </c>
      <c r="E71" t="inlineStr">
        <is>
          <t>ZSU-23-4 23 mm AP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/>
      <c r="AF71" t="inlineStr">
        <is>
          <t>Tools/balance/full_weapon_audit.py: REAL / WARHEAD; balance.json weapons[id=flak_quad_ap].real</t>
        </is>
      </c>
      <c r="AG71" t="inlineStr"/>
    </row>
    <row r="72">
      <c r="A72" t="inlineStr">
        <is>
          <t>flamethrower</t>
        </is>
      </c>
      <c r="B72" t="inlineStr">
        <is>
          <t>flamethrower</t>
        </is>
      </c>
      <c r="C72" t="inlineStr">
        <is>
          <t>flamethrower</t>
        </is>
      </c>
      <c r="D72" t="inlineStr">
        <is>
          <t>doi_that</t>
        </is>
      </c>
      <c r="E72" t="inlineStr">
        <is>
          <t>flamethrower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ban_dau_doan</t>
        </is>
      </c>
      <c r="P72" t="inlineStr">
        <is>
          <t>R_balance;R_machine_brigade_can_bang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inlineStr">
        <is>
          <t>NEED_SOURCE</t>
        </is>
      </c>
      <c r="Y72" t="inlineStr">
        <is>
          <t>NEED_SOURCE</t>
        </is>
      </c>
      <c r="Z72" t="inlineStr">
        <is>
          <t>NEED_SOURCE</t>
        </is>
      </c>
      <c r="AA72" t="inlineStr">
        <is>
          <t>NEED_SOURCE</t>
        </is>
      </c>
      <c r="AB72" t="inlineStr"/>
      <c r="AC72" t="inlineStr"/>
      <c r="AD72" t="inlineStr"/>
      <c r="AE72" t="inlineStr">
        <is>
          <t>Súng phun lửa xe tăng: tầm 100–150 m</t>
        </is>
      </c>
      <c r="AF72" t="inlineStr">
        <is>
          <t>Tools/balance/full_weapon_audit.py: REAL / WARHEAD; balance.json weapons[id=flamethrower].real</t>
        </is>
      </c>
      <c r="AG72" t="inlineStr"/>
    </row>
    <row r="73">
      <c r="A73" t="inlineStr">
        <is>
          <t>focus_laser</t>
        </is>
      </c>
      <c r="B73" t="inlineStr">
        <is>
          <t>focus_laser</t>
        </is>
      </c>
      <c r="C73" t="inlineStr">
        <is>
          <t>focused laser (300 kW)</t>
        </is>
      </c>
      <c r="D73" t="inlineStr">
        <is>
          <t>doi_that</t>
        </is>
      </c>
      <c r="E73" t="inlineStr">
        <is>
          <t>focused laser (300 kW)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Laser 300 kW (HELIOS, DE M-SHORAD cấp cao)</t>
        </is>
      </c>
      <c r="AF73" t="inlineStr">
        <is>
          <t>Tools/balance/full_weapon_audit.py: REAL / WARHEAD; balance.json weapons[id=focus_laser].real</t>
        </is>
      </c>
      <c r="AG73" t="inlineStr"/>
    </row>
    <row r="74">
      <c r="A74" t="inlineStr">
        <is>
          <t>fpv_hangar</t>
        </is>
      </c>
      <c r="B74" t="inlineStr">
        <is>
          <t>fpv_hangar</t>
        </is>
      </c>
      <c r="C74" t="inlineStr">
        <is>
          <t>FPV drone (1.5 kg)</t>
        </is>
      </c>
      <c r="D74" t="inlineStr">
        <is>
          <t>doi_that</t>
        </is>
      </c>
      <c r="E74" t="inlineStr">
        <is>
          <t>FPV drone (1.5 kg)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FPV</t>
        </is>
      </c>
      <c r="AF74" t="inlineStr">
        <is>
          <t>Tools/balance/full_weapon_audit.py: REAL / WARHEAD; balance.json weapons[id=fpv_hangar].real</t>
        </is>
      </c>
      <c r="AG74" t="inlineStr"/>
    </row>
    <row r="75">
      <c r="A75" t="inlineStr">
        <is>
          <t>fpv_hangar_swarm</t>
        </is>
      </c>
      <c r="B75" t="inlineStr">
        <is>
          <t>fpv_hangar_swarm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weapons[id=fpv_hangar_swarm].real</t>
        </is>
      </c>
      <c r="AG75" t="inlineStr"/>
    </row>
    <row r="76">
      <c r="A76" t="inlineStr">
        <is>
          <t>fpv_swarm</t>
        </is>
      </c>
      <c r="B76" t="inlineStr">
        <is>
          <t>fpv_swarm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FPV: 1–2 kg đầu nổ; tầm 5–10 km</t>
        </is>
      </c>
      <c r="AF76" t="inlineStr">
        <is>
          <t>Tools/balance/full_weapon_audit.py: REAL / WARHEAD; balance.json weapons[id=fpv_swarm].real</t>
        </is>
      </c>
      <c r="AG76" t="inlineStr"/>
    </row>
    <row r="77">
      <c r="A77" t="inlineStr">
        <is>
          <t>gau_gatling</t>
        </is>
      </c>
      <c r="B77" t="inlineStr">
        <is>
          <t>gau_gatling</t>
        </is>
      </c>
      <c r="C77" t="inlineStr">
        <is>
          <t>GAU-8 Avenger 30 mm</t>
        </is>
      </c>
      <c r="D77" t="inlineStr">
        <is>
          <t>doi_that</t>
        </is>
      </c>
      <c r="E77" t="inlineStr">
        <is>
          <t>GAU-8 Avenger 30 mm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da_kiem_chung</t>
        </is>
      </c>
      <c r="P77" t="inlineStr">
        <is>
          <t>R_balance;R_full_weapon_audit;W_wikipedia_gau_8_avenger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n">
        <v>30</v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n">
        <v>3900</v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>
        <is>
          <t>ac</t>
        </is>
      </c>
      <c r="AD77" t="inlineStr">
        <is>
          <t>Wikipedia 'GAU-8 Avenger': 3,900 rpm</t>
        </is>
      </c>
      <c r="AE77" t="inlineStr"/>
      <c r="AF77" t="inlineStr">
        <is>
          <t>Tools/balance/full_weapon_audit.py: REAL / WARHEAD; balance.json weapons[id=gau_gatling].real</t>
        </is>
      </c>
      <c r="AG77" t="inlineStr"/>
    </row>
    <row r="78">
      <c r="A78" t="inlineStr">
        <is>
          <t>grad_cluster</t>
        </is>
      </c>
      <c r="B78" t="inlineStr">
        <is>
          <t>grad_cluster</t>
        </is>
      </c>
      <c r="C78" t="inlineStr">
        <is>
          <t>BM-21 Grad 122 mm (cluster)</t>
        </is>
      </c>
      <c r="D78" t="inlineStr">
        <is>
          <t>doi_that</t>
        </is>
      </c>
      <c r="E78" t="inlineStr">
        <is>
          <t>BM-21 Grad 122 mm (cluster)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R_balance;R_full_weapon_audit;W_wikipedia_bm_21_grad;R_machine_brigade_can_bang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122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120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rocket</t>
        </is>
      </c>
      <c r="AD78" t="inlineStr">
        <is>
          <t>Wikipedia 'BM-21 Grad': 40 rockets in 20 s</t>
        </is>
      </c>
      <c r="AE78" t="inlineStr">
        <is>
          <t>BM-21</t>
        </is>
      </c>
      <c r="AF78" t="inlineStr">
        <is>
          <t>Tools/balance/full_weapon_audit.py: REAL / WARHEAD; balance.json weapons[id=grad_cluster].real</t>
        </is>
      </c>
      <c r="AG78" t="inlineStr"/>
    </row>
    <row r="79">
      <c r="A79" t="inlineStr">
        <is>
          <t>grad_rockets</t>
        </is>
      </c>
      <c r="B79" t="inlineStr">
        <is>
          <t>grad_rockets</t>
        </is>
      </c>
      <c r="C79" t="inlineStr">
        <is>
          <t>BM-21 Grad 122 mm</t>
        </is>
      </c>
      <c r="D79" t="inlineStr">
        <is>
          <t>doi_that</t>
        </is>
      </c>
      <c r="E79" t="inlineStr">
        <is>
          <t>BM-21 Grad 122 mm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/>
      <c r="AF79" t="inlineStr">
        <is>
          <t>Tools/balance/full_weapon_audit.py: REAL / WARHEAD; balance.json weapons[id=grad_rockets].real</t>
        </is>
      </c>
      <c r="AG79" t="inlineStr"/>
    </row>
    <row r="80">
      <c r="A80" t="inlineStr">
        <is>
          <t>gsh_23v</t>
        </is>
      </c>
      <c r="B80" t="inlineStr">
        <is>
          <t>gsh_23v</t>
        </is>
      </c>
      <c r="C80" t="inlineStr">
        <is>
          <t>GSh-23V 23 mm</t>
        </is>
      </c>
      <c r="D80" t="inlineStr">
        <is>
          <t>doi_that</t>
        </is>
      </c>
      <c r="E80" t="inlineStr">
        <is>
          <t>GSh-23V 23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R_balance;R_full_weapon_audit;W_wikipedia_gryazev_shipunov_gsh_23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23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3400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ac</t>
        </is>
      </c>
      <c r="AD80" t="inlineStr">
        <is>
          <t>Wikipedia 'Gryazev-Shipunov GSh-23': 3,000-3,400 rpm (GSh-23V)</t>
        </is>
      </c>
      <c r="AE80" t="inlineStr"/>
      <c r="AF80" t="inlineStr">
        <is>
          <t>Tools/balance/full_weapon_audit.py: REAL / WARHEAD; balance.json weapons[id=gsh_23v].real</t>
        </is>
      </c>
      <c r="AG80" t="inlineStr"/>
    </row>
    <row r="81">
      <c r="A81" t="inlineStr">
        <is>
          <t>guided_bomb</t>
        </is>
      </c>
      <c r="B81" t="inlineStr">
        <is>
          <t>guided_bomb</t>
        </is>
      </c>
      <c r="C81" t="inlineStr">
        <is>
          <t>GBU-39 SDB (110 kg)</t>
        </is>
      </c>
      <c r="D81" t="inlineStr">
        <is>
          <t>doi_that</t>
        </is>
      </c>
      <c r="E81" t="inlineStr">
        <is>
          <t>GBU-39 SDB (110 kg)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uoc_dinh</t>
        </is>
      </c>
      <c r="P81" t="inlineStr">
        <is>
          <t>R_balance;R_full_weapon_audit;R_machine_brigade_can_bang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NEED_SOURCE</t>
        </is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600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bomb</t>
        </is>
      </c>
      <c r="AD81" t="inlineStr">
        <is>
          <t>a stick's release, 0.1 s and up (est.)</t>
        </is>
      </c>
      <c r="AE81" t="inlineStr">
        <is>
          <t>GBU-39 SDB: chỉ ~17 kg thuốc nổ (bom nhỏ, sát thương gọn)</t>
        </is>
      </c>
      <c r="AF81" t="inlineStr">
        <is>
          <t>Tools/balance/full_weapon_audit.py: REAL / WARHEAD; balance.json weapons[id=guided_bomb].real</t>
        </is>
      </c>
      <c r="AG81" t="inlineStr"/>
    </row>
    <row r="82">
      <c r="A82" t="inlineStr">
        <is>
          <t>gun_57_air</t>
        </is>
      </c>
      <c r="B82" t="inlineStr">
        <is>
          <t>gun_57_air</t>
        </is>
      </c>
      <c r="C82" t="inlineStr">
        <is>
          <t>AU-220 57 mm (air burst)</t>
        </is>
      </c>
      <c r="D82" t="inlineStr">
        <is>
          <t>doi_that</t>
        </is>
      </c>
      <c r="E82" t="inlineStr">
        <is>
          <t>AU-220 57 mm (air burst)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R_balance;R_full_weapon_audit;W_wikipedia_au_220m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57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120</v>
      </c>
      <c r="Y82" t="n">
        <v>80</v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ac</t>
        </is>
      </c>
      <c r="AD82" t="inlineStr">
        <is>
          <t>Wikipedia 'AU-220M': 80-120 rpm</t>
        </is>
      </c>
      <c r="AE82" t="inlineStr"/>
      <c r="AF82" t="inlineStr">
        <is>
          <t>Tools/balance/full_weapon_audit.py: REAL / WARHEAD; balance.json weapons[id=gun_57_air].real</t>
        </is>
      </c>
      <c r="AG82" t="inlineStr"/>
    </row>
    <row r="83">
      <c r="A83" t="inlineStr">
        <is>
          <t>gun_57_auto</t>
        </is>
      </c>
      <c r="B83" t="inlineStr">
        <is>
          <t>gun_57_auto</t>
        </is>
      </c>
      <c r="C83" t="inlineStr">
        <is>
          <t>AU-220 57 mm (tower, twin)</t>
        </is>
      </c>
      <c r="D83" t="inlineStr">
        <is>
          <t>doi_that</t>
        </is>
      </c>
      <c r="E83" t="inlineStr">
        <is>
          <t>AU-220 57 mm (tower, twin)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>
        <is>
          <t>AU-220M 57 mm: 120 phát/phút</t>
        </is>
      </c>
      <c r="AF83" t="inlineStr">
        <is>
          <t>Tools/balance/full_weapon_audit.py: REAL / WARHEAD; balance.json weapons[id=gun_57_auto].real</t>
        </is>
      </c>
      <c r="AG83" t="inlineStr"/>
    </row>
    <row r="84">
      <c r="A84" t="inlineStr">
        <is>
          <t>gun_57mm</t>
        </is>
      </c>
      <c r="B84" t="inlineStr">
        <is>
          <t>gun_57mm</t>
        </is>
      </c>
      <c r="C84" t="inlineStr">
        <is>
          <t>S-60 57 mm (2A91)</t>
        </is>
      </c>
      <c r="D84" t="inlineStr">
        <is>
          <t>doi_that</t>
        </is>
      </c>
      <c r="E84" t="inlineStr">
        <is>
          <t>S-60 57 mm (2A91)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S-60/2A91 57 mm: tự động 120 phát/phút</t>
        </is>
      </c>
      <c r="AF84" t="inlineStr">
        <is>
          <t>Tools/balance/full_weapon_audit.py: REAL / WARHEAD; balance.json weapons[id=gun_57mm].real</t>
        </is>
      </c>
      <c r="AG84" t="inlineStr"/>
    </row>
    <row r="85">
      <c r="A85" t="inlineStr">
        <is>
          <t>gun_57mm_he</t>
        </is>
      </c>
      <c r="B85" t="inlineStr">
        <is>
          <t>gun_57mm_he</t>
        </is>
      </c>
      <c r="C85" t="inlineStr">
        <is>
          <t>S-60 57 mm HE (2A91)</t>
        </is>
      </c>
      <c r="D85" t="inlineStr">
        <is>
          <t>doi_that</t>
        </is>
      </c>
      <c r="E85" t="inlineStr">
        <is>
          <t>S-60 57 mm HE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/>
      <c r="AF85" t="inlineStr">
        <is>
          <t>Tools/balance/full_weapon_audit.py: REAL / WARHEAD; balance.json weapons[id=gun_57mm_he].real</t>
        </is>
      </c>
      <c r="AG85" t="inlineStr"/>
    </row>
    <row r="86">
      <c r="A86" t="inlineStr">
        <is>
          <t>gun_100_river</t>
        </is>
      </c>
      <c r="B86" t="inlineStr">
        <is>
          <t>gun_100_river</t>
        </is>
      </c>
      <c r="C86" t="inlineStr">
        <is>
          <t>A-190 100 mm (Buyan-class river gunboat)</t>
        </is>
      </c>
      <c r="D86" t="inlineStr">
        <is>
          <t>doi_that</t>
        </is>
      </c>
      <c r="E86" t="inlineStr">
        <is>
          <t>A-190 100 mm (Buyan-class river gunboat)</t>
        </is>
      </c>
      <c r="F86" t="inlineStr"/>
      <c r="G86" t="inlineStr"/>
      <c r="H86" t="inlineStr"/>
      <c r="I86" t="inlineStr"/>
      <c r="J86" t="inlineStr"/>
      <c r="K86" t="inlineStr"/>
      <c r="L86" t="inlineStr">
        <is>
          <t>nhịp chậm hơn 30 % và mạnh hơn tương ứng (luật súng của game)</t>
        </is>
      </c>
      <c r="M86" t="inlineStr">
        <is>
          <t>gameplay</t>
        </is>
      </c>
      <c r="N86" t="inlineStr"/>
      <c r="O86" t="inlineStr">
        <is>
          <t>da_kiem_chung</t>
        </is>
      </c>
      <c r="P86" t="inlineStr">
        <is>
          <t>R_balance;R_full_weapon_audit;W_wikipedia_a_190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100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80</v>
      </c>
      <c r="Y86" t="n">
        <v>40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gun</t>
        </is>
      </c>
      <c r="AD86" t="inlineStr">
        <is>
          <t>Wikipedia 'A-190': 80 rpm</t>
        </is>
      </c>
      <c r="AE86" t="inlineStr"/>
      <c r="AF86" t="inlineStr">
        <is>
          <t>Tools/balance/full_weapon_audit.py: REAL / WARHEAD; balance.json weapons[id=gun_100_river].real</t>
        </is>
      </c>
      <c r="AG86" t="inlineStr"/>
    </row>
    <row r="87">
      <c r="A87" t="inlineStr">
        <is>
          <t>gun_105_apfsds</t>
        </is>
      </c>
      <c r="B87" t="inlineStr">
        <is>
          <t>gun_105_apfsds</t>
        </is>
      </c>
      <c r="C87" t="inlineStr">
        <is>
          <t>2A75 125 mm APFSDS</t>
        </is>
      </c>
      <c r="D87" t="inlineStr">
        <is>
          <t>doi_that</t>
        </is>
      </c>
      <c r="E87" t="inlineStr">
        <is>
          <t>2A75 125 mm APFSDS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R_balance;R_full_weapon_audit;W_wikipedia_2s25_sprut_sd;R_machine_brigade_can_bang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125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7</v>
      </c>
      <c r="Y87" t="n">
        <v>7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'2S25 Sprut-SD': ~7 rpm</t>
        </is>
      </c>
      <c r="AE87" t="inlineStr">
        <is>
          <t>2A75: ~7 phát/phút</t>
        </is>
      </c>
      <c r="AF87" t="inlineStr">
        <is>
          <t>Tools/balance/full_weapon_audit.py: REAL / WARHEAD; balance.json weapons[id=gun_105_apfsds].real</t>
        </is>
      </c>
      <c r="AG87" t="inlineStr"/>
    </row>
    <row r="88">
      <c r="A88" t="inlineStr">
        <is>
          <t>gun_105_apfsds_he</t>
        </is>
      </c>
      <c r="B88" t="inlineStr">
        <is>
          <t>gun_105_apfsds_he</t>
        </is>
      </c>
      <c r="C88" t="inlineStr">
        <is>
          <t>2A75 125 mm HE</t>
        </is>
      </c>
      <c r="D88" t="inlineStr">
        <is>
          <t>doi_that</t>
        </is>
      </c>
      <c r="E88" t="inlineStr">
        <is>
          <t>2A75 125 mm HE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/>
      <c r="AF88" t="inlineStr">
        <is>
          <t>Tools/balance/full_weapon_audit.py: REAL / WARHEAD; balance.json weapons[id=gun_105_apfsds_he].real</t>
        </is>
      </c>
      <c r="AG88" t="inlineStr"/>
    </row>
    <row r="89">
      <c r="A89" t="inlineStr">
        <is>
          <t>gun_105_bunker</t>
        </is>
      </c>
      <c r="B89" t="inlineStr">
        <is>
          <t>gun_105_bunker</t>
        </is>
      </c>
      <c r="C89" t="inlineStr">
        <is>
          <t>L7 105 mm</t>
        </is>
      </c>
      <c r="D89" t="inlineStr">
        <is>
          <t>doi_that</t>
        </is>
      </c>
      <c r="E89" t="inlineStr">
        <is>
          <t>L7 105 mm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R_balance;R_full_weapon_audit;W_wikipedia_royal_ordnance_l7;R_machine_brigade_can_bang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105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10</v>
      </c>
      <c r="Y89" t="n">
        <v>6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'Royal Ordnance L7': 6-10 rpm</t>
        </is>
      </c>
      <c r="AE89" t="inlineStr">
        <is>
          <t>L7 105 mm: 6–10 phát/phút</t>
        </is>
      </c>
      <c r="AF89" t="inlineStr">
        <is>
          <t>Tools/balance/full_weapon_audit.py: REAL / WARHEAD; balance.json weapons[id=gun_105_bunker].real</t>
        </is>
      </c>
      <c r="AG89" t="inlineStr"/>
    </row>
    <row r="90">
      <c r="A90" t="inlineStr">
        <is>
          <t>gun_105_bunker_he</t>
        </is>
      </c>
      <c r="B90" t="inlineStr">
        <is>
          <t>gun_105_bunker_he</t>
        </is>
      </c>
      <c r="C90" t="inlineStr">
        <is>
          <t>L7 105 mm HE</t>
        </is>
      </c>
      <c r="D90" t="inlineStr">
        <is>
          <t>doi_that</t>
        </is>
      </c>
      <c r="E90" t="inlineStr">
        <is>
          <t>L7 105 mm HE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/>
      <c r="AF90" t="inlineStr">
        <is>
          <t>Tools/balance/full_weapon_audit.py: REAL / WARHEAD; balance.json weapons[id=gun_105_bunker_he].real</t>
        </is>
      </c>
      <c r="AG90" t="inlineStr"/>
    </row>
    <row r="91">
      <c r="A91" t="inlineStr">
        <is>
          <t>gun_105_long</t>
        </is>
      </c>
      <c r="B91" t="inlineStr">
        <is>
          <t>gun_105_long</t>
        </is>
      </c>
      <c r="C91" t="inlineStr">
        <is>
          <t>2A75 125 mm (2S25 Sprut)</t>
        </is>
      </c>
      <c r="D91" t="inlineStr">
        <is>
          <t>doi_that</t>
        </is>
      </c>
      <c r="E91" t="inlineStr">
        <is>
          <t>2A75 125 mm (2S25 Sprut)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R_balance;R_full_weapon_audit;W_wikipedia_2s25_sprut_sd;R_machine_brigade_can_bang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125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7</v>
      </c>
      <c r="Y91" t="n">
        <v>7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'2S25 Sprut-SD': ~7 rpm</t>
        </is>
      </c>
      <c r="AE91" t="inlineStr">
        <is>
          <t>2A75 (2S25 Sprut) nạp tự động: ~7 phát/phút</t>
        </is>
      </c>
      <c r="AF91" t="inlineStr">
        <is>
          <t>Tools/balance/full_weapon_audit.py: REAL / WARHEAD; balance.json weapons[id=gun_105_long].real</t>
        </is>
      </c>
      <c r="AG91" t="inlineStr"/>
    </row>
    <row r="92">
      <c r="A92" t="inlineStr">
        <is>
          <t>gun_105_long_he</t>
        </is>
      </c>
      <c r="B92" t="inlineStr">
        <is>
          <t>gun_105_long_he</t>
        </is>
      </c>
      <c r="C92" t="inlineStr">
        <is>
          <t>2A75 125 mm HE (2S25 Sprut)</t>
        </is>
      </c>
      <c r="D92" t="inlineStr">
        <is>
          <t>doi_that</t>
        </is>
      </c>
      <c r="E92" t="inlineStr">
        <is>
          <t>2A75 125 mm HE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/>
      <c r="AF92" t="inlineStr">
        <is>
          <t>Tools/balance/full_weapon_audit.py: REAL / WARHEAD; balance.json weapons[id=gun_105_long_he].real</t>
        </is>
      </c>
      <c r="AG92" t="inlineStr"/>
    </row>
    <row r="93">
      <c r="A93" t="inlineStr">
        <is>
          <t>gun_105_twin</t>
        </is>
      </c>
      <c r="B93" t="inlineStr">
        <is>
          <t>gun_105_twin</t>
        </is>
      </c>
      <c r="C93" t="inlineStr">
        <is>
          <t>L7 105 mm (twin)</t>
        </is>
      </c>
      <c r="D93" t="inlineStr">
        <is>
          <t>doi_that</t>
        </is>
      </c>
      <c r="E93" t="inlineStr">
        <is>
          <t>L7 105 mm (twin)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R_balance;R_full_weapon_audit;W_wikipedia_royal_ordnance_l7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105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10</v>
      </c>
      <c r="Y93" t="n">
        <v>6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'Royal Ordnance L7': 6-10 rpm</t>
        </is>
      </c>
      <c r="AE93" t="inlineStr"/>
      <c r="AF93" t="inlineStr">
        <is>
          <t>Tools/balance/full_weapon_audit.py: REAL / WARHEAD; balance.json weapons[id=gun_105_twin].real</t>
        </is>
      </c>
      <c r="AG93" t="inlineStr"/>
    </row>
    <row r="94">
      <c r="A94" t="inlineStr">
        <is>
          <t>gun_105_wheeled</t>
        </is>
      </c>
      <c r="B94" t="inlineStr">
        <is>
          <t>gun_105_wheeled</t>
        </is>
      </c>
      <c r="C94" t="inlineStr">
        <is>
          <t>Centauro II 120 mm</t>
        </is>
      </c>
      <c r="D94" t="inlineStr">
        <is>
          <t>doi_that</t>
        </is>
      </c>
      <c r="E94" t="inlineStr">
        <is>
          <t>Centauro II 120 mm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ban_dau_doan</t>
        </is>
      </c>
      <c r="P94" t="inlineStr">
        <is>
          <t>R_balance;R_full_weapon_audit;R_machine_brigade_can_bang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120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8</v>
      </c>
      <c r="Y94" t="n">
        <v>6</v>
      </c>
      <c r="Z94" t="inlineStr">
        <is>
          <t>tay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Centauro II 120 mm, manual: 6-8 rpm (the sheet)</t>
        </is>
      </c>
      <c r="AE94" t="inlineStr">
        <is>
          <t>Centauro II 120 mm nạp tay: ~6–8 phát/phút</t>
        </is>
      </c>
      <c r="AF94" t="inlineStr">
        <is>
          <t>Tools/balance/full_weapon_audit.py: REAL / WARHEAD; balance.json weapons[id=gun_105_wheeled].real</t>
        </is>
      </c>
      <c r="AG94" t="inlineStr"/>
    </row>
    <row r="95">
      <c r="A95" t="inlineStr">
        <is>
          <t>gun_105_wheeled_he</t>
        </is>
      </c>
      <c r="B95" t="inlineStr">
        <is>
          <t>gun_105_wheeled_he</t>
        </is>
      </c>
      <c r="C95" t="inlineStr">
        <is>
          <t>Centauro II 120 mm HE</t>
        </is>
      </c>
      <c r="D95" t="inlineStr">
        <is>
          <t>doi_that</t>
        </is>
      </c>
      <c r="E95" t="inlineStr">
        <is>
          <t>Centauro II 120 mm HE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/>
      <c r="AF95" t="inlineStr">
        <is>
          <t>Tools/balance/full_weapon_audit.py: REAL / WARHEAD; balance.json weapons[id=gun_105_wheeled_he].real</t>
        </is>
      </c>
      <c r="AG95" t="inlineStr"/>
    </row>
    <row r="96">
      <c r="A96" t="inlineStr">
        <is>
          <t>gun_120_twin</t>
        </is>
      </c>
      <c r="B96" t="inlineStr">
        <is>
          <t>gun_120_twin</t>
        </is>
      </c>
      <c r="C96" t="inlineStr">
        <is>
          <t>Rh-120 L/44 120 mm (twin)</t>
        </is>
      </c>
      <c r="D96" t="inlineStr">
        <is>
          <t>doi_that</t>
        </is>
      </c>
      <c r="E96" t="inlineStr">
        <is>
          <t>Rh-120 L/44 120 mm (twin)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da_kiem_chung</t>
        </is>
      </c>
      <c r="P96" t="inlineStr">
        <is>
          <t>R_balance;R_full_weapon_audit;W_wikipedia_rheinmetall_120_mm_gun;R_machine_brigade_can_bang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the sheet's 'Ngoài đời': Rh-120 6-8 rpm with a loader (Wikipedia 'Rheinmetall 120 mm gun')</t>
        </is>
      </c>
      <c r="AE96" t="inlineStr">
        <is>
          <t>Rh-120</t>
        </is>
      </c>
      <c r="AF96" t="inlineStr">
        <is>
          <t>Tools/balance/full_weapon_audit.py: REAL / WARHEAD; balance.json weapons[id=gun_120_twin].real</t>
        </is>
      </c>
      <c r="AG96" t="inlineStr"/>
    </row>
    <row r="97">
      <c r="A97" t="inlineStr">
        <is>
          <t>gun_120_twin_he</t>
        </is>
      </c>
      <c r="B97" t="inlineStr">
        <is>
          <t>gun_120_twin_he</t>
        </is>
      </c>
      <c r="C97" t="inlineStr">
        <is>
          <t>Rh-120 L/44 120 mm HE (twin)</t>
        </is>
      </c>
      <c r="D97" t="inlineStr">
        <is>
          <t>doi_that</t>
        </is>
      </c>
      <c r="E97" t="inlineStr">
        <is>
          <t>Rh-120 L/44 120 mm HE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/>
      <c r="AF97" t="inlineStr">
        <is>
          <t>Tools/balance/full_weapon_audit.py: REAL / WARHEAD; balance.json weapons[id=gun_120_twin_he].real</t>
        </is>
      </c>
      <c r="AG97" t="inlineStr"/>
    </row>
    <row r="98">
      <c r="A98" t="inlineStr">
        <is>
          <t>gun_120mm</t>
        </is>
      </c>
      <c r="B98" t="inlineStr">
        <is>
          <t>gun_120mm</t>
        </is>
      </c>
      <c r="C98" t="inlineStr">
        <is>
          <t>Rh-120 L/44 120 mm</t>
        </is>
      </c>
      <c r="D98" t="inlineStr">
        <is>
          <t>doi_that</t>
        </is>
      </c>
      <c r="E98" t="inlineStr">
        <is>
          <t>Rh-120 L/44 120 mm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>
        <is>
          <t>Rh-120: 6–8 phát/phút</t>
        </is>
      </c>
      <c r="AF98" t="inlineStr">
        <is>
          <t>Tools/balance/full_weapon_audit.py: REAL / WARHEAD; balance.json weapons[id=gun_120mm].real</t>
        </is>
      </c>
      <c r="AG98" t="inlineStr"/>
    </row>
    <row r="99">
      <c r="A99" t="inlineStr">
        <is>
          <t>gun_120mm_he</t>
        </is>
      </c>
      <c r="B99" t="inlineStr">
        <is>
          <t>gun_120mm_he</t>
        </is>
      </c>
      <c r="C99" t="inlineStr">
        <is>
          <t>Rh-120 L/44 120 mm HE</t>
        </is>
      </c>
      <c r="D99" t="inlineStr">
        <is>
          <t>doi_that</t>
        </is>
      </c>
      <c r="E99" t="inlineStr">
        <is>
          <t>Rh-120 L/44 120 mm HE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/>
      <c r="AF99" t="inlineStr">
        <is>
          <t>Tools/balance/full_weapon_audit.py: REAL / WARHEAD; balance.json weapons[id=gun_120mm_he].real</t>
        </is>
      </c>
      <c r="AG99" t="inlineStr"/>
    </row>
    <row r="100">
      <c r="A100" t="inlineStr">
        <is>
          <t>gun_125_armata_ke</t>
        </is>
      </c>
      <c r="B100" t="inlineStr">
        <is>
          <t>gun_125_armata_ke</t>
        </is>
      </c>
      <c r="C100" t="inlineStr">
        <is>
          <t>125 mm smoothbore (T-14 Armata)</t>
        </is>
      </c>
      <c r="D100" t="inlineStr">
        <is>
          <t>doi_that</t>
        </is>
      </c>
      <c r="E100" t="inlineStr">
        <is>
          <t>125 mm smoothbore (T-14 Armata)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R_balance;R_full_weapon_audit;W_wikipedia_2a46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125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7</v>
      </c>
      <c r="Z100" t="inlineStr">
        <is>
          <t>tu_dong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Wikipedia '2A46': 7-8 rpm with the autoloader</t>
        </is>
      </c>
      <c r="AE100" t="inlineStr"/>
      <c r="AF100" t="inlineStr">
        <is>
          <t>Tools/balance/full_weapon_audit.py: REAL / WARHEAD; balance.json weapons[id=gun_125_armata_ke].real</t>
        </is>
      </c>
      <c r="AG100" t="inlineStr"/>
    </row>
    <row r="101">
      <c r="A101" t="inlineStr">
        <is>
          <t>gun_125_elite</t>
        </is>
      </c>
      <c r="B101" t="inlineStr">
        <is>
          <t>gun_125_elite</t>
        </is>
      </c>
      <c r="C101" t="inlineStr">
        <is>
          <t>2A46M-5 125 mm</t>
        </is>
      </c>
      <c r="D101" t="inlineStr">
        <is>
          <t>doi_that</t>
        </is>
      </c>
      <c r="E101" t="inlineStr">
        <is>
          <t>2A46M-5 125 mm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>
        <is>
          <t>2A46M-5: 7–8 phát/phút (nạp tự động)</t>
        </is>
      </c>
      <c r="AF101" t="inlineStr">
        <is>
          <t>Tools/balance/full_weapon_audit.py: REAL / WARHEAD; balance.json weapons[id=gun_125_elite].real</t>
        </is>
      </c>
      <c r="AG101" t="inlineStr"/>
    </row>
    <row r="102">
      <c r="A102" t="inlineStr">
        <is>
          <t>gun_125_elite_he</t>
        </is>
      </c>
      <c r="B102" t="inlineStr">
        <is>
          <t>gun_125_elite_he</t>
        </is>
      </c>
      <c r="C102" t="inlineStr">
        <is>
          <t>2A46M-5 125 mm HE</t>
        </is>
      </c>
      <c r="D102" t="inlineStr">
        <is>
          <t>doi_that</t>
        </is>
      </c>
      <c r="E102" t="inlineStr">
        <is>
          <t>2A46M-5 125 mm HE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/>
      <c r="AF102" t="inlineStr">
        <is>
          <t>Tools/balance/full_weapon_audit.py: REAL / WARHEAD; balance.json weapons[id=gun_125_elite_he].real</t>
        </is>
      </c>
      <c r="AG102" t="inlineStr"/>
    </row>
    <row r="103">
      <c r="A103" t="inlineStr">
        <is>
          <t>gun_140_twin</t>
        </is>
      </c>
      <c r="B103" t="inlineStr">
        <is>
          <t>gun_140_twin</t>
        </is>
      </c>
      <c r="C103" t="inlineStr">
        <is>
          <t>NPzK 140 mm (twin)</t>
        </is>
      </c>
      <c r="D103" t="inlineStr">
        <is>
          <t>doi_that</t>
        </is>
      </c>
      <c r="E103" t="inlineStr">
        <is>
          <t>NPzK 140 mm (twin)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uoc_dinh</t>
        </is>
      </c>
      <c r="P103" t="inlineStr">
        <is>
          <t>R_balance;R_full_weapon_audit;R_machine_brigade_can_bang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140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10</v>
      </c>
      <c r="Y103" t="n">
        <v>8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NPzK 140 mm (experimental), est. 10 rpm with an autoloader (Leclerc-class)</t>
        </is>
      </c>
      <c r="AE103" t="inlineStr">
        <is>
          <t>NPzK 140 mm (thử nghiệm)</t>
        </is>
      </c>
      <c r="AF103" t="inlineStr">
        <is>
          <t>Tools/balance/full_weapon_audit.py: REAL / WARHEAD; balance.json weapons[id=gun_140_twin].real</t>
        </is>
      </c>
      <c r="AG103" t="inlineStr"/>
    </row>
    <row r="104">
      <c r="A104" t="inlineStr">
        <is>
          <t>gun_140_twin_he</t>
        </is>
      </c>
      <c r="B104" t="inlineStr">
        <is>
          <t>gun_140_twin_he</t>
        </is>
      </c>
      <c r="C104" t="inlineStr">
        <is>
          <t>NPzK 140 mm HE (twin)</t>
        </is>
      </c>
      <c r="D104" t="inlineStr">
        <is>
          <t>doi_that</t>
        </is>
      </c>
      <c r="E104" t="inlineStr">
        <is>
          <t>NPzK 140 mm HE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/>
      <c r="AF104" t="inlineStr">
        <is>
          <t>Tools/balance/full_weapon_audit.py: REAL / WARHEAD; balance.json weapons[id=gun_140_twin_he].real</t>
        </is>
      </c>
      <c r="AG104" t="inlineStr"/>
    </row>
    <row r="105">
      <c r="A105" t="inlineStr">
        <is>
          <t>gun_152</t>
        </is>
      </c>
      <c r="B105" t="inlineStr">
        <is>
          <t>gun_152</t>
        </is>
      </c>
      <c r="C105" t="inlineStr">
        <is>
          <t>2A83 152 mm</t>
        </is>
      </c>
      <c r="D105" t="inlineStr">
        <is>
          <t>doi_that</t>
        </is>
      </c>
      <c r="E105" t="inlineStr">
        <is>
          <t>2A83 152 mm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R_balance;R_full_weapon_audit;R_machine_brigade_can_bang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152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NEED_SOURCE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Object 195 / T-14 152 mm, est. ~10 rpm (the sheet)</t>
        </is>
      </c>
      <c r="AE105" t="inlineStr">
        <is>
          <t>2A83 152 mm (Object 195): ~10 phát/phút (ước lượng)</t>
        </is>
      </c>
      <c r="AF105" t="inlineStr">
        <is>
          <t>Tools/balance/full_weapon_audit.py: REAL / WARHEAD; balance.json weapons[id=gun_152].real</t>
        </is>
      </c>
      <c r="AG105" t="inlineStr"/>
    </row>
    <row r="106">
      <c r="A106" t="inlineStr">
        <is>
          <t>gun_152_he</t>
        </is>
      </c>
      <c r="B106" t="inlineStr">
        <is>
          <t>gun_152_he</t>
        </is>
      </c>
      <c r="C106" t="inlineStr">
        <is>
          <t>2A83 152 mm HE-FRAG</t>
        </is>
      </c>
      <c r="D106" t="inlineStr">
        <is>
          <t>doi_that</t>
        </is>
      </c>
      <c r="E106" t="inlineStr">
        <is>
          <t>2A83 152 mm HE-FRAG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</t>
        </is>
      </c>
      <c r="AF106" t="inlineStr">
        <is>
          <t>Tools/balance/full_weapon_audit.py: REAL / WARHEAD; balance.json weapons[id=gun_152_he].real</t>
        </is>
      </c>
      <c r="AG106" t="inlineStr"/>
    </row>
    <row r="107">
      <c r="A107" t="inlineStr">
        <is>
          <t>gun_152_heat</t>
        </is>
      </c>
      <c r="B107" t="inlineStr">
        <is>
          <t>gun_152_heat</t>
        </is>
      </c>
      <c r="C107" t="inlineStr">
        <is>
          <t>2A83 152 mm HEAT</t>
        </is>
      </c>
      <c r="D107" t="inlineStr">
        <is>
          <t>doi_that</t>
        </is>
      </c>
      <c r="E107" t="inlineStr">
        <is>
          <t>2A83 152 mm HEAT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weapons[id=gun_152_heat].real</t>
        </is>
      </c>
      <c r="AG107" t="inlineStr"/>
    </row>
    <row r="108">
      <c r="A108" t="inlineStr">
        <is>
          <t>gun_152_heat_he</t>
        </is>
      </c>
      <c r="B108" t="inlineStr">
        <is>
          <t>gun_152_heat_he</t>
        </is>
      </c>
      <c r="C108" t="inlineStr">
        <is>
          <t>2A83 152 mm HE-FRAG</t>
        </is>
      </c>
      <c r="D108" t="inlineStr">
        <is>
          <t>doi_that</t>
        </is>
      </c>
      <c r="E108" t="inlineStr">
        <is>
          <t>2A83 152 mm HE-FRAG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/>
      <c r="AF108" t="inlineStr">
        <is>
          <t>Tools/balance/full_weapon_audit.py: REAL / WARHEAD; balance.json weapons[id=gun_152_heat_he].real</t>
        </is>
      </c>
      <c r="AG108" t="inlineStr"/>
    </row>
    <row r="109">
      <c r="A109" t="inlineStr">
        <is>
          <t>gun_155_coastal</t>
        </is>
      </c>
      <c r="B109" t="inlineStr">
        <is>
          <t>gun_155_coastal</t>
        </is>
      </c>
      <c r="C109" t="inlineStr">
        <is>
          <t>M284 155 mm (coastal battery)</t>
        </is>
      </c>
      <c r="D109" t="inlineStr">
        <is>
          <t>doi_that</t>
        </is>
      </c>
      <c r="E109" t="inlineStr">
        <is>
          <t>M284 155 mm (coastal battery)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da_kiem_chung</t>
        </is>
      </c>
      <c r="P109" t="inlineStr">
        <is>
          <t>R_balance;R_full_weapon_audit;D_us_army_m109a7_fact_file;R_machine_brigade_can_bang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155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4</v>
      </c>
      <c r="Y109" t="n">
        <v>1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US Army M109A7 fact file: 4 rpm for 3 min, 1 rpm sustained</t>
        </is>
      </c>
      <c r="AE109" t="inlineStr">
        <is>
          <t>M284 155 mm</t>
        </is>
      </c>
      <c r="AF109" t="inlineStr">
        <is>
          <t>Tools/balance/full_weapon_audit.py: REAL / WARHEAD; balance.json weapons[id=gun_155_coastal].real</t>
        </is>
      </c>
      <c r="AG109" t="inlineStr"/>
    </row>
    <row r="110">
      <c r="A110" t="inlineStr">
        <is>
          <t>gun_155_coastal_guided</t>
        </is>
      </c>
      <c r="B110" t="inlineStr">
        <is>
          <t>gun_155_coastal_guided</t>
        </is>
      </c>
      <c r="C110" t="inlineStr">
        <is>
          <t>M284 155 mm guided (coastal battery)</t>
        </is>
      </c>
      <c r="D110" t="inlineStr">
        <is>
          <t>doi_that</t>
        </is>
      </c>
      <c r="E110" t="inlineStr">
        <is>
          <t>M284 155 mm guided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/>
      <c r="AF110" t="inlineStr">
        <is>
          <t>Tools/balance/full_weapon_audit.py: REAL / WARHEAD; balance.json weapons[id=gun_155_coastal_guided].real</t>
        </is>
      </c>
      <c r="AG110" t="inlineStr"/>
    </row>
    <row r="111">
      <c r="A111" t="inlineStr">
        <is>
          <t>gun_155_sph</t>
        </is>
      </c>
      <c r="B111" t="inlineStr">
        <is>
          <t>gun_155_sph</t>
        </is>
      </c>
      <c r="C111" t="inlineStr">
        <is>
          <t>M284 155 mm</t>
        </is>
      </c>
      <c r="D111" t="inlineStr">
        <is>
          <t>doi_that</t>
        </is>
      </c>
      <c r="E111" t="inlineStr">
        <is>
          <t>M284 155 mm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weapons[id=gun_155_sph].real</t>
        </is>
      </c>
      <c r="AG111" t="inlineStr"/>
    </row>
    <row r="112">
      <c r="A112" t="inlineStr">
        <is>
          <t>gun_155_twin</t>
        </is>
      </c>
      <c r="B112" t="inlineStr">
        <is>
          <t>gun_155_twin</t>
        </is>
      </c>
      <c r="C112" t="inlineStr">
        <is>
          <t>M284 155 mm (twin)</t>
        </is>
      </c>
      <c r="D112" t="inlineStr">
        <is>
          <t>doi_that</t>
        </is>
      </c>
      <c r="E112" t="inlineStr">
        <is>
          <t>M284 155 mm (twin)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weapons[id=gun_155_twin].real</t>
        </is>
      </c>
      <c r="AG112" t="inlineStr"/>
    </row>
    <row r="113">
      <c r="A113" t="inlineStr">
        <is>
          <t>gun_155_twin_ap</t>
        </is>
      </c>
      <c r="B113" t="inlineStr">
        <is>
          <t>gun_155_twin_ap</t>
        </is>
      </c>
      <c r="C113" t="inlineStr">
        <is>
          <t>M284 155 mm (twin) AP</t>
        </is>
      </c>
      <c r="D113" t="inlineStr">
        <is>
          <t>doi_that</t>
        </is>
      </c>
      <c r="E113" t="inlineStr">
        <is>
          <t>M284 155 mm (twin) AP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weapons[id=gun_155_twin_ap].real</t>
        </is>
      </c>
      <c r="AG113" t="inlineStr"/>
    </row>
    <row r="114">
      <c r="A114" t="inlineStr">
        <is>
          <t>gun_155_twin_coastlr</t>
        </is>
      </c>
      <c r="B114" t="inlineStr">
        <is>
          <t>gun_155_twin_coastlr</t>
        </is>
      </c>
      <c r="C114" t="inlineStr">
        <is>
          <t>M284 155 mm (twin, long-range coastal)</t>
        </is>
      </c>
      <c r="D114" t="inlineStr">
        <is>
          <t>doi_that</t>
        </is>
      </c>
      <c r="E114" t="inlineStr">
        <is>
          <t>M284 155 mm (twin, long-range coastal)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R_balance;R_full_weapon_audit;D_us_army_m109a7_fact_file;R_machine_brigade_can_bang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>
        <is>
          <t>M284 155 mm</t>
        </is>
      </c>
      <c r="AF114" t="inlineStr">
        <is>
          <t>Tools/balance/full_weapon_audit.py: REAL / WARHEAD; balance.json weapons[id=gun_155_twin_coastlr].real</t>
        </is>
      </c>
      <c r="AG114" t="inlineStr"/>
    </row>
    <row r="115">
      <c r="A115" t="inlineStr">
        <is>
          <t>gun_155_twin_coastlr_guided</t>
        </is>
      </c>
      <c r="B115" t="inlineStr">
        <is>
          <t>gun_155_twin_coastlr_guided</t>
        </is>
      </c>
      <c r="C115" t="inlineStr">
        <is>
          <t>M284 155 mm guided (twin, long-range coastal)</t>
        </is>
      </c>
      <c r="D115" t="inlineStr">
        <is>
          <t>doi_that</t>
        </is>
      </c>
      <c r="E115" t="inlineStr">
        <is>
          <t>M284 155 mm guided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/>
      <c r="AF115" t="inlineStr">
        <is>
          <t>Tools/balance/full_weapon_audit.py: REAL / WARHEAD; balance.json weapons[id=gun_155_twin_coastlr_guided].real</t>
        </is>
      </c>
      <c r="AG115" t="inlineStr"/>
    </row>
    <row r="116">
      <c r="A116" t="inlineStr">
        <is>
          <t>gun_155_twin_fort</t>
        </is>
      </c>
      <c r="B116" t="inlineStr">
        <is>
          <t>gun_155_twin_fort</t>
        </is>
      </c>
      <c r="C116" t="inlineStr">
        <is>
          <t>M284 155 mm (twin)</t>
        </is>
      </c>
      <c r="D116" t="inlineStr">
        <is>
          <t>doi_that</t>
        </is>
      </c>
      <c r="E116" t="inlineStr">
        <is>
          <t>M284 155 mm (twin)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R_balance;R_full_weapon_audit;D_us_army_m109a7_fact_file;R_machine_brigade_can_bang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>
        <is>
          <t>M284 155 mm</t>
        </is>
      </c>
      <c r="AF116" t="inlineStr">
        <is>
          <t>Tools/balance/full_weapon_audit.py: REAL / WARHEAD; balance.json weapons[id=gun_155_twin_fort].real</t>
        </is>
      </c>
      <c r="AG116" t="inlineStr"/>
    </row>
    <row r="117">
      <c r="A117" t="inlineStr">
        <is>
          <t>gun_155_twin_fort_guided</t>
        </is>
      </c>
      <c r="B117" t="inlineStr">
        <is>
          <t>gun_155_twin_fort_guided</t>
        </is>
      </c>
      <c r="C117" t="inlineStr">
        <is>
          <t>M284 155 mm guided (twin)</t>
        </is>
      </c>
      <c r="D117" t="inlineStr">
        <is>
          <t>doi_that</t>
        </is>
      </c>
      <c r="E117" t="inlineStr">
        <is>
          <t>M284 155 mm guided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/>
      <c r="AF117" t="inlineStr">
        <is>
          <t>Tools/balance/full_weapon_audit.py: REAL / WARHEAD; balance.json weapons[id=gun_155_twin_fort_guided].real</t>
        </is>
      </c>
      <c r="AG117" t="inlineStr"/>
    </row>
    <row r="118">
      <c r="A118" t="inlineStr">
        <is>
          <t>gun_155_twin_long</t>
        </is>
      </c>
      <c r="B118" t="inlineStr">
        <is>
          <t>gun_155_twin_long</t>
        </is>
      </c>
      <c r="C118" t="inlineStr">
        <is>
          <t>M284 155 mm (twin, long)</t>
        </is>
      </c>
      <c r="D118" t="inlineStr">
        <is>
          <t>doi_that</t>
        </is>
      </c>
      <c r="E118" t="inlineStr">
        <is>
          <t>M284 155 mm (twin, long)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weapons[id=gun_155_twin_long].real</t>
        </is>
      </c>
      <c r="AG118" t="inlineStr"/>
    </row>
    <row r="119">
      <c r="A119" t="inlineStr">
        <is>
          <t>gun_203_siege</t>
        </is>
      </c>
      <c r="B119" t="inlineStr">
        <is>
          <t>gun_203_siege</t>
        </is>
      </c>
      <c r="C119" t="inlineStr">
        <is>
          <t>M110 203 mm</t>
        </is>
      </c>
      <c r="D119" t="inlineStr">
        <is>
          <t>doi_that</t>
        </is>
      </c>
      <c r="E119" t="inlineStr">
        <is>
          <t>M110 203 mm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R_balance;R_full_weapon_audit;W_wikipedia_m110_howitzer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203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2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Wikipedia 'M110 howitzer': 1.5-2 rpm</t>
        </is>
      </c>
      <c r="AE119" t="inlineStr"/>
      <c r="AF119" t="inlineStr">
        <is>
          <t>Tools/balance/full_weapon_audit.py: REAL / WARHEAD; balance.json weapons[id=gun_203_siege].real</t>
        </is>
      </c>
      <c r="AG119" t="inlineStr"/>
    </row>
    <row r="120">
      <c r="A120" t="inlineStr">
        <is>
          <t>gun_behemoth</t>
        </is>
      </c>
      <c r="B120" t="inlineStr">
        <is>
          <t>gun_behemoth</t>
        </is>
      </c>
      <c r="C120" t="inlineStr">
        <is>
          <t>2A65 152 mm (twin)</t>
        </is>
      </c>
      <c r="D120" t="inlineStr">
        <is>
          <t>doi_that</t>
        </is>
      </c>
      <c r="E120" t="inlineStr">
        <is>
          <t>2A65 152 mm (twin)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R_balance;R_full_weapon_audit;W_wikipedia_2a65_msta_b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152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8</v>
      </c>
      <c r="Y120" t="n">
        <v>6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'2A65 Msta-B': 7-8 rpm</t>
        </is>
      </c>
      <c r="AE120" t="inlineStr"/>
      <c r="AF120" t="inlineStr">
        <is>
          <t>Tools/balance/full_weapon_audit.py: REAL / WARHEAD; balance.json weapons[id=gun_behemoth].real</t>
        </is>
      </c>
      <c r="AG120" t="inlineStr"/>
    </row>
    <row r="121">
      <c r="A121" t="inlineStr">
        <is>
          <t>gun_behemoth_guided</t>
        </is>
      </c>
      <c r="B121" t="inlineStr">
        <is>
          <t>gun_behemoth_guided</t>
        </is>
      </c>
      <c r="C121" t="inlineStr">
        <is>
          <t>2A65 152 mm guided (twin)</t>
        </is>
      </c>
      <c r="D121" t="inlineStr">
        <is>
          <t>doi_that</t>
        </is>
      </c>
      <c r="E121" t="inlineStr">
        <is>
          <t>2A65 152 mm guided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weapons[id=gun_behemoth_guided].real</t>
        </is>
      </c>
      <c r="AG121" t="inlineStr"/>
    </row>
    <row r="122">
      <c r="A122" t="inlineStr">
        <is>
          <t>gun_launched_atgm</t>
        </is>
      </c>
      <c r="B122" t="inlineStr">
        <is>
          <t>gun_launched_atgm</t>
        </is>
      </c>
      <c r="C122" t="inlineStr">
        <is>
          <t>gun-launched ATGM (9M117 class)</t>
        </is>
      </c>
      <c r="D122" t="inlineStr">
        <is>
          <t>doi_that</t>
        </is>
      </c>
      <c r="E122" t="inlineStr">
        <is>
          <t>gun-launched ATGM (9M117 class)</t>
        </is>
      </c>
      <c r="F122" t="inlineStr"/>
      <c r="G122" t="inlineStr"/>
      <c r="H122" t="inlineStr"/>
      <c r="I122" t="inlineStr"/>
      <c r="J122" t="inlineStr"/>
      <c r="K122" t="inlineStr"/>
      <c r="L122" t="inlineStr"/>
      <c r="M122" t="inlineStr"/>
      <c r="N122" t="inlineStr"/>
      <c r="O122" t="inlineStr">
        <is>
          <t>uoc_dinh</t>
        </is>
      </c>
      <c r="P122" t="inlineStr">
        <is>
          <t>R_balance;R_full_weapon_audit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NEED_SOURCE</t>
        </is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4</v>
      </c>
      <c r="Y122" t="n">
        <v>3</v>
      </c>
      <c r="Z122" t="inlineStr">
        <is>
          <t>NEED_SOURCE</t>
        </is>
      </c>
      <c r="AA122" t="inlineStr">
        <is>
          <t>NEED_SOURCE</t>
        </is>
      </c>
      <c r="AB122" t="inlineStr">
        <is>
          <t>NEED_SOURCE</t>
        </is>
      </c>
      <c r="AC122" t="inlineStr">
        <is>
          <t>atgm</t>
        </is>
      </c>
      <c r="AD122" t="inlineStr">
        <is>
          <t>the gun's own rate with a loaded missile, est. 4 rpm</t>
        </is>
      </c>
      <c r="AE122" t="inlineStr"/>
      <c r="AF122" t="inlineStr">
        <is>
          <t>Tools/balance/full_weapon_audit.py: REAL / WARHEAD; balance.json weapons[id=gun_launched_atgm].real</t>
        </is>
      </c>
      <c r="AG122" t="inlineStr"/>
    </row>
    <row r="123">
      <c r="A123" t="inlineStr">
        <is>
          <t>gun_pit_105</t>
        </is>
      </c>
      <c r="B123" t="inlineStr">
        <is>
          <t>gun_pit_105</t>
        </is>
      </c>
      <c r="C123" t="inlineStr">
        <is>
          <t>Rh-120 L/44 120 mm (dug in)</t>
        </is>
      </c>
      <c r="D123" t="inlineStr">
        <is>
          <t>doi_that</t>
        </is>
      </c>
      <c r="E123" t="inlineStr">
        <is>
          <t>Rh-120 L/44 120 mm (dug in)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R_balance;R_full_weapon_audit;W_wikipedia_rheinmetall_120_mm_gun;R_machine_brigade_can_bang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120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6</v>
      </c>
      <c r="Z123" t="inlineStr">
        <is>
          <t>tay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the sheet's 'Ngoài đời': Rh-120 6-8 rpm with a loader (Wikipedia 'Rheinmetall 120 mm gun')</t>
        </is>
      </c>
      <c r="AE123" t="inlineStr"/>
      <c r="AF123" t="inlineStr">
        <is>
          <t>Tools/balance/full_weapon_audit.py: REAL / WARHEAD; balance.json weapons[id=gun_pit_105].real</t>
        </is>
      </c>
      <c r="AG123" t="inlineStr"/>
    </row>
    <row r="124">
      <c r="A124" t="inlineStr">
        <is>
          <t>gunship_25mm</t>
        </is>
      </c>
      <c r="B124" t="inlineStr">
        <is>
          <t>gunship_25mm</t>
        </is>
      </c>
      <c r="C124" t="inlineStr">
        <is>
          <t>GAU-12 Equalizer 25 mm</t>
        </is>
      </c>
      <c r="D124" t="inlineStr">
        <is>
          <t>doi_that</t>
        </is>
      </c>
      <c r="E124" t="inlineStr">
        <is>
          <t>GAU-12 Equalizer 25 mm</t>
        </is>
      </c>
      <c r="F124" t="inlineStr"/>
      <c r="G124" t="inlineStr"/>
      <c r="H124" t="inlineStr"/>
      <c r="I124" t="inlineStr"/>
      <c r="J124" t="inlineStr"/>
      <c r="K124" t="inlineStr"/>
      <c r="L124" t="inlineStr"/>
      <c r="M124" t="inlineStr"/>
      <c r="N124" t="inlineStr"/>
      <c r="O124" t="inlineStr">
        <is>
          <t>da_kiem_chung</t>
        </is>
      </c>
      <c r="P124" t="inlineStr">
        <is>
          <t>R_balance;R_full_weapon_audit;W_wikipedia_gau_12_equalizer;R_machine_brigade_can_bang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25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4200</v>
      </c>
      <c r="Y124" t="inlineStr">
        <is>
          <t>NEED_SOURCE</t>
        </is>
      </c>
      <c r="Z124" t="inlineStr">
        <is>
          <t>NEED_SOURCE</t>
        </is>
      </c>
      <c r="AA124" t="inlineStr">
        <is>
          <t>NEED_SOURCE</t>
        </is>
      </c>
      <c r="AB124" t="inlineStr"/>
      <c r="AC124" t="inlineStr">
        <is>
          <t>ac</t>
        </is>
      </c>
      <c r="AD124" t="inlineStr">
        <is>
          <t>Wikipedia 'GAU-12 Equalizer': 3,600-4,200 rpm (1,800 on the AC-130U)</t>
        </is>
      </c>
      <c r="AE124" t="inlineStr">
        <is>
          <t>GAU-12: 3.600–4.200</t>
        </is>
      </c>
      <c r="AF124" t="inlineStr">
        <is>
          <t>Tools/balance/full_weapon_audit.py: REAL / WARHEAD; balance.json weapons[id=gunship_25mm].real</t>
        </is>
      </c>
      <c r="AG124" t="inlineStr"/>
    </row>
    <row r="125">
      <c r="A125" t="inlineStr">
        <is>
          <t>gunship_25mm_flak</t>
        </is>
      </c>
      <c r="B125" t="inlineStr">
        <is>
          <t>gunship_25mm_flak</t>
        </is>
      </c>
      <c r="C125" t="inlineStr">
        <is>
          <t>GAU-12 Equalizer 25 mm air-burst</t>
        </is>
      </c>
      <c r="D125" t="inlineStr">
        <is>
          <t>doi_that</t>
        </is>
      </c>
      <c r="E125" t="inlineStr">
        <is>
          <t>GAU-12 Equalizer 25 mm air-burst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/>
      <c r="AF125" t="inlineStr">
        <is>
          <t>Tools/balance/full_weapon_audit.py: REAL / WARHEAD; balance.json weapons[id=gunship_25mm_flak].real</t>
        </is>
      </c>
      <c r="AG125" t="inlineStr"/>
    </row>
    <row r="126">
      <c r="A126" t="inlineStr">
        <is>
          <t>gunship_40mm</t>
        </is>
      </c>
      <c r="B126" t="inlineStr">
        <is>
          <t>gunship_40mm</t>
        </is>
      </c>
      <c r="C126" t="inlineStr">
        <is>
          <t>Bofors L/60 40 mm</t>
        </is>
      </c>
      <c r="D126" t="inlineStr">
        <is>
          <t>doi_that</t>
        </is>
      </c>
      <c r="E126" t="inlineStr">
        <is>
          <t>Bofors L/60 40 mm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R_balance;R_full_weapon_audit;W_wikipedia_bofors_40_mm_l_60;R_machine_brigade_can_bang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40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120</v>
      </c>
      <c r="Y126" t="n">
        <v>80</v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aa</t>
        </is>
      </c>
      <c r="AD126" t="inlineStr">
        <is>
          <t>Wikipedia 'Bofors 40 mm L/60': 120 rpm</t>
        </is>
      </c>
      <c r="AE126" t="inlineStr">
        <is>
          <t>Bofors L/60: 120 phát/phút</t>
        </is>
      </c>
      <c r="AF126" t="inlineStr">
        <is>
          <t>Tools/balance/full_weapon_audit.py: REAL / WARHEAD; balance.json weapons[id=gunship_40mm].real</t>
        </is>
      </c>
      <c r="AG126" t="inlineStr"/>
    </row>
    <row r="127">
      <c r="A127" t="inlineStr">
        <is>
          <t>gunship_40mm_ap</t>
        </is>
      </c>
      <c r="B127" t="inlineStr">
        <is>
          <t>gunship_40mm_ap</t>
        </is>
      </c>
      <c r="C127" t="inlineStr">
        <is>
          <t>Bofors L/60 40 mm AP</t>
        </is>
      </c>
      <c r="D127" t="inlineStr">
        <is>
          <t>doi_that</t>
        </is>
      </c>
      <c r="E127" t="inlineStr">
        <is>
          <t>Bofors L/60 40 mm AP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/>
      <c r="AF127" t="inlineStr">
        <is>
          <t>Tools/balance/full_weapon_audit.py: REAL / WARHEAD; balance.json weapons[id=gunship_40mm_ap].real</t>
        </is>
      </c>
      <c r="AG127" t="inlineStr"/>
    </row>
    <row r="128">
      <c r="A128" t="inlineStr">
        <is>
          <t>gunship_40mm_flak</t>
        </is>
      </c>
      <c r="B128" t="inlineStr">
        <is>
          <t>gunship_40mm_flak</t>
        </is>
      </c>
      <c r="C128" t="inlineStr">
        <is>
          <t>Bofors L/60 40 mm air-burst</t>
        </is>
      </c>
      <c r="D128" t="inlineStr">
        <is>
          <t>doi_that</t>
        </is>
      </c>
      <c r="E128" t="inlineStr">
        <is>
          <t>Bofors L/60 40 mm air-burst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weapons[id=gunship_40mm_flak].real</t>
        </is>
      </c>
      <c r="AG128" t="inlineStr"/>
    </row>
    <row r="129">
      <c r="A129" t="inlineStr">
        <is>
          <t>gunship_105</t>
        </is>
      </c>
      <c r="B129" t="inlineStr">
        <is>
          <t>gunship_105</t>
        </is>
      </c>
      <c r="C129" t="inlineStr">
        <is>
          <t>M102 105 mm</t>
        </is>
      </c>
      <c r="D129" t="inlineStr">
        <is>
          <t>doi_that</t>
        </is>
      </c>
      <c r="E129" t="inlineStr">
        <is>
          <t>M102 105 mm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da_kiem_chung</t>
        </is>
      </c>
      <c r="P129" t="inlineStr">
        <is>
          <t>R_balance;R_full_weapon_audit;W_wikipedia_m102_howitzer;R_machine_brigade_can_bang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105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10</v>
      </c>
      <c r="Y129" t="n">
        <v>3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the sheet's 'Ngoài đời': M102 10 rpm (Wikipedia 'M102 howitzer')</t>
        </is>
      </c>
      <c r="AE129" t="inlineStr">
        <is>
          <t>M102 105 mm: 10 phát/phút</t>
        </is>
      </c>
      <c r="AF129" t="inlineStr">
        <is>
          <t>Tools/balance/full_weapon_audit.py: REAL / WARHEAD; balance.json weapons[id=gunship_105].real</t>
        </is>
      </c>
      <c r="AG129" t="inlineStr"/>
    </row>
    <row r="130">
      <c r="A130" t="inlineStr">
        <is>
          <t>gunship_105_guided</t>
        </is>
      </c>
      <c r="B130" t="inlineStr">
        <is>
          <t>gunship_105_guided</t>
        </is>
      </c>
      <c r="C130" t="inlineStr">
        <is>
          <t>M102 105 mm guided</t>
        </is>
      </c>
      <c r="D130" t="inlineStr">
        <is>
          <t>doi_that</t>
        </is>
      </c>
      <c r="E130" t="inlineStr">
        <is>
          <t>M102 105 mm guided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/>
      <c r="AF130" t="inlineStr">
        <is>
          <t>Tools/balance/full_weapon_audit.py: REAL / WARHEAD; balance.json weapons[id=gunship_105_guided].real</t>
        </is>
      </c>
      <c r="AG130" t="inlineStr"/>
    </row>
    <row r="131">
      <c r="A131" t="inlineStr">
        <is>
          <t>gunship_rockets</t>
        </is>
      </c>
      <c r="B131" t="inlineStr">
        <is>
          <t>gunship_rockets</t>
        </is>
      </c>
      <c r="C131" t="inlineStr">
        <is>
          <t>S-8 80 mm</t>
        </is>
      </c>
      <c r="D131" t="inlineStr">
        <is>
          <t>doi_that</t>
        </is>
      </c>
      <c r="E131" t="inlineStr">
        <is>
          <t>S-8 80 mm</t>
        </is>
      </c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>
        <is>
          <t>ban_dau_doan</t>
        </is>
      </c>
      <c r="P131" t="inlineStr">
        <is>
          <t>R_balance;R_full_weapon_audit;R_decisions;R_machine_brigade_can_bang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80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900</v>
      </c>
      <c r="Y131" t="inlineStr">
        <is>
          <t>NEED_SOURCE</t>
        </is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rocket</t>
        </is>
      </c>
      <c r="AD131" t="inlineStr">
        <is>
          <t>rocket pods: ripples of 0.05-0.12 s (DECISIONS 19R)</t>
        </is>
      </c>
      <c r="AE131" t="inlineStr">
        <is>
          <t>S-8 80 mm</t>
        </is>
      </c>
      <c r="AF131" t="inlineStr">
        <is>
          <t>Tools/balance/full_weapon_audit.py: REAL / WARHEAD; balance.json weapons[id=gunship_rockets].real</t>
        </is>
      </c>
      <c r="AG131" t="inlineStr"/>
    </row>
    <row r="132">
      <c r="A132" t="inlineStr">
        <is>
          <t>hel_beam</t>
        </is>
      </c>
      <c r="B132" t="inlineStr">
        <is>
          <t>hel_beam</t>
        </is>
      </c>
      <c r="C132" t="inlineStr">
        <is>
          <t>Iron Beam laser (100 kW)</t>
        </is>
      </c>
      <c r="D132" t="inlineStr">
        <is>
          <t>doi_that</t>
        </is>
      </c>
      <c r="E132" t="inlineStr">
        <is>
          <t>Iron Beam laser (100 kW)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NEED_SOURCE</t>
        </is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inlineStr">
        <is>
          <t>NEED_SOURCE</t>
        </is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/>
      <c r="AD132" t="inlineStr"/>
      <c r="AE132" t="inlineStr">
        <is>
          <t>Iron Beam: laser 100 kW, chủ yếu đánh chặn drone, rốc-két, cối</t>
        </is>
      </c>
      <c r="AF132" t="inlineStr">
        <is>
          <t>Tools/balance/full_weapon_audit.py: REAL / WARHEAD; balance.json weapons[id=hel_beam].real</t>
        </is>
      </c>
      <c r="AG132" t="inlineStr"/>
    </row>
    <row r="133">
      <c r="A133" t="inlineStr">
        <is>
          <t>heli_gun</t>
        </is>
      </c>
      <c r="B133" t="inlineStr">
        <is>
          <t>heli_gun</t>
        </is>
      </c>
      <c r="C133" t="inlineStr">
        <is>
          <t>M230 30 mm</t>
        </is>
      </c>
      <c r="D133" t="inlineStr">
        <is>
          <t>doi_that</t>
        </is>
      </c>
      <c r="E133" t="inlineStr">
        <is>
          <t>M230 30 mm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da_kiem_chung</t>
        </is>
      </c>
      <c r="P133" t="inlineStr">
        <is>
          <t>R_balance;R_full_weapon_audit;W_wikipedia_m230_chain_gun;R_machine_brigade_can_bang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30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625</v>
      </c>
      <c r="Y133" t="n">
        <v>300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ac</t>
        </is>
      </c>
      <c r="AD133" t="inlineStr">
        <is>
          <t>Wikipedia 'M230 chain gun': 625 rpm</t>
        </is>
      </c>
      <c r="AE133" t="inlineStr">
        <is>
          <t>M230: 625</t>
        </is>
      </c>
      <c r="AF133" t="inlineStr">
        <is>
          <t>Tools/balance/full_weapon_audit.py: REAL / WARHEAD; balance.json weapons[id=heli_gun].real</t>
        </is>
      </c>
      <c r="AG133" t="inlineStr"/>
    </row>
    <row r="134">
      <c r="A134" t="inlineStr">
        <is>
          <t>heli_gun_flak</t>
        </is>
      </c>
      <c r="B134" t="inlineStr">
        <is>
          <t>heli_gun_flak</t>
        </is>
      </c>
      <c r="C134" t="inlineStr">
        <is>
          <t>M230 30 mm air-burst</t>
        </is>
      </c>
      <c r="D134" t="inlineStr">
        <is>
          <t>doi_that</t>
        </is>
      </c>
      <c r="E134" t="inlineStr">
        <is>
          <t>M230 30 mm air-burst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/>
      <c r="AF134" t="inlineStr">
        <is>
          <t>Tools/balance/full_weapon_audit.py: REAL / WARHEAD; balance.json weapons[id=heli_gun_flak].real</t>
        </is>
      </c>
      <c r="AG134" t="inlineStr"/>
    </row>
    <row r="135">
      <c r="A135" t="inlineStr">
        <is>
          <t>heli_rockets</t>
        </is>
      </c>
      <c r="B135" t="inlineStr">
        <is>
          <t>heli_rockets</t>
        </is>
      </c>
      <c r="C135" t="inlineStr">
        <is>
          <t>Hydra 70 mm</t>
        </is>
      </c>
      <c r="D135" t="inlineStr">
        <is>
          <t>doi_that</t>
        </is>
      </c>
      <c r="E135" t="inlineStr">
        <is>
          <t>Hydra 70 mm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ban_dau_doan</t>
        </is>
      </c>
      <c r="P135" t="inlineStr">
        <is>
          <t>R_balance;R_full_weapon_audit;R_decisions;R_machine_brigade_can_bang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70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900</v>
      </c>
      <c r="Y135" t="inlineStr">
        <is>
          <t>NEED_SOURCE</t>
        </is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rocket</t>
        </is>
      </c>
      <c r="AD135" t="inlineStr">
        <is>
          <t>rocket pods: ripples of 0.05-0.12 s (DECISIONS 19R)</t>
        </is>
      </c>
      <c r="AE135" t="inlineStr">
        <is>
          <t>Hydra 70</t>
        </is>
      </c>
      <c r="AF135" t="inlineStr">
        <is>
          <t>Tools/balance/full_weapon_audit.py: REAL / WARHEAD; balance.json weapons[id=heli_rockets].real</t>
        </is>
      </c>
      <c r="AG135" t="inlineStr"/>
    </row>
    <row r="136">
      <c r="A136" t="inlineStr">
        <is>
          <t>hellfire_standoff</t>
        </is>
      </c>
      <c r="B136" t="inlineStr">
        <is>
          <t>hellfire_standoff</t>
        </is>
      </c>
      <c r="C136" t="inlineStr">
        <is>
          <t>AGM-114L Hellfire Longbow</t>
        </is>
      </c>
      <c r="D136" t="inlineStr">
        <is>
          <t>doi_that</t>
        </is>
      </c>
      <c r="E136" t="inlineStr">
        <is>
          <t>AGM-114L Hellfire Longbow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uoc_dinh</t>
        </is>
      </c>
      <c r="P136" t="inlineStr">
        <is>
          <t>R_balance;R_full_weapon_audit;W_wikipedia_bai_cua_tung_ten_lua_bang_warhead;R_machine_brigade_can_bang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NEED_SOURCE</t>
        </is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60</v>
      </c>
      <c r="Y136" t="n">
        <v>10</v>
      </c>
      <c r="Z136" t="inlineStr">
        <is>
          <t>NEED_SOURCE</t>
        </is>
      </c>
      <c r="AA136" t="inlineStr">
        <is>
          <t>NEED_SOURCE</t>
        </is>
      </c>
      <c r="AB136" t="n">
        <v>9</v>
      </c>
      <c r="AC136" t="inlineStr">
        <is>
          <t>atgm</t>
        </is>
      </c>
      <c r="AD136" t="inlineStr">
        <is>
          <t>air-launched: ripples ~1 s apart, est. 6 s an aimed shot</t>
        </is>
      </c>
      <c r="AE136" t="inlineStr">
        <is>
          <t>Hellfire L (radar): 8 km</t>
        </is>
      </c>
      <c r="AF136" t="inlineStr">
        <is>
          <t>Tools/balance/full_weapon_audit.py: REAL / WARHEAD; balance.json weapons[id=hellfire_standoff].real</t>
        </is>
      </c>
      <c r="AG136" t="inlineStr"/>
    </row>
    <row r="137">
      <c r="A137" t="inlineStr">
        <is>
          <t>hellfire_volley</t>
        </is>
      </c>
      <c r="B137" t="inlineStr">
        <is>
          <t>hellfire_volley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</t>
        </is>
      </c>
      <c r="AF137" t="inlineStr">
        <is>
          <t>Tools/balance/full_weapon_audit.py: REAL / WARHEAD; balance.json weapons[id=hellfire_volley].real</t>
        </is>
      </c>
      <c r="AG137" t="inlineStr"/>
    </row>
    <row r="138">
      <c r="A138" t="inlineStr">
        <is>
          <t>hind_rockets</t>
        </is>
      </c>
      <c r="B138" t="inlineStr">
        <is>
          <t>hind_rockets</t>
        </is>
      </c>
      <c r="C138" t="inlineStr">
        <is>
          <t>S-8 80 mm</t>
        </is>
      </c>
      <c r="D138" t="inlineStr">
        <is>
          <t>doi_that</t>
        </is>
      </c>
      <c r="E138" t="inlineStr">
        <is>
          <t>S-8 80 mm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ban_dau_doan</t>
        </is>
      </c>
      <c r="P138" t="inlineStr">
        <is>
          <t>R_balance;R_full_weapon_audit;R_decisions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80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900</v>
      </c>
      <c r="Y138" t="inlineStr">
        <is>
          <t>NEED_SOURCE</t>
        </is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rocket</t>
        </is>
      </c>
      <c r="AD138" t="inlineStr">
        <is>
          <t>rocket pods: ripples of 0.05-0.12 s (DECISIONS 19R)</t>
        </is>
      </c>
      <c r="AE138" t="inlineStr"/>
      <c r="AF138" t="inlineStr">
        <is>
          <t>Tools/balance/full_weapon_audit.py: REAL / WARHEAD; balance.json weapons[id=hind_rockets].real</t>
        </is>
      </c>
      <c r="AG138" t="inlineStr"/>
    </row>
    <row r="139">
      <c r="A139" t="inlineStr">
        <is>
          <t>hmg_roof</t>
        </is>
      </c>
      <c r="B139" t="inlineStr">
        <is>
          <t>hmg_roof</t>
        </is>
      </c>
      <c r="C139" t="inlineStr">
        <is>
          <t>M2 Browning 12.7 mm</t>
        </is>
      </c>
      <c r="D139" t="inlineStr">
        <is>
          <t>doi_that</t>
        </is>
      </c>
      <c r="E139" t="inlineStr">
        <is>
          <t>M2 Browning 12.7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da_kiem_chung</t>
        </is>
      </c>
      <c r="P139" t="inlineStr">
        <is>
          <t>R_balance;R_full_weapon_audit;D_us_army_fm_3_22_65;R_machine_brigade_can_bang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12.7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600</v>
      </c>
      <c r="Y139" t="n">
        <v>40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mg</t>
        </is>
      </c>
      <c r="AD139" t="inlineStr">
        <is>
          <t>US Army FM 3-22.65: cyclic 450-600, rapid 40 rpm</t>
        </is>
      </c>
      <c r="AE139" t="inlineStr">
        <is>
          <t>M2: 450–600 phát/phút</t>
        </is>
      </c>
      <c r="AF139" t="inlineStr">
        <is>
          <t>Tools/balance/full_weapon_audit.py: REAL / WARHEAD; balance.json weapons[id=hmg_roof].real</t>
        </is>
      </c>
      <c r="AG139" t="inlineStr"/>
    </row>
    <row r="140">
      <c r="A140" t="inlineStr">
        <is>
          <t>hmg_roof_api</t>
        </is>
      </c>
      <c r="B140" t="inlineStr">
        <is>
          <t>hmg_roof_api</t>
        </is>
      </c>
      <c r="C140" t="inlineStr">
        <is>
          <t>M2 Browning 12.7 mm API</t>
        </is>
      </c>
      <c r="D140" t="inlineStr">
        <is>
          <t>doi_that</t>
        </is>
      </c>
      <c r="E140" t="inlineStr">
        <is>
          <t>M2 Browning 12.7 mm API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/>
      <c r="AF140" t="inlineStr">
        <is>
          <t>Tools/balance/full_weapon_audit.py: REAL / WARHEAD; balance.json weapons[id=hmg_roof_api].real</t>
        </is>
      </c>
      <c r="AG140" t="inlineStr"/>
    </row>
    <row r="141">
      <c r="A141" t="inlineStr">
        <is>
          <t>hmg_selfdef_15</t>
        </is>
      </c>
      <c r="B141" t="inlineStr">
        <is>
          <t>hmg_selfdef_15</t>
        </is>
      </c>
      <c r="C141" t="inlineStr">
        <is>
          <t>M2 Browning 12.7 mm</t>
        </is>
      </c>
      <c r="D141" t="inlineStr">
        <is>
          <t>doi_that</t>
        </is>
      </c>
      <c r="E141" t="inlineStr">
        <is>
          <t>M2 Browning 12.7 mm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weapons[id=hmg_selfdef_15].real</t>
        </is>
      </c>
      <c r="AG141" t="inlineStr"/>
    </row>
    <row r="142">
      <c r="A142" t="inlineStr">
        <is>
          <t>hmg_selfdef_15_api</t>
        </is>
      </c>
      <c r="B142" t="inlineStr">
        <is>
          <t>hmg_selfdef_15_api</t>
        </is>
      </c>
      <c r="C142" t="inlineStr">
        <is>
          <t>M2 Browning 12.7 mm API</t>
        </is>
      </c>
      <c r="D142" t="inlineStr">
        <is>
          <t>doi_that</t>
        </is>
      </c>
      <c r="E142" t="inlineStr">
        <is>
          <t>M2 Browning 12.7 mm API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weapons[id=hmg_selfdef_15_api].real</t>
        </is>
      </c>
      <c r="AG142" t="inlineStr"/>
    </row>
    <row r="143">
      <c r="A143" t="inlineStr">
        <is>
          <t>hmg_selfdef_18</t>
        </is>
      </c>
      <c r="B143" t="inlineStr">
        <is>
          <t>hmg_selfdef_18</t>
        </is>
      </c>
      <c r="C143" t="inlineStr">
        <is>
          <t>M2 Browning 12.7 mm</t>
        </is>
      </c>
      <c r="D143" t="inlineStr">
        <is>
          <t>doi_that</t>
        </is>
      </c>
      <c r="E143" t="inlineStr">
        <is>
          <t>M2 Browning 12.7 mm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weapons[id=hmg_selfdef_18].real</t>
        </is>
      </c>
      <c r="AG143" t="inlineStr"/>
    </row>
    <row r="144">
      <c r="A144" t="inlineStr">
        <is>
          <t>hmg_selfdef_18_api</t>
        </is>
      </c>
      <c r="B144" t="inlineStr">
        <is>
          <t>hmg_selfdef_18_api</t>
        </is>
      </c>
      <c r="C144" t="inlineStr">
        <is>
          <t>M2 Browning 12.7 mm API</t>
        </is>
      </c>
      <c r="D144" t="inlineStr">
        <is>
          <t>doi_that</t>
        </is>
      </c>
      <c r="E144" t="inlineStr">
        <is>
          <t>M2 Browning 12.7 mm API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weapons[id=hmg_selfdef_18_api].real</t>
        </is>
      </c>
      <c r="AG144" t="inlineStr"/>
    </row>
    <row r="145">
      <c r="A145" t="inlineStr">
        <is>
          <t>hmg_selfdef_21</t>
        </is>
      </c>
      <c r="B145" t="inlineStr">
        <is>
          <t>hmg_selfdef_21</t>
        </is>
      </c>
      <c r="C145" t="inlineStr">
        <is>
          <t>M2 Browning 12.7 mm</t>
        </is>
      </c>
      <c r="D145" t="inlineStr">
        <is>
          <t>doi_that</t>
        </is>
      </c>
      <c r="E145" t="inlineStr">
        <is>
          <t>M2 Browning 12.7 mm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weapons[id=hmg_selfdef_21].real</t>
        </is>
      </c>
      <c r="AG145" t="inlineStr"/>
    </row>
    <row r="146">
      <c r="A146" t="inlineStr">
        <is>
          <t>hmg_selfdef_21_api</t>
        </is>
      </c>
      <c r="B146" t="inlineStr">
        <is>
          <t>hmg_selfdef_21_api</t>
        </is>
      </c>
      <c r="C146" t="inlineStr">
        <is>
          <t>M2 Browning 12.7 mm API</t>
        </is>
      </c>
      <c r="D146" t="inlineStr">
        <is>
          <t>doi_that</t>
        </is>
      </c>
      <c r="E146" t="inlineStr">
        <is>
          <t>M2 Browning 12.7 mm API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weapons[id=hmg_selfdef_21_api].real</t>
        </is>
      </c>
      <c r="AG146" t="inlineStr"/>
    </row>
    <row r="147">
      <c r="A147" t="inlineStr">
        <is>
          <t>hover_ciws</t>
        </is>
      </c>
      <c r="B147" t="inlineStr">
        <is>
          <t>hover_ciws</t>
        </is>
      </c>
      <c r="C147" t="inlineStr">
        <is>
          <t>AK-630 30 mm</t>
        </is>
      </c>
      <c r="D147" t="inlineStr">
        <is>
          <t>doi_that</t>
        </is>
      </c>
      <c r="E147" t="inlineStr">
        <is>
          <t>AK-630 30 mm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R_balance;R_full_weapon_audit;W_wikipedia_ak_630;R_machine_brigade_can_bang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30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5000</v>
      </c>
      <c r="Y147" t="n">
        <v>1000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aa</t>
        </is>
      </c>
      <c r="AD147" t="inlineStr">
        <is>
          <t>Wikipedia 'AK-630': 4,000-5,000 rpm, 2,000-round belt</t>
        </is>
      </c>
      <c r="AE147" t="inlineStr">
        <is>
          <t>AK-630: 4.000–5.000 phát/phút</t>
        </is>
      </c>
      <c r="AF147" t="inlineStr">
        <is>
          <t>Tools/balance/full_weapon_audit.py: REAL / WARHEAD; balance.json weapons[id=hover_ciws].real</t>
        </is>
      </c>
      <c r="AG147" t="inlineStr"/>
    </row>
    <row r="148">
      <c r="A148" t="inlineStr">
        <is>
          <t>hover_ciws_flak</t>
        </is>
      </c>
      <c r="B148" t="inlineStr">
        <is>
          <t>hover_ciws_flak</t>
        </is>
      </c>
      <c r="C148" t="inlineStr">
        <is>
          <t>AK-630 30 mm air-burst</t>
        </is>
      </c>
      <c r="D148" t="inlineStr">
        <is>
          <t>doi_that</t>
        </is>
      </c>
      <c r="E148" t="inlineStr">
        <is>
          <t>AK-630 30 mm air-burst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/>
      <c r="AF148" t="inlineStr">
        <is>
          <t>Tools/balance/full_weapon_audit.py: REAL / WARHEAD; balance.json weapons[id=hover_ciws_flak].real</t>
        </is>
      </c>
      <c r="AG148" t="inlineStr"/>
    </row>
    <row r="149">
      <c r="A149" t="inlineStr">
        <is>
          <t>hover_rockets</t>
        </is>
      </c>
      <c r="B149" t="inlineStr">
        <is>
          <t>hover_rockets</t>
        </is>
      </c>
      <c r="C149" t="inlineStr">
        <is>
          <t>A-22 Ogon 140 mm</t>
        </is>
      </c>
      <c r="D149" t="inlineStr">
        <is>
          <t>doi_that</t>
        </is>
      </c>
      <c r="E149" t="inlineStr">
        <is>
          <t>A-22 Ogon 140 mm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uoc_dinh</t>
        </is>
      </c>
      <c r="P149" t="inlineStr">
        <is>
          <t>R_balance;R_full_weapon_audit;R_machine_brigade_can_bang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140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120</v>
      </c>
      <c r="Y149" t="inlineStr">
        <is>
          <t>NEED_SOURCE</t>
        </is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rocket</t>
        </is>
      </c>
      <c r="AD149" t="inlineStr">
        <is>
          <t>A-22 Ogon 140 mm (Zubr hovercraft), est. 0.5 s a rocket</t>
        </is>
      </c>
      <c r="AE149" t="inlineStr">
        <is>
          <t>A-22 Ogon 140 mm: 22 quả</t>
        </is>
      </c>
      <c r="AF149" t="inlineStr">
        <is>
          <t>Tools/balance/full_weapon_audit.py: REAL / WARHEAD; balance.json weapons[id=hover_rockets].real</t>
        </is>
      </c>
      <c r="AG149" t="inlineStr"/>
    </row>
    <row r="150">
      <c r="A150" t="inlineStr">
        <is>
          <t>howitzer</t>
        </is>
      </c>
      <c r="B150" t="inlineStr">
        <is>
          <t>howitzer</t>
        </is>
      </c>
      <c r="C150" t="inlineStr">
        <is>
          <t>M284 155 mm</t>
        </is>
      </c>
      <c r="D150" t="inlineStr">
        <is>
          <t>doi_that</t>
        </is>
      </c>
      <c r="E150" t="inlineStr">
        <is>
          <t>M284 155 mm</t>
        </is>
      </c>
      <c r="F150" t="inlineStr"/>
      <c r="G150" t="inlineStr"/>
      <c r="H150" t="inlineStr"/>
      <c r="I150" t="inlineStr"/>
      <c r="J150" t="inlineStr"/>
      <c r="K150" t="inlineStr"/>
      <c r="L150" t="inlineStr">
        <is>
          <t>nhịp chậm hơn 30 % và mạnh hơn tương ứng (luật súng của game)</t>
        </is>
      </c>
      <c r="M150" t="inlineStr">
        <is>
          <t>gameplay</t>
        </is>
      </c>
      <c r="N150" t="inlineStr"/>
      <c r="O150" t="inlineStr">
        <is>
          <t>da_kiem_chung</t>
        </is>
      </c>
      <c r="P150" t="inlineStr">
        <is>
          <t>R_balance;R_full_weapon_audit;D_us_army_m109a7_fact_file;R_machine_brigade_can_bang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155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4</v>
      </c>
      <c r="Y150" t="n">
        <v>1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gun</t>
        </is>
      </c>
      <c r="AD150" t="inlineStr">
        <is>
          <t>US Army M109A7 fact file: 4 rpm for 3 min, 1 rpm sustained</t>
        </is>
      </c>
      <c r="AE150" t="inlineStr">
        <is>
          <t>M284 155 mm (M109A7): 4 phát/phút tối đa, 1 phát/phút duy trì; tầm 24–30 km</t>
        </is>
      </c>
      <c r="AF150" t="inlineStr">
        <is>
          <t>Tools/balance/full_weapon_audit.py: REAL / WARHEAD; balance.json weapons[id=howitzer].real</t>
        </is>
      </c>
      <c r="AG150" t="inlineStr"/>
    </row>
    <row r="151">
      <c r="A151" t="inlineStr">
        <is>
          <t>howitzer_ext</t>
        </is>
      </c>
      <c r="B151" t="inlineStr">
        <is>
          <t>howitzer_ext</t>
        </is>
      </c>
      <c r="C151" t="inlineStr">
        <is>
          <t>M284 155 mm (base bleed)</t>
        </is>
      </c>
      <c r="D151" t="inlineStr">
        <is>
          <t>doi_that</t>
        </is>
      </c>
      <c r="E151" t="inlineStr">
        <is>
          <t>M284 155 mm (base bleed)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/>
      <c r="AF151" t="inlineStr">
        <is>
          <t>Tools/balance/full_weapon_audit.py: REAL / WARHEAD; balance.json weapons[id=howitzer_ext].real</t>
        </is>
      </c>
      <c r="AG151" t="inlineStr"/>
    </row>
    <row r="152">
      <c r="A152" t="inlineStr">
        <is>
          <t>howitzer_fixed</t>
        </is>
      </c>
      <c r="B152" t="inlineStr">
        <is>
          <t>howitzer_fixed</t>
        </is>
      </c>
      <c r="C152" t="inlineStr">
        <is>
          <t>M284 155 mm</t>
        </is>
      </c>
      <c r="D152" t="inlineStr">
        <is>
          <t>doi_that</t>
        </is>
      </c>
      <c r="E152" t="inlineStr">
        <is>
          <t>M284 155 mm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>
        <is>
          <t>M284 155 mm</t>
        </is>
      </c>
      <c r="AF152" t="inlineStr">
        <is>
          <t>Tools/balance/full_weapon_audit.py: REAL / WARHEAD; balance.json weapons[id=howitzer_fixed].real</t>
        </is>
      </c>
      <c r="AG152" t="inlineStr"/>
    </row>
    <row r="153">
      <c r="A153" t="inlineStr">
        <is>
          <t>howitzer_fixed_guided</t>
        </is>
      </c>
      <c r="B153" t="inlineStr">
        <is>
          <t>howitzer_fixed_guided</t>
        </is>
      </c>
      <c r="C153" t="inlineStr">
        <is>
          <t>M284 155 mm guided</t>
        </is>
      </c>
      <c r="D153" t="inlineStr">
        <is>
          <t>doi_that</t>
        </is>
      </c>
      <c r="E153" t="inlineStr">
        <is>
          <t>M284 155 mm guided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/>
      <c r="AF153" t="inlineStr">
        <is>
          <t>Tools/balance/full_weapon_audit.py: REAL / WARHEAD; balance.json weapons[id=howitzer_fixed_guided].real</t>
        </is>
      </c>
      <c r="AG153" t="inlineStr"/>
    </row>
    <row r="154">
      <c r="A154" t="inlineStr">
        <is>
          <t>howitzer_guided</t>
        </is>
      </c>
      <c r="B154" t="inlineStr">
        <is>
          <t>howitzer_guided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weapons[id=howitzer_guided].real</t>
        </is>
      </c>
      <c r="AG154" t="inlineStr"/>
    </row>
    <row r="155">
      <c r="A155" t="inlineStr">
        <is>
          <t>hq_flak</t>
        </is>
      </c>
      <c r="B155" t="inlineStr">
        <is>
          <t>hq_flak</t>
        </is>
      </c>
      <c r="C155" t="inlineStr">
        <is>
          <t>2A38 30 mm (twin)</t>
        </is>
      </c>
      <c r="D155" t="inlineStr">
        <is>
          <t>doi_that</t>
        </is>
      </c>
      <c r="E155" t="inlineStr">
        <is>
          <t>2A38 30 mm (twin)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da_kiem_chung</t>
        </is>
      </c>
      <c r="P155" t="inlineStr">
        <is>
          <t>R_balance;R_full_weapon_audit;W_wikipedia_2a38;R_machine_brigade_can_bang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30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2500</v>
      </c>
      <c r="Y155" t="n">
        <v>1000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aa</t>
        </is>
      </c>
      <c r="AD155" t="inlineStr">
        <is>
          <t>Wikipedia '2A38': 4,060-5,000 rpm the twin mount</t>
        </is>
      </c>
      <c r="AE155" t="inlineStr">
        <is>
          <t>2A38M: ~5.000 phát/phút cả cặp</t>
        </is>
      </c>
      <c r="AF155" t="inlineStr">
        <is>
          <t>Tools/balance/full_weapon_audit.py: REAL / WARHEAD; balance.json weapons[id=hq_flak].real</t>
        </is>
      </c>
      <c r="AG155" t="inlineStr"/>
    </row>
    <row r="156">
      <c r="A156" t="inlineStr">
        <is>
          <t>hq_flak_ap</t>
        </is>
      </c>
      <c r="B156" t="inlineStr">
        <is>
          <t>hq_flak_ap</t>
        </is>
      </c>
      <c r="C156" t="inlineStr">
        <is>
          <t>2A38 30 mm AP (twin)</t>
        </is>
      </c>
      <c r="D156" t="inlineStr">
        <is>
          <t>doi_that</t>
        </is>
      </c>
      <c r="E156" t="inlineStr">
        <is>
          <t>2A38 30 mm AP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/>
      <c r="AF156" t="inlineStr">
        <is>
          <t>Tools/balance/full_weapon_audit.py: REAL / WARHEAD; balance.json weapons[id=hq_flak_ap].real</t>
        </is>
      </c>
      <c r="AG156" t="inlineStr"/>
    </row>
    <row r="157">
      <c r="A157" t="inlineStr">
        <is>
          <t>ifv_30</t>
        </is>
      </c>
      <c r="B157" t="inlineStr">
        <is>
          <t>ifv_30</t>
        </is>
      </c>
      <c r="C157" t="inlineStr">
        <is>
          <t>2A42 30 mm</t>
        </is>
      </c>
      <c r="D157" t="inlineStr">
        <is>
          <t>doi_that</t>
        </is>
      </c>
      <c r="E157" t="inlineStr">
        <is>
          <t>2A42 30 mm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R_balance;R_full_weapon_audit;W_wikipedia_2a42;R_machine_brigade_can_bang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800</v>
      </c>
      <c r="Y157" t="n">
        <v>300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ac</t>
        </is>
      </c>
      <c r="AD157" t="inlineStr">
        <is>
          <t>Wikipedia '2A42': 550-800 high, 200-300 low rpm</t>
        </is>
      </c>
      <c r="AE157" t="inlineStr">
        <is>
          <t>2A42: 550–800 phát/phút</t>
        </is>
      </c>
      <c r="AF157" t="inlineStr">
        <is>
          <t>Tools/balance/full_weapon_audit.py: REAL / WARHEAD; balance.json weapons[id=ifv_30].real</t>
        </is>
      </c>
      <c r="AG157" t="inlineStr"/>
    </row>
    <row r="158">
      <c r="A158" t="inlineStr">
        <is>
          <t>ifv_30_flak</t>
        </is>
      </c>
      <c r="B158" t="inlineStr">
        <is>
          <t>ifv_30_flak</t>
        </is>
      </c>
      <c r="C158" t="inlineStr">
        <is>
          <t>2A42 30 mm air-burst</t>
        </is>
      </c>
      <c r="D158" t="inlineStr">
        <is>
          <t>doi_that</t>
        </is>
      </c>
      <c r="E158" t="inlineStr">
        <is>
          <t>2A42 30 mm air-burst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R_balance;R_full_weapon_audit;W_wikipedia_2a42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800</v>
      </c>
      <c r="Y158" t="n">
        <v>300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ac</t>
        </is>
      </c>
      <c r="AD158" t="inlineStr">
        <is>
          <t>Wikipedia '2A42': 550-800 high, 200-300 low rpm</t>
        </is>
      </c>
      <c r="AE158" t="inlineStr"/>
      <c r="AF158" t="inlineStr">
        <is>
          <t>Tools/balance/full_weapon_audit.py: REAL / WARHEAD; balance.json weapons[id=ifv_30_flak].real</t>
        </is>
      </c>
      <c r="AG158" t="inlineStr"/>
    </row>
    <row r="159">
      <c r="A159" t="inlineStr">
        <is>
          <t>igla_v</t>
        </is>
      </c>
      <c r="B159" t="inlineStr">
        <is>
          <t>igla_v</t>
        </is>
      </c>
      <c r="C159" t="inlineStr">
        <is>
          <t>9K38 Igla-V</t>
        </is>
      </c>
      <c r="D159" t="inlineStr">
        <is>
          <t>doi_that</t>
        </is>
      </c>
      <c r="E159" t="inlineStr">
        <is>
          <t>9K38 Igla-V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uoc_dinh</t>
        </is>
      </c>
      <c r="P159" t="inlineStr">
        <is>
          <t>R_balance;R_full_weapon_audit;W_wikipedia_bai_cua_tung_ten_lua_bang_warhead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NEED_SOURCE</t>
        </is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20</v>
      </c>
      <c r="Y159" t="n">
        <v>10</v>
      </c>
      <c r="Z159" t="inlineStr">
        <is>
          <t>NEED_SOURCE</t>
        </is>
      </c>
      <c r="AA159" t="inlineStr">
        <is>
          <t>NEED_SOURCE</t>
        </is>
      </c>
      <c r="AB159" t="n">
        <v>1.2</v>
      </c>
      <c r="AC159" t="inlineStr">
        <is>
          <t>missile</t>
        </is>
      </c>
      <c r="AD159" t="inlineStr">
        <is>
          <t>air-launched Igla-V pairs, est. 3 s</t>
        </is>
      </c>
      <c r="AE159" t="inlineStr"/>
      <c r="AF159" t="inlineStr">
        <is>
          <t>Tools/balance/full_weapon_audit.py: REAL / WARHEAD; balance.json weapons[id=igla_v].real</t>
        </is>
      </c>
      <c r="AG159" t="inlineStr"/>
    </row>
    <row r="160">
      <c r="A160" t="inlineStr">
        <is>
          <t>illum_flare</t>
        </is>
      </c>
      <c r="B160" t="inlineStr">
        <is>
          <t>illum_flare</t>
        </is>
      </c>
      <c r="C160" t="inlineStr">
        <is>
          <t>Illumination flare</t>
        </is>
      </c>
      <c r="D160" t="inlineStr">
        <is>
          <t>doi_that</t>
        </is>
      </c>
      <c r="E160" t="inlineStr">
        <is>
          <t>Illumination flare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ban_dau_doan</t>
        </is>
      </c>
      <c r="P160" t="inlineStr">
        <is>
          <t>R_balance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inlineStr">
        <is>
          <t>NEED_SOURCE</t>
        </is>
      </c>
      <c r="Y160" t="inlineStr">
        <is>
          <t>NEED_SOURCE</t>
        </is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/>
      <c r="AD160" t="inlineStr"/>
      <c r="AE160" t="inlineStr"/>
      <c r="AF160" t="inlineStr">
        <is>
          <t>Tools/balance/full_weapon_audit.py: REAL / WARHEAD; balance.json weapons[id=illum_flare].real</t>
        </is>
      </c>
      <c r="AG160" t="inlineStr"/>
    </row>
    <row r="161">
      <c r="A161" t="inlineStr">
        <is>
          <t>jassm</t>
        </is>
      </c>
      <c r="B161" t="inlineStr">
        <is>
          <t>jassm</t>
        </is>
      </c>
      <c r="C161" t="inlineStr">
        <is>
          <t>AGM-158 JASSM (450 kg)</t>
        </is>
      </c>
      <c r="D161" t="inlineStr">
        <is>
          <t>doi_that</t>
        </is>
      </c>
      <c r="E161" t="inlineStr">
        <is>
          <t>AGM-158 JASSM (450 kg)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6</v>
      </c>
      <c r="Z161" t="inlineStr">
        <is>
          <t>NEED_SOURCE</t>
        </is>
      </c>
      <c r="AA161" t="inlineStr">
        <is>
          <t>NEED_SOURCE</t>
        </is>
      </c>
      <c r="AB161" t="inlineStr">
        <is>
          <t>NEED_SOURCE</t>
        </is>
      </c>
      <c r="AC161" t="inlineStr">
        <is>
          <t>missile</t>
        </is>
      </c>
      <c r="AD161" t="inlineStr">
        <is>
          <t>cruise missiles: ~3 s between launches (est.)</t>
        </is>
      </c>
      <c r="AE161" t="inlineStr">
        <is>
          <t>JASSM: đầu nổ 450 kg</t>
        </is>
      </c>
      <c r="AF161" t="inlineStr">
        <is>
          <t>Tools/balance/full_weapon_audit.py: REAL / WARHEAD; balance.json weapons[id=jassm].real</t>
        </is>
      </c>
      <c r="AG161" t="inlineStr"/>
    </row>
    <row r="162">
      <c r="A162" t="inlineStr">
        <is>
          <t>jet_bombs</t>
        </is>
      </c>
      <c r="B162" t="inlineStr">
        <is>
          <t>jet_bombs</t>
        </is>
      </c>
      <c r="C162" t="inlineStr">
        <is>
          <t>FAB-250 (250 kg)</t>
        </is>
      </c>
      <c r="D162" t="inlineStr">
        <is>
          <t>doi_that</t>
        </is>
      </c>
      <c r="E162" t="inlineStr">
        <is>
          <t>FAB-250 (250 kg)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uoc_dinh</t>
        </is>
      </c>
      <c r="P162" t="inlineStr">
        <is>
          <t>R_balance;R_full_weapon_audit;R_machine_brigade_can_bang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600</v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bomb</t>
        </is>
      </c>
      <c r="AD162" t="inlineStr">
        <is>
          <t>a stick's release, 0.1 s and up (est.)</t>
        </is>
      </c>
      <c r="AE162" t="inlineStr">
        <is>
          <t>FAB-250: ~100 kg thuốc nổ</t>
        </is>
      </c>
      <c r="AF162" t="inlineStr">
        <is>
          <t>Tools/balance/full_weapon_audit.py: REAL / WARHEAD; balance.json weapons[id=jet_bombs].real</t>
        </is>
      </c>
      <c r="AG162" t="inlineStr"/>
    </row>
    <row r="163">
      <c r="A163" t="inlineStr">
        <is>
          <t>jet_cannon</t>
        </is>
      </c>
      <c r="B163" t="inlineStr">
        <is>
          <t>jet_cannon</t>
        </is>
      </c>
      <c r="C163" t="inlineStr">
        <is>
          <t>GSh-30-2 30 mm</t>
        </is>
      </c>
      <c r="D163" t="inlineStr">
        <is>
          <t>doi_that</t>
        </is>
      </c>
      <c r="E163" t="inlineStr">
        <is>
          <t>GSh-30-2 30 mm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da_kiem_chung</t>
        </is>
      </c>
      <c r="P163" t="inlineStr">
        <is>
          <t>R_balance;R_full_weapon_audit;W_wikipedia_gsh_30_2;R_machine_brigade_can_bang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n">
        <v>30</v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3000</v>
      </c>
      <c r="Y163" t="inlineStr">
        <is>
          <t>NEED_SOURCE</t>
        </is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ac</t>
        </is>
      </c>
      <c r="AD163" t="inlineStr">
        <is>
          <t>Wikipedia 'GSh-30-2': 3,000 rpm</t>
        </is>
      </c>
      <c r="AE163" t="inlineStr">
        <is>
          <t>GSh-30-2: ~3.000 phát/phút</t>
        </is>
      </c>
      <c r="AF163" t="inlineStr">
        <is>
          <t>Tools/balance/full_weapon_audit.py: REAL / WARHEAD; balance.json weapons[id=jet_cannon].real</t>
        </is>
      </c>
      <c r="AG163" t="inlineStr"/>
    </row>
    <row r="164">
      <c r="A164" t="inlineStr">
        <is>
          <t>jet_cannon_flak</t>
        </is>
      </c>
      <c r="B164" t="inlineStr">
        <is>
          <t>jet_cannon_flak</t>
        </is>
      </c>
      <c r="C164" t="inlineStr">
        <is>
          <t>GSh-30-2 30 mm air-burst</t>
        </is>
      </c>
      <c r="D164" t="inlineStr">
        <is>
          <t>doi_that</t>
        </is>
      </c>
      <c r="E164" t="inlineStr">
        <is>
          <t>GSh-30-2 30 mm air-burst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R_balance;R_full_weapon_audit;W_wikipedia_gsh_30_2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30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3000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ac</t>
        </is>
      </c>
      <c r="AD164" t="inlineStr">
        <is>
          <t>Wikipedia 'GSh-30-2': 3,000 rpm</t>
        </is>
      </c>
      <c r="AE164" t="inlineStr"/>
      <c r="AF164" t="inlineStr">
        <is>
          <t>Tools/balance/full_weapon_audit.py: REAL / WARHEAD; balance.json weapons[id=jet_cannon_flak].real</t>
        </is>
      </c>
      <c r="AG164" t="inlineStr"/>
    </row>
    <row r="165">
      <c r="A165" t="inlineStr">
        <is>
          <t>jet_rockets</t>
        </is>
      </c>
      <c r="B165" t="inlineStr">
        <is>
          <t>jet_rockets</t>
        </is>
      </c>
      <c r="C165" t="inlineStr">
        <is>
          <t>Hydra 70 mm</t>
        </is>
      </c>
      <c r="D165" t="inlineStr">
        <is>
          <t>doi_that</t>
        </is>
      </c>
      <c r="E165" t="inlineStr">
        <is>
          <t>Hydra 70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ban_dau_doan</t>
        </is>
      </c>
      <c r="P165" t="inlineStr">
        <is>
          <t>R_balance;R_full_weapon_audit;R_decisions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70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900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rocket</t>
        </is>
      </c>
      <c r="AD165" t="inlineStr">
        <is>
          <t>rocket pods: ripples of 0.05-0.12 s (DECISIONS 19R)</t>
        </is>
      </c>
      <c r="AE165" t="inlineStr"/>
      <c r="AF165" t="inlineStr">
        <is>
          <t>Tools/balance/full_weapon_audit.py: REAL / WARHEAD; balance.json weapons[id=jet_rockets].real</t>
        </is>
      </c>
      <c r="AG165" t="inlineStr"/>
    </row>
    <row r="166">
      <c r="A166" t="inlineStr">
        <is>
          <t>kh29</t>
        </is>
      </c>
      <c r="B166" t="inlineStr">
        <is>
          <t>kh29</t>
        </is>
      </c>
      <c r="C166" t="inlineStr">
        <is>
          <t>Kh-29L</t>
        </is>
      </c>
      <c r="D166" t="inlineStr">
        <is>
          <t>doi_that</t>
        </is>
      </c>
      <c r="E166" t="inlineStr">
        <is>
          <t>Kh-29L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uoc_dinh</t>
        </is>
      </c>
      <c r="P166" t="inlineStr">
        <is>
          <t>R_balance;R_full_weapon_audit;W_wikipedia_bai_cua_tung_ten_lua_bang_warhead;R_machine_brigade_can_bang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NEED_SOURCE</t>
        </is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60</v>
      </c>
      <c r="Y166" t="n">
        <v>10</v>
      </c>
      <c r="Z166" t="inlineStr">
        <is>
          <t>NEED_SOURCE</t>
        </is>
      </c>
      <c r="AA166" t="inlineStr">
        <is>
          <t>NEED_SOURCE</t>
        </is>
      </c>
      <c r="AB166" t="n">
        <v>320</v>
      </c>
      <c r="AC166" t="inlineStr">
        <is>
          <t>atgm</t>
        </is>
      </c>
      <c r="AD166" t="inlineStr">
        <is>
          <t>air-launched: ripples ~1 s apart, est. 6 s an aimed shot</t>
        </is>
      </c>
      <c r="AE166" t="inlineStr">
        <is>
          <t>Kh-29L: 10 km, Mach 2,5, đầu nổ 320 kg</t>
        </is>
      </c>
      <c r="AF166" t="inlineStr">
        <is>
          <t>Tools/balance/full_weapon_audit.py: REAL / WARHEAD; balance.json weapons[id=kh29].real</t>
        </is>
      </c>
      <c r="AG166" t="inlineStr"/>
    </row>
    <row r="167">
      <c r="A167" t="inlineStr">
        <is>
          <t>kornet_multi</t>
        </is>
      </c>
      <c r="B167" t="inlineStr">
        <is>
          <t>kornet_multi</t>
        </is>
      </c>
      <c r="C167" t="inlineStr">
        <is>
          <t>9M133 Kornet</t>
        </is>
      </c>
      <c r="D167" t="inlineStr">
        <is>
          <t>doi_that</t>
        </is>
      </c>
      <c r="E167" t="inlineStr">
        <is>
          <t>9M133 Kornet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da_kiem_chung</t>
        </is>
      </c>
      <c r="P167" t="inlineStr">
        <is>
          <t>R_balance;R_full_weapon_audit;W_wikipedia_9m133_kornet;W_wikipedia_bai_cua_tung_ten_lua_bang_warhead;R_machine_brigade_can_bang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NEED_SOURCE</t>
        </is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3</v>
      </c>
      <c r="Y167" t="n">
        <v>3</v>
      </c>
      <c r="Z167" t="inlineStr">
        <is>
          <t>NEED_SOURCE</t>
        </is>
      </c>
      <c r="AA167" t="inlineStr">
        <is>
          <t>NEED_SOURCE</t>
        </is>
      </c>
      <c r="AB167" t="n">
        <v>7</v>
      </c>
      <c r="AC167" t="inlineStr">
        <is>
          <t>atgm</t>
        </is>
      </c>
      <c r="AD167" t="inlineStr">
        <is>
          <t>Wikipedia '9M133 Kornet': 2-3 rpm</t>
        </is>
      </c>
      <c r="AE167" t="inlineStr">
        <is>
          <t>Kornet</t>
        </is>
      </c>
      <c r="AF167" t="inlineStr">
        <is>
          <t>Tools/balance/full_weapon_audit.py: REAL / WARHEAD; balance.json weapons[id=kornet_multi].real</t>
        </is>
      </c>
      <c r="AG167" t="inlineStr"/>
    </row>
    <row r="168">
      <c r="A168" t="inlineStr">
        <is>
          <t>kornet_top</t>
        </is>
      </c>
      <c r="B168" t="inlineStr">
        <is>
          <t>kornet_top</t>
        </is>
      </c>
      <c r="C168" t="inlineStr">
        <is>
          <t>9M133 Kornet</t>
        </is>
      </c>
      <c r="D168" t="inlineStr">
        <is>
          <t>doi_that</t>
        </is>
      </c>
      <c r="E168" t="inlineStr">
        <is>
          <t>9M133 Kornet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R_balance;R_full_weapon_audit;W_wikipedia_9m133_kornet;W_wikipedia_bai_cua_tung_ten_lua_bang_warhead;R_machine_brigade_can_bang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3</v>
      </c>
      <c r="Y168" t="n">
        <v>3</v>
      </c>
      <c r="Z168" t="inlineStr">
        <is>
          <t>NEED_SOURCE</t>
        </is>
      </c>
      <c r="AA168" t="inlineStr">
        <is>
          <t>NEED_SOURCE</t>
        </is>
      </c>
      <c r="AB168" t="n">
        <v>7</v>
      </c>
      <c r="AC168" t="inlineStr">
        <is>
          <t>atgm</t>
        </is>
      </c>
      <c r="AD168" t="inlineStr">
        <is>
          <t>Wikipedia '9M133 Kornet': 2-3 rpm</t>
        </is>
      </c>
      <c r="AE168" t="inlineStr">
        <is>
          <t>Kornet</t>
        </is>
      </c>
      <c r="AF168" t="inlineStr">
        <is>
          <t>Tools/balance/full_weapon_audit.py: REAL / WARHEAD; balance.json weapons[id=kornet_top].real</t>
        </is>
      </c>
      <c r="AG168" t="inlineStr"/>
    </row>
    <row r="169">
      <c r="A169" t="inlineStr">
        <is>
          <t>kornet_twin</t>
        </is>
      </c>
      <c r="B169" t="inlineStr">
        <is>
          <t>kornet_twin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weapons[id=kornet_twin].real</t>
        </is>
      </c>
      <c r="AG169" t="inlineStr"/>
    </row>
    <row r="170">
      <c r="A170" t="inlineStr">
        <is>
          <t>lancet</t>
        </is>
      </c>
      <c r="B170" t="inlineStr">
        <is>
          <t>lancet</t>
        </is>
      </c>
      <c r="C170" t="inlineStr">
        <is>
          <t>ZALA Lancet-3 (3 kg)</t>
        </is>
      </c>
      <c r="D170" t="inlineStr">
        <is>
          <t>doi_that</t>
        </is>
      </c>
      <c r="E170" t="inlineStr">
        <is>
          <t>ZALA Lancet-3 (3 kg)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ban_dau_doan</t>
        </is>
      </c>
      <c r="P170" t="inlineStr">
        <is>
          <t>R_balance;R_machine_brigade_can_bang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inlineStr">
        <is>
          <t>NEED_SOURCE</t>
        </is>
      </c>
      <c r="Y170" t="inlineStr">
        <is>
          <t>NEED_SOURCE</t>
        </is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/>
      <c r="AD170" t="inlineStr"/>
      <c r="AE170" t="inlineStr">
        <is>
          <t>Lancet-3: đầu nổ 3 kg; tầm 40 km</t>
        </is>
      </c>
      <c r="AF170" t="inlineStr">
        <is>
          <t>Tools/balance/full_weapon_audit.py: REAL / WARHEAD; balance.json weapons[id=lancet].real</t>
        </is>
      </c>
      <c r="AG170" t="inlineStr"/>
    </row>
    <row r="171">
      <c r="A171" t="inlineStr">
        <is>
          <t>lancet_hangar</t>
        </is>
      </c>
      <c r="B171" t="inlineStr">
        <is>
          <t>lancet_hangar</t>
        </is>
      </c>
      <c r="C171" t="inlineStr">
        <is>
          <t>ZALA Lancet-3 (3 kg)</t>
        </is>
      </c>
      <c r="D171" t="inlineStr">
        <is>
          <t>doi_that</t>
        </is>
      </c>
      <c r="E171" t="inlineStr">
        <is>
          <t>ZALA Lancet-3 (3 kg)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ban_dau_doan</t>
        </is>
      </c>
      <c r="P171" t="inlineStr">
        <is>
          <t>R_balance;R_machine_brigade_can_bang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inlineStr">
        <is>
          <t>NEED_SOURCE</t>
        </is>
      </c>
      <c r="Y171" t="inlineStr">
        <is>
          <t>NEED_SOURCE</t>
        </is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/>
      <c r="AD171" t="inlineStr"/>
      <c r="AE171" t="inlineStr">
        <is>
          <t>Lancet-3</t>
        </is>
      </c>
      <c r="AF171" t="inlineStr">
        <is>
          <t>Tools/balance/full_weapon_audit.py: REAL / WARHEAD; balance.json weapons[id=lancet_hangar].real</t>
        </is>
      </c>
      <c r="AG171" t="inlineStr"/>
    </row>
    <row r="172">
      <c r="A172" t="inlineStr">
        <is>
          <t>laser_50kw</t>
        </is>
      </c>
      <c r="B172" t="inlineStr">
        <is>
          <t>laser_50kw</t>
        </is>
      </c>
      <c r="C172" t="inlineStr">
        <is>
          <t>50 kW laser (Iron Beam fixed site)</t>
        </is>
      </c>
      <c r="D172" t="inlineStr">
        <is>
          <t>doi_that</t>
        </is>
      </c>
      <c r="E172" t="inlineStr">
        <is>
          <t>50 kW laser (Iron Beam fixed site)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/>
      <c r="AF172" t="inlineStr">
        <is>
          <t>Tools/balance/full_weapon_audit.py: REAL / WARHEAD; balance.json weapons[id=laser_50kw].real</t>
        </is>
      </c>
      <c r="AG172" t="inlineStr"/>
    </row>
    <row r="173">
      <c r="A173" t="inlineStr">
        <is>
          <t>leviathan_460</t>
        </is>
      </c>
      <c r="B173" t="inlineStr">
        <is>
          <t>leviathan_460</t>
        </is>
      </c>
      <c r="C173" t="inlineStr">
        <is>
          <t>Mk 7 406 mm/50 (Iowa, triple)</t>
        </is>
      </c>
      <c r="D173" t="inlineStr">
        <is>
          <t>doi_that</t>
        </is>
      </c>
      <c r="E173" t="inlineStr">
        <is>
          <t>Mk 7 406 mm/50 (Iowa, triple)</t>
        </is>
      </c>
      <c r="F173" t="inlineStr"/>
      <c r="G173" t="inlineStr"/>
      <c r="H173" t="inlineStr"/>
      <c r="I173" t="inlineStr"/>
      <c r="J173" t="inlineStr"/>
      <c r="K173" t="inlineStr"/>
      <c r="L173" t="inlineStr">
        <is>
          <t>nhịp chậm hơn 30 % và mạnh hơn tương ứng (luật súng của game)</t>
        </is>
      </c>
      <c r="M173" t="inlineStr">
        <is>
          <t>gameplay</t>
        </is>
      </c>
      <c r="N173" t="inlineStr"/>
      <c r="O173" t="inlineStr">
        <is>
          <t>da_kiem_chung</t>
        </is>
      </c>
      <c r="P173" t="inlineStr">
        <is>
          <t>R_balance;R_full_weapon_audit;W_wikipedia_16_50_caliber_mark_7;R_machine_brigade_can_bang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406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2</v>
      </c>
      <c r="Y173" t="n">
        <v>2</v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gun</t>
        </is>
      </c>
      <c r="AD173" t="inlineStr">
        <is>
          <t>Wikipedia '16"/50 caliber Mark 7': 2 rpm a gun</t>
        </is>
      </c>
      <c r="AE173" t="inlineStr">
        <is>
          <t>Type 94 460 mm: 1,5–2 phát/phút, đạn 1,46 tấn</t>
        </is>
      </c>
      <c r="AF173" t="inlineStr">
        <is>
          <t>Tools/balance/full_weapon_audit.py: REAL / WARHEAD; balance.json weapons[id=leviathan_460].real</t>
        </is>
      </c>
      <c r="AG173" t="inlineStr"/>
    </row>
    <row r="174">
      <c r="A174" t="inlineStr">
        <is>
          <t>leviathan_460_guided</t>
        </is>
      </c>
      <c r="B174" t="inlineStr">
        <is>
          <t>leviathan_460_guided</t>
        </is>
      </c>
      <c r="C174" t="inlineStr">
        <is>
          <t>Mk 7 406 mm/50 guided (Iowa, triple)</t>
        </is>
      </c>
      <c r="D174" t="inlineStr">
        <is>
          <t>doi_that</t>
        </is>
      </c>
      <c r="E174" t="inlineStr">
        <is>
          <t>Mk 7 406 mm/50 guided (Iowa, triple)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nhịp chậm hơn 30 % và mạnh hơn tương ứng (luật súng của game)</t>
        </is>
      </c>
      <c r="M174" t="inlineStr">
        <is>
          <t>gameplay</t>
        </is>
      </c>
      <c r="N174" t="inlineStr"/>
      <c r="O174" t="inlineStr">
        <is>
          <t>da_kiem_chung</t>
        </is>
      </c>
      <c r="P174" t="inlineStr">
        <is>
          <t>R_balance;R_full_weapon_audit;W_wikipedia_16_50_caliber_mark_7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406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2</v>
      </c>
      <c r="Y174" t="n">
        <v>2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gun</t>
        </is>
      </c>
      <c r="AD174" t="inlineStr">
        <is>
          <t>Wikipedia '16"/50 caliber Mark 7': 2 rpm a gun</t>
        </is>
      </c>
      <c r="AE174" t="inlineStr"/>
      <c r="AF174" t="inlineStr">
        <is>
          <t>Tools/balance/full_weapon_audit.py: REAL / WARHEAD; balance.json weapons[id=leviathan_460_guided].real</t>
        </is>
      </c>
      <c r="AG174" t="inlineStr"/>
    </row>
    <row r="175">
      <c r="A175" t="inlineStr">
        <is>
          <t>leviathan_cruise</t>
        </is>
      </c>
      <c r="B175" t="inlineStr">
        <is>
          <t>leviathan_cruise</t>
        </is>
      </c>
      <c r="C175" t="inlineStr">
        <is>
          <t>3M-54 Kalibr</t>
        </is>
      </c>
      <c r="D175" t="inlineStr">
        <is>
          <t>doi_that</t>
        </is>
      </c>
      <c r="E175" t="inlineStr">
        <is>
          <t>3M-54 Kalibr</t>
        </is>
      </c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>
        <is>
          <t>uoc_dinh</t>
        </is>
      </c>
      <c r="P175" t="inlineStr">
        <is>
          <t>R_balance;R_full_weapon_audit;W_wikipedia_bai_cua_tung_ten_lua_bang_warhead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NEED_SOURCE</t>
        </is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20</v>
      </c>
      <c r="Y175" t="n">
        <v>6</v>
      </c>
      <c r="Z175" t="inlineStr">
        <is>
          <t>NEED_SOURCE</t>
        </is>
      </c>
      <c r="AA175" t="inlineStr">
        <is>
          <t>NEED_SOURCE</t>
        </is>
      </c>
      <c r="AB175" t="n">
        <v>200</v>
      </c>
      <c r="AC175" t="inlineStr">
        <is>
          <t>missile</t>
        </is>
      </c>
      <c r="AD175" t="inlineStr">
        <is>
          <t>cruise missiles: ~3 s between launches (est.)</t>
        </is>
      </c>
      <c r="AE175" t="inlineStr"/>
      <c r="AF175" t="inlineStr">
        <is>
          <t>Tools/balance/full_weapon_audit.py: REAL / WARHEAD; balance.json weapons[id=leviathan_cruise].real</t>
        </is>
      </c>
      <c r="AG175" t="inlineStr"/>
    </row>
    <row r="176">
      <c r="A176" t="inlineStr">
        <is>
          <t>locust_drones</t>
        </is>
      </c>
      <c r="B176" t="inlineStr">
        <is>
          <t>locust_drones</t>
        </is>
      </c>
      <c r="C176" t="inlineStr">
        <is>
          <t>ZALA Lancet-3 swarm</t>
        </is>
      </c>
      <c r="D176" t="inlineStr">
        <is>
          <t>doi_that</t>
        </is>
      </c>
      <c r="E176" t="inlineStr">
        <is>
          <t>ZALA Lancet-3 swarm</t>
        </is>
      </c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>
        <is>
          <t>ban_dau_doan</t>
        </is>
      </c>
      <c r="P176" t="inlineStr">
        <is>
          <t>R_balance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NEED_SOURCE</t>
        </is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inlineStr">
        <is>
          <t>NEED_SOURCE</t>
        </is>
      </c>
      <c r="Y176" t="inlineStr">
        <is>
          <t>NEED_SOURCE</t>
        </is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/>
      <c r="AD176" t="inlineStr"/>
      <c r="AE176" t="inlineStr"/>
      <c r="AF176" t="inlineStr">
        <is>
          <t>Tools/balance/full_weapon_audit.py: REAL / WARHEAD; balance.json weapons[id=locust_drones].real</t>
        </is>
      </c>
      <c r="AG176" t="inlineStr"/>
    </row>
    <row r="177">
      <c r="A177" t="inlineStr">
        <is>
          <t>maverick</t>
        </is>
      </c>
      <c r="B177" t="inlineStr">
        <is>
          <t>maverick</t>
        </is>
      </c>
      <c r="C177" t="inlineStr">
        <is>
          <t>AGM-65 Maverick</t>
        </is>
      </c>
      <c r="D177" t="inlineStr">
        <is>
          <t>doi_that</t>
        </is>
      </c>
      <c r="E177" t="inlineStr">
        <is>
          <t>AGM-65 Maverick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60</v>
      </c>
      <c r="Y177" t="n">
        <v>10</v>
      </c>
      <c r="Z177" t="inlineStr">
        <is>
          <t>NEED_SOURCE</t>
        </is>
      </c>
      <c r="AA177" t="inlineStr">
        <is>
          <t>NEED_SOURCE</t>
        </is>
      </c>
      <c r="AB177" t="n">
        <v>57</v>
      </c>
      <c r="AC177" t="inlineStr">
        <is>
          <t>atgm</t>
        </is>
      </c>
      <c r="AD177" t="inlineStr">
        <is>
          <t>air-launched: ripples ~1 s apart, est. 6 s an aimed shot</t>
        </is>
      </c>
      <c r="AE177" t="inlineStr"/>
      <c r="AF177" t="inlineStr">
        <is>
          <t>Tools/balance/full_weapon_audit.py: REAL / WARHEAD; balance.json weapons[id=maverick].real</t>
        </is>
      </c>
      <c r="AG177" t="inlineStr"/>
    </row>
    <row r="178">
      <c r="A178" t="inlineStr">
        <is>
          <t>mg_coax</t>
        </is>
      </c>
      <c r="B178" t="inlineStr">
        <is>
          <t>mg_coax</t>
        </is>
      </c>
      <c r="C178" t="inlineStr">
        <is>
          <t>PKT / M240 7.62 mm</t>
        </is>
      </c>
      <c r="D178" t="inlineStr">
        <is>
          <t>doi_that</t>
        </is>
      </c>
      <c r="E178" t="inlineStr">
        <is>
          <t>PKT / M240 7.62 mm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da_kiem_chung</t>
        </is>
      </c>
      <c r="P178" t="inlineStr">
        <is>
          <t>R_balance;R_full_weapon_audit;W_wikipedia_pk_machine_gun;R_machine_brigade_can_bang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7.62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800</v>
      </c>
      <c r="Y178" t="n">
        <v>250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mg</t>
        </is>
      </c>
      <c r="AD178" t="inlineStr">
        <is>
          <t>Wikipedia 'PK machine gun' (PKT 700-800, practical 250); M240 650-950</t>
        </is>
      </c>
      <c r="AE178" t="inlineStr">
        <is>
          <t>PKT/M240: 650–950</t>
        </is>
      </c>
      <c r="AF178" t="inlineStr">
        <is>
          <t>Tools/balance/full_weapon_audit.py: REAL / WARHEAD; balance.json weapons[id=mg_coax].real</t>
        </is>
      </c>
      <c r="AG178" t="inlineStr"/>
    </row>
    <row r="179">
      <c r="A179" t="inlineStr">
        <is>
          <t>mg_coax_long</t>
        </is>
      </c>
      <c r="B179" t="inlineStr">
        <is>
          <t>mg_coax_long</t>
        </is>
      </c>
      <c r="C179" t="inlineStr">
        <is>
          <t>PKT / M240 7.62 mm</t>
        </is>
      </c>
      <c r="D179" t="inlineStr">
        <is>
          <t>doi_that</t>
        </is>
      </c>
      <c r="E179" t="inlineStr">
        <is>
          <t>PKT / M240 7.62 mm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da_kiem_chung</t>
        </is>
      </c>
      <c r="P179" t="inlineStr">
        <is>
          <t>R_balance;R_full_weapon_audit;W_wikipedia_pk_machine_gun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7.62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800</v>
      </c>
      <c r="Y179" t="n">
        <v>250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mg</t>
        </is>
      </c>
      <c r="AD179" t="inlineStr">
        <is>
          <t>Wikipedia 'PK machine gun' (PKT 700-800, practical 250); M240 650-950</t>
        </is>
      </c>
      <c r="AE179" t="inlineStr"/>
      <c r="AF179" t="inlineStr">
        <is>
          <t>Tools/balance/full_weapon_audit.py: REAL / WARHEAD; balance.json weapons[id=mg_coax_long].real</t>
        </is>
      </c>
      <c r="AG179" t="inlineStr"/>
    </row>
    <row r="180">
      <c r="A180" t="inlineStr">
        <is>
          <t>mg_jeep</t>
        </is>
      </c>
      <c r="B180" t="inlineStr">
        <is>
          <t>mg_jeep</t>
        </is>
      </c>
      <c r="C180" t="inlineStr">
        <is>
          <t>M2 Browning 12.7 mm</t>
        </is>
      </c>
      <c r="D180" t="inlineStr">
        <is>
          <t>doi_that</t>
        </is>
      </c>
      <c r="E180" t="inlineStr">
        <is>
          <t>M2 Browning 12.7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R_balance;R_full_weapon_audit;D_us_army_fm_3_22_65;R_machine_brigade_can_bang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12.7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600</v>
      </c>
      <c r="Y180" t="n">
        <v>40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US Army FM 3-22.65: cyclic 450-600, rapid 40 rpm</t>
        </is>
      </c>
      <c r="AE180" t="inlineStr">
        <is>
          <t>M2: 450–600</t>
        </is>
      </c>
      <c r="AF180" t="inlineStr">
        <is>
          <t>Tools/balance/full_weapon_audit.py: REAL / WARHEAD; balance.json weapons[id=mg_jeep].real</t>
        </is>
      </c>
      <c r="AG180" t="inlineStr"/>
    </row>
    <row r="181">
      <c r="A181" t="inlineStr">
        <is>
          <t>mg_jeep_api</t>
        </is>
      </c>
      <c r="B181" t="inlineStr">
        <is>
          <t>mg_jeep_api</t>
        </is>
      </c>
      <c r="C181" t="inlineStr">
        <is>
          <t>M2 Browning 12.7 mm API</t>
        </is>
      </c>
      <c r="D181" t="inlineStr">
        <is>
          <t>doi_that</t>
        </is>
      </c>
      <c r="E181" t="inlineStr">
        <is>
          <t>M2 Browning 12.7 mm API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R_balance;R_full_weapon_audit;D_us_army_fm_3_22_65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12.7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600</v>
      </c>
      <c r="Y181" t="n">
        <v>40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US Army FM 3-22.65: cyclic 450-600, rapid 40 rpm</t>
        </is>
      </c>
      <c r="AE181" t="inlineStr"/>
      <c r="AF181" t="inlineStr">
        <is>
          <t>Tools/balance/full_weapon_audit.py: REAL / WARHEAD; balance.json weapons[id=mg_jeep_api].real</t>
        </is>
      </c>
      <c r="AG181" t="inlineStr"/>
    </row>
    <row r="182">
      <c r="A182" t="inlineStr">
        <is>
          <t>mg_jeep_selfdef</t>
        </is>
      </c>
      <c r="B182" t="inlineStr">
        <is>
          <t>mg_jeep_selfdef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/>
      <c r="AF182" t="inlineStr">
        <is>
          <t>Tools/balance/full_weapon_audit.py: REAL / WARHEAD; balance.json weapons[id=mg_jeep_selfdef].real</t>
        </is>
      </c>
      <c r="AG182" t="inlineStr"/>
    </row>
    <row r="183">
      <c r="A183" t="inlineStr">
        <is>
          <t>mg_jeep_selfdef_api</t>
        </is>
      </c>
      <c r="B183" t="inlineStr">
        <is>
          <t>mg_jeep_selfdef_api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weapons[id=mg_jeep_selfdef_api].real</t>
        </is>
      </c>
      <c r="AG183" t="inlineStr"/>
    </row>
    <row r="184">
      <c r="A184" t="inlineStr">
        <is>
          <t>minigun</t>
        </is>
      </c>
      <c r="B184" t="inlineStr">
        <is>
          <t>minigun</t>
        </is>
      </c>
      <c r="C184" t="inlineStr">
        <is>
          <t>M134 Minigun 7.62 mm</t>
        </is>
      </c>
      <c r="D184" t="inlineStr">
        <is>
          <t>doi_that</t>
        </is>
      </c>
      <c r="E184" t="inlineStr">
        <is>
          <t>M134 Minigun 7.62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R_balance;R_full_weapon_audit;W_wikipedia_m134_minigun;R_machine_brigade_can_bang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7.62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6000</v>
      </c>
      <c r="Y184" t="inlineStr">
        <is>
          <t>NEED_SOURCE</t>
        </is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Wikipedia 'M134 Minigun': 2,000-6,000 rpm (3,000 on helicopters)</t>
        </is>
      </c>
      <c r="AE184" t="inlineStr">
        <is>
          <t>M134: 2.000–6.000</t>
        </is>
      </c>
      <c r="AF184" t="inlineStr">
        <is>
          <t>Tools/balance/full_weapon_audit.py: REAL / WARHEAD; balance.json weapons[id=minigun].real</t>
        </is>
      </c>
      <c r="AG184" t="inlineStr"/>
    </row>
    <row r="185">
      <c r="A185" t="inlineStr">
        <is>
          <t>missile_57e6</t>
        </is>
      </c>
      <c r="B185" t="inlineStr">
        <is>
          <t>missile_57e6</t>
        </is>
      </c>
      <c r="C185" t="inlineStr">
        <is>
          <t>57E6 (Pantsir)</t>
        </is>
      </c>
      <c r="D185" t="inlineStr">
        <is>
          <t>doi_that</t>
        </is>
      </c>
      <c r="E185" t="inlineStr">
        <is>
          <t>57E6 (Pantsir)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uoc_dinh</t>
        </is>
      </c>
      <c r="P185" t="inlineStr">
        <is>
          <t>R_balance;R_full_weapon_audit;W_wikipedia_pantsir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40</v>
      </c>
      <c r="Y185" t="n">
        <v>12</v>
      </c>
      <c r="Z185" t="inlineStr">
        <is>
          <t>NEED_SOURCE</t>
        </is>
      </c>
      <c r="AA185" t="inlineStr">
        <is>
          <t>NEED_SOURCE</t>
        </is>
      </c>
      <c r="AB185" t="inlineStr">
        <is>
          <t>NEED_SOURCE</t>
        </is>
      </c>
      <c r="AC185" t="inlineStr">
        <is>
          <t>missile</t>
        </is>
      </c>
      <c r="AD185" t="inlineStr">
        <is>
          <t>Wikipedia 'Pantsir': 2 missiles ~1.5 s apart (est.)</t>
        </is>
      </c>
      <c r="AE185" t="inlineStr"/>
      <c r="AF185" t="inlineStr">
        <is>
          <t>Tools/balance/full_weapon_audit.py: REAL / WARHEAD; balance.json weapons[id=missile_57e6].real</t>
        </is>
      </c>
      <c r="AG185" t="inlineStr"/>
    </row>
    <row r="186">
      <c r="A186" t="inlineStr">
        <is>
          <t>mlrs_elite</t>
        </is>
      </c>
      <c r="B186" t="inlineStr">
        <is>
          <t>mlrs_elite</t>
        </is>
      </c>
      <c r="C186" t="inlineStr">
        <is>
          <t>M30 GMLRS 227 mm (cluster)</t>
        </is>
      </c>
      <c r="D186" t="inlineStr">
        <is>
          <t>doi_that</t>
        </is>
      </c>
      <c r="E186" t="inlineStr">
        <is>
          <t>M30 GMLRS 227 mm (cluster)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R_balance;R_full_weapon_audit;W_wikipedia_m270_mlrs;R_machine_brigade_can_bang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227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12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rocket</t>
        </is>
      </c>
      <c r="AD186" t="inlineStr">
        <is>
          <t>Wikipedia 'M270 MLRS': 12 rockets in under a minute</t>
        </is>
      </c>
      <c r="AE186" t="inlineStr">
        <is>
          <t>GMLRS</t>
        </is>
      </c>
      <c r="AF186" t="inlineStr">
        <is>
          <t>Tools/balance/full_weapon_audit.py: REAL / WARHEAD; balance.json weapons[id=mlrs_elite].real</t>
        </is>
      </c>
      <c r="AG186" t="inlineStr"/>
    </row>
    <row r="187">
      <c r="A187" t="inlineStr">
        <is>
          <t>mlrs_rockets</t>
        </is>
      </c>
      <c r="B187" t="inlineStr">
        <is>
          <t>mlrs_rockets</t>
        </is>
      </c>
      <c r="C187" t="inlineStr">
        <is>
          <t>M31 GMLRS 227 mm</t>
        </is>
      </c>
      <c r="D187" t="inlineStr">
        <is>
          <t>doi_that</t>
        </is>
      </c>
      <c r="E187" t="inlineStr">
        <is>
          <t>M31 GMLRS 227 mm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da_kiem_chung</t>
        </is>
      </c>
      <c r="P187" t="inlineStr">
        <is>
          <t>R_balance;R_full_weapon_audit;W_wikipedia_m270_mlrs;R_machine_brigade_can_bang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n">
        <v>227</v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12</v>
      </c>
      <c r="Y187" t="inlineStr">
        <is>
          <t>NEED_SOURCE</t>
        </is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>
        <is>
          <t>rocket</t>
        </is>
      </c>
      <c r="AD187" t="inlineStr">
        <is>
          <t>Wikipedia 'M270 MLRS': 12 rockets in under a minute</t>
        </is>
      </c>
      <c r="AE187" t="inlineStr">
        <is>
          <t>GMLRS: 6 quả / ~45 s; tầm 70–80 km; đầu nổ 90 kg</t>
        </is>
      </c>
      <c r="AF187" t="inlineStr">
        <is>
          <t>Tools/balance/full_weapon_audit.py: REAL / WARHEAD; balance.json weapons[id=mlrs_rockets].real</t>
        </is>
      </c>
      <c r="AG187" t="inlineStr"/>
    </row>
    <row r="188">
      <c r="A188" t="inlineStr">
        <is>
          <t>mortar_120</t>
        </is>
      </c>
      <c r="B188" t="inlineStr">
        <is>
          <t>mortar_120</t>
        </is>
      </c>
      <c r="C188" t="inlineStr">
        <is>
          <t>2B11 120 mm</t>
        </is>
      </c>
      <c r="D188" t="inlineStr">
        <is>
          <t>doi_that</t>
        </is>
      </c>
      <c r="E188" t="inlineStr">
        <is>
          <t>2B11 120 mm</t>
        </is>
      </c>
      <c r="F188" t="inlineStr"/>
      <c r="G188" t="inlineStr"/>
      <c r="H188" t="inlineStr"/>
      <c r="I188" t="inlineStr"/>
      <c r="J188" t="inlineStr"/>
      <c r="K188" t="inlineStr"/>
      <c r="L188" t="inlineStr">
        <is>
          <t>nhịp chậm hơn 30 % và mạnh hơn tương ứng (luật súng của game)</t>
        </is>
      </c>
      <c r="M188" t="inlineStr">
        <is>
          <t>gameplay</t>
        </is>
      </c>
      <c r="N188" t="inlineStr"/>
      <c r="O188" t="inlineStr">
        <is>
          <t>da_kiem_chung</t>
        </is>
      </c>
      <c r="P188" t="inlineStr">
        <is>
          <t>R_balance;R_full_weapon_audit;W_wikipedia_2b11;R_machine_brigade_can_bang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120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15</v>
      </c>
      <c r="Y188" t="n">
        <v>10</v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gun</t>
        </is>
      </c>
      <c r="AD188" t="inlineStr">
        <is>
          <t>Wikipedia '2B11': 15 rpm</t>
        </is>
      </c>
      <c r="AE188" t="inlineStr">
        <is>
          <t>2B11 120 mm: 15 phát/phút; tầm 7 km</t>
        </is>
      </c>
      <c r="AF188" t="inlineStr">
        <is>
          <t>Tools/balance/full_weapon_audit.py: REAL / WARHEAD; balance.json weapons[id=mortar_120].real</t>
        </is>
      </c>
      <c r="AG188" t="inlineStr"/>
    </row>
    <row r="189">
      <c r="A189" t="inlineStr">
        <is>
          <t>mortar_240</t>
        </is>
      </c>
      <c r="B189" t="inlineStr">
        <is>
          <t>mortar_240</t>
        </is>
      </c>
      <c r="C189" t="inlineStr">
        <is>
          <t>2B8 240 mm</t>
        </is>
      </c>
      <c r="D189" t="inlineStr">
        <is>
          <t>doi_that</t>
        </is>
      </c>
      <c r="E189" t="inlineStr">
        <is>
          <t>2B8 240 mm</t>
        </is>
      </c>
      <c r="F189" t="inlineStr"/>
      <c r="G189" t="inlineStr"/>
      <c r="H189" t="inlineStr"/>
      <c r="I189" t="inlineStr"/>
      <c r="J189" t="inlineStr"/>
      <c r="K189" t="inlineStr"/>
      <c r="L189" t="inlineStr">
        <is>
          <t>nhịp chậm hơn 30 % và mạnh hơn tương ứng (luật súng của game)</t>
        </is>
      </c>
      <c r="M189" t="inlineStr">
        <is>
          <t>gameplay</t>
        </is>
      </c>
      <c r="N189" t="inlineStr"/>
      <c r="O189" t="inlineStr">
        <is>
          <t>da_kiem_chung</t>
        </is>
      </c>
      <c r="P189" t="inlineStr">
        <is>
          <t>R_balance;R_full_weapon_audit;W_wikipedia_2s4_tyulpan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240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</v>
      </c>
      <c r="Y189" t="n">
        <v>1</v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gun</t>
        </is>
      </c>
      <c r="AD189" t="inlineStr">
        <is>
          <t>Wikipedia '2S4 Tyulpan': ~1 rpm</t>
        </is>
      </c>
      <c r="AE189" t="inlineStr"/>
      <c r="AF189" t="inlineStr">
        <is>
          <t>Tools/balance/full_weapon_audit.py: REAL / WARHEAD; balance.json weapons[id=mortar_240].real</t>
        </is>
      </c>
      <c r="AG189" t="inlineStr"/>
    </row>
    <row r="190">
      <c r="A190" t="inlineStr">
        <is>
          <t>mothership_cannon</t>
        </is>
      </c>
      <c r="B190" t="inlineStr">
        <is>
          <t>mothership_cannon</t>
        </is>
      </c>
      <c r="C190" t="inlineStr">
        <is>
          <t>AU-220 57 mm</t>
        </is>
      </c>
      <c r="D190" t="inlineStr">
        <is>
          <t>doi_that</t>
        </is>
      </c>
      <c r="E190" t="inlineStr">
        <is>
          <t>AU-220 57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R_balance;R_full_weapon_audit;W_wikipedia_au_220m;R_machine_brigade_can_bang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57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120</v>
      </c>
      <c r="Y190" t="n">
        <v>80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ac</t>
        </is>
      </c>
      <c r="AD190" t="inlineStr">
        <is>
          <t>Wikipedia 'AU-220M': 80-120 rpm</t>
        </is>
      </c>
      <c r="AE190" t="inlineStr">
        <is>
          <t>AU-220M: 120 phát/phút</t>
        </is>
      </c>
      <c r="AF190" t="inlineStr">
        <is>
          <t>Tools/balance/full_weapon_audit.py: REAL / WARHEAD; balance.json weapons[id=mothership_cannon].real</t>
        </is>
      </c>
      <c r="AG190" t="inlineStr"/>
    </row>
    <row r="191">
      <c r="A191" t="inlineStr">
        <is>
          <t>mothership_drones</t>
        </is>
      </c>
      <c r="B191" t="inlineStr">
        <is>
          <t>mothership_drones</t>
        </is>
      </c>
      <c r="C191" t="inlineStr">
        <is>
          <t>ZALA Lancet-3 (3 kg)</t>
        </is>
      </c>
      <c r="D191" t="inlineStr">
        <is>
          <t>doi_that</t>
        </is>
      </c>
      <c r="E191" t="inlineStr">
        <is>
          <t>ZALA Lancet-3 (3 kg)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ban_dau_doan</t>
        </is>
      </c>
      <c r="P191" t="inlineStr">
        <is>
          <t>R_balance;R_machine_brigade_can_bang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NEED_SOURCE</t>
        </is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inlineStr">
        <is>
          <t>NEED_SOURCE</t>
        </is>
      </c>
      <c r="Y191" t="inlineStr">
        <is>
          <t>NEED_SOURCE</t>
        </is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/>
      <c r="AD191" t="inlineStr"/>
      <c r="AE191" t="inlineStr">
        <is>
          <t>Lancet-3</t>
        </is>
      </c>
      <c r="AF191" t="inlineStr">
        <is>
          <t>Tools/balance/full_weapon_audit.py: REAL / WARHEAD; balance.json weapons[id=mothership_drones].real</t>
        </is>
      </c>
      <c r="AG191" t="inlineStr"/>
    </row>
    <row r="192">
      <c r="A192" t="inlineStr">
        <is>
          <t>naval_76</t>
        </is>
      </c>
      <c r="B192" t="inlineStr">
        <is>
          <t>naval_76</t>
        </is>
      </c>
      <c r="C192" t="inlineStr">
        <is>
          <t>OTO Melara 76/62</t>
        </is>
      </c>
      <c r="D192" t="inlineStr">
        <is>
          <t>doi_that</t>
        </is>
      </c>
      <c r="E192" t="inlineStr">
        <is>
          <t>OTO Melara 76/62</t>
        </is>
      </c>
      <c r="F192" t="inlineStr"/>
      <c r="G192" t="inlineStr"/>
      <c r="H192" t="inlineStr"/>
      <c r="I192" t="inlineStr"/>
      <c r="J192" t="inlineStr"/>
      <c r="K192" t="inlineStr"/>
      <c r="L192" t="inlineStr">
        <is>
          <t>nhịp chậm hơn 30 % và mạnh hơn tương ứng (luật súng của game)</t>
        </is>
      </c>
      <c r="M192" t="inlineStr">
        <is>
          <t>gameplay</t>
        </is>
      </c>
      <c r="N192" t="inlineStr"/>
      <c r="O192" t="inlineStr">
        <is>
          <t>da_kiem_chung</t>
        </is>
      </c>
      <c r="P192" t="inlineStr">
        <is>
          <t>R_balance;R_full_weapon_audit;W_wikipedia_oto_melara_76_mm;R_machine_brigade_can_bang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NEED_SOURCE</t>
        </is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gun</t>
        </is>
      </c>
      <c r="AD192" t="inlineStr">
        <is>
          <t>Wikipedia 'OTO Melara 76 mm': 80-120 rpm (Super Rapid)</t>
        </is>
      </c>
      <c r="AE192" t="inlineStr">
        <is>
          <t>OTO 76/62: 80–120 phát/phút</t>
        </is>
      </c>
      <c r="AF192" t="inlineStr">
        <is>
          <t>Tools/balance/full_weapon_audit.py: REAL / WARHEAD; balance.json weapons[id=naval_76].real</t>
        </is>
      </c>
      <c r="AG192" t="inlineStr"/>
    </row>
    <row r="193">
      <c r="A193" t="inlineStr">
        <is>
          <t>naval_76_guided</t>
        </is>
      </c>
      <c r="B193" t="inlineStr">
        <is>
          <t>naval_76_guided</t>
        </is>
      </c>
      <c r="C193" t="inlineStr">
        <is>
          <t>OTO Melara 76/62 guided</t>
        </is>
      </c>
      <c r="D193" t="inlineStr">
        <is>
          <t>doi_that</t>
        </is>
      </c>
      <c r="E193" t="inlineStr">
        <is>
          <t>OTO Melara 76/62 guided</t>
        </is>
      </c>
      <c r="F193" t="inlineStr"/>
      <c r="G193" t="inlineStr"/>
      <c r="H193" t="inlineStr"/>
      <c r="I193" t="inlineStr"/>
      <c r="J193" t="inlineStr"/>
      <c r="K193" t="inlineStr"/>
      <c r="L193" t="inlineStr">
        <is>
          <t>nhịp chậm hơn 30 % và mạnh hơn tương ứng (luật súng của game)</t>
        </is>
      </c>
      <c r="M193" t="inlineStr">
        <is>
          <t>gameplay</t>
        </is>
      </c>
      <c r="N193" t="inlineStr"/>
      <c r="O193" t="inlineStr">
        <is>
          <t>da_kiem_chung</t>
        </is>
      </c>
      <c r="P193" t="inlineStr">
        <is>
          <t>R_balance;R_full_weapon_audit;W_wikipedia_oto_melara_76_mm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120</v>
      </c>
      <c r="Y193" t="n">
        <v>80</v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>
        <is>
          <t>gun</t>
        </is>
      </c>
      <c r="AD193" t="inlineStr">
        <is>
          <t>Wikipedia 'OTO Melara 76 mm': 80-120 rpm (Super Rapid)</t>
        </is>
      </c>
      <c r="AE193" t="inlineStr"/>
      <c r="AF193" t="inlineStr">
        <is>
          <t>Tools/balance/full_weapon_audit.py: REAL / WARHEAD; balance.json weapons[id=naval_76_guided].real</t>
        </is>
      </c>
      <c r="AG193" t="inlineStr"/>
    </row>
    <row r="194">
      <c r="A194" t="inlineStr">
        <is>
          <t>naval_100</t>
        </is>
      </c>
      <c r="B194" t="inlineStr">
        <is>
          <t>naval_100</t>
        </is>
      </c>
      <c r="C194" t="inlineStr">
        <is>
          <t>AK-100 100 mm</t>
        </is>
      </c>
      <c r="D194" t="inlineStr">
        <is>
          <t>doi_that</t>
        </is>
      </c>
      <c r="E194" t="inlineStr">
        <is>
          <t>AK-100 100 mm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R_balance;R_full_weapon_audit;W_wikipedia_ak_100_naval_gun;R_machine_brigade_can_bang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n">
        <v>100</v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60</v>
      </c>
      <c r="Y194" t="n">
        <v>30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'AK-100 (naval gun)': 60 rpm</t>
        </is>
      </c>
      <c r="AE194" t="inlineStr">
        <is>
          <t>AK-100: 60 phát/phút</t>
        </is>
      </c>
      <c r="AF194" t="inlineStr">
        <is>
          <t>Tools/balance/full_weapon_audit.py: REAL / WARHEAD; balance.json weapons[id=naval_100].real</t>
        </is>
      </c>
      <c r="AG194" t="inlineStr"/>
    </row>
    <row r="195">
      <c r="A195" t="inlineStr">
        <is>
          <t>naval_100_guided</t>
        </is>
      </c>
      <c r="B195" t="inlineStr">
        <is>
          <t>naval_100_guided</t>
        </is>
      </c>
      <c r="C195" t="inlineStr">
        <is>
          <t>AK-100 100 mm guided</t>
        </is>
      </c>
      <c r="D195" t="inlineStr">
        <is>
          <t>doi_that</t>
        </is>
      </c>
      <c r="E195" t="inlineStr">
        <is>
          <t>AK-100 100 mm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R_balance;R_full_weapon_audit;W_wikipedia_ak_100_naval_gun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n">
        <v>100</v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60</v>
      </c>
      <c r="Y195" t="n">
        <v>30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'AK-100 (naval gun)': 60 rpm</t>
        </is>
      </c>
      <c r="AE195" t="inlineStr"/>
      <c r="AF195" t="inlineStr">
        <is>
          <t>Tools/balance/full_weapon_audit.py: REAL / WARHEAD; balance.json weapons[id=naval_100_guided].real</t>
        </is>
      </c>
      <c r="AG195" t="inlineStr"/>
    </row>
    <row r="196">
      <c r="A196" t="inlineStr">
        <is>
          <t>naval_127</t>
        </is>
      </c>
      <c r="B196" t="inlineStr">
        <is>
          <t>naval_127</t>
        </is>
      </c>
      <c r="C196" t="inlineStr">
        <is>
          <t>Mk 45 127 mm</t>
        </is>
      </c>
      <c r="D196" t="inlineStr">
        <is>
          <t>doi_that</t>
        </is>
      </c>
      <c r="E196" t="inlineStr">
        <is>
          <t>Mk 45 127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R_balance;R_full_weapon_audit;W_wikipedia_5_54_caliber_mark_45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127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20</v>
      </c>
      <c r="Y196" t="n">
        <v>16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'5"/54 caliber Mark 45': 16-20 rpm</t>
        </is>
      </c>
      <c r="AE196" t="inlineStr"/>
      <c r="AF196" t="inlineStr">
        <is>
          <t>Tools/balance/full_weapon_audit.py: REAL / WARHEAD; balance.json weapons[id=naval_127].real</t>
        </is>
      </c>
      <c r="AG196" t="inlineStr"/>
    </row>
    <row r="197">
      <c r="A197" t="inlineStr">
        <is>
          <t>naval_130_twin</t>
        </is>
      </c>
      <c r="B197" t="inlineStr">
        <is>
          <t>naval_130_twin</t>
        </is>
      </c>
      <c r="C197" t="inlineStr">
        <is>
          <t>AK-130 130 mm (twin)</t>
        </is>
      </c>
      <c r="D197" t="inlineStr">
        <is>
          <t>doi_that</t>
        </is>
      </c>
      <c r="E197" t="inlineStr">
        <is>
          <t>AK-130 130 mm (twin)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R_balance;R_full_weapon_audit;W_wikipedia_ak_130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130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40</v>
      </c>
      <c r="Y197" t="n">
        <v>20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'AK-130': 10-40 rpm a barrel</t>
        </is>
      </c>
      <c r="AE197" t="inlineStr"/>
      <c r="AF197" t="inlineStr">
        <is>
          <t>Tools/balance/full_weapon_audit.py: REAL / WARHEAD; balance.json weapons[id=naval_130_twin].real</t>
        </is>
      </c>
      <c r="AG197" t="inlineStr"/>
    </row>
    <row r="198">
      <c r="A198" t="inlineStr">
        <is>
          <t>naval_155_triple</t>
        </is>
      </c>
      <c r="B198" t="inlineStr">
        <is>
          <t>naval_155_triple</t>
        </is>
      </c>
      <c r="C198" t="inlineStr">
        <is>
          <t>155 mm/60 (triple)</t>
        </is>
      </c>
      <c r="D198" t="inlineStr">
        <is>
          <t>doi_that</t>
        </is>
      </c>
      <c r="E198" t="inlineStr">
        <is>
          <t>155 mm/60 (triple)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R_balance;R_full_weapon_audit;W_wikipedia_15_5_cm_60_3rd_year_type;R_machine_brigade_can_bang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155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5</v>
      </c>
      <c r="Y198" t="n">
        <v>4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'15.5 cm/60 3rd Year Type' (Mogami): ~5 rpm a gun</t>
        </is>
      </c>
      <c r="AE198" t="inlineStr">
        <is>
          <t>155 mm/60</t>
        </is>
      </c>
      <c r="AF198" t="inlineStr">
        <is>
          <t>Tools/balance/full_weapon_audit.py: REAL / WARHEAD; balance.json weapons[id=naval_155_triple].real</t>
        </is>
      </c>
      <c r="AG198" t="inlineStr"/>
    </row>
    <row r="199">
      <c r="A199" t="inlineStr">
        <is>
          <t>naval_155_triple_guided</t>
        </is>
      </c>
      <c r="B199" t="inlineStr">
        <is>
          <t>naval_155_triple_guided</t>
        </is>
      </c>
      <c r="C199" t="inlineStr">
        <is>
          <t>155 mm/60 guided (triple)</t>
        </is>
      </c>
      <c r="D199" t="inlineStr">
        <is>
          <t>doi_that</t>
        </is>
      </c>
      <c r="E199" t="inlineStr">
        <is>
          <t>155 mm/60 guided (triple)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R_balance;R_full_weapon_audit;W_wikipedia_15_5_cm_60_3rd_year_type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155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5</v>
      </c>
      <c r="Y199" t="n">
        <v>4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'15.5 cm/60 3rd Year Type' (Mogami): ~5 rpm a gun</t>
        </is>
      </c>
      <c r="AE199" t="inlineStr"/>
      <c r="AF199" t="inlineStr">
        <is>
          <t>Tools/balance/full_weapon_audit.py: REAL / WARHEAD; balance.json weapons[id=naval_155_triple_guided].real</t>
        </is>
      </c>
      <c r="AG199" t="inlineStr"/>
    </row>
    <row r="200">
      <c r="A200" t="inlineStr">
        <is>
          <t>net_zap</t>
        </is>
      </c>
      <c r="B200" t="inlineStr">
        <is>
          <t>net_zap</t>
        </is>
      </c>
      <c r="C200" t="inlineStr">
        <is>
          <t>Anti-drone net corridor</t>
        </is>
      </c>
      <c r="D200" t="inlineStr">
        <is>
          <t>doi_that</t>
        </is>
      </c>
      <c r="E200" t="inlineStr">
        <is>
          <t>Anti-drone net corridor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>
        <is>
          <t>ban_dau_doan</t>
        </is>
      </c>
      <c r="P200" t="inlineStr">
        <is>
          <t>R_balance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NEED_SOURCE</t>
        </is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inlineStr">
        <is>
          <t>NEED_SOURCE</t>
        </is>
      </c>
      <c r="Y200" t="inlineStr">
        <is>
          <t>NEED_SOURCE</t>
        </is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/>
      <c r="AD200" t="inlineStr"/>
      <c r="AE200" t="inlineStr"/>
      <c r="AF200" t="inlineStr">
        <is>
          <t>Tools/balance/full_weapon_audit.py: REAL / WARHEAD; balance.json weapons[id=net_zap].real</t>
        </is>
      </c>
      <c r="AG200" t="inlineStr"/>
    </row>
    <row r="201">
      <c r="A201" t="inlineStr">
        <is>
          <t>none</t>
        </is>
      </c>
      <c r="B201" t="inlineStr">
        <is>
          <t>none</t>
        </is>
      </c>
      <c r="C201" t="inlineStr">
        <is>
          <t>none</t>
        </is>
      </c>
      <c r="D201" t="inlineStr">
        <is>
          <t>NEED_SOURCE</t>
        </is>
      </c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balance.json không ghi tên thật cho vũ khí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NEED_SOURCE</t>
        </is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inlineStr">
        <is>
          <t>NEED_SOURCE</t>
        </is>
      </c>
      <c r="Y201" t="inlineStr">
        <is>
          <t>NEED_SOURCE</t>
        </is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/>
      <c r="AD201" t="inlineStr"/>
      <c r="AE201" t="inlineStr"/>
      <c r="AF201" t="inlineStr">
        <is>
          <t>Tools/balance/full_weapon_audit.py: REAL / WARHEAD; balance.json weapons[id=none].real</t>
        </is>
      </c>
      <c r="AG201" t="inlineStr"/>
    </row>
    <row r="202">
      <c r="A202" t="inlineStr">
        <is>
          <t>one_shot_kornet</t>
        </is>
      </c>
      <c r="B202" t="inlineStr">
        <is>
          <t>one_shot_kornet</t>
        </is>
      </c>
      <c r="C202" t="inlineStr">
        <is>
          <t>9M133 Kornet</t>
        </is>
      </c>
      <c r="D202" t="inlineStr">
        <is>
          <t>doi_that</t>
        </is>
      </c>
      <c r="E202" t="inlineStr">
        <is>
          <t>9M133 Kornet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da_kiem_chung</t>
        </is>
      </c>
      <c r="P202" t="inlineStr">
        <is>
          <t>R_balance;R_full_weapon_audit;W_wikipedia_9m133_kornet;W_wikipedia_bai_cua_tung_ten_lua_bang_warhead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3</v>
      </c>
      <c r="Y202" t="n">
        <v>3</v>
      </c>
      <c r="Z202" t="inlineStr">
        <is>
          <t>NEED_SOURCE</t>
        </is>
      </c>
      <c r="AA202" t="inlineStr">
        <is>
          <t>NEED_SOURCE</t>
        </is>
      </c>
      <c r="AB202" t="n">
        <v>7</v>
      </c>
      <c r="AC202" t="inlineStr">
        <is>
          <t>atgm</t>
        </is>
      </c>
      <c r="AD202" t="inlineStr">
        <is>
          <t>Wikipedia '9M133 Kornet': 2-3 rpm</t>
        </is>
      </c>
      <c r="AE202" t="inlineStr"/>
      <c r="AF202" t="inlineStr">
        <is>
          <t>Tools/balance/full_weapon_audit.py: REAL / WARHEAD; balance.json weapons[id=one_shot_kornet].real</t>
        </is>
      </c>
      <c r="AG202" t="inlineStr"/>
    </row>
    <row r="203">
      <c r="A203" t="inlineStr">
        <is>
          <t>orbital_laser</t>
        </is>
      </c>
      <c r="B203" t="inlineStr">
        <is>
          <t>orbital_laser</t>
        </is>
      </c>
      <c r="C203" t="inlineStr">
        <is>
          <t>laser (150 kW)</t>
        </is>
      </c>
      <c r="D203" t="inlineStr">
        <is>
          <t>doi_that</t>
        </is>
      </c>
      <c r="E203" t="inlineStr">
        <is>
          <t>laser (150 kW)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ban_dau_doan</t>
        </is>
      </c>
      <c r="P203" t="inlineStr">
        <is>
          <t>R_balance;R_machine_brigade_can_bang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>
        <is>
          <t>laser quỹ đạo (giả tưởng)</t>
        </is>
      </c>
      <c r="AF203" t="inlineStr">
        <is>
          <t>Tools/balance/full_weapon_audit.py: REAL / WARHEAD; balance.json weapons[id=orbital_laser].real</t>
        </is>
      </c>
      <c r="AG203" t="inlineStr"/>
    </row>
    <row r="204">
      <c r="A204" t="inlineStr">
        <is>
          <t>p26_bastion_b100</t>
        </is>
      </c>
      <c r="B204" t="inlineStr">
        <is>
          <t>p26_bastion_b100</t>
        </is>
      </c>
      <c r="C204" t="inlineStr">
        <is>
          <t>D-10 100 mm</t>
        </is>
      </c>
      <c r="D204" t="inlineStr">
        <is>
          <t>doi_that</t>
        </is>
      </c>
      <c r="E204" t="inlineStr">
        <is>
          <t>D-10 100 mm</t>
        </is>
      </c>
      <c r="F204" t="inlineStr"/>
      <c r="G204" t="inlineStr"/>
      <c r="H204" t="inlineStr"/>
      <c r="I204" t="inlineStr"/>
      <c r="J204" t="inlineStr"/>
      <c r="K204" t="inlineStr"/>
      <c r="L204" t="inlineStr">
        <is>
          <t>nhịp chậm hơn 30 % và mạnh hơn tương ứng (luật súng của game)</t>
        </is>
      </c>
      <c r="M204" t="inlineStr">
        <is>
          <t>gameplay</t>
        </is>
      </c>
      <c r="N204" t="inlineStr"/>
      <c r="O204" t="inlineStr">
        <is>
          <t>da_kiem_chung</t>
        </is>
      </c>
      <c r="P204" t="inlineStr">
        <is>
          <t>R_balance;R_full_weapon_audit;W_wikipedia_d_10_tank_gun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100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7</v>
      </c>
      <c r="Y204" t="n">
        <v>4</v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>
        <is>
          <t>gun</t>
        </is>
      </c>
      <c r="AD204" t="inlineStr">
        <is>
          <t>Wikipedia 'D-10 tank gun' (T-55): 4-7 rpm</t>
        </is>
      </c>
      <c r="AE204" t="inlineStr"/>
      <c r="AF204" t="inlineStr">
        <is>
          <t>Tools/balance/full_weapon_audit.py: REAL / WARHEAD; balance.json weapons[id=p26_bastion_b100].real</t>
        </is>
      </c>
      <c r="AG204" t="inlineStr"/>
    </row>
    <row r="205">
      <c r="A205" t="inlineStr">
        <is>
          <t>p26_bastion_b155</t>
        </is>
      </c>
      <c r="B205" t="inlineStr">
        <is>
          <t>p26_bastion_b155</t>
        </is>
      </c>
      <c r="C205" t="inlineStr">
        <is>
          <t>M284 155 mm (Bastion)</t>
        </is>
      </c>
      <c r="D205" t="inlineStr">
        <is>
          <t>doi_that</t>
        </is>
      </c>
      <c r="E205" t="inlineStr">
        <is>
          <t>M284 155 mm (Bastion)</t>
        </is>
      </c>
      <c r="F205" t="inlineStr"/>
      <c r="G205" t="inlineStr"/>
      <c r="H205" t="inlineStr"/>
      <c r="I205" t="inlineStr"/>
      <c r="J205" t="inlineStr"/>
      <c r="K205" t="inlineStr"/>
      <c r="L205" t="inlineStr">
        <is>
          <t>nhịp chậm hơn 30 % và mạnh hơn tương ứng (luật súng của game)</t>
        </is>
      </c>
      <c r="M205" t="inlineStr">
        <is>
          <t>gameplay</t>
        </is>
      </c>
      <c r="N205" t="inlineStr"/>
      <c r="O205" t="inlineStr">
        <is>
          <t>da_kiem_chung</t>
        </is>
      </c>
      <c r="P205" t="inlineStr">
        <is>
          <t>R_balance;R_full_weapon_audit;D_us_army_m109a7_fact_file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155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4</v>
      </c>
      <c r="Y205" t="n">
        <v>1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gun</t>
        </is>
      </c>
      <c r="AD205" t="inlineStr">
        <is>
          <t>US Army M109A7 fact file: 4 rpm for 3 min, 1 rpm sustained</t>
        </is>
      </c>
      <c r="AE205" t="inlineStr"/>
      <c r="AF205" t="inlineStr">
        <is>
          <t>Tools/balance/full_weapon_audit.py: REAL / WARHEAD; balance.json weapons[id=p26_bastion_b155].real</t>
        </is>
      </c>
      <c r="AG205" t="inlineStr"/>
    </row>
    <row r="206">
      <c r="A206" t="inlineStr">
        <is>
          <t>p26_bastion_b240</t>
        </is>
      </c>
      <c r="B206" t="inlineStr">
        <is>
          <t>p26_bastion_b240</t>
        </is>
      </c>
      <c r="C206" t="inlineStr">
        <is>
          <t>2B8 240 mm</t>
        </is>
      </c>
      <c r="D206" t="inlineStr">
        <is>
          <t>doi_that</t>
        </is>
      </c>
      <c r="E206" t="inlineStr">
        <is>
          <t>2B8 240 mm</t>
        </is>
      </c>
      <c r="F206" t="inlineStr"/>
      <c r="G206" t="inlineStr"/>
      <c r="H206" t="inlineStr"/>
      <c r="I206" t="inlineStr"/>
      <c r="J206" t="inlineStr"/>
      <c r="K206" t="inlineStr"/>
      <c r="L206" t="inlineStr">
        <is>
          <t>nhịp chậm hơn 30 % và mạnh hơn tương ứng (luật súng của game)</t>
        </is>
      </c>
      <c r="M206" t="inlineStr">
        <is>
          <t>gameplay</t>
        </is>
      </c>
      <c r="N206" t="inlineStr"/>
      <c r="O206" t="inlineStr">
        <is>
          <t>da_kiem_chung</t>
        </is>
      </c>
      <c r="P206" t="inlineStr">
        <is>
          <t>R_balance;R_full_weapon_audit;W_wikipedia_2s4_tyulpan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240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1</v>
      </c>
      <c r="Y206" t="n">
        <v>1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gun</t>
        </is>
      </c>
      <c r="AD206" t="inlineStr">
        <is>
          <t>Wikipedia '2S4 Tyulpan': ~1 rpm</t>
        </is>
      </c>
      <c r="AE206" t="inlineStr"/>
      <c r="AF206" t="inlineStr">
        <is>
          <t>Tools/balance/full_weapon_audit.py: REAL / WARHEAD; balance.json weapons[id=p26_bastion_b240].real</t>
        </is>
      </c>
      <c r="AG206" t="inlineStr"/>
    </row>
    <row r="207">
      <c r="A207" t="inlineStr">
        <is>
          <t>p26_bastion_close_boss_hmg</t>
        </is>
      </c>
      <c r="B207" t="inlineStr">
        <is>
          <t>p26_bastion_close_boss_hmg</t>
        </is>
      </c>
      <c r="C207" t="inlineStr">
        <is>
          <t>NSV 12.7 mm</t>
        </is>
      </c>
      <c r="D207" t="inlineStr">
        <is>
          <t>doi_that</t>
        </is>
      </c>
      <c r="E207" t="inlineStr">
        <is>
          <t>NSV 12.7 mm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R_balance;R_full_weapon_audit;W_wikipedia_nsv_machine_gun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12.7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800</v>
      </c>
      <c r="Y207" t="n">
        <v>100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mg</t>
        </is>
      </c>
      <c r="AD207" t="inlineStr">
        <is>
          <t>Wikipedia 'NSV machine gun': 700-800 cyclic, 100 practical</t>
        </is>
      </c>
      <c r="AE207" t="inlineStr"/>
      <c r="AF207" t="inlineStr">
        <is>
          <t>Tools/balance/full_weapon_audit.py: REAL / WARHEAD; balance.json weapons[id=p26_bastion_close_boss_hmg].real</t>
        </is>
      </c>
      <c r="AG207" t="inlineStr"/>
    </row>
    <row r="208">
      <c r="A208" t="inlineStr">
        <is>
          <t>p26_bastion_direct_b100</t>
        </is>
      </c>
      <c r="B208" t="inlineStr">
        <is>
          <t>p26_bastion_direct_b100</t>
        </is>
      </c>
      <c r="C208" t="inlineStr">
        <is>
          <t>D-10 100 mm (twin casemate)</t>
        </is>
      </c>
      <c r="D208" t="inlineStr">
        <is>
          <t>doi_that</t>
        </is>
      </c>
      <c r="E208" t="inlineStr">
        <is>
          <t>D-10 100 mm (twin casemate)</t>
        </is>
      </c>
      <c r="F208" t="inlineStr"/>
      <c r="G208" t="inlineStr"/>
      <c r="H208" t="inlineStr"/>
      <c r="I208" t="inlineStr"/>
      <c r="J208" t="inlineStr"/>
      <c r="K208" t="inlineStr"/>
      <c r="L208" t="inlineStr">
        <is>
          <t>nhịp chậm hơn 30 % và mạnh hơn tương ứng (luật súng của game)</t>
        </is>
      </c>
      <c r="M208" t="inlineStr">
        <is>
          <t>gameplay</t>
        </is>
      </c>
      <c r="N208" t="inlineStr"/>
      <c r="O208" t="inlineStr">
        <is>
          <t>da_kiem_chung</t>
        </is>
      </c>
      <c r="P208" t="inlineStr">
        <is>
          <t>R_balance;R_full_weapon_audit;W_wikipedia_d_10_tank_gun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100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7</v>
      </c>
      <c r="Y208" t="n">
        <v>4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gun</t>
        </is>
      </c>
      <c r="AD208" t="inlineStr">
        <is>
          <t>Wikipedia 'D-10 tank gun' (T-55): 4-7 rpm</t>
        </is>
      </c>
      <c r="AE208" t="inlineStr"/>
      <c r="AF208" t="inlineStr">
        <is>
          <t>Tools/balance/full_weapon_audit.py: REAL / WARHEAD; balance.json weapons[id=p26_bastion_direct_b100].real</t>
        </is>
      </c>
      <c r="AG208" t="inlineStr"/>
    </row>
    <row r="209">
      <c r="A209" t="inlineStr">
        <is>
          <t>p26_bastion_main_b155</t>
        </is>
      </c>
      <c r="B209" t="inlineStr">
        <is>
          <t>p26_bastion_main_b155</t>
        </is>
      </c>
      <c r="C209" t="inlineStr">
        <is>
          <t>M284 155 mm (Bastion)</t>
        </is>
      </c>
      <c r="D209" t="inlineStr">
        <is>
          <t>doi_that</t>
        </is>
      </c>
      <c r="E209" t="inlineStr">
        <is>
          <t>M284 155 mm (Bastion)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R_balance;R_full_weapon_audit;D_us_army_m109a7_fact_file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155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4</v>
      </c>
      <c r="Y209" t="n">
        <v>1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US Army M109A7 fact file: 4 rpm for 3 min, 1 rpm sustained</t>
        </is>
      </c>
      <c r="AE209" t="inlineStr"/>
      <c r="AF209" t="inlineStr">
        <is>
          <t>Tools/balance/full_weapon_audit.py: REAL / WARHEAD; balance.json weapons[id=p26_bastion_main_b155].real</t>
        </is>
      </c>
      <c r="AG209" t="inlineStr"/>
    </row>
    <row r="210">
      <c r="A210" t="inlineStr">
        <is>
          <t>p26_bastion_sec_b240</t>
        </is>
      </c>
      <c r="B210" t="inlineStr">
        <is>
          <t>p26_bastion_sec_b240</t>
        </is>
      </c>
      <c r="C210" t="inlineStr">
        <is>
          <t>2B8 240 mm</t>
        </is>
      </c>
      <c r="D210" t="inlineStr">
        <is>
          <t>doi_that</t>
        </is>
      </c>
      <c r="E210" t="inlineStr">
        <is>
          <t>2B8 240 mm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R_balance;R_full_weapon_audit;W_wikipedia_2s4_tyulpan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240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1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Wikipedia '2S4 Tyulpan': ~1 rpm</t>
        </is>
      </c>
      <c r="AE210" t="inlineStr"/>
      <c r="AF210" t="inlineStr">
        <is>
          <t>Tools/balance/full_weapon_audit.py: REAL / WARHEAD; balance.json weapons[id=p26_bastion_sec_b240].real</t>
        </is>
      </c>
      <c r="AG210" t="inlineStr"/>
    </row>
    <row r="211">
      <c r="A211" t="inlineStr">
        <is>
          <t>p26_bastion_tiny_autocannon_40</t>
        </is>
      </c>
      <c r="B211" t="inlineStr">
        <is>
          <t>p26_bastion_tiny_autocannon_40</t>
        </is>
      </c>
      <c r="C211" t="inlineStr">
        <is>
          <t>Bofors 40 mm</t>
        </is>
      </c>
      <c r="D211" t="inlineStr">
        <is>
          <t>doi_that</t>
        </is>
      </c>
      <c r="E211" t="inlineStr">
        <is>
          <t>Bofors 40 mm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R_balance;R_full_weapon_audit;W_wikipedia_bofors_40_mm_l_70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330</v>
      </c>
      <c r="Y211" t="n">
        <v>120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aa</t>
        </is>
      </c>
      <c r="AD211" t="inlineStr">
        <is>
          <t>Wikipedia 'Bofors 40 mm L/70': 240-330 rpm</t>
        </is>
      </c>
      <c r="AE211" t="inlineStr"/>
      <c r="AF211" t="inlineStr">
        <is>
          <t>Tools/balance/full_weapon_audit.py: REAL / WARHEAD; balance.json weapons[id=p26_bastion_tiny_autocannon_40].real</t>
        </is>
      </c>
      <c r="AG211" t="inlineStr"/>
    </row>
    <row r="212">
      <c r="A212" t="inlineStr">
        <is>
          <t>p26_bastion_tiny_kornet_twin</t>
        </is>
      </c>
      <c r="B212" t="inlineStr">
        <is>
          <t>p26_bastion_tiny_kornet_twin</t>
        </is>
      </c>
      <c r="C212" t="inlineStr">
        <is>
          <t>9M133 Kornet</t>
        </is>
      </c>
      <c r="D212" t="inlineStr">
        <is>
          <t>doi_that</t>
        </is>
      </c>
      <c r="E212" t="inlineStr">
        <is>
          <t>9M133 Kornet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R_balance;R_full_weapon_audit;W_wikipedia_9m133_kornet;W_wikipedia_bai_cua_tung_ten_lua_bang_warhead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NEED_SOURCE</t>
        </is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3</v>
      </c>
      <c r="Y212" t="n">
        <v>3</v>
      </c>
      <c r="Z212" t="inlineStr">
        <is>
          <t>NEED_SOURCE</t>
        </is>
      </c>
      <c r="AA212" t="inlineStr">
        <is>
          <t>NEED_SOURCE</t>
        </is>
      </c>
      <c r="AB212" t="n">
        <v>7</v>
      </c>
      <c r="AC212" t="inlineStr">
        <is>
          <t>atgm</t>
        </is>
      </c>
      <c r="AD212" t="inlineStr">
        <is>
          <t>Wikipedia '9M133 Kornet': 2-3 rpm</t>
        </is>
      </c>
      <c r="AE212" t="inlineStr"/>
      <c r="AF212" t="inlineStr">
        <is>
          <t>Tools/balance/full_weapon_audit.py: REAL / WARHEAD; balance.json weapons[id=p26_bastion_tiny_kornet_twin].real</t>
        </is>
      </c>
      <c r="AG212" t="inlineStr"/>
    </row>
    <row r="213">
      <c r="A213" t="inlineStr">
        <is>
          <t>p26_bastion_tiny_zu23</t>
        </is>
      </c>
      <c r="B213" t="inlineStr">
        <is>
          <t>p26_bastion_tiny_zu23</t>
        </is>
      </c>
      <c r="C213" t="inlineStr">
        <is>
          <t>ZU-23-2 23 mm</t>
        </is>
      </c>
      <c r="D213" t="inlineStr">
        <is>
          <t>doi_that</t>
        </is>
      </c>
      <c r="E213" t="inlineStr">
        <is>
          <t>ZU-23-2 23 mm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R_balance;R_full_weapon_audit;W_wikipedia_zu_23_2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23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1000</v>
      </c>
      <c r="Y213" t="n">
        <v>400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aa</t>
        </is>
      </c>
      <c r="AD213" t="inlineStr">
        <is>
          <t>Wikipedia 'ZU-23-2': 2 x 800-1,000 rpm</t>
        </is>
      </c>
      <c r="AE213" t="inlineStr"/>
      <c r="AF213" t="inlineStr">
        <is>
          <t>Tools/balance/full_weapon_audit.py: REAL / WARHEAD; balance.json weapons[id=p26_bastion_tiny_zu23].real</t>
        </is>
      </c>
      <c r="AG213" t="inlineStr"/>
    </row>
    <row r="214">
      <c r="A214" t="inlineStr">
        <is>
          <t>p26_behemoth_be120</t>
        </is>
      </c>
      <c r="B214" t="inlineStr">
        <is>
          <t>p26_behemoth_be120</t>
        </is>
      </c>
      <c r="C214" t="inlineStr">
        <is>
          <t>Rh-120 L/44 120 mm</t>
        </is>
      </c>
      <c r="D214" t="inlineStr">
        <is>
          <t>doi_that</t>
        </is>
      </c>
      <c r="E214" t="inlineStr">
        <is>
          <t>Rh-120 L/44 120 mm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R_balance;R_full_weapon_audit;W_wikipedia_rheinmetall_120_mm_gun;R_machine_brigade_can_bang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120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8</v>
      </c>
      <c r="Y214" t="n">
        <v>6</v>
      </c>
      <c r="Z214" t="inlineStr">
        <is>
          <t>tay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the sheet's 'Ngoài đời': Rh-120 6-8 rpm with a loader (Wikipedia 'Rheinmetall 120 mm gun')</t>
        </is>
      </c>
      <c r="AE214" t="inlineStr"/>
      <c r="AF214" t="inlineStr">
        <is>
          <t>Tools/balance/full_weapon_audit.py: REAL / WARHEAD; balance.json weapons[id=p26_behemoth_be120].real</t>
        </is>
      </c>
      <c r="AG214" t="inlineStr"/>
    </row>
    <row r="215">
      <c r="A215" t="inlineStr">
        <is>
          <t>p26_behemoth_be152</t>
        </is>
      </c>
      <c r="B215" t="inlineStr">
        <is>
          <t>p26_behemoth_be152</t>
        </is>
      </c>
      <c r="C215" t="inlineStr">
        <is>
          <t>2A65 152 mm</t>
        </is>
      </c>
      <c r="D215" t="inlineStr">
        <is>
          <t>doi_that</t>
        </is>
      </c>
      <c r="E215" t="inlineStr">
        <is>
          <t>2A65 152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R_balance;R_full_weapon_audit;W_wikipedia_2a65_msta_b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152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8</v>
      </c>
      <c r="Y215" t="n">
        <v>6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'2A65 Msta-B': 7-8 rpm</t>
        </is>
      </c>
      <c r="AE215" t="inlineStr"/>
      <c r="AF215" t="inlineStr">
        <is>
          <t>Tools/balance/full_weapon_audit.py: REAL / WARHEAD; balance.json weapons[id=p26_behemoth_be152].real</t>
        </is>
      </c>
      <c r="AG215" t="inlineStr"/>
    </row>
    <row r="216">
      <c r="A216" t="inlineStr">
        <is>
          <t>p26_behemoth_be_rockets</t>
        </is>
      </c>
      <c r="B216" t="inlineStr">
        <is>
          <t>p26_behemoth_be_rockets</t>
        </is>
      </c>
      <c r="C216" t="inlineStr">
        <is>
          <t>BM-21 Grad 122 mm (dorsal)</t>
        </is>
      </c>
      <c r="D216" t="inlineStr">
        <is>
          <t>doi_that</t>
        </is>
      </c>
      <c r="E216" t="inlineStr">
        <is>
          <t>BM-21 Grad 122 mm (dorsal)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R_balance;R_full_weapon_audit;W_wikipedia_bm_21_grad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122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120</v>
      </c>
      <c r="Y216" t="inlineStr">
        <is>
          <t>NEED_SOURCE</t>
        </is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rocket</t>
        </is>
      </c>
      <c r="AD216" t="inlineStr">
        <is>
          <t>Wikipedia 'BM-21 Grad': 40 rockets in 20 s</t>
        </is>
      </c>
      <c r="AE216" t="inlineStr"/>
      <c r="AF216" t="inlineStr">
        <is>
          <t>Tools/balance/full_weapon_audit.py: REAL / WARHEAD; balance.json weapons[id=p26_behemoth_be_rockets].real</t>
        </is>
      </c>
      <c r="AG216" t="inlineStr"/>
    </row>
    <row r="217">
      <c r="A217" t="inlineStr">
        <is>
          <t>p26_behemoth_close_boss_flak</t>
        </is>
      </c>
      <c r="B217" t="inlineStr">
        <is>
          <t>p26_behemoth_close_boss_flak</t>
        </is>
      </c>
      <c r="C217" t="inlineStr">
        <is>
          <t>Oerlikon 35 mm (twin)</t>
        </is>
      </c>
      <c r="D217" t="inlineStr">
        <is>
          <t>doi_that</t>
        </is>
      </c>
      <c r="E217" t="inlineStr">
        <is>
          <t>Oerlikon 35 mm (twin)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R_balance;R_full_weapon_audit;W_wikipedia_oerlikon_gdf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35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550</v>
      </c>
      <c r="Y217" t="n">
        <v>300</v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aa</t>
        </is>
      </c>
      <c r="AD217" t="inlineStr">
        <is>
          <t>Wikipedia 'Oerlikon GDF': 550 rpm a gun (the twin: 1,100)</t>
        </is>
      </c>
      <c r="AE217" t="inlineStr"/>
      <c r="AF217" t="inlineStr">
        <is>
          <t>Tools/balance/full_weapon_audit.py: REAL / WARHEAD; balance.json weapons[id=p26_behemoth_close_boss_flak].real</t>
        </is>
      </c>
      <c r="AG217" t="inlineStr"/>
    </row>
    <row r="218">
      <c r="A218" t="inlineStr">
        <is>
          <t>p26_behemoth_direct_be120</t>
        </is>
      </c>
      <c r="B218" t="inlineStr">
        <is>
          <t>p26_behemoth_direct_be120</t>
        </is>
      </c>
      <c r="C218" t="inlineStr">
        <is>
          <t>Rh-120 L/44 120 mm (twin)</t>
        </is>
      </c>
      <c r="D218" t="inlineStr">
        <is>
          <t>doi_that</t>
        </is>
      </c>
      <c r="E218" t="inlineStr">
        <is>
          <t>Rh-120 L/44 120 mm (twin)</t>
        </is>
      </c>
      <c r="F218" t="inlineStr"/>
      <c r="G218" t="inlineStr"/>
      <c r="H218" t="inlineStr"/>
      <c r="I218" t="inlineStr"/>
      <c r="J218" t="inlineStr"/>
      <c r="K218" t="inlineStr"/>
      <c r="L218" t="inlineStr">
        <is>
          <t>nhịp chậm hơn 30 % và mạnh hơn tương ứng (luật súng của game)</t>
        </is>
      </c>
      <c r="M218" t="inlineStr">
        <is>
          <t>gameplay</t>
        </is>
      </c>
      <c r="N218" t="inlineStr"/>
      <c r="O218" t="inlineStr">
        <is>
          <t>da_kiem_chung</t>
        </is>
      </c>
      <c r="P218" t="inlineStr">
        <is>
          <t>R_balance;R_full_weapon_audit;W_wikipedia_rheinmetall_120_mm_gun;R_machine_brigade_can_bang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120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8</v>
      </c>
      <c r="Y218" t="n">
        <v>6</v>
      </c>
      <c r="Z218" t="inlineStr">
        <is>
          <t>tay</t>
        </is>
      </c>
      <c r="AA218" t="inlineStr">
        <is>
          <t>NEED_SOURCE</t>
        </is>
      </c>
      <c r="AB218" t="inlineStr"/>
      <c r="AC218" t="inlineStr">
        <is>
          <t>gun</t>
        </is>
      </c>
      <c r="AD218" t="inlineStr">
        <is>
          <t>the sheet's 'Ngoài đời': Rh-120 6-8 rpm with a loader (Wikipedia 'Rheinmetall 120 mm gun')</t>
        </is>
      </c>
      <c r="AE218" t="inlineStr"/>
      <c r="AF218" t="inlineStr">
        <is>
          <t>Tools/balance/full_weapon_audit.py: REAL / WARHEAD; balance.json weapons[id=p26_behemoth_direct_be120].real</t>
        </is>
      </c>
      <c r="AG218" t="inlineStr"/>
    </row>
    <row r="219">
      <c r="A219" t="inlineStr">
        <is>
          <t>p26_behemoth_main_be152</t>
        </is>
      </c>
      <c r="B219" t="inlineStr">
        <is>
          <t>p26_behemoth_main_be152</t>
        </is>
      </c>
      <c r="C219" t="inlineStr">
        <is>
          <t>2A65 152 mm</t>
        </is>
      </c>
      <c r="D219" t="inlineStr">
        <is>
          <t>doi_that</t>
        </is>
      </c>
      <c r="E219" t="inlineStr">
        <is>
          <t>2A65 152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R_balance;R_full_weapon_audit;W_wikipedia_2a65_msta_b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152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Wikipedia '2A65 Msta-B': 7-8 rpm</t>
        </is>
      </c>
      <c r="AE219" t="inlineStr"/>
      <c r="AF219" t="inlineStr">
        <is>
          <t>Tools/balance/full_weapon_audit.py: REAL / WARHEAD; balance.json weapons[id=p26_behemoth_main_be152].real</t>
        </is>
      </c>
      <c r="AG219" t="inlineStr"/>
    </row>
    <row r="220">
      <c r="A220" t="inlineStr">
        <is>
          <t>p26_behemoth_sec_be_rockets</t>
        </is>
      </c>
      <c r="B220" t="inlineStr">
        <is>
          <t>p26_behemoth_sec_be_rockets</t>
        </is>
      </c>
      <c r="C220" t="inlineStr">
        <is>
          <t>BM-21 Grad 122 mm (dorsal)</t>
        </is>
      </c>
      <c r="D220" t="inlineStr">
        <is>
          <t>doi_that</t>
        </is>
      </c>
      <c r="E220" t="inlineStr">
        <is>
          <t>BM-21 Grad 122 mm (dorsal)</t>
        </is>
      </c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>
        <is>
          <t>da_kiem_chung</t>
        </is>
      </c>
      <c r="P220" t="inlineStr">
        <is>
          <t>R_balance;R_full_weapon_audit;W_wikipedia_bm_21_grad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122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120</v>
      </c>
      <c r="Y220" t="inlineStr">
        <is>
          <t>NEED_SOURCE</t>
        </is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rocket</t>
        </is>
      </c>
      <c r="AD220" t="inlineStr">
        <is>
          <t>Wikipedia 'BM-21 Grad': 40 rockets in 20 s</t>
        </is>
      </c>
      <c r="AE220" t="inlineStr"/>
      <c r="AF220" t="inlineStr">
        <is>
          <t>Tools/balance/full_weapon_audit.py: REAL / WARHEAD; balance.json weapons[id=p26_behemoth_sec_be_rockets].real</t>
        </is>
      </c>
      <c r="AG220" t="inlineStr"/>
    </row>
    <row r="221">
      <c r="A221" t="inlineStr">
        <is>
          <t>p26_behemoth_tiny_be120</t>
        </is>
      </c>
      <c r="B221" t="inlineStr">
        <is>
          <t>p26_behemoth_tiny_be120</t>
        </is>
      </c>
      <c r="C221" t="inlineStr">
        <is>
          <t>Rh-120 L/44 120 mm</t>
        </is>
      </c>
      <c r="D221" t="inlineStr">
        <is>
          <t>doi_that</t>
        </is>
      </c>
      <c r="E221" t="inlineStr">
        <is>
          <t>Rh-120 L/44 120 mm</t>
        </is>
      </c>
      <c r="F221" t="inlineStr"/>
      <c r="G221" t="inlineStr"/>
      <c r="H221" t="inlineStr"/>
      <c r="I221" t="inlineStr"/>
      <c r="J221" t="inlineStr"/>
      <c r="K221" t="inlineStr"/>
      <c r="L221" t="inlineStr">
        <is>
          <t>nhịp chậm hơn 30 % và mạnh hơn tương ứng (luật súng của game)</t>
        </is>
      </c>
      <c r="M221" t="inlineStr">
        <is>
          <t>gameplay</t>
        </is>
      </c>
      <c r="N221" t="inlineStr"/>
      <c r="O221" t="inlineStr">
        <is>
          <t>da_kiem_chung</t>
        </is>
      </c>
      <c r="P221" t="inlineStr">
        <is>
          <t>R_balance;R_full_weapon_audit;W_wikipedia_rheinmetall_120_mm_gun;R_machine_brigade_can_bang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120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8</v>
      </c>
      <c r="Y221" t="n">
        <v>6</v>
      </c>
      <c r="Z221" t="inlineStr">
        <is>
          <t>tay</t>
        </is>
      </c>
      <c r="AA221" t="inlineStr">
        <is>
          <t>NEED_SOURCE</t>
        </is>
      </c>
      <c r="AB221" t="inlineStr"/>
      <c r="AC221" t="inlineStr">
        <is>
          <t>gun</t>
        </is>
      </c>
      <c r="AD221" t="inlineStr">
        <is>
          <t>the sheet's 'Ngoài đời': Rh-120 6-8 rpm with a loader (Wikipedia 'Rheinmetall 120 mm gun')</t>
        </is>
      </c>
      <c r="AE221" t="inlineStr"/>
      <c r="AF221" t="inlineStr">
        <is>
          <t>Tools/balance/full_weapon_audit.py: REAL / WARHEAD; balance.json weapons[id=p26_behemoth_tiny_be120].real</t>
        </is>
      </c>
      <c r="AG221" t="inlineStr"/>
    </row>
    <row r="222">
      <c r="A222" t="inlineStr">
        <is>
          <t>p26_behemoth_tiny_boss_missiles</t>
        </is>
      </c>
      <c r="B222" t="inlineStr">
        <is>
          <t>p26_behemoth_tiny_boss_missiles</t>
        </is>
      </c>
      <c r="C222" t="inlineStr">
        <is>
          <t>9M133 Kornet</t>
        </is>
      </c>
      <c r="D222" t="inlineStr">
        <is>
          <t>doi_that</t>
        </is>
      </c>
      <c r="E222" t="inlineStr">
        <is>
          <t>9M133 Kornet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R_balance;R_full_weapon_audit;W_wikipedia_9m133_kornet;W_wikipedia_bai_cua_tung_ten_lua_bang_warhead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NEED_SOURCE</t>
        </is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3</v>
      </c>
      <c r="Y222" t="n">
        <v>3</v>
      </c>
      <c r="Z222" t="inlineStr">
        <is>
          <t>NEED_SOURCE</t>
        </is>
      </c>
      <c r="AA222" t="inlineStr">
        <is>
          <t>NEED_SOURCE</t>
        </is>
      </c>
      <c r="AB222" t="n">
        <v>7</v>
      </c>
      <c r="AC222" t="inlineStr">
        <is>
          <t>atgm</t>
        </is>
      </c>
      <c r="AD222" t="inlineStr">
        <is>
          <t>Wikipedia '9M133 Kornet': 2-3 rpm</t>
        </is>
      </c>
      <c r="AE222" t="inlineStr"/>
      <c r="AF222" t="inlineStr">
        <is>
          <t>Tools/balance/full_weapon_audit.py: REAL / WARHEAD; balance.json weapons[id=p26_behemoth_tiny_boss_missiles].real</t>
        </is>
      </c>
      <c r="AG222" t="inlineStr"/>
    </row>
    <row r="223">
      <c r="A223" t="inlineStr">
        <is>
          <t>p26_behemoth_tiny_kornet_twin</t>
        </is>
      </c>
      <c r="B223" t="inlineStr">
        <is>
          <t>p26_behemoth_tiny_kornet_twin</t>
        </is>
      </c>
      <c r="C223" t="inlineStr">
        <is>
          <t>Rh-120 L/44 120 mm (side gun)</t>
        </is>
      </c>
      <c r="D223" t="inlineStr">
        <is>
          <t>doi_that</t>
        </is>
      </c>
      <c r="E223" t="inlineStr">
        <is>
          <t>Rh-120 L/44 120 mm (side gun)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weapons[id=p26_behemoth_tiny_kornet_twin].real</t>
        </is>
      </c>
      <c r="AG223" t="inlineStr"/>
    </row>
    <row r="224">
      <c r="A224" t="inlineStr">
        <is>
          <t>p26_daedalus_dae57</t>
        </is>
      </c>
      <c r="B224" t="inlineStr">
        <is>
          <t>p26_daedalus_dae57</t>
        </is>
      </c>
      <c r="C224" t="inlineStr">
        <is>
          <t>AU-220 57 mm (belly)</t>
        </is>
      </c>
      <c r="D224" t="inlineStr">
        <is>
          <t>doi_that</t>
        </is>
      </c>
      <c r="E224" t="inlineStr">
        <is>
          <t>AU-220 57 mm (belly)</t>
        </is>
      </c>
      <c r="F224" t="inlineStr"/>
      <c r="G224" t="inlineStr"/>
      <c r="H224" t="inlineStr"/>
      <c r="I224" t="inlineStr"/>
      <c r="J224" t="inlineStr"/>
      <c r="K224" t="inlineStr"/>
      <c r="L224" t="inlineStr"/>
      <c r="M224" t="inlineStr"/>
      <c r="N224" t="inlineStr"/>
      <c r="O224" t="inlineStr">
        <is>
          <t>da_kiem_chung</t>
        </is>
      </c>
      <c r="P224" t="inlineStr">
        <is>
          <t>R_balance;R_full_weapon_audit;W_wikipedia_au_220m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57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120</v>
      </c>
      <c r="Y224" t="n">
        <v>80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ac</t>
        </is>
      </c>
      <c r="AD224" t="inlineStr">
        <is>
          <t>Wikipedia 'AU-220M': 80-120 rpm</t>
        </is>
      </c>
      <c r="AE224" t="inlineStr"/>
      <c r="AF224" t="inlineStr">
        <is>
          <t>Tools/balance/full_weapon_audit.py: REAL / WARHEAD; balance.json weapons[id=p26_daedalus_dae57].real</t>
        </is>
      </c>
      <c r="AG224" t="inlineStr"/>
    </row>
    <row r="225">
      <c r="A225" t="inlineStr">
        <is>
          <t>p26_daedalus_dae_laser</t>
        </is>
      </c>
      <c r="B225" t="inlineStr">
        <is>
          <t>p26_daedalus_dae_laser</t>
        </is>
      </c>
      <c r="C225" t="inlineStr">
        <is>
          <t>targeting laser (300 kW)</t>
        </is>
      </c>
      <c r="D225" t="inlineStr">
        <is>
          <t>doi_that</t>
        </is>
      </c>
      <c r="E225" t="inlineStr">
        <is>
          <t>targeting laser (300 kW)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ban_dau_doan</t>
        </is>
      </c>
      <c r="P225" t="inlineStr">
        <is>
          <t>R_balance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NEED_SOURCE</t>
        </is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inlineStr">
        <is>
          <t>NEED_SOURCE</t>
        </is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/>
      <c r="AD225" t="inlineStr"/>
      <c r="AE225" t="inlineStr"/>
      <c r="AF225" t="inlineStr">
        <is>
          <t>Tools/balance/full_weapon_audit.py: REAL / WARHEAD; balance.json weapons[id=p26_daedalus_dae_laser].real</t>
        </is>
      </c>
      <c r="AG225" t="inlineStr"/>
    </row>
    <row r="226">
      <c r="A226" t="inlineStr">
        <is>
          <t>p26_daedalus_direct_dae_laser</t>
        </is>
      </c>
      <c r="B226" t="inlineStr">
        <is>
          <t>p26_daedalus_direct_dae_laser</t>
        </is>
      </c>
      <c r="C226" t="inlineStr">
        <is>
          <t>targeting laser (300 kW)</t>
        </is>
      </c>
      <c r="D226" t="inlineStr">
        <is>
          <t>doi_that</t>
        </is>
      </c>
      <c r="E226" t="inlineStr">
        <is>
          <t>targeting laser (300 kW)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>
        <is>
          <t>ban_dau_doan</t>
        </is>
      </c>
      <c r="P226" t="inlineStr">
        <is>
          <t>R_balance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NEED_SOURCE</t>
        </is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inlineStr">
        <is>
          <t>NEED_SOURCE</t>
        </is>
      </c>
      <c r="Y226" t="inlineStr">
        <is>
          <t>NEED_SOURCE</t>
        </is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/>
      <c r="AD226" t="inlineStr"/>
      <c r="AE226" t="inlineStr"/>
      <c r="AF226" t="inlineStr">
        <is>
          <t>Tools/balance/full_weapon_audit.py: REAL / WARHEAD; balance.json weapons[id=p26_daedalus_direct_dae_laser].real</t>
        </is>
      </c>
      <c r="AG226" t="inlineStr"/>
    </row>
    <row r="227">
      <c r="A227" t="inlineStr">
        <is>
          <t>p26_daedalus_sec_dae57</t>
        </is>
      </c>
      <c r="B227" t="inlineStr">
        <is>
          <t>p26_daedalus_sec_dae57</t>
        </is>
      </c>
      <c r="C227" t="inlineStr">
        <is>
          <t>AU-220 57 mm (twin belly mount)</t>
        </is>
      </c>
      <c r="D227" t="inlineStr">
        <is>
          <t>doi_that</t>
        </is>
      </c>
      <c r="E227" t="inlineStr">
        <is>
          <t>AU-220 57 mm (twin belly mount)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R_balance;R_full_weapon_audit;W_wikipedia_au_220m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57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120</v>
      </c>
      <c r="Y227" t="n">
        <v>80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ac</t>
        </is>
      </c>
      <c r="AD227" t="inlineStr">
        <is>
          <t>Wikipedia 'AU-220M': 80-120 rpm</t>
        </is>
      </c>
      <c r="AE227" t="inlineStr"/>
      <c r="AF227" t="inlineStr">
        <is>
          <t>Tools/balance/full_weapon_audit.py: REAL / WARHEAD; balance.json weapons[id=p26_daedalus_sec_dae57].real</t>
        </is>
      </c>
      <c r="AG227" t="inlineStr"/>
    </row>
    <row r="228">
      <c r="A228" t="inlineStr">
        <is>
          <t>p26_icarus_close_autocannon_40</t>
        </is>
      </c>
      <c r="B228" t="inlineStr">
        <is>
          <t>p26_icarus_close_autocannon_40</t>
        </is>
      </c>
      <c r="C228" t="inlineStr">
        <is>
          <t>Bofors 40 mm</t>
        </is>
      </c>
      <c r="D228" t="inlineStr">
        <is>
          <t>doi_that</t>
        </is>
      </c>
      <c r="E228" t="inlineStr">
        <is>
          <t>Bofors 40 mm</t>
        </is>
      </c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>
        <is>
          <t>da_kiem_chung</t>
        </is>
      </c>
      <c r="P228" t="inlineStr">
        <is>
          <t>R_balance;R_full_weapon_audit;W_wikipedia_bofors_40_mm_l_70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40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330</v>
      </c>
      <c r="Y228" t="n">
        <v>120</v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>
        <is>
          <t>aa</t>
        </is>
      </c>
      <c r="AD228" t="inlineStr">
        <is>
          <t>Wikipedia 'Bofors 40 mm L/70': 240-330 rpm</t>
        </is>
      </c>
      <c r="AE228" t="inlineStr"/>
      <c r="AF228" t="inlineStr">
        <is>
          <t>Tools/balance/full_weapon_audit.py: REAL / WARHEAD; balance.json weapons[id=p26_icarus_close_autocannon_40].real</t>
        </is>
      </c>
      <c r="AG228" t="inlineStr"/>
    </row>
    <row r="229">
      <c r="A229" t="inlineStr">
        <is>
          <t>p26_icarus_direct_ic_laser</t>
        </is>
      </c>
      <c r="B229" t="inlineStr">
        <is>
          <t>p26_icarus_direct_ic_laser</t>
        </is>
      </c>
      <c r="C229" t="inlineStr">
        <is>
          <t>laser tower (300 kW)</t>
        </is>
      </c>
      <c r="D229" t="inlineStr">
        <is>
          <t>doi_that</t>
        </is>
      </c>
      <c r="E229" t="inlineStr">
        <is>
          <t>laser tower (300 kW)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ban_dau_doan</t>
        </is>
      </c>
      <c r="P229" t="inlineStr">
        <is>
          <t>R_balance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NEED_SOURCE</t>
        </is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inlineStr">
        <is>
          <t>NEED_SOURCE</t>
        </is>
      </c>
      <c r="Y229" t="inlineStr">
        <is>
          <t>NEED_SOURCE</t>
        </is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/>
      <c r="AD229" t="inlineStr"/>
      <c r="AE229" t="inlineStr"/>
      <c r="AF229" t="inlineStr">
        <is>
          <t>Tools/balance/full_weapon_audit.py: REAL / WARHEAD; balance.json weapons[id=p26_icarus_direct_ic_laser].real</t>
        </is>
      </c>
      <c r="AG229" t="inlineStr"/>
    </row>
    <row r="230">
      <c r="A230" t="inlineStr">
        <is>
          <t>p26_icarus_ic_coil</t>
        </is>
      </c>
      <c r="B230" t="inlineStr">
        <is>
          <t>p26_icarus_ic_coil</t>
        </is>
      </c>
      <c r="C230" t="inlineStr">
        <is>
          <t>coilgun (64 MJ)</t>
        </is>
      </c>
      <c r="D230" t="inlineStr">
        <is>
          <t>doi_that</t>
        </is>
      </c>
      <c r="E230" t="inlineStr">
        <is>
          <t>coilgun (64 MJ)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weapons[id=p26_icarus_ic_coil].real</t>
        </is>
      </c>
      <c r="AG230" t="inlineStr"/>
    </row>
    <row r="231">
      <c r="A231" t="inlineStr">
        <is>
          <t>p26_icarus_ic_laser</t>
        </is>
      </c>
      <c r="B231" t="inlineStr">
        <is>
          <t>p26_icarus_ic_laser</t>
        </is>
      </c>
      <c r="C231" t="inlineStr">
        <is>
          <t>laser tower (300 kW)</t>
        </is>
      </c>
      <c r="D231" t="inlineStr">
        <is>
          <t>doi_that</t>
        </is>
      </c>
      <c r="E231" t="inlineStr">
        <is>
          <t>laser tower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weapons[id=p26_icarus_ic_laser].real</t>
        </is>
      </c>
      <c r="AG231" t="inlineStr"/>
    </row>
    <row r="232">
      <c r="A232" t="inlineStr">
        <is>
          <t>p26_icarus_main_ic_coil</t>
        </is>
      </c>
      <c r="B232" t="inlineStr">
        <is>
          <t>p26_icarus_main_ic_coil</t>
        </is>
      </c>
      <c r="C232" t="inlineStr">
        <is>
          <t>heavy coilgun (64 MJ)</t>
        </is>
      </c>
      <c r="D232" t="inlineStr">
        <is>
          <t>doi_that</t>
        </is>
      </c>
      <c r="E232" t="inlineStr">
        <is>
          <t>heavy coilgun (64 MJ)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ban_dau_doan</t>
        </is>
      </c>
      <c r="P232" t="inlineStr">
        <is>
          <t>R_balance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NEED_SOURCE</t>
        </is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inlineStr">
        <is>
          <t>NEED_SOURCE</t>
        </is>
      </c>
      <c r="Y232" t="inlineStr">
        <is>
          <t>NEED_SOURCE</t>
        </is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/>
      <c r="AD232" t="inlineStr"/>
      <c r="AE232" t="inlineStr"/>
      <c r="AF232" t="inlineStr">
        <is>
          <t>Tools/balance/full_weapon_audit.py: REAL / WARHEAD; balance.json weapons[id=p26_icarus_main_ic_coil].real</t>
        </is>
      </c>
      <c r="AG232" t="inlineStr"/>
    </row>
    <row r="233">
      <c r="A233" t="inlineStr">
        <is>
          <t>p26_icarus_sec_orbital_laser</t>
        </is>
      </c>
      <c r="B233" t="inlineStr">
        <is>
          <t>p26_icarus_sec_orbital_laser</t>
        </is>
      </c>
      <c r="C233" t="inlineStr">
        <is>
          <t>laser (150 kW)</t>
        </is>
      </c>
      <c r="D233" t="inlineStr">
        <is>
          <t>doi_that</t>
        </is>
      </c>
      <c r="E233" t="inlineStr">
        <is>
          <t>laser (150 kW)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ban_dau_doan</t>
        </is>
      </c>
      <c r="P233" t="inlineStr">
        <is>
          <t>R_balance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inlineStr">
        <is>
          <t>NEED_SOURCE</t>
        </is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inlineStr">
        <is>
          <t>NEED_SOURCE</t>
        </is>
      </c>
      <c r="Y233" t="inlineStr">
        <is>
          <t>NEED_SOURCE</t>
        </is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/>
      <c r="AD233" t="inlineStr"/>
      <c r="AE233" t="inlineStr"/>
      <c r="AF233" t="inlineStr">
        <is>
          <t>Tools/balance/full_weapon_audit.py: REAL / WARHEAD; balance.json weapons[id=p26_icarus_sec_orbital_laser].real</t>
        </is>
      </c>
      <c r="AG233" t="inlineStr"/>
    </row>
    <row r="234">
      <c r="A234" t="inlineStr">
        <is>
          <t>p26_ixion_125</t>
        </is>
      </c>
      <c r="B234" t="inlineStr">
        <is>
          <t>p26_ixion_125</t>
        </is>
      </c>
      <c r="C234" t="inlineStr">
        <is>
          <t>2A46 125 mm (turret, AP)</t>
        </is>
      </c>
      <c r="D234" t="inlineStr">
        <is>
          <t>doi_that</t>
        </is>
      </c>
      <c r="E234" t="inlineStr">
        <is>
          <t>2A46 125 mm (turret, AP)</t>
        </is>
      </c>
      <c r="F234" t="inlineStr"/>
      <c r="G234" t="inlineStr"/>
      <c r="H234" t="inlineStr"/>
      <c r="I234" t="inlineStr"/>
      <c r="J234" t="inlineStr"/>
      <c r="K234" t="inlineStr"/>
      <c r="L234" t="inlineStr">
        <is>
          <t>nhịp chậm hơn 30 % và mạnh hơn tương ứng (luật súng của game)</t>
        </is>
      </c>
      <c r="M234" t="inlineStr">
        <is>
          <t>gameplay</t>
        </is>
      </c>
      <c r="N234" t="inlineStr"/>
      <c r="O234" t="inlineStr">
        <is>
          <t>da_kiem_chung</t>
        </is>
      </c>
      <c r="P234" t="inlineStr">
        <is>
          <t>R_balance;R_full_weapon_audit;W_wikipedia_2a46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125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8</v>
      </c>
      <c r="Y234" t="n">
        <v>7</v>
      </c>
      <c r="Z234" t="inlineStr">
        <is>
          <t>tu_dong</t>
        </is>
      </c>
      <c r="AA234" t="inlineStr">
        <is>
          <t>NEED_SOURCE</t>
        </is>
      </c>
      <c r="AB234" t="inlineStr"/>
      <c r="AC234" t="inlineStr">
        <is>
          <t>gun</t>
        </is>
      </c>
      <c r="AD234" t="inlineStr">
        <is>
          <t>Wikipedia '2A46': 7-8 rpm with the autoloader</t>
        </is>
      </c>
      <c r="AE234" t="inlineStr"/>
      <c r="AF234" t="inlineStr">
        <is>
          <t>Tools/balance/full_weapon_audit.py: REAL / WARHEAD; balance.json weapons[id=p26_ixion_125].real</t>
        </is>
      </c>
      <c r="AG234" t="inlineStr"/>
    </row>
    <row r="235">
      <c r="A235" t="inlineStr">
        <is>
          <t>p26_ixion_125_he</t>
        </is>
      </c>
      <c r="B235" t="inlineStr">
        <is>
          <t>p26_ixion_125_he</t>
        </is>
      </c>
      <c r="C235" t="inlineStr">
        <is>
          <t>2A46 125 mm HE-FRAG</t>
        </is>
      </c>
      <c r="D235" t="inlineStr">
        <is>
          <t>doi_that</t>
        </is>
      </c>
      <c r="E235" t="inlineStr">
        <is>
          <t>2A46 125 mm HE-FRAG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R_balance;R_full_weapon_audit;W_wikipedia_2a46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125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8</v>
      </c>
      <c r="Y235" t="n">
        <v>7</v>
      </c>
      <c r="Z235" t="inlineStr">
        <is>
          <t>tu_dong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'2A46': 7-8 rpm with the autoloader</t>
        </is>
      </c>
      <c r="AE235" t="inlineStr"/>
      <c r="AF235" t="inlineStr">
        <is>
          <t>Tools/balance/full_weapon_audit.py: REAL / WARHEAD; balance.json weapons[id=p26_ixion_125_he].real</t>
        </is>
      </c>
      <c r="AG235" t="inlineStr"/>
    </row>
    <row r="236">
      <c r="A236" t="inlineStr">
        <is>
          <t>p26_ixion_mg</t>
        </is>
      </c>
      <c r="B236" t="inlineStr">
        <is>
          <t>p26_ixion_mg</t>
        </is>
      </c>
      <c r="C236" t="inlineStr">
        <is>
          <t>NSV 12.7 mm</t>
        </is>
      </c>
      <c r="D236" t="inlineStr">
        <is>
          <t>doi_that</t>
        </is>
      </c>
      <c r="E236" t="inlineStr">
        <is>
          <t>NSV 12.7 mm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da_kiem_chung</t>
        </is>
      </c>
      <c r="P236" t="inlineStr">
        <is>
          <t>R_balance;R_full_weapon_audit;W_wikipedia_nsv_machine_gun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12.7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800</v>
      </c>
      <c r="Y236" t="n">
        <v>100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mg</t>
        </is>
      </c>
      <c r="AD236" t="inlineStr">
        <is>
          <t>Wikipedia 'NSV machine gun': 700-800 cyclic, 100 practical</t>
        </is>
      </c>
      <c r="AE236" t="inlineStr"/>
      <c r="AF236" t="inlineStr">
        <is>
          <t>Tools/balance/full_weapon_audit.py: REAL / WARHEAD; balance.json weapons[id=p26_ixion_mg].real</t>
        </is>
      </c>
      <c r="AG236" t="inlineStr"/>
    </row>
    <row r="237">
      <c r="A237" t="inlineStr">
        <is>
          <t>p26_jotunn_close_boss_flak</t>
        </is>
      </c>
      <c r="B237" t="inlineStr">
        <is>
          <t>p26_jotunn_close_boss_flak</t>
        </is>
      </c>
      <c r="C237" t="inlineStr">
        <is>
          <t>Oerlikon 35 mm (twin)</t>
        </is>
      </c>
      <c r="D237" t="inlineStr">
        <is>
          <t>doi_that</t>
        </is>
      </c>
      <c r="E237" t="inlineStr">
        <is>
          <t>Oerlikon 35 mm (twin)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da_kiem_chung</t>
        </is>
      </c>
      <c r="P237" t="inlineStr">
        <is>
          <t>R_balance;R_full_weapon_audit;W_wikipedia_oerlikon_gdf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35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550</v>
      </c>
      <c r="Y237" t="n">
        <v>300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aa</t>
        </is>
      </c>
      <c r="AD237" t="inlineStr">
        <is>
          <t>Wikipedia 'Oerlikon GDF': 550 rpm a gun (the twin: 1,100)</t>
        </is>
      </c>
      <c r="AE237" t="inlineStr"/>
      <c r="AF237" t="inlineStr">
        <is>
          <t>Tools/balance/full_weapon_audit.py: REAL / WARHEAD; balance.json weapons[id=p26_jotunn_close_boss_flak].real</t>
        </is>
      </c>
      <c r="AG237" t="inlineStr"/>
    </row>
    <row r="238">
      <c r="A238" t="inlineStr">
        <is>
          <t>p26_jotunn_direct_jo125</t>
        </is>
      </c>
      <c r="B238" t="inlineStr">
        <is>
          <t>p26_jotunn_direct_jo125</t>
        </is>
      </c>
      <c r="C238" t="inlineStr">
        <is>
          <t>2A46 125 mm</t>
        </is>
      </c>
      <c r="D238" t="inlineStr">
        <is>
          <t>doi_that</t>
        </is>
      </c>
      <c r="E238" t="inlineStr">
        <is>
          <t>2A46 125 mm</t>
        </is>
      </c>
      <c r="F238" t="inlineStr"/>
      <c r="G238" t="inlineStr"/>
      <c r="H238" t="inlineStr"/>
      <c r="I238" t="inlineStr"/>
      <c r="J238" t="inlineStr"/>
      <c r="K238" t="inlineStr"/>
      <c r="L238" t="inlineStr">
        <is>
          <t>nhịp chậm hơn 30 % và mạnh hơn tương ứng (luật súng của game)</t>
        </is>
      </c>
      <c r="M238" t="inlineStr">
        <is>
          <t>gameplay</t>
        </is>
      </c>
      <c r="N238" t="inlineStr"/>
      <c r="O238" t="inlineStr">
        <is>
          <t>da_kiem_chung</t>
        </is>
      </c>
      <c r="P238" t="inlineStr">
        <is>
          <t>R_balance;R_full_weapon_audit;W_wikipedia_2a46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125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8</v>
      </c>
      <c r="Y238" t="n">
        <v>7</v>
      </c>
      <c r="Z238" t="inlineStr">
        <is>
          <t>tu_dong</t>
        </is>
      </c>
      <c r="AA238" t="inlineStr">
        <is>
          <t>NEED_SOURCE</t>
        </is>
      </c>
      <c r="AB238" t="inlineStr"/>
      <c r="AC238" t="inlineStr">
        <is>
          <t>gun</t>
        </is>
      </c>
      <c r="AD238" t="inlineStr">
        <is>
          <t>Wikipedia '2A46': 7-8 rpm with the autoloader</t>
        </is>
      </c>
      <c r="AE238" t="inlineStr"/>
      <c r="AF238" t="inlineStr">
        <is>
          <t>Tools/balance/full_weapon_audit.py: REAL / WARHEAD; balance.json weapons[id=p26_jotunn_direct_jo125].real</t>
        </is>
      </c>
      <c r="AG238" t="inlineStr"/>
    </row>
    <row r="239">
      <c r="A239" t="inlineStr">
        <is>
          <t>p26_jotunn_jo125</t>
        </is>
      </c>
      <c r="B239" t="inlineStr">
        <is>
          <t>p26_jotunn_jo125</t>
        </is>
      </c>
      <c r="C239" t="inlineStr">
        <is>
          <t>2A46 125 mm</t>
        </is>
      </c>
      <c r="D239" t="inlineStr">
        <is>
          <t>doi_that</t>
        </is>
      </c>
      <c r="E239" t="inlineStr">
        <is>
          <t>2A46 125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weapons[id=p26_jotunn_jo125].real</t>
        </is>
      </c>
      <c r="AG239" t="inlineStr"/>
    </row>
    <row r="240">
      <c r="A240" t="inlineStr">
        <is>
          <t>p26_jotunn_jo203</t>
        </is>
      </c>
      <c r="B240" t="inlineStr">
        <is>
          <t>p26_jotunn_jo203</t>
        </is>
      </c>
      <c r="C240" t="inlineStr">
        <is>
          <t>2A44 203 mm</t>
        </is>
      </c>
      <c r="D240" t="inlineStr">
        <is>
          <t>doi_that</t>
        </is>
      </c>
      <c r="E240" t="inlineStr">
        <is>
          <t>2A44 203 mm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R_balance;R_full_weapon_audit;W_wikipedia_2s7_pion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203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2.5</v>
      </c>
      <c r="Y240" t="n">
        <v>1</v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'2S7 Pion': 1.5 rpm (2S7M Malka 2.5)</t>
        </is>
      </c>
      <c r="AE240" t="inlineStr"/>
      <c r="AF240" t="inlineStr">
        <is>
          <t>Tools/balance/full_weapon_audit.py: REAL / WARHEAD; balance.json weapons[id=p26_jotunn_jo203].real</t>
        </is>
      </c>
      <c r="AG240" t="inlineStr"/>
    </row>
    <row r="241">
      <c r="A241" t="inlineStr">
        <is>
          <t>p26_jotunn_jo_rockets</t>
        </is>
      </c>
      <c r="B241" t="inlineStr">
        <is>
          <t>p26_jotunn_jo_rockets</t>
        </is>
      </c>
      <c r="C241" t="inlineStr">
        <is>
          <t>BM-30 Smerch 300 mm (pod)</t>
        </is>
      </c>
      <c r="D241" t="inlineStr">
        <is>
          <t>doi_that</t>
        </is>
      </c>
      <c r="E241" t="inlineStr">
        <is>
          <t>BM-30 Smerch 300 mm (pod)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R_balance;R_full_weapon_audit;W_wikipedia_bm_30_smerch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300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19</v>
      </c>
      <c r="Y241" t="inlineStr">
        <is>
          <t>NEED_SOURCE</t>
        </is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rocket</t>
        </is>
      </c>
      <c r="AD241" t="inlineStr">
        <is>
          <t>Wikipedia 'BM-30 Smerch': 12 rockets in 38 s</t>
        </is>
      </c>
      <c r="AE241" t="inlineStr"/>
      <c r="AF241" t="inlineStr">
        <is>
          <t>Tools/balance/full_weapon_audit.py: REAL / WARHEAD; balance.json weapons[id=p26_jotunn_jo_rockets].real</t>
        </is>
      </c>
      <c r="AG241" t="inlineStr"/>
    </row>
    <row r="242">
      <c r="A242" t="inlineStr">
        <is>
          <t>p26_jotunn_sec_jo_rockets</t>
        </is>
      </c>
      <c r="B242" t="inlineStr">
        <is>
          <t>p26_jotunn_sec_jo_rockets</t>
        </is>
      </c>
      <c r="C242" t="inlineStr">
        <is>
          <t>BM-30 Smerch 300 mm (pod)</t>
        </is>
      </c>
      <c r="D242" t="inlineStr">
        <is>
          <t>doi_that</t>
        </is>
      </c>
      <c r="E242" t="inlineStr">
        <is>
          <t>BM-30 Smerch 300 mm (pod)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R_balance;R_full_weapon_audit;W_wikipedia_bm_30_smerch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300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19</v>
      </c>
      <c r="Y242" t="inlineStr">
        <is>
          <t>NEED_SOURCE</t>
        </is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rocket</t>
        </is>
      </c>
      <c r="AD242" t="inlineStr">
        <is>
          <t>Wikipedia 'BM-30 Smerch': 12 rockets in 38 s</t>
        </is>
      </c>
      <c r="AE242" t="inlineStr"/>
      <c r="AF242" t="inlineStr">
        <is>
          <t>Tools/balance/full_weapon_audit.py: REAL / WARHEAD; balance.json weapons[id=p26_jotunn_sec_jo_rockets].real</t>
        </is>
      </c>
      <c r="AG242" t="inlineStr"/>
    </row>
    <row r="243">
      <c r="A243" t="inlineStr">
        <is>
          <t>p26_jotunn_tiny_twin_30_flak</t>
        </is>
      </c>
      <c r="B243" t="inlineStr">
        <is>
          <t>p26_jotunn_tiny_twin_30_flak</t>
        </is>
      </c>
      <c r="C243" t="inlineStr">
        <is>
          <t>2A38 30 mm (twin)</t>
        </is>
      </c>
      <c r="D243" t="inlineStr">
        <is>
          <t>doi_that</t>
        </is>
      </c>
      <c r="E243" t="inlineStr">
        <is>
          <t>2A38 30 mm (twin)</t>
        </is>
      </c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>
        <is>
          <t>da_kiem_chung</t>
        </is>
      </c>
      <c r="P243" t="inlineStr">
        <is>
          <t>R_balance;R_full_weapon_audit;W_wikipedia_2a38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30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2500</v>
      </c>
      <c r="Y243" t="n">
        <v>1000</v>
      </c>
      <c r="Z243" t="inlineStr">
        <is>
          <t>NEED_SOURCE</t>
        </is>
      </c>
      <c r="AA243" t="inlineStr">
        <is>
          <t>NEED_SOURCE</t>
        </is>
      </c>
      <c r="AB243" t="inlineStr"/>
      <c r="AC243" t="inlineStr">
        <is>
          <t>aa</t>
        </is>
      </c>
      <c r="AD243" t="inlineStr">
        <is>
          <t>Wikipedia '2A38': 4,060-5,000 rpm the twin mount</t>
        </is>
      </c>
      <c r="AE243" t="inlineStr"/>
      <c r="AF243" t="inlineStr">
        <is>
          <t>Tools/balance/full_weapon_audit.py: REAL / WARHEAD; balance.json weapons[id=p26_jotunn_tiny_twin_30_flak].real</t>
        </is>
      </c>
      <c r="AG243" t="inlineStr"/>
    </row>
    <row r="244">
      <c r="A244" t="inlineStr">
        <is>
          <t>p26_leviathan_direct_lev127</t>
        </is>
      </c>
      <c r="B244" t="inlineStr">
        <is>
          <t>p26_leviathan_direct_lev127</t>
        </is>
      </c>
      <c r="C244" t="inlineStr">
        <is>
          <t>AK-127 127 mm</t>
        </is>
      </c>
      <c r="D244" t="inlineStr">
        <is>
          <t>doi_that</t>
        </is>
      </c>
      <c r="E244" t="inlineStr">
        <is>
          <t>AK-127 127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R_balance;R_full_weapon_audit;W_wikipedia_a_192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127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30</v>
      </c>
      <c r="Y244" t="n">
        <v>20</v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the A-192 'Armat' 130 mm class, 30 rpm (Wikipedia 'A-192')</t>
        </is>
      </c>
      <c r="AE244" t="inlineStr"/>
      <c r="AF244" t="inlineStr">
        <is>
          <t>Tools/balance/full_weapon_audit.py: REAL / WARHEAD; balance.json weapons[id=p26_leviathan_direct_lev127].real</t>
        </is>
      </c>
      <c r="AG244" t="inlineStr"/>
    </row>
    <row r="245">
      <c r="A245" t="inlineStr">
        <is>
          <t>p26_leviathan_lev127</t>
        </is>
      </c>
      <c r="B245" t="inlineStr">
        <is>
          <t>p26_leviathan_lev127</t>
        </is>
      </c>
      <c r="C245" t="inlineStr">
        <is>
          <t>AK-127 127 mm</t>
        </is>
      </c>
      <c r="D245" t="inlineStr">
        <is>
          <t>doi_that</t>
        </is>
      </c>
      <c r="E245" t="inlineStr">
        <is>
          <t>AK-127 127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R_balance;R_full_weapon_audit;W_wikipedia_a_192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127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30</v>
      </c>
      <c r="Y245" t="n">
        <v>20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the A-192 'Armat' 130 mm class, 30 rpm (Wikipedia 'A-192')</t>
        </is>
      </c>
      <c r="AE245" t="inlineStr"/>
      <c r="AF245" t="inlineStr">
        <is>
          <t>Tools/balance/full_weapon_audit.py: REAL / WARHEAD; balance.json weapons[id=p26_leviathan_lev127].real</t>
        </is>
      </c>
      <c r="AG245" t="inlineStr"/>
    </row>
    <row r="246">
      <c r="A246" t="inlineStr">
        <is>
          <t>p26_leviathan_lev155</t>
        </is>
      </c>
      <c r="B246" t="inlineStr">
        <is>
          <t>p26_leviathan_lev155</t>
        </is>
      </c>
      <c r="C246" t="inlineStr">
        <is>
          <t>155 mm/60 (triple)</t>
        </is>
      </c>
      <c r="D246" t="inlineStr">
        <is>
          <t>doi_that</t>
        </is>
      </c>
      <c r="E246" t="inlineStr">
        <is>
          <t>155 mm/60 (triple)</t>
        </is>
      </c>
      <c r="F246" t="inlineStr"/>
      <c r="G246" t="inlineStr"/>
      <c r="H246" t="inlineStr"/>
      <c r="I246" t="inlineStr"/>
      <c r="J246" t="inlineStr"/>
      <c r="K246" t="inlineStr"/>
      <c r="L246" t="inlineStr">
        <is>
          <t>nhịp chậm hơn 30 % và mạnh hơn tương ứng (luật súng của game)</t>
        </is>
      </c>
      <c r="M246" t="inlineStr">
        <is>
          <t>gameplay</t>
        </is>
      </c>
      <c r="N246" t="inlineStr"/>
      <c r="O246" t="inlineStr">
        <is>
          <t>da_kiem_chung</t>
        </is>
      </c>
      <c r="P246" t="inlineStr">
        <is>
          <t>R_balance;R_full_weapon_audit;W_wikipedia_15_5_cm_60_3rd_year_type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155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5</v>
      </c>
      <c r="Y246" t="n">
        <v>4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gun</t>
        </is>
      </c>
      <c r="AD246" t="inlineStr">
        <is>
          <t>Wikipedia '15.5 cm/60 3rd Year Type' (Mogami): ~5 rpm a gun</t>
        </is>
      </c>
      <c r="AE246" t="inlineStr"/>
      <c r="AF246" t="inlineStr">
        <is>
          <t>Tools/balance/full_weapon_audit.py: REAL / WARHEAD; balance.json weapons[id=p26_leviathan_lev155].real</t>
        </is>
      </c>
      <c r="AG246" t="inlineStr"/>
    </row>
    <row r="247">
      <c r="A247" t="inlineStr">
        <is>
          <t>p26_leviathan_lev406</t>
        </is>
      </c>
      <c r="B247" t="inlineStr">
        <is>
          <t>p26_leviathan_lev406</t>
        </is>
      </c>
      <c r="C247" t="inlineStr">
        <is>
          <t>Mk 7 406 mm/50 (Iowa, triple)</t>
        </is>
      </c>
      <c r="D247" t="inlineStr">
        <is>
          <t>doi_that</t>
        </is>
      </c>
      <c r="E247" t="inlineStr">
        <is>
          <t>Mk 7 406 mm/50 (Iowa, triple)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R_balance;R_full_weapon_audit;W_wikipedia_16_50_caliber_mark_7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406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2</v>
      </c>
      <c r="Y247" t="n">
        <v>2</v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Wikipedia '16"/50 caliber Mark 7': 2 rpm a gun</t>
        </is>
      </c>
      <c r="AE247" t="inlineStr"/>
      <c r="AF247" t="inlineStr">
        <is>
          <t>Tools/balance/full_weapon_audit.py: REAL / WARHEAD; balance.json weapons[id=p26_leviathan_lev406].real</t>
        </is>
      </c>
      <c r="AG247" t="inlineStr"/>
    </row>
    <row r="248">
      <c r="A248" t="inlineStr">
        <is>
          <t>p26_leviathan_sec_lev155</t>
        </is>
      </c>
      <c r="B248" t="inlineStr">
        <is>
          <t>p26_leviathan_sec_lev155</t>
        </is>
      </c>
      <c r="C248" t="inlineStr">
        <is>
          <t>155 mm/60 (triple)</t>
        </is>
      </c>
      <c r="D248" t="inlineStr">
        <is>
          <t>doi_that</t>
        </is>
      </c>
      <c r="E248" t="inlineStr">
        <is>
          <t>155 mm/60 (triple)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R_balance;R_full_weapon_audit;W_wikipedia_15_5_cm_60_3rd_year_type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155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5</v>
      </c>
      <c r="Y248" t="n">
        <v>4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'15.5 cm/60 3rd Year Type' (Mogami): ~5 rpm a gun</t>
        </is>
      </c>
      <c r="AE248" t="inlineStr"/>
      <c r="AF248" t="inlineStr">
        <is>
          <t>Tools/balance/full_weapon_audit.py: REAL / WARHEAD; balance.json weapons[id=p26_leviathan_sec_lev155].real</t>
        </is>
      </c>
      <c r="AG248" t="inlineStr"/>
    </row>
    <row r="249">
      <c r="A249" t="inlineStr">
        <is>
          <t>p26_matriarch_close_boss_flak</t>
        </is>
      </c>
      <c r="B249" t="inlineStr">
        <is>
          <t>p26_matriarch_close_boss_flak</t>
        </is>
      </c>
      <c r="C249" t="inlineStr">
        <is>
          <t>Oerlikon 35 mm (twin)</t>
        </is>
      </c>
      <c r="D249" t="inlineStr">
        <is>
          <t>doi_that</t>
        </is>
      </c>
      <c r="E249" t="inlineStr">
        <is>
          <t>Oerlikon 35 mm (twin)</t>
        </is>
      </c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>
        <is>
          <t>da_kiem_chung</t>
        </is>
      </c>
      <c r="P249" t="inlineStr">
        <is>
          <t>R_balance;R_full_weapon_audit;W_wikipedia_oerlikon_gdf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35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550</v>
      </c>
      <c r="Y249" t="n">
        <v>300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aa</t>
        </is>
      </c>
      <c r="AD249" t="inlineStr">
        <is>
          <t>Wikipedia 'Oerlikon GDF': 550 rpm a gun (the twin: 1,100)</t>
        </is>
      </c>
      <c r="AE249" t="inlineStr"/>
      <c r="AF249" t="inlineStr">
        <is>
          <t>Tools/balance/full_weapon_audit.py: REAL / WARHEAD; balance.json weapons[id=p26_matriarch_close_boss_flak].real</t>
        </is>
      </c>
      <c r="AG249" t="inlineStr"/>
    </row>
    <row r="250">
      <c r="A250" t="inlineStr">
        <is>
          <t>p26_matriarch_direct_ma_atgm</t>
        </is>
      </c>
      <c r="B250" t="inlineStr">
        <is>
          <t>p26_matriarch_direct_ma_atgm</t>
        </is>
      </c>
      <c r="C250" t="inlineStr">
        <is>
          <t>9M133 Kornet</t>
        </is>
      </c>
      <c r="D250" t="inlineStr">
        <is>
          <t>doi_that</t>
        </is>
      </c>
      <c r="E250" t="inlineStr">
        <is>
          <t>9M133 Kornet</t>
        </is>
      </c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  <c r="O250" t="inlineStr">
        <is>
          <t>da_kiem_chung</t>
        </is>
      </c>
      <c r="P250" t="inlineStr">
        <is>
          <t>R_balance;R_full_weapon_audit;W_wikipedia_9m133_kornet;W_wikipedia_bai_cua_tung_ten_lua_bang_warhead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inlineStr">
        <is>
          <t>NEED_SOURCE</t>
        </is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</v>
      </c>
      <c r="Y250" t="n">
        <v>3</v>
      </c>
      <c r="Z250" t="inlineStr">
        <is>
          <t>NEED_SOURCE</t>
        </is>
      </c>
      <c r="AA250" t="inlineStr">
        <is>
          <t>NEED_SOURCE</t>
        </is>
      </c>
      <c r="AB250" t="n">
        <v>7</v>
      </c>
      <c r="AC250" t="inlineStr">
        <is>
          <t>atgm</t>
        </is>
      </c>
      <c r="AD250" t="inlineStr">
        <is>
          <t>Wikipedia '9M133 Kornet': 2-3 rpm</t>
        </is>
      </c>
      <c r="AE250" t="inlineStr"/>
      <c r="AF250" t="inlineStr">
        <is>
          <t>Tools/balance/full_weapon_audit.py: REAL / WARHEAD; balance.json weapons[id=p26_matriarch_direct_ma_atgm].real</t>
        </is>
      </c>
      <c r="AG250" t="inlineStr"/>
    </row>
    <row r="251">
      <c r="A251" t="inlineStr">
        <is>
          <t>p26_matriarch_ma_atgm</t>
        </is>
      </c>
      <c r="B251" t="inlineStr">
        <is>
          <t>p26_matriarch_ma_atgm</t>
        </is>
      </c>
      <c r="C251" t="inlineStr">
        <is>
          <t>9M133 Kornet</t>
        </is>
      </c>
      <c r="D251" t="inlineStr">
        <is>
          <t>doi_that</t>
        </is>
      </c>
      <c r="E251" t="inlineStr">
        <is>
          <t>9M133 Kornet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R_balance;R_full_weapon_audit;W_wikipedia_9m133_kornet;W_wikipedia_bai_cua_tung_ten_lua_bang_warhead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3</v>
      </c>
      <c r="Y251" t="n">
        <v>3</v>
      </c>
      <c r="Z251" t="inlineStr">
        <is>
          <t>NEED_SOURCE</t>
        </is>
      </c>
      <c r="AA251" t="inlineStr">
        <is>
          <t>NEED_SOURCE</t>
        </is>
      </c>
      <c r="AB251" t="n">
        <v>7</v>
      </c>
      <c r="AC251" t="inlineStr">
        <is>
          <t>atgm</t>
        </is>
      </c>
      <c r="AD251" t="inlineStr">
        <is>
          <t>Wikipedia '9M133 Kornet': 2-3 rpm</t>
        </is>
      </c>
      <c r="AE251" t="inlineStr"/>
      <c r="AF251" t="inlineStr">
        <is>
          <t>Tools/balance/full_weapon_audit.py: REAL / WARHEAD; balance.json weapons[id=p26_matriarch_ma_atgm].real</t>
        </is>
      </c>
      <c r="AG251" t="inlineStr"/>
    </row>
    <row r="252">
      <c r="A252" t="inlineStr">
        <is>
          <t>p26_matriarch_ma_drones</t>
        </is>
      </c>
      <c r="B252" t="inlineStr">
        <is>
          <t>p26_matriarch_ma_drones</t>
        </is>
      </c>
      <c r="C252" t="inlineStr">
        <is>
          <t>ZALA Lancet-3 swarm</t>
        </is>
      </c>
      <c r="D252" t="inlineStr">
        <is>
          <t>doi_that</t>
        </is>
      </c>
      <c r="E252" t="inlineStr">
        <is>
          <t>ZALA Lancet-3 swarm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ban_dau_doan</t>
        </is>
      </c>
      <c r="P252" t="inlineStr">
        <is>
          <t>R_balance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inlineStr">
        <is>
          <t>NEED_SOURCE</t>
        </is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inlineStr">
        <is>
          <t>NEED_SOURCE</t>
        </is>
      </c>
      <c r="Y252" t="inlineStr">
        <is>
          <t>NEED_SOURCE</t>
        </is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/>
      <c r="AD252" t="inlineStr"/>
      <c r="AE252" t="inlineStr"/>
      <c r="AF252" t="inlineStr">
        <is>
          <t>Tools/balance/full_weapon_audit.py: REAL / WARHEAD; balance.json weapons[id=p26_matriarch_ma_drones].real</t>
        </is>
      </c>
      <c r="AG252" t="inlineStr"/>
    </row>
    <row r="253">
      <c r="A253" t="inlineStr">
        <is>
          <t>p26_matriarch_sec_autocannon_30</t>
        </is>
      </c>
      <c r="B253" t="inlineStr">
        <is>
          <t>p26_matriarch_sec_autocannon_30</t>
        </is>
      </c>
      <c r="C253" t="inlineStr">
        <is>
          <t>2A42 30 mm</t>
        </is>
      </c>
      <c r="D253" t="inlineStr">
        <is>
          <t>doi_that</t>
        </is>
      </c>
      <c r="E253" t="inlineStr">
        <is>
          <t>2A42 30 mm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>
        <is>
          <t>da_kiem_chung</t>
        </is>
      </c>
      <c r="P253" t="inlineStr">
        <is>
          <t>R_balance;R_full_weapon_audit;W_wikipedia_2a42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30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800</v>
      </c>
      <c r="Y253" t="n">
        <v>300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ac</t>
        </is>
      </c>
      <c r="AD253" t="inlineStr">
        <is>
          <t>Wikipedia '2A42': 550-800 high, 200-300 low rpm</t>
        </is>
      </c>
      <c r="AE253" t="inlineStr"/>
      <c r="AF253" t="inlineStr">
        <is>
          <t>Tools/balance/full_weapon_audit.py: REAL / WARHEAD; balance.json weapons[id=p26_matriarch_sec_autocannon_30].real</t>
        </is>
      </c>
      <c r="AG253" t="inlineStr"/>
    </row>
    <row r="254">
      <c r="A254" t="inlineStr">
        <is>
          <t>p26_matriarch_tiny_mothership_cannon</t>
        </is>
      </c>
      <c r="B254" t="inlineStr">
        <is>
          <t>p26_matriarch_tiny_mothership_cannon</t>
        </is>
      </c>
      <c r="C254" t="inlineStr">
        <is>
          <t>AU-220 57 mm</t>
        </is>
      </c>
      <c r="D254" t="inlineStr">
        <is>
          <t>doi_that</t>
        </is>
      </c>
      <c r="E254" t="inlineStr">
        <is>
          <t>AU-220 57 mm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R_balance;R_full_weapon_audit;W_wikipedia_au_220m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57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120</v>
      </c>
      <c r="Y254" t="n">
        <v>80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ac</t>
        </is>
      </c>
      <c r="AD254" t="inlineStr">
        <is>
          <t>Wikipedia 'AU-220M': 80-120 rpm</t>
        </is>
      </c>
      <c r="AE254" t="inlineStr"/>
      <c r="AF254" t="inlineStr">
        <is>
          <t>Tools/balance/full_weapon_audit.py: REAL / WARHEAD; balance.json weapons[id=p26_matriarch_tiny_mothership_cannon].real</t>
        </is>
      </c>
      <c r="AG254" t="inlineStr"/>
    </row>
    <row r="255">
      <c r="A255" t="inlineStr">
        <is>
          <t>p26_moloch_close_boss_flak</t>
        </is>
      </c>
      <c r="B255" t="inlineStr">
        <is>
          <t>p26_moloch_close_boss_flak</t>
        </is>
      </c>
      <c r="C255" t="inlineStr">
        <is>
          <t>Oerlikon 35 mm (twin)</t>
        </is>
      </c>
      <c r="D255" t="inlineStr">
        <is>
          <t>doi_that</t>
        </is>
      </c>
      <c r="E255" t="inlineStr">
        <is>
          <t>Oerlikon 35 mm (twin)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R_balance;R_full_weapon_audit;W_wikipedia_oerlikon_gdf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n">
        <v>35</v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550</v>
      </c>
      <c r="Y255" t="n">
        <v>300</v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>
        <is>
          <t>aa</t>
        </is>
      </c>
      <c r="AD255" t="inlineStr">
        <is>
          <t>Wikipedia 'Oerlikon GDF': 550 rpm a gun (the twin: 1,100)</t>
        </is>
      </c>
      <c r="AE255" t="inlineStr"/>
      <c r="AF255" t="inlineStr">
        <is>
          <t>Tools/balance/full_weapon_audit.py: REAL / WARHEAD; balance.json weapons[id=p26_moloch_close_boss_flak].real</t>
        </is>
      </c>
      <c r="AG255" t="inlineStr"/>
    </row>
    <row r="256">
      <c r="A256" t="inlineStr">
        <is>
          <t>p26_moloch_direct_mo120ap</t>
        </is>
      </c>
      <c r="B256" t="inlineStr">
        <is>
          <t>p26_moloch_direct_mo120ap</t>
        </is>
      </c>
      <c r="C256" t="inlineStr">
        <is>
          <t>Rh-120 L/44 120 mm AP (twin)</t>
        </is>
      </c>
      <c r="D256" t="inlineStr">
        <is>
          <t>doi_that</t>
        </is>
      </c>
      <c r="E256" t="inlineStr">
        <is>
          <t>Rh-120 L/44 120 mm AP (twin)</t>
        </is>
      </c>
      <c r="F256" t="inlineStr"/>
      <c r="G256" t="inlineStr"/>
      <c r="H256" t="inlineStr"/>
      <c r="I256" t="inlineStr"/>
      <c r="J256" t="inlineStr"/>
      <c r="K256" t="inlineStr"/>
      <c r="L256" t="inlineStr">
        <is>
          <t>nhịp chậm hơn 30 % và mạnh hơn tương ứng (luật súng của game)</t>
        </is>
      </c>
      <c r="M256" t="inlineStr">
        <is>
          <t>gameplay</t>
        </is>
      </c>
      <c r="N256" t="inlineStr"/>
      <c r="O256" t="inlineStr">
        <is>
          <t>da_kiem_chung</t>
        </is>
      </c>
      <c r="P256" t="inlineStr">
        <is>
          <t>R_balance;R_full_weapon_audit;W_wikipedia_rheinmetall_120_mm_gun;R_machine_brigade_can_bang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120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8</v>
      </c>
      <c r="Y256" t="n">
        <v>6</v>
      </c>
      <c r="Z256" t="inlineStr">
        <is>
          <t>tay</t>
        </is>
      </c>
      <c r="AA256" t="inlineStr">
        <is>
          <t>NEED_SOURCE</t>
        </is>
      </c>
      <c r="AB256" t="inlineStr"/>
      <c r="AC256" t="inlineStr">
        <is>
          <t>gun</t>
        </is>
      </c>
      <c r="AD256" t="inlineStr">
        <is>
          <t>the sheet's 'Ngoài đời': Rh-120 6-8 rpm with a loader (Wikipedia 'Rheinmetall 120 mm gun')</t>
        </is>
      </c>
      <c r="AE256" t="inlineStr"/>
      <c r="AF256" t="inlineStr">
        <is>
          <t>Tools/balance/full_weapon_audit.py: REAL / WARHEAD; balance.json weapons[id=p26_moloch_direct_mo120ap].real</t>
        </is>
      </c>
      <c r="AG256" t="inlineStr"/>
    </row>
    <row r="257">
      <c r="A257" t="inlineStr">
        <is>
          <t>p26_moloch_main_mo120</t>
        </is>
      </c>
      <c r="B257" t="inlineStr">
        <is>
          <t>p26_moloch_main_mo120</t>
        </is>
      </c>
      <c r="C257" t="inlineStr">
        <is>
          <t>Rh-120 L/44 120 mm HE (twin)</t>
        </is>
      </c>
      <c r="D257" t="inlineStr">
        <is>
          <t>doi_that</t>
        </is>
      </c>
      <c r="E257" t="inlineStr">
        <is>
          <t>Rh-120 L/44 120 mm HE (twin)</t>
        </is>
      </c>
      <c r="F257" t="inlineStr"/>
      <c r="G257" t="inlineStr"/>
      <c r="H257" t="inlineStr"/>
      <c r="I257" t="inlineStr"/>
      <c r="J257" t="inlineStr"/>
      <c r="K257" t="inlineStr"/>
      <c r="L257" t="inlineStr">
        <is>
          <t>nhịp chậm hơn 30 % và mạnh hơn tương ứng (luật súng của game)</t>
        </is>
      </c>
      <c r="M257" t="inlineStr">
        <is>
          <t>gameplay</t>
        </is>
      </c>
      <c r="N257" t="inlineStr"/>
      <c r="O257" t="inlineStr">
        <is>
          <t>da_kiem_chung</t>
        </is>
      </c>
      <c r="P257" t="inlineStr">
        <is>
          <t>R_balance;R_full_weapon_audit;W_wikipedia_rheinmetall_120_mm_gun;R_machine_brigade_can_bang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n">
        <v>120</v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n">
        <v>8</v>
      </c>
      <c r="Y257" t="n">
        <v>6</v>
      </c>
      <c r="Z257" t="inlineStr">
        <is>
          <t>tay</t>
        </is>
      </c>
      <c r="AA257" t="inlineStr">
        <is>
          <t>NEED_SOURCE</t>
        </is>
      </c>
      <c r="AB257" t="inlineStr"/>
      <c r="AC257" t="inlineStr">
        <is>
          <t>gun</t>
        </is>
      </c>
      <c r="AD257" t="inlineStr">
        <is>
          <t>the sheet's 'Ngoài đời': Rh-120 6-8 rpm with a loader (Wikipedia 'Rheinmetall 120 mm gun')</t>
        </is>
      </c>
      <c r="AE257" t="inlineStr"/>
      <c r="AF257" t="inlineStr">
        <is>
          <t>Tools/balance/full_weapon_audit.py: REAL / WARHEAD; balance.json weapons[id=p26_moloch_main_mo120].real</t>
        </is>
      </c>
      <c r="AG257" t="inlineStr"/>
    </row>
    <row r="258">
      <c r="A258" t="inlineStr">
        <is>
          <t>p26_moloch_mo120</t>
        </is>
      </c>
      <c r="B258" t="inlineStr">
        <is>
          <t>p26_moloch_mo120</t>
        </is>
      </c>
      <c r="C258" t="inlineStr">
        <is>
          <t>Rh-120 L/44 120 mm HE</t>
        </is>
      </c>
      <c r="D258" t="inlineStr">
        <is>
          <t>doi_that</t>
        </is>
      </c>
      <c r="E258" t="inlineStr">
        <is>
          <t>Rh-120 L/44 120 mm HE</t>
        </is>
      </c>
      <c r="F258" t="inlineStr"/>
      <c r="G258" t="inlineStr"/>
      <c r="H258" t="inlineStr"/>
      <c r="I258" t="inlineStr"/>
      <c r="J258" t="inlineStr"/>
      <c r="K258" t="inlineStr"/>
      <c r="L258" t="inlineStr">
        <is>
          <t>nhịp chậm hơn 30 % và mạnh hơn tương ứng (luật súng của game)</t>
        </is>
      </c>
      <c r="M258" t="inlineStr">
        <is>
          <t>gameplay</t>
        </is>
      </c>
      <c r="N258" t="inlineStr"/>
      <c r="O258" t="inlineStr">
        <is>
          <t>da_kiem_chung</t>
        </is>
      </c>
      <c r="P258" t="inlineStr">
        <is>
          <t>R_balance;R_full_weapon_audit;W_wikipedia_rheinmetall_120_mm_gun;R_machine_brigade_can_bang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120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</v>
      </c>
      <c r="Y258" t="n">
        <v>6</v>
      </c>
      <c r="Z258" t="inlineStr">
        <is>
          <t>tay</t>
        </is>
      </c>
      <c r="AA258" t="inlineStr">
        <is>
          <t>NEED_SOURCE</t>
        </is>
      </c>
      <c r="AB258" t="inlineStr"/>
      <c r="AC258" t="inlineStr">
        <is>
          <t>gun</t>
        </is>
      </c>
      <c r="AD258" t="inlineStr">
        <is>
          <t>the sheet's 'Ngoài đời': Rh-120 6-8 rpm with a loader (Wikipedia 'Rheinmetall 120 mm gun')</t>
        </is>
      </c>
      <c r="AE258" t="inlineStr"/>
      <c r="AF258" t="inlineStr">
        <is>
          <t>Tools/balance/full_weapon_audit.py: REAL / WARHEAD; balance.json weapons[id=p26_moloch_mo120].real</t>
        </is>
      </c>
      <c r="AG258" t="inlineStr"/>
    </row>
    <row r="259">
      <c r="A259" t="inlineStr">
        <is>
          <t>p26_moloch_mo120ap</t>
        </is>
      </c>
      <c r="B259" t="inlineStr">
        <is>
          <t>p26_moloch_mo120ap</t>
        </is>
      </c>
      <c r="C259" t="inlineStr">
        <is>
          <t>Rh-120 L/44 120 mm AP</t>
        </is>
      </c>
      <c r="D259" t="inlineStr">
        <is>
          <t>doi_that</t>
        </is>
      </c>
      <c r="E259" t="inlineStr">
        <is>
          <t>Rh-120 L/44 120 mm AP</t>
        </is>
      </c>
      <c r="F259" t="inlineStr"/>
      <c r="G259" t="inlineStr"/>
      <c r="H259" t="inlineStr"/>
      <c r="I259" t="inlineStr"/>
      <c r="J259" t="inlineStr"/>
      <c r="K259" t="inlineStr"/>
      <c r="L259" t="inlineStr">
        <is>
          <t>nhịp chậm hơn 30 % và mạnh hơn tương ứng (luật súng của game)</t>
        </is>
      </c>
      <c r="M259" t="inlineStr">
        <is>
          <t>gameplay</t>
        </is>
      </c>
      <c r="N259" t="inlineStr"/>
      <c r="O259" t="inlineStr">
        <is>
          <t>da_kiem_chung</t>
        </is>
      </c>
      <c r="P259" t="inlineStr">
        <is>
          <t>R_balance;R_full_weapon_audit;W_wikipedia_rheinmetall_120_mm_gun;R_machine_brigade_can_bang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120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8</v>
      </c>
      <c r="Y259" t="n">
        <v>6</v>
      </c>
      <c r="Z259" t="inlineStr">
        <is>
          <t>tay</t>
        </is>
      </c>
      <c r="AA259" t="inlineStr">
        <is>
          <t>NEED_SOURCE</t>
        </is>
      </c>
      <c r="AB259" t="inlineStr"/>
      <c r="AC259" t="inlineStr">
        <is>
          <t>gun</t>
        </is>
      </c>
      <c r="AD259" t="inlineStr">
        <is>
          <t>the sheet's 'Ngoài đời': Rh-120 6-8 rpm with a loader (Wikipedia 'Rheinmetall 120 mm gun')</t>
        </is>
      </c>
      <c r="AE259" t="inlineStr"/>
      <c r="AF259" t="inlineStr">
        <is>
          <t>Tools/balance/full_weapon_audit.py: REAL / WARHEAD; balance.json weapons[id=p26_moloch_mo120ap].real</t>
        </is>
      </c>
      <c r="AG259" t="inlineStr"/>
    </row>
    <row r="260">
      <c r="A260" t="inlineStr">
        <is>
          <t>p26_moloch_tiny_zu23</t>
        </is>
      </c>
      <c r="B260" t="inlineStr">
        <is>
          <t>p26_moloch_tiny_zu23</t>
        </is>
      </c>
      <c r="C260" t="inlineStr">
        <is>
          <t>ZU-23-2 23 mm</t>
        </is>
      </c>
      <c r="D260" t="inlineStr">
        <is>
          <t>doi_that</t>
        </is>
      </c>
      <c r="E260" t="inlineStr">
        <is>
          <t>ZU-23-2 23 mm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R_balance;R_full_weapon_audit;W_wikipedia_zu_23_2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23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1000</v>
      </c>
      <c r="Y260" t="n">
        <v>400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'ZU-23-2': 2 x 800-1,000 rpm</t>
        </is>
      </c>
      <c r="AE260" t="inlineStr"/>
      <c r="AF260" t="inlineStr">
        <is>
          <t>Tools/balance/full_weapon_audit.py: REAL / WARHEAD; balance.json weapons[id=p26_moloch_tiny_zu23].real</t>
        </is>
      </c>
      <c r="AG260" t="inlineStr"/>
    </row>
    <row r="261">
      <c r="A261" t="inlineStr">
        <is>
          <t>p26_nemesis_close_boss_flak</t>
        </is>
      </c>
      <c r="B261" t="inlineStr">
        <is>
          <t>p26_nemesis_close_boss_flak</t>
        </is>
      </c>
      <c r="C261" t="inlineStr">
        <is>
          <t>Oerlikon 35 mm (twin)</t>
        </is>
      </c>
      <c r="D261" t="inlineStr">
        <is>
          <t>doi_that</t>
        </is>
      </c>
      <c r="E261" t="inlineStr">
        <is>
          <t>Oerlikon 35 mm (twin)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da_kiem_chung</t>
        </is>
      </c>
      <c r="P261" t="inlineStr">
        <is>
          <t>R_balance;R_full_weapon_audit;W_wikipedia_oerlikon_gdf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35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550</v>
      </c>
      <c r="Y261" t="n">
        <v>300</v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>
        <is>
          <t>aa</t>
        </is>
      </c>
      <c r="AD261" t="inlineStr">
        <is>
          <t>Wikipedia 'Oerlikon GDF': 550 rpm a gun (the twin: 1,100)</t>
        </is>
      </c>
      <c r="AE261" t="inlineStr"/>
      <c r="AF261" t="inlineStr">
        <is>
          <t>Tools/balance/full_weapon_audit.py: REAL / WARHEAD; balance.json weapons[id=p26_nemesis_close_boss_flak].real</t>
        </is>
      </c>
      <c r="AG261" t="inlineStr"/>
    </row>
    <row r="262">
      <c r="A262" t="inlineStr">
        <is>
          <t>p26_nemesis_direct_ne125</t>
        </is>
      </c>
      <c r="B262" t="inlineStr">
        <is>
          <t>p26_nemesis_direct_ne125</t>
        </is>
      </c>
      <c r="C262" t="inlineStr">
        <is>
          <t>2A46 125 mm</t>
        </is>
      </c>
      <c r="D262" t="inlineStr">
        <is>
          <t>doi_that</t>
        </is>
      </c>
      <c r="E262" t="inlineStr">
        <is>
          <t>2A46 125 mm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R_balance;R_full_weapon_audit;W_wikipedia_2a46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125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7</v>
      </c>
      <c r="Z262" t="inlineStr">
        <is>
          <t>tu_dong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Wikipedia '2A46': 7-8 rpm with the autoloader</t>
        </is>
      </c>
      <c r="AE262" t="inlineStr"/>
      <c r="AF262" t="inlineStr">
        <is>
          <t>Tools/balance/full_weapon_audit.py: REAL / WARHEAD; balance.json weapons[id=p26_nemesis_direct_ne125].real</t>
        </is>
      </c>
      <c r="AG262" t="inlineStr"/>
    </row>
    <row r="263">
      <c r="A263" t="inlineStr">
        <is>
          <t>p26_nemesis_main_ne152</t>
        </is>
      </c>
      <c r="B263" t="inlineStr">
        <is>
          <t>p26_nemesis_main_ne152</t>
        </is>
      </c>
      <c r="C263" t="inlineStr">
        <is>
          <t>152 mm railcar gun</t>
        </is>
      </c>
      <c r="D263" t="inlineStr">
        <is>
          <t>doi_that</t>
        </is>
      </c>
      <c r="E263" t="inlineStr">
        <is>
          <t>152 mm railcar gun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uoc_dinh</t>
        </is>
      </c>
      <c r="P263" t="inlineStr">
        <is>
          <t>R_balance;R_full_weapon_audit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152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a 152 mm railway mount of the 2A65 class, est. 7-8 rpm</t>
        </is>
      </c>
      <c r="AE263" t="inlineStr"/>
      <c r="AF263" t="inlineStr">
        <is>
          <t>Tools/balance/full_weapon_audit.py: REAL / WARHEAD; balance.json weapons[id=p26_nemesis_main_ne152].real</t>
        </is>
      </c>
      <c r="AG263" t="inlineStr"/>
    </row>
    <row r="264">
      <c r="A264" t="inlineStr">
        <is>
          <t>p26_nemesis_ne125</t>
        </is>
      </c>
      <c r="B264" t="inlineStr">
        <is>
          <t>p26_nemesis_ne125</t>
        </is>
      </c>
      <c r="C264" t="inlineStr">
        <is>
          <t>2A46 125 mm</t>
        </is>
      </c>
      <c r="D264" t="inlineStr">
        <is>
          <t>doi_that</t>
        </is>
      </c>
      <c r="E264" t="inlineStr">
        <is>
          <t>2A46 125 mm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R_balance;R_full_weapon_audit;W_wikipedia_2a46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7</v>
      </c>
      <c r="Z264" t="inlineStr">
        <is>
          <t>tu_dong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Wikipedia '2A46': 7-8 rpm with the autoloader</t>
        </is>
      </c>
      <c r="AE264" t="inlineStr"/>
      <c r="AF264" t="inlineStr">
        <is>
          <t>Tools/balance/full_weapon_audit.py: REAL / WARHEAD; balance.json weapons[id=p26_nemesis_ne125].real</t>
        </is>
      </c>
      <c r="AG264" t="inlineStr"/>
    </row>
    <row r="265">
      <c r="A265" t="inlineStr">
        <is>
          <t>p26_nemesis_ne152</t>
        </is>
      </c>
      <c r="B265" t="inlineStr">
        <is>
          <t>p26_nemesis_ne152</t>
        </is>
      </c>
      <c r="C265" t="inlineStr">
        <is>
          <t>152 mm railcar gun</t>
        </is>
      </c>
      <c r="D265" t="inlineStr">
        <is>
          <t>doi_that</t>
        </is>
      </c>
      <c r="E265" t="inlineStr">
        <is>
          <t>152 mm railcar gun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uoc_dinh</t>
        </is>
      </c>
      <c r="P265" t="inlineStr">
        <is>
          <t>R_balance;R_full_weapon_audit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152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6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a 152 mm railway mount of the 2A65 class, est. 7-8 rpm</t>
        </is>
      </c>
      <c r="AE265" t="inlineStr"/>
      <c r="AF265" t="inlineStr">
        <is>
          <t>Tools/balance/full_weapon_audit.py: REAL / WARHEAD; balance.json weapons[id=p26_nemesis_ne152].real</t>
        </is>
      </c>
      <c r="AG265" t="inlineStr"/>
    </row>
    <row r="266">
      <c r="A266" t="inlineStr">
        <is>
          <t>p26_nemesis_sec_boss_rockets</t>
        </is>
      </c>
      <c r="B266" t="inlineStr">
        <is>
          <t>p26_nemesis_sec_boss_rockets</t>
        </is>
      </c>
      <c r="C266" t="inlineStr">
        <is>
          <t>BM-21 Grad 122 mm</t>
        </is>
      </c>
      <c r="D266" t="inlineStr">
        <is>
          <t>doi_that</t>
        </is>
      </c>
      <c r="E266" t="inlineStr">
        <is>
          <t>BM-21 Grad 122 mm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R_balance;R_full_weapon_audit;W_wikipedia_bm_21_grad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122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120</v>
      </c>
      <c r="Y266" t="inlineStr">
        <is>
          <t>NEED_SOURCE</t>
        </is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rocket</t>
        </is>
      </c>
      <c r="AD266" t="inlineStr">
        <is>
          <t>Wikipedia 'BM-21 Grad': 40 rockets in 20 s</t>
        </is>
      </c>
      <c r="AE266" t="inlineStr"/>
      <c r="AF266" t="inlineStr">
        <is>
          <t>Tools/balance/full_weapon_audit.py: REAL / WARHEAD; balance.json weapons[id=p26_nemesis_sec_boss_rockets].real</t>
        </is>
      </c>
      <c r="AG266" t="inlineStr"/>
    </row>
    <row r="267">
      <c r="A267" t="inlineStr">
        <is>
          <t>p26_roc_close_twin_30_bmpt</t>
        </is>
      </c>
      <c r="B267" t="inlineStr">
        <is>
          <t>p26_roc_close_twin_30_bmpt</t>
        </is>
      </c>
      <c r="C267" t="inlineStr">
        <is>
          <t>2A42 30 mm (twin)</t>
        </is>
      </c>
      <c r="D267" t="inlineStr">
        <is>
          <t>doi_that</t>
        </is>
      </c>
      <c r="E267" t="inlineStr">
        <is>
          <t>2A42 30 mm (twin)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R_balance;R_full_weapon_audit;W_wikipedia_2a42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30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800</v>
      </c>
      <c r="Y267" t="n">
        <v>300</v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ac</t>
        </is>
      </c>
      <c r="AD267" t="inlineStr">
        <is>
          <t>Wikipedia '2A42': 550-800 high, 200-300 low rpm</t>
        </is>
      </c>
      <c r="AE267" t="inlineStr"/>
      <c r="AF267" t="inlineStr">
        <is>
          <t>Tools/balance/full_weapon_audit.py: REAL / WARHEAD; balance.json weapons[id=p26_roc_close_twin_30_bmpt].real</t>
        </is>
      </c>
      <c r="AG267" t="inlineStr"/>
    </row>
    <row r="268">
      <c r="A268" t="inlineStr">
        <is>
          <t>p26_roc_direct_roc_atgm</t>
        </is>
      </c>
      <c r="B268" t="inlineStr">
        <is>
          <t>p26_roc_direct_roc_atgm</t>
        </is>
      </c>
      <c r="C268" t="inlineStr">
        <is>
          <t>Kornet (dropped from the bay)</t>
        </is>
      </c>
      <c r="D268" t="inlineStr">
        <is>
          <t>doi_that</t>
        </is>
      </c>
      <c r="E268" t="inlineStr">
        <is>
          <t>Kornet (dropped from the bay)</t>
        </is>
      </c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  <c r="O268" t="inlineStr">
        <is>
          <t>da_kiem_chung</t>
        </is>
      </c>
      <c r="P268" t="inlineStr">
        <is>
          <t>R_balance;R_full_weapon_audit;W_wikipedia_9m133_kornet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inlineStr">
        <is>
          <t>NEED_SOURCE</t>
        </is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3</v>
      </c>
      <c r="Y268" t="n">
        <v>3</v>
      </c>
      <c r="Z268" t="inlineStr">
        <is>
          <t>NEED_SOURCE</t>
        </is>
      </c>
      <c r="AA268" t="inlineStr">
        <is>
          <t>NEED_SOURCE</t>
        </is>
      </c>
      <c r="AB268" t="inlineStr">
        <is>
          <t>NEED_SOURCE</t>
        </is>
      </c>
      <c r="AC268" t="inlineStr">
        <is>
          <t>atgm</t>
        </is>
      </c>
      <c r="AD268" t="inlineStr">
        <is>
          <t>Wikipedia '9M133 Kornet': 2-3 rpm</t>
        </is>
      </c>
      <c r="AE268" t="inlineStr"/>
      <c r="AF268" t="inlineStr">
        <is>
          <t>Tools/balance/full_weapon_audit.py: REAL / WARHEAD; balance.json weapons[id=p26_roc_direct_roc_atgm].real</t>
        </is>
      </c>
      <c r="AG268" t="inlineStr"/>
    </row>
    <row r="269">
      <c r="A269" t="inlineStr">
        <is>
          <t>p26_roc_main_roc_bombs</t>
        </is>
      </c>
      <c r="B269" t="inlineStr">
        <is>
          <t>p26_roc_main_roc_bombs</t>
        </is>
      </c>
      <c r="C269" t="inlineStr">
        <is>
          <t>bomb-bay stick 400 kg</t>
        </is>
      </c>
      <c r="D269" t="inlineStr">
        <is>
          <t>doi_that</t>
        </is>
      </c>
      <c r="E269" t="inlineStr">
        <is>
          <t>bomb-bay stick 400 kg</t>
        </is>
      </c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>
        <is>
          <t>uoc_dinh</t>
        </is>
      </c>
      <c r="P269" t="inlineStr">
        <is>
          <t>R_balance;R_full_weapon_audit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inlineStr">
        <is>
          <t>NEED_SOURCE</t>
        </is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600</v>
      </c>
      <c r="Y269" t="inlineStr">
        <is>
          <t>NEED_SOURCE</t>
        </is>
      </c>
      <c r="Z269" t="inlineStr">
        <is>
          <t>NEED_SOURCE</t>
        </is>
      </c>
      <c r="AA269" t="inlineStr">
        <is>
          <t>NEED_SOURCE</t>
        </is>
      </c>
      <c r="AB269" t="inlineStr"/>
      <c r="AC269" t="inlineStr">
        <is>
          <t>bomb</t>
        </is>
      </c>
      <c r="AD269" t="inlineStr">
        <is>
          <t>a stick's release, 0.1 s and up (est.)</t>
        </is>
      </c>
      <c r="AE269" t="inlineStr"/>
      <c r="AF269" t="inlineStr">
        <is>
          <t>Tools/balance/full_weapon_audit.py: REAL / WARHEAD; balance.json weapons[id=p26_roc_main_roc_bombs].real</t>
        </is>
      </c>
      <c r="AG269" t="inlineStr"/>
    </row>
    <row r="270">
      <c r="A270" t="inlineStr">
        <is>
          <t>p26_roc_roc105</t>
        </is>
      </c>
      <c r="B270" t="inlineStr">
        <is>
          <t>p26_roc_roc105</t>
        </is>
      </c>
      <c r="C270" t="inlineStr">
        <is>
          <t>M102 105 mm (gondola)</t>
        </is>
      </c>
      <c r="D270" t="inlineStr">
        <is>
          <t>doi_that</t>
        </is>
      </c>
      <c r="E270" t="inlineStr">
        <is>
          <t>M102 105 mm (gondola)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da_kiem_chung</t>
        </is>
      </c>
      <c r="P270" t="inlineStr">
        <is>
          <t>R_balance;R_full_weapon_audit;W_wikipedia_m102_howitzer;R_machine_brigade_can_bang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105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10</v>
      </c>
      <c r="Y270" t="n">
        <v>3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the sheet's 'Ngoài đời': M102 10 rpm (Wikipedia 'M102 howitzer')</t>
        </is>
      </c>
      <c r="AE270" t="inlineStr"/>
      <c r="AF270" t="inlineStr">
        <is>
          <t>Tools/balance/full_weapon_audit.py: REAL / WARHEAD; balance.json weapons[id=p26_roc_roc105].real</t>
        </is>
      </c>
      <c r="AG270" t="inlineStr"/>
    </row>
    <row r="271">
      <c r="A271" t="inlineStr">
        <is>
          <t>p26_roc_roc_atgm</t>
        </is>
      </c>
      <c r="B271" t="inlineStr">
        <is>
          <t>p26_roc_roc_atgm</t>
        </is>
      </c>
      <c r="C271" t="inlineStr">
        <is>
          <t>Kornet (dropped from the bay)</t>
        </is>
      </c>
      <c r="D271" t="inlineStr">
        <is>
          <t>doi_that</t>
        </is>
      </c>
      <c r="E271" t="inlineStr">
        <is>
          <t>Kornet (dropped from the bay)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R_balance;R_full_weapon_audit;W_wikipedia_9m133_kornet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inlineStr">
        <is>
          <t>NEED_SOURCE</t>
        </is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3</v>
      </c>
      <c r="Y271" t="n">
        <v>3</v>
      </c>
      <c r="Z271" t="inlineStr">
        <is>
          <t>NEED_SOURCE</t>
        </is>
      </c>
      <c r="AA271" t="inlineStr">
        <is>
          <t>NEED_SOURCE</t>
        </is>
      </c>
      <c r="AB271" t="inlineStr">
        <is>
          <t>NEED_SOURCE</t>
        </is>
      </c>
      <c r="AC271" t="inlineStr">
        <is>
          <t>atgm</t>
        </is>
      </c>
      <c r="AD271" t="inlineStr">
        <is>
          <t>Wikipedia '9M133 Kornet': 2-3 rpm</t>
        </is>
      </c>
      <c r="AE271" t="inlineStr"/>
      <c r="AF271" t="inlineStr">
        <is>
          <t>Tools/balance/full_weapon_audit.py: REAL / WARHEAD; balance.json weapons[id=p26_roc_roc_atgm].real</t>
        </is>
      </c>
      <c r="AG271" t="inlineStr"/>
    </row>
    <row r="272">
      <c r="A272" t="inlineStr">
        <is>
          <t>p26_roc_roc_bombs</t>
        </is>
      </c>
      <c r="B272" t="inlineStr">
        <is>
          <t>p26_roc_roc_bombs</t>
        </is>
      </c>
      <c r="C272" t="inlineStr">
        <is>
          <t>bomb-bay stick 400 kg</t>
        </is>
      </c>
      <c r="D272" t="inlineStr">
        <is>
          <t>doi_that</t>
        </is>
      </c>
      <c r="E272" t="inlineStr">
        <is>
          <t>bomb-bay stick 400 kg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uoc_dinh</t>
        </is>
      </c>
      <c r="P272" t="inlineStr">
        <is>
          <t>R_balance;R_full_weapon_audit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inlineStr">
        <is>
          <t>NEED_SOURCE</t>
        </is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600</v>
      </c>
      <c r="Y272" t="inlineStr">
        <is>
          <t>NEED_SOURCE</t>
        </is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bomb</t>
        </is>
      </c>
      <c r="AD272" t="inlineStr">
        <is>
          <t>a stick's release, 0.1 s and up (est.)</t>
        </is>
      </c>
      <c r="AE272" t="inlineStr"/>
      <c r="AF272" t="inlineStr">
        <is>
          <t>Tools/balance/full_weapon_audit.py: REAL / WARHEAD; balance.json weapons[id=p26_roc_roc_bombs].real</t>
        </is>
      </c>
      <c r="AG272" t="inlineStr"/>
    </row>
    <row r="273">
      <c r="A273" t="inlineStr">
        <is>
          <t>p26_typhon_direct_ty100</t>
        </is>
      </c>
      <c r="B273" t="inlineStr">
        <is>
          <t>p26_typhon_direct_ty100</t>
        </is>
      </c>
      <c r="C273" t="inlineStr">
        <is>
          <t>AK-100 100 mm (deck)</t>
        </is>
      </c>
      <c r="D273" t="inlineStr">
        <is>
          <t>doi_that</t>
        </is>
      </c>
      <c r="E273" t="inlineStr">
        <is>
          <t>AK-100 100 mm (deck)</t>
        </is>
      </c>
      <c r="F273" t="inlineStr"/>
      <c r="G273" t="inlineStr"/>
      <c r="H273" t="inlineStr"/>
      <c r="I273" t="inlineStr"/>
      <c r="J273" t="inlineStr"/>
      <c r="K273" t="inlineStr"/>
      <c r="L273" t="inlineStr">
        <is>
          <t>nhịp chậm hơn 30 % và mạnh hơn tương ứng (luật súng của game)</t>
        </is>
      </c>
      <c r="M273" t="inlineStr">
        <is>
          <t>gameplay</t>
        </is>
      </c>
      <c r="N273" t="inlineStr"/>
      <c r="O273" t="inlineStr">
        <is>
          <t>da_kiem_chung</t>
        </is>
      </c>
      <c r="P273" t="inlineStr">
        <is>
          <t>R_balance;R_full_weapon_audit;W_wikipedia_ak_100_naval_gun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100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60</v>
      </c>
      <c r="Y273" t="n">
        <v>30</v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gun</t>
        </is>
      </c>
      <c r="AD273" t="inlineStr">
        <is>
          <t>Wikipedia 'AK-100 (naval gun)': 60 rpm</t>
        </is>
      </c>
      <c r="AE273" t="inlineStr"/>
      <c r="AF273" t="inlineStr">
        <is>
          <t>Tools/balance/full_weapon_audit.py: REAL / WARHEAD; balance.json weapons[id=p26_typhon_direct_ty100].real</t>
        </is>
      </c>
      <c r="AG273" t="inlineStr"/>
    </row>
    <row r="274">
      <c r="A274" t="inlineStr">
        <is>
          <t>p26_typhon_sec_ty57</t>
        </is>
      </c>
      <c r="B274" t="inlineStr">
        <is>
          <t>p26_typhon_sec_ty57</t>
        </is>
      </c>
      <c r="C274" t="inlineStr">
        <is>
          <t>AU-220 57 mm (twin deck mount)</t>
        </is>
      </c>
      <c r="D274" t="inlineStr">
        <is>
          <t>doi_that</t>
        </is>
      </c>
      <c r="E274" t="inlineStr">
        <is>
          <t>AU-220 57 mm (twin deck mount)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da_kiem_chung</t>
        </is>
      </c>
      <c r="P274" t="inlineStr">
        <is>
          <t>R_balance;R_full_weapon_audit;W_wikipedia_au_220m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57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120</v>
      </c>
      <c r="Y274" t="n">
        <v>80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ac</t>
        </is>
      </c>
      <c r="AD274" t="inlineStr">
        <is>
          <t>Wikipedia 'AU-220M': 80-120 rpm</t>
        </is>
      </c>
      <c r="AE274" t="inlineStr"/>
      <c r="AF274" t="inlineStr">
        <is>
          <t>Tools/balance/full_weapon_audit.py: REAL / WARHEAD; balance.json weapons[id=p26_typhon_sec_ty57].real</t>
        </is>
      </c>
      <c r="AG274" t="inlineStr"/>
    </row>
    <row r="275">
      <c r="A275" t="inlineStr">
        <is>
          <t>p26_typhon_ty57</t>
        </is>
      </c>
      <c r="B275" t="inlineStr">
        <is>
          <t>p26_typhon_ty57</t>
        </is>
      </c>
      <c r="C275" t="inlineStr">
        <is>
          <t>AU-220 57 mm (deck)</t>
        </is>
      </c>
      <c r="D275" t="inlineStr">
        <is>
          <t>doi_that</t>
        </is>
      </c>
      <c r="E275" t="inlineStr">
        <is>
          <t>AU-220 57 mm (deck)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R_balance;R_full_weapon_audit;W_wikipedia_au_220m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57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n">
        <v>80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ac</t>
        </is>
      </c>
      <c r="AD275" t="inlineStr">
        <is>
          <t>Wikipedia 'AU-220M': 80-120 rpm</t>
        </is>
      </c>
      <c r="AE275" t="inlineStr"/>
      <c r="AF275" t="inlineStr">
        <is>
          <t>Tools/balance/full_weapon_audit.py: REAL / WARHEAD; balance.json weapons[id=p26_typhon_ty57].real</t>
        </is>
      </c>
      <c r="AG275" t="inlineStr"/>
    </row>
    <row r="276">
      <c r="A276" t="inlineStr">
        <is>
          <t>p26_typhon_ty100</t>
        </is>
      </c>
      <c r="B276" t="inlineStr">
        <is>
          <t>p26_typhon_ty100</t>
        </is>
      </c>
      <c r="C276" t="inlineStr">
        <is>
          <t>AK-100 100 mm (deck)</t>
        </is>
      </c>
      <c r="D276" t="inlineStr">
        <is>
          <t>doi_that</t>
        </is>
      </c>
      <c r="E276" t="inlineStr">
        <is>
          <t>AK-100 100 mm (deck)</t>
        </is>
      </c>
      <c r="F276" t="inlineStr"/>
      <c r="G276" t="inlineStr"/>
      <c r="H276" t="inlineStr"/>
      <c r="I276" t="inlineStr"/>
      <c r="J276" t="inlineStr"/>
      <c r="K276" t="inlineStr"/>
      <c r="L276" t="inlineStr">
        <is>
          <t>nhịp chậm hơn 30 % và mạnh hơn tương ứng (luật súng của game)</t>
        </is>
      </c>
      <c r="M276" t="inlineStr">
        <is>
          <t>gameplay</t>
        </is>
      </c>
      <c r="N276" t="inlineStr"/>
      <c r="O276" t="inlineStr">
        <is>
          <t>da_kiem_chung</t>
        </is>
      </c>
      <c r="P276" t="inlineStr">
        <is>
          <t>R_balance;R_full_weapon_audit;W_wikipedia_ak_100_naval_gun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100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60</v>
      </c>
      <c r="Y276" t="n">
        <v>30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gun</t>
        </is>
      </c>
      <c r="AD276" t="inlineStr">
        <is>
          <t>Wikipedia 'AK-100 (naval gun)': 60 rpm</t>
        </is>
      </c>
      <c r="AE276" t="inlineStr"/>
      <c r="AF276" t="inlineStr">
        <is>
          <t>Tools/balance/full_weapon_audit.py: REAL / WARHEAD; balance.json weapons[id=p26_typhon_ty100].real</t>
        </is>
      </c>
      <c r="AG276" t="inlineStr"/>
    </row>
    <row r="277">
      <c r="A277" t="inlineStr">
        <is>
          <t>patriot</t>
        </is>
      </c>
      <c r="B277" t="inlineStr">
        <is>
          <t>patriot</t>
        </is>
      </c>
      <c r="C277" t="inlineStr">
        <is>
          <t>MIM-104 Patriot PAC-2</t>
        </is>
      </c>
      <c r="D277" t="inlineStr">
        <is>
          <t>doi_that</t>
        </is>
      </c>
      <c r="E277" t="inlineStr">
        <is>
          <t>MIM-104 Patriot PAC-2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R_balance;R_full_weapon_audit;W_wikipedia_mim_104_patriot;R_machine_brigade_can_bang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20</v>
      </c>
      <c r="Y277" t="n">
        <v>20</v>
      </c>
      <c r="Z277" t="inlineStr">
        <is>
          <t>NEED_SOURCE</t>
        </is>
      </c>
      <c r="AA277" t="inlineStr">
        <is>
          <t>NEED_SOURCE</t>
        </is>
      </c>
      <c r="AB277" t="inlineStr">
        <is>
          <t>NEED_SOURCE</t>
        </is>
      </c>
      <c r="AC277" t="inlineStr">
        <is>
          <t>missile</t>
        </is>
      </c>
      <c r="AD277" t="inlineStr">
        <is>
          <t>Wikipedia 'MIM-104 Patriot': ripples a few seconds apart (est. 3 s)</t>
        </is>
      </c>
      <c r="AE277" t="inlineStr">
        <is>
          <t>PAC-2: 160 km, Mach 4</t>
        </is>
      </c>
      <c r="AF277" t="inlineStr">
        <is>
          <t>Tools/balance/full_weapon_audit.py: REAL / WARHEAD; balance.json weapons[id=patriot].real</t>
        </is>
      </c>
      <c r="AG277" t="inlineStr"/>
    </row>
    <row r="278">
      <c r="A278" t="inlineStr">
        <is>
          <t>pt14_ixion_30</t>
        </is>
      </c>
      <c r="B278" t="inlineStr">
        <is>
          <t>pt14_ixion_30</t>
        </is>
      </c>
      <c r="C278" t="inlineStr">
        <is>
          <t>2A42 30 mm (remote turret)</t>
        </is>
      </c>
      <c r="D278" t="inlineStr">
        <is>
          <t>doi_that</t>
        </is>
      </c>
      <c r="E278" t="inlineStr">
        <is>
          <t>2A42 30 mm (remote turret)</t>
        </is>
      </c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>
        <is>
          <t>da_kiem_chung</t>
        </is>
      </c>
      <c r="P278" t="inlineStr">
        <is>
          <t>R_balance;R_full_weapon_audit;W_wikipedia_2a42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30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800</v>
      </c>
      <c r="Y278" t="n">
        <v>300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ac</t>
        </is>
      </c>
      <c r="AD278" t="inlineStr">
        <is>
          <t>Wikipedia '2A42': 550-800 high, 200-300 low rpm</t>
        </is>
      </c>
      <c r="AE278" t="inlineStr"/>
      <c r="AF278" t="inlineStr">
        <is>
          <t>Tools/balance/full_weapon_audit.py: REAL / WARHEAD; balance.json weapons[id=pt14_ixion_30].real</t>
        </is>
      </c>
      <c r="AG278" t="inlineStr"/>
    </row>
    <row r="279">
      <c r="A279" t="inlineStr">
        <is>
          <t>pt14_ixion_grad</t>
        </is>
      </c>
      <c r="B279" t="inlineStr">
        <is>
          <t>pt14_ixion_grad</t>
        </is>
      </c>
      <c r="C279" t="inlineStr">
        <is>
          <t>BM-21V Grad-V 122 mm (12-tube pack)</t>
        </is>
      </c>
      <c r="D279" t="inlineStr">
        <is>
          <t>doi_that</t>
        </is>
      </c>
      <c r="E279" t="inlineStr">
        <is>
          <t>BM-21V Grad-V 122 mm (12-tube pack)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R_balance;R_full_weapon_audit;W_wikipedia_bm_21_grad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122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inlineStr">
        <is>
          <t>NEED_SOURCE</t>
        </is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rocket</t>
        </is>
      </c>
      <c r="AD279" t="inlineStr">
        <is>
          <t>Wikipedia 'BM-21 Grad': 40 rockets in 20 s</t>
        </is>
      </c>
      <c r="AE279" t="inlineStr"/>
      <c r="AF279" t="inlineStr">
        <is>
          <t>Tools/balance/full_weapon_audit.py: REAL / WARHEAD; balance.json weapons[id=pt14_ixion_grad].real</t>
        </is>
      </c>
      <c r="AG279" t="inlineStr"/>
    </row>
    <row r="280">
      <c r="A280" t="inlineStr">
        <is>
          <t>pt14_ixion_kornet</t>
        </is>
      </c>
      <c r="B280" t="inlineStr">
        <is>
          <t>pt14_ixion_kornet</t>
        </is>
      </c>
      <c r="C280" t="inlineStr">
        <is>
          <t>9M133 Kornet-EM (twin launcher)</t>
        </is>
      </c>
      <c r="D280" t="inlineStr">
        <is>
          <t>doi_that</t>
        </is>
      </c>
      <c r="E280" t="inlineStr">
        <is>
          <t>9M133 Kornet-EM (twin launcher)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R_balance;R_full_weapon_audit;W_wikipedia_9m133_kornet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inlineStr">
        <is>
          <t>NEED_SOURCE</t>
        </is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3</v>
      </c>
      <c r="Y280" t="n">
        <v>3</v>
      </c>
      <c r="Z280" t="inlineStr">
        <is>
          <t>NEED_SOURCE</t>
        </is>
      </c>
      <c r="AA280" t="inlineStr">
        <is>
          <t>NEED_SOURCE</t>
        </is>
      </c>
      <c r="AB280" t="inlineStr">
        <is>
          <t>NEED_SOURCE</t>
        </is>
      </c>
      <c r="AC280" t="inlineStr">
        <is>
          <t>atgm</t>
        </is>
      </c>
      <c r="AD280" t="inlineStr">
        <is>
          <t>Wikipedia '9M133 Kornet': 2-3 rpm</t>
        </is>
      </c>
      <c r="AE280" t="inlineStr"/>
      <c r="AF280" t="inlineStr">
        <is>
          <t>Tools/balance/full_weapon_audit.py: REAL / WARHEAD; balance.json weapons[id=pt14_ixion_kornet].real</t>
        </is>
      </c>
      <c r="AG280" t="inlineStr"/>
    </row>
    <row r="281">
      <c r="A281" t="inlineStr">
        <is>
          <t>r60</t>
        </is>
      </c>
      <c r="B281" t="inlineStr">
        <is>
          <t>r60</t>
        </is>
      </c>
      <c r="C281" t="inlineStr">
        <is>
          <t>R-60</t>
        </is>
      </c>
      <c r="D281" t="inlineStr">
        <is>
          <t>doi_that</t>
        </is>
      </c>
      <c r="E281" t="inlineStr">
        <is>
          <t>R-60</t>
        </is>
      </c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>
        <is>
          <t>uoc_dinh</t>
        </is>
      </c>
      <c r="P281" t="inlineStr">
        <is>
          <t>R_balance;R_full_weapon_audit;R_machine_brigade_can_bang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inlineStr">
        <is>
          <t>NEED_SOURCE</t>
        </is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inlineStr">
        <is>
          <t>NEED_SOURCE</t>
        </is>
      </c>
      <c r="Z281" t="inlineStr">
        <is>
          <t>NEED_SOURCE</t>
        </is>
      </c>
      <c r="AA281" t="inlineStr">
        <is>
          <t>NEED_SOURCE</t>
        </is>
      </c>
      <c r="AB281" t="inlineStr">
        <is>
          <t>NEED_SOURCE</t>
        </is>
      </c>
      <c r="AC281" t="inlineStr">
        <is>
          <t>missile</t>
        </is>
      </c>
      <c r="AD281" t="inlineStr">
        <is>
          <t>air-to-air: ~1 s between launches (est.)</t>
        </is>
      </c>
      <c r="AE281" t="inlineStr">
        <is>
          <t>R-60: 8 km, Mach 2,7</t>
        </is>
      </c>
      <c r="AF281" t="inlineStr">
        <is>
          <t>Tools/balance/full_weapon_audit.py: REAL / WARHEAD; balance.json weapons[id=r60].real</t>
        </is>
      </c>
      <c r="AG281" t="inlineStr"/>
    </row>
    <row r="282">
      <c r="A282" t="inlineStr">
        <is>
          <t>railgun</t>
        </is>
      </c>
      <c r="B282" t="inlineStr">
        <is>
          <t>railgun</t>
        </is>
      </c>
      <c r="C282" t="inlineStr">
        <is>
          <t>railgun (32 MJ)</t>
        </is>
      </c>
      <c r="D282" t="inlineStr">
        <is>
          <t>doi_that</t>
        </is>
      </c>
      <c r="E282" t="inlineStr">
        <is>
          <t>railgun (32 MJ)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ban_dau_doan</t>
        </is>
      </c>
      <c r="P282" t="inlineStr">
        <is>
          <t>R_balance;R_machine_brigade_can_bang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inlineStr">
        <is>
          <t>NEED_SOURCE</t>
        </is>
      </c>
      <c r="Y282" t="inlineStr">
        <is>
          <t>NEED_SOURCE</t>
        </is>
      </c>
      <c r="Z282" t="inlineStr">
        <is>
          <t>NEED_SOURCE</t>
        </is>
      </c>
      <c r="AA282" t="inlineStr">
        <is>
          <t>NEED_SOURCE</t>
        </is>
      </c>
      <c r="AB282" t="inlineStr"/>
      <c r="AC282" t="inlineStr"/>
      <c r="AD282" t="inlineStr"/>
      <c r="AE282" t="inlineStr">
        <is>
          <t>EMRG (US Navy): 32 MJ, ~2.500 m/s, ~10 phát/phút (thử nghiệm)</t>
        </is>
      </c>
      <c r="AF282" t="inlineStr">
        <is>
          <t>Tools/balance/full_weapon_audit.py: REAL / WARHEAD; balance.json weapons[id=railgun].real</t>
        </is>
      </c>
      <c r="AG282" t="inlineStr"/>
    </row>
    <row r="283">
      <c r="A283" t="inlineStr">
        <is>
          <t>recoilless_106</t>
        </is>
      </c>
      <c r="B283" t="inlineStr">
        <is>
          <t>recoilless_106</t>
        </is>
      </c>
      <c r="C283" t="inlineStr">
        <is>
          <t>M40 106 mm recoilless rifle</t>
        </is>
      </c>
      <c r="D283" t="inlineStr">
        <is>
          <t>doi_that</t>
        </is>
      </c>
      <c r="E283" t="inlineStr">
        <is>
          <t>M40 106 mm recoilless rifle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R_balance;R_full_weapon_audit;W_wikipedia_m40_recoilless_rifle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106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5</v>
      </c>
      <c r="Y283" t="n">
        <v>1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'M40 recoilless rifle': 1 rpm sustained, ~5 rpm short bursts</t>
        </is>
      </c>
      <c r="AE283" t="inlineStr"/>
      <c r="AF283" t="inlineStr">
        <is>
          <t>Tools/balance/full_weapon_audit.py: REAL / WARHEAD; balance.json weapons[id=recoilless_106].real</t>
        </is>
      </c>
      <c r="AG283" t="inlineStr"/>
    </row>
    <row r="284">
      <c r="A284" t="inlineStr">
        <is>
          <t>recon_missile</t>
        </is>
      </c>
      <c r="B284" t="inlineStr">
        <is>
          <t>recon_missile</t>
        </is>
      </c>
      <c r="C284" t="inlineStr">
        <is>
          <t>MAM-L</t>
        </is>
      </c>
      <c r="D284" t="inlineStr">
        <is>
          <t>doi_that</t>
        </is>
      </c>
      <c r="E284" t="inlineStr">
        <is>
          <t>MAM-L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R_balance;R_full_weapon_audit;R_machine_brigade_can_bang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60</v>
      </c>
      <c r="Y284" t="n">
        <v>10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air-launched: ripples ~1 s apart, est. 6 s an aimed shot</t>
        </is>
      </c>
      <c r="AE284" t="inlineStr">
        <is>
          <t>MAM-L: 8–15 km</t>
        </is>
      </c>
      <c r="AF284" t="inlineStr">
        <is>
          <t>Tools/balance/full_weapon_audit.py: REAL / WARHEAD; balance.json weapons[id=recon_missile].real</t>
        </is>
      </c>
      <c r="AG284" t="inlineStr"/>
    </row>
    <row r="285">
      <c r="A285" t="inlineStr">
        <is>
          <t>rockets_300mm</t>
        </is>
      </c>
      <c r="B285" t="inlineStr">
        <is>
          <t>rockets_300mm</t>
        </is>
      </c>
      <c r="C285" t="inlineStr">
        <is>
          <t>9M55 Smerch 300 mm</t>
        </is>
      </c>
      <c r="D285" t="inlineStr">
        <is>
          <t>doi_that</t>
        </is>
      </c>
      <c r="E285" t="inlineStr">
        <is>
          <t>9M55 Smerch 300 mm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R_balance;R_full_weapon_audit;W_wikipedia_bm_30_smerch;R_machine_brigade_can_bang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n">
        <v>300</v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19</v>
      </c>
      <c r="Y285" t="inlineStr">
        <is>
          <t>NEED_SOURCE</t>
        </is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rocket</t>
        </is>
      </c>
      <c r="AD285" t="inlineStr">
        <is>
          <t>Wikipedia 'BM-30 Smerch': 12 rockets in 38 s</t>
        </is>
      </c>
      <c r="AE285" t="inlineStr">
        <is>
          <t>9M55 Smerch: 12 quả / 38 s; đầu nổ 243–258 kg</t>
        </is>
      </c>
      <c r="AF285" t="inlineStr">
        <is>
          <t>Tools/balance/full_weapon_audit.py: REAL / WARHEAD; balance.json weapons[id=rockets_300mm].real</t>
        </is>
      </c>
      <c r="AG285" t="inlineStr"/>
    </row>
    <row r="286">
      <c r="A286" t="inlineStr">
        <is>
          <t>s8_pods</t>
        </is>
      </c>
      <c r="B286" t="inlineStr">
        <is>
          <t>s8_pods</t>
        </is>
      </c>
      <c r="C286" t="inlineStr">
        <is>
          <t>S-8 80 mm</t>
        </is>
      </c>
      <c r="D286" t="inlineStr">
        <is>
          <t>doi_that</t>
        </is>
      </c>
      <c r="E286" t="inlineStr">
        <is>
          <t>S-8 80 mm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ban_dau_doan</t>
        </is>
      </c>
      <c r="P286" t="inlineStr">
        <is>
          <t>R_balance;R_full_weapon_audit;R_decisions;R_machine_brigade_can_bang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80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900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rocket</t>
        </is>
      </c>
      <c r="AD286" t="inlineStr">
        <is>
          <t>rocket pods: ripples of 0.05-0.12 s (DECISIONS 19R)</t>
        </is>
      </c>
      <c r="AE286" t="inlineStr">
        <is>
          <t>S-8 80 mm</t>
        </is>
      </c>
      <c r="AF286" t="inlineStr">
        <is>
          <t>Tools/balance/full_weapon_audit.py: REAL / WARHEAD; balance.json weapons[id=s8_pods].real</t>
        </is>
      </c>
      <c r="AG286" t="inlineStr"/>
    </row>
    <row r="287">
      <c r="A287" t="inlineStr">
        <is>
          <t>sam</t>
        </is>
      </c>
      <c r="B287" t="inlineStr">
        <is>
          <t>sam</t>
        </is>
      </c>
      <c r="C287" t="inlineStr">
        <is>
          <t>Starstreak / Stinger SHORAD</t>
        </is>
      </c>
      <c r="D287" t="inlineStr">
        <is>
          <t>doi_that</t>
        </is>
      </c>
      <c r="E287" t="inlineStr">
        <is>
          <t>Starstreak / Stinger SHORAD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uoc_dinh</t>
        </is>
      </c>
      <c r="P287" t="inlineStr">
        <is>
          <t>R_balance;R_full_weapon_audit;W_wikipedia_bai_cua_tung_ten_lua_bang_warhead;R_machine_brigade_can_bang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inlineStr">
        <is>
          <t>NEED_SOURCE</t>
        </is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20</v>
      </c>
      <c r="Y287" t="n">
        <v>10</v>
      </c>
      <c r="Z287" t="inlineStr">
        <is>
          <t>NEED_SOURCE</t>
        </is>
      </c>
      <c r="AA287" t="inlineStr">
        <is>
          <t>NEED_SOURCE</t>
        </is>
      </c>
      <c r="AB287" t="n">
        <v>1</v>
      </c>
      <c r="AC287" t="inlineStr">
        <is>
          <t>missile</t>
        </is>
      </c>
      <c r="AD287" t="inlineStr">
        <is>
          <t>Avenger / Stormer: ~3 s between rounds (est.); a MANPADS team 6-10 s</t>
        </is>
      </c>
      <c r="AE287" t="inlineStr">
        <is>
          <t>Stinger/Starstreak: 4,8–7 km, Mach 2,2 (Starstreak Mach 3+)</t>
        </is>
      </c>
      <c r="AF287" t="inlineStr">
        <is>
          <t>Tools/balance/full_weapon_audit.py: REAL / WARHEAD; balance.json weapons[id=sam].real</t>
        </is>
      </c>
      <c r="AG287" t="inlineStr"/>
    </row>
    <row r="288">
      <c r="A288" t="inlineStr">
        <is>
          <t>sam_48n6</t>
        </is>
      </c>
      <c r="B288" t="inlineStr">
        <is>
          <t>sam_48n6</t>
        </is>
      </c>
      <c r="C288" t="inlineStr">
        <is>
          <t>S-400 48N6</t>
        </is>
      </c>
      <c r="D288" t="inlineStr">
        <is>
          <t>doi_that</t>
        </is>
      </c>
      <c r="E288" t="inlineStr">
        <is>
          <t>S-400 48N6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da_kiem_chung</t>
        </is>
      </c>
      <c r="P288" t="inlineStr">
        <is>
          <t>R_balance;R_full_weapon_audit;W_wikipedia_s_400;R_machine_brigade_can_bang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inlineStr">
        <is>
          <t>NEED_SOURCE</t>
        </is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20</v>
      </c>
      <c r="Y288" t="n">
        <v>6</v>
      </c>
      <c r="Z288" t="inlineStr">
        <is>
          <t>NEED_SOURCE</t>
        </is>
      </c>
      <c r="AA288" t="inlineStr">
        <is>
          <t>NEED_SOURCE</t>
        </is>
      </c>
      <c r="AB288" t="inlineStr">
        <is>
          <t>NEED_SOURCE</t>
        </is>
      </c>
      <c r="AC288" t="inlineStr">
        <is>
          <t>missile</t>
        </is>
      </c>
      <c r="AD288" t="inlineStr">
        <is>
          <t>Wikipedia 'S-400': 3 s between launches</t>
        </is>
      </c>
      <c r="AE288" t="inlineStr">
        <is>
          <t>48N6 (S-400): 150–250 km, Mach 6</t>
        </is>
      </c>
      <c r="AF288" t="inlineStr">
        <is>
          <t>Tools/balance/full_weapon_audit.py: REAL / WARHEAD; balance.json weapons[id=sam_48n6].real</t>
        </is>
      </c>
      <c r="AG288" t="inlineStr"/>
    </row>
    <row r="289">
      <c r="A289" t="inlineStr">
        <is>
          <t>sam_battery</t>
        </is>
      </c>
      <c r="B289" t="inlineStr">
        <is>
          <t>sam_battery</t>
        </is>
      </c>
      <c r="C289" t="inlineStr">
        <is>
          <t>MIM-104 Patriot PAC-2</t>
        </is>
      </c>
      <c r="D289" t="inlineStr">
        <is>
          <t>doi_that</t>
        </is>
      </c>
      <c r="E289" t="inlineStr">
        <is>
          <t>MIM-104 Patriot PAC-2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R_balance;R_full_weapon_audit;W_wikipedia_mim_104_patriot;R_machine_brigade_can_bang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20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Wikipedia 'MIM-104 Patriot': ripples a few seconds apart (est. 3 s)</t>
        </is>
      </c>
      <c r="AE289" t="inlineStr">
        <is>
          <t>PAC-2</t>
        </is>
      </c>
      <c r="AF289" t="inlineStr">
        <is>
          <t>Tools/balance/full_weapon_audit.py: REAL / WARHEAD; balance.json weapons[id=sam_battery].real</t>
        </is>
      </c>
      <c r="AG289" t="inlineStr"/>
    </row>
    <row r="290">
      <c r="A290" t="inlineStr">
        <is>
          <t>sam_battery_lrr</t>
        </is>
      </c>
      <c r="B290" t="inlineStr">
        <is>
          <t>sam_battery_lrr</t>
        </is>
      </c>
      <c r="C290" t="inlineStr">
        <is>
          <t>MIM-104 Patriot PAC-2</t>
        </is>
      </c>
      <c r="D290" t="inlineStr">
        <is>
          <t>doi_that</t>
        </is>
      </c>
      <c r="E290" t="inlineStr">
        <is>
          <t>MIM-104 Patriot PAC-2</t>
        </is>
      </c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>
        <is>
          <t>uoc_dinh</t>
        </is>
      </c>
      <c r="P290" t="inlineStr">
        <is>
          <t>R_balance;R_full_weapon_audit;W_wikipedia_mim_104_patriot;R_machine_brigade_can_bang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inlineStr">
        <is>
          <t>NEED_SOURCE</t>
        </is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20</v>
      </c>
      <c r="Z290" t="inlineStr">
        <is>
          <t>NEED_SOURCE</t>
        </is>
      </c>
      <c r="AA290" t="inlineStr">
        <is>
          <t>NEED_SOURCE</t>
        </is>
      </c>
      <c r="AB290" t="inlineStr">
        <is>
          <t>NEED_SOURCE</t>
        </is>
      </c>
      <c r="AC290" t="inlineStr">
        <is>
          <t>missile</t>
        </is>
      </c>
      <c r="AD290" t="inlineStr">
        <is>
          <t>Wikipedia 'MIM-104 Patriot': ripples a few seconds apart (est. 3 s)</t>
        </is>
      </c>
      <c r="AE290" t="inlineStr">
        <is>
          <t>PAC-2</t>
        </is>
      </c>
      <c r="AF290" t="inlineStr">
        <is>
          <t>Tools/balance/full_weapon_audit.py: REAL / WARHEAD; balance.json weapons[id=sam_battery_lrr].real</t>
        </is>
      </c>
      <c r="AG290" t="inlineStr"/>
    </row>
    <row r="291">
      <c r="A291" t="inlineStr">
        <is>
          <t>sam_long</t>
        </is>
      </c>
      <c r="B291" t="inlineStr">
        <is>
          <t>sam_long</t>
        </is>
      </c>
      <c r="C291" t="inlineStr">
        <is>
          <t>9M317 Buk</t>
        </is>
      </c>
      <c r="D291" t="inlineStr">
        <is>
          <t>doi_that</t>
        </is>
      </c>
      <c r="E291" t="inlineStr">
        <is>
          <t>9M317 Buk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da_kiem_chung</t>
        </is>
      </c>
      <c r="P291" t="inlineStr">
        <is>
          <t>R_balance;R_full_weapon_audit;W_wikipedia_buk_missile_system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15</v>
      </c>
      <c r="Y291" t="n">
        <v>15</v>
      </c>
      <c r="Z291" t="inlineStr">
        <is>
          <t>NEED_SOURCE</t>
        </is>
      </c>
      <c r="AA291" t="inlineStr">
        <is>
          <t>NEED_SOURCE</t>
        </is>
      </c>
      <c r="AB291" t="inlineStr">
        <is>
          <t>NEED_SOURCE</t>
        </is>
      </c>
      <c r="AC291" t="inlineStr">
        <is>
          <t>missile</t>
        </is>
      </c>
      <c r="AD291" t="inlineStr">
        <is>
          <t>Wikipedia 'Buk missile system': 4 s between launches</t>
        </is>
      </c>
      <c r="AE291" t="inlineStr"/>
      <c r="AF291" t="inlineStr">
        <is>
          <t>Tools/balance/full_weapon_audit.py: REAL / WARHEAD; balance.json weapons[id=sam_long].real</t>
        </is>
      </c>
      <c r="AG291" t="inlineStr"/>
    </row>
    <row r="292">
      <c r="A292" t="inlineStr">
        <is>
          <t>sam_pac3</t>
        </is>
      </c>
      <c r="B292" t="inlineStr">
        <is>
          <t>sam_pac3</t>
        </is>
      </c>
      <c r="C292" t="inlineStr">
        <is>
          <t>Patriot PAC-3 MSE</t>
        </is>
      </c>
      <c r="D292" t="inlineStr">
        <is>
          <t>doi_that</t>
        </is>
      </c>
      <c r="E292" t="inlineStr">
        <is>
          <t>Patriot PAC-3 MSE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uoc_dinh</t>
        </is>
      </c>
      <c r="P292" t="inlineStr">
        <is>
          <t>R_balance;R_full_weapon_audit;W_wikipedia_mim_104_patriot;W_wikipedia_bai_cua_tung_ten_lua_bang_warhead;R_machine_brigade_can_bang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inlineStr">
        <is>
          <t>NEED_SOURCE</t>
        </is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20</v>
      </c>
      <c r="Y292" t="n">
        <v>20</v>
      </c>
      <c r="Z292" t="inlineStr">
        <is>
          <t>NEED_SOURCE</t>
        </is>
      </c>
      <c r="AA292" t="inlineStr">
        <is>
          <t>NEED_SOURCE</t>
        </is>
      </c>
      <c r="AB292" t="n">
        <v>7</v>
      </c>
      <c r="AC292" t="inlineStr">
        <is>
          <t>missile</t>
        </is>
      </c>
      <c r="AD292" t="inlineStr">
        <is>
          <t>Wikipedia 'MIM-104 Patriot': ripples a few seconds apart (est. 3 s)</t>
        </is>
      </c>
      <c r="AE292" t="inlineStr">
        <is>
          <t>PAC-3 MSE: 35–60 km, Mach 5</t>
        </is>
      </c>
      <c r="AF292" t="inlineStr">
        <is>
          <t>Tools/balance/full_weapon_audit.py: REAL / WARHEAD; balance.json weapons[id=sam_pac3].real</t>
        </is>
      </c>
      <c r="AG292" t="inlineStr"/>
    </row>
    <row r="293">
      <c r="A293" t="inlineStr">
        <is>
          <t>sam_post</t>
        </is>
      </c>
      <c r="B293" t="inlineStr">
        <is>
          <t>sam_post</t>
        </is>
      </c>
      <c r="C293" t="inlineStr">
        <is>
          <t>9M317 Buk</t>
        </is>
      </c>
      <c r="D293" t="inlineStr">
        <is>
          <t>doi_that</t>
        </is>
      </c>
      <c r="E293" t="inlineStr">
        <is>
          <t>9M317 Buk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R_balance;R_full_weapon_audit;W_wikipedia_buk_missile_system;R_machine_brigade_can_bang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inlineStr">
        <is>
          <t>NEED_SOURCE</t>
        </is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15</v>
      </c>
      <c r="Y293" t="n">
        <v>15</v>
      </c>
      <c r="Z293" t="inlineStr">
        <is>
          <t>NEED_SOURCE</t>
        </is>
      </c>
      <c r="AA293" t="inlineStr">
        <is>
          <t>NEED_SOURCE</t>
        </is>
      </c>
      <c r="AB293" t="inlineStr">
        <is>
          <t>NEED_SOURCE</t>
        </is>
      </c>
      <c r="AC293" t="inlineStr">
        <is>
          <t>missile</t>
        </is>
      </c>
      <c r="AD293" t="inlineStr">
        <is>
          <t>Wikipedia 'Buk missile system': 4 s between launches</t>
        </is>
      </c>
      <c r="AE293" t="inlineStr">
        <is>
          <t>9M317 Buk</t>
        </is>
      </c>
      <c r="AF293" t="inlineStr">
        <is>
          <t>Tools/balance/full_weapon_audit.py: REAL / WARHEAD; balance.json weapons[id=sam_post].real</t>
        </is>
      </c>
      <c r="AG293" t="inlineStr"/>
    </row>
    <row r="294">
      <c r="A294" t="inlineStr">
        <is>
          <t>scout_rockets</t>
        </is>
      </c>
      <c r="B294" t="inlineStr">
        <is>
          <t>scout_rockets</t>
        </is>
      </c>
      <c r="C294" t="inlineStr">
        <is>
          <t>Hydra 70 mm</t>
        </is>
      </c>
      <c r="D294" t="inlineStr">
        <is>
          <t>doi_that</t>
        </is>
      </c>
      <c r="E294" t="inlineStr">
        <is>
          <t>Hydra 70 mm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ban_dau_doan</t>
        </is>
      </c>
      <c r="P294" t="inlineStr">
        <is>
          <t>R_balance;R_full_weapon_audit;R_decisions;R_machine_brigade_can_bang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70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900</v>
      </c>
      <c r="Y294" t="inlineStr">
        <is>
          <t>NEED_SOURCE</t>
        </is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rocket</t>
        </is>
      </c>
      <c r="AD294" t="inlineStr">
        <is>
          <t>rocket pods: ripples of 0.05-0.12 s (DECISIONS 19R)</t>
        </is>
      </c>
      <c r="AE294" t="inlineStr">
        <is>
          <t>Hydra 70</t>
        </is>
      </c>
      <c r="AF294" t="inlineStr">
        <is>
          <t>Tools/balance/full_weapon_audit.py: REAL / WARHEAD; balance.json weapons[id=scout_rockets].real</t>
        </is>
      </c>
      <c r="AG294" t="inlineStr"/>
    </row>
    <row r="295">
      <c r="A295" t="inlineStr">
        <is>
          <t>shahed</t>
        </is>
      </c>
      <c r="B295" t="inlineStr">
        <is>
          <t>shahed</t>
        </is>
      </c>
      <c r="C295" t="inlineStr">
        <is>
          <t>Shahed-136 (50 kg)</t>
        </is>
      </c>
      <c r="D295" t="inlineStr">
        <is>
          <t>doi_that</t>
        </is>
      </c>
      <c r="E295" t="inlineStr">
        <is>
          <t>Shahed-136 (50 kg)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ban_dau_doan</t>
        </is>
      </c>
      <c r="P295" t="inlineStr">
        <is>
          <t>R_balance;R_machine_brigade_can_bang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inlineStr">
        <is>
          <t>NEED_SOURCE</t>
        </is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inlineStr">
        <is>
          <t>NEED_SOURCE</t>
        </is>
      </c>
      <c r="Y295" t="inlineStr">
        <is>
          <t>NEED_SOURCE</t>
        </is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/>
      <c r="AD295" t="inlineStr"/>
      <c r="AE295" t="inlineStr">
        <is>
          <t>Shahed-136: đầu nổ 40–50 kg</t>
        </is>
      </c>
      <c r="AF295" t="inlineStr">
        <is>
          <t>Tools/balance/full_weapon_audit.py: REAL / WARHEAD; balance.json weapons[id=shahed].real</t>
        </is>
      </c>
      <c r="AG295" t="inlineStr"/>
    </row>
    <row r="296">
      <c r="A296" t="inlineStr">
        <is>
          <t>siege_gun_105</t>
        </is>
      </c>
      <c r="B296" t="inlineStr">
        <is>
          <t>siege_gun_105</t>
        </is>
      </c>
      <c r="C296" t="inlineStr">
        <is>
          <t>L7 105 mm (siege tank)</t>
        </is>
      </c>
      <c r="D296" t="inlineStr">
        <is>
          <t>doi_that</t>
        </is>
      </c>
      <c r="E296" t="inlineStr">
        <is>
          <t>L7 105 mm (siege tank)</t>
        </is>
      </c>
      <c r="F296" t="inlineStr"/>
      <c r="G296" t="inlineStr"/>
      <c r="H296" t="inlineStr"/>
      <c r="I296" t="inlineStr"/>
      <c r="J296" t="inlineStr"/>
      <c r="K296" t="inlineStr"/>
      <c r="L296" t="inlineStr">
        <is>
          <t>nhịp chậm hơn 30 % và mạnh hơn tương ứng (luật súng của game)</t>
        </is>
      </c>
      <c r="M296" t="inlineStr">
        <is>
          <t>gameplay</t>
        </is>
      </c>
      <c r="N296" t="inlineStr"/>
      <c r="O296" t="inlineStr">
        <is>
          <t>da_kiem_chung</t>
        </is>
      </c>
      <c r="P296" t="inlineStr">
        <is>
          <t>R_balance;R_full_weapon_audit;W_wikipedia_royal_ordnance_l7;R_machine_brigade_can_bang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105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10</v>
      </c>
      <c r="Y296" t="n">
        <v>6</v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>
        <is>
          <t>gun</t>
        </is>
      </c>
      <c r="AD296" t="inlineStr">
        <is>
          <t>Wikipedia 'Royal Ordnance L7': 6-10 rpm</t>
        </is>
      </c>
      <c r="AE296" t="inlineStr">
        <is>
          <t>L7 105 mm</t>
        </is>
      </c>
      <c r="AF296" t="inlineStr">
        <is>
          <t>Tools/balance/full_weapon_audit.py: REAL / WARHEAD; balance.json weapons[id=siege_gun_105].real</t>
        </is>
      </c>
      <c r="AG296" t="inlineStr"/>
    </row>
    <row r="297">
      <c r="A297" t="inlineStr">
        <is>
          <t>siege_gun_105_he</t>
        </is>
      </c>
      <c r="B297" t="inlineStr">
        <is>
          <t>siege_gun_105_he</t>
        </is>
      </c>
      <c r="C297" t="inlineStr">
        <is>
          <t>L7 105 mm HE (siege tank)</t>
        </is>
      </c>
      <c r="D297" t="inlineStr">
        <is>
          <t>doi_that</t>
        </is>
      </c>
      <c r="E297" t="inlineStr">
        <is>
          <t>L7 105 mm HE (siege tank)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R_balance;R_full_weapon_audit;W_wikipedia_royal_ordnance_l7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6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Wikipedia 'Royal Ordnance L7': 6-10 rpm</t>
        </is>
      </c>
      <c r="AE297" t="inlineStr"/>
      <c r="AF297" t="inlineStr">
        <is>
          <t>Tools/balance/full_weapon_audit.py: REAL / WARHEAD; balance.json weapons[id=siege_gun_105_he].real</t>
        </is>
      </c>
      <c r="AG297" t="inlineStr"/>
    </row>
    <row r="298">
      <c r="A298" t="inlineStr">
        <is>
          <t>siege_mortar_240</t>
        </is>
      </c>
      <c r="B298" t="inlineStr">
        <is>
          <t>siege_mortar_240</t>
        </is>
      </c>
      <c r="C298" t="inlineStr">
        <is>
          <t>2B8 240 mm (siege tank)</t>
        </is>
      </c>
      <c r="D298" t="inlineStr">
        <is>
          <t>doi_that</t>
        </is>
      </c>
      <c r="E298" t="inlineStr">
        <is>
          <t>2B8 240 mm (siege tank)</t>
        </is>
      </c>
      <c r="F298" t="inlineStr"/>
      <c r="G298" t="inlineStr"/>
      <c r="H298" t="inlineStr"/>
      <c r="I298" t="inlineStr"/>
      <c r="J298" t="inlineStr"/>
      <c r="K298" t="inlineStr"/>
      <c r="L298" t="inlineStr">
        <is>
          <t>nhịp chậm hơn 30 % và mạnh hơn tương ứng (luật súng của game)</t>
        </is>
      </c>
      <c r="M298" t="inlineStr">
        <is>
          <t>gameplay</t>
        </is>
      </c>
      <c r="N298" t="inlineStr"/>
      <c r="O298" t="inlineStr">
        <is>
          <t>da_kiem_chung</t>
        </is>
      </c>
      <c r="P298" t="inlineStr">
        <is>
          <t>R_balance;R_full_weapon_audit;W_wikipedia_2s4_tyulpan;R_machine_brigade_can_bang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n">
        <v>240</v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1</v>
      </c>
      <c r="Y298" t="n">
        <v>1</v>
      </c>
      <c r="Z298" t="inlineStr">
        <is>
          <t>NEED_SOURCE</t>
        </is>
      </c>
      <c r="AA298" t="inlineStr">
        <is>
          <t>NEED_SOURCE</t>
        </is>
      </c>
      <c r="AB298" t="inlineStr"/>
      <c r="AC298" t="inlineStr">
        <is>
          <t>gun</t>
        </is>
      </c>
      <c r="AD298" t="inlineStr">
        <is>
          <t>Wikipedia '2S4 Tyulpan': ~1 rpm</t>
        </is>
      </c>
      <c r="AE298" t="inlineStr">
        <is>
          <t>2B8 240 mm</t>
        </is>
      </c>
      <c r="AF298" t="inlineStr">
        <is>
          <t>Tools/balance/full_weapon_audit.py: REAL / WARHEAD; balance.json weapons[id=siege_mortar_240].real</t>
        </is>
      </c>
      <c r="AG298" t="inlineStr"/>
    </row>
    <row r="299">
      <c r="A299" t="inlineStr">
        <is>
          <t>spg9_73mm</t>
        </is>
      </c>
      <c r="B299" t="inlineStr">
        <is>
          <t>spg9_73mm</t>
        </is>
      </c>
      <c r="C299" t="inlineStr">
        <is>
          <t>SPG-9 Kopyo 73 mm</t>
        </is>
      </c>
      <c r="D299" t="inlineStr">
        <is>
          <t>doi_that</t>
        </is>
      </c>
      <c r="E299" t="inlineStr">
        <is>
          <t>SPG-9 Kopyo 73 mm</t>
        </is>
      </c>
      <c r="F299" t="inlineStr"/>
      <c r="G299" t="inlineStr"/>
      <c r="H299" t="inlineStr"/>
      <c r="I299" t="inlineStr"/>
      <c r="J299" t="inlineStr"/>
      <c r="K299" t="inlineStr"/>
      <c r="L299" t="inlineStr">
        <is>
          <t>nhịp chậm hơn 30 % và mạnh hơn tương ứng (luật súng của game)</t>
        </is>
      </c>
      <c r="M299" t="inlineStr">
        <is>
          <t>gameplay</t>
        </is>
      </c>
      <c r="N299" t="inlineStr"/>
      <c r="O299" t="inlineStr">
        <is>
          <t>da_kiem_chung</t>
        </is>
      </c>
      <c r="P299" t="inlineStr">
        <is>
          <t>R_balance;R_full_weapon_audit;W_wikipedia_spg_9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73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6</v>
      </c>
      <c r="Y299" t="n">
        <v>4</v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gun</t>
        </is>
      </c>
      <c r="AD299" t="inlineStr">
        <is>
          <t>Wikipedia 'SPG-9': 5-6 rpm</t>
        </is>
      </c>
      <c r="AE299" t="inlineStr"/>
      <c r="AF299" t="inlineStr">
        <is>
          <t>Tools/balance/full_weapon_audit.py: REAL / WARHEAD; balance.json weapons[id=spg9_73mm].real</t>
        </is>
      </c>
      <c r="AG299" t="inlineStr"/>
    </row>
    <row r="300">
      <c r="A300" t="inlineStr">
        <is>
          <t>stealth_payload</t>
        </is>
      </c>
      <c r="B300" t="inlineStr">
        <is>
          <t>stealth_payload</t>
        </is>
      </c>
      <c r="C300" t="inlineStr">
        <is>
          <t>GBU-31 JDAM (907 kg)</t>
        </is>
      </c>
      <c r="D300" t="inlineStr">
        <is>
          <t>doi_that</t>
        </is>
      </c>
      <c r="E300" t="inlineStr">
        <is>
          <t>GBU-31 JDAM (907 kg)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uoc_dinh</t>
        </is>
      </c>
      <c r="P300" t="inlineStr">
        <is>
          <t>R_balance;R_full_weapon_audit;R_machine_brigade_can_bang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inlineStr">
        <is>
          <t>NEED_SOURCE</t>
        </is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600</v>
      </c>
      <c r="Y300" t="inlineStr">
        <is>
          <t>NEED_SOURCE</t>
        </is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bomb</t>
        </is>
      </c>
      <c r="AD300" t="inlineStr">
        <is>
          <t>a stick's release, 0.1 s and up (est.)</t>
        </is>
      </c>
      <c r="AE300" t="inlineStr">
        <is>
          <t>GBU-31 (Mk 84): ~430 kg thuốc nổ</t>
        </is>
      </c>
      <c r="AF300" t="inlineStr">
        <is>
          <t>Tools/balance/full_weapon_audit.py: REAL / WARHEAD; balance.json weapons[id=stealth_payload].real</t>
        </is>
      </c>
      <c r="AG300" t="inlineStr"/>
    </row>
    <row r="301">
      <c r="A301" t="inlineStr">
        <is>
          <t>stinger_atas</t>
        </is>
      </c>
      <c r="B301" t="inlineStr">
        <is>
          <t>stinger_atas</t>
        </is>
      </c>
      <c r="C301" t="inlineStr">
        <is>
          <t>FIM-92 Stinger (ATAS)</t>
        </is>
      </c>
      <c r="D301" t="inlineStr">
        <is>
          <t>doi_that</t>
        </is>
      </c>
      <c r="E301" t="inlineStr">
        <is>
          <t>FIM-92 Stinger (ATAS)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uoc_dinh</t>
        </is>
      </c>
      <c r="P301" t="inlineStr">
        <is>
          <t>R_balance;R_full_weapon_audit;R_machine_brigade_can_bang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inlineStr">
        <is>
          <t>NEED_SOURCE</t>
        </is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20</v>
      </c>
      <c r="Y301" t="n">
        <v>10</v>
      </c>
      <c r="Z301" t="inlineStr">
        <is>
          <t>NEED_SOURCE</t>
        </is>
      </c>
      <c r="AA301" t="inlineStr">
        <is>
          <t>NEED_SOURCE</t>
        </is>
      </c>
      <c r="AB301" t="inlineStr">
        <is>
          <t>NEED_SOURCE</t>
        </is>
      </c>
      <c r="AC301" t="inlineStr">
        <is>
          <t>missile</t>
        </is>
      </c>
      <c r="AD301" t="inlineStr">
        <is>
          <t>Avenger / Stormer: ~3 s between rounds (est.); a MANPADS team 6-10 s</t>
        </is>
      </c>
      <c r="AE301" t="inlineStr">
        <is>
          <t>Stinger: 4,8 km, Mach 2,2</t>
        </is>
      </c>
      <c r="AF301" t="inlineStr">
        <is>
          <t>Tools/balance/full_weapon_audit.py: REAL / WARHEAD; balance.json weapons[id=stinger_atas].real</t>
        </is>
      </c>
      <c r="AG301" t="inlineStr"/>
    </row>
    <row r="302">
      <c r="A302" t="inlineStr">
        <is>
          <t>stinger_post</t>
        </is>
      </c>
      <c r="B302" t="inlineStr">
        <is>
          <t>stinger_post</t>
        </is>
      </c>
      <c r="C302" t="inlineStr">
        <is>
          <t>FIM-92 Stinger (tower post)</t>
        </is>
      </c>
      <c r="D302" t="inlineStr">
        <is>
          <t>doi_that</t>
        </is>
      </c>
      <c r="E302" t="inlineStr">
        <is>
          <t>FIM-92 Stinger (tower post)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20</v>
      </c>
      <c r="Y302" t="n">
        <v>10</v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Avenger / Stormer: ~3 s between rounds (est.); a MANPADS team 6-10 s</t>
        </is>
      </c>
      <c r="AE302" t="inlineStr"/>
      <c r="AF302" t="inlineStr">
        <is>
          <t>Tools/balance/full_weapon_audit.py: REAL / WARHEAD; balance.json weapons[id=stinger_post].real</t>
        </is>
      </c>
      <c r="AG302" t="inlineStr"/>
    </row>
    <row r="303">
      <c r="A303" t="inlineStr">
        <is>
          <t>swarm_drones</t>
        </is>
      </c>
      <c r="B303" t="inlineStr">
        <is>
          <t>swarm_drones</t>
        </is>
      </c>
      <c r="C303" t="inlineStr">
        <is>
          <t>FPV drone (1.5 kg)</t>
        </is>
      </c>
      <c r="D303" t="inlineStr">
        <is>
          <t>doi_that</t>
        </is>
      </c>
      <c r="E303" t="inlineStr">
        <is>
          <t>FPV drone (1.5 kg)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FPV</t>
        </is>
      </c>
      <c r="AF303" t="inlineStr">
        <is>
          <t>Tools/balance/full_weapon_audit.py: REAL / WARHEAD; balance.json weapons[id=swarm_drones].real</t>
        </is>
      </c>
      <c r="AG303" t="inlineStr"/>
    </row>
    <row r="304">
      <c r="A304" t="inlineStr">
        <is>
          <t>tamir</t>
        </is>
      </c>
      <c r="B304" t="inlineStr">
        <is>
          <t>tamir</t>
        </is>
      </c>
      <c r="C304" t="inlineStr">
        <is>
          <t>Tamir interceptor (Iron Dome)</t>
        </is>
      </c>
      <c r="D304" t="inlineStr">
        <is>
          <t>doi_that</t>
        </is>
      </c>
      <c r="E304" t="inlineStr">
        <is>
          <t>Tamir interceptor (Iron Dome)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>
        <is>
          <t>ban_dau_doan</t>
        </is>
      </c>
      <c r="P304" t="inlineStr">
        <is>
          <t>R_balance;R_full_weapon_audit;R_decisions;R_machine_brigade_can_bang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inlineStr">
        <is>
          <t>NEED_SOURCE</t>
        </is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60</v>
      </c>
      <c r="Y304" t="n">
        <v>30</v>
      </c>
      <c r="Z304" t="inlineStr">
        <is>
          <t>NEED_SOURCE</t>
        </is>
      </c>
      <c r="AA304" t="inlineStr">
        <is>
          <t>NEED_SOURCE</t>
        </is>
      </c>
      <c r="AB304" t="inlineStr">
        <is>
          <t>NEED_SOURCE</t>
        </is>
      </c>
      <c r="AC304" t="inlineStr">
        <is>
          <t>missile</t>
        </is>
      </c>
      <c r="AD304" t="inlineStr">
        <is>
          <t>Iron Dome: launches 1-2 s apart (DECISIONS 19R)</t>
        </is>
      </c>
      <c r="AE304" t="inlineStr">
        <is>
          <t>Tamir: 4–70 km, Mach 2,2</t>
        </is>
      </c>
      <c r="AF304" t="inlineStr">
        <is>
          <t>Tools/balance/full_weapon_audit.py: REAL / WARHEAD; balance.json weapons[id=tamir].real</t>
        </is>
      </c>
      <c r="AG304" t="inlineStr"/>
    </row>
    <row r="305">
      <c r="A305" t="inlineStr">
        <is>
          <t>technical_rockets</t>
        </is>
      </c>
      <c r="B305" t="inlineStr">
        <is>
          <t>technical_rockets</t>
        </is>
      </c>
      <c r="C305" t="inlineStr">
        <is>
          <t>Type 63 107 mm</t>
        </is>
      </c>
      <c r="D305" t="inlineStr">
        <is>
          <t>doi_that</t>
        </is>
      </c>
      <c r="E305" t="inlineStr">
        <is>
          <t>Type 63 107 mm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R_balance;R_full_weapon_audit;W_wikipedia_type_63_mrl;R_machine_brigade_can_bang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n">
        <v>107</v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100</v>
      </c>
      <c r="Y305" t="inlineStr">
        <is>
          <t>NEED_SOURCE</t>
        </is>
      </c>
      <c r="Z305" t="inlineStr">
        <is>
          <t>NEED_SOURCE</t>
        </is>
      </c>
      <c r="AA305" t="inlineStr">
        <is>
          <t>NEED_SOURCE</t>
        </is>
      </c>
      <c r="AB305" t="inlineStr"/>
      <c r="AC305" t="inlineStr">
        <is>
          <t>rocket</t>
        </is>
      </c>
      <c r="AD305" t="inlineStr">
        <is>
          <t>Wikipedia 'Type 63 MRL': 12 rockets in 7-9 s</t>
        </is>
      </c>
      <c r="AE305" t="inlineStr">
        <is>
          <t>Type 63 107 mm: 12 quả trong ~7–9 s</t>
        </is>
      </c>
      <c r="AF305" t="inlineStr">
        <is>
          <t>Tools/balance/full_weapon_audit.py: REAL / WARHEAD; balance.json weapons[id=technical_rockets].real</t>
        </is>
      </c>
      <c r="AG305" t="inlineStr"/>
    </row>
    <row r="306">
      <c r="A306" t="inlineStr">
        <is>
          <t>thermobaric_rockets</t>
        </is>
      </c>
      <c r="B306" t="inlineStr">
        <is>
          <t>thermobaric_rockets</t>
        </is>
      </c>
      <c r="C306" t="inlineStr">
        <is>
          <t>TOS-1A 220 mm thermobaric</t>
        </is>
      </c>
      <c r="D306" t="inlineStr">
        <is>
          <t>doi_that</t>
        </is>
      </c>
      <c r="E306" t="inlineStr">
        <is>
          <t>TOS-1A 220 mm thermobaric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R_balance;R_full_weapon_audit;W_wikipedia_tos_1;R_machine_brigade_can_bang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220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240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'TOS-1': 24 rockets in 6-12 s</t>
        </is>
      </c>
      <c r="AE306" t="inlineStr">
        <is>
          <t>TOS-1A: 24 quả / ~7,5 s; tầm 6 km</t>
        </is>
      </c>
      <c r="AF306" t="inlineStr">
        <is>
          <t>Tools/balance/full_weapon_audit.py: REAL / WARHEAD; balance.json weapons[id=thermobaric_rockets].real</t>
        </is>
      </c>
      <c r="AG306" t="inlineStr"/>
    </row>
    <row r="307">
      <c r="A307" t="inlineStr">
        <is>
          <t>tower_ac25</t>
        </is>
      </c>
      <c r="B307" t="inlineStr">
        <is>
          <t>tower_ac25</t>
        </is>
      </c>
      <c r="C307" t="inlineStr">
        <is>
          <t>M242 Bushmaster 25 mm</t>
        </is>
      </c>
      <c r="D307" t="inlineStr">
        <is>
          <t>doi_that</t>
        </is>
      </c>
      <c r="E307" t="inlineStr">
        <is>
          <t>M242 Bushmaster 25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da_kiem_chung</t>
        </is>
      </c>
      <c r="P307" t="inlineStr">
        <is>
          <t>R_balance;R_full_weapon_audit;W_wikipedia_m242_bushmaster;R_machine_brigade_can_bang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25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500</v>
      </c>
      <c r="Y307" t="n">
        <v>200</v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ac</t>
        </is>
      </c>
      <c r="AD307" t="inlineStr">
        <is>
          <t>Wikipedia 'M242 Bushmaster': 200 or 500 rpm</t>
        </is>
      </c>
      <c r="AE307" t="inlineStr">
        <is>
          <t>M242: 200/500 phát/phút</t>
        </is>
      </c>
      <c r="AF307" t="inlineStr">
        <is>
          <t>Tools/balance/full_weapon_audit.py: REAL / WARHEAD; balance.json weapons[id=tower_ac25].real</t>
        </is>
      </c>
      <c r="AG307" t="inlineStr"/>
    </row>
    <row r="308">
      <c r="A308" t="inlineStr">
        <is>
          <t>tower_ac25_flak</t>
        </is>
      </c>
      <c r="B308" t="inlineStr">
        <is>
          <t>tower_ac25_flak</t>
        </is>
      </c>
      <c r="C308" t="inlineStr">
        <is>
          <t>M242 Bushmaster 25 mm air-burst</t>
        </is>
      </c>
      <c r="D308" t="inlineStr">
        <is>
          <t>doi_that</t>
        </is>
      </c>
      <c r="E308" t="inlineStr">
        <is>
          <t>M242 Bushmaster 25 mm air-burst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R_balance;R_full_weapon_audit;W_wikipedia_m242_bushmaster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25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500</v>
      </c>
      <c r="Y308" t="n">
        <v>200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ac</t>
        </is>
      </c>
      <c r="AD308" t="inlineStr">
        <is>
          <t>Wikipedia 'M242 Bushmaster': 200 or 500 rpm</t>
        </is>
      </c>
      <c r="AE308" t="inlineStr"/>
      <c r="AF308" t="inlineStr">
        <is>
          <t>Tools/balance/full_weapon_audit.py: REAL / WARHEAD; balance.json weapons[id=tower_ac25_flak].real</t>
        </is>
      </c>
      <c r="AG308" t="inlineStr"/>
    </row>
    <row r="309">
      <c r="A309" t="inlineStr">
        <is>
          <t>tower_agl</t>
        </is>
      </c>
      <c r="B309" t="inlineStr">
        <is>
          <t>tower_agl</t>
        </is>
      </c>
      <c r="C309" t="inlineStr">
        <is>
          <t>Mk 19 40 mm</t>
        </is>
      </c>
      <c r="D309" t="inlineStr">
        <is>
          <t>doi_that</t>
        </is>
      </c>
      <c r="E309" t="inlineStr">
        <is>
          <t>Mk 19 40 mm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R_balance;R_full_weapon_audit;D_us_army_fm_3_22_27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40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375</v>
      </c>
      <c r="Y309" t="n">
        <v>60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ac</t>
        </is>
      </c>
      <c r="AD309" t="inlineStr">
        <is>
          <t>US Army FM 3-22.27: 325-375 cyclic, 60 rapid</t>
        </is>
      </c>
      <c r="AE309" t="inlineStr"/>
      <c r="AF309" t="inlineStr">
        <is>
          <t>Tools/balance/full_weapon_audit.py: REAL / WARHEAD; balance.json weapons[id=tower_agl].real</t>
        </is>
      </c>
      <c r="AG309" t="inlineStr"/>
    </row>
    <row r="310">
      <c r="A310" t="inlineStr">
        <is>
          <t>tower_flak_30</t>
        </is>
      </c>
      <c r="B310" t="inlineStr">
        <is>
          <t>tower_flak_30</t>
        </is>
      </c>
      <c r="C310" t="inlineStr">
        <is>
          <t>2A38 30 mm (twin)</t>
        </is>
      </c>
      <c r="D310" t="inlineStr">
        <is>
          <t>doi_that</t>
        </is>
      </c>
      <c r="E310" t="inlineStr">
        <is>
          <t>2A38 30 mm (twin)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da_kiem_chung</t>
        </is>
      </c>
      <c r="P310" t="inlineStr">
        <is>
          <t>R_balance;R_full_weapon_audit;W_wikipedia_2a38;R_machine_brigade_can_bang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30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2500</v>
      </c>
      <c r="Y310" t="n">
        <v>1000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aa</t>
        </is>
      </c>
      <c r="AD310" t="inlineStr">
        <is>
          <t>Wikipedia '2A38': 4,060-5,000 rpm the twin mount</t>
        </is>
      </c>
      <c r="AE310" t="inlineStr">
        <is>
          <t>2A38M: ~5.000 phát/phút cả cặp</t>
        </is>
      </c>
      <c r="AF310" t="inlineStr">
        <is>
          <t>Tools/balance/full_weapon_audit.py: REAL / WARHEAD; balance.json weapons[id=tower_flak_30].real</t>
        </is>
      </c>
      <c r="AG310" t="inlineStr"/>
    </row>
    <row r="311">
      <c r="A311" t="inlineStr">
        <is>
          <t>tower_flak_30_ap</t>
        </is>
      </c>
      <c r="B311" t="inlineStr">
        <is>
          <t>tower_flak_30_ap</t>
        </is>
      </c>
      <c r="C311" t="inlineStr">
        <is>
          <t>2A38 30 mm AP (twin)</t>
        </is>
      </c>
      <c r="D311" t="inlineStr">
        <is>
          <t>doi_that</t>
        </is>
      </c>
      <c r="E311" t="inlineStr">
        <is>
          <t>2A38 30 mm AP (twin)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da_kiem_chung</t>
        </is>
      </c>
      <c r="P311" t="inlineStr">
        <is>
          <t>R_balance;R_full_weapon_audit;W_wikipedia_2a38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n">
        <v>30</v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2500</v>
      </c>
      <c r="Y311" t="n">
        <v>1000</v>
      </c>
      <c r="Z311" t="inlineStr">
        <is>
          <t>NEED_SOURCE</t>
        </is>
      </c>
      <c r="AA311" t="inlineStr">
        <is>
          <t>NEED_SOURCE</t>
        </is>
      </c>
      <c r="AB311" t="inlineStr"/>
      <c r="AC311" t="inlineStr">
        <is>
          <t>aa</t>
        </is>
      </c>
      <c r="AD311" t="inlineStr">
        <is>
          <t>Wikipedia '2A38': 4,060-5,000 rpm the twin mount</t>
        </is>
      </c>
      <c r="AE311" t="inlineStr"/>
      <c r="AF311" t="inlineStr">
        <is>
          <t>Tools/balance/full_weapon_audit.py: REAL / WARHEAD; balance.json weapons[id=tower_flak_30_ap].real</t>
        </is>
      </c>
      <c r="AG311" t="inlineStr"/>
    </row>
    <row r="312">
      <c r="A312" t="inlineStr">
        <is>
          <t>tower_hmg</t>
        </is>
      </c>
      <c r="B312" t="inlineStr">
        <is>
          <t>tower_hmg</t>
        </is>
      </c>
      <c r="C312" t="inlineStr">
        <is>
          <t>M2 Browning 12.7 mm</t>
        </is>
      </c>
      <c r="D312" t="inlineStr">
        <is>
          <t>doi_that</t>
        </is>
      </c>
      <c r="E312" t="inlineStr">
        <is>
          <t>M2 Browning 12.7 mm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R_balance;R_full_weapon_audit;D_us_army_fm_3_22_65;R_machine_brigade_can_bang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n">
        <v>12.7</v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600</v>
      </c>
      <c r="Y312" t="n">
        <v>40</v>
      </c>
      <c r="Z312" t="inlineStr">
        <is>
          <t>NEED_SOURCE</t>
        </is>
      </c>
      <c r="AA312" t="inlineStr">
        <is>
          <t>NEED_SOURCE</t>
        </is>
      </c>
      <c r="AB312" t="inlineStr"/>
      <c r="AC312" t="inlineStr">
        <is>
          <t>mg</t>
        </is>
      </c>
      <c r="AD312" t="inlineStr">
        <is>
          <t>US Army FM 3-22.65: cyclic 450-600, rapid 40 rpm</t>
        </is>
      </c>
      <c r="AE312" t="inlineStr">
        <is>
          <t>M2: 450–600</t>
        </is>
      </c>
      <c r="AF312" t="inlineStr">
        <is>
          <t>Tools/balance/full_weapon_audit.py: REAL / WARHEAD; balance.json weapons[id=tower_hmg].real</t>
        </is>
      </c>
      <c r="AG312" t="inlineStr"/>
    </row>
    <row r="313">
      <c r="A313" t="inlineStr">
        <is>
          <t>tower_hmg_api</t>
        </is>
      </c>
      <c r="B313" t="inlineStr">
        <is>
          <t>tower_hmg_api</t>
        </is>
      </c>
      <c r="C313" t="inlineStr">
        <is>
          <t>M2 Browning 12.7 mm API</t>
        </is>
      </c>
      <c r="D313" t="inlineStr">
        <is>
          <t>doi_that</t>
        </is>
      </c>
      <c r="E313" t="inlineStr">
        <is>
          <t>M2 Browning 12.7 mm API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da_kiem_chung</t>
        </is>
      </c>
      <c r="P313" t="inlineStr">
        <is>
          <t>R_balance;R_full_weapon_audit;D_us_army_fm_3_22_65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n">
        <v>12.7</v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600</v>
      </c>
      <c r="Y313" t="n">
        <v>40</v>
      </c>
      <c r="Z313" t="inlineStr">
        <is>
          <t>NEED_SOURCE</t>
        </is>
      </c>
      <c r="AA313" t="inlineStr">
        <is>
          <t>NEED_SOURCE</t>
        </is>
      </c>
      <c r="AB313" t="inlineStr"/>
      <c r="AC313" t="inlineStr">
        <is>
          <t>mg</t>
        </is>
      </c>
      <c r="AD313" t="inlineStr">
        <is>
          <t>US Army FM 3-22.65: cyclic 450-600, rapid 40 rpm</t>
        </is>
      </c>
      <c r="AE313" t="inlineStr"/>
      <c r="AF313" t="inlineStr">
        <is>
          <t>Tools/balance/full_weapon_audit.py: REAL / WARHEAD; balance.json weapons[id=tower_hmg_api].real</t>
        </is>
      </c>
      <c r="AG313" t="inlineStr"/>
    </row>
    <row r="314">
      <c r="A314" t="inlineStr">
        <is>
          <t>tower_kornet</t>
        </is>
      </c>
      <c r="B314" t="inlineStr">
        <is>
          <t>tower_kornet</t>
        </is>
      </c>
      <c r="C314" t="inlineStr">
        <is>
          <t>9M133 Kornet</t>
        </is>
      </c>
      <c r="D314" t="inlineStr">
        <is>
          <t>doi_that</t>
        </is>
      </c>
      <c r="E314" t="inlineStr">
        <is>
          <t>9M133 Kornet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R_balance;R_full_weapon_audit;W_wikipedia_9m133_kornet;W_wikipedia_bai_cua_tung_ten_lua_bang_warhead;R_machine_brigade_can_bang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3</v>
      </c>
      <c r="Y314" t="n">
        <v>3</v>
      </c>
      <c r="Z314" t="inlineStr">
        <is>
          <t>NEED_SOURCE</t>
        </is>
      </c>
      <c r="AA314" t="inlineStr">
        <is>
          <t>NEED_SOURCE</t>
        </is>
      </c>
      <c r="AB314" t="n">
        <v>7</v>
      </c>
      <c r="AC314" t="inlineStr">
        <is>
          <t>atgm</t>
        </is>
      </c>
      <c r="AD314" t="inlineStr">
        <is>
          <t>Wikipedia '9M133 Kornet': 2-3 rpm</t>
        </is>
      </c>
      <c r="AE314" t="inlineStr">
        <is>
          <t>Kornet: tầm 5,5–8 km, ~300 m/s</t>
        </is>
      </c>
      <c r="AF314" t="inlineStr">
        <is>
          <t>Tools/balance/full_weapon_audit.py: REAL / WARHEAD; balance.json weapons[id=tower_kornet].real</t>
        </is>
      </c>
      <c r="AG314" t="inlineStr"/>
    </row>
    <row r="315">
      <c r="A315" t="inlineStr">
        <is>
          <t>train_gun</t>
        </is>
      </c>
      <c r="B315" t="inlineStr">
        <is>
          <t>train_gun</t>
        </is>
      </c>
      <c r="C315" t="inlineStr">
        <is>
          <t>B-38 152 mm</t>
        </is>
      </c>
      <c r="D315" t="inlineStr">
        <is>
          <t>doi_that</t>
        </is>
      </c>
      <c r="E315" t="inlineStr">
        <is>
          <t>B-38 152 mm</t>
        </is>
      </c>
      <c r="F315" t="inlineStr"/>
      <c r="G315" t="inlineStr"/>
      <c r="H315" t="inlineStr"/>
      <c r="I315" t="inlineStr"/>
      <c r="J315" t="inlineStr"/>
      <c r="K315" t="inlineStr"/>
      <c r="L315" t="inlineStr">
        <is>
          <t>nhịp chậm hơn 30 % và mạnh hơn tương ứng (luật súng của game)</t>
        </is>
      </c>
      <c r="M315" t="inlineStr">
        <is>
          <t>gameplay</t>
        </is>
      </c>
      <c r="N315" t="inlineStr"/>
      <c r="O315" t="inlineStr">
        <is>
          <t>da_kiem_chung</t>
        </is>
      </c>
      <c r="P315" t="inlineStr">
        <is>
          <t>R_balance;R_full_weapon_audit;W_wikipedia_15_2_cm_57_b_38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152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7.5</v>
      </c>
      <c r="Y315" t="n">
        <v>5</v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gun</t>
        </is>
      </c>
      <c r="AD315" t="inlineStr">
        <is>
          <t>Wikipedia '15.2 cm/57 B-38': 5-7.5 rpm</t>
        </is>
      </c>
      <c r="AE315" t="inlineStr"/>
      <c r="AF315" t="inlineStr">
        <is>
          <t>Tools/balance/full_weapon_audit.py: REAL / WARHEAD; balance.json weapons[id=train_gun].real</t>
        </is>
      </c>
      <c r="AG315" t="inlineStr"/>
    </row>
    <row r="316">
      <c r="A316" t="inlineStr">
        <is>
          <t>train_gun_he</t>
        </is>
      </c>
      <c r="B316" t="inlineStr">
        <is>
          <t>train_gun_he</t>
        </is>
      </c>
      <c r="C316" t="inlineStr">
        <is>
          <t>B-38 152 mm HE</t>
        </is>
      </c>
      <c r="D316" t="inlineStr">
        <is>
          <t>doi_that</t>
        </is>
      </c>
      <c r="E316" t="inlineStr">
        <is>
          <t>B-38 152 mm HE</t>
        </is>
      </c>
      <c r="F316" t="inlineStr"/>
      <c r="G316" t="inlineStr"/>
      <c r="H316" t="inlineStr"/>
      <c r="I316" t="inlineStr"/>
      <c r="J316" t="inlineStr"/>
      <c r="K316" t="inlineStr"/>
      <c r="L316" t="inlineStr">
        <is>
          <t>nhịp chậm hơn 30 % và mạnh hơn tương ứng (luật súng của game)</t>
        </is>
      </c>
      <c r="M316" t="inlineStr">
        <is>
          <t>gameplay</t>
        </is>
      </c>
      <c r="N316" t="inlineStr"/>
      <c r="O316" t="inlineStr">
        <is>
          <t>da_kiem_chung</t>
        </is>
      </c>
      <c r="P316" t="inlineStr">
        <is>
          <t>R_balance;R_full_weapon_audit;W_wikipedia_15_2_cm_57_b_38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152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7.5</v>
      </c>
      <c r="Y316" t="n">
        <v>5</v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>
        <is>
          <t>gun</t>
        </is>
      </c>
      <c r="AD316" t="inlineStr">
        <is>
          <t>Wikipedia '15.2 cm/57 B-38': 5-7.5 rpm</t>
        </is>
      </c>
      <c r="AE316" t="inlineStr"/>
      <c r="AF316" t="inlineStr">
        <is>
          <t>Tools/balance/full_weapon_audit.py: REAL / WARHEAD; balance.json weapons[id=train_gun_he].real</t>
        </is>
      </c>
      <c r="AG316" t="inlineStr"/>
    </row>
    <row r="317">
      <c r="A317" t="inlineStr">
        <is>
          <t>train_mortar</t>
        </is>
      </c>
      <c r="B317" t="inlineStr">
        <is>
          <t>train_mortar</t>
        </is>
      </c>
      <c r="C317" t="inlineStr">
        <is>
          <t>2B11 120 mm (twin)</t>
        </is>
      </c>
      <c r="D317" t="inlineStr">
        <is>
          <t>doi_that</t>
        </is>
      </c>
      <c r="E317" t="inlineStr">
        <is>
          <t>2B11 120 mm (twin)</t>
        </is>
      </c>
      <c r="F317" t="inlineStr"/>
      <c r="G317" t="inlineStr"/>
      <c r="H317" t="inlineStr"/>
      <c r="I317" t="inlineStr"/>
      <c r="J317" t="inlineStr"/>
      <c r="K317" t="inlineStr"/>
      <c r="L317" t="inlineStr">
        <is>
          <t>nhịp chậm hơn 30 % và mạnh hơn tương ứng (luật súng của game)</t>
        </is>
      </c>
      <c r="M317" t="inlineStr">
        <is>
          <t>gameplay</t>
        </is>
      </c>
      <c r="N317" t="inlineStr"/>
      <c r="O317" t="inlineStr">
        <is>
          <t>da_kiem_chung</t>
        </is>
      </c>
      <c r="P317" t="inlineStr">
        <is>
          <t>R_balance;R_full_weapon_audit;W_wikipedia_2b11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120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15</v>
      </c>
      <c r="Y317" t="n">
        <v>10</v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>
        <is>
          <t>gun</t>
        </is>
      </c>
      <c r="AD317" t="inlineStr">
        <is>
          <t>Wikipedia '2B11': 15 rpm</t>
        </is>
      </c>
      <c r="AE317" t="inlineStr"/>
      <c r="AF317" t="inlineStr">
        <is>
          <t>Tools/balance/full_weapon_audit.py: REAL / WARHEAD; balance.json weapons[id=train_mortar].real</t>
        </is>
      </c>
      <c r="AG317" t="inlineStr"/>
    </row>
    <row r="318">
      <c r="A318" t="inlineStr">
        <is>
          <t>turret_gmlrs</t>
        </is>
      </c>
      <c r="B318" t="inlineStr">
        <is>
          <t>turret_gmlrs</t>
        </is>
      </c>
      <c r="C318" t="inlineStr">
        <is>
          <t>M31 GMLRS 227 mm (tower)</t>
        </is>
      </c>
      <c r="D318" t="inlineStr">
        <is>
          <t>doi_that</t>
        </is>
      </c>
      <c r="E318" t="inlineStr">
        <is>
          <t>M31 GMLRS 227 mm (tower)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da_kiem_chung</t>
        </is>
      </c>
      <c r="P318" t="inlineStr">
        <is>
          <t>R_balance;R_full_weapon_audit;W_wikipedia_m270_mlrs;R_machine_brigade_can_bang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227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12</v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/>
      <c r="AC318" t="inlineStr">
        <is>
          <t>rocket</t>
        </is>
      </c>
      <c r="AD318" t="inlineStr">
        <is>
          <t>Wikipedia 'M270 MLRS': 12 rockets in under a minute</t>
        </is>
      </c>
      <c r="AE318" t="inlineStr">
        <is>
          <t>GMLRS dẫn đường</t>
        </is>
      </c>
      <c r="AF318" t="inlineStr">
        <is>
          <t>Tools/balance/full_weapon_audit.py: REAL / WARHEAD; balance.json weapons[id=turret_gmlrs].real</t>
        </is>
      </c>
      <c r="AG318" t="inlineStr"/>
    </row>
    <row r="319">
      <c r="A319" t="inlineStr">
        <is>
          <t>turret_gun_120</t>
        </is>
      </c>
      <c r="B319" t="inlineStr">
        <is>
          <t>turret_gun_120</t>
        </is>
      </c>
      <c r="C319" t="inlineStr">
        <is>
          <t>Rh-120 L/44 120 mm</t>
        </is>
      </c>
      <c r="D319" t="inlineStr">
        <is>
          <t>doi_that</t>
        </is>
      </c>
      <c r="E319" t="inlineStr">
        <is>
          <t>Rh-120 L/44 120 mm</t>
        </is>
      </c>
      <c r="F319" t="inlineStr"/>
      <c r="G319" t="inlineStr"/>
      <c r="H319" t="inlineStr"/>
      <c r="I319" t="inlineStr"/>
      <c r="J319" t="inlineStr"/>
      <c r="K319" t="inlineStr"/>
      <c r="L319" t="inlineStr">
        <is>
          <t>nhịp chậm hơn 30 % và mạnh hơn tương ứng (luật súng của game)</t>
        </is>
      </c>
      <c r="M319" t="inlineStr">
        <is>
          <t>gameplay</t>
        </is>
      </c>
      <c r="N319" t="inlineStr"/>
      <c r="O319" t="inlineStr">
        <is>
          <t>da_kiem_chung</t>
        </is>
      </c>
      <c r="P319" t="inlineStr">
        <is>
          <t>R_balance;R_full_weapon_audit;W_wikipedia_rheinmetall_120_mm_gun;R_machine_brigade_can_bang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n">
        <v>120</v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8</v>
      </c>
      <c r="Y319" t="n">
        <v>6</v>
      </c>
      <c r="Z319" t="inlineStr">
        <is>
          <t>tay</t>
        </is>
      </c>
      <c r="AA319" t="inlineStr">
        <is>
          <t>NEED_SOURCE</t>
        </is>
      </c>
      <c r="AB319" t="inlineStr"/>
      <c r="AC319" t="inlineStr">
        <is>
          <t>gun</t>
        </is>
      </c>
      <c r="AD319" t="inlineStr">
        <is>
          <t>the sheet's 'Ngoài đời': Rh-120 6-8 rpm with a loader (Wikipedia 'Rheinmetall 120 mm gun')</t>
        </is>
      </c>
      <c r="AE319" t="inlineStr">
        <is>
          <t>Rh-120 nạp tay: 6–8 phát/phút</t>
        </is>
      </c>
      <c r="AF319" t="inlineStr">
        <is>
          <t>Tools/balance/full_weapon_audit.py: REAL / WARHEAD; balance.json weapons[id=turret_gun_120].real</t>
        </is>
      </c>
      <c r="AG319" t="inlineStr"/>
    </row>
    <row r="320">
      <c r="A320" t="inlineStr">
        <is>
          <t>turret_gun_120_auto</t>
        </is>
      </c>
      <c r="B320" t="inlineStr">
        <is>
          <t>turret_gun_120_auto</t>
        </is>
      </c>
      <c r="C320" t="inlineStr">
        <is>
          <t>Rh-120 L/44 120 mm (autoloader)</t>
        </is>
      </c>
      <c r="D320" t="inlineStr">
        <is>
          <t>doi_that</t>
        </is>
      </c>
      <c r="E320" t="inlineStr">
        <is>
          <t>Rh-120 L/44 120 mm (autoloader)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R_balance;R_full_weapon_audit;W_wikipedia_rheinmetall_120_mm_gun;R_machine_brigade_can_bang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120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8</v>
      </c>
      <c r="Y320" t="n">
        <v>6</v>
      </c>
      <c r="Z320" t="inlineStr">
        <is>
          <t>tay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the sheet's 'Ngoài đời': Rh-120 6-8 rpm with a loader (Wikipedia 'Rheinmetall 120 mm gun')</t>
        </is>
      </c>
      <c r="AE320" t="inlineStr"/>
      <c r="AF320" t="inlineStr">
        <is>
          <t>Tools/balance/full_weapon_audit.py: REAL / WARHEAD; balance.json weapons[id=turret_gun_120_auto].real</t>
        </is>
      </c>
      <c r="AG320" t="inlineStr"/>
    </row>
    <row r="321">
      <c r="A321" t="inlineStr">
        <is>
          <t>turret_gun_120_he</t>
        </is>
      </c>
      <c r="B321" t="inlineStr">
        <is>
          <t>turret_gun_120_he</t>
        </is>
      </c>
      <c r="C321" t="inlineStr">
        <is>
          <t>Rh-120 L/44 120 mm HE</t>
        </is>
      </c>
      <c r="D321" t="inlineStr">
        <is>
          <t>doi_that</t>
        </is>
      </c>
      <c r="E321" t="inlineStr">
        <is>
          <t>Rh-120 L/44 120 mm HE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R_balance;R_full_weapon_audit;W_wikipedia_rheinmetall_120_mm_gun;R_machine_brigade_can_bang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120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8</v>
      </c>
      <c r="Y321" t="n">
        <v>6</v>
      </c>
      <c r="Z321" t="inlineStr">
        <is>
          <t>tay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the sheet's 'Ngoài đời': Rh-120 6-8 rpm with a loader (Wikipedia 'Rheinmetall 120 mm gun')</t>
        </is>
      </c>
      <c r="AE321" t="inlineStr"/>
      <c r="AF321" t="inlineStr">
        <is>
          <t>Tools/balance/full_weapon_audit.py: REAL / WARHEAD; balance.json weapons[id=turret_gun_120_he].real</t>
        </is>
      </c>
      <c r="AG321" t="inlineStr"/>
    </row>
    <row r="322">
      <c r="A322" t="inlineStr">
        <is>
          <t>turret_gun_120_long</t>
        </is>
      </c>
      <c r="B322" t="inlineStr">
        <is>
          <t>turret_gun_120_long</t>
        </is>
      </c>
      <c r="C322" t="inlineStr">
        <is>
          <t>Rh-120 L/55 120 mm</t>
        </is>
      </c>
      <c r="D322" t="inlineStr">
        <is>
          <t>doi_that</t>
        </is>
      </c>
      <c r="E322" t="inlineStr">
        <is>
          <t>Rh-120 L/55 120 mm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R_balance;R_full_weapon_audit;W_wikipedia_rheinmetall_120_mm_gun;R_machine_brigade_can_bang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120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8</v>
      </c>
      <c r="Y322" t="n">
        <v>6</v>
      </c>
      <c r="Z322" t="inlineStr">
        <is>
          <t>tay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the sheet's 'Ngoài đời': Rh-120 6-8 rpm with a loader (Wikipedia 'Rheinmetall 120 mm gun')</t>
        </is>
      </c>
      <c r="AE322" t="inlineStr">
        <is>
          <t>Rh-120 L/55: 6–8 phát/phút, sơ tốc cao hơn</t>
        </is>
      </c>
      <c r="AF322" t="inlineStr">
        <is>
          <t>Tools/balance/full_weapon_audit.py: REAL / WARHEAD; balance.json weapons[id=turret_gun_120_long].real</t>
        </is>
      </c>
      <c r="AG322" t="inlineStr"/>
    </row>
    <row r="323">
      <c r="A323" t="inlineStr">
        <is>
          <t>turret_gun_120_long_he</t>
        </is>
      </c>
      <c r="B323" t="inlineStr">
        <is>
          <t>turret_gun_120_long_he</t>
        </is>
      </c>
      <c r="C323" t="inlineStr">
        <is>
          <t>Rh-120 L/55 120 mm HE</t>
        </is>
      </c>
      <c r="D323" t="inlineStr">
        <is>
          <t>doi_that</t>
        </is>
      </c>
      <c r="E323" t="inlineStr">
        <is>
          <t>Rh-120 L/55 120 mm HE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R_balance;R_full_weapon_audit;W_wikipedia_rheinmetall_120_mm_gun;R_machine_brigade_can_bang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120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8</v>
      </c>
      <c r="Y323" t="n">
        <v>6</v>
      </c>
      <c r="Z323" t="inlineStr">
        <is>
          <t>tay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the sheet's 'Ngoài đời': Rh-120 6-8 rpm with a loader (Wikipedia 'Rheinmetall 120 mm gun')</t>
        </is>
      </c>
      <c r="AE323" t="inlineStr"/>
      <c r="AF323" t="inlineStr">
        <is>
          <t>Tools/balance/full_weapon_audit.py: REAL / WARHEAD; balance.json weapons[id=turret_gun_120_long_he].real</t>
        </is>
      </c>
      <c r="AG323" t="inlineStr"/>
    </row>
    <row r="324">
      <c r="A324" t="inlineStr">
        <is>
          <t>turret_rockets</t>
        </is>
      </c>
      <c r="B324" t="inlineStr">
        <is>
          <t>turret_rockets</t>
        </is>
      </c>
      <c r="C324" t="inlineStr">
        <is>
          <t>BM-21 Grad 122 mm</t>
        </is>
      </c>
      <c r="D324" t="inlineStr">
        <is>
          <t>doi_that</t>
        </is>
      </c>
      <c r="E324" t="inlineStr">
        <is>
          <t>BM-21 Grad 122 mm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da_kiem_chung</t>
        </is>
      </c>
      <c r="P324" t="inlineStr">
        <is>
          <t>R_balance;R_full_weapon_audit;W_wikipedia_bm_21_grad;R_machine_brigade_can_bang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n">
        <v>122</v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120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rocket</t>
        </is>
      </c>
      <c r="AD324" t="inlineStr">
        <is>
          <t>Wikipedia 'BM-21 Grad': 40 rockets in 20 s</t>
        </is>
      </c>
      <c r="AE324" t="inlineStr">
        <is>
          <t>BM-21 Grad: 40 quả trong 20 s</t>
        </is>
      </c>
      <c r="AF324" t="inlineStr">
        <is>
          <t>Tools/balance/full_weapon_audit.py: REAL / WARHEAD; balance.json weapons[id=turret_rockets].real</t>
        </is>
      </c>
      <c r="AG324" t="inlineStr"/>
    </row>
    <row r="325">
      <c r="A325" t="inlineStr">
        <is>
          <t>turret_rockets_cluster</t>
        </is>
      </c>
      <c r="B325" t="inlineStr">
        <is>
          <t>turret_rockets_cluster</t>
        </is>
      </c>
      <c r="C325" t="inlineStr">
        <is>
          <t>BM-21 Grad 122 mm (cluster)</t>
        </is>
      </c>
      <c r="D325" t="inlineStr">
        <is>
          <t>doi_that</t>
        </is>
      </c>
      <c r="E325" t="inlineStr">
        <is>
          <t>BM-21 Grad 122 mm (cluster)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R_balance;R_full_weapon_audit;W_wikipedia_bm_21_grad;R_machine_brigade_can_bang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n">
        <v>122</v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120</v>
      </c>
      <c r="Y325" t="inlineStr">
        <is>
          <t>NEED_SOURCE</t>
        </is>
      </c>
      <c r="Z325" t="inlineStr">
        <is>
          <t>NEED_SOURCE</t>
        </is>
      </c>
      <c r="AA325" t="inlineStr">
        <is>
          <t>NEED_SOURCE</t>
        </is>
      </c>
      <c r="AB325" t="inlineStr"/>
      <c r="AC325" t="inlineStr">
        <is>
          <t>rocket</t>
        </is>
      </c>
      <c r="AD325" t="inlineStr">
        <is>
          <t>Wikipedia 'BM-21 Grad': 40 rockets in 20 s</t>
        </is>
      </c>
      <c r="AE325" t="inlineStr">
        <is>
          <t>BM-21</t>
        </is>
      </c>
      <c r="AF325" t="inlineStr">
        <is>
          <t>Tools/balance/full_weapon_audit.py: REAL / WARHEAD; balance.json weapons[id=turret_rockets_cluster].real</t>
        </is>
      </c>
      <c r="AG325" t="inlineStr"/>
    </row>
    <row r="326">
      <c r="A326" t="inlineStr">
        <is>
          <t>turret_thermobaric</t>
        </is>
      </c>
      <c r="B326" t="inlineStr">
        <is>
          <t>turret_thermobaric</t>
        </is>
      </c>
      <c r="C326" t="inlineStr">
        <is>
          <t>122 mm thermobaric</t>
        </is>
      </c>
      <c r="D326" t="inlineStr">
        <is>
          <t>doi_that</t>
        </is>
      </c>
      <c r="E326" t="inlineStr">
        <is>
          <t>122 mm thermobaric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da_kiem_chung</t>
        </is>
      </c>
      <c r="P326" t="inlineStr">
        <is>
          <t>R_balance;R_full_weapon_audit;W_wikipedia_bm_21_grad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122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120</v>
      </c>
      <c r="Y326" t="inlineStr">
        <is>
          <t>NEED_SOURCE</t>
        </is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rocket</t>
        </is>
      </c>
      <c r="AD326" t="inlineStr">
        <is>
          <t>Wikipedia 'BM-21 Grad': 40 rockets in 20 s</t>
        </is>
      </c>
      <c r="AE326" t="inlineStr"/>
      <c r="AF326" t="inlineStr">
        <is>
          <t>Tools/balance/full_weapon_audit.py: REAL / WARHEAD; balance.json weapons[id=turret_thermobaric].real</t>
        </is>
      </c>
      <c r="AG326" t="inlineStr"/>
    </row>
    <row r="327">
      <c r="A327" t="inlineStr">
        <is>
          <t>twin_30_bmpt</t>
        </is>
      </c>
      <c r="B327" t="inlineStr">
        <is>
          <t>twin_30_bmpt</t>
        </is>
      </c>
      <c r="C327" t="inlineStr">
        <is>
          <t>2A42 30 mm (twin)</t>
        </is>
      </c>
      <c r="D327" t="inlineStr">
        <is>
          <t>doi_that</t>
        </is>
      </c>
      <c r="E327" t="inlineStr">
        <is>
          <t>2A42 30 mm (twin)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da_kiem_chung</t>
        </is>
      </c>
      <c r="P327" t="inlineStr">
        <is>
          <t>R_balance;R_full_weapon_audit;W_wikipedia_2a42;R_machine_brigade_can_bang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n">
        <v>30</v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n">
        <v>800</v>
      </c>
      <c r="Y327" t="n">
        <v>300</v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>
        <is>
          <t>ac</t>
        </is>
      </c>
      <c r="AD327" t="inlineStr">
        <is>
          <t>Wikipedia '2A42': 550-800 high, 200-300 low rpm</t>
        </is>
      </c>
      <c r="AE327" t="inlineStr">
        <is>
          <t>2 × 2A42: tổng ~1.100–1.600 phát/phút</t>
        </is>
      </c>
      <c r="AF327" t="inlineStr">
        <is>
          <t>Tools/balance/full_weapon_audit.py: REAL / WARHEAD; balance.json weapons[id=twin_30_bmpt].real</t>
        </is>
      </c>
      <c r="AG327" t="inlineStr"/>
    </row>
    <row r="328">
      <c r="A328" t="inlineStr">
        <is>
          <t>twin_30_bmpt_flak</t>
        </is>
      </c>
      <c r="B328" t="inlineStr">
        <is>
          <t>twin_30_bmpt_flak</t>
        </is>
      </c>
      <c r="C328" t="inlineStr">
        <is>
          <t>2A42 30 mm air-burst (twin)</t>
        </is>
      </c>
      <c r="D328" t="inlineStr">
        <is>
          <t>doi_that</t>
        </is>
      </c>
      <c r="E328" t="inlineStr">
        <is>
          <t>2A42 30 mm air-burst (twin)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da_kiem_chung</t>
        </is>
      </c>
      <c r="P328" t="inlineStr">
        <is>
          <t>R_balance;R_full_weapon_audit;W_wikipedia_2a42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30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800</v>
      </c>
      <c r="Y328" t="n">
        <v>300</v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ac</t>
        </is>
      </c>
      <c r="AD328" t="inlineStr">
        <is>
          <t>Wikipedia '2A42': 550-800 high, 200-300 low rpm</t>
        </is>
      </c>
      <c r="AE328" t="inlineStr"/>
      <c r="AF328" t="inlineStr">
        <is>
          <t>Tools/balance/full_weapon_audit.py: REAL / WARHEAD; balance.json weapons[id=twin_30_bmpt_flak].real</t>
        </is>
      </c>
      <c r="AG328" t="inlineStr"/>
    </row>
    <row r="329">
      <c r="A329" t="inlineStr">
        <is>
          <t>twin_30_flak</t>
        </is>
      </c>
      <c r="B329" t="inlineStr">
        <is>
          <t>twin_30_flak</t>
        </is>
      </c>
      <c r="C329" t="inlineStr">
        <is>
          <t>2A38 30 mm (twin)</t>
        </is>
      </c>
      <c r="D329" t="inlineStr">
        <is>
          <t>doi_that</t>
        </is>
      </c>
      <c r="E329" t="inlineStr">
        <is>
          <t>2A38 30 mm (twin)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R_balance;R_full_weapon_audit;W_wikipedia_2a38;R_machine_brigade_can_bang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30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2500</v>
      </c>
      <c r="Y329" t="n">
        <v>1000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aa</t>
        </is>
      </c>
      <c r="AD329" t="inlineStr">
        <is>
          <t>Wikipedia '2A38': 4,060-5,000 rpm the twin mount</t>
        </is>
      </c>
      <c r="AE329" t="inlineStr">
        <is>
          <t>2A38M (Pantsir/Tunguska): ~5.000 phát/phút cả cặp; tầm ~4 km</t>
        </is>
      </c>
      <c r="AF329" t="inlineStr">
        <is>
          <t>Tools/balance/full_weapon_audit.py: REAL / WARHEAD; balance.json weapons[id=twin_30_flak].real</t>
        </is>
      </c>
      <c r="AG329" t="inlineStr"/>
    </row>
    <row r="330">
      <c r="A330" t="inlineStr">
        <is>
          <t>twin_30_flak_ap</t>
        </is>
      </c>
      <c r="B330" t="inlineStr">
        <is>
          <t>twin_30_flak_ap</t>
        </is>
      </c>
      <c r="C330" t="inlineStr">
        <is>
          <t>2A38 30 mm AP (twin)</t>
        </is>
      </c>
      <c r="D330" t="inlineStr">
        <is>
          <t>doi_that</t>
        </is>
      </c>
      <c r="E330" t="inlineStr">
        <is>
          <t>2A38 30 mm AP (twin)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R_balance;R_full_weapon_audit;W_wikipedia_2a38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30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2500</v>
      </c>
      <c r="Y330" t="n">
        <v>1000</v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aa</t>
        </is>
      </c>
      <c r="AD330" t="inlineStr">
        <is>
          <t>Wikipedia '2A38': 4,060-5,000 rpm the twin mount</t>
        </is>
      </c>
      <c r="AE330" t="inlineStr"/>
      <c r="AF330" t="inlineStr">
        <is>
          <t>Tools/balance/full_weapon_audit.py: REAL / WARHEAD; balance.json weapons[id=twin_30_flak_ap].real</t>
        </is>
      </c>
      <c r="AG330" t="inlineStr"/>
    </row>
    <row r="331">
      <c r="A331" t="inlineStr">
        <is>
          <t>twin_35_ahead</t>
        </is>
      </c>
      <c r="B331" t="inlineStr">
        <is>
          <t>twin_35_ahead</t>
        </is>
      </c>
      <c r="C331" t="inlineStr">
        <is>
          <t>Skyranger 35 mm AHEAD</t>
        </is>
      </c>
      <c r="D331" t="inlineStr">
        <is>
          <t>doi_that</t>
        </is>
      </c>
      <c r="E331" t="inlineStr">
        <is>
          <t>Skyranger 35 mm AHEAD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R_balance;R_full_weapon_audit;D_rheinmetall_skyranger_30_35;R_machine_brigade_can_bang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35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1000</v>
      </c>
      <c r="Y331" t="n">
        <v>400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aa</t>
        </is>
      </c>
      <c r="AD331" t="inlineStr">
        <is>
          <t>Rheinmetall Skyranger 30/35: 1,000 rpm, 20-24-round AHEAD bursts</t>
        </is>
      </c>
      <c r="AE331" t="inlineStr">
        <is>
          <t>Skyranger 35: 1.000 phát/phút, đạn AHEAD</t>
        </is>
      </c>
      <c r="AF331" t="inlineStr">
        <is>
          <t>Tools/balance/full_weapon_audit.py: REAL / WARHEAD; balance.json weapons[id=twin_35_ahead].real</t>
        </is>
      </c>
      <c r="AG331" t="inlineStr"/>
    </row>
    <row r="332">
      <c r="A332" t="inlineStr">
        <is>
          <t>twin_35_ahead_ap</t>
        </is>
      </c>
      <c r="B332" t="inlineStr">
        <is>
          <t>twin_35_ahead_ap</t>
        </is>
      </c>
      <c r="C332" t="inlineStr">
        <is>
          <t>Skyranger 35 mm AHEAD AP</t>
        </is>
      </c>
      <c r="D332" t="inlineStr">
        <is>
          <t>doi_that</t>
        </is>
      </c>
      <c r="E332" t="inlineStr">
        <is>
          <t>Skyranger 35 mm AHEAD AP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R_balance;R_full_weapon_audit;D_rheinmetall_skyranger_30_35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35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1000</v>
      </c>
      <c r="Y332" t="n">
        <v>400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aa</t>
        </is>
      </c>
      <c r="AD332" t="inlineStr">
        <is>
          <t>Rheinmetall Skyranger 30/35: 1,000 rpm, 20-24-round AHEAD bursts</t>
        </is>
      </c>
      <c r="AE332" t="inlineStr"/>
      <c r="AF332" t="inlineStr">
        <is>
          <t>Tools/balance/full_weapon_audit.py: REAL / WARHEAD; balance.json weapons[id=twin_35_ahead_ap].real</t>
        </is>
      </c>
      <c r="AG332" t="inlineStr"/>
    </row>
    <row r="333">
      <c r="A333" t="inlineStr">
        <is>
          <t>vikhr</t>
        </is>
      </c>
      <c r="B333" t="inlineStr">
        <is>
          <t>vikhr</t>
        </is>
      </c>
      <c r="C333" t="inlineStr">
        <is>
          <t>9K121 Vikhr</t>
        </is>
      </c>
      <c r="D333" t="inlineStr">
        <is>
          <t>doi_that</t>
        </is>
      </c>
      <c r="E333" t="inlineStr">
        <is>
          <t>9K121 Vikhr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uoc_dinh</t>
        </is>
      </c>
      <c r="P333" t="inlineStr">
        <is>
          <t>R_balance;R_full_weapon_audit;W_wikipedia_bai_cua_tung_ten_lua_bang_warhead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inlineStr">
        <is>
          <t>NEED_SOURCE</t>
        </is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4</v>
      </c>
      <c r="Y333" t="n">
        <v>3</v>
      </c>
      <c r="Z333" t="inlineStr">
        <is>
          <t>NEED_SOURCE</t>
        </is>
      </c>
      <c r="AA333" t="inlineStr">
        <is>
          <t>NEED_SOURCE</t>
        </is>
      </c>
      <c r="AB333" t="n">
        <v>8</v>
      </c>
      <c r="AC333" t="inlineStr">
        <is>
          <t>atgm</t>
        </is>
      </c>
      <c r="AD333" t="inlineStr">
        <is>
          <t>Shturm / Ataka / Khrizantema launchers: est. 3-4 rpm a rail</t>
        </is>
      </c>
      <c r="AE333" t="inlineStr"/>
      <c r="AF333" t="inlineStr">
        <is>
          <t>Tools/balance/full_weapon_audit.py: REAL / WARHEAD; balance.json weapons[id=vikhr].real</t>
        </is>
      </c>
      <c r="AG333" t="inlineStr"/>
    </row>
    <row r="334">
      <c r="A334" t="inlineStr">
        <is>
          <t>wvr_aam</t>
        </is>
      </c>
      <c r="B334" t="inlineStr">
        <is>
          <t>wvr_aam</t>
        </is>
      </c>
      <c r="C334" t="inlineStr">
        <is>
          <t>AIM-9X Sidewinder</t>
        </is>
      </c>
      <c r="D334" t="inlineStr">
        <is>
          <t>doi_that</t>
        </is>
      </c>
      <c r="E334" t="inlineStr">
        <is>
          <t>AIM-9X Sidewinder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uoc_dinh</t>
        </is>
      </c>
      <c r="P334" t="inlineStr">
        <is>
          <t>R_balance;R_full_weapon_audit;R_machine_brigade_can_bang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inlineStr">
        <is>
          <t>NEED_SOURCE</t>
        </is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60</v>
      </c>
      <c r="Y334" t="inlineStr">
        <is>
          <t>NEED_SOURCE</t>
        </is>
      </c>
      <c r="Z334" t="inlineStr">
        <is>
          <t>NEED_SOURCE</t>
        </is>
      </c>
      <c r="AA334" t="inlineStr">
        <is>
          <t>NEED_SOURCE</t>
        </is>
      </c>
      <c r="AB334" t="inlineStr">
        <is>
          <t>NEED_SOURCE</t>
        </is>
      </c>
      <c r="AC334" t="inlineStr">
        <is>
          <t>missile</t>
        </is>
      </c>
      <c r="AD334" t="inlineStr">
        <is>
          <t>air-to-air: ~1 s between launches (est.)</t>
        </is>
      </c>
      <c r="AE334" t="inlineStr">
        <is>
          <t>AIM-9X: 35 km, Mach 2,5+</t>
        </is>
      </c>
      <c r="AF334" t="inlineStr">
        <is>
          <t>Tools/balance/full_weapon_audit.py: REAL / WARHEAD; balance.json weapons[id=wvr_aam].real</t>
        </is>
      </c>
      <c r="AG334" t="inlineStr"/>
    </row>
    <row r="335">
      <c r="A335" t="inlineStr">
        <is>
          <t>zu23</t>
        </is>
      </c>
      <c r="B335" t="inlineStr">
        <is>
          <t>zu23</t>
        </is>
      </c>
      <c r="C335" t="inlineStr">
        <is>
          <t>ZU-23-2 23 mm</t>
        </is>
      </c>
      <c r="D335" t="inlineStr">
        <is>
          <t>doi_that</t>
        </is>
      </c>
      <c r="E335" t="inlineStr">
        <is>
          <t>ZU-23-2 23 mm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R_balance;R_full_weapon_audit;W_wikipedia_zu_23_2;R_machine_brigade_can_bang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23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1000</v>
      </c>
      <c r="Y335" t="n">
        <v>400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'ZU-23-2': 2 x 800-1,000 rpm</t>
        </is>
      </c>
      <c r="AE335" t="inlineStr">
        <is>
          <t>ZU-23-2: 2.000 phát/phút cả cặp; tầm 2,5 km</t>
        </is>
      </c>
      <c r="AF335" t="inlineStr">
        <is>
          <t>Tools/balance/full_weapon_audit.py: REAL / WARHEAD; balance.json weapons[id=zu23].real</t>
        </is>
      </c>
      <c r="AG335" t="inlineStr"/>
    </row>
    <row r="336">
      <c r="A336" t="inlineStr">
        <is>
          <t>zu23_ap</t>
        </is>
      </c>
      <c r="B336" t="inlineStr">
        <is>
          <t>zu23_ap</t>
        </is>
      </c>
      <c r="C336" t="inlineStr">
        <is>
          <t>ZU-23-2 23 mm AP</t>
        </is>
      </c>
      <c r="D336" t="inlineStr">
        <is>
          <t>doi_that</t>
        </is>
      </c>
      <c r="E336" t="inlineStr">
        <is>
          <t>ZU-23-2 23 mm AP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R_balance;R_full_weapon_audit;W_wikipedia_zu_23_2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23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1000</v>
      </c>
      <c r="Y336" t="n">
        <v>400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aa</t>
        </is>
      </c>
      <c r="AD336" t="inlineStr">
        <is>
          <t>Wikipedia 'ZU-23-2': 2 x 800-1,000 rpm</t>
        </is>
      </c>
      <c r="AE336" t="inlineStr"/>
      <c r="AF336" t="inlineStr">
        <is>
          <t>Tools/balance/full_weapon_audit.py: REAL / WARHEAD; balance.json weapons[id=zu23_ap].real</t>
        </is>
      </c>
      <c r="AG336" t="inlineStr"/>
    </row>
  </sheetData>
  <autoFilter ref="A1:AG33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60/INDEX(Vu_khi!$BB$2:$BB$336,MATCH($B$2,Vu_khi!$A$2:$A$336,0))/IF(INDEX(Vu_khi!$BD$2:$BD$336,MATCH($B$2,Vu_khi!$A$2:$A$336,0))="gun",0.7,1)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60/INDEX(Vu_khi!$BB$2:$BB$336,MATCH($B$3,Vu_khi!$A$2:$A$336,0))/IF(INDEX(Vu_khi!$BD$2:$BD$336,MATCH($B$3,Vu_khi!$A$2:$A$336,0))="gun",0.7,1)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60/INDEX(Vu_khi!$BB$2:$BB$336,MATCH($B$4,Vu_khi!$A$2:$A$336,0))/IF(INDEX(Vu_khi!$BD$2:$BD$336,MATCH($B$4,Vu_khi!$A$2:$A$336,0))="gun",0.7,1)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5.374997802</v>
      </c>
      <c r="F5">
        <f>60/INDEX(Vu_khi!$BB$2:$BB$336,MATCH($B$5,Vu_khi!$A$2:$A$336,0))/IF(INDEX(Vu_khi!$BD$2:$BD$336,MATCH($B$5,Vu_khi!$A$2:$A$336,0))="gun",0.7,1)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INDEX(Vu_khi!$X$2:$X$336,MATCH($B$6,Vu_khi!$A$2:$A$336,0))</f>
        <v/>
      </c>
      <c r="F6">
        <f>POWER(INDEX(Vu_khi_tham_chieu!$AB$2:$AB$336,MATCH($B$6,Vu_khi_tham_chieu!$A$2:$A$336,0)),1/3)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60/INDEX(Vu_khi!$BB$2:$BB$336,MATCH($B$7,Vu_khi!$A$2:$A$336,0))/IF(INDEX(Vu_khi!$BD$2:$BD$336,MATCH($B$7,Vu_khi!$A$2:$A$336,0))="gun",0.7,1)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INDEX(Vu_khi!$W$2:$W$336,MATCH($B$8,Vu_khi!$A$2:$A$336,0))</f>
        <v/>
      </c>
      <c r="F8">
        <f>INDEX(Vu_khi_tham_chieu!$AB$2:$AB$336,MATCH($B$8,Vu_khi_tham_chieu!$A$2:$A$336,0))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60/INDEX(Vu_khi!$BB$2:$BB$336,MATCH($B$9,Vu_khi!$A$2:$A$336,0))/IF(INDEX(Vu_khi!$BD$2:$BD$336,MATCH($B$9,Vu_khi!$A$2:$A$336,0))="gun",0.7,1)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60/INDEX(Vu_khi!$BB$2:$BB$336,MATCH($B$10,Vu_khi!$A$2:$A$336,0))/IF(INDEX(Vu_khi!$BD$2:$BD$336,MATCH($B$10,Vu_khi!$A$2:$A$336,0))="gun",0.7,1)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INDEX(Vu_khi!$W$2:$W$336,MATCH($B$11,Vu_khi!$A$2:$A$336,0))</f>
        <v/>
      </c>
      <c r="F11">
        <f>INDEX(Vu_khi_tham_chieu!$AB$2:$AB$336,MATCH($B$11,Vu_khi_tham_chieu!$A$2:$A$336,0))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60/INDEX(Vu_khi!$BB$2:$BB$336,MATCH($B$12,Vu_khi!$A$2:$A$336,0))/IF(INDEX(Vu_khi!$BD$2:$BD$336,MATCH($B$12,Vu_khi!$A$2:$A$336,0))="gun",0.7,1)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INDEX(Vu_khi!$W$2:$W$336,MATCH($B$13,Vu_khi!$A$2:$A$336,0))</f>
        <v/>
      </c>
      <c r="F13">
        <f>INDEX(Vu_khi_tham_chieu!$AB$2:$AB$336,MATCH($B$13,Vu_khi_tham_chieu!$A$2:$A$336,0))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60/INDEX(Vu_khi!$BB$2:$BB$336,MATCH($B$14,Vu_khi!$A$2:$A$336,0))/IF(INDEX(Vu_khi!$BD$2:$BD$336,MATCH($B$14,Vu_khi!$A$2:$A$336,0))="gun",0.7,1)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INDEX(Vu_khi!$W$2:$W$336,MATCH($B$15,Vu_khi!$A$2:$A$336,0))</f>
        <v/>
      </c>
      <c r="F15">
        <f>INDEX(Vu_khi_tham_chieu!$AB$2:$AB$336,MATCH($B$15,Vu_khi_tham_chieu!$A$2:$A$336,0))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60/INDEX(Vu_khi!$BB$2:$BB$336,MATCH($B$16,Vu_khi!$A$2:$A$336,0))/IF(INDEX(Vu_khi!$BD$2:$BD$336,MATCH($B$16,Vu_khi!$A$2:$A$336,0))="gun",0.7,1)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60/INDEX(Vu_khi!$BB$2:$BB$336,MATCH($B$17,Vu_khi!$A$2:$A$336,0))/IF(INDEX(Vu_khi!$BD$2:$BD$336,MATCH($B$17,Vu_khi!$A$2:$A$336,0))="gun",0.7,1)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60/INDEX(Vu_khi!$BB$2:$BB$336,MATCH($B$18,Vu_khi!$A$2:$A$336,0))/IF(INDEX(Vu_khi!$BD$2:$BD$336,MATCH($B$18,Vu_khi!$A$2:$A$336,0))="gun",0.7,1)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60/INDEX(Vu_khi!$BB$2:$BB$336,MATCH($B$19,Vu_khi!$A$2:$A$336,0))/IF(INDEX(Vu_khi!$BD$2:$BD$336,MATCH($B$19,Vu_khi!$A$2:$A$336,0))="gun",0.7,1)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5.209997143</v>
      </c>
      <c r="F20">
        <f>60/INDEX(Vu_khi!$BB$2:$BB$336,MATCH($B$20,Vu_khi!$A$2:$A$336,0))/IF(INDEX(Vu_khi!$BD$2:$BD$336,MATCH($B$20,Vu_khi!$A$2:$A$336,0))="gun",0.7,1)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60/INDEX(Vu_khi!$BB$2:$BB$336,MATCH($B$21,Vu_khi!$A$2:$A$336,0))/IF(INDEX(Vu_khi!$BD$2:$BD$336,MATCH($B$21,Vu_khi!$A$2:$A$336,0))="gun",0.7,1)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60/INDEX(Vu_khi!$BB$2:$BB$336,MATCH($B$22,Vu_khi!$A$2:$A$336,0))/IF(INDEX(Vu_khi!$BD$2:$BD$336,MATCH($B$22,Vu_khi!$A$2:$A$336,0))="gun",0.7,1)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60/INDEX(Vu_khi!$BB$2:$BB$336,MATCH($B$23,Vu_khi!$A$2:$A$336,0))/IF(INDEX(Vu_khi!$BD$2:$BD$336,MATCH($B$23,Vu_khi!$A$2:$A$336,0))="gun",0.7,1)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60/INDEX(Vu_khi!$BB$2:$BB$336,MATCH($B$24,Vu_khi!$A$2:$A$336,0))/IF(INDEX(Vu_khi!$BD$2:$BD$336,MATCH($B$24,Vu_khi!$A$2:$A$336,0))="gun",0.7,1)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60/INDEX(Vu_khi!$BB$2:$BB$336,MATCH($B$25,Vu_khi!$A$2:$A$336,0))/IF(INDEX(Vu_khi!$BD$2:$BD$336,MATCH($B$25,Vu_khi!$A$2:$A$336,0))="gun",0.7,1)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60/INDEX(Vu_khi!$BB$2:$BB$336,MATCH($B$26,Vu_khi!$A$2:$A$336,0))/IF(INDEX(Vu_khi!$BD$2:$BD$336,MATCH($B$26,Vu_khi!$A$2:$A$336,0))="gun",0.7,1)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60/INDEX(Vu_khi!$BB$2:$BB$336,MATCH($B$27,Vu_khi!$A$2:$A$336,0))/IF(INDEX(Vu_khi!$BD$2:$BD$336,MATCH($B$27,Vu_khi!$A$2:$A$336,0))="gun",0.7,1)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60/INDEX(Vu_khi!$BB$2:$BB$336,MATCH($B$28,Vu_khi!$A$2:$A$336,0))/IF(INDEX(Vu_khi!$BD$2:$BD$336,MATCH($B$28,Vu_khi!$A$2:$A$336,0))="gun",0.7,1)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60/INDEX(Vu_khi!$BB$2:$BB$336,MATCH($B$29,Vu_khi!$A$2:$A$336,0))/IF(INDEX(Vu_khi!$BD$2:$BD$336,MATCH($B$29,Vu_khi!$A$2:$A$336,0))="gun",0.7,1)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60/INDEX(Vu_khi!$BB$2:$BB$336,MATCH($B$30,Vu_khi!$A$2:$A$336,0))/IF(INDEX(Vu_khi!$BD$2:$BD$336,MATCH($B$30,Vu_khi!$A$2:$A$336,0))="gun",0.7,1)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60/INDEX(Vu_khi!$BB$2:$BB$336,MATCH($B$31,Vu_khi!$A$2:$A$336,0))/IF(INDEX(Vu_khi!$BD$2:$BD$336,MATCH($B$31,Vu_khi!$A$2:$A$336,0))="gun",0.7,1)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INDEX(Vu_khi!$W$2:$W$336,MATCH($B$32,Vu_khi!$A$2:$A$336,0))</f>
        <v/>
      </c>
      <c r="F32">
        <f>INDEX(Vu_khi_tham_chieu!$AB$2:$AB$336,MATCH($B$32,Vu_khi_tham_chieu!$A$2:$A$336,0))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60/INDEX(Vu_khi!$BB$2:$BB$336,MATCH($B$33,Vu_khi!$A$2:$A$336,0))/IF(INDEX(Vu_khi!$BD$2:$BD$336,MATCH($B$33,Vu_khi!$A$2:$A$336,0))="gun",0.7,1)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60/INDEX(Vu_khi!$BB$2:$BB$336,MATCH($B$34,Vu_khi!$A$2:$A$336,0))/IF(INDEX(Vu_khi!$BD$2:$BD$336,MATCH($B$34,Vu_khi!$A$2:$A$336,0))="gun",0.7,1)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60/INDEX(Vu_khi!$BB$2:$BB$336,MATCH($B$35,Vu_khi!$A$2:$A$336,0))/IF(INDEX(Vu_khi!$BD$2:$BD$336,MATCH($B$35,Vu_khi!$A$2:$A$336,0))="gun",0.7,1)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60/INDEX(Vu_khi!$BB$2:$BB$336,MATCH($B$36,Vu_khi!$A$2:$A$336,0))/IF(INDEX(Vu_khi!$BD$2:$BD$336,MATCH($B$36,Vu_khi!$A$2:$A$336,0))="gun",0.7,1)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60/INDEX(Vu_khi!$BB$2:$BB$336,MATCH($B$37,Vu_khi!$A$2:$A$336,0))/IF(INDEX(Vu_khi!$BD$2:$BD$336,MATCH($B$37,Vu_khi!$A$2:$A$336,0))="gun",0.7,1)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60/INDEX(Vu_khi!$BB$2:$BB$336,MATCH($B$38,Vu_khi!$A$2:$A$336,0))/IF(INDEX(Vu_khi!$BD$2:$BD$336,MATCH($B$38,Vu_khi!$A$2:$A$336,0))="gun",0.7,1)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60/INDEX(Vu_khi!$BB$2:$BB$336,MATCH($B$39,Vu_khi!$A$2:$A$336,0))/IF(INDEX(Vu_khi!$BD$2:$BD$336,MATCH($B$39,Vu_khi!$A$2:$A$336,0))="gun",0.7,1)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60/INDEX(Vu_khi!$BB$2:$BB$336,MATCH($B$40,Vu_khi!$A$2:$A$336,0))/IF(INDEX(Vu_khi!$BD$2:$BD$336,MATCH($B$40,Vu_khi!$A$2:$A$336,0))="gun",0.7,1)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60/INDEX(Vu_khi!$BB$2:$BB$336,MATCH($B$41,Vu_khi!$A$2:$A$336,0))/IF(INDEX(Vu_khi!$BD$2:$BD$336,MATCH($B$41,Vu_khi!$A$2:$A$336,0))="gun",0.7,1)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60/INDEX(Vu_khi!$BB$2:$BB$336,MATCH($B$42,Vu_khi!$A$2:$A$336,0))/IF(INDEX(Vu_khi!$BD$2:$BD$336,MATCH($B$42,Vu_khi!$A$2:$A$336,0))="gun",0.7,1)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11.8</v>
      </c>
      <c r="F43">
        <f>60/INDEX(Vu_khi!$BB$2:$BB$336,MATCH($B$43,Vu_khi!$A$2:$A$336,0))/IF(INDEX(Vu_khi!$BD$2:$BD$336,MATCH($B$43,Vu_khi!$A$2:$A$336,0))="gun",0.7,1)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60/INDEX(Vu_khi!$BB$2:$BB$336,MATCH($B$44,Vu_khi!$A$2:$A$336,0))/IF(INDEX(Vu_khi!$BD$2:$BD$336,MATCH($B$44,Vu_khi!$A$2:$A$336,0))="gun",0.7,1)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INDEX(Vu_khi!$W$2:$W$336,MATCH($B$45,Vu_khi!$A$2:$A$336,0))</f>
        <v/>
      </c>
      <c r="F45">
        <f>INDEX(Vu_khi_tham_chieu!$AB$2:$AB$336,MATCH($B$45,Vu_khi_tham_chieu!$A$2:$A$336,0))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60/INDEX(Vu_khi!$BB$2:$BB$336,MATCH($B$46,Vu_khi!$A$2:$A$336,0))/IF(INDEX(Vu_khi!$BD$2:$BD$336,MATCH($B$46,Vu_khi!$A$2:$A$336,0))="gun",0.7,1)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60/INDEX(Vu_khi!$BB$2:$BB$336,MATCH($B$47,Vu_khi!$A$2:$A$336,0))/IF(INDEX(Vu_khi!$BD$2:$BD$336,MATCH($B$47,Vu_khi!$A$2:$A$336,0))="gun",0.7,1)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TC0011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60/INDEX(Vu_khi!$BB$2:$BB$336,MATCH($B$48,Vu_khi!$A$2:$A$336,0))/IF(INDEX(Vu_khi!$BD$2:$BD$336,MATCH($B$48,Vu_khi!$A$2:$A$336,0))="gun",0.7,1)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60/INDEX(Vu_khi!$BB$2:$BB$336,MATCH($B$49,Vu_khi!$A$2:$A$336,0))/IF(INDEX(Vu_khi!$BD$2:$BD$336,MATCH($B$49,Vu_khi!$A$2:$A$336,0))="gun",0.7,1)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60/INDEX(Vu_khi!$BB$2:$BB$336,MATCH($B$50,Vu_khi!$A$2:$A$336,0))/IF(INDEX(Vu_khi!$BD$2:$BD$336,MATCH($B$50,Vu_khi!$A$2:$A$336,0))="gun",0.7,1)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60/INDEX(Vu_khi!$BB$2:$BB$336,MATCH($B$51,Vu_khi!$A$2:$A$336,0))/IF(INDEX(Vu_khi!$BD$2:$BD$336,MATCH($B$51,Vu_khi!$A$2:$A$336,0))="gun",0.7,1)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60/INDEX(Vu_khi!$BB$2:$BB$336,MATCH($B$52,Vu_khi!$A$2:$A$336,0))/IF(INDEX(Vu_khi!$BD$2:$BD$336,MATCH($B$52,Vu_khi!$A$2:$A$336,0))="gun",0.7,1)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60/INDEX(Vu_khi!$BB$2:$BB$336,MATCH($B$53,Vu_khi!$A$2:$A$336,0))/IF(INDEX(Vu_khi!$BD$2:$BD$336,MATCH($B$53,Vu_khi!$A$2:$A$336,0))="gun",0.7,1)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60/INDEX(Vu_khi!$BB$2:$BB$336,MATCH($B$54,Vu_khi!$A$2:$A$336,0))/IF(INDEX(Vu_khi!$BD$2:$BD$336,MATCH($B$54,Vu_khi!$A$2:$A$336,0))="gun",0.7,1)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2.25</v>
      </c>
      <c r="F55">
        <f>60/INDEX(Vu_khi!$BB$2:$BB$336,MATCH($B$55,Vu_khi!$A$2:$A$336,0))/IF(INDEX(Vu_khi!$BD$2:$BD$336,MATCH($B$55,Vu_khi!$A$2:$A$336,0))="gun",0.7,1)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TC0029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3</v>
      </c>
      <c r="F56">
        <f>60/INDEX(Vu_khi!$BB$2:$BB$336,MATCH($B$56,Vu_khi!$A$2:$A$336,0))/IF(INDEX(Vu_khi!$BD$2:$BD$336,MATCH($B$56,Vu_khi!$A$2:$A$336,0))="gun",0.7,1)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TC0012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3.907995918</v>
      </c>
      <c r="F57">
        <f>60/INDEX(Vu_khi!$BB$2:$BB$336,MATCH($B$57,Vu_khi!$A$2:$A$336,0))/IF(INDEX(Vu_khi!$BD$2:$BD$336,MATCH($B$57,Vu_khi!$A$2:$A$336,0))="gun",0.7,1)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TC0013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60/INDEX(Vu_khi!$BB$2:$BB$336,MATCH($B$58,Vu_khi!$A$2:$A$336,0))/IF(INDEX(Vu_khi!$BD$2:$BD$336,MATCH($B$58,Vu_khi!$A$2:$A$336,0))="gun",0.7,1)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TC0014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3.333293878</v>
      </c>
      <c r="F59">
        <f>60/INDEX(Vu_khi!$BB$2:$BB$336,MATCH($B$59,Vu_khi!$A$2:$A$336,0))/IF(INDEX(Vu_khi!$BD$2:$BD$336,MATCH($B$59,Vu_khi!$A$2:$A$336,0))="gun",0.7,1)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TC0015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60/INDEX(Vu_khi!$BB$2:$BB$336,MATCH($B$60,Vu_khi!$A$2:$A$336,0))/IF(INDEX(Vu_khi!$BD$2:$BD$336,MATCH($B$60,Vu_khi!$A$2:$A$336,0))="gun",0.7,1)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3.703703571</v>
      </c>
      <c r="F61">
        <f>60/INDEX(Vu_khi!$BB$2:$BB$336,MATCH($B$61,Vu_khi!$A$2:$A$336,0))/IF(INDEX(Vu_khi!$BD$2:$BD$336,MATCH($B$61,Vu_khi!$A$2:$A$336,0))="gun",0.7,1)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TC0016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5.163</v>
      </c>
      <c r="F62">
        <f>60/INDEX(Vu_khi!$BB$2:$BB$336,MATCH($B$62,Vu_khi!$A$2:$A$336,0))/IF(INDEX(Vu_khi!$BD$2:$BD$336,MATCH($B$62,Vu_khi!$A$2:$A$336,0))="gun",0.7,1)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>
        <is>
          <t>TC0017</t>
        </is>
      </c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5.097996429</v>
      </c>
      <c r="F63">
        <f>60/INDEX(Vu_khi!$BB$2:$BB$336,MATCH($B$63,Vu_khi!$A$2:$A$336,0))/IF(INDEX(Vu_khi!$BD$2:$BD$336,MATCH($B$63,Vu_khi!$A$2:$A$336,0))="gun",0.7,1)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>
        <is>
          <t>TC0018</t>
        </is>
      </c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5.000003571</v>
      </c>
      <c r="F64">
        <f>60/INDEX(Vu_khi!$BB$2:$BB$336,MATCH($B$64,Vu_khi!$A$2:$A$336,0))/IF(INDEX(Vu_khi!$BD$2:$BD$336,MATCH($B$64,Vu_khi!$A$2:$A$336,0))="gun",0.7,1)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>
        <is>
          <t>TC0019</t>
        </is>
      </c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5.660003571</v>
      </c>
      <c r="F65">
        <f>60/INDEX(Vu_khi!$BB$2:$BB$336,MATCH($B$65,Vu_khi!$A$2:$A$336,0))/IF(INDEX(Vu_khi!$BD$2:$BD$336,MATCH($B$65,Vu_khi!$A$2:$A$336,0))="gun",0.7,1)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>
        <is>
          <t>TC0020</t>
        </is>
      </c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4.537002857</v>
      </c>
      <c r="F66">
        <f>60/INDEX(Vu_khi!$BB$2:$BB$336,MATCH($B$66,Vu_khi!$A$2:$A$336,0))/IF(INDEX(Vu_khi!$BD$2:$BD$336,MATCH($B$66,Vu_khi!$A$2:$A$336,0))="gun",0.7,1)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>
        <is>
          <t>TC0021</t>
        </is>
      </c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5.713997143</v>
      </c>
      <c r="F67">
        <f>60/INDEX(Vu_khi!$BB$2:$BB$336,MATCH($B$67,Vu_khi!$A$2:$A$336,0))/IF(INDEX(Vu_khi!$BD$2:$BD$336,MATCH($B$67,Vu_khi!$A$2:$A$336,0))="gun",0.7,1)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6</v>
      </c>
      <c r="F68">
        <f>60/INDEX(Vu_khi!$BB$2:$BB$336,MATCH($B$68,Vu_khi!$A$2:$A$336,0))/IF(INDEX(Vu_khi!$BD$2:$BD$336,MATCH($B$68,Vu_khi!$A$2:$A$336,0))="gun",0.7,1)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6.33</v>
      </c>
      <c r="F69">
        <f>60/INDEX(Vu_khi!$BB$2:$BB$336,MATCH($B$69,Vu_khi!$A$2:$A$336,0))/IF(INDEX(Vu_khi!$BD$2:$BD$336,MATCH($B$69,Vu_khi!$A$2:$A$336,0))="gun",0.7,1)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4.420007143</v>
      </c>
      <c r="F70">
        <f>60/INDEX(Vu_khi!$BB$2:$BB$336,MATCH($B$70,Vu_khi!$A$2:$A$336,0))/IF(INDEX(Vu_khi!$BD$2:$BD$336,MATCH($B$70,Vu_khi!$A$2:$A$336,0))="gun",0.7,1)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TC0022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60/INDEX(Vu_khi!$BB$2:$BB$336,MATCH($B$71,Vu_khi!$A$2:$A$336,0))/IF(INDEX(Vu_khi!$BD$2:$BD$336,MATCH($B$71,Vu_khi!$A$2:$A$336,0))="gun",0.7,1)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60/INDEX(Vu_khi!$BB$2:$BB$336,MATCH($B$72,Vu_khi!$A$2:$A$336,0))/IF(INDEX(Vu_khi!$BD$2:$BD$336,MATCH($B$72,Vu_khi!$A$2:$A$336,0))="gun",0.7,1)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TC0023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5.55</v>
      </c>
      <c r="F73">
        <f>60/INDEX(Vu_khi!$BB$2:$BB$336,MATCH($B$73,Vu_khi!$A$2:$A$336,0))/IF(INDEX(Vu_khi!$BD$2:$BD$336,MATCH($B$73,Vu_khi!$A$2:$A$336,0))="gun",0.7,1)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TC0024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5.55</v>
      </c>
      <c r="F74">
        <f>60/INDEX(Vu_khi!$BB$2:$BB$336,MATCH($B$74,Vu_khi!$A$2:$A$336,0))/IF(INDEX(Vu_khi!$BD$2:$BD$336,MATCH($B$74,Vu_khi!$A$2:$A$336,0))="gun",0.7,1)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TC0025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5.55</v>
      </c>
      <c r="F75">
        <f>60/INDEX(Vu_khi!$BB$2:$BB$336,MATCH($B$75,Vu_khi!$A$2:$A$336,0))/IF(INDEX(Vu_khi!$BD$2:$BD$336,MATCH($B$75,Vu_khi!$A$2:$A$336,0))="gun",0.7,1)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TC0026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60/INDEX(Vu_khi!$BB$2:$BB$336,MATCH($B$76,Vu_khi!$A$2:$A$336,0))/IF(INDEX(Vu_khi!$BD$2:$BD$336,MATCH($B$76,Vu_khi!$A$2:$A$336,0))="gun",0.7,1)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TC0027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60/INDEX(Vu_khi!$BB$2:$BB$336,MATCH($B$77,Vu_khi!$A$2:$A$336,0))/IF(INDEX(Vu_khi!$BD$2:$BD$336,MATCH($B$77,Vu_khi!$A$2:$A$336,0))="gun",0.7,1)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TC0028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60/INDEX(Vu_khi!$BB$2:$BB$336,MATCH($B$78,Vu_khi!$A$2:$A$336,0))/IF(INDEX(Vu_khi!$BD$2:$BD$336,MATCH($B$78,Vu_khi!$A$2:$A$336,0))="gun",0.7,1)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60/INDEX(Vu_khi!$BB$2:$BB$336,MATCH($B$79,Vu_khi!$A$2:$A$336,0))/IF(INDEX(Vu_khi!$BD$2:$BD$336,MATCH($B$79,Vu_khi!$A$2:$A$336,0))="gun",0.7,1)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60/INDEX(Vu_khi!$BB$2:$BB$336,MATCH($B$80,Vu_khi!$A$2:$A$336,0))/IF(INDEX(Vu_khi!$BD$2:$BD$336,MATCH($B$80,Vu_khi!$A$2:$A$336,0))="gun",0.7,1)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TC0030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60/INDEX(Vu_khi!$BB$2:$BB$336,MATCH($B$81,Vu_khi!$A$2:$A$336,0))/IF(INDEX(Vu_khi!$BD$2:$BD$336,MATCH($B$81,Vu_khi!$A$2:$A$336,0))="gun",0.7,1)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60/INDEX(Vu_khi!$BB$2:$BB$336,MATCH($B$82,Vu_khi!$A$2:$A$336,0))/IF(INDEX(Vu_khi!$BD$2:$BD$336,MATCH($B$82,Vu_khi!$A$2:$A$336,0))="gun",0.7,1)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TC0031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2.743002857</v>
      </c>
      <c r="F83">
        <f>60/INDEX(Vu_khi!$BB$2:$BB$336,MATCH($B$83,Vu_khi!$A$2:$A$336,0))/IF(INDEX(Vu_khi!$BD$2:$BD$336,MATCH($B$83,Vu_khi!$A$2:$A$336,0))="gun",0.7,1)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60/INDEX(Vu_khi!$BB$2:$BB$336,MATCH($B$84,Vu_khi!$A$2:$A$336,0))/IF(INDEX(Vu_khi!$BD$2:$BD$336,MATCH($B$84,Vu_khi!$A$2:$A$336,0))="gun",0.7,1)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60/INDEX(Vu_khi!$BB$2:$BB$336,MATCH($B$85,Vu_khi!$A$2:$A$336,0))/IF(INDEX(Vu_khi!$BD$2:$BD$336,MATCH($B$85,Vu_khi!$A$2:$A$336,0))="gun",0.7,1)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60/INDEX(Vu_khi!$BB$2:$BB$336,MATCH($B$86,Vu_khi!$A$2:$A$336,0))/IF(INDEX(Vu_khi!$BD$2:$BD$336,MATCH($B$86,Vu_khi!$A$2:$A$336,0))="gun",0.7,1)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INDEX(Vu_khi!$W$2:$W$336,MATCH($B$87,Vu_khi!$A$2:$A$336,0))</f>
        <v/>
      </c>
      <c r="F87">
        <f>INDEX(Vu_khi_tham_chieu!$AB$2:$AB$336,MATCH($B$87,Vu_khi_tham_chieu!$A$2:$A$336,0))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INDEX(Vu_khi!$W$2:$W$336,MATCH($B$88,Vu_khi!$A$2:$A$336,0))</f>
        <v/>
      </c>
      <c r="F88">
        <f>INDEX(Vu_khi_tham_chieu!$AB$2:$AB$336,MATCH($B$88,Vu_khi_tham_chieu!$A$2:$A$336,0))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60/INDEX(Vu_khi!$BB$2:$BB$336,MATCH($B$89,Vu_khi!$A$2:$A$336,0))/IF(INDEX(Vu_khi!$BD$2:$BD$336,MATCH($B$89,Vu_khi!$A$2:$A$336,0))="gun",0.7,1)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60/INDEX(Vu_khi!$BB$2:$BB$336,MATCH($B$90,Vu_khi!$A$2:$A$336,0))/IF(INDEX(Vu_khi!$BD$2:$BD$336,MATCH($B$90,Vu_khi!$A$2:$A$336,0))="gun",0.7,1)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60/INDEX(Vu_khi!$BB$2:$BB$336,MATCH($B$91,Vu_khi!$A$2:$A$336,0))/IF(INDEX(Vu_khi!$BD$2:$BD$336,MATCH($B$91,Vu_khi!$A$2:$A$336,0))="gun",0.7,1)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60/INDEX(Vu_khi!$BB$2:$BB$336,MATCH($B$92,Vu_khi!$A$2:$A$336,0))/IF(INDEX(Vu_khi!$BD$2:$BD$336,MATCH($B$92,Vu_khi!$A$2:$A$336,0))="gun",0.7,1)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60/INDEX(Vu_khi!$BB$2:$BB$336,MATCH($B$93,Vu_khi!$A$2:$A$336,0))/IF(INDEX(Vu_khi!$BD$2:$BD$336,MATCH($B$93,Vu_khi!$A$2:$A$336,0))="gun",0.7,1)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60/INDEX(Vu_khi!$BB$2:$BB$336,MATCH($B$94,Vu_khi!$A$2:$A$336,0))/IF(INDEX(Vu_khi!$BD$2:$BD$336,MATCH($B$94,Vu_khi!$A$2:$A$336,0))="gun",0.7,1)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60/INDEX(Vu_khi!$BB$2:$BB$336,MATCH($B$95,Vu_khi!$A$2:$A$336,0))/IF(INDEX(Vu_khi!$BD$2:$BD$336,MATCH($B$95,Vu_khi!$A$2:$A$336,0))="gun",0.7,1)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8.817407143000001</v>
      </c>
      <c r="F96">
        <f>60/INDEX(Vu_khi!$BB$2:$BB$336,MATCH($B$96,Vu_khi!$A$2:$A$336,0))/IF(INDEX(Vu_khi!$BD$2:$BD$336,MATCH($B$96,Vu_khi!$A$2:$A$336,0))="gun",0.7,1)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TC0032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6.349992857</v>
      </c>
      <c r="F97">
        <f>60/INDEX(Vu_khi!$BB$2:$BB$336,MATCH($B$97,Vu_khi!$A$2:$A$336,0))/IF(INDEX(Vu_khi!$BD$2:$BD$336,MATCH($B$97,Vu_khi!$A$2:$A$336,0))="gun",0.7,1)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TC0033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4.549992857</v>
      </c>
      <c r="F98">
        <f>60/INDEX(Vu_khi!$BB$2:$BB$336,MATCH($B$98,Vu_khi!$A$2:$A$336,0))/IF(INDEX(Vu_khi!$BD$2:$BD$336,MATCH($B$98,Vu_khi!$A$2:$A$336,0))="gun",0.7,1)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TC0034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60/INDEX(Vu_khi!$BB$2:$BB$336,MATCH($B$99,Vu_khi!$A$2:$A$336,0))/IF(INDEX(Vu_khi!$BD$2:$BD$336,MATCH($B$99,Vu_khi!$A$2:$A$336,0))="gun",0.7,1)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60/INDEX(Vu_khi!$BB$2:$BB$336,MATCH($B$100,Vu_khi!$A$2:$A$336,0))/IF(INDEX(Vu_khi!$BD$2:$BD$336,MATCH($B$100,Vu_khi!$A$2:$A$336,0))="gun",0.7,1)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INDEX(Vu_khi!$X$2:$X$336,MATCH($B$101,Vu_khi!$A$2:$A$336,0))</f>
        <v/>
      </c>
      <c r="F101">
        <f>POWER(INDEX(Vu_khi_tham_chieu!$AB$2:$AB$336,MATCH($B$101,Vu_khi_tham_chieu!$A$2:$A$336,0)),1/3)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INDEX(Vu_khi!$W$2:$W$336,MATCH($B$102,Vu_khi!$A$2:$A$336,0))</f>
        <v/>
      </c>
      <c r="F102">
        <f>INDEX(Vu_khi_tham_chieu!$AB$2:$AB$336,MATCH($B$102,Vu_khi_tham_chieu!$A$2:$A$336,0))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60/INDEX(Vu_khi!$BB$2:$BB$336,MATCH($B$103,Vu_khi!$A$2:$A$336,0))/IF(INDEX(Vu_khi!$BD$2:$BD$336,MATCH($B$103,Vu_khi!$A$2:$A$336,0))="gun",0.7,1)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TC0035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60/INDEX(Vu_khi!$BB$2:$BB$336,MATCH($B$104,Vu_khi!$A$2:$A$336,0))/IF(INDEX(Vu_khi!$BD$2:$BD$336,MATCH($B$104,Vu_khi!$A$2:$A$336,0))="gun",0.7,1)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60/INDEX(Vu_khi!$BB$2:$BB$336,MATCH($B$105,Vu_khi!$A$2:$A$336,0))/IF(INDEX(Vu_khi!$BD$2:$BD$336,MATCH($B$105,Vu_khi!$A$2:$A$336,0))="gun",0.7,1)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60/INDEX(Vu_khi!$BB$2:$BB$336,MATCH($B$106,Vu_khi!$A$2:$A$336,0))/IF(INDEX(Vu_khi!$BD$2:$BD$336,MATCH($B$106,Vu_khi!$A$2:$A$336,0))="gun",0.7,1)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kh29/sat_thuong</t>
        </is>
      </c>
      <c r="B107" t="inlineStr">
        <is>
          <t>kh29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INDEX(Vu_khi!$W$2:$W$336,MATCH($B$107,Vu_khi!$A$2:$A$336,0))</f>
        <v/>
      </c>
      <c r="F107">
        <f>INDEX(Vu_khi_tham_chieu!$AB$2:$AB$336,MATCH($B$107,Vu_khi_tham_chieu!$A$2:$A$336,0))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kornet_multi/nhip</t>
        </is>
      </c>
      <c r="B108" t="inlineStr">
        <is>
          <t>kornet_multi</t>
        </is>
      </c>
      <c r="C108" t="inlineStr">
        <is>
          <t>khe_mot_nong_mot_vien</t>
        </is>
      </c>
      <c r="D108" t="inlineStr">
        <is>
          <t>s</t>
        </is>
      </c>
      <c r="E108" t="n">
        <v>5.55</v>
      </c>
      <c r="F108">
        <f>60/INDEX(Vu_khi!$BB$2:$BB$336,MATCH($B$108,Vu_khi!$A$2:$A$336,0))/IF(INDEX(Vu_khi!$BD$2:$BD$336,MATCH($B$108,Vu_khi!$A$2:$A$336,0))="gun",0.7,1)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>
        <is>
          <t>TC0036</t>
        </is>
      </c>
      <c r="N108" t="inlineStr">
        <is>
          <t>R_balance;R_full_weapon_audit;W_wikipedia_9m133_kornet;W_wikipedia_bai_cua_tung_ten_lua_bang_warhead;R_machine_brigade_can_bang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kornet_multi/sat_thuong</t>
        </is>
      </c>
      <c r="B109" t="inlineStr">
        <is>
          <t>kornet_multi</t>
        </is>
      </c>
      <c r="C109" t="inlineStr">
        <is>
          <t>sat_thuong_tren_kg_dau_dan</t>
        </is>
      </c>
      <c r="D109" t="inlineStr">
        <is>
          <t>hp/kg</t>
        </is>
      </c>
      <c r="E109">
        <f>INDEX(Vu_khi!$W$2:$W$336,MATCH($B$109,Vu_khi!$A$2:$A$336,0))</f>
        <v/>
      </c>
      <c r="F109">
        <f>INDEX(Vu_khi_tham_chieu!$AB$2:$AB$336,MATCH($B$109,Vu_khi_tham_chieu!$A$2:$A$336,0))</f>
        <v/>
      </c>
      <c r="G109">
        <f>$E$109/$F$109</f>
        <v/>
      </c>
      <c r="H109" t="inlineStr"/>
      <c r="I109" t="inlineStr"/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R_full_weapon_audit</t>
        </is>
      </c>
      <c r="O109" t="inlineStr">
        <is>
          <t>sát thương một phát / khối lượng đầu đạn (không bắt buộc 1:1, chỉ ghi ty_le)</t>
        </is>
      </c>
      <c r="P109" t="inlineStr">
        <is>
          <t>Tools/balance/full_weapon_audit.py WARHEAD</t>
        </is>
      </c>
      <c r="Q109" t="inlineStr"/>
    </row>
    <row r="110">
      <c r="A110" t="inlineStr">
        <is>
          <t>kornet_top/nhip</t>
        </is>
      </c>
      <c r="B110" t="inlineStr">
        <is>
          <t>kornet_top</t>
        </is>
      </c>
      <c r="C110" t="inlineStr">
        <is>
          <t>khe_mot_nong_mot_vien</t>
        </is>
      </c>
      <c r="D110" t="inlineStr">
        <is>
          <t>s</t>
        </is>
      </c>
      <c r="E110" t="n">
        <v>5.2</v>
      </c>
      <c r="F110">
        <f>60/INDEX(Vu_khi!$BB$2:$BB$336,MATCH($B$110,Vu_khi!$A$2:$A$336,0))/IF(INDEX(Vu_khi!$BD$2:$BD$336,MATCH($B$110,Vu_khi!$A$2:$A$336,0))="gun",0.7,1)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>
        <is>
          <t>TC0037</t>
        </is>
      </c>
      <c r="N110" t="inlineStr">
        <is>
          <t>R_balance;R_full_weapon_audit;W_wikipedia_9m133_kornet;W_wikipedia_bai_cua_tung_ten_lua_bang_warhead;R_machine_brigade_can_bang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kornet_top/sat_thuong</t>
        </is>
      </c>
      <c r="B111" t="inlineStr">
        <is>
          <t>kornet_top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INDEX(Vu_khi!$W$2:$W$336,MATCH($B$111,Vu_khi!$A$2:$A$336,0))</f>
        <v/>
      </c>
      <c r="F111">
        <f>INDEX(Vu_khi_tham_chieu!$AB$2:$AB$336,MATCH($B$111,Vu_khi_tham_chieu!$A$2:$A$336,0))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kornet_twin/nhip</t>
        </is>
      </c>
      <c r="B112" t="inlineStr">
        <is>
          <t>kornet_twin</t>
        </is>
      </c>
      <c r="C112" t="inlineStr">
        <is>
          <t>khe_mot_nong_mot_vien</t>
        </is>
      </c>
      <c r="D112" t="inlineStr">
        <is>
          <t>s</t>
        </is>
      </c>
      <c r="E112" t="n">
        <v>11.11</v>
      </c>
      <c r="F112">
        <f>60/INDEX(Vu_khi!$BB$2:$BB$336,MATCH($B$112,Vu_khi!$A$2:$A$336,0))/IF(INDEX(Vu_khi!$BD$2:$BD$336,MATCH($B$112,Vu_khi!$A$2:$A$336,0))="gun",0.7,1)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>
        <is>
          <t>TC0038</t>
        </is>
      </c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kornet_twin/sat_thuong</t>
        </is>
      </c>
      <c r="B113" t="inlineStr">
        <is>
          <t>kornet_twin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INDEX(Vu_khi!$W$2:$W$336,MATCH($B$113,Vu_khi!$A$2:$A$336,0))</f>
        <v/>
      </c>
      <c r="F113">
        <f>INDEX(Vu_khi_tham_chieu!$AB$2:$AB$336,MATCH($B$113,Vu_khi_tham_chieu!$A$2:$A$336,0))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leviathan_460/nhip</t>
        </is>
      </c>
      <c r="B114" t="inlineStr">
        <is>
          <t>leviathan_460</t>
        </is>
      </c>
      <c r="C114" t="inlineStr">
        <is>
          <t>khe_mot_nong_mot_vien</t>
        </is>
      </c>
      <c r="D114" t="inlineStr">
        <is>
          <t>s</t>
        </is>
      </c>
      <c r="E114" t="n">
        <v>42</v>
      </c>
      <c r="F114">
        <f>60/INDEX(Vu_khi!$BB$2:$BB$336,MATCH($B$114,Vu_khi!$A$2:$A$336,0))/IF(INDEX(Vu_khi!$BD$2:$BD$336,MATCH($B$114,Vu_khi!$A$2:$A$336,0))="gun",0.7,1)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R_balance;R_full_weapon_audit;W_wikipedia_16_50_caliber_mark_7;R_machine_brigade_can_bang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leviathan_cruise/loi_no</t>
        </is>
      </c>
      <c r="B115" t="inlineStr">
        <is>
          <t>leviathan_cruise</t>
        </is>
      </c>
      <c r="C115" t="inlineStr">
        <is>
          <t>loi_m_tren_can_bac_ba_kg_dau_dan</t>
        </is>
      </c>
      <c r="D115" t="inlineStr">
        <is>
          <t>m/kg^(1/3)</t>
        </is>
      </c>
      <c r="E115">
        <f>INDEX(Vu_khi!$X$2:$X$336,MATCH($B$115,Vu_khi!$A$2:$A$336,0))</f>
        <v/>
      </c>
      <c r="F115">
        <f>POWER(INDEX(Vu_khi_tham_chieu!$AB$2:$AB$336,MATCH($B$115,Vu_khi_tham_chieu!$A$2:$A$336,0)),1/3)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lõi nổ / căn bậc ba khối lượng đầu đạn (đầu đạn thay cho thuốc nổ: repo không có khối lượng thuốc nổ)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leviathan_cruise/sat_thuong</t>
        </is>
      </c>
      <c r="B116" t="inlineStr">
        <is>
          <t>leviathan_cruise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INDEX(Vu_khi!$W$2:$W$336,MATCH($B$116,Vu_khi!$A$2:$A$336,0))</f>
        <v/>
      </c>
      <c r="F116">
        <f>INDEX(Vu_khi_tham_chieu!$AB$2:$AB$336,MATCH($B$116,Vu_khi_tham_chieu!$A$2:$A$336,0))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maverick/sat_thuong</t>
        </is>
      </c>
      <c r="B117" t="inlineStr">
        <is>
          <t>maverick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INDEX(Vu_khi!$W$2:$W$336,MATCH($B$117,Vu_khi!$A$2:$A$336,0))</f>
        <v/>
      </c>
      <c r="F117">
        <f>INDEX(Vu_khi_tham_chieu!$AB$2:$AB$336,MATCH($B$117,Vu_khi_tham_chieu!$A$2:$A$336,0))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mg_coax/nhip</t>
        </is>
      </c>
      <c r="B118" t="inlineStr">
        <is>
          <t>mg_coax</t>
        </is>
      </c>
      <c r="C118" t="inlineStr">
        <is>
          <t>khe_mot_nong_mot_vien</t>
        </is>
      </c>
      <c r="D118" t="inlineStr">
        <is>
          <t>s</t>
        </is>
      </c>
      <c r="E118" t="n">
        <v>0.1233</v>
      </c>
      <c r="F118">
        <f>60/INDEX(Vu_khi!$BB$2:$BB$336,MATCH($B$118,Vu_khi!$A$2:$A$336,0))/IF(INDEX(Vu_khi!$BD$2:$BD$336,MATCH($B$118,Vu_khi!$A$2:$A$336,0))="gun",0.7,1)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R_balance;R_full_weapon_audit;W_wikipedia_pk_machine_gun;R_machine_brigade_can_bang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mg_coax_long/nhip</t>
        </is>
      </c>
      <c r="B119" t="inlineStr">
        <is>
          <t>mg_coax_long</t>
        </is>
      </c>
      <c r="C119" t="inlineStr">
        <is>
          <t>khe_mot_nong_mot_vien</t>
        </is>
      </c>
      <c r="D119" t="inlineStr">
        <is>
          <t>s</t>
        </is>
      </c>
      <c r="E119" t="n">
        <v>0.1233</v>
      </c>
      <c r="F119">
        <f>60/INDEX(Vu_khi!$BB$2:$BB$336,MATCH($B$119,Vu_khi!$A$2:$A$336,0))/IF(INDEX(Vu_khi!$BD$2:$BD$336,MATCH($B$119,Vu_khi!$A$2:$A$336,0))="gun",0.7,1)</f>
        <v/>
      </c>
      <c r="G119">
        <f>$E$119/$F$119</f>
        <v/>
      </c>
      <c r="H119" t="n">
        <v>0.6</v>
      </c>
      <c r="I119" t="n">
        <v>2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R_balance;R_full_weapon_audit;W_wikipedia_pk_machine_gun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mg_jeep/nhip</t>
        </is>
      </c>
      <c r="B120" t="inlineStr">
        <is>
          <t>mg_jeep</t>
        </is>
      </c>
      <c r="C120" t="inlineStr">
        <is>
          <t>khe_mot_nong_mot_vien</t>
        </is>
      </c>
      <c r="D120" t="inlineStr">
        <is>
          <t>s</t>
        </is>
      </c>
      <c r="E120" t="n">
        <v>0.1611</v>
      </c>
      <c r="F120">
        <f>60/INDEX(Vu_khi!$BB$2:$BB$336,MATCH($B$120,Vu_khi!$A$2:$A$336,0))/IF(INDEX(Vu_khi!$BD$2:$BD$336,MATCH($B$120,Vu_khi!$A$2:$A$336,0))="gun",0.7,1)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R_balance;R_full_weapon_audit;D_us_army_fm_3_22_65;R_machine_brigade_can_bang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mg_jeep_selfdef/nhip</t>
        </is>
      </c>
      <c r="B121" t="inlineStr">
        <is>
          <t>mg_jeep_selfdef</t>
        </is>
      </c>
      <c r="C121" t="inlineStr">
        <is>
          <t>khe_mot_nong_mot_vien</t>
        </is>
      </c>
      <c r="D121" t="inlineStr">
        <is>
          <t>s</t>
        </is>
      </c>
      <c r="E121" t="n">
        <v>0.1611</v>
      </c>
      <c r="F121">
        <f>60/INDEX(Vu_khi!$BB$2:$BB$336,MATCH($B$121,Vu_khi!$A$2:$A$336,0))/IF(INDEX(Vu_khi!$BD$2:$BD$336,MATCH($B$121,Vu_khi!$A$2:$A$336,0))="gun",0.7,1)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R_balance;R_full_weapon_audit;D_us_army_fm_3_22_65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minigun/nhip</t>
        </is>
      </c>
      <c r="B122" t="inlineStr">
        <is>
          <t>minigun</t>
        </is>
      </c>
      <c r="C122" t="inlineStr">
        <is>
          <t>khe_mot_nong_mot_vien</t>
        </is>
      </c>
      <c r="D122" t="inlineStr">
        <is>
          <t>s</t>
        </is>
      </c>
      <c r="E122" t="n">
        <v>0.04</v>
      </c>
      <c r="F122">
        <f>60/INDEX(Vu_khi!$BB$2:$BB$336,MATCH($B$122,Vu_khi!$A$2:$A$336,0))/IF(INDEX(Vu_khi!$BD$2:$BD$336,MATCH($B$122,Vu_khi!$A$2:$A$336,0))="gun",0.7,1)</f>
        <v/>
      </c>
      <c r="G122">
        <f>$E$122/$F$122</f>
        <v/>
      </c>
      <c r="H122" t="n">
        <v>0.6</v>
      </c>
      <c r="I122" t="n">
        <v>2</v>
      </c>
      <c r="J122" t="b">
        <v>1</v>
      </c>
      <c r="K1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2">
        <f>IF(ISNUMBER($H$122),AND(NOT($J$122),OR($G$122&lt;$H$122,$G$122&gt;$I$122)),FALSE)</f>
        <v/>
      </c>
      <c r="M122" t="inlineStr"/>
      <c r="N122" t="inlineStr">
        <is>
          <t>R_balance;R_full_weapon_audit;W_wikipedia_m134_minigun;R_machine_brigade_can_bang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missile_57e6/nhip</t>
        </is>
      </c>
      <c r="B123" t="inlineStr">
        <is>
          <t>missile_57e6</t>
        </is>
      </c>
      <c r="C123" t="inlineStr">
        <is>
          <t>khe_mot_nong_mot_vien</t>
        </is>
      </c>
      <c r="D123" t="inlineStr">
        <is>
          <t>s</t>
        </is>
      </c>
      <c r="E123" t="n">
        <v>4.452</v>
      </c>
      <c r="F123">
        <f>60/INDEX(Vu_khi!$BB$2:$BB$336,MATCH($B$123,Vu_khi!$A$2:$A$336,0))/IF(INDEX(Vu_khi!$BD$2:$BD$336,MATCH($B$123,Vu_khi!$A$2:$A$336,0))="gun",0.7,1)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R_balance;R_full_weapon_audit;W_wikipedia_pantsir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mlrs_elite/nhip</t>
        </is>
      </c>
      <c r="B124" t="inlineStr">
        <is>
          <t>mlrs_elite</t>
        </is>
      </c>
      <c r="C124" t="inlineStr">
        <is>
          <t>khe_mot_nong_mot_vien</t>
        </is>
      </c>
      <c r="D124" t="inlineStr">
        <is>
          <t>s</t>
        </is>
      </c>
      <c r="E124" t="n">
        <v>0.14</v>
      </c>
      <c r="F124">
        <f>60/INDEX(Vu_khi!$BB$2:$BB$336,MATCH($B$124,Vu_khi!$A$2:$A$336,0))/IF(INDEX(Vu_khi!$BD$2:$BD$336,MATCH($B$124,Vu_khi!$A$2:$A$336,0))="gun",0.7,1)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>
        <is>
          <t>TC0039</t>
        </is>
      </c>
      <c r="N124" t="inlineStr">
        <is>
          <t>R_balance;R_full_weapon_audit;W_wikipedia_m270_mlrs;R_machine_brigade_can_bang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mlrs_rockets/nhip</t>
        </is>
      </c>
      <c r="B125" t="inlineStr">
        <is>
          <t>mlrs_rockets</t>
        </is>
      </c>
      <c r="C125" t="inlineStr">
        <is>
          <t>khe_mot_nong_mot_vien</t>
        </is>
      </c>
      <c r="D125" t="inlineStr">
        <is>
          <t>s</t>
        </is>
      </c>
      <c r="E125" t="n">
        <v>0.3</v>
      </c>
      <c r="F125">
        <f>60/INDEX(Vu_khi!$BB$2:$BB$336,MATCH($B$125,Vu_khi!$A$2:$A$336,0))/IF(INDEX(Vu_khi!$BD$2:$BD$336,MATCH($B$125,Vu_khi!$A$2:$A$336,0))="gun",0.7,1)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>
        <is>
          <t>TC0040</t>
        </is>
      </c>
      <c r="N125" t="inlineStr">
        <is>
          <t>R_balance;R_full_weapon_audit;W_wikipedia_m270_mlrs;R_machine_brigade_can_bang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mortar_120/nhip</t>
        </is>
      </c>
      <c r="B126" t="inlineStr">
        <is>
          <t>mortar_120</t>
        </is>
      </c>
      <c r="C126" t="inlineStr">
        <is>
          <t>khe_mot_nong_mot_vien</t>
        </is>
      </c>
      <c r="D126" t="inlineStr">
        <is>
          <t>s</t>
        </is>
      </c>
      <c r="E126" t="n">
        <v>6.985</v>
      </c>
      <c r="F126">
        <f>60/INDEX(Vu_khi!$BB$2:$BB$336,MATCH($B$126,Vu_khi!$A$2:$A$336,0))/IF(INDEX(Vu_khi!$BD$2:$BD$336,MATCH($B$126,Vu_khi!$A$2:$A$336,0))="gun",0.7,1)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R_balance;R_full_weapon_audit;W_wikipedia_2b11;R_machine_brigade_can_bang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mortar_240/nhip</t>
        </is>
      </c>
      <c r="B127" t="inlineStr">
        <is>
          <t>mortar_240</t>
        </is>
      </c>
      <c r="C127" t="inlineStr">
        <is>
          <t>khe_mot_nong_mot_vien</t>
        </is>
      </c>
      <c r="D127" t="inlineStr">
        <is>
          <t>s</t>
        </is>
      </c>
      <c r="E127" t="n">
        <v>17.1</v>
      </c>
      <c r="F127">
        <f>60/INDEX(Vu_khi!$BB$2:$BB$336,MATCH($B$127,Vu_khi!$A$2:$A$336,0))/IF(INDEX(Vu_khi!$BD$2:$BD$336,MATCH($B$127,Vu_khi!$A$2:$A$336,0))="gun",0.7,1)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TC0041</t>
        </is>
      </c>
      <c r="N127" t="inlineStr">
        <is>
          <t>R_balance;R_full_weapon_audit;W_wikipedia_2s4_tyulpan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mothership_cannon/nhip</t>
        </is>
      </c>
      <c r="B128" t="inlineStr">
        <is>
          <t>mothership_cannon</t>
        </is>
      </c>
      <c r="C128" t="inlineStr">
        <is>
          <t>khe_mot_nong_mot_vien</t>
        </is>
      </c>
      <c r="D128" t="inlineStr">
        <is>
          <t>s</t>
        </is>
      </c>
      <c r="E128" t="n">
        <v>1.1975</v>
      </c>
      <c r="F128">
        <f>60/INDEX(Vu_khi!$BB$2:$BB$336,MATCH($B$128,Vu_khi!$A$2:$A$336,0))/IF(INDEX(Vu_khi!$BD$2:$BD$336,MATCH($B$128,Vu_khi!$A$2:$A$336,0))="gun",0.7,1)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R_balance;R_full_weapon_audit;W_wikipedia_au_220m;R_machine_brigade_can_bang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naval_76/nhip</t>
        </is>
      </c>
      <c r="B129" t="inlineStr">
        <is>
          <t>naval_76</t>
        </is>
      </c>
      <c r="C129" t="inlineStr">
        <is>
          <t>khe_mot_nong_mot_vien</t>
        </is>
      </c>
      <c r="D129" t="inlineStr">
        <is>
          <t>s</t>
        </is>
      </c>
      <c r="E129" t="n">
        <v>1.8</v>
      </c>
      <c r="F129">
        <f>60/INDEX(Vu_khi!$BB$2:$BB$336,MATCH($B$129,Vu_khi!$A$2:$A$336,0))/IF(INDEX(Vu_khi!$BD$2:$BD$336,MATCH($B$129,Vu_khi!$A$2:$A$336,0))="gun",0.7,1)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TC0043</t>
        </is>
      </c>
      <c r="N129" t="inlineStr">
        <is>
          <t>R_balance;R_full_weapon_audit;W_wikipedia_oto_melara_76_mm;R_machine_brigade_can_bang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naval_100/nhip</t>
        </is>
      </c>
      <c r="B130" t="inlineStr">
        <is>
          <t>naval_100</t>
        </is>
      </c>
      <c r="C130" t="inlineStr">
        <is>
          <t>khe_mot_nong_mot_vien</t>
        </is>
      </c>
      <c r="D130" t="inlineStr">
        <is>
          <t>s</t>
        </is>
      </c>
      <c r="E130" t="n">
        <v>2</v>
      </c>
      <c r="F130">
        <f>60/INDEX(Vu_khi!$BB$2:$BB$336,MATCH($B$130,Vu_khi!$A$2:$A$336,0))/IF(INDEX(Vu_khi!$BD$2:$BD$336,MATCH($B$130,Vu_khi!$A$2:$A$336,0))="gun",0.7,1)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R_balance;R_full_weapon_audit;W_wikipedia_ak_100_naval_gun;R_machine_brigade_can_bang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naval_127/nhip</t>
        </is>
      </c>
      <c r="B131" t="inlineStr">
        <is>
          <t>naval_127</t>
        </is>
      </c>
      <c r="C131" t="inlineStr">
        <is>
          <t>khe_mot_nong_mot_vien</t>
        </is>
      </c>
      <c r="D131" t="inlineStr">
        <is>
          <t>s</t>
        </is>
      </c>
      <c r="E131" t="n">
        <v>2.049998571</v>
      </c>
      <c r="F131">
        <f>60/INDEX(Vu_khi!$BB$2:$BB$336,MATCH($B$131,Vu_khi!$A$2:$A$336,0))/IF(INDEX(Vu_khi!$BD$2:$BD$336,MATCH($B$131,Vu_khi!$A$2:$A$336,0))="gun",0.7,1)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TC0042</t>
        </is>
      </c>
      <c r="N131" t="inlineStr">
        <is>
          <t>R_balance;R_full_weapon_audit;W_wikipedia_5_54_caliber_mark_45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naval_130_twin/nhip</t>
        </is>
      </c>
      <c r="B132" t="inlineStr">
        <is>
          <t>naval_130_twin</t>
        </is>
      </c>
      <c r="C132" t="inlineStr">
        <is>
          <t>khe_mot_nong_mot_vien</t>
        </is>
      </c>
      <c r="D132" t="inlineStr">
        <is>
          <t>s</t>
        </is>
      </c>
      <c r="E132" t="n">
        <v>3</v>
      </c>
      <c r="F132">
        <f>60/INDEX(Vu_khi!$BB$2:$BB$336,MATCH($B$132,Vu_khi!$A$2:$A$336,0))/IF(INDEX(Vu_khi!$BD$2:$BD$336,MATCH($B$132,Vu_khi!$A$2:$A$336,0))="gun",0.7,1)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R_balance;R_full_weapon_audit;W_wikipedia_ak_130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naval_155_triple/nhip</t>
        </is>
      </c>
      <c r="B133" t="inlineStr">
        <is>
          <t>naval_155_triple</t>
        </is>
      </c>
      <c r="C133" t="inlineStr">
        <is>
          <t>khe_mot_nong_mot_vien</t>
        </is>
      </c>
      <c r="D133" t="inlineStr">
        <is>
          <t>s</t>
        </is>
      </c>
      <c r="E133" t="n">
        <v>10.5</v>
      </c>
      <c r="F133">
        <f>60/INDEX(Vu_khi!$BB$2:$BB$336,MATCH($B$133,Vu_khi!$A$2:$A$336,0))/IF(INDEX(Vu_khi!$BD$2:$BD$336,MATCH($B$133,Vu_khi!$A$2:$A$336,0))="gun",0.7,1)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R_balance;R_full_weapon_audit;W_wikipedia_15_5_cm_60_3rd_year_type;R_machine_brigade_can_bang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one_shot_kornet/nhip</t>
        </is>
      </c>
      <c r="B134" t="inlineStr">
        <is>
          <t>one_shot_kornet</t>
        </is>
      </c>
      <c r="C134" t="inlineStr">
        <is>
          <t>khe_mot_nong_mot_vien</t>
        </is>
      </c>
      <c r="D134" t="inlineStr">
        <is>
          <t>s</t>
        </is>
      </c>
      <c r="E134" t="n">
        <v>1.2</v>
      </c>
      <c r="F134">
        <f>60/INDEX(Vu_khi!$BB$2:$BB$336,MATCH($B$134,Vu_khi!$A$2:$A$336,0))/IF(INDEX(Vu_khi!$BD$2:$BD$336,MATCH($B$134,Vu_khi!$A$2:$A$336,0))="gun",0.7,1)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>
        <is>
          <t>TC0044</t>
        </is>
      </c>
      <c r="N134" t="inlineStr">
        <is>
          <t>R_balance;R_full_weapon_audit;W_wikipedia_9m133_kornet;W_wikipedia_bai_cua_tung_ten_lua_bang_warhead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one_shot_kornet/sat_thuong</t>
        </is>
      </c>
      <c r="B135" t="inlineStr">
        <is>
          <t>one_shot_kornet</t>
        </is>
      </c>
      <c r="C135" t="inlineStr">
        <is>
          <t>sat_thuong_tren_kg_dau_dan</t>
        </is>
      </c>
      <c r="D135" t="inlineStr">
        <is>
          <t>hp/kg</t>
        </is>
      </c>
      <c r="E135">
        <f>INDEX(Vu_khi!$W$2:$W$336,MATCH($B$135,Vu_khi!$A$2:$A$336,0))</f>
        <v/>
      </c>
      <c r="F135">
        <f>INDEX(Vu_khi_tham_chieu!$AB$2:$AB$336,MATCH($B$135,Vu_khi_tham_chieu!$A$2:$A$336,0))</f>
        <v/>
      </c>
      <c r="G135">
        <f>$E$135/$F$135</f>
        <v/>
      </c>
      <c r="H135" t="inlineStr"/>
      <c r="I135" t="inlineStr"/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R_full_weapon_audit</t>
        </is>
      </c>
      <c r="O135" t="inlineStr">
        <is>
          <t>sát thương một phát / khối lượng đầu đạn (không bắt buộc 1:1, chỉ ghi ty_le)</t>
        </is>
      </c>
      <c r="P135" t="inlineStr">
        <is>
          <t>Tools/balance/full_weapon_audit.py WARHEAD</t>
        </is>
      </c>
      <c r="Q135" t="inlineStr"/>
    </row>
    <row r="136">
      <c r="A136" t="inlineStr">
        <is>
          <t>p26_bastion_b100/nhip</t>
        </is>
      </c>
      <c r="B136" t="inlineStr">
        <is>
          <t>p26_bastion_b100</t>
        </is>
      </c>
      <c r="C136" t="inlineStr">
        <is>
          <t>khe_mot_nong_mot_vien</t>
        </is>
      </c>
      <c r="D136" t="inlineStr">
        <is>
          <t>s</t>
        </is>
      </c>
      <c r="E136" t="n">
        <v>4.000004082</v>
      </c>
      <c r="F136">
        <f>60/INDEX(Vu_khi!$BB$2:$BB$336,MATCH($B$136,Vu_khi!$A$2:$A$336,0))/IF(INDEX(Vu_khi!$BD$2:$BD$336,MATCH($B$136,Vu_khi!$A$2:$A$336,0))="gun",0.7,1)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TC0045</t>
        </is>
      </c>
      <c r="N136" t="inlineStr">
        <is>
          <t>R_balance;R_full_weapon_audit;W_wikipedia_d_10_tank_gun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p26_bastion_b155/nhip</t>
        </is>
      </c>
      <c r="B137" t="inlineStr">
        <is>
          <t>p26_bastion_b155</t>
        </is>
      </c>
      <c r="C137" t="inlineStr">
        <is>
          <t>khe_mot_nong_mot_vien</t>
        </is>
      </c>
      <c r="D137" t="inlineStr">
        <is>
          <t>s</t>
        </is>
      </c>
      <c r="E137" t="n">
        <v>1.999992857</v>
      </c>
      <c r="F137">
        <f>60/INDEX(Vu_khi!$BB$2:$BB$336,MATCH($B$137,Vu_khi!$A$2:$A$336,0))/IF(INDEX(Vu_khi!$BD$2:$BD$336,MATCH($B$137,Vu_khi!$A$2:$A$336,0))="gun",0.7,1)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TC0046</t>
        </is>
      </c>
      <c r="N137" t="inlineStr">
        <is>
          <t>R_balance;R_full_weapon_audit;D_us_army_m109a7_fact_file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p26_bastion_b240/nhip</t>
        </is>
      </c>
      <c r="B138" t="inlineStr">
        <is>
          <t>p26_bastion_b240</t>
        </is>
      </c>
      <c r="C138" t="inlineStr">
        <is>
          <t>khe_mot_nong_mot_vien</t>
        </is>
      </c>
      <c r="D138" t="inlineStr">
        <is>
          <t>s</t>
        </is>
      </c>
      <c r="E138" t="n">
        <v>4.999971429</v>
      </c>
      <c r="F138">
        <f>60/INDEX(Vu_khi!$BB$2:$BB$336,MATCH($B$138,Vu_khi!$A$2:$A$336,0))/IF(INDEX(Vu_khi!$BD$2:$BD$336,MATCH($B$138,Vu_khi!$A$2:$A$336,0))="gun",0.7,1)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>
        <is>
          <t>TC0047</t>
        </is>
      </c>
      <c r="N138" t="inlineStr">
        <is>
          <t>R_balance;R_full_weapon_audit;W_wikipedia_2s4_tyulpan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p26_bastion_close_boss_hmg/nhip</t>
        </is>
      </c>
      <c r="B139" t="inlineStr">
        <is>
          <t>p26_bastion_close_boss_hmg</t>
        </is>
      </c>
      <c r="C139" t="inlineStr">
        <is>
          <t>khe_mot_nong_mot_vien</t>
        </is>
      </c>
      <c r="D139" t="inlineStr">
        <is>
          <t>s</t>
        </is>
      </c>
      <c r="E139" t="n">
        <v>0.132467025</v>
      </c>
      <c r="F139">
        <f>60/INDEX(Vu_khi!$BB$2:$BB$336,MATCH($B$139,Vu_khi!$A$2:$A$336,0))/IF(INDEX(Vu_khi!$BD$2:$BD$336,MATCH($B$139,Vu_khi!$A$2:$A$336,0))="gun",0.7,1)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R_balance;R_full_weapon_audit;W_wikipedia_nsv_machine_gun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p26_bastion_direct_b100/nhip</t>
        </is>
      </c>
      <c r="B140" t="inlineStr">
        <is>
          <t>p26_bastion_direct_b100</t>
        </is>
      </c>
      <c r="C140" t="inlineStr">
        <is>
          <t>khe_mot_nong_mot_vien</t>
        </is>
      </c>
      <c r="D140" t="inlineStr">
        <is>
          <t>s</t>
        </is>
      </c>
      <c r="E140" t="n">
        <v>8.599995917999999</v>
      </c>
      <c r="F140">
        <f>60/INDEX(Vu_khi!$BB$2:$BB$336,MATCH($B$140,Vu_khi!$A$2:$A$336,0))/IF(INDEX(Vu_khi!$BD$2:$BD$336,MATCH($B$140,Vu_khi!$A$2:$A$336,0))="gun",0.7,1)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R_balance;R_full_weapon_audit;W_wikipedia_d_10_tank_gun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p26_bastion_main_b155/nhip</t>
        </is>
      </c>
      <c r="B141" t="inlineStr">
        <is>
          <t>p26_bastion_main_b155</t>
        </is>
      </c>
      <c r="C141" t="inlineStr">
        <is>
          <t>khe_mot_nong_mot_vien</t>
        </is>
      </c>
      <c r="D141" t="inlineStr">
        <is>
          <t>s</t>
        </is>
      </c>
      <c r="E141" t="n">
        <v>15</v>
      </c>
      <c r="F141">
        <f>60/INDEX(Vu_khi!$BB$2:$BB$336,MATCH($B$141,Vu_khi!$A$2:$A$336,0))/IF(INDEX(Vu_khi!$BD$2:$BD$336,MATCH($B$141,Vu_khi!$A$2:$A$336,0))="gun",0.7,1)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R_balance;R_full_weapon_audit;D_us_army_m109a7_fact_file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p26_bastion_sec_b240/nhip</t>
        </is>
      </c>
      <c r="B142" t="inlineStr">
        <is>
          <t>p26_bastion_sec_b240</t>
        </is>
      </c>
      <c r="C142" t="inlineStr">
        <is>
          <t>khe_mot_nong_mot_vien</t>
        </is>
      </c>
      <c r="D142" t="inlineStr">
        <is>
          <t>s</t>
        </is>
      </c>
      <c r="E142" t="n">
        <v>60</v>
      </c>
      <c r="F142">
        <f>60/INDEX(Vu_khi!$BB$2:$BB$336,MATCH($B$142,Vu_khi!$A$2:$A$336,0))/IF(INDEX(Vu_khi!$BD$2:$BD$336,MATCH($B$142,Vu_khi!$A$2:$A$336,0))="gun",0.7,1)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R_balance;R_full_weapon_audit;W_wikipedia_2s4_tyulpan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p26_bastion_tiny_autocannon_40/nhip</t>
        </is>
      </c>
      <c r="B143" t="inlineStr">
        <is>
          <t>p26_bastion_tiny_autocannon_40</t>
        </is>
      </c>
      <c r="C143" t="inlineStr">
        <is>
          <t>khe_mot_nong_mot_vien</t>
        </is>
      </c>
      <c r="D143" t="inlineStr">
        <is>
          <t>s</t>
        </is>
      </c>
      <c r="E143" t="n">
        <v>0.332</v>
      </c>
      <c r="F143">
        <f>60/INDEX(Vu_khi!$BB$2:$BB$336,MATCH($B$143,Vu_khi!$A$2:$A$336,0))/IF(INDEX(Vu_khi!$BD$2:$BD$336,MATCH($B$143,Vu_khi!$A$2:$A$336,0))="gun",0.7,1)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R_balance;R_full_weapon_audit;W_wikipedia_bofors_40_mm_l_70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p26_bastion_tiny_kornet_twin/nhip</t>
        </is>
      </c>
      <c r="B144" t="inlineStr">
        <is>
          <t>p26_bastion_tiny_kornet_twin</t>
        </is>
      </c>
      <c r="C144" t="inlineStr">
        <is>
          <t>khe_mot_nong_mot_vien</t>
        </is>
      </c>
      <c r="D144" t="inlineStr">
        <is>
          <t>s</t>
        </is>
      </c>
      <c r="E144" t="n">
        <v>20</v>
      </c>
      <c r="F144">
        <f>60/INDEX(Vu_khi!$BB$2:$BB$336,MATCH($B$144,Vu_khi!$A$2:$A$336,0))/IF(INDEX(Vu_khi!$BD$2:$BD$336,MATCH($B$144,Vu_khi!$A$2:$A$336,0))="gun",0.7,1)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R_balance;R_full_weapon_audit;W_wikipedia_9m133_kornet;W_wikipedia_bai_cua_tung_ten_lua_bang_warhead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p26_bastion_tiny_kornet_twin/sat_thuong</t>
        </is>
      </c>
      <c r="B145" t="inlineStr">
        <is>
          <t>p26_bastion_tiny_kornet_twin</t>
        </is>
      </c>
      <c r="C145" t="inlineStr">
        <is>
          <t>sat_thuong_tren_kg_dau_dan</t>
        </is>
      </c>
      <c r="D145" t="inlineStr">
        <is>
          <t>hp/kg</t>
        </is>
      </c>
      <c r="E145">
        <f>INDEX(Vu_khi!$W$2:$W$336,MATCH($B$145,Vu_khi!$A$2:$A$336,0))</f>
        <v/>
      </c>
      <c r="F145">
        <f>INDEX(Vu_khi_tham_chieu!$AB$2:$AB$336,MATCH($B$145,Vu_khi_tham_chieu!$A$2:$A$336,0))</f>
        <v/>
      </c>
      <c r="G145">
        <f>$E$145/$F$145</f>
        <v/>
      </c>
      <c r="H145" t="inlineStr"/>
      <c r="I145" t="inlineStr"/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R_full_weapon_audit</t>
        </is>
      </c>
      <c r="O145" t="inlineStr">
        <is>
          <t>sát thương một phát / khối lượng đầu đạn (không bắt buộc 1:1, chỉ ghi ty_le)</t>
        </is>
      </c>
      <c r="P145" t="inlineStr">
        <is>
          <t>Tools/balance/full_weapon_audit.py WARHEAD</t>
        </is>
      </c>
      <c r="Q145" t="inlineStr"/>
    </row>
    <row r="146">
      <c r="A146" t="inlineStr">
        <is>
          <t>p26_bastion_tiny_zu23/nhip</t>
        </is>
      </c>
      <c r="B146" t="inlineStr">
        <is>
          <t>p26_bastion_tiny_zu23</t>
        </is>
      </c>
      <c r="C146" t="inlineStr">
        <is>
          <t>khe_mot_nong_mot_vien</t>
        </is>
      </c>
      <c r="D146" t="inlineStr">
        <is>
          <t>s</t>
        </is>
      </c>
      <c r="E146" t="n">
        <v>0.09919997999999999</v>
      </c>
      <c r="F146">
        <f>60/INDEX(Vu_khi!$BB$2:$BB$336,MATCH($B$146,Vu_khi!$A$2:$A$336,0))/IF(INDEX(Vu_khi!$BD$2:$BD$336,MATCH($B$146,Vu_khi!$A$2:$A$336,0))="gun",0.7,1)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R_balance;R_full_weapon_audit;W_wikipedia_zu_23_2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p26_behemoth_be120/nhip</t>
        </is>
      </c>
      <c r="B147" t="inlineStr">
        <is>
          <t>p26_behemoth_be120</t>
        </is>
      </c>
      <c r="C147" t="inlineStr">
        <is>
          <t>khe_mot_nong_mot_vien</t>
        </is>
      </c>
      <c r="D147" t="inlineStr">
        <is>
          <t>s</t>
        </is>
      </c>
      <c r="E147" t="n">
        <v>3.999996429</v>
      </c>
      <c r="F147">
        <f>60/INDEX(Vu_khi!$BB$2:$BB$336,MATCH($B$147,Vu_khi!$A$2:$A$336,0))/IF(INDEX(Vu_khi!$BD$2:$BD$336,MATCH($B$147,Vu_khi!$A$2:$A$336,0))="gun",0.7,1)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>
        <is>
          <t>TC0048</t>
        </is>
      </c>
      <c r="N147" t="inlineStr">
        <is>
          <t>R_balance;R_full_weapon_audit;W_wikipedia_rheinmetall_120_mm_gun;R_machine_brigade_can_bang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p26_behemoth_be152/nhip</t>
        </is>
      </c>
      <c r="B148" t="inlineStr">
        <is>
          <t>p26_behemoth_be152</t>
        </is>
      </c>
      <c r="C148" t="inlineStr">
        <is>
          <t>khe_mot_nong_mot_vien</t>
        </is>
      </c>
      <c r="D148" t="inlineStr">
        <is>
          <t>s</t>
        </is>
      </c>
      <c r="E148" t="n">
        <v>2.000003571</v>
      </c>
      <c r="F148">
        <f>60/INDEX(Vu_khi!$BB$2:$BB$336,MATCH($B$148,Vu_khi!$A$2:$A$336,0))/IF(INDEX(Vu_khi!$BD$2:$BD$336,MATCH($B$148,Vu_khi!$A$2:$A$336,0))="gun",0.7,1)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TC0049</t>
        </is>
      </c>
      <c r="N148" t="inlineStr">
        <is>
          <t>R_balance;R_full_weapon_audit;W_wikipedia_2a65_msta_b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p26_behemoth_be_rockets/nhip</t>
        </is>
      </c>
      <c r="B149" t="inlineStr">
        <is>
          <t>p26_behemoth_be_rockets</t>
        </is>
      </c>
      <c r="C149" t="inlineStr">
        <is>
          <t>khe_mot_nong_mot_vien</t>
        </is>
      </c>
      <c r="D149" t="inlineStr">
        <is>
          <t>s</t>
        </is>
      </c>
      <c r="E149" t="n">
        <v>0.3</v>
      </c>
      <c r="F149">
        <f>60/INDEX(Vu_khi!$BB$2:$BB$336,MATCH($B$149,Vu_khi!$A$2:$A$336,0))/IF(INDEX(Vu_khi!$BD$2:$BD$336,MATCH($B$149,Vu_khi!$A$2:$A$336,0))="gun",0.7,1)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R_balance;R_full_weapon_audit;W_wikipedia_bm_21_grad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p26_behemoth_close_boss_flak/nhip</t>
        </is>
      </c>
      <c r="B150" t="inlineStr">
        <is>
          <t>p26_behemoth_close_boss_flak</t>
        </is>
      </c>
      <c r="C150" t="inlineStr">
        <is>
          <t>khe_mot_nong_mot_vien</t>
        </is>
      </c>
      <c r="D150" t="inlineStr">
        <is>
          <t>s</t>
        </is>
      </c>
      <c r="E150" t="n">
        <v>0.262439018</v>
      </c>
      <c r="F150">
        <f>60/INDEX(Vu_khi!$BB$2:$BB$336,MATCH($B$150,Vu_khi!$A$2:$A$336,0))/IF(INDEX(Vu_khi!$BD$2:$BD$336,MATCH($B$150,Vu_khi!$A$2:$A$336,0))="gun",0.7,1)</f>
        <v/>
      </c>
      <c r="G150">
        <f>$E$150/$F$150</f>
        <v/>
      </c>
      <c r="H150" t="n">
        <v>0.6</v>
      </c>
      <c r="I150" t="n">
        <v>2</v>
      </c>
      <c r="J150" t="b">
        <v>1</v>
      </c>
      <c r="K150" t="inlineStr">
        <is>
          <t>fix_weapon_reasons.json: wave 1 boss_flak: 41 rounds at 1,200 rpm, changed in 3.38 s (twin Oerlikon GDF 2 x 550 rpm)</t>
        </is>
      </c>
      <c r="L150">
        <f>IF(ISNUMBER($H$150),AND(NOT($J$150),OR($G$150&lt;$H$150,$G$150&gt;$I$150)),FALSE)</f>
        <v/>
      </c>
      <c r="M150" t="inlineStr"/>
      <c r="N150" t="inlineStr">
        <is>
          <t>R_balance;R_full_weapon_audit;W_wikipedia_oerlikon_gdf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p26_behemoth_direct_be120/nhip</t>
        </is>
      </c>
      <c r="B151" t="inlineStr">
        <is>
          <t>p26_behemoth_direct_be120</t>
        </is>
      </c>
      <c r="C151" t="inlineStr">
        <is>
          <t>khe_mot_nong_mot_vien</t>
        </is>
      </c>
      <c r="D151" t="inlineStr">
        <is>
          <t>s</t>
        </is>
      </c>
      <c r="E151" t="n">
        <v>7.5</v>
      </c>
      <c r="F151">
        <f>60/INDEX(Vu_khi!$BB$2:$BB$336,MATCH($B$151,Vu_khi!$A$2:$A$336,0))/IF(INDEX(Vu_khi!$BD$2:$BD$336,MATCH($B$151,Vu_khi!$A$2:$A$336,0))="gun",0.7,1)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R_balance;R_full_weapon_audit;W_wikipedia_rheinmetall_120_mm_gun;R_machine_brigade_can_bang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p26_behemoth_main_be152/nhip</t>
        </is>
      </c>
      <c r="B152" t="inlineStr">
        <is>
          <t>p26_behemoth_main_be152</t>
        </is>
      </c>
      <c r="C152" t="inlineStr">
        <is>
          <t>khe_mot_nong_mot_vien</t>
        </is>
      </c>
      <c r="D152" t="inlineStr">
        <is>
          <t>s</t>
        </is>
      </c>
      <c r="E152" t="n">
        <v>8.979996429</v>
      </c>
      <c r="F152">
        <f>60/INDEX(Vu_khi!$BB$2:$BB$336,MATCH($B$152,Vu_khi!$A$2:$A$336,0))/IF(INDEX(Vu_khi!$BD$2:$BD$336,MATCH($B$152,Vu_khi!$A$2:$A$336,0))="gun",0.7,1)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R_balance;R_full_weapon_audit;W_wikipedia_2a65_msta_b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p26_behemoth_sec_be_rockets/nhip</t>
        </is>
      </c>
      <c r="B153" t="inlineStr">
        <is>
          <t>p26_behemoth_sec_be_rockets</t>
        </is>
      </c>
      <c r="C153" t="inlineStr">
        <is>
          <t>khe_mot_nong_mot_vien</t>
        </is>
      </c>
      <c r="D153" t="inlineStr">
        <is>
          <t>s</t>
        </is>
      </c>
      <c r="E153" t="n">
        <v>0.5</v>
      </c>
      <c r="F153">
        <f>60/INDEX(Vu_khi!$BB$2:$BB$336,MATCH($B$153,Vu_khi!$A$2:$A$336,0))/IF(INDEX(Vu_khi!$BD$2:$BD$336,MATCH($B$153,Vu_khi!$A$2:$A$336,0))="gun",0.7,1)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R_balance;R_full_weapon_audit;W_wikipedia_bm_21_grad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p26_behemoth_tiny_be120/nhip</t>
        </is>
      </c>
      <c r="B154" t="inlineStr">
        <is>
          <t>p26_behemoth_tiny_be120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60/INDEX(Vu_khi!$BB$2:$BB$336,MATCH($B$154,Vu_khi!$A$2:$A$336,0))/IF(INDEX(Vu_khi!$BD$2:$BD$336,MATCH($B$154,Vu_khi!$A$2:$A$336,0))="gun",0.7,1)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p26_behemoth_tiny_boss_missiles/nhip</t>
        </is>
      </c>
      <c r="B155" t="inlineStr">
        <is>
          <t>p26_behemoth_tiny_boss_missiles</t>
        </is>
      </c>
      <c r="C155" t="inlineStr">
        <is>
          <t>khe_mot_nong_mot_vien</t>
        </is>
      </c>
      <c r="D155" t="inlineStr">
        <is>
          <t>s</t>
        </is>
      </c>
      <c r="E155" t="n">
        <v>20</v>
      </c>
      <c r="F155">
        <f>60/INDEX(Vu_khi!$BB$2:$BB$336,MATCH($B$155,Vu_khi!$A$2:$A$336,0))/IF(INDEX(Vu_khi!$BD$2:$BD$336,MATCH($B$155,Vu_khi!$A$2:$A$336,0))="gun",0.7,1)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R_balance;R_full_weapon_audit;W_wikipedia_9m133_kornet;W_wikipedia_bai_cua_tung_ten_lua_bang_warhead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p26_behemoth_tiny_boss_missiles/sat_thuong</t>
        </is>
      </c>
      <c r="B156" t="inlineStr">
        <is>
          <t>p26_behemoth_tiny_boss_missiles</t>
        </is>
      </c>
      <c r="C156" t="inlineStr">
        <is>
          <t>sat_thuong_tren_kg_dau_dan</t>
        </is>
      </c>
      <c r="D156" t="inlineStr">
        <is>
          <t>hp/kg</t>
        </is>
      </c>
      <c r="E156">
        <f>INDEX(Vu_khi!$W$2:$W$336,MATCH($B$156,Vu_khi!$A$2:$A$336,0))</f>
        <v/>
      </c>
      <c r="F156">
        <f>INDEX(Vu_khi_tham_chieu!$AB$2:$AB$336,MATCH($B$156,Vu_khi_tham_chieu!$A$2:$A$336,0))</f>
        <v/>
      </c>
      <c r="G156">
        <f>$E$156/$F$156</f>
        <v/>
      </c>
      <c r="H156" t="inlineStr"/>
      <c r="I156" t="inlineStr"/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R_full_weapon_audit</t>
        </is>
      </c>
      <c r="O156" t="inlineStr">
        <is>
          <t>sát thương một phát / khối lượng đầu đạn (không bắt buộc 1:1, chỉ ghi ty_le)</t>
        </is>
      </c>
      <c r="P156" t="inlineStr">
        <is>
          <t>Tools/balance/full_weapon_audit.py WARHEAD</t>
        </is>
      </c>
      <c r="Q156" t="inlineStr"/>
    </row>
    <row r="157">
      <c r="A157" t="inlineStr">
        <is>
          <t>p26_behemoth_tiny_kornet_twin/nhip</t>
        </is>
      </c>
      <c r="B157" t="inlineStr">
        <is>
          <t>p26_behemoth_tiny_kornet_twin</t>
        </is>
      </c>
      <c r="C157" t="inlineStr">
        <is>
          <t>khe_mot_nong_mot_vien</t>
        </is>
      </c>
      <c r="D157" t="inlineStr">
        <is>
          <t>s</t>
        </is>
      </c>
      <c r="E157" t="n">
        <v>9.699996429</v>
      </c>
      <c r="F157">
        <f>60/INDEX(Vu_khi!$BB$2:$BB$336,MATCH($B$157,Vu_khi!$A$2:$A$336,0))/IF(INDEX(Vu_khi!$BD$2:$BD$336,MATCH($B$157,Vu_khi!$A$2:$A$336,0))="gun",0.7,1)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p26_daedalus_dae57/nhip</t>
        </is>
      </c>
      <c r="B158" t="inlineStr">
        <is>
          <t>p26_daedalus_dae57</t>
        </is>
      </c>
      <c r="C158" t="inlineStr">
        <is>
          <t>khe_mot_nong_mot_vien</t>
        </is>
      </c>
      <c r="D158" t="inlineStr">
        <is>
          <t>s</t>
        </is>
      </c>
      <c r="E158" t="n">
        <v>1.25</v>
      </c>
      <c r="F158">
        <f>60/INDEX(Vu_khi!$BB$2:$BB$336,MATCH($B$158,Vu_khi!$A$2:$A$336,0))/IF(INDEX(Vu_khi!$BD$2:$BD$336,MATCH($B$158,Vu_khi!$A$2:$A$336,0))="gun",0.7,1)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>
        <is>
          <t>TC0050</t>
        </is>
      </c>
      <c r="N158" t="inlineStr">
        <is>
          <t>R_balance;R_full_weapon_audit;W_wikipedia_au_220m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p26_daedalus_sec_dae57/nhip</t>
        </is>
      </c>
      <c r="B159" t="inlineStr">
        <is>
          <t>p26_daedalus_sec_dae57</t>
        </is>
      </c>
      <c r="C159" t="inlineStr">
        <is>
          <t>khe_mot_nong_mot_vien</t>
        </is>
      </c>
      <c r="D159" t="inlineStr">
        <is>
          <t>s</t>
        </is>
      </c>
      <c r="E159" t="n">
        <v>1.0725</v>
      </c>
      <c r="F159">
        <f>60/INDEX(Vu_khi!$BB$2:$BB$336,MATCH($B$159,Vu_khi!$A$2:$A$336,0))/IF(INDEX(Vu_khi!$BD$2:$BD$336,MATCH($B$159,Vu_khi!$A$2:$A$336,0))="gun",0.7,1)</f>
        <v/>
      </c>
      <c r="G159">
        <f>$E$159/$F$159</f>
        <v/>
      </c>
      <c r="H159" t="n">
        <v>0.6</v>
      </c>
      <c r="I159" t="n">
        <v>2</v>
      </c>
      <c r="J159" t="b">
        <v>1</v>
      </c>
      <c r="K159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59">
        <f>IF(ISNUMBER($H$159),AND(NOT($J$159),OR($G$159&lt;$H$159,$G$159&gt;$I$159)),FALSE)</f>
        <v/>
      </c>
      <c r="M159" t="inlineStr"/>
      <c r="N159" t="inlineStr">
        <is>
          <t>R_balance;R_full_weapon_audit;W_wikipedia_au_220m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p26_icarus_close_autocannon_40/nhip</t>
        </is>
      </c>
      <c r="B160" t="inlineStr">
        <is>
          <t>p26_icarus_close_autocannon_40</t>
        </is>
      </c>
      <c r="C160" t="inlineStr">
        <is>
          <t>khe_mot_nong_mot_vien</t>
        </is>
      </c>
      <c r="D160" t="inlineStr">
        <is>
          <t>s</t>
        </is>
      </c>
      <c r="E160" t="n">
        <v>0.332</v>
      </c>
      <c r="F160">
        <f>60/INDEX(Vu_khi!$BB$2:$BB$336,MATCH($B$160,Vu_khi!$A$2:$A$336,0))/IF(INDEX(Vu_khi!$BD$2:$BD$336,MATCH($B$160,Vu_khi!$A$2:$A$336,0))="gun",0.7,1)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R_balance;R_full_weapon_audit;W_wikipedia_bofors_40_mm_l_70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p26_ixion_125/nhip</t>
        </is>
      </c>
      <c r="B161" t="inlineStr">
        <is>
          <t>p26_ixion_125</t>
        </is>
      </c>
      <c r="C161" t="inlineStr">
        <is>
          <t>khe_mot_nong_mot_vien</t>
        </is>
      </c>
      <c r="D161" t="inlineStr">
        <is>
          <t>s</t>
        </is>
      </c>
      <c r="E161" t="n">
        <v>7.5</v>
      </c>
      <c r="F161">
        <f>60/INDEX(Vu_khi!$BB$2:$BB$336,MATCH($B$161,Vu_khi!$A$2:$A$336,0))/IF(INDEX(Vu_khi!$BD$2:$BD$336,MATCH($B$161,Vu_khi!$A$2:$A$336,0))="gun",0.7,1)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R_balance;R_full_weapon_audit;W_wikipedia_2a46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p26_ixion_mg/nhip</t>
        </is>
      </c>
      <c r="B162" t="inlineStr">
        <is>
          <t>p26_ixion_mg</t>
        </is>
      </c>
      <c r="C162" t="inlineStr">
        <is>
          <t>khe_mot_nong_mot_vien</t>
        </is>
      </c>
      <c r="D162" t="inlineStr">
        <is>
          <t>s</t>
        </is>
      </c>
      <c r="E162" t="n">
        <v>0.132467025</v>
      </c>
      <c r="F162">
        <f>60/INDEX(Vu_khi!$BB$2:$BB$336,MATCH($B$162,Vu_khi!$A$2:$A$336,0))/IF(INDEX(Vu_khi!$BD$2:$BD$336,MATCH($B$162,Vu_khi!$A$2:$A$336,0))="gun",0.7,1)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R_balance;R_full_weapon_audit;W_wikipedia_nsv_machine_gun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p26_jotunn_close_boss_flak/nhip</t>
        </is>
      </c>
      <c r="B163" t="inlineStr">
        <is>
          <t>p26_jotunn_close_boss_flak</t>
        </is>
      </c>
      <c r="C163" t="inlineStr">
        <is>
          <t>khe_mot_nong_mot_vien</t>
        </is>
      </c>
      <c r="D163" t="inlineStr">
        <is>
          <t>s</t>
        </is>
      </c>
      <c r="E163" t="n">
        <v>0.262439018</v>
      </c>
      <c r="F163">
        <f>60/INDEX(Vu_khi!$BB$2:$BB$336,MATCH($B$163,Vu_khi!$A$2:$A$336,0))/IF(INDEX(Vu_khi!$BD$2:$BD$336,MATCH($B$163,Vu_khi!$A$2:$A$336,0))="gun",0.7,1)</f>
        <v/>
      </c>
      <c r="G163">
        <f>$E$163/$F$163</f>
        <v/>
      </c>
      <c r="H163" t="n">
        <v>0.6</v>
      </c>
      <c r="I163" t="n">
        <v>2</v>
      </c>
      <c r="J163" t="b">
        <v>1</v>
      </c>
      <c r="K163" t="inlineStr">
        <is>
          <t>fix_weapon_reasons.json: wave 1 boss_flak: 41 rounds at 1,200 rpm, changed in 3.38 s (twin Oerlikon GDF 2 x 550 rpm)</t>
        </is>
      </c>
      <c r="L163">
        <f>IF(ISNUMBER($H$163),AND(NOT($J$163),OR($G$163&lt;$H$163,$G$163&gt;$I$163)),FALSE)</f>
        <v/>
      </c>
      <c r="M163" t="inlineStr"/>
      <c r="N163" t="inlineStr">
        <is>
          <t>R_balance;R_full_weapon_audit;W_wikipedia_oerlikon_gdf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p26_jotunn_direct_jo125/nhip</t>
        </is>
      </c>
      <c r="B164" t="inlineStr">
        <is>
          <t>p26_jotunn_direct_jo125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60/INDEX(Vu_khi!$BB$2:$BB$336,MATCH($B$164,Vu_khi!$A$2:$A$336,0))/IF(INDEX(Vu_khi!$BD$2:$BD$336,MATCH($B$164,Vu_khi!$A$2:$A$336,0))="gun",0.7,1)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p26_jotunn_jo125/nhip</t>
        </is>
      </c>
      <c r="B165" t="inlineStr">
        <is>
          <t>p26_jotunn_jo125</t>
        </is>
      </c>
      <c r="C165" t="inlineStr">
        <is>
          <t>khe_mot_nong_mot_vien</t>
        </is>
      </c>
      <c r="D165" t="inlineStr">
        <is>
          <t>s</t>
        </is>
      </c>
      <c r="E165" t="n">
        <v>2.000003571</v>
      </c>
      <c r="F165">
        <f>60/INDEX(Vu_khi!$BB$2:$BB$336,MATCH($B$165,Vu_khi!$A$2:$A$336,0))/IF(INDEX(Vu_khi!$BD$2:$BD$336,MATCH($B$165,Vu_khi!$A$2:$A$336,0))="gun",0.7,1)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>
        <is>
          <t>TC0051</t>
        </is>
      </c>
      <c r="N165" t="inlineStr">
        <is>
          <t>R_balance;R_full_weapon_audit;W_wikipedia_2a46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p26_jotunn_jo203/nhip</t>
        </is>
      </c>
      <c r="B166" t="inlineStr">
        <is>
          <t>p26_jotunn_jo203</t>
        </is>
      </c>
      <c r="C166" t="inlineStr">
        <is>
          <t>khe_mot_nong_mot_vien</t>
        </is>
      </c>
      <c r="D166" t="inlineStr">
        <is>
          <t>s</t>
        </is>
      </c>
      <c r="E166" t="n">
        <v>24</v>
      </c>
      <c r="F166">
        <f>60/INDEX(Vu_khi!$BB$2:$BB$336,MATCH($B$166,Vu_khi!$A$2:$A$336,0))/IF(INDEX(Vu_khi!$BD$2:$BD$336,MATCH($B$166,Vu_khi!$A$2:$A$336,0))="gun",0.7,1)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R_balance;R_full_weapon_audit;W_wikipedia_2s7_pion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p26_jotunn_jo_rockets/nhip</t>
        </is>
      </c>
      <c r="B167" t="inlineStr">
        <is>
          <t>p26_jotunn_jo_rockets</t>
        </is>
      </c>
      <c r="C167" t="inlineStr">
        <is>
          <t>khe_mot_nong_mot_vien</t>
        </is>
      </c>
      <c r="D167" t="inlineStr">
        <is>
          <t>s</t>
        </is>
      </c>
      <c r="E167" t="n">
        <v>0.3</v>
      </c>
      <c r="F167">
        <f>60/INDEX(Vu_khi!$BB$2:$BB$336,MATCH($B$167,Vu_khi!$A$2:$A$336,0))/IF(INDEX(Vu_khi!$BD$2:$BD$336,MATCH($B$167,Vu_khi!$A$2:$A$336,0))="gun",0.7,1)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>
        <is>
          <t>TC0052</t>
        </is>
      </c>
      <c r="N167" t="inlineStr">
        <is>
          <t>R_balance;R_full_weapon_audit;W_wikipedia_bm_30_smerch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p26_jotunn_sec_jo_rockets/nhip</t>
        </is>
      </c>
      <c r="B168" t="inlineStr">
        <is>
          <t>p26_jotunn_sec_jo_rockets</t>
        </is>
      </c>
      <c r="C168" t="inlineStr">
        <is>
          <t>khe_mot_nong_mot_vien</t>
        </is>
      </c>
      <c r="D168" t="inlineStr">
        <is>
          <t>s</t>
        </is>
      </c>
      <c r="E168" t="n">
        <v>3.169998947</v>
      </c>
      <c r="F168">
        <f>60/INDEX(Vu_khi!$BB$2:$BB$336,MATCH($B$168,Vu_khi!$A$2:$A$336,0))/IF(INDEX(Vu_khi!$BD$2:$BD$336,MATCH($B$168,Vu_khi!$A$2:$A$336,0))="gun",0.7,1)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R_balance;R_full_weapon_audit;W_wikipedia_bm_30_smerch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p26_jotunn_tiny_twin_30_flak/nhip</t>
        </is>
      </c>
      <c r="B169" t="inlineStr">
        <is>
          <t>p26_jotunn_tiny_twin_30_flak</t>
        </is>
      </c>
      <c r="C169" t="inlineStr">
        <is>
          <t>khe_mot_nong_mot_vien</t>
        </is>
      </c>
      <c r="D169" t="inlineStr">
        <is>
          <t>s</t>
        </is>
      </c>
      <c r="E169" t="n">
        <v>0.08718748799999999</v>
      </c>
      <c r="F169">
        <f>60/INDEX(Vu_khi!$BB$2:$BB$336,MATCH($B$169,Vu_khi!$A$2:$A$336,0))/IF(INDEX(Vu_khi!$BD$2:$BD$336,MATCH($B$169,Vu_khi!$A$2:$A$336,0))="gun",0.7,1)</f>
        <v/>
      </c>
      <c r="G169">
        <f>$E$169/$F$169</f>
        <v/>
      </c>
      <c r="H169" t="n">
        <v>0.6</v>
      </c>
      <c r="I169" t="n">
        <v>2</v>
      </c>
      <c r="J169" t="b">
        <v>1</v>
      </c>
      <c r="K169" t="inlineStr">
        <is>
          <t>fix_weapon_reasons.json: wave 1 twin_30_flak: 160 rounds at 2,400 rpm, changed in 3 s (2A38M 4,060-5,000 rpm the pair)</t>
        </is>
      </c>
      <c r="L169">
        <f>IF(ISNUMBER($H$169),AND(NOT($J$169),OR($G$169&lt;$H$169,$G$169&gt;$I$169)),FALSE)</f>
        <v/>
      </c>
      <c r="M169" t="inlineStr"/>
      <c r="N169" t="inlineStr">
        <is>
          <t>R_balance;R_full_weapon_audit;W_wikipedia_2a38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p26_leviathan_direct_lev127/nhip</t>
        </is>
      </c>
      <c r="B170" t="inlineStr">
        <is>
          <t>p26_leviathan_direct_lev127</t>
        </is>
      </c>
      <c r="C170" t="inlineStr">
        <is>
          <t>khe_mot_nong_mot_vien</t>
        </is>
      </c>
      <c r="D170" t="inlineStr">
        <is>
          <t>s</t>
        </is>
      </c>
      <c r="E170" t="n">
        <v>3</v>
      </c>
      <c r="F170">
        <f>60/INDEX(Vu_khi!$BB$2:$BB$336,MATCH($B$170,Vu_khi!$A$2:$A$336,0))/IF(INDEX(Vu_khi!$BD$2:$BD$336,MATCH($B$170,Vu_khi!$A$2:$A$336,0))="gun",0.7,1)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/>
      <c r="N170" t="inlineStr">
        <is>
          <t>R_balance;R_full_weapon_audit;W_wikipedia_a_192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p26_leviathan_lev127/nhip</t>
        </is>
      </c>
      <c r="B171" t="inlineStr">
        <is>
          <t>p26_leviathan_lev127</t>
        </is>
      </c>
      <c r="C171" t="inlineStr">
        <is>
          <t>khe_mot_nong_mot_vien</t>
        </is>
      </c>
      <c r="D171" t="inlineStr">
        <is>
          <t>s</t>
        </is>
      </c>
      <c r="E171" t="n">
        <v>2</v>
      </c>
      <c r="F171">
        <f>60/INDEX(Vu_khi!$BB$2:$BB$336,MATCH($B$171,Vu_khi!$A$2:$A$336,0))/IF(INDEX(Vu_khi!$BD$2:$BD$336,MATCH($B$171,Vu_khi!$A$2:$A$336,0))="gun",0.7,1)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R_balance;R_full_weapon_audit;W_wikipedia_a_192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p26_leviathan_lev155/nhip</t>
        </is>
      </c>
      <c r="B172" t="inlineStr">
        <is>
          <t>p26_leviathan_lev155</t>
        </is>
      </c>
      <c r="C172" t="inlineStr">
        <is>
          <t>khe_mot_nong_mot_vien</t>
        </is>
      </c>
      <c r="D172" t="inlineStr">
        <is>
          <t>s</t>
        </is>
      </c>
      <c r="E172" t="n">
        <v>5.000005714</v>
      </c>
      <c r="F172">
        <f>60/INDEX(Vu_khi!$BB$2:$BB$336,MATCH($B$172,Vu_khi!$A$2:$A$336,0))/IF(INDEX(Vu_khi!$BD$2:$BD$336,MATCH($B$172,Vu_khi!$A$2:$A$336,0))="gun",0.7,1)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>
        <is>
          <t>TC0053</t>
        </is>
      </c>
      <c r="N172" t="inlineStr">
        <is>
          <t>R_balance;R_full_weapon_audit;W_wikipedia_15_5_cm_60_3rd_year_type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p26_leviathan_lev406/nhip</t>
        </is>
      </c>
      <c r="B173" t="inlineStr">
        <is>
          <t>p26_leviathan_lev406</t>
        </is>
      </c>
      <c r="C173" t="inlineStr">
        <is>
          <t>khe_mot_nong_mot_vien</t>
        </is>
      </c>
      <c r="D173" t="inlineStr">
        <is>
          <t>s</t>
        </is>
      </c>
      <c r="E173" t="n">
        <v>60</v>
      </c>
      <c r="F173">
        <f>60/INDEX(Vu_khi!$BB$2:$BB$336,MATCH($B$173,Vu_khi!$A$2:$A$336,0))/IF(INDEX(Vu_khi!$BD$2:$BD$336,MATCH($B$173,Vu_khi!$A$2:$A$336,0))="gun",0.7,1)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R_balance;R_full_weapon_audit;W_wikipedia_16_50_caliber_mark_7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p26_leviathan_sec_lev155/nhip</t>
        </is>
      </c>
      <c r="B174" t="inlineStr">
        <is>
          <t>p26_leviathan_sec_lev155</t>
        </is>
      </c>
      <c r="C174" t="inlineStr">
        <is>
          <t>khe_mot_nong_mot_vien</t>
        </is>
      </c>
      <c r="D174" t="inlineStr">
        <is>
          <t>s</t>
        </is>
      </c>
      <c r="E174" t="n">
        <v>10.5</v>
      </c>
      <c r="F174">
        <f>60/INDEX(Vu_khi!$BB$2:$BB$336,MATCH($B$174,Vu_khi!$A$2:$A$336,0))/IF(INDEX(Vu_khi!$BD$2:$BD$336,MATCH($B$174,Vu_khi!$A$2:$A$336,0))="gun",0.7,1)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R_balance;R_full_weapon_audit;W_wikipedia_15_5_cm_60_3rd_year_type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p26_matriarch_close_boss_flak/nhip</t>
        </is>
      </c>
      <c r="B175" t="inlineStr">
        <is>
          <t>p26_matriarch_close_boss_flak</t>
        </is>
      </c>
      <c r="C175" t="inlineStr">
        <is>
          <t>khe_mot_nong_mot_vien</t>
        </is>
      </c>
      <c r="D175" t="inlineStr">
        <is>
          <t>s</t>
        </is>
      </c>
      <c r="E175" t="n">
        <v>0.262439018</v>
      </c>
      <c r="F175">
        <f>60/INDEX(Vu_khi!$BB$2:$BB$336,MATCH($B$175,Vu_khi!$A$2:$A$336,0))/IF(INDEX(Vu_khi!$BD$2:$BD$336,MATCH($B$175,Vu_khi!$A$2:$A$336,0))="gun",0.7,1)</f>
        <v/>
      </c>
      <c r="G175">
        <f>$E$175/$F$175</f>
        <v/>
      </c>
      <c r="H175" t="n">
        <v>0.6</v>
      </c>
      <c r="I175" t="n">
        <v>2</v>
      </c>
      <c r="J175" t="b">
        <v>1</v>
      </c>
      <c r="K175" t="inlineStr">
        <is>
          <t>fix_weapon_reasons.json: wave 1 boss_flak: 41 rounds at 1,200 rpm, changed in 3.38 s (twin Oerlikon GDF 2 x 550 rpm)</t>
        </is>
      </c>
      <c r="L175">
        <f>IF(ISNUMBER($H$175),AND(NOT($J$175),OR($G$175&lt;$H$175,$G$175&gt;$I$175)),FALSE)</f>
        <v/>
      </c>
      <c r="M175" t="inlineStr"/>
      <c r="N175" t="inlineStr">
        <is>
          <t>R_balance;R_full_weapon_audit;W_wikipedia_oerlikon_gdf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p26_matriarch_direct_ma_atgm/nhip</t>
        </is>
      </c>
      <c r="B176" t="inlineStr">
        <is>
          <t>p26_matriarch_direct_ma_atgm</t>
        </is>
      </c>
      <c r="C176" t="inlineStr">
        <is>
          <t>khe_mot_nong_mot_vien</t>
        </is>
      </c>
      <c r="D176" t="inlineStr">
        <is>
          <t>s</t>
        </is>
      </c>
      <c r="E176" t="n">
        <v>20</v>
      </c>
      <c r="F176">
        <f>60/INDEX(Vu_khi!$BB$2:$BB$336,MATCH($B$176,Vu_khi!$A$2:$A$336,0))/IF(INDEX(Vu_khi!$BD$2:$BD$336,MATCH($B$176,Vu_khi!$A$2:$A$336,0))="gun",0.7,1)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R_balance;R_full_weapon_audit;W_wikipedia_9m133_kornet;W_wikipedia_bai_cua_tung_ten_lua_bang_warhead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p26_matriarch_direct_ma_atgm/sat_thuong</t>
        </is>
      </c>
      <c r="B177" t="inlineStr">
        <is>
          <t>p26_matriarch_direct_ma_atgm</t>
        </is>
      </c>
      <c r="C177" t="inlineStr">
        <is>
          <t>sat_thuong_tren_kg_dau_dan</t>
        </is>
      </c>
      <c r="D177" t="inlineStr">
        <is>
          <t>hp/kg</t>
        </is>
      </c>
      <c r="E177">
        <f>INDEX(Vu_khi!$W$2:$W$336,MATCH($B$177,Vu_khi!$A$2:$A$336,0))</f>
        <v/>
      </c>
      <c r="F177">
        <f>INDEX(Vu_khi_tham_chieu!$AB$2:$AB$336,MATCH($B$177,Vu_khi_tham_chieu!$A$2:$A$336,0))</f>
        <v/>
      </c>
      <c r="G177">
        <f>$E$177/$F$177</f>
        <v/>
      </c>
      <c r="H177" t="inlineStr"/>
      <c r="I177" t="inlineStr"/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R_full_weapon_audit</t>
        </is>
      </c>
      <c r="O177" t="inlineStr">
        <is>
          <t>sát thương một phát / khối lượng đầu đạn (không bắt buộc 1:1, chỉ ghi ty_le)</t>
        </is>
      </c>
      <c r="P177" t="inlineStr">
        <is>
          <t>Tools/balance/full_weapon_audit.py WARHEAD</t>
        </is>
      </c>
      <c r="Q177" t="inlineStr"/>
    </row>
    <row r="178">
      <c r="A178" t="inlineStr">
        <is>
          <t>p26_matriarch_ma_atgm/nhip</t>
        </is>
      </c>
      <c r="B178" t="inlineStr">
        <is>
          <t>p26_matriarch_ma_atgm</t>
        </is>
      </c>
      <c r="C178" t="inlineStr">
        <is>
          <t>khe_mot_nong_mot_vien</t>
        </is>
      </c>
      <c r="D178" t="inlineStr">
        <is>
          <t>s</t>
        </is>
      </c>
      <c r="E178" t="n">
        <v>2</v>
      </c>
      <c r="F178">
        <f>60/INDEX(Vu_khi!$BB$2:$BB$336,MATCH($B$178,Vu_khi!$A$2:$A$336,0))/IF(INDEX(Vu_khi!$BD$2:$BD$336,MATCH($B$178,Vu_khi!$A$2:$A$336,0))="gun",0.7,1)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>
        <is>
          <t>TC0054</t>
        </is>
      </c>
      <c r="N178" t="inlineStr">
        <is>
          <t>R_balance;R_full_weapon_audit;W_wikipedia_9m133_kornet;W_wikipedia_bai_cua_tung_ten_lua_bang_warhead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p26_matriarch_ma_atgm/sat_thuong</t>
        </is>
      </c>
      <c r="B179" t="inlineStr">
        <is>
          <t>p26_matriarch_ma_atgm</t>
        </is>
      </c>
      <c r="C179" t="inlineStr">
        <is>
          <t>sat_thuong_tren_kg_dau_dan</t>
        </is>
      </c>
      <c r="D179" t="inlineStr">
        <is>
          <t>hp/kg</t>
        </is>
      </c>
      <c r="E179">
        <f>INDEX(Vu_khi!$W$2:$W$336,MATCH($B$179,Vu_khi!$A$2:$A$336,0))</f>
        <v/>
      </c>
      <c r="F179">
        <f>INDEX(Vu_khi_tham_chieu!$AB$2:$AB$336,MATCH($B$179,Vu_khi_tham_chieu!$A$2:$A$336,0))</f>
        <v/>
      </c>
      <c r="G179">
        <f>$E$179/$F$179</f>
        <v/>
      </c>
      <c r="H179" t="inlineStr"/>
      <c r="I179" t="inlineStr"/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R_full_weapon_audit</t>
        </is>
      </c>
      <c r="O179" t="inlineStr">
        <is>
          <t>sát thương một phát / khối lượng đầu đạn (không bắt buộc 1:1, chỉ ghi ty_le)</t>
        </is>
      </c>
      <c r="P179" t="inlineStr">
        <is>
          <t>Tools/balance/full_weapon_audit.py WARHEAD</t>
        </is>
      </c>
      <c r="Q179" t="inlineStr"/>
    </row>
    <row r="180">
      <c r="A180" t="inlineStr">
        <is>
          <t>p26_matriarch_sec_autocannon_30/nhip</t>
        </is>
      </c>
      <c r="B180" t="inlineStr">
        <is>
          <t>p26_matriarch_sec_autocannon_30</t>
        </is>
      </c>
      <c r="C180" t="inlineStr">
        <is>
          <t>khe_mot_nong_mot_vien</t>
        </is>
      </c>
      <c r="D180" t="inlineStr">
        <is>
          <t>s</t>
        </is>
      </c>
      <c r="E180" t="n">
        <v>0.24999</v>
      </c>
      <c r="F180">
        <f>60/INDEX(Vu_khi!$BB$2:$BB$336,MATCH($B$180,Vu_khi!$A$2:$A$336,0))/IF(INDEX(Vu_khi!$BD$2:$BD$336,MATCH($B$180,Vu_khi!$A$2:$A$336,0))="gun",0.7,1)</f>
        <v/>
      </c>
      <c r="G180">
        <f>$E$180/$F$180</f>
        <v/>
      </c>
      <c r="H180" t="n">
        <v>0.6</v>
      </c>
      <c r="I180" t="n">
        <v>2</v>
      </c>
      <c r="J180" t="b">
        <v>1</v>
      </c>
      <c r="K180" t="inlineStr">
        <is>
          <t>fix_weapon_reasons.json: wave 1 autocannon_30: 10 rounds at 540 rpm every 2.5 s (2A42 550-800 rpm)</t>
        </is>
      </c>
      <c r="L180">
        <f>IF(ISNUMBER($H$180),AND(NOT($J$180),OR($G$180&lt;$H$180,$G$180&gt;$I$180)),FALSE)</f>
        <v/>
      </c>
      <c r="M180" t="inlineStr"/>
      <c r="N180" t="inlineStr">
        <is>
          <t>R_balance;R_full_weapon_audit;W_wikipedia_2a42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p26_matriarch_tiny_mothership_cannon/nhip</t>
        </is>
      </c>
      <c r="B181" t="inlineStr">
        <is>
          <t>p26_matriarch_tiny_mothership_cannon</t>
        </is>
      </c>
      <c r="C181" t="inlineStr">
        <is>
          <t>khe_mot_nong_mot_vien</t>
        </is>
      </c>
      <c r="D181" t="inlineStr">
        <is>
          <t>s</t>
        </is>
      </c>
      <c r="E181" t="n">
        <v>1.0725</v>
      </c>
      <c r="F181">
        <f>60/INDEX(Vu_khi!$BB$2:$BB$336,MATCH($B$181,Vu_khi!$A$2:$A$336,0))/IF(INDEX(Vu_khi!$BD$2:$BD$336,MATCH($B$181,Vu_khi!$A$2:$A$336,0))="gun",0.7,1)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R_balance;R_full_weapon_audit;W_wikipedia_au_220m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p26_moloch_close_boss_flak/nhip</t>
        </is>
      </c>
      <c r="B182" t="inlineStr">
        <is>
          <t>p26_moloch_close_boss_flak</t>
        </is>
      </c>
      <c r="C182" t="inlineStr">
        <is>
          <t>khe_mot_nong_mot_vien</t>
        </is>
      </c>
      <c r="D182" t="inlineStr">
        <is>
          <t>s</t>
        </is>
      </c>
      <c r="E182" t="n">
        <v>0.262439018</v>
      </c>
      <c r="F182">
        <f>60/INDEX(Vu_khi!$BB$2:$BB$336,MATCH($B$182,Vu_khi!$A$2:$A$336,0))/IF(INDEX(Vu_khi!$BD$2:$BD$336,MATCH($B$182,Vu_khi!$A$2:$A$336,0))="gun",0.7,1)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boss_flak: 41 rounds at 1,200 rpm, changed in 3.38 s (twin Oerlikon GDF 2 x 550 rpm)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R_balance;R_full_weapon_audit;W_wikipedia_oerlikon_gdf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p26_moloch_direct_mo120ap/nhip</t>
        </is>
      </c>
      <c r="B183" t="inlineStr">
        <is>
          <t>p26_moloch_direct_mo120ap</t>
        </is>
      </c>
      <c r="C183" t="inlineStr">
        <is>
          <t>khe_mot_nong_mot_vien</t>
        </is>
      </c>
      <c r="D183" t="inlineStr">
        <is>
          <t>s</t>
        </is>
      </c>
      <c r="E183" t="n">
        <v>7.5</v>
      </c>
      <c r="F183">
        <f>60/INDEX(Vu_khi!$BB$2:$BB$336,MATCH($B$183,Vu_khi!$A$2:$A$336,0))/IF(INDEX(Vu_khi!$BD$2:$BD$336,MATCH($B$183,Vu_khi!$A$2:$A$336,0))="gun",0.7,1)</f>
        <v/>
      </c>
      <c r="G183">
        <f>$E$183/$F$183</f>
        <v/>
      </c>
      <c r="H183" t="n">
        <v>0.6</v>
      </c>
      <c r="I183" t="n">
        <v>2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R_balance;R_full_weapon_audit;W_wikipedia_rheinmetall_120_mm_gun;R_machine_brigade_can_bang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p26_moloch_main_mo120/nhip</t>
        </is>
      </c>
      <c r="B184" t="inlineStr">
        <is>
          <t>p26_moloch_main_mo120</t>
        </is>
      </c>
      <c r="C184" t="inlineStr">
        <is>
          <t>khe_mot_nong_mot_vien</t>
        </is>
      </c>
      <c r="D184" t="inlineStr">
        <is>
          <t>s</t>
        </is>
      </c>
      <c r="E184" t="n">
        <v>7.5</v>
      </c>
      <c r="F184">
        <f>60/INDEX(Vu_khi!$BB$2:$BB$336,MATCH($B$184,Vu_khi!$A$2:$A$336,0))/IF(INDEX(Vu_khi!$BD$2:$BD$336,MATCH($B$184,Vu_khi!$A$2:$A$336,0))="gun",0.7,1)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R_balance;R_full_weapon_audit;W_wikipedia_rheinmetall_120_mm_gun;R_machine_brigade_can_bang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p26_moloch_mo120/nhip</t>
        </is>
      </c>
      <c r="B185" t="inlineStr">
        <is>
          <t>p26_moloch_mo120</t>
        </is>
      </c>
      <c r="C185" t="inlineStr">
        <is>
          <t>khe_mot_nong_mot_vien</t>
        </is>
      </c>
      <c r="D185" t="inlineStr">
        <is>
          <t>s</t>
        </is>
      </c>
      <c r="E185" t="n">
        <v>2.000003571</v>
      </c>
      <c r="F185">
        <f>60/INDEX(Vu_khi!$BB$2:$BB$336,MATCH($B$185,Vu_khi!$A$2:$A$336,0))/IF(INDEX(Vu_khi!$BD$2:$BD$336,MATCH($B$185,Vu_khi!$A$2:$A$336,0))="gun",0.7,1)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>
        <is>
          <t>TC0055</t>
        </is>
      </c>
      <c r="N185" t="inlineStr">
        <is>
          <t>R_balance;R_full_weapon_audit;W_wikipedia_rheinmetall_120_mm_gun;R_machine_brigade_can_bang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p26_moloch_mo120ap/nhip</t>
        </is>
      </c>
      <c r="B186" t="inlineStr">
        <is>
          <t>p26_moloch_mo120ap</t>
        </is>
      </c>
      <c r="C186" t="inlineStr">
        <is>
          <t>khe_mot_nong_mot_vien</t>
        </is>
      </c>
      <c r="D186" t="inlineStr">
        <is>
          <t>s</t>
        </is>
      </c>
      <c r="E186" t="n">
        <v>2.000003571</v>
      </c>
      <c r="F186">
        <f>60/INDEX(Vu_khi!$BB$2:$BB$336,MATCH($B$186,Vu_khi!$A$2:$A$336,0))/IF(INDEX(Vu_khi!$BD$2:$BD$336,MATCH($B$186,Vu_khi!$A$2:$A$336,0))="gun",0.7,1)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TC0056</t>
        </is>
      </c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p26_moloch_tiny_zu23/nhip</t>
        </is>
      </c>
      <c r="B187" t="inlineStr">
        <is>
          <t>p26_moloch_tiny_zu23</t>
        </is>
      </c>
      <c r="C187" t="inlineStr">
        <is>
          <t>khe_mot_nong_mot_vien</t>
        </is>
      </c>
      <c r="D187" t="inlineStr">
        <is>
          <t>s</t>
        </is>
      </c>
      <c r="E187" t="n">
        <v>0.09919997999999999</v>
      </c>
      <c r="F187">
        <f>60/INDEX(Vu_khi!$BB$2:$BB$336,MATCH($B$187,Vu_khi!$A$2:$A$336,0))/IF(INDEX(Vu_khi!$BD$2:$BD$336,MATCH($B$187,Vu_khi!$A$2:$A$336,0))="gun",0.7,1)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R_balance;R_full_weapon_audit;W_wikipedia_zu_23_2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p26_nemesis_close_boss_flak/nhip</t>
        </is>
      </c>
      <c r="B188" t="inlineStr">
        <is>
          <t>p26_nemesis_close_boss_flak</t>
        </is>
      </c>
      <c r="C188" t="inlineStr">
        <is>
          <t>khe_mot_nong_mot_vien</t>
        </is>
      </c>
      <c r="D188" t="inlineStr">
        <is>
          <t>s</t>
        </is>
      </c>
      <c r="E188" t="n">
        <v>0.262439018</v>
      </c>
      <c r="F188">
        <f>60/INDEX(Vu_khi!$BB$2:$BB$336,MATCH($B$188,Vu_khi!$A$2:$A$336,0))/IF(INDEX(Vu_khi!$BD$2:$BD$336,MATCH($B$188,Vu_khi!$A$2:$A$336,0))="gun",0.7,1)</f>
        <v/>
      </c>
      <c r="G188">
        <f>$E$188/$F$188</f>
        <v/>
      </c>
      <c r="H188" t="n">
        <v>0.6</v>
      </c>
      <c r="I188" t="n">
        <v>2</v>
      </c>
      <c r="J188" t="b">
        <v>1</v>
      </c>
      <c r="K188" t="inlineStr">
        <is>
          <t>fix_weapon_reasons.json: wave 1 boss_flak: 41 rounds at 1,200 rpm, changed in 3.38 s (twin Oerlikon GDF 2 x 550 rpm)</t>
        </is>
      </c>
      <c r="L188">
        <f>IF(ISNUMBER($H$188),AND(NOT($J$188),OR($G$188&lt;$H$188,$G$188&gt;$I$188)),FALSE)</f>
        <v/>
      </c>
      <c r="M188" t="inlineStr"/>
      <c r="N188" t="inlineStr">
        <is>
          <t>R_balance;R_full_weapon_audit;W_wikipedia_oerlikon_gdf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p26_nemesis_direct_ne125/nhip</t>
        </is>
      </c>
      <c r="B189" t="inlineStr">
        <is>
          <t>p26_nemesis_direct_ne125</t>
        </is>
      </c>
      <c r="C189" t="inlineStr">
        <is>
          <t>khe_mot_nong_mot_vien</t>
        </is>
      </c>
      <c r="D189" t="inlineStr">
        <is>
          <t>s</t>
        </is>
      </c>
      <c r="E189" t="n">
        <v>7.5</v>
      </c>
      <c r="F189">
        <f>60/INDEX(Vu_khi!$BB$2:$BB$336,MATCH($B$189,Vu_khi!$A$2:$A$336,0))/IF(INDEX(Vu_khi!$BD$2:$BD$336,MATCH($B$189,Vu_khi!$A$2:$A$336,0))="gun",0.7,1)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R_balance;R_full_weapon_audit;W_wikipedia_2a46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p26_nemesis_main_ne152/nhip</t>
        </is>
      </c>
      <c r="B190" t="inlineStr">
        <is>
          <t>p26_nemesis_main_ne152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60/INDEX(Vu_khi!$BB$2:$BB$336,MATCH($B$190,Vu_khi!$A$2:$A$336,0))/IF(INDEX(Vu_khi!$BD$2:$BD$336,MATCH($B$190,Vu_khi!$A$2:$A$336,0))="gun",0.7,1)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p26_nemesis_ne125/nhip</t>
        </is>
      </c>
      <c r="B191" t="inlineStr">
        <is>
          <t>p26_nemesis_ne125</t>
        </is>
      </c>
      <c r="C191" t="inlineStr">
        <is>
          <t>khe_mot_nong_mot_vien</t>
        </is>
      </c>
      <c r="D191" t="inlineStr">
        <is>
          <t>s</t>
        </is>
      </c>
      <c r="E191" t="n">
        <v>2.000003571</v>
      </c>
      <c r="F191">
        <f>60/INDEX(Vu_khi!$BB$2:$BB$336,MATCH($B$191,Vu_khi!$A$2:$A$336,0))/IF(INDEX(Vu_khi!$BD$2:$BD$336,MATCH($B$191,Vu_khi!$A$2:$A$336,0))="gun",0.7,1)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TC0057</t>
        </is>
      </c>
      <c r="N191" t="inlineStr">
        <is>
          <t>R_balance;R_full_weapon_audit;W_wikipedia_2a46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p26_nemesis_ne152/nhip</t>
        </is>
      </c>
      <c r="B192" t="inlineStr">
        <is>
          <t>p26_nemesis_ne152</t>
        </is>
      </c>
      <c r="C192" t="inlineStr">
        <is>
          <t>khe_mot_nong_mot_vien</t>
        </is>
      </c>
      <c r="D192" t="inlineStr">
        <is>
          <t>s</t>
        </is>
      </c>
      <c r="E192" t="n">
        <v>1.250003571</v>
      </c>
      <c r="F192">
        <f>60/INDEX(Vu_khi!$BB$2:$BB$336,MATCH($B$192,Vu_khi!$A$2:$A$336,0))/IF(INDEX(Vu_khi!$BD$2:$BD$336,MATCH($B$192,Vu_khi!$A$2:$A$336,0))="gun",0.7,1)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>
        <is>
          <t>TC0058</t>
        </is>
      </c>
      <c r="N192" t="inlineStr">
        <is>
          <t>R_balance;R_full_weapon_audit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p26_nemesis_sec_boss_rockets/nhip</t>
        </is>
      </c>
      <c r="B193" t="inlineStr">
        <is>
          <t>p26_nemesis_sec_boss_rockets</t>
        </is>
      </c>
      <c r="C193" t="inlineStr">
        <is>
          <t>khe_mot_nong_mot_vien</t>
        </is>
      </c>
      <c r="D193" t="inlineStr">
        <is>
          <t>s</t>
        </is>
      </c>
      <c r="E193" t="n">
        <v>0.5</v>
      </c>
      <c r="F193">
        <f>60/INDEX(Vu_khi!$BB$2:$BB$336,MATCH($B$193,Vu_khi!$A$2:$A$336,0))/IF(INDEX(Vu_khi!$BD$2:$BD$336,MATCH($B$193,Vu_khi!$A$2:$A$336,0))="gun",0.7,1)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R_balance;R_full_weapon_audit;W_wikipedia_bm_21_grad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p26_roc_close_twin_30_bmpt/nhip</t>
        </is>
      </c>
      <c r="B194" t="inlineStr">
        <is>
          <t>p26_roc_close_twin_30_bmpt</t>
        </is>
      </c>
      <c r="C194" t="inlineStr">
        <is>
          <t>khe_mot_nong_mot_vien</t>
        </is>
      </c>
      <c r="D194" t="inlineStr">
        <is>
          <t>s</t>
        </is>
      </c>
      <c r="E194" t="n">
        <v>0.3943833</v>
      </c>
      <c r="F194">
        <f>60/INDEX(Vu_khi!$BB$2:$BB$336,MATCH($B$194,Vu_khi!$A$2:$A$336,0))/IF(INDEX(Vu_khi!$BD$2:$BD$336,MATCH($B$194,Vu_khi!$A$2:$A$336,0))="gun",0.7,1)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fix_weapon_reasons.json: wave 1 twin_30_bmpt: 12 rounds at 720 rpm, 1.45 s after (wave 1's 1.5 s is a hair over 2 x the practical rate)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R_balance;R_full_weapon_audit;W_wikipedia_2a42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p26_roc_direct_roc_atgm/nhip</t>
        </is>
      </c>
      <c r="B195" t="inlineStr">
        <is>
          <t>p26_roc_direct_roc_atgm</t>
        </is>
      </c>
      <c r="C195" t="inlineStr">
        <is>
          <t>khe_mot_nong_mot_vien</t>
        </is>
      </c>
      <c r="D195" t="inlineStr">
        <is>
          <t>s</t>
        </is>
      </c>
      <c r="E195" t="n">
        <v>20</v>
      </c>
      <c r="F195">
        <f>60/INDEX(Vu_khi!$BB$2:$BB$336,MATCH($B$195,Vu_khi!$A$2:$A$336,0))/IF(INDEX(Vu_khi!$BD$2:$BD$336,MATCH($B$195,Vu_khi!$A$2:$A$336,0))="gun",0.7,1)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R_balance;R_full_weapon_audit;W_wikipedia_9m133_kornet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p26_roc_main_roc_bombs/nhip</t>
        </is>
      </c>
      <c r="B196" t="inlineStr">
        <is>
          <t>p26_roc_main_roc_bombs</t>
        </is>
      </c>
      <c r="C196" t="inlineStr">
        <is>
          <t>khe_mot_nong_mot_vien</t>
        </is>
      </c>
      <c r="D196" t="inlineStr">
        <is>
          <t>s</t>
        </is>
      </c>
      <c r="E196" t="n">
        <v>0.3</v>
      </c>
      <c r="F196">
        <f>60/INDEX(Vu_khi!$BB$2:$BB$336,MATCH($B$196,Vu_khi!$A$2:$A$336,0))/IF(INDEX(Vu_khi!$BD$2:$BD$336,MATCH($B$196,Vu_khi!$A$2:$A$336,0))="gun",0.7,1)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a 400 kg bomb stick from an airship's bay: no real rate for the bay's reload; the 35.4 s cycle kept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p26_roc_roc105/nhip</t>
        </is>
      </c>
      <c r="B197" t="inlineStr">
        <is>
          <t>p26_roc_roc105</t>
        </is>
      </c>
      <c r="C197" t="inlineStr">
        <is>
          <t>khe_mot_nong_mot_vien</t>
        </is>
      </c>
      <c r="D197" t="inlineStr">
        <is>
          <t>s</t>
        </is>
      </c>
      <c r="E197" t="n">
        <v>6</v>
      </c>
      <c r="F197">
        <f>60/INDEX(Vu_khi!$BB$2:$BB$336,MATCH($B$197,Vu_khi!$A$2:$A$336,0))/IF(INDEX(Vu_khi!$BD$2:$BD$336,MATCH($B$197,Vu_khi!$A$2:$A$336,0))="gun",0.7,1)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R_balance;R_full_weapon_audit;W_wikipedia_m102_howitzer;R_machine_brigade_can_bang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p26_roc_roc_atgm/nhip</t>
        </is>
      </c>
      <c r="B198" t="inlineStr">
        <is>
          <t>p26_roc_roc_atgm</t>
        </is>
      </c>
      <c r="C198" t="inlineStr">
        <is>
          <t>khe_mot_nong_mot_vien</t>
        </is>
      </c>
      <c r="D198" t="inlineStr">
        <is>
          <t>s</t>
        </is>
      </c>
      <c r="E198" t="n">
        <v>2</v>
      </c>
      <c r="F198">
        <f>60/INDEX(Vu_khi!$BB$2:$BB$336,MATCH($B$198,Vu_khi!$A$2:$A$336,0))/IF(INDEX(Vu_khi!$BD$2:$BD$336,MATCH($B$198,Vu_khi!$A$2:$A$336,0))="gun",0.7,1)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>
        <is>
          <t>TC0059</t>
        </is>
      </c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p26_roc_roc_bombs/nhip</t>
        </is>
      </c>
      <c r="B199" t="inlineStr">
        <is>
          <t>p26_roc_roc_bombs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60/INDEX(Vu_khi!$BB$2:$BB$336,MATCH($B$199,Vu_khi!$A$2:$A$336,0))/IF(INDEX(Vu_khi!$BD$2:$BD$336,MATCH($B$199,Vu_khi!$A$2:$A$336,0))="gun",0.7,1)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p26_typhon_direct_ty100/nhip</t>
        </is>
      </c>
      <c r="B200" t="inlineStr">
        <is>
          <t>p26_typhon_direct_ty100</t>
        </is>
      </c>
      <c r="C200" t="inlineStr">
        <is>
          <t>khe_mot_nong_mot_vien</t>
        </is>
      </c>
      <c r="D200" t="inlineStr">
        <is>
          <t>s</t>
        </is>
      </c>
      <c r="E200" t="n">
        <v>1.75</v>
      </c>
      <c r="F200">
        <f>60/INDEX(Vu_khi!$BB$2:$BB$336,MATCH($B$200,Vu_khi!$A$2:$A$336,0))/IF(INDEX(Vu_khi!$BD$2:$BD$336,MATCH($B$200,Vu_khi!$A$2:$A$336,0))="gun",0.7,1)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R_balance;R_full_weapon_audit;W_wikipedia_ak_100_naval_gun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p26_typhon_sec_ty57/nhip</t>
        </is>
      </c>
      <c r="B201" t="inlineStr">
        <is>
          <t>p26_typhon_sec_ty57</t>
        </is>
      </c>
      <c r="C201" t="inlineStr">
        <is>
          <t>khe_mot_nong_mot_vien</t>
        </is>
      </c>
      <c r="D201" t="inlineStr">
        <is>
          <t>s</t>
        </is>
      </c>
      <c r="E201" t="n">
        <v>1.0725</v>
      </c>
      <c r="F201">
        <f>60/INDEX(Vu_khi!$BB$2:$BB$336,MATCH($B$201,Vu_khi!$A$2:$A$336,0))/IF(INDEX(Vu_khi!$BD$2:$BD$336,MATCH($B$201,Vu_khi!$A$2:$A$336,0))="gun",0.7,1)</f>
        <v/>
      </c>
      <c r="G201">
        <f>$E$201/$F$201</f>
        <v/>
      </c>
      <c r="H201" t="n">
        <v>0.6</v>
      </c>
      <c r="I201" t="n">
        <v>2</v>
      </c>
      <c r="J201" t="b">
        <v>1</v>
      </c>
      <c r="K201" t="inlineStr">
        <is>
          <t>fix_weapon_reasons.json: wave 1 mothership_cannon: 4 rounds 0.5 s apart every 4.29 s (AU-220M 120 rpm); made up: a twin 57 mm deck mount (as the real AK-725 twin 57 mm)</t>
        </is>
      </c>
      <c r="L201">
        <f>IF(ISNUMBER($H$201),AND(NOT($J$201),OR($G$201&lt;$H$201,$G$201&gt;$I$201)),FALSE)</f>
        <v/>
      </c>
      <c r="M201" t="inlineStr"/>
      <c r="N201" t="inlineStr">
        <is>
          <t>R_balance;R_full_weapon_audit;W_wikipedia_au_220m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p26_typhon_ty57/nhip</t>
        </is>
      </c>
      <c r="B202" t="inlineStr">
        <is>
          <t>p26_typhon_ty57</t>
        </is>
      </c>
      <c r="C202" t="inlineStr">
        <is>
          <t>khe_mot_nong_mot_vien</t>
        </is>
      </c>
      <c r="D202" t="inlineStr">
        <is>
          <t>s</t>
        </is>
      </c>
      <c r="E202" t="n">
        <v>0.75</v>
      </c>
      <c r="F202">
        <f>60/INDEX(Vu_khi!$BB$2:$BB$336,MATCH($B$202,Vu_khi!$A$2:$A$336,0))/IF(INDEX(Vu_khi!$BD$2:$BD$336,MATCH($B$202,Vu_khi!$A$2:$A$336,0))="gun",0.7,1)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R_balance;R_full_weapon_audit;W_wikipedia_au_220m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p26_typhon_ty100/nhip</t>
        </is>
      </c>
      <c r="B203" t="inlineStr">
        <is>
          <t>p26_typhon_ty100</t>
        </is>
      </c>
      <c r="C203" t="inlineStr">
        <is>
          <t>khe_mot_nong_mot_vien</t>
        </is>
      </c>
      <c r="D203" t="inlineStr">
        <is>
          <t>s</t>
        </is>
      </c>
      <c r="E203" t="n">
        <v>2.5</v>
      </c>
      <c r="F203">
        <f>60/INDEX(Vu_khi!$BB$2:$BB$336,MATCH($B$203,Vu_khi!$A$2:$A$336,0))/IF(INDEX(Vu_khi!$BD$2:$BD$336,MATCH($B$203,Vu_khi!$A$2:$A$336,0))="gun",0.7,1)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patriot/nhip</t>
        </is>
      </c>
      <c r="B204" t="inlineStr">
        <is>
          <t>patriot</t>
        </is>
      </c>
      <c r="C204" t="inlineStr">
        <is>
          <t>khe_mot_nong_mot_vien</t>
        </is>
      </c>
      <c r="D204" t="inlineStr">
        <is>
          <t>s</t>
        </is>
      </c>
      <c r="E204" t="n">
        <v>1.599999</v>
      </c>
      <c r="F204">
        <f>60/INDEX(Vu_khi!$BB$2:$BB$336,MATCH($B$204,Vu_khi!$A$2:$A$336,0))/IF(INDEX(Vu_khi!$BD$2:$BD$336,MATCH($B$204,Vu_khi!$A$2:$A$336,0))="gun",0.7,1)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>
        <is>
          <t>TC0060</t>
        </is>
      </c>
      <c r="N204" t="inlineStr">
        <is>
          <t>R_balance;R_full_weapon_audit;W_wikipedia_mim_104_patriot;R_machine_brigade_can_bang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pt14_ixion_30/nhip</t>
        </is>
      </c>
      <c r="B205" t="inlineStr">
        <is>
          <t>pt14_ixion_30</t>
        </is>
      </c>
      <c r="C205" t="inlineStr">
        <is>
          <t>khe_mot_nong_mot_vien</t>
        </is>
      </c>
      <c r="D205" t="inlineStr">
        <is>
          <t>s</t>
        </is>
      </c>
      <c r="E205" t="n">
        <v>0.5347125</v>
      </c>
      <c r="F205">
        <f>60/INDEX(Vu_khi!$BB$2:$BB$336,MATCH($B$205,Vu_khi!$A$2:$A$336,0))/IF(INDEX(Vu_khi!$BD$2:$BD$336,MATCH($B$205,Vu_khi!$A$2:$A$336,0))="gun",0.7,1)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TC0061</t>
        </is>
      </c>
      <c r="N205" t="inlineStr">
        <is>
          <t>R_balance;R_full_weapon_audit;W_wikipedia_2a42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pt14_ixion_grad/nhip</t>
        </is>
      </c>
      <c r="B206" t="inlineStr">
        <is>
          <t>pt14_ixion_grad</t>
        </is>
      </c>
      <c r="C206" t="inlineStr">
        <is>
          <t>khe_mot_nong_mot_vien</t>
        </is>
      </c>
      <c r="D206" t="inlineStr">
        <is>
          <t>s</t>
        </is>
      </c>
      <c r="E206" t="n">
        <v>0.5</v>
      </c>
      <c r="F206">
        <f>60/INDEX(Vu_khi!$BB$2:$BB$336,MATCH($B$206,Vu_khi!$A$2:$A$336,0))/IF(INDEX(Vu_khi!$BD$2:$BD$336,MATCH($B$206,Vu_khi!$A$2:$A$336,0))="gun",0.7,1)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R_balance;R_full_weapon_audit;W_wikipedia_bm_21_grad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pt14_ixion_kornet/nhip</t>
        </is>
      </c>
      <c r="B207" t="inlineStr">
        <is>
          <t>pt14_ixion_kornet</t>
        </is>
      </c>
      <c r="C207" t="inlineStr">
        <is>
          <t>khe_mot_nong_mot_vien</t>
        </is>
      </c>
      <c r="D207" t="inlineStr">
        <is>
          <t>s</t>
        </is>
      </c>
      <c r="E207" t="n">
        <v>24</v>
      </c>
      <c r="F207">
        <f>60/INDEX(Vu_khi!$BB$2:$BB$336,MATCH($B$207,Vu_khi!$A$2:$A$336,0))/IF(INDEX(Vu_khi!$BD$2:$BD$336,MATCH($B$207,Vu_khi!$A$2:$A$336,0))="gun",0.7,1)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R_balance;R_full_weapon_audit;W_wikipedia_9m133_kornet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recoilless_106/nhip</t>
        </is>
      </c>
      <c r="B208" t="inlineStr">
        <is>
          <t>recoilless_106</t>
        </is>
      </c>
      <c r="C208" t="inlineStr">
        <is>
          <t>khe_mot_nong_mot_vien</t>
        </is>
      </c>
      <c r="D208" t="inlineStr">
        <is>
          <t>s</t>
        </is>
      </c>
      <c r="E208" t="n">
        <v>6.666702857</v>
      </c>
      <c r="F208">
        <f>60/INDEX(Vu_khi!$BB$2:$BB$336,MATCH($B$208,Vu_khi!$A$2:$A$336,0))/IF(INDEX(Vu_khi!$BD$2:$BD$336,MATCH($B$208,Vu_khi!$A$2:$A$336,0))="gun",0.7,1)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TC0062</t>
        </is>
      </c>
      <c r="N208" t="inlineStr">
        <is>
          <t>R_balance;R_full_weapon_audit;W_wikipedia_m40_recoilless_rifle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rockets_300mm/nhip</t>
        </is>
      </c>
      <c r="B209" t="inlineStr">
        <is>
          <t>rockets_300mm</t>
        </is>
      </c>
      <c r="C209" t="inlineStr">
        <is>
          <t>khe_mot_nong_mot_vien</t>
        </is>
      </c>
      <c r="D209" t="inlineStr">
        <is>
          <t>s</t>
        </is>
      </c>
      <c r="E209" t="n">
        <v>0.250001053</v>
      </c>
      <c r="F209">
        <f>60/INDEX(Vu_khi!$BB$2:$BB$336,MATCH($B$209,Vu_khi!$A$2:$A$336,0))/IF(INDEX(Vu_khi!$BD$2:$BD$336,MATCH($B$209,Vu_khi!$A$2:$A$336,0))="gun",0.7,1)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TC0063</t>
        </is>
      </c>
      <c r="N209" t="inlineStr">
        <is>
          <t>R_balance;R_full_weapon_audit;W_wikipedia_bm_30_smerch;R_machine_brigade_can_bang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s8_pods/nhip</t>
        </is>
      </c>
      <c r="B210" t="inlineStr">
        <is>
          <t>s8_pods</t>
        </is>
      </c>
      <c r="C210" t="inlineStr">
        <is>
          <t>khe_mot_nong_mot_vien</t>
        </is>
      </c>
      <c r="D210" t="inlineStr">
        <is>
          <t>s</t>
        </is>
      </c>
      <c r="E210" t="n">
        <v>0.05</v>
      </c>
      <c r="F210">
        <f>60/INDEX(Vu_khi!$BB$2:$BB$336,MATCH($B$210,Vu_khi!$A$2:$A$336,0))/IF(INDEX(Vu_khi!$BD$2:$BD$336,MATCH($B$210,Vu_khi!$A$2:$A$336,0))="gun",0.7,1)</f>
        <v/>
      </c>
      <c r="G210">
        <f>$E$210/$F$210</f>
        <v/>
      </c>
      <c r="H210" t="n">
        <v>0.6</v>
      </c>
      <c r="I210" t="n">
        <v>2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R_balance;R_full_weapon_audit;R_decisions;R_machine_brigade_can_bang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sam/loi_no</t>
        </is>
      </c>
      <c r="B211" t="inlineStr">
        <is>
          <t>sam</t>
        </is>
      </c>
      <c r="C211" t="inlineStr">
        <is>
          <t>loi_m_tren_can_bac_ba_kg_dau_dan</t>
        </is>
      </c>
      <c r="D211" t="inlineStr">
        <is>
          <t>m/kg^(1/3)</t>
        </is>
      </c>
      <c r="E211">
        <f>INDEX(Vu_khi!$X$2:$X$336,MATCH($B$211,Vu_khi!$A$2:$A$336,0))</f>
        <v/>
      </c>
      <c r="F211">
        <f>POWER(INDEX(Vu_khi_tham_chieu!$AB$2:$AB$336,MATCH($B$211,Vu_khi_tham_chieu!$A$2:$A$336,0)),1/3)</f>
        <v/>
      </c>
      <c r="G211">
        <f>$E$211/$F$211</f>
        <v/>
      </c>
      <c r="H211" t="inlineStr"/>
      <c r="I211" t="inlineStr"/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R_full_weapon_audit</t>
        </is>
      </c>
      <c r="O211" t="inlineStr">
        <is>
          <t>lõi nổ / căn bậc ba khối lượng đầu đạn (đầu đạn thay cho thuốc nổ: repo không có khối lượng thuốc nổ)</t>
        </is>
      </c>
      <c r="P211" t="inlineStr">
        <is>
          <t>Tools/balance/full_weapon_audit.py WARHEAD</t>
        </is>
      </c>
      <c r="Q211" t="inlineStr"/>
    </row>
    <row r="212">
      <c r="A212" t="inlineStr">
        <is>
          <t>sam/nhip</t>
        </is>
      </c>
      <c r="B212" t="inlineStr">
        <is>
          <t>sam</t>
        </is>
      </c>
      <c r="C212" t="inlineStr">
        <is>
          <t>khe_mot_nong_mot_vien</t>
        </is>
      </c>
      <c r="D212" t="inlineStr">
        <is>
          <t>s</t>
        </is>
      </c>
      <c r="E212" t="n">
        <v>4.452</v>
      </c>
      <c r="F212">
        <f>60/INDEX(Vu_khi!$BB$2:$BB$336,MATCH($B$212,Vu_khi!$A$2:$A$336,0))/IF(INDEX(Vu_khi!$BD$2:$BD$336,MATCH($B$212,Vu_khi!$A$2:$A$336,0))="gun",0.7,1)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R_balance;R_full_weapon_audit;W_wikipedia_bai_cua_tung_ten_lua_bang_warhead;R_machine_brigade_can_bang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sam/sat_thuong</t>
        </is>
      </c>
      <c r="B213" t="inlineStr">
        <is>
          <t>sam</t>
        </is>
      </c>
      <c r="C213" t="inlineStr">
        <is>
          <t>sat_thuong_tren_kg_dau_dan</t>
        </is>
      </c>
      <c r="D213" t="inlineStr">
        <is>
          <t>hp/kg</t>
        </is>
      </c>
      <c r="E213">
        <f>INDEX(Vu_khi!$W$2:$W$336,MATCH($B$213,Vu_khi!$A$2:$A$336,0))</f>
        <v/>
      </c>
      <c r="F213">
        <f>INDEX(Vu_khi_tham_chieu!$AB$2:$AB$336,MATCH($B$213,Vu_khi_tham_chieu!$A$2:$A$336,0))</f>
        <v/>
      </c>
      <c r="G213">
        <f>$E$213/$F$213</f>
        <v/>
      </c>
      <c r="H213" t="inlineStr"/>
      <c r="I213" t="inlineStr"/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R_full_weapon_audit</t>
        </is>
      </c>
      <c r="O213" t="inlineStr">
        <is>
          <t>sát thương một phát / khối lượng đầu đạn (không bắt buộc 1:1, chỉ ghi ty_le)</t>
        </is>
      </c>
      <c r="P213" t="inlineStr">
        <is>
          <t>Tools/balance/full_weapon_audit.py WARHEAD</t>
        </is>
      </c>
      <c r="Q213" t="inlineStr"/>
    </row>
    <row r="214">
      <c r="A214" t="inlineStr">
        <is>
          <t>sam_48n6/nhip</t>
        </is>
      </c>
      <c r="B214" t="inlineStr">
        <is>
          <t>sam_48n6</t>
        </is>
      </c>
      <c r="C214" t="inlineStr">
        <is>
          <t>khe_mot_nong_mot_vien</t>
        </is>
      </c>
      <c r="D214" t="inlineStr">
        <is>
          <t>s</t>
        </is>
      </c>
      <c r="E214" t="n">
        <v>7.2</v>
      </c>
      <c r="F214">
        <f>60/INDEX(Vu_khi!$BB$2:$BB$336,MATCH($B$214,Vu_khi!$A$2:$A$336,0))/IF(INDEX(Vu_khi!$BD$2:$BD$336,MATCH($B$214,Vu_khi!$A$2:$A$336,0))="gun",0.7,1)</f>
        <v/>
      </c>
      <c r="G214">
        <f>$E$214/$F$214</f>
        <v/>
      </c>
      <c r="H214" t="n">
        <v>0.6</v>
      </c>
      <c r="I214" t="n">
        <v>2</v>
      </c>
      <c r="J214" t="b">
        <v>1</v>
      </c>
      <c r="K2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4">
        <f>IF(ISNUMBER($H$214),AND(NOT($J$214),OR($G$214&lt;$H$214,$G$214&gt;$I$214)),FALSE)</f>
        <v/>
      </c>
      <c r="M214" t="inlineStr"/>
      <c r="N214" t="inlineStr">
        <is>
          <t>R_balance;R_full_weapon_audit;W_wikipedia_s_400;R_machine_brigade_can_bang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sam_battery/nhip</t>
        </is>
      </c>
      <c r="B215" t="inlineStr">
        <is>
          <t>sam_battery</t>
        </is>
      </c>
      <c r="C215" t="inlineStr">
        <is>
          <t>khe_mot_nong_mot_vien</t>
        </is>
      </c>
      <c r="D215" t="inlineStr">
        <is>
          <t>s</t>
        </is>
      </c>
      <c r="E215" t="n">
        <v>5.499999</v>
      </c>
      <c r="F215">
        <f>60/INDEX(Vu_khi!$BB$2:$BB$336,MATCH($B$215,Vu_khi!$A$2:$A$336,0))/IF(INDEX(Vu_khi!$BD$2:$BD$336,MATCH($B$215,Vu_khi!$A$2:$A$336,0))="gun",0.7,1)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R_balance;R_full_weapon_audit;W_wikipedia_mim_104_patriot;R_machine_brigade_can_bang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sam_battery_lrr/nhip</t>
        </is>
      </c>
      <c r="B216" t="inlineStr">
        <is>
          <t>sam_battery_lrr</t>
        </is>
      </c>
      <c r="C216" t="inlineStr">
        <is>
          <t>khe_mot_nong_mot_vien</t>
        </is>
      </c>
      <c r="D216" t="inlineStr">
        <is>
          <t>s</t>
        </is>
      </c>
      <c r="E216" t="n">
        <v>1.95</v>
      </c>
      <c r="F216">
        <f>60/INDEX(Vu_khi!$BB$2:$BB$336,MATCH($B$216,Vu_khi!$A$2:$A$336,0))/IF(INDEX(Vu_khi!$BD$2:$BD$336,MATCH($B$216,Vu_khi!$A$2:$A$336,0))="gun",0.7,1)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R_balance;R_full_weapon_audit;W_wikipedia_mim_104_patriot;R_machine_brigade_can_bang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sam_long/nhip</t>
        </is>
      </c>
      <c r="B217" t="inlineStr">
        <is>
          <t>sam_long</t>
        </is>
      </c>
      <c r="C217" t="inlineStr">
        <is>
          <t>khe_mot_nong_mot_vien</t>
        </is>
      </c>
      <c r="D217" t="inlineStr">
        <is>
          <t>s</t>
        </is>
      </c>
      <c r="E217" t="n">
        <v>3.115</v>
      </c>
      <c r="F217">
        <f>60/INDEX(Vu_khi!$BB$2:$BB$336,MATCH($B$217,Vu_khi!$A$2:$A$336,0))/IF(INDEX(Vu_khi!$BD$2:$BD$336,MATCH($B$217,Vu_khi!$A$2:$A$336,0))="gun",0.7,1)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R_balance;R_full_weapon_audit;W_wikipedia_buk_missile_system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sam_pac3/loi_no</t>
        </is>
      </c>
      <c r="B218" t="inlineStr">
        <is>
          <t>sam_pac3</t>
        </is>
      </c>
      <c r="C218" t="inlineStr">
        <is>
          <t>loi_m_tren_can_bac_ba_kg_dau_dan</t>
        </is>
      </c>
      <c r="D218" t="inlineStr">
        <is>
          <t>m/kg^(1/3)</t>
        </is>
      </c>
      <c r="E218">
        <f>INDEX(Vu_khi!$X$2:$X$336,MATCH($B$218,Vu_khi!$A$2:$A$336,0))</f>
        <v/>
      </c>
      <c r="F218">
        <f>POWER(INDEX(Vu_khi_tham_chieu!$AB$2:$AB$336,MATCH($B$218,Vu_khi_tham_chieu!$A$2:$A$336,0)),1/3)</f>
        <v/>
      </c>
      <c r="G218">
        <f>$E$218/$F$218</f>
        <v/>
      </c>
      <c r="H218" t="inlineStr"/>
      <c r="I218" t="inlineStr"/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R_full_weapon_audit</t>
        </is>
      </c>
      <c r="O218" t="inlineStr">
        <is>
          <t>lõi nổ / căn bậc ba khối lượng đầu đạn (đầu đạn thay cho thuốc nổ: repo không có khối lượng thuốc nổ)</t>
        </is>
      </c>
      <c r="P218" t="inlineStr">
        <is>
          <t>Tools/balance/full_weapon_audit.py WARHEAD</t>
        </is>
      </c>
      <c r="Q218" t="inlineStr"/>
    </row>
    <row r="219">
      <c r="A219" t="inlineStr">
        <is>
          <t>sam_pac3/nhip</t>
        </is>
      </c>
      <c r="B219" t="inlineStr">
        <is>
          <t>sam_pac3</t>
        </is>
      </c>
      <c r="C219" t="inlineStr">
        <is>
          <t>khe_mot_nong_mot_vien</t>
        </is>
      </c>
      <c r="D219" t="inlineStr">
        <is>
          <t>s</t>
        </is>
      </c>
      <c r="E219" t="n">
        <v>3.350001</v>
      </c>
      <c r="F219">
        <f>60/INDEX(Vu_khi!$BB$2:$BB$336,MATCH($B$219,Vu_khi!$A$2:$A$336,0))/IF(INDEX(Vu_khi!$BD$2:$BD$336,MATCH($B$219,Vu_khi!$A$2:$A$336,0))="gun",0.7,1)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R_balance;R_full_weapon_audit;W_wikipedia_mim_104_patriot;W_wikipedia_bai_cua_tung_ten_lua_bang_warhead;R_machine_brigade_can_bang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sam_pac3/sat_thuong</t>
        </is>
      </c>
      <c r="B220" t="inlineStr">
        <is>
          <t>sam_pac3</t>
        </is>
      </c>
      <c r="C220" t="inlineStr">
        <is>
          <t>sat_thuong_tren_kg_dau_dan</t>
        </is>
      </c>
      <c r="D220" t="inlineStr">
        <is>
          <t>hp/kg</t>
        </is>
      </c>
      <c r="E220">
        <f>INDEX(Vu_khi!$W$2:$W$336,MATCH($B$220,Vu_khi!$A$2:$A$336,0))</f>
        <v/>
      </c>
      <c r="F220">
        <f>INDEX(Vu_khi_tham_chieu!$AB$2:$AB$336,MATCH($B$220,Vu_khi_tham_chieu!$A$2:$A$336,0))</f>
        <v/>
      </c>
      <c r="G220">
        <f>$E$220/$F$220</f>
        <v/>
      </c>
      <c r="H220" t="inlineStr"/>
      <c r="I220" t="inlineStr"/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R_full_weapon_audit</t>
        </is>
      </c>
      <c r="O220" t="inlineStr">
        <is>
          <t>sát thương một phát / khối lượng đầu đạn (không bắt buộc 1:1, chỉ ghi ty_le)</t>
        </is>
      </c>
      <c r="P220" t="inlineStr">
        <is>
          <t>Tools/balance/full_weapon_audit.py WARHEAD</t>
        </is>
      </c>
      <c r="Q220" t="inlineStr"/>
    </row>
    <row r="221">
      <c r="A221" t="inlineStr">
        <is>
          <t>sam_post/nhip</t>
        </is>
      </c>
      <c r="B221" t="inlineStr">
        <is>
          <t>sam_post</t>
        </is>
      </c>
      <c r="C221" t="inlineStr">
        <is>
          <t>khe_mot_nong_mot_vien</t>
        </is>
      </c>
      <c r="D221" t="inlineStr">
        <is>
          <t>s</t>
        </is>
      </c>
      <c r="E221" t="n">
        <v>2.2</v>
      </c>
      <c r="F221">
        <f>60/INDEX(Vu_khi!$BB$2:$BB$336,MATCH($B$221,Vu_khi!$A$2:$A$336,0))/IF(INDEX(Vu_khi!$BD$2:$BD$336,MATCH($B$221,Vu_khi!$A$2:$A$336,0))="gun",0.7,1)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TC0064</t>
        </is>
      </c>
      <c r="N221" t="inlineStr">
        <is>
          <t>R_balance;R_full_weapon_audit;W_wikipedia_buk_missile_system;R_machine_brigade_can_bang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scout_rockets/nhip</t>
        </is>
      </c>
      <c r="B222" t="inlineStr">
        <is>
          <t>scout_rockets</t>
        </is>
      </c>
      <c r="C222" t="inlineStr">
        <is>
          <t>khe_mot_nong_mot_vien</t>
        </is>
      </c>
      <c r="D222" t="inlineStr">
        <is>
          <t>s</t>
        </is>
      </c>
      <c r="E222" t="n">
        <v>0.11</v>
      </c>
      <c r="F222">
        <f>60/INDEX(Vu_khi!$BB$2:$BB$336,MATCH($B$222,Vu_khi!$A$2:$A$336,0))/IF(INDEX(Vu_khi!$BD$2:$BD$336,MATCH($B$222,Vu_khi!$A$2:$A$336,0))="gun",0.7,1)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R_balance;R_full_weapon_audit;R_decisions;R_machine_brigade_can_bang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siege_gun_105/nhip</t>
        </is>
      </c>
      <c r="B223" t="inlineStr">
        <is>
          <t>siege_gun_105</t>
        </is>
      </c>
      <c r="C223" t="inlineStr">
        <is>
          <t>khe_mot_nong_mot_vien</t>
        </is>
      </c>
      <c r="D223" t="inlineStr">
        <is>
          <t>s</t>
        </is>
      </c>
      <c r="E223" t="n">
        <v>4.600002857</v>
      </c>
      <c r="F223">
        <f>60/INDEX(Vu_khi!$BB$2:$BB$336,MATCH($B$223,Vu_khi!$A$2:$A$336,0))/IF(INDEX(Vu_khi!$BD$2:$BD$336,MATCH($B$223,Vu_khi!$A$2:$A$336,0))="gun",0.7,1)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TC0065</t>
        </is>
      </c>
      <c r="N223" t="inlineStr">
        <is>
          <t>R_balance;R_full_weapon_audit;W_wikipedia_royal_ordnance_l7;R_machine_brigade_can_bang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siege_mortar_240/nhip</t>
        </is>
      </c>
      <c r="B224" t="inlineStr">
        <is>
          <t>siege_mortar_240</t>
        </is>
      </c>
      <c r="C224" t="inlineStr">
        <is>
          <t>khe_mot_nong_mot_vien</t>
        </is>
      </c>
      <c r="D224" t="inlineStr">
        <is>
          <t>s</t>
        </is>
      </c>
      <c r="E224" t="n">
        <v>10.476</v>
      </c>
      <c r="F224">
        <f>60/INDEX(Vu_khi!$BB$2:$BB$336,MATCH($B$224,Vu_khi!$A$2:$A$336,0))/IF(INDEX(Vu_khi!$BD$2:$BD$336,MATCH($B$224,Vu_khi!$A$2:$A$336,0))="gun",0.7,1)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>
        <is>
          <t>TC0066</t>
        </is>
      </c>
      <c r="N224" t="inlineStr">
        <is>
          <t>R_balance;R_full_weapon_audit;W_wikipedia_2s4_tyulpan;R_machine_brigade_can_bang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spg9_73mm/nhip</t>
        </is>
      </c>
      <c r="B225" t="inlineStr">
        <is>
          <t>spg9_73mm</t>
        </is>
      </c>
      <c r="C225" t="inlineStr">
        <is>
          <t>khe_mot_nong_mot_vien</t>
        </is>
      </c>
      <c r="D225" t="inlineStr">
        <is>
          <t>s</t>
        </is>
      </c>
      <c r="E225" t="n">
        <v>6.67</v>
      </c>
      <c r="F225">
        <f>60/INDEX(Vu_khi!$BB$2:$BB$336,MATCH($B$225,Vu_khi!$A$2:$A$336,0))/IF(INDEX(Vu_khi!$BD$2:$BD$336,MATCH($B$225,Vu_khi!$A$2:$A$336,0))="gun",0.7,1)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>
        <is>
          <t>TC0067</t>
        </is>
      </c>
      <c r="N225" t="inlineStr">
        <is>
          <t>R_balance;R_full_weapon_audit;W_wikipedia_spg_9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stealth_payload/nhip</t>
        </is>
      </c>
      <c r="B226" t="inlineStr">
        <is>
          <t>stealth_payload</t>
        </is>
      </c>
      <c r="C226" t="inlineStr">
        <is>
          <t>khe_mot_nong_mot_vien</t>
        </is>
      </c>
      <c r="D226" t="inlineStr">
        <is>
          <t>s</t>
        </is>
      </c>
      <c r="E226" t="n">
        <v>0.3</v>
      </c>
      <c r="F226">
        <f>60/INDEX(Vu_khi!$BB$2:$BB$336,MATCH($B$226,Vu_khi!$A$2:$A$336,0))/IF(INDEX(Vu_khi!$BD$2:$BD$336,MATCH($B$226,Vu_khi!$A$2:$A$336,0))="gun",0.7,1)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stinger_post/nhip</t>
        </is>
      </c>
      <c r="B227" t="inlineStr">
        <is>
          <t>stinger_post</t>
        </is>
      </c>
      <c r="C227" t="inlineStr">
        <is>
          <t>khe_mot_nong_mot_vien</t>
        </is>
      </c>
      <c r="D227" t="inlineStr">
        <is>
          <t>s</t>
        </is>
      </c>
      <c r="E227" t="n">
        <v>4.452</v>
      </c>
      <c r="F227">
        <f>60/INDEX(Vu_khi!$BB$2:$BB$336,MATCH($B$227,Vu_khi!$A$2:$A$336,0))/IF(INDEX(Vu_khi!$BD$2:$BD$336,MATCH($B$227,Vu_khi!$A$2:$A$336,0))="gun",0.7,1)</f>
        <v/>
      </c>
      <c r="G227">
        <f>$E$227/$F$227</f>
        <v/>
      </c>
      <c r="H227" t="n">
        <v>0.6</v>
      </c>
      <c r="I227" t="n">
        <v>2</v>
      </c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R_balance;R_full_weapon_audit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tamir/nhip</t>
        </is>
      </c>
      <c r="B228" t="inlineStr">
        <is>
          <t>tamir</t>
        </is>
      </c>
      <c r="C228" t="inlineStr">
        <is>
          <t>khe_mot_nong_mot_vien</t>
        </is>
      </c>
      <c r="D228" t="inlineStr">
        <is>
          <t>s</t>
        </is>
      </c>
      <c r="E228" t="n">
        <v>6.833333</v>
      </c>
      <c r="F228">
        <f>60/INDEX(Vu_khi!$BB$2:$BB$336,MATCH($B$228,Vu_khi!$A$2:$A$336,0))/IF(INDEX(Vu_khi!$BD$2:$BD$336,MATCH($B$228,Vu_khi!$A$2:$A$336,0))="gun",0.7,1)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>
        <is>
          <t>TC0068</t>
        </is>
      </c>
      <c r="N228" t="inlineStr">
        <is>
          <t>R_balance;R_full_weapon_audit;R_decisions;R_machine_brigade_can_bang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technical_rockets/nhip</t>
        </is>
      </c>
      <c r="B229" t="inlineStr">
        <is>
          <t>technical_rockets</t>
        </is>
      </c>
      <c r="C229" t="inlineStr">
        <is>
          <t>khe_mot_nong_mot_vien</t>
        </is>
      </c>
      <c r="D229" t="inlineStr">
        <is>
          <t>s</t>
        </is>
      </c>
      <c r="E229" t="n">
        <v>0.4999998</v>
      </c>
      <c r="F229">
        <f>60/INDEX(Vu_khi!$BB$2:$BB$336,MATCH($B$229,Vu_khi!$A$2:$A$336,0))/IF(INDEX(Vu_khi!$BD$2:$BD$336,MATCH($B$229,Vu_khi!$A$2:$A$336,0))="gun",0.7,1)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R_balance;R_full_weapon_audit;W_wikipedia_type_63_mrl;R_machine_brigade_can_bang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thermobaric_rockets/nhip</t>
        </is>
      </c>
      <c r="B230" t="inlineStr">
        <is>
          <t>thermobaric_rockets</t>
        </is>
      </c>
      <c r="C230" t="inlineStr">
        <is>
          <t>khe_mot_nong_mot_vien</t>
        </is>
      </c>
      <c r="D230" t="inlineStr">
        <is>
          <t>s</t>
        </is>
      </c>
      <c r="E230" t="n">
        <v>0.3</v>
      </c>
      <c r="F230">
        <f>60/INDEX(Vu_khi!$BB$2:$BB$336,MATCH($B$230,Vu_khi!$A$2:$A$336,0))/IF(INDEX(Vu_khi!$BD$2:$BD$336,MATCH($B$230,Vu_khi!$A$2:$A$336,0))="gun",0.7,1)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R_balance;R_full_weapon_audit;W_wikipedia_tos_1;R_machine_brigade_can_bang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tower_ac25/nhip</t>
        </is>
      </c>
      <c r="B231" t="inlineStr">
        <is>
          <t>tower_ac25</t>
        </is>
      </c>
      <c r="C231" t="inlineStr">
        <is>
          <t>khe_mot_nong_mot_vien</t>
        </is>
      </c>
      <c r="D231" t="inlineStr">
        <is>
          <t>s</t>
        </is>
      </c>
      <c r="E231" t="n">
        <v>0.255</v>
      </c>
      <c r="F231">
        <f>60/INDEX(Vu_khi!$BB$2:$BB$336,MATCH($B$231,Vu_khi!$A$2:$A$336,0))/IF(INDEX(Vu_khi!$BD$2:$BD$336,MATCH($B$231,Vu_khi!$A$2:$A$336,0))="gun",0.7,1)</f>
        <v/>
      </c>
      <c r="G231">
        <f>$E$231/$F$231</f>
        <v/>
      </c>
      <c r="H231" t="n">
        <v>0.6</v>
      </c>
      <c r="I231" t="n">
        <v>2</v>
      </c>
      <c r="J231" t="b">
        <v>1</v>
      </c>
      <c r="K2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1">
        <f>IF(ISNUMBER($H$231),AND(NOT($J$231),OR($G$231&lt;$H$231,$G$231&gt;$I$231)),FALSE)</f>
        <v/>
      </c>
      <c r="M231" t="inlineStr"/>
      <c r="N231" t="inlineStr">
        <is>
          <t>R_balance;R_full_weapon_audit;W_wikipedia_m242_bushmaster;R_machine_brigade_can_bang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tower_agl/nhip</t>
        </is>
      </c>
      <c r="B232" t="inlineStr">
        <is>
          <t>tower_agl</t>
        </is>
      </c>
      <c r="C232" t="inlineStr">
        <is>
          <t>khe_mot_nong_mot_vien</t>
        </is>
      </c>
      <c r="D232" t="inlineStr">
        <is>
          <t>s</t>
        </is>
      </c>
      <c r="E232" t="n">
        <v>0.88333328</v>
      </c>
      <c r="F232">
        <f>60/INDEX(Vu_khi!$BB$2:$BB$336,MATCH($B$232,Vu_khi!$A$2:$A$336,0))/IF(INDEX(Vu_khi!$BD$2:$BD$336,MATCH($B$232,Vu_khi!$A$2:$A$336,0))="gun",0.7,1)</f>
        <v/>
      </c>
      <c r="G232">
        <f>$E$232/$F$232</f>
        <v/>
      </c>
      <c r="H232" t="n">
        <v>0.6</v>
      </c>
      <c r="I232" t="n">
        <v>2</v>
      </c>
      <c r="J232" t="b">
        <v>1</v>
      </c>
      <c r="K23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2">
        <f>IF(ISNUMBER($H$232),AND(NOT($J$232),OR($G$232&lt;$H$232,$G$232&gt;$I$232)),FALSE)</f>
        <v/>
      </c>
      <c r="M232" t="inlineStr"/>
      <c r="N232" t="inlineStr">
        <is>
          <t>R_balance;R_full_weapon_audit;D_us_army_fm_3_22_27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tower_flak_30/nhip</t>
        </is>
      </c>
      <c r="B233" t="inlineStr">
        <is>
          <t>tower_flak_30</t>
        </is>
      </c>
      <c r="C233" t="inlineStr">
        <is>
          <t>khe_mot_nong_mot_vien</t>
        </is>
      </c>
      <c r="D233" t="inlineStr">
        <is>
          <t>s</t>
        </is>
      </c>
      <c r="E233" t="n">
        <v>0.107200008</v>
      </c>
      <c r="F233">
        <f>60/INDEX(Vu_khi!$BB$2:$BB$336,MATCH($B$233,Vu_khi!$A$2:$A$336,0))/IF(INDEX(Vu_khi!$BD$2:$BD$336,MATCH($B$233,Vu_khi!$A$2:$A$336,0))="gun",0.7,1)</f>
        <v/>
      </c>
      <c r="G233">
        <f>$E$233/$F$233</f>
        <v/>
      </c>
      <c r="H233" t="n">
        <v>0.6</v>
      </c>
      <c r="I233" t="n">
        <v>2</v>
      </c>
      <c r="J233" t="b">
        <v>1</v>
      </c>
      <c r="K23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3">
        <f>IF(ISNUMBER($H$233),AND(NOT($J$233),OR($G$233&lt;$H$233,$G$233&gt;$I$233)),FALSE)</f>
        <v/>
      </c>
      <c r="M233" t="inlineStr"/>
      <c r="N233" t="inlineStr">
        <is>
          <t>R_balance;R_full_weapon_audit;W_wikipedia_2a38;R_machine_brigade_can_bang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tower_hmg/nhip</t>
        </is>
      </c>
      <c r="B234" t="inlineStr">
        <is>
          <t>tower_hmg</t>
        </is>
      </c>
      <c r="C234" t="inlineStr">
        <is>
          <t>khe_mot_nong_mot_vien</t>
        </is>
      </c>
      <c r="D234" t="inlineStr">
        <is>
          <t>s</t>
        </is>
      </c>
      <c r="E234" t="n">
        <v>0.125</v>
      </c>
      <c r="F234">
        <f>60/INDEX(Vu_khi!$BB$2:$BB$336,MATCH($B$234,Vu_khi!$A$2:$A$336,0))/IF(INDEX(Vu_khi!$BD$2:$BD$336,MATCH($B$234,Vu_khi!$A$2:$A$336,0))="gun",0.7,1)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R_balance;R_full_weapon_audit;D_us_army_fm_3_22_65;R_machine_brigade_can_bang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tower_kornet/nhip</t>
        </is>
      </c>
      <c r="B235" t="inlineStr">
        <is>
          <t>tower_kornet</t>
        </is>
      </c>
      <c r="C235" t="inlineStr">
        <is>
          <t>khe_mot_nong_mot_vien</t>
        </is>
      </c>
      <c r="D235" t="inlineStr">
        <is>
          <t>s</t>
        </is>
      </c>
      <c r="E235" t="n">
        <v>5.55</v>
      </c>
      <c r="F235">
        <f>60/INDEX(Vu_khi!$BB$2:$BB$336,MATCH($B$235,Vu_khi!$A$2:$A$336,0))/IF(INDEX(Vu_khi!$BD$2:$BD$336,MATCH($B$235,Vu_khi!$A$2:$A$336,0))="gun",0.7,1)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TC0069</t>
        </is>
      </c>
      <c r="N235" t="inlineStr">
        <is>
          <t>R_balance;R_full_weapon_audit;W_wikipedia_9m133_kornet;W_wikipedia_bai_cua_tung_ten_lua_bang_warhead;R_machine_brigade_can_bang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tower_kornet/sat_thuong</t>
        </is>
      </c>
      <c r="B236" t="inlineStr">
        <is>
          <t>tower_kornet</t>
        </is>
      </c>
      <c r="C236" t="inlineStr">
        <is>
          <t>sat_thuong_tren_kg_dau_dan</t>
        </is>
      </c>
      <c r="D236" t="inlineStr">
        <is>
          <t>hp/kg</t>
        </is>
      </c>
      <c r="E236">
        <f>INDEX(Vu_khi!$W$2:$W$336,MATCH($B$236,Vu_khi!$A$2:$A$336,0))</f>
        <v/>
      </c>
      <c r="F236">
        <f>INDEX(Vu_khi_tham_chieu!$AB$2:$AB$336,MATCH($B$236,Vu_khi_tham_chieu!$A$2:$A$336,0))</f>
        <v/>
      </c>
      <c r="G236">
        <f>$E$236/$F$236</f>
        <v/>
      </c>
      <c r="H236" t="inlineStr"/>
      <c r="I236" t="inlineStr"/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R_full_weapon_audit</t>
        </is>
      </c>
      <c r="O236" t="inlineStr">
        <is>
          <t>sát thương một phát / khối lượng đầu đạn (không bắt buộc 1:1, chỉ ghi ty_le)</t>
        </is>
      </c>
      <c r="P236" t="inlineStr">
        <is>
          <t>Tools/balance/full_weapon_audit.py WARHEAD</t>
        </is>
      </c>
      <c r="Q236" t="inlineStr"/>
    </row>
    <row r="237">
      <c r="A237" t="inlineStr">
        <is>
          <t>train_gun/nhip</t>
        </is>
      </c>
      <c r="B237" t="inlineStr">
        <is>
          <t>train_gun</t>
        </is>
      </c>
      <c r="C237" t="inlineStr">
        <is>
          <t>khe_mot_nong_mot_vien</t>
        </is>
      </c>
      <c r="D237" t="inlineStr">
        <is>
          <t>s</t>
        </is>
      </c>
      <c r="E237" t="n">
        <v>8</v>
      </c>
      <c r="F237">
        <f>60/INDEX(Vu_khi!$BB$2:$BB$336,MATCH($B$237,Vu_khi!$A$2:$A$336,0))/IF(INDEX(Vu_khi!$BD$2:$BD$336,MATCH($B$237,Vu_khi!$A$2:$A$336,0))="gun",0.7,1)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R_balance;R_full_weapon_audit;W_wikipedia_15_2_cm_57_b_38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train_mortar/nhip</t>
        </is>
      </c>
      <c r="B238" t="inlineStr">
        <is>
          <t>train_mortar</t>
        </is>
      </c>
      <c r="C238" t="inlineStr">
        <is>
          <t>khe_mot_nong_mot_vien</t>
        </is>
      </c>
      <c r="D238" t="inlineStr">
        <is>
          <t>s</t>
        </is>
      </c>
      <c r="E238" t="n">
        <v>8.300000000000001</v>
      </c>
      <c r="F238">
        <f>60/INDEX(Vu_khi!$BB$2:$BB$336,MATCH($B$238,Vu_khi!$A$2:$A$336,0))/IF(INDEX(Vu_khi!$BD$2:$BD$336,MATCH($B$238,Vu_khi!$A$2:$A$336,0))="gun",0.7,1)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R_balance;R_full_weapon_audit;W_wikipedia_2b11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turret_gmlrs/nhip</t>
        </is>
      </c>
      <c r="B239" t="inlineStr">
        <is>
          <t>turret_gmlrs</t>
        </is>
      </c>
      <c r="C239" t="inlineStr">
        <is>
          <t>khe_mot_nong_mot_vien</t>
        </is>
      </c>
      <c r="D239" t="inlineStr">
        <is>
          <t>s</t>
        </is>
      </c>
      <c r="E239" t="n">
        <v>0.5</v>
      </c>
      <c r="F239">
        <f>60/INDEX(Vu_khi!$BB$2:$BB$336,MATCH($B$239,Vu_khi!$A$2:$A$336,0))/IF(INDEX(Vu_khi!$BD$2:$BD$336,MATCH($B$239,Vu_khi!$A$2:$A$336,0))="gun",0.7,1)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>
        <is>
          <t>TC0070</t>
        </is>
      </c>
      <c r="N239" t="inlineStr">
        <is>
          <t>R_balance;R_full_weapon_audit;W_wikipedia_m270_mlrs;R_machine_brigade_can_bang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turret_gun_120/nhip</t>
        </is>
      </c>
      <c r="B240" t="inlineStr">
        <is>
          <t>turret_gun_120</t>
        </is>
      </c>
      <c r="C240" t="inlineStr">
        <is>
          <t>khe_mot_nong_mot_vien</t>
        </is>
      </c>
      <c r="D240" t="inlineStr">
        <is>
          <t>s</t>
        </is>
      </c>
      <c r="E240" t="n">
        <v>2.88</v>
      </c>
      <c r="F240">
        <f>60/INDEX(Vu_khi!$BB$2:$BB$336,MATCH($B$240,Vu_khi!$A$2:$A$336,0))/IF(INDEX(Vu_khi!$BD$2:$BD$336,MATCH($B$240,Vu_khi!$A$2:$A$336,0))="gun",0.7,1)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>
        <is>
          <t>TC0071</t>
        </is>
      </c>
      <c r="N240" t="inlineStr">
        <is>
          <t>R_balance;R_full_weapon_audit;W_wikipedia_rheinmetall_120_mm_gun;R_machine_brigade_can_bang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turret_gun_120_auto/nhip</t>
        </is>
      </c>
      <c r="B241" t="inlineStr">
        <is>
          <t>turret_gun_120_auto</t>
        </is>
      </c>
      <c r="C241" t="inlineStr">
        <is>
          <t>khe_mot_nong_mot_vien</t>
        </is>
      </c>
      <c r="D241" t="inlineStr">
        <is>
          <t>s</t>
        </is>
      </c>
      <c r="E241" t="n">
        <v>2.529996429</v>
      </c>
      <c r="F241">
        <f>60/INDEX(Vu_khi!$BB$2:$BB$336,MATCH($B$241,Vu_khi!$A$2:$A$336,0))/IF(INDEX(Vu_khi!$BD$2:$BD$336,MATCH($B$241,Vu_khi!$A$2:$A$336,0))="gun",0.7,1)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>
        <is>
          <t>TC0072</t>
        </is>
      </c>
      <c r="N241" t="inlineStr">
        <is>
          <t>R_balance;R_full_weapon_audit;W_wikipedia_rheinmetall_120_mm_gun;R_machine_brigade_can_bang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turret_gun_120_long/nhip</t>
        </is>
      </c>
      <c r="B242" t="inlineStr">
        <is>
          <t>turret_gun_120_long</t>
        </is>
      </c>
      <c r="C242" t="inlineStr">
        <is>
          <t>khe_mot_nong_mot_vien</t>
        </is>
      </c>
      <c r="D242" t="inlineStr">
        <is>
          <t>s</t>
        </is>
      </c>
      <c r="E242" t="n">
        <v>3.9</v>
      </c>
      <c r="F242">
        <f>60/INDEX(Vu_khi!$BB$2:$BB$336,MATCH($B$242,Vu_khi!$A$2:$A$336,0))/IF(INDEX(Vu_khi!$BD$2:$BD$336,MATCH($B$242,Vu_khi!$A$2:$A$336,0))="gun",0.7,1)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TC0073</t>
        </is>
      </c>
      <c r="N242" t="inlineStr">
        <is>
          <t>R_balance;R_full_weapon_audit;W_wikipedia_rheinmetall_120_mm_gun;R_machine_brigade_can_bang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turret_rockets/nhip</t>
        </is>
      </c>
      <c r="B243" t="inlineStr">
        <is>
          <t>turret_rockets</t>
        </is>
      </c>
      <c r="C243" t="inlineStr">
        <is>
          <t>khe_mot_nong_mot_vien</t>
        </is>
      </c>
      <c r="D243" t="inlineStr">
        <is>
          <t>s</t>
        </is>
      </c>
      <c r="E243" t="n">
        <v>0.5</v>
      </c>
      <c r="F243">
        <f>60/INDEX(Vu_khi!$BB$2:$BB$336,MATCH($B$243,Vu_khi!$A$2:$A$336,0))/IF(INDEX(Vu_khi!$BD$2:$BD$336,MATCH($B$243,Vu_khi!$A$2:$A$336,0))="gun",0.7,1)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R_balance;R_full_weapon_audit;W_wikipedia_bm_21_grad;R_machine_brigade_can_bang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turret_rockets_cluster/nhip</t>
        </is>
      </c>
      <c r="B244" t="inlineStr">
        <is>
          <t>turret_rockets_cluster</t>
        </is>
      </c>
      <c r="C244" t="inlineStr">
        <is>
          <t>khe_mot_nong_mot_vien</t>
        </is>
      </c>
      <c r="D244" t="inlineStr">
        <is>
          <t>s</t>
        </is>
      </c>
      <c r="E244" t="n">
        <v>0.5</v>
      </c>
      <c r="F244">
        <f>60/INDEX(Vu_khi!$BB$2:$BB$336,MATCH($B$244,Vu_khi!$A$2:$A$336,0))/IF(INDEX(Vu_khi!$BD$2:$BD$336,MATCH($B$244,Vu_khi!$A$2:$A$336,0))="gun",0.7,1)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R_balance;R_full_weapon_audit;W_wikipedia_bm_21_grad;R_machine_brigade_can_bang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turret_thermobaric/nhip</t>
        </is>
      </c>
      <c r="B245" t="inlineStr">
        <is>
          <t>turret_thermobaric</t>
        </is>
      </c>
      <c r="C245" t="inlineStr">
        <is>
          <t>khe_mot_nong_mot_vien</t>
        </is>
      </c>
      <c r="D245" t="inlineStr">
        <is>
          <t>s</t>
        </is>
      </c>
      <c r="E245" t="n">
        <v>0.12</v>
      </c>
      <c r="F245">
        <f>60/INDEX(Vu_khi!$BB$2:$BB$336,MATCH($B$245,Vu_khi!$A$2:$A$336,0))/IF(INDEX(Vu_khi!$BD$2:$BD$336,MATCH($B$245,Vu_khi!$A$2:$A$336,0))="gun",0.7,1)</f>
        <v/>
      </c>
      <c r="G245">
        <f>$E$245/$F$245</f>
        <v/>
      </c>
      <c r="H245" t="n">
        <v>0.6</v>
      </c>
      <c r="I245" t="n">
        <v>2</v>
      </c>
      <c r="J245" t="b">
        <v>0</v>
      </c>
      <c r="K245" t="inlineStr"/>
      <c r="L245">
        <f>IF(ISNUMBER($H$245),AND(NOT($J$245),OR($G$245&lt;$H$245,$G$245&gt;$I$245)),FALSE)</f>
        <v/>
      </c>
      <c r="M245" t="inlineStr">
        <is>
          <t>TC0074</t>
        </is>
      </c>
      <c r="N245" t="inlineStr">
        <is>
          <t>R_balance;R_full_weapon_audit;W_wikipedia_bm_21_grad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twin_30_bmpt/nhip</t>
        </is>
      </c>
      <c r="B246" t="inlineStr">
        <is>
          <t>twin_30_bmpt</t>
        </is>
      </c>
      <c r="C246" t="inlineStr">
        <is>
          <t>khe_mot_nong_mot_vien</t>
        </is>
      </c>
      <c r="D246" t="inlineStr">
        <is>
          <t>s</t>
        </is>
      </c>
      <c r="E246" t="n">
        <v>0.416600025</v>
      </c>
      <c r="F246">
        <f>60/INDEX(Vu_khi!$BB$2:$BB$336,MATCH($B$246,Vu_khi!$A$2:$A$336,0))/IF(INDEX(Vu_khi!$BD$2:$BD$336,MATCH($B$246,Vu_khi!$A$2:$A$336,0))="gun",0.7,1)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>
        <is>
          <t>TC0075</t>
        </is>
      </c>
      <c r="N246" t="inlineStr">
        <is>
          <t>R_balance;R_full_weapon_audit;W_wikipedia_2a42;R_machine_brigade_can_bang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twin_30_flak/nhip</t>
        </is>
      </c>
      <c r="B247" t="inlineStr">
        <is>
          <t>twin_30_flak</t>
        </is>
      </c>
      <c r="C247" t="inlineStr">
        <is>
          <t>khe_mot_nong_mot_vien</t>
        </is>
      </c>
      <c r="D247" t="inlineStr">
        <is>
          <t>s</t>
        </is>
      </c>
      <c r="E247" t="n">
        <v>0.087499992</v>
      </c>
      <c r="F247">
        <f>60/INDEX(Vu_khi!$BB$2:$BB$336,MATCH($B$247,Vu_khi!$A$2:$A$336,0))/IF(INDEX(Vu_khi!$BD$2:$BD$336,MATCH($B$247,Vu_khi!$A$2:$A$336,0))="gun",0.7,1)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twin_35_ahead/nhip</t>
        </is>
      </c>
      <c r="B248" t="inlineStr">
        <is>
          <t>twin_35_ahead</t>
        </is>
      </c>
      <c r="C248" t="inlineStr">
        <is>
          <t>khe_mot_nong_mot_vien</t>
        </is>
      </c>
      <c r="D248" t="inlineStr">
        <is>
          <t>s</t>
        </is>
      </c>
      <c r="E248" t="n">
        <v>0.25536666</v>
      </c>
      <c r="F248">
        <f>60/INDEX(Vu_khi!$BB$2:$BB$336,MATCH($B$248,Vu_khi!$A$2:$A$336,0))/IF(INDEX(Vu_khi!$BD$2:$BD$336,MATCH($B$248,Vu_khi!$A$2:$A$336,0))="gun",0.7,1)</f>
        <v/>
      </c>
      <c r="G248">
        <f>$E$248/$F$248</f>
        <v/>
      </c>
      <c r="H248" t="n">
        <v>0.6</v>
      </c>
      <c r="I248" t="n">
        <v>2</v>
      </c>
      <c r="J248" t="b">
        <v>1</v>
      </c>
      <c r="K2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8">
        <f>IF(ISNUMBER($H$248),AND(NOT($J$248),OR($G$248&lt;$H$248,$G$248&gt;$I$248)),FALSE)</f>
        <v/>
      </c>
      <c r="M248" t="inlineStr"/>
      <c r="N248" t="inlineStr">
        <is>
          <t>R_balance;R_full_weapon_audit;D_rheinmetall_skyranger_30_35;R_machine_brigade_can_bang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vikhr/sat_thuong</t>
        </is>
      </c>
      <c r="B249" t="inlineStr">
        <is>
          <t>vikhr</t>
        </is>
      </c>
      <c r="C249" t="inlineStr">
        <is>
          <t>sat_thuong_tren_kg_dau_dan</t>
        </is>
      </c>
      <c r="D249" t="inlineStr">
        <is>
          <t>hp/kg</t>
        </is>
      </c>
      <c r="E249">
        <f>INDEX(Vu_khi!$W$2:$W$336,MATCH($B$249,Vu_khi!$A$2:$A$336,0))</f>
        <v/>
      </c>
      <c r="F249">
        <f>INDEX(Vu_khi_tham_chieu!$AB$2:$AB$336,MATCH($B$249,Vu_khi_tham_chieu!$A$2:$A$336,0))</f>
        <v/>
      </c>
      <c r="G249">
        <f>$E$249/$F$249</f>
        <v/>
      </c>
      <c r="H249" t="inlineStr"/>
      <c r="I249" t="inlineStr"/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R_full_weapon_audit</t>
        </is>
      </c>
      <c r="O249" t="inlineStr">
        <is>
          <t>sát thương một phát / khối lượng đầu đạn (không bắt buộc 1:1, chỉ ghi ty_le)</t>
        </is>
      </c>
      <c r="P249" t="inlineStr">
        <is>
          <t>Tools/balance/full_weapon_audit.py WARHEAD</t>
        </is>
      </c>
      <c r="Q249" t="inlineStr"/>
    </row>
    <row r="250">
      <c r="A250" t="inlineStr">
        <is>
          <t>zu23/nhip</t>
        </is>
      </c>
      <c r="B250" t="inlineStr">
        <is>
          <t>zu23</t>
        </is>
      </c>
      <c r="C250" t="inlineStr">
        <is>
          <t>khe_mot_nong_mot_vien</t>
        </is>
      </c>
      <c r="D250" t="inlineStr">
        <is>
          <t>s</t>
        </is>
      </c>
      <c r="E250" t="n">
        <v>0.10000002</v>
      </c>
      <c r="F250">
        <f>60/INDEX(Vu_khi!$BB$2:$BB$336,MATCH($B$250,Vu_khi!$A$2:$A$336,0))/IF(INDEX(Vu_khi!$BD$2:$BD$336,MATCH($B$250,Vu_khi!$A$2:$A$336,0))="gun",0.7,1)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R_balance;R_full_weapon_audit;W_wikipedia_zu_23_2;R_machine_brigade_can_bang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</sheetData>
  <autoFilter ref="A1:Q25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1009</v>
      </c>
      <c r="K8" t="n">
        <v>2219.8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1009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1009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1009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1127</v>
      </c>
      <c r="K9" t="n">
        <v>2479.4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1127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1127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elite_barrage;elite_smoke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elite_barrage;elite_smoke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,"elite_smok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2.02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[6.45,3.02,2.02]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673</v>
      </c>
      <c r="K28" t="n">
        <v>1480.6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673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673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673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2059</v>
      </c>
      <c r="K34" t="n">
        <v>4529.8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2059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2059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4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vehicles[176]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4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2227</v>
      </c>
      <c r="K65" t="n">
        <v>4899.4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2227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2227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2227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609</v>
      </c>
      <c r="K68" t="n">
        <v>1339.8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609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609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918</v>
      </c>
      <c r="K69" t="n">
        <v>2019.6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918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918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605</v>
      </c>
      <c r="K70" t="n">
        <v>1331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605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605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2.04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[7.89,2.62,2.04]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6.02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[6.02,2.85,2.79]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2123</v>
      </c>
      <c r="K76" t="n">
        <v>4670.6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2123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2123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2123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vehicles[176].secondary[0]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vehicles[176].secondary[1]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vehicles[176].secondary[2]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vehicles[176].secondary[3]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vehicles[176].secondary[4]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supports[16]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supports[19]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supports[18]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supports[22]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supports[23]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leviathan_cruise_mark</t>
        </is>
      </c>
      <c r="B16" t="inlineStr">
        <is>
          <t>Leviathan's cruise missile</t>
        </is>
      </c>
      <c r="C16" t="inlineStr">
        <is>
          <t>Tên lửa hành trình Leviathan</t>
        </is>
      </c>
      <c r="E16" t="inlineStr">
        <is>
          <t>doi</t>
        </is>
      </c>
      <c r="L16" t="n">
        <v>12</v>
      </c>
      <c r="M16" t="n">
        <v>20</v>
      </c>
      <c r="P16" t="n">
        <v>10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20</v>
      </c>
      <c r="AI16" t="inlineStr">
        <is>
          <t>Ultimate</t>
        </is>
      </c>
      <c r="AK16" t="inlineStr">
        <is>
          <t>Assets/MachineBrigade/Resources/Data/balance.json: supports[14]</t>
        </is>
      </c>
      <c r="AL16" t="inlineStr">
        <is>
          <t>{"id":"leviathan_cruise_mark","kind":"Barrage","pen":3,"event":true,"cooldown":0,"delay":5.0,"radius":20,"count":1,"duration":0,"damage":0,"blast":10,"tier":"Ultimate"}</t>
        </is>
      </c>
    </row>
    <row r="17">
      <c r="A17" t="inlineStr">
        <is>
          <t>leviathan_shell</t>
        </is>
      </c>
      <c r="B17" t="inlineStr">
        <is>
          <t>Leviathan's shell</t>
        </is>
      </c>
      <c r="C17" t="inlineStr">
        <is>
          <t>Đạn pháo Leviathan</t>
        </is>
      </c>
      <c r="E17" t="inlineStr">
        <is>
          <t>doi</t>
        </is>
      </c>
      <c r="L17" t="n">
        <v>8</v>
      </c>
      <c r="M17" t="n">
        <v>24</v>
      </c>
      <c r="P17" t="n">
        <v>14</v>
      </c>
      <c r="U17" t="n">
        <v>0</v>
      </c>
      <c r="V17" t="n">
        <v>1</v>
      </c>
      <c r="X17" t="n">
        <v>0</v>
      </c>
      <c r="Z17" t="n">
        <v>2.8</v>
      </c>
      <c r="AA17" t="n">
        <v>0</v>
      </c>
      <c r="AB17" t="b">
        <v>1</v>
      </c>
      <c r="AC17" t="inlineStr">
        <is>
          <t>Barrage</t>
        </is>
      </c>
      <c r="AE17" t="n">
        <v>4</v>
      </c>
      <c r="AF17" t="n">
        <v>24</v>
      </c>
      <c r="AI17" t="inlineStr">
        <is>
          <t>Huge</t>
        </is>
      </c>
      <c r="AK17" t="inlineStr">
        <is>
          <t>Assets/MachineBrigade/Resources/Data/balance.json: supports[13]</t>
        </is>
      </c>
      <c r="AL17" t="inlineStr">
        <is>
          <t>{"id":"leviathan_shell","kind":"Barrage","pen":4,"event":true,"cooldown":0,"delay":2.8,"radius":24,"count":1,"duration":0,"damage":0,"blast":14,"tier":"Huge"}</t>
        </is>
      </c>
    </row>
    <row r="18">
      <c r="A18" t="inlineStr">
        <is>
          <t>moab</t>
        </is>
      </c>
      <c r="B18" t="inlineStr">
        <is>
          <t>MOAB</t>
        </is>
      </c>
      <c r="C18" t="inlineStr">
        <is>
          <t>Bom MOAB</t>
        </is>
      </c>
      <c r="E18" t="inlineStr">
        <is>
          <t>giong</t>
        </is>
      </c>
      <c r="P18" t="n">
        <v>27</v>
      </c>
      <c r="T18" t="b">
        <v>1</v>
      </c>
      <c r="U18" t="n">
        <v>20</v>
      </c>
      <c r="V18" t="n">
        <v>1</v>
      </c>
      <c r="X18" t="n">
        <v>4000</v>
      </c>
      <c r="Z18" t="n">
        <v>4</v>
      </c>
      <c r="AC18" t="inlineStr">
        <is>
          <t>CruiseMissile</t>
        </is>
      </c>
      <c r="AE18" t="n">
        <v>4</v>
      </c>
      <c r="AF18" t="n">
        <v>24</v>
      </c>
      <c r="AI18" t="inlineStr">
        <is>
          <t>Ultimate</t>
        </is>
      </c>
      <c r="AK18" t="inlineStr">
        <is>
          <t>Assets/MachineBrigade/Resources/Data/balance.json: supports[15]</t>
        </is>
      </c>
      <c r="AL18" t="inlineStr">
        <is>
          <t>{"id":"moab","kind":"CruiseMissile","pen":4,"consumable":true,"cooldown":20,"delay":4.0,"radius":24,"count":1,"damage":4000,"blast":27,"tier":"Ultimate"}</t>
        </is>
      </c>
    </row>
    <row r="19">
      <c r="A19" t="inlineStr">
        <is>
          <t>napalm_strike</t>
        </is>
      </c>
      <c r="B19" t="inlineStr">
        <is>
          <t>Napalm strike</t>
        </is>
      </c>
      <c r="C19" t="inlineStr">
        <is>
          <t>Bom napalm</t>
        </is>
      </c>
      <c r="E19" t="inlineStr">
        <is>
          <t>giong</t>
        </is>
      </c>
      <c r="P19" t="n">
        <v>9</v>
      </c>
      <c r="U19" t="n">
        <v>90</v>
      </c>
      <c r="V19" t="n">
        <v>8</v>
      </c>
      <c r="W19" t="n">
        <v>9</v>
      </c>
      <c r="X19" t="n">
        <v>150</v>
      </c>
      <c r="Y19" t="inlineStr">
        <is>
          <t>Fire</t>
        </is>
      </c>
      <c r="Z19" t="n">
        <v>2</v>
      </c>
      <c r="AA19" t="n">
        <v>1.4</v>
      </c>
      <c r="AC19" t="inlineStr">
        <is>
          <t>Airstrike</t>
        </is>
      </c>
      <c r="AD19" t="n">
        <v>55</v>
      </c>
      <c r="AE19" t="n">
        <v>1</v>
      </c>
      <c r="AF19" t="n">
        <v>5</v>
      </c>
      <c r="AI19" t="inlineStr">
        <is>
          <t>Huge</t>
        </is>
      </c>
      <c r="AK19" t="inlineStr">
        <is>
          <t>Assets/MachineBrigade/Resources/Data/balance.json: supports[4]</t>
        </is>
      </c>
      <c r="AL19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0">
      <c r="A20" t="inlineStr">
        <is>
          <t>pod_drop</t>
        </is>
      </c>
      <c r="B20" t="inlineStr">
        <is>
          <t>Drop pod</t>
        </is>
      </c>
      <c r="C20" t="inlineStr">
        <is>
          <t>Khoang đổ bộ</t>
        </is>
      </c>
      <c r="E20" t="inlineStr">
        <is>
          <t>giong</t>
        </is>
      </c>
      <c r="P20" t="n">
        <v>4</v>
      </c>
      <c r="U20" t="n">
        <v>0</v>
      </c>
      <c r="V20" t="n">
        <v>1</v>
      </c>
      <c r="X20" t="n">
        <v>0</v>
      </c>
      <c r="Z20" t="n">
        <v>6</v>
      </c>
      <c r="AA20" t="n">
        <v>0</v>
      </c>
      <c r="AB20" t="b">
        <v>1</v>
      </c>
      <c r="AC20" t="inlineStr">
        <is>
          <t>Barrage</t>
        </is>
      </c>
      <c r="AE20" t="n">
        <v>0</v>
      </c>
      <c r="AF20" t="n">
        <v>5</v>
      </c>
      <c r="AI20" t="inlineStr">
        <is>
          <t>Large</t>
        </is>
      </c>
      <c r="AK20" t="inlineStr">
        <is>
          <t>Assets/MachineBrigade/Resources/Data/balance.json: supports[9]</t>
        </is>
      </c>
      <c r="AL20" t="inlineStr">
        <is>
          <t>{"id":"pod_drop","kind":"Barrage","pen":0,"event":true,"cooldown":0,"delay":6.0,"radius":5,"count":1,"duration":0,"damage":0,"blast":4,"tier":"Large"}</t>
        </is>
      </c>
    </row>
    <row r="21">
      <c r="A21" t="inlineStr">
        <is>
          <t>reinforcements</t>
        </is>
      </c>
      <c r="B21" t="inlineStr">
        <is>
          <t>Airdropped armour</t>
        </is>
      </c>
      <c r="C21" t="inlineStr">
        <is>
          <t>Tiếp viện thả dù</t>
        </is>
      </c>
      <c r="D21" t="inlineStr">
        <is>
          <t>main_battle_tank;main_battle_tank;ifv</t>
        </is>
      </c>
      <c r="E21" t="inlineStr">
        <is>
          <t>giong</t>
        </is>
      </c>
      <c r="Q21" t="inlineStr">
        <is>
          <t>scout_jeep;armored_car;ifv;light_tank;main_battle_tank;tank_destroyer;aa_vehicle;heavy_tank</t>
        </is>
      </c>
      <c r="R21" t="n">
        <v>20</v>
      </c>
      <c r="S21" t="n">
        <v>1.5</v>
      </c>
      <c r="U21" t="n">
        <v>30</v>
      </c>
      <c r="V21" t="n">
        <v>3</v>
      </c>
      <c r="Z21" t="n">
        <v>3</v>
      </c>
      <c r="AC21" t="inlineStr">
        <is>
          <t>Reinforce</t>
        </is>
      </c>
      <c r="AF21" t="n">
        <v>8</v>
      </c>
      <c r="AI21" t="inlineStr">
        <is>
          <t>Large</t>
        </is>
      </c>
      <c r="AK21" t="inlineStr">
        <is>
          <t>Assets/MachineBrigade/Resources/Data/balance.json: supports[17]</t>
        </is>
      </c>
      <c r="AL21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2">
      <c r="A22" t="inlineStr">
        <is>
          <t>remote_mines</t>
        </is>
      </c>
      <c r="B22" t="inlineStr">
        <is>
          <t>Remote mines</t>
        </is>
      </c>
      <c r="C22" t="inlineStr">
        <is>
          <t>Mìn rải từ xa</t>
        </is>
      </c>
      <c r="E22" t="inlineStr">
        <is>
          <t>giong</t>
        </is>
      </c>
      <c r="P22" t="n">
        <v>4</v>
      </c>
      <c r="U22" t="n">
        <v>60</v>
      </c>
      <c r="V22" t="n">
        <v>8</v>
      </c>
      <c r="W22" t="n">
        <v>5</v>
      </c>
      <c r="X22" t="n">
        <v>300</v>
      </c>
      <c r="Y22" t="inlineStr">
        <is>
          <t>ShapedCharge</t>
        </is>
      </c>
      <c r="Z22" t="n">
        <v>2</v>
      </c>
      <c r="AA22" t="n">
        <v>60</v>
      </c>
      <c r="AC22" t="inlineStr">
        <is>
          <t>Minefield</t>
        </is>
      </c>
      <c r="AE22" t="n">
        <v>4</v>
      </c>
      <c r="AF22" t="n">
        <v>12</v>
      </c>
      <c r="AI22" t="inlineStr">
        <is>
          <t>Large</t>
        </is>
      </c>
      <c r="AK22" t="inlineStr">
        <is>
          <t>Assets/MachineBrigade/Resources/Data/balance.json: supports[21]</t>
        </is>
      </c>
      <c r="AL22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3">
      <c r="A23" t="inlineStr">
        <is>
          <t>repair_drop</t>
        </is>
      </c>
      <c r="B23" t="inlineStr">
        <is>
          <t>Repair</t>
        </is>
      </c>
      <c r="C23" t="inlineStr">
        <is>
          <t>Sửa chữa</t>
        </is>
      </c>
      <c r="E23" t="inlineStr">
        <is>
          <t>giong</t>
        </is>
      </c>
      <c r="U23" t="n">
        <v>60</v>
      </c>
      <c r="V23" t="n">
        <v>6</v>
      </c>
      <c r="W23" t="n">
        <v>4</v>
      </c>
      <c r="X23" t="n">
        <v>0.4</v>
      </c>
      <c r="Z23" t="n">
        <v>1.5</v>
      </c>
      <c r="AA23" t="n">
        <v>6</v>
      </c>
      <c r="AC23" t="inlineStr">
        <is>
          <t>Repair</t>
        </is>
      </c>
      <c r="AF23" t="n">
        <v>12</v>
      </c>
      <c r="AI23" t="inlineStr">
        <is>
          <t>Small</t>
        </is>
      </c>
      <c r="AK23" t="inlineStr">
        <is>
          <t>Assets/MachineBrigade/Resources/Data/balance.json: supports[3]</t>
        </is>
      </c>
      <c r="AL23" t="inlineStr">
        <is>
          <t>{"id":"repair_drop","kind":"Repair","cp":4,"cooldown":60,"delay":1.5,"radius":12,"count":6,"duration":6,"damage":0.4,"tier":"Small"}</t>
        </is>
      </c>
    </row>
    <row r="24">
      <c r="A24" t="inlineStr">
        <is>
          <t>shield_dome</t>
        </is>
      </c>
      <c r="B24" t="inlineStr">
        <is>
          <t>Shield dome</t>
        </is>
      </c>
      <c r="C24" t="inlineStr">
        <is>
          <t>Khiên vòm</t>
        </is>
      </c>
      <c r="E24" t="inlineStr">
        <is>
          <t>giong</t>
        </is>
      </c>
      <c r="T24" t="b">
        <v>1</v>
      </c>
      <c r="U24" t="n">
        <v>20</v>
      </c>
      <c r="V24" t="n">
        <v>1</v>
      </c>
      <c r="X24" t="n">
        <v>0.7</v>
      </c>
      <c r="Z24" t="n">
        <v>0.5</v>
      </c>
      <c r="AA24" t="n">
        <v>10</v>
      </c>
      <c r="AC24" t="inlineStr">
        <is>
          <t>ShieldDome</t>
        </is>
      </c>
      <c r="AF24" t="n">
        <v>16</v>
      </c>
      <c r="AI24" t="inlineStr">
        <is>
          <t>Medium</t>
        </is>
      </c>
      <c r="AK24" t="inlineStr">
        <is>
          <t>Assets/MachineBrigade/Resources/Data/balance.json: supports[20]</t>
        </is>
      </c>
      <c r="AL24" t="inlineStr">
        <is>
          <t>{"id":"shield_dome","kind":"ShieldDome","consumable":true,"cooldown":20,"delay":0.5,"radius":16,"count":1,"duration":10,"damage":0.7,"tier":"Medium"}</t>
        </is>
      </c>
    </row>
    <row r="25">
      <c r="A25" t="inlineStr">
        <is>
          <t>super_gun_shell</t>
        </is>
      </c>
      <c r="B25" t="inlineStr">
        <is>
          <t>Super-gun shell</t>
        </is>
      </c>
      <c r="C25" t="inlineStr">
        <is>
          <t>Đạn siêu pháo</t>
        </is>
      </c>
      <c r="E25" t="inlineStr">
        <is>
          <t>giong</t>
        </is>
      </c>
      <c r="P25" t="n">
        <v>15</v>
      </c>
      <c r="U25" t="n">
        <v>0</v>
      </c>
      <c r="V25" t="n">
        <v>1</v>
      </c>
      <c r="X25" t="n">
        <v>450</v>
      </c>
      <c r="Z25" t="n">
        <v>4</v>
      </c>
      <c r="AA25" t="n">
        <v>0.1</v>
      </c>
      <c r="AB25" t="b">
        <v>1</v>
      </c>
      <c r="AC25" t="inlineStr">
        <is>
          <t>Barrage</t>
        </is>
      </c>
      <c r="AE25" t="n">
        <v>4</v>
      </c>
      <c r="AF25" t="n">
        <v>4</v>
      </c>
      <c r="AI25" t="inlineStr">
        <is>
          <t>Ultimate</t>
        </is>
      </c>
      <c r="AK25" t="inlineStr">
        <is>
          <t>Assets/MachineBrigade/Resources/Data/balance.json: supports[11]</t>
        </is>
      </c>
      <c r="AL25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1" customWidth="1" min="10" max="10"/>
    <col width="16" customWidth="1" min="11" max="11"/>
    <col width="1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once</t>
        </is>
      </c>
      <c r="I1" s="1" t="inlineStr">
        <is>
          <t>radius_m</t>
        </is>
      </c>
      <c r="J1" s="1" t="inlineStr">
        <is>
          <t>threshold</t>
        </is>
      </c>
      <c r="K1" s="1" t="inlineStr">
        <is>
          <t>trigger</t>
        </is>
      </c>
      <c r="L1" s="1" t="inlineStr">
        <is>
          <t>unit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I2" t="n">
        <v>80</v>
      </c>
      <c r="K2" t="inlineStr">
        <is>
          <t>EnemyInRange</t>
        </is>
      </c>
      <c r="L2" t="inlineStr">
        <is>
          <t>strike_drone</t>
        </is>
      </c>
      <c r="M2" t="inlineStr">
        <is>
          <t>Assets/MachineBrigade/Resources/Data/balance.json: skills[19]</t>
        </is>
      </c>
      <c r="N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I3" t="n">
        <v>80</v>
      </c>
      <c r="K3" t="inlineStr">
        <is>
          <t>EnemyInRange</t>
        </is>
      </c>
      <c r="L3" t="inlineStr">
        <is>
          <t>strike_drone</t>
        </is>
      </c>
      <c r="M3" t="inlineStr">
        <is>
          <t>Assets/MachineBrigade/Resources/Data/balance.json: skills[20]</t>
        </is>
      </c>
      <c r="N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K4" t="inlineStr">
        <is>
          <t>MissileIncoming</t>
        </is>
      </c>
      <c r="M4" t="inlineStr">
        <is>
          <t>Assets/MachineBrigade/Resources/Data/balance.json: skills[8]</t>
        </is>
      </c>
      <c r="N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J5" t="n">
        <v>0.35</v>
      </c>
      <c r="K5" t="inlineStr">
        <is>
          <t>HpBelow</t>
        </is>
      </c>
      <c r="M5" t="inlineStr">
        <is>
          <t>Assets/MachineBrigade/Resources/Data/balance.json: skills[11]</t>
        </is>
      </c>
      <c r="N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I6" t="n">
        <v>22</v>
      </c>
      <c r="K6" t="inlineStr">
        <is>
          <t>EnemyInRange</t>
        </is>
      </c>
      <c r="M6" t="inlineStr">
        <is>
          <t>Assets/MachineBrigade/Resources/Data/balance.json: skills[13]</t>
        </is>
      </c>
      <c r="N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K7" t="inlineStr">
        <is>
          <t>MissileIncoming</t>
        </is>
      </c>
      <c r="M7" t="inlineStr">
        <is>
          <t>Assets/MachineBrigade/Resources/Data/balance.json: skills[12]</t>
        </is>
      </c>
      <c r="N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behemoth;behemoth_inferno;behemoth_mk2;daedalus;earth_borer;hyperion;icarus_mk0;mega_gunship;silver_bug</t>
        </is>
      </c>
      <c r="C8" t="n">
        <v>1.2</v>
      </c>
      <c r="F8" t="n">
        <v>9999</v>
      </c>
      <c r="G8" t="inlineStr">
        <is>
          <t>Overdrive</t>
        </is>
      </c>
      <c r="H8" t="b">
        <v>1</v>
      </c>
      <c r="J8" t="n">
        <v>0.5</v>
      </c>
      <c r="K8" t="inlineStr">
        <is>
          <t>HpBelow</t>
        </is>
      </c>
      <c r="M8" t="inlineStr">
        <is>
          <t>Assets/MachineBrigade/Resources/Data/balance.json: skills[10]</t>
        </is>
      </c>
      <c r="N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K9" t="inlineStr">
        <is>
          <t>EnemyInRange</t>
        </is>
      </c>
      <c r="M9" t="inlineStr">
        <is>
          <t>Assets/MachineBrigade/Resources/Data/balance.json: skills[4]</t>
        </is>
      </c>
      <c r="N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I10" t="n">
        <v>14</v>
      </c>
      <c r="K10" t="inlineStr">
        <is>
          <t>EnemyInRange</t>
        </is>
      </c>
      <c r="M10" t="inlineStr">
        <is>
          <t>Assets/MachineBrigade/Resources/Data/balance.json: skills[9]</t>
        </is>
      </c>
      <c r="N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K11" t="inlineStr">
        <is>
          <t>MissileIncoming</t>
        </is>
      </c>
      <c r="M11" t="inlineStr">
        <is>
          <t>Assets/MachineBrigade/Resources/Data/balance.json: skills[5]</t>
        </is>
      </c>
      <c r="N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K12" t="inlineStr">
        <is>
          <t>EnemyInRange</t>
        </is>
      </c>
      <c r="M12" t="inlineStr">
        <is>
          <t>Assets/MachineBrigade/Resources/Data/balance.json: skills[3]</t>
        </is>
      </c>
      <c r="N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J13" t="n">
        <v>0.5</v>
      </c>
      <c r="K13" t="inlineStr">
        <is>
          <t>HpBelow</t>
        </is>
      </c>
      <c r="M13" t="inlineStr">
        <is>
          <t>Assets/MachineBrigade/Resources/Data/balance.json: skills[2]</t>
        </is>
      </c>
      <c r="N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K14" t="inlineStr">
        <is>
          <t>UnderFire</t>
        </is>
      </c>
      <c r="M14" t="inlineStr">
        <is>
          <t>Assets/MachineBrigade/Resources/Data/balance.json: skills[0]</t>
        </is>
      </c>
      <c r="N14" t="inlineStr">
        <is>
          <t>{"id":"elite_shield","kind":"Shield","trigger":"UnderFire","cooldown":20,"duration":5,"amount":0.3}</t>
        </is>
      </c>
    </row>
    <row r="15">
      <c r="A15" t="inlineStr">
        <is>
          <t>elite_smoke</t>
        </is>
      </c>
      <c r="B15" t="inlineStr">
        <is>
          <t>elite_tank_destroyer</t>
        </is>
      </c>
      <c r="D15" t="n">
        <v>30</v>
      </c>
      <c r="F15" t="n">
        <v>8</v>
      </c>
      <c r="G15" t="inlineStr">
        <is>
          <t>Smoke</t>
        </is>
      </c>
      <c r="I15" t="n">
        <v>9</v>
      </c>
      <c r="J15" t="n">
        <v>0.55</v>
      </c>
      <c r="K15" t="inlineStr">
        <is>
          <t>HpBelow</t>
        </is>
      </c>
      <c r="M15" t="inlineStr">
        <is>
          <t>Assets/MachineBrigade/Resources/Data/balance.json: skills[1]</t>
        </is>
      </c>
      <c r="N15" t="inlineStr">
        <is>
          <t>{"id":"elite_smoke","kind":"Smoke","trigger":"HpBelow","threshold":0.55,"cooldown":30,"duration":8,"radius":9}</t>
        </is>
      </c>
    </row>
    <row r="16">
      <c r="A16" t="inlineStr">
        <is>
          <t>fortress_barrage</t>
        </is>
      </c>
      <c r="B16" t="inlineStr">
        <is>
          <t>bastion_mk0;fenrir;fortress_bastion;mobile_fortress;monster</t>
        </is>
      </c>
      <c r="C16" t="n">
        <v>2</v>
      </c>
      <c r="D16" t="n">
        <v>25</v>
      </c>
      <c r="F16" t="n">
        <v>8</v>
      </c>
      <c r="G16" t="inlineStr">
        <is>
          <t>Barrage</t>
        </is>
      </c>
      <c r="J16" t="n">
        <v>0.4</v>
      </c>
      <c r="K16" t="inlineStr">
        <is>
          <t>HpBelow</t>
        </is>
      </c>
      <c r="M16" t="inlineStr">
        <is>
          <t>Assets/MachineBrigade/Resources/Data/balance.json: skills[14]</t>
        </is>
      </c>
      <c r="N16" t="inlineStr">
        <is>
          <t>{"id":"fortress_barrage","kind":"Barrage","trigger":"HpBelow","threshold":0.4,"cooldown":25,"duration":8,"amount":2}</t>
        </is>
      </c>
    </row>
    <row r="17">
      <c r="A17" t="inlineStr">
        <is>
          <t>heli_flares</t>
        </is>
      </c>
      <c r="B17" t="inlineStr">
        <is>
          <t>attack_helicopter</t>
        </is>
      </c>
      <c r="D17" t="n">
        <v>20</v>
      </c>
      <c r="F17" t="n">
        <v>1.5</v>
      </c>
      <c r="G17" t="inlineStr">
        <is>
          <t>Flares</t>
        </is>
      </c>
      <c r="K17" t="inlineStr">
        <is>
          <t>MissileIncoming</t>
        </is>
      </c>
      <c r="M17" t="inlineStr">
        <is>
          <t>Assets/MachineBrigade/Resources/Data/balance.json: skills[6]</t>
        </is>
      </c>
      <c r="N17" t="inlineStr">
        <is>
          <t>{"id":"heli_flares","kind":"Flares","trigger":"MissileIncoming","cooldown":20,"duration":1.5}</t>
        </is>
      </c>
    </row>
    <row r="18">
      <c r="A18" t="inlineStr">
        <is>
          <t>jet_flares</t>
        </is>
      </c>
      <c r="B18" t="inlineStr">
        <is>
          <t>attack_jet;fighter_jet;stealth_fighter</t>
        </is>
      </c>
      <c r="D18" t="n">
        <v>16</v>
      </c>
      <c r="F18" t="n">
        <v>1.5</v>
      </c>
      <c r="G18" t="inlineStr">
        <is>
          <t>Flares</t>
        </is>
      </c>
      <c r="K18" t="inlineStr">
        <is>
          <t>MissileIncoming</t>
        </is>
      </c>
      <c r="M18" t="inlineStr">
        <is>
          <t>Assets/MachineBrigade/Resources/Data/balance.json: skills[7]</t>
        </is>
      </c>
      <c r="N18" t="inlineStr">
        <is>
          <t>{"id":"jet_flares","kind":"Flares","trigger":"MissileIncoming","cooldown":16,"duration":1.5}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J19" t="n">
        <v>0.7</v>
      </c>
      <c r="K19" t="inlineStr">
        <is>
          <t>HpBelow</t>
        </is>
      </c>
      <c r="L19" t="inlineStr">
        <is>
          <t>attack_helicopter</t>
        </is>
      </c>
      <c r="M19" t="inlineStr">
        <is>
          <t>Assets/MachineBrigade/Resources/Data/balance.json: skills[21]</t>
        </is>
      </c>
      <c r="N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I20" t="n">
        <v>70</v>
      </c>
      <c r="K20" t="inlineStr">
        <is>
          <t>EnemyInRange</t>
        </is>
      </c>
      <c r="L20" t="inlineStr">
        <is>
          <t>strike_drone</t>
        </is>
      </c>
      <c r="M20" t="inlineStr">
        <is>
          <t>Assets/MachineBrigade/Resources/Data/balance.json: skills[17]</t>
        </is>
      </c>
      <c r="N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J21" t="n">
        <v>0.5</v>
      </c>
      <c r="K21" t="inlineStr">
        <is>
          <t>HpBelow</t>
        </is>
      </c>
      <c r="M21" t="inlineStr">
        <is>
          <t>Assets/MachineBrigade/Resources/Data/balance.json: skills[18]</t>
        </is>
      </c>
      <c r="N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H22" t="b">
        <v>1</v>
      </c>
      <c r="K22" t="inlineStr">
        <is>
          <t>PartBroken</t>
        </is>
      </c>
      <c r="M22" t="inlineStr">
        <is>
          <t>Assets/MachineBrigade/Resources/Data/balance.json: skills[16]</t>
        </is>
      </c>
      <c r="N22" t="inlineStr">
        <is>
          <t>{"id":"train_patch","kind":"Patch","trigger":"PartBroken","once":true,"amount":0.5}</t>
        </is>
      </c>
    </row>
    <row r="23">
      <c r="A23" t="inlineStr">
        <is>
          <t>train_smoke</t>
        </is>
      </c>
      <c r="B23" t="inlineStr">
        <is>
          <t>armored_train;behemoth_inferno;nuke_train</t>
        </is>
      </c>
      <c r="D23" t="n">
        <v>25</v>
      </c>
      <c r="F23" t="n">
        <v>8</v>
      </c>
      <c r="G23" t="inlineStr">
        <is>
          <t>Smoke</t>
        </is>
      </c>
      <c r="I23" t="n">
        <v>12</v>
      </c>
      <c r="K23" t="inlineStr">
        <is>
          <t>UnderFire</t>
        </is>
      </c>
      <c r="M23" t="inlineStr">
        <is>
          <t>Assets/MachineBrigade/Resources/Data/balance.json: skills[15]</t>
        </is>
      </c>
      <c r="N23" t="inlineStr">
        <is>
          <t>{"id":"train_smoke","kind":"Smoke","trigger":"UnderFire","cooldown":25,"duration":8,"radius":12}</t>
        </is>
      </c>
    </row>
  </sheetData>
  <autoFilter ref="A1:N2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11" customWidth="1" min="4" max="4"/>
    <col width="20" customWidth="1" min="5" max="5"/>
    <col width="12" customWidth="1" min="6" max="6"/>
    <col width="12" customWidth="1" min="7" max="7"/>
    <col width="9" customWidth="1" min="8" max="8"/>
    <col width="9" customWidth="1" min="9" max="9"/>
    <col width="22" customWidth="1" min="10" max="10"/>
    <col width="9" customWidth="1" min="11" max="11"/>
    <col width="8" customWidth="1" min="12" max="12"/>
    <col width="25" customWidth="1" min="13" max="13"/>
    <col width="24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implicit2</t>
        </is>
      </c>
      <c r="E1" s="1" t="inlineStr">
        <is>
          <t>implicit_stat</t>
        </is>
      </c>
      <c r="F1" s="1" t="inlineStr">
        <is>
          <t>main_scale</t>
        </is>
      </c>
      <c r="G1" s="1" t="inlineStr">
        <is>
          <t>min_rarity</t>
        </is>
      </c>
      <c r="H1" s="1" t="inlineStr">
        <is>
          <t>no_subs</t>
        </is>
      </c>
      <c r="I1" s="1" t="inlineStr">
        <is>
          <t>penalty</t>
        </is>
      </c>
      <c r="J1" s="1" t="inlineStr">
        <is>
          <t>penalty_top</t>
        </is>
      </c>
      <c r="K1" s="1" t="inlineStr">
        <is>
          <t>plating</t>
        </is>
      </c>
      <c r="L1" s="1" t="inlineStr">
        <is>
          <t>slot</t>
        </is>
      </c>
      <c r="M1" s="1" t="inlineStr">
        <is>
          <t>top</t>
        </is>
      </c>
      <c r="N1" s="1" t="inlineStr">
        <is>
          <t>top2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E2" t="inlineStr">
        <is>
          <t>DamageVsDrone</t>
        </is>
      </c>
      <c r="L2" t="inlineStr">
        <is>
          <t>Weapon</t>
        </is>
      </c>
      <c r="M2" t="inlineStr">
        <is>
          <t>0.08;0.12;0.18;0.24;0.3</t>
        </is>
      </c>
      <c r="O2" t="inlineStr">
        <is>
          <t>Assets/MachineBrigade/Scripts/Game/Match/GearCatalog.cs:248 (Bases[7])</t>
        </is>
      </c>
      <c r="P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E3" t="inlineStr">
        <is>
          <t>ArmourSide</t>
        </is>
      </c>
      <c r="L3" t="inlineStr">
        <is>
          <t>Armor</t>
        </is>
      </c>
      <c r="M3" t="inlineStr">
        <is>
          <t>0.4;0.55;0.7;0.85;1</t>
        </is>
      </c>
      <c r="O3" t="inlineStr">
        <is>
          <t>Assets/MachineBrigade/Scripts/Game/Match/GearCatalog.cs:264 (Bases[16])</t>
        </is>
      </c>
      <c r="P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E4" t="inlineStr">
        <is>
          <t>ArmourAll</t>
        </is>
      </c>
      <c r="L4" t="inlineStr">
        <is>
          <t>Armor</t>
        </is>
      </c>
      <c r="M4" t="inlineStr">
        <is>
          <t>0.4;0.55;0.7;0.85;1</t>
        </is>
      </c>
      <c r="O4" t="inlineStr">
        <is>
          <t>Assets/MachineBrigade/Scripts/Game/Match/GearCatalog.cs:267 (Bases[18])</t>
        </is>
      </c>
      <c r="P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E5" t="inlineStr">
        <is>
          <t>SecondaryFireRate</t>
        </is>
      </c>
      <c r="L5" t="inlineStr">
        <is>
          <t>Loader</t>
        </is>
      </c>
      <c r="M5" t="inlineStr">
        <is>
          <t>0.08;0.12;0.16;0.2;0.25</t>
        </is>
      </c>
      <c r="O5" t="inlineStr">
        <is>
          <t>Assets/MachineBrigade/Scripts/Game/Match/GearCatalog.cs:253 (Bases[10])</t>
        </is>
      </c>
      <c r="P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E6" t="inlineStr">
        <is>
          <t>DamageVsStructure</t>
        </is>
      </c>
      <c r="L6" t="inlineStr">
        <is>
          <t>Weapon</t>
        </is>
      </c>
      <c r="M6" t="inlineStr">
        <is>
          <t>0.06;0.09;0.13;0.18;0.24</t>
        </is>
      </c>
      <c r="O6" t="inlineStr">
        <is>
          <t>Assets/MachineBrigade/Scripts/Game/Match/GearCatalog.cs:242 (Bases[4])</t>
        </is>
      </c>
      <c r="P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E7" t="inlineStr">
        <is>
          <t>Camouflage</t>
        </is>
      </c>
      <c r="L7" t="inlineStr">
        <is>
          <t>Optics</t>
        </is>
      </c>
      <c r="M7" t="inlineStr">
        <is>
          <t>0.05;0.08;0.11;0.15;0.18</t>
        </is>
      </c>
      <c r="O7" t="inlineStr">
        <is>
          <t>Assets/MachineBrigade/Scripts/Game/Match/GearCatalog.cs:299 (Bases[35])</t>
        </is>
      </c>
      <c r="P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E8" t="inlineStr">
        <is>
          <t>MagazineReload</t>
        </is>
      </c>
      <c r="L8" t="inlineStr">
        <is>
          <t>Loader</t>
        </is>
      </c>
      <c r="M8" t="inlineStr">
        <is>
          <t>0.05;0.08;0.12;0.16;0.2</t>
        </is>
      </c>
      <c r="O8" t="inlineStr">
        <is>
          <t>Assets/MachineBrigade/Scripts/Game/Match/GearCatalog.cs:251 (Bases[8])</t>
        </is>
      </c>
      <c r="P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E9" t="inlineStr">
        <is>
          <t>StillVision</t>
        </is>
      </c>
      <c r="L9" t="inlineStr">
        <is>
          <t>Optics</t>
        </is>
      </c>
      <c r="M9" t="inlineStr">
        <is>
          <t>0.05;0.08;0.12;0.16;0.2</t>
        </is>
      </c>
      <c r="O9" t="inlineStr">
        <is>
          <t>Assets/MachineBrigade/Scripts/Game/Match/GearCatalog.cs:298 (Bases[34])</t>
        </is>
      </c>
      <c r="P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E10" t="inlineStr">
        <is>
          <t>ResistShapedCharge</t>
        </is>
      </c>
      <c r="L10" t="inlineStr">
        <is>
          <t>Armor</t>
        </is>
      </c>
      <c r="M10" t="inlineStr">
        <is>
          <t>0.04;0.06;0.09;0.12;0.15</t>
        </is>
      </c>
      <c r="O10" t="inlineStr">
        <is>
          <t>Assets/MachineBrigade/Scripts/Game/Match/GearCatalog.cs:261 (Bases[14])</t>
        </is>
      </c>
      <c r="P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E11" t="inlineStr">
        <is>
          <t>Cooldowns</t>
        </is>
      </c>
      <c r="L11" t="inlineStr">
        <is>
          <t>Repair</t>
        </is>
      </c>
      <c r="M11" t="inlineStr">
        <is>
          <t>0.04;0.06;0.09;0.12;0.15</t>
        </is>
      </c>
      <c r="O11" t="inlineStr">
        <is>
          <t>Assets/MachineBrigade/Scripts/Game/Match/GearCatalog.cs:292 (Bases[30])</t>
        </is>
      </c>
      <c r="P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D12" t="inlineStr">
        <is>
          <t>TurretRate</t>
        </is>
      </c>
      <c r="E12" t="inlineStr">
        <is>
          <t>TurnRate</t>
        </is>
      </c>
      <c r="L12" t="inlineStr">
        <is>
          <t>Engine</t>
        </is>
      </c>
      <c r="M12" t="inlineStr">
        <is>
          <t>0.05;0.08;0.12;0.16;0.2</t>
        </is>
      </c>
      <c r="N12" t="inlineStr">
        <is>
          <t>0.08;0.12;0.16;0.2;0.25</t>
        </is>
      </c>
      <c r="O12" t="inlineStr">
        <is>
          <t>Assets/MachineBrigade/Scripts/Game/Match/GearCatalog.cs:282 (Bases[25])</t>
        </is>
      </c>
      <c r="P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E13" t="inlineStr">
        <is>
          <t>Magazine</t>
        </is>
      </c>
      <c r="L13" t="inlineStr">
        <is>
          <t>Loader</t>
        </is>
      </c>
      <c r="M13" t="inlineStr">
        <is>
          <t>0.1;0.15;0.2;0.25;0.3</t>
        </is>
      </c>
      <c r="O13" t="inlineStr">
        <is>
          <t>Assets/MachineBrigade/Scripts/Game/Match/GearCatalog.cs:252 (Bases[9])</t>
        </is>
      </c>
      <c r="P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E14" t="inlineStr">
        <is>
          <t>StatusDuration</t>
        </is>
      </c>
      <c r="L14" t="inlineStr">
        <is>
          <t>Repair</t>
        </is>
      </c>
      <c r="M14" t="inlineStr">
        <is>
          <t>0.1;0.18;0.26;0.34;0.42</t>
        </is>
      </c>
      <c r="O14" t="inlineStr">
        <is>
          <t>Assets/MachineBrigade/Scripts/Game/Match/GearCatalog.cs:293 (Bases[31])</t>
        </is>
      </c>
      <c r="P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E15" t="inlineStr">
        <is>
          <t>ResistFire</t>
        </is>
      </c>
      <c r="L15" t="inlineStr">
        <is>
          <t>Armor</t>
        </is>
      </c>
      <c r="M15" t="inlineStr">
        <is>
          <t>0.08;0.12;0.16;0.2;0.25</t>
        </is>
      </c>
      <c r="O15" t="inlineStr">
        <is>
          <t>Assets/MachineBrigade/Scripts/Game/Match/GearCatalog.cs:265 (Bases[17])</t>
        </is>
      </c>
      <c r="P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E16" t="inlineStr">
        <is>
          <t>DamageFlank</t>
        </is>
      </c>
      <c r="L16" t="inlineStr">
        <is>
          <t>Weapon</t>
        </is>
      </c>
      <c r="M16" t="inlineStr">
        <is>
          <t>0.05;0.08;0.12;0.16;0.2</t>
        </is>
      </c>
      <c r="O16" t="inlineStr">
        <is>
          <t>Assets/MachineBrigade/Scripts/Game/Match/GearCatalog.cs:247 (Bases[6])</t>
        </is>
      </c>
      <c r="P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E17" t="inlineStr">
        <is>
          <t>ResistFrontal</t>
        </is>
      </c>
      <c r="K17" t="b">
        <v>1</v>
      </c>
      <c r="L17" t="inlineStr">
        <is>
          <t>Armor</t>
        </is>
      </c>
      <c r="M17" t="inlineStr">
        <is>
          <t>0.05;0.08;0.11;0.15;0.18</t>
        </is>
      </c>
      <c r="O17" t="inlineStr">
        <is>
          <t>Assets/MachineBrigade/Scripts/Game/Match/GearCatalog.cs:274 (Bases[21])</t>
        </is>
      </c>
      <c r="P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E18" t="inlineStr">
        <is>
          <t>SpreadMoving</t>
        </is>
      </c>
      <c r="L18" t="inlineStr">
        <is>
          <t>Optics</t>
        </is>
      </c>
      <c r="M18" t="inlineStr">
        <is>
          <t>0.1;0.15;0.2;0.25;0.3</t>
        </is>
      </c>
      <c r="O18" t="inlineStr">
        <is>
          <t>Assets/MachineBrigade/Scripts/Game/Match/GearCatalog.cs:297 (Bases[33])</t>
        </is>
      </c>
      <c r="P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E19" t="inlineStr">
        <is>
          <t>FireRate</t>
        </is>
      </c>
      <c r="G19" t="n">
        <v>2</v>
      </c>
      <c r="I19" t="inlineStr">
        <is>
          <t>Spread</t>
        </is>
      </c>
      <c r="J19" t="inlineStr">
        <is>
          <t>0;0;-0.1;-0.12;-0.14</t>
        </is>
      </c>
      <c r="L19" t="inlineStr">
        <is>
          <t>Loader</t>
        </is>
      </c>
      <c r="M19" t="inlineStr">
        <is>
          <t>0;0;0.1;0.12;0.15</t>
        </is>
      </c>
      <c r="O19" t="inlineStr">
        <is>
          <t>Assets/MachineBrigade/Scripts/Game/Match/GearCatalog.cs:255 (Bases[12])</t>
        </is>
      </c>
      <c r="P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E20" t="inlineStr">
        <is>
          <t>Splash</t>
        </is>
      </c>
      <c r="L20" t="inlineStr">
        <is>
          <t>Weapon</t>
        </is>
      </c>
      <c r="M20" t="inlineStr">
        <is>
          <t>0.05;0.08;0.12;0.16;0.2</t>
        </is>
      </c>
      <c r="O20" t="inlineStr">
        <is>
          <t>Assets/MachineBrigade/Scripts/Game/Match/GearCatalog.cs:240 (Bases[2])</t>
        </is>
      </c>
      <c r="P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E21" t="inlineStr">
        <is>
          <t>Range</t>
        </is>
      </c>
      <c r="G21" t="n">
        <v>2</v>
      </c>
      <c r="I21" t="inlineStr">
        <is>
          <t>Speed</t>
        </is>
      </c>
      <c r="J21" t="inlineStr">
        <is>
          <t>0;0;-0.05;-0.06;-0.07</t>
        </is>
      </c>
      <c r="L21" t="inlineStr">
        <is>
          <t>Weapon</t>
        </is>
      </c>
      <c r="M21" t="inlineStr">
        <is>
          <t>0;0;0.08;0.1;0.12</t>
        </is>
      </c>
      <c r="O21" t="inlineStr">
        <is>
          <t>Assets/MachineBrigade/Scripts/Game/Match/GearCatalog.cs:243 (Bases[5])</t>
        </is>
      </c>
      <c r="P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E22" t="inlineStr">
        <is>
          <t>SpreadLong</t>
        </is>
      </c>
      <c r="L22" t="inlineStr">
        <is>
          <t>Optics</t>
        </is>
      </c>
      <c r="M22" t="inlineStr">
        <is>
          <t>0.08;0.12;0.16;0.2;0.25</t>
        </is>
      </c>
      <c r="O22" t="inlineStr">
        <is>
          <t>Assets/MachineBrigade/Scripts/Game/Match/GearCatalog.cs:296 (Bases[32])</t>
        </is>
      </c>
      <c r="P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E23" t="inlineStr">
        <is>
          <t>LaserWarning</t>
        </is>
      </c>
      <c r="L23" t="inlineStr">
        <is>
          <t>Optics</t>
        </is>
      </c>
      <c r="M23" t="inlineStr">
        <is>
          <t>6;6.5;7;7.5;8</t>
        </is>
      </c>
      <c r="O23" t="inlineStr">
        <is>
          <t>Assets/MachineBrigade/Scripts/Game/Match/GearCatalog.cs:304 (Bases[37])</t>
        </is>
      </c>
      <c r="P23" t="inlineStr">
        <is>
          <t>{"id":"laser_warning","slot":"Optics","implicitStat":"LaserWarning","top":[6,6.5,7,7.5,8],"Flat":true}</t>
        </is>
      </c>
    </row>
    <row r="24">
      <c r="A24" t="inlineStr">
        <is>
          <t>long_barrel</t>
        </is>
      </c>
      <c r="B24" t="inlineStr">
        <is>
          <t>Nòng dài</t>
        </is>
      </c>
      <c r="E24" t="inlineStr">
        <is>
          <t>Range</t>
        </is>
      </c>
      <c r="L24" t="inlineStr">
        <is>
          <t>Weapon</t>
        </is>
      </c>
      <c r="M24" t="inlineStr">
        <is>
          <t>0.02;0.03;0.04;0.06;0.08</t>
        </is>
      </c>
      <c r="O24" t="inlineStr">
        <is>
          <t>Assets/MachineBrigade/Scripts/Game/Match/GearCatalog.cs:237 (Bases[0])</t>
        </is>
      </c>
      <c r="P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E25" t="inlineStr">
        <is>
          <t>Count</t>
        </is>
      </c>
      <c r="F25" t="n">
        <v>1.8</v>
      </c>
      <c r="G25" t="n">
        <v>2</v>
      </c>
      <c r="H25" t="b">
        <v>1</v>
      </c>
      <c r="I25" t="inlineStr">
        <is>
          <t>Speed</t>
        </is>
      </c>
      <c r="J25" t="inlineStr">
        <is>
          <t>0;0;-0.04;-0.05;-0.06</t>
        </is>
      </c>
      <c r="L25" t="inlineStr">
        <is>
          <t>Armor</t>
        </is>
      </c>
      <c r="M25" t="inlineStr">
        <is>
          <t>0;0;0;0;0</t>
        </is>
      </c>
      <c r="O25" t="inlineStr">
        <is>
          <t>Assets/MachineBrigade/Scripts/Game/Match/GearCatalog.cs:268 (Bases[19])</t>
        </is>
      </c>
      <c r="P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E26" t="inlineStr">
        <is>
          <t>ResistIndirect</t>
        </is>
      </c>
      <c r="K26" t="b">
        <v>1</v>
      </c>
      <c r="L26" t="inlineStr">
        <is>
          <t>Armor</t>
        </is>
      </c>
      <c r="M26" t="inlineStr">
        <is>
          <t>0.06;0.09;0.13;0.17;0.22</t>
        </is>
      </c>
      <c r="O26" t="inlineStr">
        <is>
          <t>Assets/MachineBrigade/Scripts/Game/Match/GearCatalog.cs:276 (Bases[23])</t>
        </is>
      </c>
      <c r="P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E27" t="inlineStr">
        <is>
          <t>Speed</t>
        </is>
      </c>
      <c r="G27" t="n">
        <v>2</v>
      </c>
      <c r="I27" t="inlineStr">
        <is>
          <t>Health</t>
        </is>
      </c>
      <c r="J27" t="inlineStr">
        <is>
          <t>0;0;-0.04;-0.05;-0.06</t>
        </is>
      </c>
      <c r="L27" t="inlineStr">
        <is>
          <t>Engine</t>
        </is>
      </c>
      <c r="M27" t="inlineStr">
        <is>
          <t>0;0;0.1;0.12;0.15</t>
        </is>
      </c>
      <c r="O27" t="inlineStr">
        <is>
          <t>Assets/MachineBrigade/Scripts/Game/Match/GearCatalog.cs:285 (Bases[27])</t>
        </is>
      </c>
      <c r="P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E28" t="inlineStr">
        <is>
          <t>DamageVsAir</t>
        </is>
      </c>
      <c r="L28" t="inlineStr">
        <is>
          <t>Weapon</t>
        </is>
      </c>
      <c r="M28" t="inlineStr">
        <is>
          <t>0.05;0.08;0.12;0.16;0.2</t>
        </is>
      </c>
      <c r="O28" t="inlineStr">
        <is>
          <t>Assets/MachineBrigade/Scripts/Game/Match/GearCatalog.cs:241 (Bases[3])</t>
        </is>
      </c>
      <c r="P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E29" t="inlineStr">
        <is>
          <t>LockRange</t>
        </is>
      </c>
      <c r="L29" t="inlineStr">
        <is>
          <t>Armor</t>
        </is>
      </c>
      <c r="M29" t="inlineStr">
        <is>
          <t>0.06;0.09;0.13;0.16;0.2</t>
        </is>
      </c>
      <c r="O29" t="inlineStr">
        <is>
          <t>Assets/MachineBrigade/Scripts/Game/Match/GearCatalog.cs:271 (Bases[20])</t>
        </is>
      </c>
      <c r="P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E30" t="inlineStr">
        <is>
          <t>ReverseSpeed</t>
        </is>
      </c>
      <c r="L30" t="inlineStr">
        <is>
          <t>Engine</t>
        </is>
      </c>
      <c r="M30" t="inlineStr">
        <is>
          <t>0.15;0.2;0.28;0.34;0.4</t>
        </is>
      </c>
      <c r="O30" t="inlineStr">
        <is>
          <t>Assets/MachineBrigade/Scripts/Game/Match/GearCatalog.cs:288 (Bases[28])</t>
        </is>
      </c>
      <c r="P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E31" t="inlineStr">
        <is>
          <t>SalvoInterval</t>
        </is>
      </c>
      <c r="L31" t="inlineStr">
        <is>
          <t>Loader</t>
        </is>
      </c>
      <c r="M31" t="inlineStr">
        <is>
          <t>0.1;0.15;0.2;0.25;0.3</t>
        </is>
      </c>
      <c r="O31" t="inlineStr">
        <is>
          <t>Assets/MachineBrigade/Scripts/Game/Match/GearCatalog.cs:254 (Bases[11])</t>
        </is>
      </c>
      <c r="P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D32" t="inlineStr">
        <is>
          <t>Vision</t>
        </is>
      </c>
      <c r="E32" t="inlineStr">
        <is>
          <t>CaptureRate</t>
        </is>
      </c>
      <c r="L32" t="inlineStr">
        <is>
          <t>Optics</t>
        </is>
      </c>
      <c r="M32" t="inlineStr">
        <is>
          <t>0.1;0.15;0.2;0.25;0.3</t>
        </is>
      </c>
      <c r="N32" t="inlineStr">
        <is>
          <t>0.03;0.04;0.06;0.08;0.1</t>
        </is>
      </c>
      <c r="O32" t="inlineStr">
        <is>
          <t>Assets/MachineBrigade/Scripts/Game/Match/GearCatalog.cs:301 (Bases[36])</t>
        </is>
      </c>
      <c r="P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E33" t="inlineStr">
        <is>
          <t>ResistRocket</t>
        </is>
      </c>
      <c r="K33" t="b">
        <v>1</v>
      </c>
      <c r="L33" t="inlineStr">
        <is>
          <t>Armor</t>
        </is>
      </c>
      <c r="M33" t="inlineStr">
        <is>
          <t>0.06;0.09;0.13;0.17;0.22</t>
        </is>
      </c>
      <c r="O33" t="inlineStr">
        <is>
          <t>Assets/MachineBrigade/Scripts/Game/Match/GearCatalog.cs:275 (Bases[22])</t>
        </is>
      </c>
      <c r="P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E34" t="inlineStr">
        <is>
          <t>ResistHighExplosive</t>
        </is>
      </c>
      <c r="L34" t="inlineStr">
        <is>
          <t>Armor</t>
        </is>
      </c>
      <c r="M34" t="inlineStr">
        <is>
          <t>0.04;0.06;0.09;0.12;0.15</t>
        </is>
      </c>
      <c r="O34" t="inlineStr">
        <is>
          <t>Assets/MachineBrigade/Scripts/Game/Match/GearCatalog.cs:262 (Bases[15])</t>
        </is>
      </c>
      <c r="P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E35" t="inlineStr">
        <is>
          <t>SpareMagazine</t>
        </is>
      </c>
      <c r="L35" t="inlineStr">
        <is>
          <t>Loader</t>
        </is>
      </c>
      <c r="M35" t="inlineStr">
        <is>
          <t>0.4;0.55;0.7;0.85;1</t>
        </is>
      </c>
      <c r="O35" t="inlineStr">
        <is>
          <t>Assets/MachineBrigade/Scripts/Game/Match/GearCatalog.cs:258 (Bases[13])</t>
        </is>
      </c>
      <c r="P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E36" t="inlineStr">
        <is>
          <t>RegenDelay</t>
        </is>
      </c>
      <c r="L36" t="inlineStr">
        <is>
          <t>Repair</t>
        </is>
      </c>
      <c r="M36" t="inlineStr">
        <is>
          <t>1;1.5;2;2.5;3</t>
        </is>
      </c>
      <c r="O36" t="inlineStr">
        <is>
          <t>Assets/MachineBrigade/Scripts/Game/Match/GearCatalog.cs:291 (Bases[29])</t>
        </is>
      </c>
      <c r="P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E37" t="inlineStr">
        <is>
          <t>TransitSpeed</t>
        </is>
      </c>
      <c r="L37" t="inlineStr">
        <is>
          <t>Engine</t>
        </is>
      </c>
      <c r="M37" t="inlineStr">
        <is>
          <t>0.05;0.08;0.12;0.16;0.2</t>
        </is>
      </c>
      <c r="O37" t="inlineStr">
        <is>
          <t>Assets/MachineBrigade/Scripts/Game/Match/GearCatalog.cs:284 (Bases[26])</t>
        </is>
      </c>
      <c r="P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E38" t="inlineStr">
        <is>
          <t>Penetration</t>
        </is>
      </c>
      <c r="L38" t="inlineStr">
        <is>
          <t>Weapon</t>
        </is>
      </c>
      <c r="M38" t="inlineStr">
        <is>
          <t>0.4;0.55;0.7;0.85;1</t>
        </is>
      </c>
      <c r="O38" t="inlineStr">
        <is>
          <t>Assets/MachineBrigade/Scripts/Game/Match/GearCatalog.cs:239 (Bases[1])</t>
        </is>
      </c>
      <c r="P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E39" t="inlineStr">
        <is>
          <t>ResistBlast</t>
        </is>
      </c>
      <c r="K39" t="b">
        <v>1</v>
      </c>
      <c r="L39" t="inlineStr">
        <is>
          <t>Armor</t>
        </is>
      </c>
      <c r="M39" t="inlineStr">
        <is>
          <t>0.05;0.08;0.11;0.15;0.18</t>
        </is>
      </c>
      <c r="O39" t="inlineStr">
        <is>
          <t>Assets/MachineBrigade/Scripts/Game/Match/GearCatalog.cs:278 (Bases[24])</t>
        </is>
      </c>
      <c r="P39" t="inlineStr">
        <is>
          <t>{"id":"underbelly_armor","slot":"Armor","implicitStat":"ResistBlast","top":[0.05,0.08,0.11,0.15,0.18],"Plating":true}</t>
        </is>
      </c>
    </row>
  </sheetData>
  <autoFilter ref="A1:P3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11" customWidth="1" min="5" max="5"/>
    <col width="12" customWidth="1" min="6" max="6"/>
    <col width="16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legendary</t>
        </is>
      </c>
      <c r="F1" s="1" t="inlineStr">
        <is>
          <t>legendary2</t>
        </is>
      </c>
      <c r="G1" s="1" t="inlineStr">
        <is>
          <t>need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E2" t="n">
        <v>3</v>
      </c>
      <c r="G2" t="inlineStr">
        <is>
          <t>Any</t>
        </is>
      </c>
      <c r="H2" t="inlineStr">
        <is>
          <t>Assets/MachineBrigade/Scripts/Game/Match/GearCatalog.cs:327 (Modules[11])</t>
        </is>
      </c>
      <c r="I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E3" t="n">
        <v>0.018</v>
      </c>
      <c r="G3" t="inlineStr">
        <is>
          <t>Any</t>
        </is>
      </c>
      <c r="H3" t="inlineStr">
        <is>
          <t>Assets/MachineBrigade/Scripts/Game/Match/GearCatalog.cs:315 (Modules[1])</t>
        </is>
      </c>
      <c r="I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E4" t="n">
        <v>6</v>
      </c>
      <c r="F4" t="n">
        <v>25</v>
      </c>
      <c r="G4" t="inlineStr">
        <is>
          <t>Ground</t>
        </is>
      </c>
      <c r="H4" t="inlineStr">
        <is>
          <t>Assets/MachineBrigade/Scripts/Game/Match/GearCatalog.cs:328 (Modules[12])</t>
        </is>
      </c>
      <c r="I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E5" t="n">
        <v>2</v>
      </c>
      <c r="F5" t="n">
        <v>20</v>
      </c>
      <c r="G5" t="inlineStr">
        <is>
          <t>Any</t>
        </is>
      </c>
      <c r="H5" t="inlineStr">
        <is>
          <t>Assets/MachineBrigade/Scripts/Game/Match/GearCatalog.cs:322 (Modules[6])</t>
        </is>
      </c>
      <c r="I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E6" t="n">
        <v>3</v>
      </c>
      <c r="F6" t="n">
        <v>14</v>
      </c>
      <c r="G6" t="inlineStr">
        <is>
          <t>Any</t>
        </is>
      </c>
      <c r="H6" t="inlineStr">
        <is>
          <t>Assets/MachineBrigade/Scripts/Game/Match/GearCatalog.cs:323 (Modules[7])</t>
        </is>
      </c>
      <c r="I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E7" t="n">
        <v>4</v>
      </c>
      <c r="F7" t="n">
        <v>18</v>
      </c>
      <c r="G7" t="inlineStr">
        <is>
          <t>Flying|Flares</t>
        </is>
      </c>
      <c r="H7" t="inlineStr">
        <is>
          <t>Assets/MachineBrigade/Scripts/Game/Match/GearCatalog.cs:321 (Modules[5])</t>
        </is>
      </c>
      <c r="I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E8" t="n">
        <v>3</v>
      </c>
      <c r="F8" t="n">
        <v>15</v>
      </c>
      <c r="G8" t="inlineStr">
        <is>
          <t>Ground</t>
        </is>
      </c>
      <c r="H8" t="inlineStr">
        <is>
          <t>Assets/MachineBrigade/Scripts/Game/Match/GearCatalog.cs:324 (Modules[8])</t>
        </is>
      </c>
      <c r="I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E9" t="n">
        <v>0.1</v>
      </c>
      <c r="F9" t="n">
        <v>15</v>
      </c>
      <c r="G9" t="inlineStr">
        <is>
          <t>Any</t>
        </is>
      </c>
      <c r="H9" t="inlineStr">
        <is>
          <t>Assets/MachineBrigade/Scripts/Game/Match/GearCatalog.cs:326 (Modules[10])</t>
        </is>
      </c>
      <c r="I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E10" t="n">
        <v>0.55</v>
      </c>
      <c r="G10" t="inlineStr">
        <is>
          <t>Ground</t>
        </is>
      </c>
      <c r="H10" t="inlineStr">
        <is>
          <t>Assets/MachineBrigade/Scripts/Game/Match/GearCatalog.cs:314 (Modules[0])</t>
        </is>
      </c>
      <c r="I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n">
        <v>10</v>
      </c>
      <c r="F11" t="n">
        <v>1</v>
      </c>
      <c r="G11" t="inlineStr">
        <is>
          <t>Ground</t>
        </is>
      </c>
      <c r="H11" t="inlineStr">
        <is>
          <t>Assets/MachineBrigade/Scripts/Game/Match/GearCatalog.cs:317 (Modules[3])</t>
        </is>
      </c>
      <c r="I11" t="inlineStr">
        <is>
          <t>{"module":"SmokeDischarger","need":"Ground","epic":8,"legendary":10,"epic2":0,"legendary2":1}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E12" t="n">
        <v>2</v>
      </c>
      <c r="F12" t="n">
        <v>20</v>
      </c>
      <c r="G12" t="inlineStr">
        <is>
          <t>Ground|ApsMount</t>
        </is>
      </c>
      <c r="H12" t="inlineStr">
        <is>
          <t>Assets/MachineBrigade/Scripts/Game/Match/GearCatalog.cs:320 (Modules[4])</t>
        </is>
      </c>
      <c r="I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E13" t="n">
        <v>5</v>
      </c>
      <c r="F13" t="n">
        <v>35</v>
      </c>
      <c r="G13" t="inlineStr">
        <is>
          <t>HitsGround</t>
        </is>
      </c>
      <c r="H13" t="inlineStr">
        <is>
          <t>Assets/MachineBrigade/Scripts/Game/Match/GearCatalog.cs:329 (Modules[13])</t>
        </is>
      </c>
      <c r="I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E14" t="n">
        <v>0.12</v>
      </c>
      <c r="G14" t="inlineStr">
        <is>
          <t>Armed</t>
        </is>
      </c>
      <c r="H14" t="inlineStr">
        <is>
          <t>Assets/MachineBrigade/Scripts/Game/Match/GearCatalog.cs:316 (Modules[2])</t>
        </is>
      </c>
      <c r="I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E15" t="n">
        <v>0.8</v>
      </c>
      <c r="G15" t="inlineStr">
        <is>
          <t>Armed</t>
        </is>
      </c>
      <c r="H15" t="inlineStr">
        <is>
          <t>Assets/MachineBrigade/Scripts/Game/Match/GearCatalog.cs:325 (Modules[9])</t>
        </is>
      </c>
      <c r="I15" t="inlineStr">
        <is>
          <t>{"module":"WarProfiteer","need":"Armed","epic":0.5,"legendary":0.8}</t>
        </is>
      </c>
    </row>
  </sheetData>
  <autoFilter ref="A1:I1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Assets/MachineBrigade/Scripts/Game/Match/GearCatalog.cs:361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Assets/MachineBrigade/Scripts/Game/Match/GearCatalog.cs:359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Assets/MachineBrigade/Scripts/Game/Match/GearCatalog.cs:355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Assets/MachineBrigade/Scripts/Game/Match/GearCatalog.cs:369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Assets/MachineBrigade/Scripts/Game/Match/GearCatalog.cs:376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Assets/MachineBrigade/Scripts/Game/Match/GearCatalog.cs:362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Assets/MachineBrigade/Scripts/Game/Match/GearCatalog.cs:338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Assets/MachineBrigade/Scripts/Game/Match/GearCatalog.cs:374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Assets/MachineBrigade/Scripts/Game/Match/GearCatalog.cs:382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Assets/MachineBrigade/Scripts/Game/Match/GearCatalog.cs:377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Assets/MachineBrigade/Scripts/Game/Match/GearCatalog.cs:358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Assets/MachineBrigade/Scripts/Game/Match/GearCatalog.cs:373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Assets/MachineBrigade/Scripts/Game/Match/GearCatalog.cs:383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Assets/MachineBrigade/Scripts/Game/Match/GearCatalog.cs:342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Assets/MachineBrigade/Scripts/Game/Match/GearCatalog.cs:372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Assets/MachineBrigade/Scripts/Game/Match/GearCatalog.cs:385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Assets/MachineBrigade/Scripts/Game/Match/GearCatalog.cs:381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Assets/MachineBrigade/Scripts/Game/Match/GearCatalog.cs:357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Assets/MachineBrigade/Scripts/Game/Match/GearCatalog.cs:351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Assets/MachineBrigade/Scripts/Game/Match/GearCatalog.cs:347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Assets/MachineBrigade/Scripts/Game/Match/GearCatalog.cs:336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Assets/MachineBrigade/Scripts/Game/Match/GearCatalog.cs:348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Assets/MachineBrigade/Scripts/Game/Match/GearCatalog.cs:380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Assets/MachineBrigade/Scripts/Game/Match/GearCatalog.cs:341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Assets/MachineBrigade/Scripts/Game/Match/GearCatalog.cs:365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Assets/MachineBrigade/Scripts/Game/Match/GearCatalog.cs:340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Assets/MachineBrigade/Scripts/Game/Match/GearCatalog.cs:350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Assets/MachineBrigade/Scripts/Game/Match/GearCatalog.cs:367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Assets/MachineBrigade/Scripts/Game/Match/GearCatalog.cs:349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Assets/MachineBrigade/Scripts/Game/Match/GearCatalog.cs:360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Assets/MachineBrigade/Scripts/Game/Match/GearCatalog.cs:370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Assets/MachineBrigade/Scripts/Game/Match/GearCatalog.cs:337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Assets/MachineBrigade/Scripts/Game/Match/GearCatalog.cs:375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Assets/MachineBrigade/Scripts/Game/Match/GearCatalog.cs:366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Assets/MachineBrigade/Scripts/Game/Match/GearCatalog.cs:339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Assets/MachineBrigade/Scripts/Game/Match/GearCatalog.cs:363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Assets/MachineBrigade/Scripts/Game/Match/GearCatalog.cs:352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Assets/MachineBrigade/Scripts/Game/Match/GearCatalog.cs:344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Assets/MachineBrigade/Scripts/Game/Match/GearCatalog.cs:345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Assets/MachineBrigade/Scripts/Game/Match/GearCatalog.cs:343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Assets/MachineBrigade/Scripts/Game/Match/GearCatalog.cs:379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Assets/MachineBrigade/Scripts/Game/Match/GearCatalog.cs:335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Assets/MachineBrigade/Scripts/Game/Match/GearCatalog.cs:356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Assets/MachineBrigade/Scripts/Game/Match/GearCatalog.cs:353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Assets/MachineBrigade/Scripts/Game/Match/GearCatalog.cs:368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Assets/MachineBrigade/Scripts/Game/Match/GearCatalog.cs:410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Assets/MachineBrigade/Scripts/Game/Match/GearCatalog.cs:411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Assets/MachineBrigade/Scripts/Game/Match/GearCatalog.cs:395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Assets/MachineBrigade/Scripts/Game/Match/GearCatalog.cs:392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Assets/MachineBrigade/Scripts/Game/Match/GearCatalog.cs:391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Assets/MachineBrigade/Scripts/Game/Match/GearCatalog.cs:390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Assets/MachineBrigade/Scripts/Game/Match/GearCatalog.cs:393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Assets/MachineBrigade/Scripts/Game/Match/GearCatalog.cs:394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Assets/MachineBrigade/Scripts/Game/Match/GearCatalog.cs:402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Assets/MachineBrigade/Scripts/Game/Match/GearCatalog.cs:400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Assets/MachineBrigade/Scripts/Game/Match/GearCatalog.cs:401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Assets/MachineBrigade/Scripts/Game/Match/GearCatalog.cs:399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Assets/MachineBrigade/Scripts/Game/Match/GearCatalog.cs:396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Assets/MachineBrigade/Scripts/Game/Match/GearCatalog.cs:412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Assets/MachineBrigade/Scripts/Game/Match/GearCatalog.cs:406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Assets/MachineBrigade/Scripts/Game/Match/GearCatalog.cs:407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Assets/MachineBrigade/Scripts/Game/Match/GearCatalog.cs:405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Assets/MachineBrigade/Scripts/Game/Match/GearCatalog.cs:403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Assets/MachineBrigade/Scripts/Game/Match/GearCatalog.cs:404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Assets/MachineBrigade/Scripts/Game/Match/GearCatalog.cs:408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Assets/MachineBrigade/Scripts/Game/Match/GearCatalog.cs:398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Assets/MachineBrigade/Scripts/Game/Match/GearCatalog.cs:409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Assets/MachineBrigade/Scripts/Game/Match/GearCatalog.cs:397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Assets/MachineBrigade/Scripts/Game/Match/GearCatalog.cs:424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Assets/MachineBrigade/Scripts/Game/Match/GearCatalog.cs:434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Assets/MachineBrigade/Scripts/Game/Match/GearCatalog.cs:429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Assets/MachineBrigade/Scripts/Game/Match/GearCatalog.cs:426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Assets/MachineBrigade/Scripts/Game/Match/GearCatalog.cs:420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Assets/MachineBrigade/Scripts/Game/Match/GearCatalog.cs:421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Assets/MachineBrigade/Scripts/Game/Match/GearCatalog.cs:423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Assets/MachineBrigade/Scripts/Game/Match/GearCatalog.cs:431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Assets/MachineBrigade/Scripts/Game/Match/GearCatalog.cs:427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Assets/MachineBrigade/Scripts/Game/Match/GearCatalog.cs:428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Assets/MachineBrigade/Scripts/Game/Match/GearCatalog.cs:425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Assets/MachineBrigade/Scripts/Game/Match/GearCatalog.cs:422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Assets/MachineBrigade/Scripts/Game/Match/GearCatalog.cs:432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inlineStr">
        <is>
          <t>01_chien_dau/Vu_khi (id air_to_air)</t>
        </is>
      </c>
      <c r="I2" t="inlineStr"/>
    </row>
    <row r="3">
      <c r="A3" t="inlineStr">
        <is>
          <t>amos_120</t>
        </is>
      </c>
      <c r="B3" t="n">
        <v>150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inlineStr">
        <is>
          <t>01_chien_dau/Vu_khi (id amos_120)</t>
        </is>
      </c>
      <c r="I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inlineStr">
        <is>
          <t>01_chien_dau/Vu_khi (id autocannon_25)</t>
        </is>
      </c>
      <c r="I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autocannon_30)</t>
        </is>
      </c>
      <c r="I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inlineStr">
        <is>
          <t>01_chien_dau/Vu_khi (id ballistic_missile)</t>
        </is>
      </c>
      <c r="I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inlineStr">
        <is>
          <t>01_chien_dau/Vu_khi (id boat_rockets)</t>
        </is>
      </c>
      <c r="I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inlineStr">
        <is>
          <t>01_chien_dau/Vu_khi (id bofors_l70)</t>
        </is>
      </c>
      <c r="I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inlineStr">
        <is>
          <t>01_chien_dau/Vu_khi (id bomber_payload)</t>
        </is>
      </c>
      <c r="I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inlineStr">
        <is>
          <t>01_chien_dau/Vu_khi (id buk_launcher)</t>
        </is>
      </c>
      <c r="I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inlineStr">
        <is>
          <t>01_chien_dau/Vu_khi (id cruise_missile_ground)</t>
        </is>
      </c>
      <c r="I11" t="inlineStr"/>
    </row>
    <row r="12">
      <c r="A12" t="inlineStr">
        <is>
          <t>cruiser_203</t>
        </is>
      </c>
      <c r="B12" t="n">
        <v>420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inlineStr">
        <is>
          <t>01_chien_dau/Vu_khi (id cruiser_203)</t>
        </is>
      </c>
      <c r="I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inlineStr">
        <is>
          <t>01_chien_dau/Vu_khi (id detonator)</t>
        </is>
      </c>
      <c r="I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inlineStr">
        <is>
          <t>01_chien_dau/Vu_khi (id dozer_blade)</t>
        </is>
      </c>
      <c r="I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inlineStr">
        <is>
          <t>01_chien_dau/Vu_khi (id drone_missile)</t>
        </is>
      </c>
      <c r="I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inlineStr">
        <is>
          <t>01_chien_dau/Vu_khi (id flak_35)</t>
        </is>
      </c>
      <c r="I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inlineStr">
        <is>
          <t>01_chien_dau/Vu_khi (id flamethrower)</t>
        </is>
      </c>
      <c r="I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inlineStr">
        <is>
          <t>01_chien_dau/Vu_khi (id focus_laser)</t>
        </is>
      </c>
      <c r="I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inlineStr">
        <is>
          <t>01_chien_dau/Vu_khi (id fpv_swarm)</t>
        </is>
      </c>
      <c r="I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inlineStr">
        <is>
          <t>01_chien_dau/Vu_khi (id grad_cluster)</t>
        </is>
      </c>
      <c r="I20" t="inlineStr"/>
    </row>
    <row r="21">
      <c r="A21" t="inlineStr">
        <is>
          <t>gun_57mm</t>
        </is>
      </c>
      <c r="B21" t="n">
        <v>77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inlineStr">
        <is>
          <t>01_chien_dau/Vu_khi (id gun_57mm)</t>
        </is>
      </c>
      <c r="I21" t="inlineStr"/>
    </row>
    <row r="22">
      <c r="A22" t="inlineStr">
        <is>
          <t>gun_100_river</t>
        </is>
      </c>
      <c r="B22" t="n">
        <v>160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inlineStr">
        <is>
          <t>01_chien_dau/Vu_khi (id gun_100_river)</t>
        </is>
      </c>
      <c r="I22" t="inlineStr"/>
    </row>
    <row r="23">
      <c r="A23" t="inlineStr">
        <is>
          <t>gun_105_apfsds</t>
        </is>
      </c>
      <c r="B23" t="n">
        <v>260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inlineStr">
        <is>
          <t>01_chien_dau/Vu_khi (id gun_105_apfsds)</t>
        </is>
      </c>
      <c r="I23" t="inlineStr"/>
    </row>
    <row r="24">
      <c r="A24" t="inlineStr">
        <is>
          <t>gun_105_long</t>
        </is>
      </c>
      <c r="B24" t="n">
        <v>260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inlineStr">
        <is>
          <t>01_chien_dau/Vu_khi (id gun_105_long)</t>
        </is>
      </c>
      <c r="I24" t="inlineStr"/>
    </row>
    <row r="25">
      <c r="A25" t="inlineStr">
        <is>
          <t>gun_105_wheeled</t>
        </is>
      </c>
      <c r="B25" t="n">
        <v>258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inlineStr">
        <is>
          <t>01_chien_dau/Vu_khi (id gun_105_wheeled)</t>
        </is>
      </c>
      <c r="I25" t="inlineStr"/>
    </row>
    <row r="26">
      <c r="A26" t="inlineStr">
        <is>
          <t>gun_120_twin</t>
        </is>
      </c>
      <c r="B26" t="n">
        <v>240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inlineStr">
        <is>
          <t>01_chien_dau/Vu_khi (id gun_120_twin)</t>
        </is>
      </c>
      <c r="I26" t="inlineStr"/>
    </row>
    <row r="27">
      <c r="A27" t="inlineStr">
        <is>
          <t>gun_120mm</t>
        </is>
      </c>
      <c r="B27" t="n">
        <v>240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inlineStr">
        <is>
          <t>01_chien_dau/Vu_khi (id gun_120mm)</t>
        </is>
      </c>
      <c r="I27" t="inlineStr"/>
    </row>
    <row r="28">
      <c r="A28" t="inlineStr">
        <is>
          <t>gun_125_armata_ke</t>
        </is>
      </c>
      <c r="B28" t="n">
        <v>260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inlineStr">
        <is>
          <t>01_chien_dau/Vu_khi (id gun_125_armata_ke)</t>
        </is>
      </c>
      <c r="I28" t="inlineStr"/>
    </row>
    <row r="29">
      <c r="A29" t="inlineStr">
        <is>
          <t>gun_125_elite</t>
        </is>
      </c>
      <c r="B29" t="n">
        <v>260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inlineStr">
        <is>
          <t>01_chien_dau/Vu_khi (id gun_125_elite)</t>
        </is>
      </c>
      <c r="I29" t="inlineStr"/>
    </row>
    <row r="30">
      <c r="A30" t="inlineStr">
        <is>
          <t>gun_140_twin</t>
        </is>
      </c>
      <c r="B30" t="n">
        <v>290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inlineStr">
        <is>
          <t>01_chien_dau/Vu_khi (id gun_140_twin)</t>
        </is>
      </c>
      <c r="I30" t="inlineStr"/>
    </row>
    <row r="31">
      <c r="A31" t="inlineStr">
        <is>
          <t>gun_152</t>
        </is>
      </c>
      <c r="B31" t="n">
        <v>320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gun_152)</t>
        </is>
      </c>
      <c r="I31" t="inlineStr"/>
    </row>
    <row r="32">
      <c r="A32" t="inlineStr">
        <is>
          <t>gun_152_heat</t>
        </is>
      </c>
      <c r="B32" t="n">
        <v>336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inlineStr">
        <is>
          <t>01_chien_dau/Vu_khi (id gun_152_heat)</t>
        </is>
      </c>
      <c r="I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inlineStr">
        <is>
          <t>01_chien_dau/Vu_khi (id gun_behemoth)</t>
        </is>
      </c>
      <c r="I33" t="inlineStr"/>
    </row>
    <row r="34">
      <c r="A34" t="inlineStr">
        <is>
          <t>gunship_105</t>
        </is>
      </c>
      <c r="B34" t="n">
        <v>200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inlineStr">
        <is>
          <t>01_chien_dau/Vu_khi (id gunship_105)</t>
        </is>
      </c>
      <c r="I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inlineStr">
        <is>
          <t>01_chien_dau/Vu_khi (id hel_beam)</t>
        </is>
      </c>
      <c r="I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inlineStr">
        <is>
          <t>01_chien_dau/Vu_khi (id heli_gun)</t>
        </is>
      </c>
      <c r="I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inlineStr">
        <is>
          <t>01_chien_dau/Vu_khi (id hellfire_standoff)</t>
        </is>
      </c>
      <c r="I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inlineStr">
        <is>
          <t>01_chien_dau/Vu_khi (id hellfire_volley)</t>
        </is>
      </c>
      <c r="I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inlineStr">
        <is>
          <t>01_chien_dau/Vu_khi (id hmg_roof)</t>
        </is>
      </c>
      <c r="I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inlineStr">
        <is>
          <t>01_chien_dau/Vu_khi (id hmg_selfdef_15)</t>
        </is>
      </c>
      <c r="I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inlineStr">
        <is>
          <t>01_chien_dau/Vu_khi (id hover_ciws)</t>
        </is>
      </c>
      <c r="I41" t="inlineStr"/>
    </row>
    <row r="42">
      <c r="A42" t="inlineStr">
        <is>
          <t>howitzer</t>
        </is>
      </c>
      <c r="B42" t="n">
        <v>320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inlineStr">
        <is>
          <t>01_chien_dau/Vu_khi (id howitzer)</t>
        </is>
      </c>
      <c r="I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inlineStr">
        <is>
          <t>01_chien_dau/Vu_khi (id ifv_30)</t>
        </is>
      </c>
      <c r="I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inlineStr">
        <is>
          <t>01_chien_dau/Vu_khi (id jet_cannon)</t>
        </is>
      </c>
      <c r="I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inlineStr">
        <is>
          <t>01_chien_dau/Vu_khi (id mg_jeep)</t>
        </is>
      </c>
      <c r="I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inlineStr">
        <is>
          <t>01_chien_dau/Vu_khi (id minigun)</t>
        </is>
      </c>
      <c r="I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inlineStr">
        <is>
          <t>01_chien_dau/Vu_khi (id mlrs_elite)</t>
        </is>
      </c>
      <c r="I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inlineStr">
        <is>
          <t>01_chien_dau/Vu_khi (id mlrs_rockets)</t>
        </is>
      </c>
      <c r="I48" t="inlineStr"/>
    </row>
    <row r="49">
      <c r="A49" t="inlineStr">
        <is>
          <t>mortar_120</t>
        </is>
      </c>
      <c r="B49" t="n">
        <v>150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inlineStr">
        <is>
          <t>01_chien_dau/Vu_khi (id mortar_120)</t>
        </is>
      </c>
      <c r="I49" t="inlineStr"/>
    </row>
    <row r="50">
      <c r="A50" t="inlineStr">
        <is>
          <t>naval_76</t>
        </is>
      </c>
      <c r="B50" t="n">
        <v>120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inlineStr">
        <is>
          <t>01_chien_dau/Vu_khi (id naval_76)</t>
        </is>
      </c>
      <c r="I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inlineStr">
        <is>
          <t>01_chien_dau/Vu_khi (id none)</t>
        </is>
      </c>
      <c r="I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inlineStr">
        <is>
          <t>01_chien_dau/Vu_khi (id railgun)</t>
        </is>
      </c>
      <c r="I52" t="inlineStr"/>
    </row>
    <row r="53">
      <c r="A53" t="inlineStr">
        <is>
          <t>recoilless_106</t>
        </is>
      </c>
      <c r="B53" t="n">
        <v>220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inlineStr">
        <is>
          <t>01_chien_dau/Vu_khi (id recoilless_106)</t>
        </is>
      </c>
      <c r="I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inlineStr">
        <is>
          <t>01_chien_dau/Vu_khi (id recon_missile)</t>
        </is>
      </c>
      <c r="I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inlineStr">
        <is>
          <t>01_chien_dau/Vu_khi (id rockets_300mm)</t>
        </is>
      </c>
      <c r="I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inlineStr">
        <is>
          <t>01_chien_dau/Vu_khi (id sam_48n6)</t>
        </is>
      </c>
      <c r="I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inlineStr">
        <is>
          <t>01_chien_dau/Vu_khi (id shahed)</t>
        </is>
      </c>
      <c r="I57" t="inlineStr"/>
    </row>
    <row r="58">
      <c r="A58" t="inlineStr">
        <is>
          <t>siege_mortar_240</t>
        </is>
      </c>
      <c r="B58" t="n">
        <v>450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inlineStr">
        <is>
          <t>01_chien_dau/Vu_khi (id siege_mortar_240)</t>
        </is>
      </c>
      <c r="I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inlineStr">
        <is>
          <t>01_chien_dau/Vu_khi (id stealth_payload)</t>
        </is>
      </c>
      <c r="I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inlineStr">
        <is>
          <t>01_chien_dau/Vu_khi (id stinger_post)</t>
        </is>
      </c>
      <c r="I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inlineStr">
        <is>
          <t>01_chien_dau/Vu_khi (id swarm_drones)</t>
        </is>
      </c>
      <c r="I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inlineStr">
        <is>
          <t>01_chien_dau/Vu_khi (id technical_rockets)</t>
        </is>
      </c>
      <c r="I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thermobaric_rockets)</t>
        </is>
      </c>
      <c r="I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inlineStr">
        <is>
          <t>01_chien_dau/Vu_khi (id twin_30_flak)</t>
        </is>
      </c>
      <c r="I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inlineStr">
        <is>
          <t>01_chien_dau/Vu_khi (id twin_35_ahead)</t>
        </is>
      </c>
      <c r="I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inlineStr">
        <is>
          <t>01_chien_dau/Vu_khi (id zu23)</t>
        </is>
      </c>
      <c r="I66" t="inlineStr"/>
    </row>
  </sheetData>
  <autoFilter ref="A1:I6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10.75</v>
      </c>
      <c r="C3" t="n">
        <v>600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0.5</v>
      </c>
      <c r="I8" t="n">
        <v>1.3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0.5</v>
      </c>
      <c r="I10" t="n">
        <v>1.3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</v>
      </c>
      <c r="I11" t="n">
        <v>0.3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11.8</v>
      </c>
      <c r="C12" t="n">
        <v>840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0.3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0.5</v>
      </c>
      <c r="I16" t="n">
        <v>1.3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</v>
      </c>
      <c r="I19" t="n">
        <v>0.3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4.5</v>
      </c>
      <c r="C21" t="n">
        <v>154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3</v>
      </c>
      <c r="C22" t="n">
        <v>160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3.908</v>
      </c>
      <c r="C23" t="n">
        <v>260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3.3333</v>
      </c>
      <c r="C24" t="n">
        <v>260</v>
      </c>
      <c r="D24" t="n">
        <v>10</v>
      </c>
      <c r="E24" t="b">
        <v>0</v>
      </c>
      <c r="F24" t="b">
        <v>1</v>
      </c>
      <c r="G24" t="b">
        <v>0</v>
      </c>
      <c r="H24" t="n">
        <v>1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3.7037</v>
      </c>
      <c r="C25" t="n">
        <v>258</v>
      </c>
      <c r="D25" t="n">
        <v>10</v>
      </c>
      <c r="E25" t="b">
        <v>0</v>
      </c>
      <c r="F25" t="b">
        <v>1</v>
      </c>
      <c r="G25" t="b">
        <v>0</v>
      </c>
      <c r="H25" t="n">
        <v>1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5.163</v>
      </c>
      <c r="C26" t="n">
        <v>480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5.098</v>
      </c>
      <c r="C27" t="n">
        <v>240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5</v>
      </c>
      <c r="C28" t="n">
        <v>260</v>
      </c>
      <c r="D28" t="n">
        <v>10</v>
      </c>
      <c r="E28" t="b">
        <v>0</v>
      </c>
      <c r="F28" t="b">
        <v>1</v>
      </c>
      <c r="G28" t="b">
        <v>1</v>
      </c>
      <c r="H28" t="n">
        <v>1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5.66</v>
      </c>
      <c r="C29" t="n">
        <v>260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4.537</v>
      </c>
      <c r="C30" t="n">
        <v>580</v>
      </c>
      <c r="D30" t="n">
        <v>10</v>
      </c>
      <c r="E30" t="b">
        <v>0</v>
      </c>
      <c r="F30" t="b">
        <v>1</v>
      </c>
      <c r="G30" t="b">
        <v>0</v>
      </c>
      <c r="H30" t="n">
        <v>1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5.714</v>
      </c>
      <c r="C31" t="n">
        <v>320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6.33</v>
      </c>
      <c r="C32" t="n">
        <v>336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2.743</v>
      </c>
      <c r="C34" t="n">
        <v>200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1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0</v>
      </c>
      <c r="F37" t="b">
        <v>1</v>
      </c>
      <c r="G37" t="b">
        <v>0</v>
      </c>
      <c r="H37" t="n">
        <v>1</v>
      </c>
      <c r="I37" t="n">
        <v>0.3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7.1429</v>
      </c>
      <c r="C42" t="n">
        <v>320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5</v>
      </c>
      <c r="C49" t="n">
        <v>150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3.6</v>
      </c>
      <c r="C50" t="n">
        <v>240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6.6667</v>
      </c>
      <c r="C53" t="n">
        <v>220</v>
      </c>
      <c r="D53" t="n">
        <v>10</v>
      </c>
      <c r="E53" t="b">
        <v>0</v>
      </c>
      <c r="F53" t="b">
        <v>1</v>
      </c>
      <c r="G53" t="b">
        <v>0</v>
      </c>
      <c r="H53" t="n">
        <v>1</v>
      </c>
      <c r="I53" t="n">
        <v>0.3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</v>
      </c>
      <c r="I54" t="n">
        <v>0.3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7.619</v>
      </c>
      <c r="C58" t="n">
        <v>450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0.5</v>
      </c>
      <c r="I60" t="n">
        <v>1.3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</v>
      </c>
      <c r="I61" t="n">
        <v>0.3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0.5</v>
      </c>
      <c r="I64" t="n">
        <v>1.3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0.5</v>
      </c>
      <c r="I65" t="n">
        <v>1.3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0.5</v>
      </c>
      <c r="I66" t="n">
        <v>1.3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42.34173339079547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42.34173339079547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42.34173339079547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42.34173339079547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53.08056872037915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53.08056872037915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45.93639575971731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45.93639575971731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66.53019447287615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66.53019447287615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75.81659082954147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75.81659082954147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34.22222222222222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34.22222222222222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53.80462926637898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53.80462926637898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21.47458840372227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21.47458840372227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65.94119999999999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65.94119999999999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32.99983500082499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32.99983500082499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67.63200000000001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67.63200000000001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66.66666666666667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66.66666666666667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71.1864406779661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71.1864406779661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53.69415807560138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53.69415807560138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110.5286183011302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110.5286183011302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66.9767441860465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66.9767441860465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91.00351003510035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91.00351003510035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187.8448313863787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187.8448313863787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117.8942475305055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117.8942475305055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81.27240327240328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81.27240327240328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*INDEX(xe_input_vu_khi_suy_ra!$H$2:$H$66,MATCH(Xe!$AE$2,xe_input_vu_khi_suy_ra!$A$2:$A$66,0)),0)</f>
        <v/>
      </c>
      <c r="E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$7,MIN(6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*INDEX(xe_input_vu_khi_suy_ra!$H$2:$H$66,MATCH(Xe!$AE$3,xe_input_vu_khi_suy_ra!$A$2:$A$66,0)),0)</f>
        <v/>
      </c>
      <c r="E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$7,MIN(6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*INDEX(xe_input_vu_khi_suy_ra!$H$2:$H$66,MATCH(Xe!$AE$5,xe_input_vu_khi_suy_ra!$A$2:$A$66,0)),0)</f>
        <v/>
      </c>
      <c r="E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$7,MIN(6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*INDEX(xe_input_vu_khi_suy_ra!$H$2:$H$66,MATCH(Xe!$AE$6,xe_input_vu_khi_suy_ra!$A$2:$A$66,0)),0)</f>
        <v/>
      </c>
      <c r="E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$7,MIN(6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*INDEX(xe_input_vu_khi_suy_ra!$H$2:$H$66,MATCH(Xe!$AE$7,xe_input_vu_khi_suy_ra!$A$2:$A$66,0)),0)</f>
        <v/>
      </c>
      <c r="E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$7,MIN(6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*INDEX(xe_input_vu_khi_suy_ra!$H$2:$H$66,MATCH(Xe!$AE$8,xe_input_vu_khi_suy_ra!$A$2:$A$66,0)),0)</f>
        <v/>
      </c>
      <c r="E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$7,MIN(6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*INDEX(xe_input_vu_khi_suy_ra!$H$2:$H$66,MATCH(Xe!$AE$9,xe_input_vu_khi_suy_ra!$A$2:$A$66,0)),0)</f>
        <v/>
      </c>
      <c r="E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$7,MIN(6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*INDEX(xe_input_vu_khi_suy_ra!$H$2:$H$66,MATCH(Xe!$AE$10,xe_input_vu_khi_suy_ra!$A$2:$A$66,0)),0)</f>
        <v/>
      </c>
      <c r="E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$7,MIN(6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*INDEX(xe_input_vu_khi_suy_ra!$H$2:$H$66,MATCH(Xe!$AE$28,xe_input_vu_khi_suy_ra!$A$2:$A$66,0)),0)</f>
        <v/>
      </c>
      <c r="E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$7,MIN(6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*INDEX(xe_input_vu_khi_suy_ra!$H$2:$H$66,MATCH(Xe!$AE$29,xe_input_vu_khi_suy_ra!$A$2:$A$66,0)),0)</f>
        <v/>
      </c>
      <c r="E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$7,MIN(6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*INDEX(xe_input_vu_khi_suy_ra!$H$2:$H$66,MATCH(Xe!$AE$30,xe_input_vu_khi_suy_ra!$A$2:$A$66,0)),0)</f>
        <v/>
      </c>
      <c r="E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$7,MIN(6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*INDEX(xe_input_vu_khi_suy_ra!$H$2:$H$66,MATCH(Xe!$AE$32,xe_input_vu_khi_suy_ra!$A$2:$A$66,0)),0)</f>
        <v/>
      </c>
      <c r="E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$7,MIN(6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*INDEX(xe_input_vu_khi_suy_ra!$H$2:$H$66,MATCH(Xe!$AE$33,xe_input_vu_khi_suy_ra!$A$2:$A$66,0)),0)</f>
        <v/>
      </c>
      <c r="E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$7,MIN(6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*INDEX(xe_input_vu_khi_suy_ra!$H$2:$H$66,MATCH(Xe!$AE$34,xe_input_vu_khi_suy_ra!$A$2:$A$66,0)),0)</f>
        <v/>
      </c>
      <c r="E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$7,MIN(6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*INDEX(xe_input_vu_khi_suy_ra!$H$2:$H$66,MATCH(Xe!$AE$35,xe_input_vu_khi_suy_ra!$A$2:$A$66,0)),0)</f>
        <v/>
      </c>
      <c r="E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$7,MIN(6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*INDEX(xe_input_vu_khi_suy_ra!$H$2:$H$66,MATCH(Xe!$AE$36,xe_input_vu_khi_suy_ra!$A$2:$A$66,0)),0)</f>
        <v/>
      </c>
      <c r="E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$7,MIN(6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*INDEX(xe_input_vu_khi_suy_ra!$H$2:$H$66,MATCH(Xe!$AE$38,xe_input_vu_khi_suy_ra!$A$2:$A$66,0)),0)</f>
        <v/>
      </c>
      <c r="E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$7,MIN(6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*INDEX(xe_input_vu_khi_suy_ra!$H$2:$H$66,MATCH(Xe!$AE$39,xe_input_vu_khi_suy_ra!$A$2:$A$66,0)),0)</f>
        <v/>
      </c>
      <c r="E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$7,MIN(6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*INDEX(xe_input_vu_khi_suy_ra!$H$2:$H$66,MATCH(Xe!$AE$41,xe_input_vu_khi_suy_ra!$A$2:$A$66,0)),0)</f>
        <v/>
      </c>
      <c r="E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$7,MIN(6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*INDEX(xe_input_vu_khi_suy_ra!$H$2:$H$66,MATCH(Xe!$AE$42,xe_input_vu_khi_suy_ra!$A$2:$A$66,0)),0)</f>
        <v/>
      </c>
      <c r="E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$7,MIN(6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*INDEX(xe_input_vu_khi_suy_ra!$H$2:$H$66,MATCH(Xe!$AE$43,xe_input_vu_khi_suy_ra!$A$2:$A$66,0)),0)</f>
        <v/>
      </c>
      <c r="E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$7,MIN(6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*INDEX(xe_input_vu_khi_suy_ra!$H$2:$H$66,MATCH(Xe!$AE$44,xe_input_vu_khi_suy_ra!$A$2:$A$66,0)),0)</f>
        <v/>
      </c>
      <c r="E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$7,MIN(6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*INDEX(xe_input_vu_khi_suy_ra!$H$2:$H$66,MATCH(Xe!$AE$48,xe_input_vu_khi_suy_ra!$A$2:$A$66,0)),0)</f>
        <v/>
      </c>
      <c r="E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$7,MIN(6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*INDEX(xe_input_vu_khi_suy_ra!$H$2:$H$66,MATCH(Xe!$AE$49,xe_input_vu_khi_suy_ra!$A$2:$A$66,0)),0)</f>
        <v/>
      </c>
      <c r="E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$7,MIN(6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*INDEX(xe_input_vu_khi_suy_ra!$H$2:$H$66,MATCH(Xe!$AE$50,xe_input_vu_khi_suy_ra!$A$2:$A$66,0)),0)</f>
        <v/>
      </c>
      <c r="E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$7,MIN(6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*INDEX(xe_input_vu_khi_suy_ra!$H$2:$H$66,MATCH(Xe!$AE$51,xe_input_vu_khi_suy_ra!$A$2:$A$66,0)),0)</f>
        <v/>
      </c>
      <c r="E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$7,MIN(6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*INDEX(xe_input_vu_khi_suy_ra!$H$2:$H$66,MATCH(Xe!$AE$52,xe_input_vu_khi_suy_ra!$A$2:$A$66,0)),0)</f>
        <v/>
      </c>
      <c r="E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$7,MIN(6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*INDEX(xe_input_vu_khi_suy_ra!$H$2:$H$66,MATCH(Xe!$AE$53,xe_input_vu_khi_suy_ra!$A$2:$A$66,0)),0)</f>
        <v/>
      </c>
      <c r="E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$7,MIN(6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*INDEX(xe_input_vu_khi_suy_ra!$H$2:$H$66,MATCH(Xe!$AE$54,xe_input_vu_khi_suy_ra!$A$2:$A$66,0)),0)</f>
        <v/>
      </c>
      <c r="E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$7,MIN(6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*INDEX(xe_input_vu_khi_suy_ra!$H$2:$H$66,MATCH(Xe!$AE$55,xe_input_vu_khi_suy_ra!$A$2:$A$66,0)),0)</f>
        <v/>
      </c>
      <c r="E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$7,MIN(6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*INDEX(xe_input_vu_khi_suy_ra!$H$2:$H$66,MATCH(Xe!$AE$56,xe_input_vu_khi_suy_ra!$A$2:$A$66,0)),0)</f>
        <v/>
      </c>
      <c r="E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$7,MIN(6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*INDEX(xe_input_vu_khi_suy_ra!$H$2:$H$66,MATCH(Xe!$AE$57,xe_input_vu_khi_suy_ra!$A$2:$A$66,0)),0)</f>
        <v/>
      </c>
      <c r="E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$7,MIN(6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*INDEX(xe_input_vu_khi_suy_ra!$H$2:$H$66,MATCH(Xe!$AE$58,xe_input_vu_khi_suy_ra!$A$2:$A$66,0)),0)</f>
        <v/>
      </c>
      <c r="E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$7,MIN(6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*INDEX(xe_input_vu_khi_suy_ra!$H$2:$H$66,MATCH(Xe!$AE$59,xe_input_vu_khi_suy_ra!$A$2:$A$66,0)),0)</f>
        <v/>
      </c>
      <c r="E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$7,MIN(6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*INDEX(xe_input_vu_khi_suy_ra!$H$2:$H$66,MATCH(Xe!$AE$62,xe_input_vu_khi_suy_ra!$A$2:$A$66,0)),0)</f>
        <v/>
      </c>
      <c r="E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$7,MIN(6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*INDEX(xe_input_vu_khi_suy_ra!$H$2:$H$66,MATCH(Xe!$AE$64,xe_input_vu_khi_suy_ra!$A$2:$A$66,0)),0)</f>
        <v/>
      </c>
      <c r="E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$7,MIN(6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*INDEX(xe_input_vu_khi_suy_ra!$H$2:$H$66,MATCH(Xe!$AE$65,xe_input_vu_khi_suy_ra!$A$2:$A$66,0)),0)</f>
        <v/>
      </c>
      <c r="E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$7,MIN(6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*INDEX(xe_input_vu_khi_suy_ra!$H$2:$H$66,MATCH(Xe!$AE$66,xe_input_vu_khi_suy_ra!$A$2:$A$66,0)),0)</f>
        <v/>
      </c>
      <c r="E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$7,MIN(6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*INDEX(xe_input_vu_khi_suy_ra!$H$2:$H$66,MATCH(Xe!$AE$67,xe_input_vu_khi_suy_ra!$A$2:$A$66,0)),0)</f>
        <v/>
      </c>
      <c r="E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$7,MIN(6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*INDEX(xe_input_vu_khi_suy_ra!$H$2:$H$66,MATCH(Xe!$AE$68,xe_input_vu_khi_suy_ra!$A$2:$A$66,0)),0)</f>
        <v/>
      </c>
      <c r="E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$7,MIN(6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*INDEX(xe_input_vu_khi_suy_ra!$H$2:$H$66,MATCH(Xe!$AE$69,xe_input_vu_khi_suy_ra!$A$2:$A$66,0)),0)</f>
        <v/>
      </c>
      <c r="E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$7,MIN(6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*INDEX(xe_input_vu_khi_suy_ra!$H$2:$H$66,MATCH(Xe!$AE$70,xe_input_vu_khi_suy_ra!$A$2:$A$66,0)),0)</f>
        <v/>
      </c>
      <c r="E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$7,MIN(6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*INDEX(xe_input_vu_khi_suy_ra!$H$2:$H$66,MATCH(Xe!$AE$72,xe_input_vu_khi_suy_ra!$A$2:$A$66,0)),0)</f>
        <v/>
      </c>
      <c r="E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$7,MIN(6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*INDEX(xe_input_vu_khi_suy_ra!$H$2:$H$66,MATCH(Xe!$AE$73,xe_input_vu_khi_suy_ra!$A$2:$A$66,0)),0)</f>
        <v/>
      </c>
      <c r="E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$7,MIN(6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*INDEX(xe_input_vu_khi_suy_ra!$H$2:$H$66,MATCH(Xe!$AE$74,xe_input_vu_khi_suy_ra!$A$2:$A$66,0)),0)</f>
        <v/>
      </c>
      <c r="E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$7,MIN(6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*INDEX(xe_input_vu_khi_suy_ra!$H$2:$H$66,MATCH(Xe!$AE$75,xe_input_vu_khi_suy_ra!$A$2:$A$66,0)),0)</f>
        <v/>
      </c>
      <c r="E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$7,MIN(6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*INDEX(xe_input_vu_khi_suy_ra!$H$2:$H$66,MATCH(Xe!$AE$76,xe_input_vu_khi_suy_ra!$A$2:$A$66,0)),0)</f>
        <v/>
      </c>
      <c r="E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$7,MIN(6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*INDEX(xe_input_vu_khi_suy_ra!$H$2:$H$66,MATCH(Xe!$AE$77,xe_input_vu_khi_suy_ra!$A$2:$A$66,0)),0)</f>
        <v/>
      </c>
      <c r="E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$7,MIN(6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*INDEX(xe_input_vu_khi_suy_ra!$H$2:$H$66,MATCH(Xe!$AE$79,xe_input_vu_khi_suy_ra!$A$2:$A$66,0)),0)</f>
        <v/>
      </c>
      <c r="E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$7,MIN(6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*INDEX(xe_input_vu_khi_suy_ra!$H$2:$H$66,MATCH(Xe!$AE$80,xe_input_vu_khi_suy_ra!$A$2:$A$66,0)),0)</f>
        <v/>
      </c>
      <c r="E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$7,MIN(6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$2))+1)))*INDEX(xe_input_vu_khi_suy_ra!$I$2:$I$66,MATCH("stinger_post",xe_input_vu_khi_suy_ra!$A$2:$A$66,0)),0)</f>
        <v/>
      </c>
      <c r="E2" t="n">
        <v>221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$2))+1)))*INDEX(xe_input_vu_khi_suy_ra!$I$2:$I$66,MATCH("buk_launcher",xe_input_vu_khi_suy_ra!$A$2:$A$66,0)),0)</f>
        <v/>
      </c>
      <c r="H2" t="n">
        <v>416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$2))+1)))*INDEX(xe_input_vu_khi_suy_ra!$I$2:$I$66,MATCH("air_to_air",xe_input_vu_khi_suy_ra!$A$2:$A$66,0)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$3))+1)))*INDEX(xe_input_vu_khi_suy_ra!$I$2:$I$66,MATCH("stinger_post",xe_input_vu_khi_suy_ra!$A$2:$A$66,0)),0)</f>
        <v/>
      </c>
      <c r="E3" t="n">
        <v>187.85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$3))+1)))*INDEX(xe_input_vu_khi_suy_ra!$I$2:$I$66,MATCH("buk_launcher",xe_input_vu_khi_suy_ra!$A$2:$A$66,0)),0)</f>
        <v/>
      </c>
      <c r="H3" t="n">
        <v>416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$3))+1)))*INDEX(xe_input_vu_khi_suy_ra!$I$2:$I$66,MATCH("air_to_air",xe_input_vu_khi_suy_ra!$A$2:$A$66,0)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$4))+1)))*INDEX(xe_input_vu_khi_suy_ra!$I$2:$I$66,MATCH("stinger_post",xe_input_vu_khi_suy_ra!$A$2:$A$66,0)),0)</f>
        <v/>
      </c>
      <c r="E4" t="n">
        <v>221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$4))+1)))*INDEX(xe_input_vu_khi_suy_ra!$I$2:$I$66,MATCH("buk_launcher",xe_input_vu_khi_suy_ra!$A$2:$A$66,0)),0)</f>
        <v/>
      </c>
      <c r="H4" t="n">
        <v>416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$4))+1)))*INDEX(xe_input_vu_khi_suy_ra!$I$2:$I$66,MATCH("air_to_air",xe_input_vu_khi_suy_ra!$A$2:$A$66,0)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$5))+1)))*INDEX(xe_input_vu_khi_suy_ra!$I$2:$I$66,MATCH("stinger_post",xe_input_vu_khi_suy_ra!$A$2:$A$66,0)),0)</f>
        <v/>
      </c>
      <c r="E5" t="n">
        <v>221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$5))+1)))*INDEX(xe_input_vu_khi_suy_ra!$I$2:$I$66,MATCH("buk_launcher",xe_input_vu_khi_suy_ra!$A$2:$A$66,0)),0)</f>
        <v/>
      </c>
      <c r="H5" t="n">
        <v>416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$5))+1)))*INDEX(xe_input_vu_khi_suy_ra!$I$2:$I$66,MATCH("air_to_air",xe_input_vu_khi_suy_ra!$A$2:$A$66,0)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$6))+1)))*INDEX(xe_input_vu_khi_suy_ra!$I$2:$I$66,MATCH("stinger_post",xe_input_vu_khi_suy_ra!$A$2:$A$66,0)),0)</f>
        <v/>
      </c>
      <c r="E6" t="n">
        <v>221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$6))+1)))*INDEX(xe_input_vu_khi_suy_ra!$I$2:$I$66,MATCH("buk_launcher",xe_input_vu_khi_suy_ra!$A$2:$A$66,0)),0)</f>
        <v/>
      </c>
      <c r="H6" t="n">
        <v>416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$6))+1)))*INDEX(xe_input_vu_khi_suy_ra!$I$2:$I$66,MATCH("air_to_air",xe_input_vu_khi_suy_ra!$A$2:$A$66,0)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$7))+1)))*INDEX(xe_input_vu_khi_suy_ra!$I$2:$I$66,MATCH("stinger_post",xe_input_vu_khi_suy_ra!$A$2:$A$66,0)),0)</f>
        <v/>
      </c>
      <c r="E7" t="n">
        <v>221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$7))+1)))*INDEX(xe_input_vu_khi_suy_ra!$I$2:$I$66,MATCH("buk_launcher",xe_input_vu_khi_suy_ra!$A$2:$A$66,0)),0)</f>
        <v/>
      </c>
      <c r="H7" t="n">
        <v>416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$7))+1)))*INDEX(xe_input_vu_khi_suy_ra!$I$2:$I$66,MATCH("air_to_air",xe_input_vu_khi_suy_ra!$A$2:$A$66,0)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$8))+1)))*INDEX(xe_input_vu_khi_suy_ra!$I$2:$I$66,MATCH("stinger_post",xe_input_vu_khi_suy_ra!$A$2:$A$66,0)),0)</f>
        <v/>
      </c>
      <c r="E8" t="n">
        <v>221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$8))+1)))*INDEX(xe_input_vu_khi_suy_ra!$I$2:$I$66,MATCH("buk_launcher",xe_input_vu_khi_suy_ra!$A$2:$A$66,0)),0)</f>
        <v/>
      </c>
      <c r="H8" t="n">
        <v>416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$8))+1)))*INDEX(xe_input_vu_khi_suy_ra!$I$2:$I$66,MATCH("air_to_air",xe_input_vu_khi_suy_ra!$A$2:$A$66,0)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$9))+1)))*INDEX(xe_input_vu_khi_suy_ra!$I$2:$I$66,MATCH("stinger_post",xe_input_vu_khi_suy_ra!$A$2:$A$66,0)),0)</f>
        <v/>
      </c>
      <c r="E9" t="n">
        <v>221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$9))+1)))*INDEX(xe_input_vu_khi_suy_ra!$I$2:$I$66,MATCH("buk_launcher",xe_input_vu_khi_suy_ra!$A$2:$A$66,0)),0)</f>
        <v/>
      </c>
      <c r="H9" t="n">
        <v>416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$9))+1)))*INDEX(xe_input_vu_khi_suy_ra!$I$2:$I$66,MATCH("air_to_air",xe_input_vu_khi_suy_ra!$A$2:$A$66,0)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221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416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$10))+1)))*INDEX(xe_input_vu_khi_suy_ra!$I$2:$I$66,MATCH("air_to_air",xe_input_vu_khi_suy_ra!$A$2:$A$66,0)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221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416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$11))+1)))*INDEX(xe_input_vu_khi_suy_ra!$I$2:$I$66,MATCH("air_to_air",xe_input_vu_khi_suy_ra!$A$2:$A$66,0)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221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416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$12))+1)))*INDEX(xe_input_vu_khi_suy_ra!$I$2:$I$66,MATCH("air_to_air",xe_input_vu_khi_suy_ra!$A$2:$A$66,0)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221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416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$13))+1)))*INDEX(xe_input_vu_khi_suy_ra!$I$2:$I$66,MATCH("air_to_air",xe_input_vu_khi_suy_ra!$A$2:$A$66,0)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221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416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$14))+1)))*INDEX(xe_input_vu_khi_suy_ra!$I$2:$I$66,MATCH("air_to_air",xe_input_vu_khi_suy_ra!$A$2:$A$66,0)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221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416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$15))+1)))*INDEX(xe_input_vu_khi_suy_ra!$I$2:$I$66,MATCH("air_to_air",xe_input_vu_khi_suy_ra!$A$2:$A$66,0)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landing_craft</t>
        </is>
      </c>
      <c r="B54" t="inlineStr">
        <is>
          <t>landing_craft</t>
        </is>
      </c>
      <c r="C54" t="inlineStr">
        <is>
          <t>Tàu đổ bộ</t>
        </is>
      </c>
      <c r="D54" t="inlineStr">
        <is>
          <t>doi_that</t>
        </is>
      </c>
      <c r="E54" t="inlineStr">
        <is>
          <t>LCM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Xuồng đổ bộ có cửa mũi, chở hai xe tăng</t>
        </is>
      </c>
      <c r="L54" t="inlineStr"/>
      <c r="M54" t="inlineStr"/>
      <c r="N54" t="inlineStr"/>
      <c r="O54" t="inlineStr">
        <is>
          <t>da_kiem_chung</t>
        </is>
      </c>
      <c r="P54" t="inlineStr">
        <is>
          <t>R_unit_refs;R_reference_real;W_wikipedia_lcm_8;R_landing_craft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>
        <f>INDEX(xe_input_kich_thuoc_that!$B$2:$B$66,MATCH($B$54,xe_input_kich_thuoc_that!$A$2:$A$66,0))</f>
        <v/>
      </c>
      <c r="T54">
        <f>INDEX(xe_input_kich_thuoc_that!$C$2:$C$66,MATCH($B$54,xe_input_kich_thuoc_that!$A$2:$A$66,0))</f>
        <v/>
      </c>
      <c r="U54" t="inlineStr">
        <is>
          <t>NEED_SOURCE</t>
        </is>
      </c>
      <c r="V54" t="inlineStr">
        <is>
          <t>LCM-8</t>
        </is>
      </c>
      <c r="W54" t="inlineStr">
        <is>
          <t>high</t>
        </is>
      </c>
      <c r="Y54" t="inlineStr">
        <is>
          <t>Xuồng đổ bộ có cửa mũi, chở hai xe tăng</t>
        </is>
      </c>
      <c r="Z54" t="inlineStr"/>
      <c r="AA54" t="inlineStr"/>
      <c r="AB54" t="inlineStr"/>
      <c r="AC54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landing_craft; Tools/models/reference_real.json: units.landing_craft</t>
        </is>
      </c>
      <c r="AK54" t="inlineStr"/>
    </row>
    <row r="55">
      <c r="A55" t="inlineStr">
        <is>
          <t>laser_tank</t>
        </is>
      </c>
      <c r="B55" t="inlineStr">
        <is>
          <t>laser_tank</t>
        </is>
      </c>
      <c r="C55" t="inlineStr">
        <is>
          <t>Xe la-de diệt tăng</t>
        </is>
      </c>
      <c r="D55" t="inlineStr">
        <is>
          <t>doi_that</t>
        </is>
      </c>
      <c r="E55" t="inlineStr">
        <is>
          <t>Rheinmetall HEL;DE M-SHORAD (laser trên Stryker)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Pháo chống tăng laser: đầu phát tia trên giá chạc</t>
        </is>
      </c>
      <c r="L55" t="inlineStr"/>
      <c r="M55" t="inlineStr">
        <is>
          <t>gia_tuong</t>
        </is>
      </c>
      <c r="N55" t="inlineStr"/>
      <c r="O55" t="inlineStr">
        <is>
          <t>ban_dau_doan</t>
        </is>
      </c>
      <c r="P55" t="inlineStr">
        <is>
          <t>R_unit_refs;R_reference_real;R_machine_brigade_can_bang;R_laser_tank</t>
        </is>
      </c>
      <c r="Q55" t="inlineStr">
        <is>
          <t>reference_real.json: fictional (mẫu 'beam director on a tracked chassis', thiết kế giả tưởng)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V55" t="inlineStr">
        <is>
          <t>beam director on a tracked chassis</t>
        </is>
      </c>
      <c r="W55" t="inlineStr">
        <is>
          <t>inspiration</t>
        </is>
      </c>
      <c r="Y55" t="inlineStr">
        <is>
          <t>Pháo chống tăng laser: đầu phát tia trên giá chạc</t>
        </is>
      </c>
      <c r="Z55" t="inlineStr">
        <is>
          <t>Rheinmetall HEL, DE M-SHORAD (laser trên Stryker) — Pháo chống tăng laser: đầu phát tia trên giá chạc</t>
        </is>
      </c>
      <c r="AA55" t="inlineStr">
        <is>
          <t>Rheinmetall HEL</t>
        </is>
      </c>
      <c r="AB55" t="inlineStr"/>
      <c r="AC55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laser_tank; Tools/models/reference_real.json: units.laser_tank</t>
        </is>
      </c>
      <c r="AK55" t="inlineStr"/>
    </row>
    <row r="56">
      <c r="A56" t="inlineStr">
        <is>
          <t>leviathan_cruise_mark</t>
        </is>
      </c>
      <c r="B56" t="inlineStr">
        <is>
          <t>leviathan_cruise_mark</t>
        </is>
      </c>
      <c r="C56" t="inlineStr">
        <is>
          <t>Tên lửa hành trình Leviathan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/>
      <c r="T56" t="inlineStr"/>
      <c r="U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>
        <is>
          <t>Tools/docs/unit_refs.json: leviathan_cruise_mark; Tools/models/reference_real.json: units.leviathan_cruise_mark</t>
        </is>
      </c>
      <c r="AK56" t="inlineStr"/>
    </row>
    <row r="57">
      <c r="A57" t="inlineStr">
        <is>
          <t>leviathan_shell</t>
        </is>
      </c>
      <c r="B57" t="inlineStr">
        <is>
          <t>leviathan_shell</t>
        </is>
      </c>
      <c r="C57" t="inlineStr">
        <is>
          <t>Đạn pháo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leviathan_shell; Tools/models/reference_real.json: units.leviathan_shell</t>
        </is>
      </c>
      <c r="AK57" t="inlineStr"/>
    </row>
    <row r="58">
      <c r="A58" t="inlineStr">
        <is>
          <t>light_tank</t>
        </is>
      </c>
      <c r="B58" t="inlineStr">
        <is>
          <t>light_tank</t>
        </is>
      </c>
      <c r="C58" t="inlineStr">
        <is>
          <t>Tăng nhẹ lội nước</t>
        </is>
      </c>
      <c r="D58" t="inlineStr">
        <is>
          <t>doi_that</t>
        </is>
      </c>
      <c r="E58" t="inlineStr">
        <is>
          <t>PT-76;ZBD-05;AU-220M 57 mm (mô-đun không người lái)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Xe tăng nhẹ lội nước, mô-đun 57 mm đặt lệch về trước</t>
        </is>
      </c>
      <c r="L58" t="inlineStr"/>
      <c r="M58" t="inlineStr"/>
      <c r="N58" t="inlineStr"/>
      <c r="O58" t="inlineStr">
        <is>
          <t>da_kiem_chung</t>
        </is>
      </c>
      <c r="P58" t="inlineStr">
        <is>
          <t>R_unit_refs;R_reference_real;W_wikipedia_pt_76;R_unit_sheet;R_machine_brigade_can_bang;R_light_tank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>
        <f>INDEX(xe_input_kich_thuoc_that!$B$2:$B$66,MATCH($B$58,xe_input_kich_thuoc_that!$A$2:$A$66,0))</f>
        <v/>
      </c>
      <c r="T58">
        <f>INDEX(xe_input_kich_thuoc_that!$C$2:$C$66,MATCH($B$58,xe_input_kich_thuoc_that!$A$2:$A$66,0))</f>
        <v/>
      </c>
      <c r="U58">
        <f>INDEX(xe_input_kich_thuoc_that!$D$2:$D$66,MATCH($B$58,xe_input_kich_thuoc_that!$A$2:$A$66,0))</f>
        <v/>
      </c>
      <c r="V58" t="inlineStr">
        <is>
          <t>PT-76</t>
        </is>
      </c>
      <c r="W58" t="inlineStr">
        <is>
          <t>high</t>
        </is>
      </c>
      <c r="X58" t="inlineStr">
        <is>
          <t>0,8 × PT-76 / ZBD-05</t>
        </is>
      </c>
      <c r="Y58" t="inlineStr">
        <is>
          <t>Xe tăng nhẹ lội nước, mô-đun 57 mm đặt lệch về trước</t>
        </is>
      </c>
      <c r="Z58" t="inlineStr">
        <is>
          <t>PT-76, ZBD-05, AU-220M 57 mm (mô-đun không người lái) — Xe tăng nhẹ lội nước, mô-đun 57 mm đặt lệch về trước</t>
        </is>
      </c>
      <c r="AA58" t="inlineStr">
        <is>
          <t>AU-220M: 120 phát/phút | PT-76, ZBD-05</t>
        </is>
      </c>
      <c r="AB58" t="inlineStr"/>
      <c r="AC58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light_tank; Tools/models/reference_real.json: units.light_tank</t>
        </is>
      </c>
      <c r="AK58" t="inlineStr"/>
    </row>
    <row r="59">
      <c r="A59" t="inlineStr">
        <is>
          <t>long_sam</t>
        </is>
      </c>
      <c r="B59" t="inlineStr">
        <is>
          <t>long_sam</t>
        </is>
      </c>
      <c r="C59" t="inlineStr">
        <is>
          <t>Xe tên lửa phòng không tầm xa</t>
        </is>
      </c>
      <c r="D59" t="inlineStr">
        <is>
          <t>doi_that</t>
        </is>
      </c>
      <c r="E59" t="inlineStr">
        <is>
          <t>S-300PMU (5P85);S-400 (48N6);khung MAZ-543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Bệ phóng tên lửa phòng không tầm xa, dựng đứng ống phóng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R_unit_refs;R_reference_real;R_unit_sheet;R_machine_brigade_can_bang;R_long_sam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S-400 5P85SM2 TEL</t>
        </is>
      </c>
      <c r="W59" t="inlineStr">
        <is>
          <t>none</t>
        </is>
      </c>
      <c r="X59" t="inlineStr">
        <is>
          <t>0,8 × S-400 5P85 (MAZ-543</t>
        </is>
      </c>
      <c r="Y59" t="inlineStr">
        <is>
          <t>Bệ phóng tên lửa phòng không tầm xa, dựng đứng ống phóng</t>
        </is>
      </c>
      <c r="Z59" t="inlineStr">
        <is>
          <t>S-300PMU (5P85), S-400 (48N6), khung MAZ-543 — Bệ phóng tên lửa phòng không tầm xa, dựng đứng ống phóng</t>
        </is>
      </c>
      <c r="AA59" t="inlineStr">
        <is>
          <t>S-400: ~500 triệu USD một tiểu đoàn | 48N6: Mach 6</t>
        </is>
      </c>
      <c r="AB59" t="inlineStr"/>
      <c r="AC59" t="inlineStr">
        <is>
          <t>Tools/blender/specs/long_sam.json: real = S-300PMU 5P85S launcher (unit_refs: 5P85, 48N6); MAZ-543 8x8 chassis; confidence = xấp xỉ (5P85S photographs; the def's modelSize)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long_sam; Tools/models/reference_real.json: units.long_sam</t>
        </is>
      </c>
      <c r="AK59" t="inlineStr"/>
    </row>
    <row r="60">
      <c r="A60" t="inlineStr">
        <is>
          <t>main_battle_tank</t>
        </is>
      </c>
      <c r="B60" t="inlineStr">
        <is>
          <t>main_battle_tank</t>
        </is>
      </c>
      <c r="C60" t="inlineStr">
        <is>
          <t>Tăng chủ lực</t>
        </is>
      </c>
      <c r="D60" t="inlineStr">
        <is>
          <t>doi_that</t>
        </is>
      </c>
      <c r="E60" t="inlineStr">
        <is>
          <t>Leopard 2A4 (Rh-120 L/44);M1A1 Abrams (M256 120 mm)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Xe tăng chủ lực pháo nòng trơn 120 mm, giáp phản ứng nổ</t>
        </is>
      </c>
      <c r="L60" t="inlineStr"/>
      <c r="M60" t="inlineStr"/>
      <c r="N60" t="inlineStr"/>
      <c r="O60" t="inlineStr">
        <is>
          <t>da_kiem_chung</t>
        </is>
      </c>
      <c r="P60" t="inlineStr">
        <is>
          <t>R_unit_refs;R_reference_real;W_wikipedia_leopard_2;R_unit_sheet;R_machine_brigade_can_bang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>
        <f>INDEX(xe_input_kich_thuoc_that!$B$2:$B$66,MATCH($B$60,xe_input_kich_thuoc_that!$A$2:$A$66,0))</f>
        <v/>
      </c>
      <c r="T60">
        <f>INDEX(xe_input_kich_thuoc_that!$C$2:$C$66,MATCH($B$60,xe_input_kich_thuoc_that!$A$2:$A$66,0))</f>
        <v/>
      </c>
      <c r="U60">
        <f>INDEX(xe_input_kich_thuoc_that!$D$2:$D$66,MATCH($B$60,xe_input_kich_thuoc_that!$A$2:$A$66,0))</f>
        <v/>
      </c>
      <c r="V60" t="inlineStr">
        <is>
          <t>Leopard 2A4</t>
        </is>
      </c>
      <c r="W60" t="inlineStr">
        <is>
          <t>high</t>
        </is>
      </c>
      <c r="X60" t="inlineStr">
        <is>
          <t>0,8 × Leopard 2A4 / M1A1</t>
        </is>
      </c>
      <c r="Y60" t="inlineStr">
        <is>
          <t>Xe tăng chủ lực pháo nòng trơn 120 mm, giáp phản ứng nổ</t>
        </is>
      </c>
      <c r="Z60" t="inlineStr">
        <is>
          <t>Leopard 2A4 (Rh-120 L/44), M1A1 Abrams (M256 120 mm) — Xe tăng chủ lực pháo nòng trơn 120 mm, giáp phản ứng nổ</t>
        </is>
      </c>
      <c r="AA60" t="inlineStr"/>
      <c r="AB60" t="inlineStr"/>
      <c r="AC60" t="inlineStr"/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main_battle_tank; Tools/models/reference_real.json: units.main_battle_tank</t>
        </is>
      </c>
      <c r="AK60" t="inlineStr"/>
    </row>
    <row r="61">
      <c r="A61" t="inlineStr">
        <is>
          <t>mara_behemoth</t>
        </is>
      </c>
      <c r="B61" t="inlineStr">
        <is>
          <t>mara_behemoth</t>
        </is>
      </c>
      <c r="C61" t="inlineStr">
        <is>
          <t>{@mai}'s Behemoth · Behemoth đồng minh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Z61" t="inlineStr"/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mara_behemoth; Tools/models/reference_real.json: units.mara_behemoth</t>
        </is>
      </c>
      <c r="AK61" t="inlineStr"/>
    </row>
    <row r="62">
      <c r="A62" t="inlineStr">
        <is>
          <t>mine_layer</t>
        </is>
      </c>
      <c r="B62" t="inlineStr">
        <is>
          <t>mine_layer</t>
        </is>
      </c>
      <c r="C62" t="inlineStr">
        <is>
          <t>Xe rải mìn</t>
        </is>
      </c>
      <c r="D62" t="inlineStr">
        <is>
          <t>doi_that</t>
        </is>
      </c>
      <c r="E62" t="inlineStr">
        <is>
          <t>GMZ-3;MT-LB</t>
        </is>
      </c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>
        <is>
          <t>Xe rải mìn bánh xích, máng thả mìn phía sau</t>
        </is>
      </c>
      <c r="L62" t="inlineStr"/>
      <c r="M62" t="inlineStr"/>
      <c r="N62" t="inlineStr"/>
      <c r="O62" t="inlineStr">
        <is>
          <t>ban_dau_doan</t>
        </is>
      </c>
      <c r="P62" t="inlineStr">
        <is>
          <t>R_unit_refs;R_reference_real;R_unit_sheet;R_machine_brigade_can_bang;R_mine_layer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GMZ-3</t>
        </is>
      </c>
      <c r="W62" t="inlineStr">
        <is>
          <t>none</t>
        </is>
      </c>
      <c r="X62" t="inlineStr">
        <is>
          <t>0,8 × GMZ-3</t>
        </is>
      </c>
      <c r="Y62" t="inlineStr">
        <is>
          <t>Xe rải mìn bánh xích, máng thả mìn phía sau</t>
        </is>
      </c>
      <c r="Z62" t="inlineStr">
        <is>
          <t>GMZ-3, MT-LB — Xe rải mìn bánh xích, máng thả mìn phía sau</t>
        </is>
      </c>
      <c r="AA62" t="inlineStr"/>
      <c r="AB62" t="inlineStr"/>
      <c r="AC62" t="inlineStr">
        <is>
          <t>Tools/blender/specs/mine_layer.json: real = GMZ-3 tracked minelayer; PKT 7.62 mm (commander's cupola; the def's hmg_selfdef_15); confidence = xấp xỉ (GMZ-3 published photographs)</t>
        </is>
      </c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mine_layer; Tools/models/reference_real.json: units.mine_layer</t>
        </is>
      </c>
      <c r="AK62" t="inlineStr"/>
    </row>
    <row r="63">
      <c r="A63" t="inlineStr">
        <is>
          <t>missile_boat</t>
        </is>
      </c>
      <c r="B63" t="inlineStr">
        <is>
          <t>missile_boat</t>
        </is>
      </c>
      <c r="C63" t="inlineStr">
        <is>
          <t>Xuồng tên lửa cao tốc</t>
        </is>
      </c>
      <c r="D63" t="inlineStr">
        <is>
          <t>doi_that</t>
        </is>
      </c>
      <c r="E63" t="inlineStr">
        <is>
          <t>tàu tấn công nhanh vỏ lướt 14 m;S-8 80 mm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Tàu tên lửa nhanh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R_unit_refs;R_missile_boat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Y63" t="inlineStr">
        <is>
          <t>Tàu tên lửa nhanh</t>
        </is>
      </c>
      <c r="Z63" t="inlineStr"/>
      <c r="AA63" t="inlineStr"/>
      <c r="AB63" t="inlineStr"/>
      <c r="AC63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missile_boat; Tools/models/reference_real.json: units.missile_boat</t>
        </is>
      </c>
      <c r="AK63" t="inlineStr"/>
    </row>
    <row r="64">
      <c r="A64" t="inlineStr">
        <is>
          <t>mlrs</t>
        </is>
      </c>
      <c r="B64" t="inlineStr">
        <is>
          <t>mlrs</t>
        </is>
      </c>
      <c r="C64" t="inlineStr">
        <is>
          <t>Pháo phản lực dẫn đường</t>
        </is>
      </c>
      <c r="D64" t="inlineStr">
        <is>
          <t>doi_that</t>
        </is>
      </c>
      <c r="E64" t="inlineStr">
        <is>
          <t>M142 HIMARS;M270 MLRS;M31 GMLRS 227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phóng rốc-két, nâng khối ống lên để bắn</t>
        </is>
      </c>
      <c r="L64" t="inlineStr"/>
      <c r="M64" t="inlineStr"/>
      <c r="N64" t="inlineStr"/>
      <c r="O64" t="inlineStr">
        <is>
          <t>da_kiem_chung</t>
        </is>
      </c>
      <c r="P64" t="inlineStr">
        <is>
          <t>R_unit_refs;R_reference_real;W_wikipedia_m142_himars;R_unit_sheet;R_machine_brigade_can_bang;R_mlrs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>
        <f>INDEX(xe_input_kich_thuoc_that!$B$2:$B$66,MATCH($B$64,xe_input_kich_thuoc_that!$A$2:$A$66,0))</f>
        <v/>
      </c>
      <c r="T64">
        <f>INDEX(xe_input_kich_thuoc_that!$C$2:$C$66,MATCH($B$64,xe_input_kich_thuoc_that!$A$2:$A$66,0))</f>
        <v/>
      </c>
      <c r="U64">
        <f>INDEX(xe_input_kich_thuoc_that!$D$2:$D$66,MATCH($B$64,xe_input_kich_thuoc_that!$A$2:$A$66,0))</f>
        <v/>
      </c>
      <c r="V64" t="inlineStr">
        <is>
          <t>M142 HIMARS</t>
        </is>
      </c>
      <c r="W64" t="inlineStr">
        <is>
          <t>high</t>
        </is>
      </c>
      <c r="X64" t="inlineStr">
        <is>
          <t>0,8 × M142 HIMARS</t>
        </is>
      </c>
      <c r="Y64" t="inlineStr">
        <is>
          <t>Xe phóng rốc-két, nâng khối ống lên để bắn</t>
        </is>
      </c>
      <c r="Z64" t="inlineStr">
        <is>
          <t>M142 HIMARS, M270 MLRS, M31 GMLRS 227 mm — Xe phóng rốc-két, nâng khối ống lên để bắn</t>
        </is>
      </c>
      <c r="AA64" t="inlineStr">
        <is>
          <t>HIMARS | HIMARS ~5 triệu USD mỗi bệ, rốc-két ~160 nghìn USD/quả</t>
        </is>
      </c>
      <c r="AB64" t="inlineStr"/>
      <c r="AC64" t="inlineStr">
        <is>
          <t>Tools/blender/specs/mlrs.json: real = M142 HIMARS (0.8 x); M31 GMLRS 227 mm; M2 Browning 12.7 mm; confidence = tham_khao_thuc (M142 layout: FMTV 6x6, LSAC cab, one six-round pod)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mlrs; Tools/models/reference_real.json: units.mlrs</t>
        </is>
      </c>
      <c r="AK64" t="inlineStr"/>
    </row>
    <row r="65">
      <c r="A65" t="inlineStr">
        <is>
          <t>moab</t>
        </is>
      </c>
      <c r="B65" t="inlineStr">
        <is>
          <t>moab</t>
        </is>
      </c>
      <c r="C65" t="inlineStr">
        <is>
          <t>Bom MOAB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/>
      <c r="T65" t="inlineStr"/>
      <c r="U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>
        <is>
          <t>Tools/docs/unit_refs.json: moab; Tools/models/reference_real.json: units.moab</t>
        </is>
      </c>
      <c r="AK65" t="inlineStr"/>
    </row>
    <row r="66">
      <c r="A66" t="inlineStr">
        <is>
          <t>mortar_carrier</t>
        </is>
      </c>
      <c r="B66" t="inlineStr">
        <is>
          <t>mortar_carrier</t>
        </is>
      </c>
      <c r="C66" t="inlineStr">
        <is>
          <t>Xe cối tự hành</t>
        </is>
      </c>
      <c r="D66" t="inlineStr">
        <is>
          <t>doi_that</t>
        </is>
      </c>
      <c r="E66" t="inlineStr">
        <is>
          <t>M1064 (M113 mang cối 120 mm);2B11 120 mm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Xe bọc thép M113 bắn cối qua cửa nóc</t>
        </is>
      </c>
      <c r="L66" t="inlineStr"/>
      <c r="M66" t="inlineStr"/>
      <c r="N66" t="inlineStr"/>
      <c r="O66" t="inlineStr">
        <is>
          <t>da_kiem_chung</t>
        </is>
      </c>
      <c r="P66" t="inlineStr">
        <is>
          <t>R_unit_refs;R_reference_real;W_wikipedia_m113_armored_personnel_carrier;R_unit_sheet;R_machine_brigade_can_bang;R_mortar_carrier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>
        <f>INDEX(xe_input_kich_thuoc_that!$B$2:$B$66,MATCH($B$66,xe_input_kich_thuoc_that!$A$2:$A$66,0))</f>
        <v/>
      </c>
      <c r="T66">
        <f>INDEX(xe_input_kich_thuoc_that!$C$2:$C$66,MATCH($B$66,xe_input_kich_thuoc_that!$A$2:$A$66,0))</f>
        <v/>
      </c>
      <c r="U66">
        <f>INDEX(xe_input_kich_thuoc_that!$D$2:$D$66,MATCH($B$66,xe_input_kich_thuoc_that!$A$2:$A$66,0))</f>
        <v/>
      </c>
      <c r="V66" t="inlineStr">
        <is>
          <t>M1064 (M113A3 hull)</t>
        </is>
      </c>
      <c r="W66" t="inlineStr">
        <is>
          <t>high</t>
        </is>
      </c>
      <c r="X66" t="inlineStr">
        <is>
          <t>0,8 × M1064 (M113</t>
        </is>
      </c>
      <c r="Y66" t="inlineStr">
        <is>
          <t>Xe bọc thép M113 bắn cối qua cửa nóc</t>
        </is>
      </c>
      <c r="Z66" t="inlineStr">
        <is>
          <t>M1064 (M113 mang cối 120 mm), 2B11 120 mm — Xe bọc thép M113 bắn cối qua cửa nóc</t>
        </is>
      </c>
      <c r="AA66" t="inlineStr">
        <is>
          <t>2B11: 15 phát/phút</t>
        </is>
      </c>
      <c r="AB66" t="inlineStr"/>
      <c r="AC66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mortar_carrier; Tools/models/reference_real.json: units.mortar_carrier</t>
        </is>
      </c>
      <c r="AK66" t="inlineStr"/>
    </row>
    <row r="67">
      <c r="A67" t="inlineStr">
        <is>
          <t>napalm_strike</t>
        </is>
      </c>
      <c r="B67" t="inlineStr">
        <is>
          <t>napalm_strike</t>
        </is>
      </c>
      <c r="C67" t="inlineStr">
        <is>
          <t>Bom napalm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/>
      <c r="T67" t="inlineStr"/>
      <c r="U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>
        <is>
          <t>Tools/docs/unit_refs.json: napalm_strike; Tools/models/reference_real.json: units.napalm_strike</t>
        </is>
      </c>
      <c r="AK67" t="inlineStr"/>
    </row>
    <row r="68">
      <c r="A68" t="inlineStr">
        <is>
          <t>next_gen_tank</t>
        </is>
      </c>
      <c r="B68" t="inlineStr">
        <is>
          <t>next_gen_tank</t>
        </is>
      </c>
      <c r="C68" t="inlineStr">
        <is>
          <t>Tăng thế hệ mới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R_reference_real;W_wikipedia_leopard_2;R_next_gen_tank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>
        <f>INDEX(xe_input_kich_thuoc_that!$B$2:$B$66,MATCH($B$68,xe_input_kich_thuoc_that!$A$2:$A$66,0))</f>
        <v/>
      </c>
      <c r="T68">
        <f>INDEX(xe_input_kich_thuoc_that!$C$2:$C$66,MATCH($B$68,xe_input_kich_thuoc_that!$A$2:$A$66,0))</f>
        <v/>
      </c>
      <c r="U68">
        <f>INDEX(xe_input_kich_thuoc_that!$D$2:$D$66,MATCH($B$68,xe_input_kich_thuoc_that!$A$2:$A$66,0))</f>
        <v/>
      </c>
      <c r="V68" t="inlineStr">
        <is>
          <t>Leopard 2A4 (same frame as the MBT)</t>
        </is>
      </c>
      <c r="W68" t="inlineStr">
        <is>
          <t>approx</t>
        </is>
      </c>
      <c r="Z68" t="inlineStr"/>
      <c r="AA68" t="inlineStr"/>
      <c r="AB68" t="inlineStr"/>
      <c r="AC68" t="inlineStr">
        <is>
          <t>Tools/blender/specs/next_gen_tank.json: real = T-14 Armata (2A82-1M 125 mm, coax PKTM, 12.7 mm Kord RWS, Afghanit APS); confidence = xấp xỉ (published layout and dimensions)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next_gen_tank; Tools/models/reference_real.json: units.next_gen_tank</t>
        </is>
      </c>
      <c r="AK68" t="inlineStr"/>
    </row>
    <row r="69">
      <c r="A69" t="inlineStr">
        <is>
          <t>pod_drop</t>
        </is>
      </c>
      <c r="B69" t="inlineStr">
        <is>
          <t>pod_drop</t>
        </is>
      </c>
      <c r="C69" t="inlineStr">
        <is>
          <t>Khoang đổ bộ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/>
      <c r="T69" t="inlineStr"/>
      <c r="U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>
        <is>
          <t>Tools/docs/unit_refs.json: pod_drop; Tools/models/reference_real.json: units.pod_drop</t>
        </is>
      </c>
      <c r="AK69" t="inlineStr"/>
    </row>
    <row r="70">
      <c r="A70" t="inlineStr">
        <is>
          <t>railgun_truck</t>
        </is>
      </c>
      <c r="B70" t="inlineStr">
        <is>
          <t>railgun_truck</t>
        </is>
      </c>
      <c r="C70" t="inlineStr">
        <is>
          <t>Xe pháo điện từ</t>
        </is>
      </c>
      <c r="D70" t="inlineStr">
        <is>
          <t>doi_that</t>
        </is>
      </c>
      <c r="E70" t="inlineStr">
        <is>
          <t>ATLA railgun (Nhật Bản);US Navy EMRG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Xe tải 8x8 mang pháo điện từ ray kép</t>
        </is>
      </c>
      <c r="L70" t="inlineStr"/>
      <c r="M70" t="inlineStr">
        <is>
          <t>gia_tuong</t>
        </is>
      </c>
      <c r="N70" t="inlineStr"/>
      <c r="O70" t="inlineStr">
        <is>
          <t>ban_dau_doan</t>
        </is>
      </c>
      <c r="P70" t="inlineStr">
        <is>
          <t>R_unit_refs;R_reference_real;R_machine_brigade_can_bang;R_railgun_truck</t>
        </is>
      </c>
      <c r="Q70" t="inlineStr">
        <is>
          <t>reference_real.json: fictional mount (mẫu 'EM railgun on an 8x8', thiết kế giả tưởng)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V70" t="inlineStr">
        <is>
          <t>EM railgun on an 8x8</t>
        </is>
      </c>
      <c r="W70" t="inlineStr">
        <is>
          <t>inspiration</t>
        </is>
      </c>
      <c r="Y70" t="inlineStr">
        <is>
          <t>Xe tải 8x8 mang pháo điện từ ray kép</t>
        </is>
      </c>
      <c r="Z70" t="inlineStr">
        <is>
          <t>ATLA railgun (Nhật Bản), US Navy EMRG — Xe tải 8x8 mang pháo điện từ ray kép</t>
        </is>
      </c>
      <c r="AA70" t="inlineStr">
        <is>
          <t>(giả tưởng gần: EMRG)</t>
        </is>
      </c>
      <c r="AB70" t="inlineStr"/>
      <c r="AC70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0" t="inlineStr">
        <is>
          <t>NEED_SOURCE</t>
        </is>
      </c>
      <c r="AE70" t="inlineStr">
        <is>
          <t>NEED_SOURCE</t>
        </is>
      </c>
      <c r="AF70" t="inlineStr">
        <is>
          <t>NEED_SOURCE</t>
        </is>
      </c>
      <c r="AG70" t="inlineStr">
        <is>
          <t>NEED_SOURCE</t>
        </is>
      </c>
      <c r="AH70" t="inlineStr">
        <is>
          <t>NEED_SOURCE</t>
        </is>
      </c>
      <c r="AI70" t="inlineStr">
        <is>
          <t>NEED_SOURCE</t>
        </is>
      </c>
      <c r="AJ70" t="inlineStr">
        <is>
          <t>Tools/docs/unit_refs.json: railgun_truck; Tools/models/reference_real.json: units.railgun_truck</t>
        </is>
      </c>
      <c r="AK70" t="inlineStr"/>
    </row>
    <row r="71">
      <c r="A71" t="inlineStr">
        <is>
          <t>recoilless_jeep</t>
        </is>
      </c>
      <c r="B71" t="inlineStr">
        <is>
          <t>recoilless_jeep</t>
        </is>
      </c>
      <c r="C71" t="inlineStr">
        <is>
          <t>Xe jeep súng không giật</t>
        </is>
      </c>
      <c r="D71" t="inlineStr">
        <is>
          <t>NEED_SOURCE</t>
        </is>
      </c>
      <c r="E71" t="inlineStr"/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>
        <is>
          <t>R_recoilless_jeep</t>
        </is>
      </c>
      <c r="Q71" t="inlineStr">
        <is>
          <t>repo không có tham chiếu cho thực thể này (unit_refs.json, reference_real.json, bảng cân bằng)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Z71" t="inlineStr"/>
      <c r="AA71" t="inlineStr"/>
      <c r="AB71" t="inlineStr"/>
      <c r="AC71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recoilless_jeep; Tools/models/reference_real.json: units.recoilless_jeep</t>
        </is>
      </c>
      <c r="AK71" t="inlineStr"/>
    </row>
    <row r="72">
      <c r="A72" t="inlineStr">
        <is>
          <t>recon_drone</t>
        </is>
      </c>
      <c r="B72" t="inlineStr">
        <is>
          <t>recon_drone</t>
        </is>
      </c>
      <c r="C72" t="inlineStr">
        <is>
          <t>UAV trinh sát</t>
        </is>
      </c>
      <c r="D72" t="inlineStr">
        <is>
          <t>doi_that</t>
        </is>
      </c>
      <c r="E72" t="inlineStr">
        <is>
          <t>Bayraktar TB2;MAM-L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Drone trinh sát tầm trung, đuôi chữ V ngược</t>
        </is>
      </c>
      <c r="L72" t="inlineStr"/>
      <c r="M72" t="inlineStr"/>
      <c r="N72" t="inlineStr"/>
      <c r="O72" t="inlineStr">
        <is>
          <t>da_kiem_chung</t>
        </is>
      </c>
      <c r="P72" t="inlineStr">
        <is>
          <t>R_unit_refs;R_reference_real;W_wikipedia_baykar_bayraktar_tb2;R_unit_sheet;R_machine_brigade_can_bang;R_recon_drone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>
        <f>INDEX(xe_input_kich_thuoc_that!$B$2:$B$66,MATCH($B$72,xe_input_kich_thuoc_that!$A$2:$A$66,0))</f>
        <v/>
      </c>
      <c r="T72">
        <f>INDEX(xe_input_kich_thuoc_that!$C$2:$C$66,MATCH($B$72,xe_input_kich_thuoc_that!$A$2:$A$66,0))</f>
        <v/>
      </c>
      <c r="U72">
        <f>INDEX(xe_input_kich_thuoc_that!$D$2:$D$66,MATCH($B$72,xe_input_kich_thuoc_that!$A$2:$A$66,0))</f>
        <v/>
      </c>
      <c r="V72" t="inlineStr">
        <is>
          <t>Bayraktar TB2</t>
        </is>
      </c>
      <c r="W72" t="inlineStr">
        <is>
          <t>high</t>
        </is>
      </c>
      <c r="X72" t="inlineStr">
        <is>
          <t>0,4 × Bayraktar TB2</t>
        </is>
      </c>
      <c r="Y72" t="inlineStr">
        <is>
          <t>Drone trinh sát tầm trung, đuôi chữ V ngược</t>
        </is>
      </c>
      <c r="Z72" t="inlineStr">
        <is>
          <t>Bayraktar TB2, MAM-L — Drone trinh sát tầm trung, đuôi chữ V ngược</t>
        </is>
      </c>
      <c r="AA72" t="inlineStr"/>
      <c r="AB72" t="inlineStr"/>
      <c r="AC72" t="inlineStr">
        <is>
          <t>Tools/blender/specs/recon_drone.json: real = Bayraktar TB2; MAM-L; confidence = xấp xỉ (TB2 published photographs; flying, gear not drawn: the def's height 0.48 m)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recon_drone; Tools/models/reference_real.json: units.recon_drone</t>
        </is>
      </c>
      <c r="AK72" t="inlineStr"/>
    </row>
    <row r="73">
      <c r="A73" t="inlineStr">
        <is>
          <t>reinforcements</t>
        </is>
      </c>
      <c r="B73" t="inlineStr">
        <is>
          <t>reinforcements</t>
        </is>
      </c>
      <c r="C73" t="inlineStr">
        <is>
          <t>Tiếp viện thả dù</t>
        </is>
      </c>
      <c r="D73" t="inlineStr">
        <is>
          <t>NEED_SOURCE</t>
        </is>
      </c>
      <c r="E73" t="inlineStr"/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có tham chiếu cho thực thể này (unit_refs.json, reference_real.json, bảng cân bằng)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/>
      <c r="T73" t="inlineStr"/>
      <c r="U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/>
      <c r="AJ73" t="inlineStr">
        <is>
          <t>Tools/docs/unit_refs.json: reinforcements; Tools/models/reference_real.json: units.reinforcements</t>
        </is>
      </c>
      <c r="AK73" t="inlineStr"/>
    </row>
    <row r="74">
      <c r="A74" t="inlineStr">
        <is>
          <t>remote_mines</t>
        </is>
      </c>
      <c r="B74" t="inlineStr">
        <is>
          <t>remote_mines</t>
        </is>
      </c>
      <c r="C74" t="inlineStr">
        <is>
          <t>Mìn rải từ xa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remote_mines; Tools/models/reference_real.json: units.remote_mines</t>
        </is>
      </c>
      <c r="AK74" t="inlineStr"/>
    </row>
    <row r="75">
      <c r="A75" t="inlineStr">
        <is>
          <t>repair_drop</t>
        </is>
      </c>
      <c r="B75" t="inlineStr">
        <is>
          <t>repair_drop</t>
        </is>
      </c>
      <c r="C75" t="inlineStr">
        <is>
          <t>Sửa chữa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repair_drop; Tools/models/reference_real.json: units.repair_drop</t>
        </is>
      </c>
      <c r="AK75" t="inlineStr"/>
    </row>
    <row r="76">
      <c r="A76" t="inlineStr">
        <is>
          <t>river_gunboat</t>
        </is>
      </c>
      <c r="B76" t="inlineStr">
        <is>
          <t>river_gunboat</t>
        </is>
      </c>
      <c r="C76" t="inlineStr">
        <is>
          <t>Pháo hạm sông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>
        <is>
          <t>R_river_gunboat</t>
        </is>
      </c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Z76" t="inlineStr"/>
      <c r="AA76" t="inlineStr"/>
      <c r="AB76" t="inlineStr"/>
      <c r="AC76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river_gunboat; Tools/models/reference_real.json: units.river_gunboat</t>
        </is>
      </c>
      <c r="AK76" t="inlineStr"/>
    </row>
    <row r="77">
      <c r="A77" t="inlineStr">
        <is>
          <t>river_patrol_boat</t>
        </is>
      </c>
      <c r="B77" t="inlineStr">
        <is>
          <t>river_patrol_boat</t>
        </is>
      </c>
      <c r="C77" t="inlineStr">
        <is>
          <t>Tàu tuần tra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R_river_patrol_boat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river_patrol_boat; Tools/models/reference_real.json: units.river_patrol_boat</t>
        </is>
      </c>
      <c r="AK77" t="inlineStr"/>
    </row>
    <row r="78">
      <c r="A78" t="inlineStr">
        <is>
          <t>rocket_technical</t>
        </is>
      </c>
      <c r="B78" t="inlineStr">
        <is>
          <t>rocket_technical</t>
        </is>
      </c>
      <c r="C78" t="inlineStr">
        <is>
          <t>Bán tải rốc-két</t>
        </is>
      </c>
      <c r="D78" t="inlineStr">
        <is>
          <t>doi_that</t>
        </is>
      </c>
      <c r="E78" t="inlineStr">
        <is>
          <t>Toyota Hilux 'technical';Type 63 107 mm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Xe bán tải dân sự gắn giàn rốc-két 12 ống</t>
        </is>
      </c>
      <c r="L78" t="inlineStr"/>
      <c r="M78" t="inlineStr"/>
      <c r="N78" t="inlineStr"/>
      <c r="O78" t="inlineStr">
        <is>
          <t>uoc_dinh</t>
        </is>
      </c>
      <c r="P78" t="inlineStr">
        <is>
          <t>R_unit_refs;R_reference_real;D_toyota_hilux_an10_an20_specifications;R_unit_sheet;R_machine_brigade_can_bang;R_rocket_technical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>
        <f>INDEX(xe_input_kich_thuoc_that!$B$2:$B$66,MATCH($B$78,xe_input_kich_thuoc_that!$A$2:$A$66,0))</f>
        <v/>
      </c>
      <c r="T78">
        <f>INDEX(xe_input_kich_thuoc_that!$C$2:$C$66,MATCH($B$78,xe_input_kich_thuoc_that!$A$2:$A$66,0))</f>
        <v/>
      </c>
      <c r="U78">
        <f>INDEX(xe_input_kich_thuoc_that!$D$2:$D$66,MATCH($B$78,xe_input_kich_thuoc_that!$A$2:$A$66,0))</f>
        <v/>
      </c>
      <c r="V78" t="inlineStr">
        <is>
          <t>Toyota Hilux (7th gen, double cab)</t>
        </is>
      </c>
      <c r="W78" t="inlineStr">
        <is>
          <t>approx</t>
        </is>
      </c>
      <c r="X78" t="inlineStr">
        <is>
          <t>0,8 × Toyota Hilux + Type 63</t>
        </is>
      </c>
      <c r="Y78" t="inlineStr">
        <is>
          <t>Xe bán tải dân sự gắn giàn rốc-két 12 ống</t>
        </is>
      </c>
      <c r="Z78" t="inlineStr">
        <is>
          <t>Toyota Hilux 'technical', Type 63 107 mm — Xe bán tải dân sự gắn giàn rốc-két 12 ống</t>
        </is>
      </c>
      <c r="AA78" t="inlineStr"/>
      <c r="AB78" t="inlineStr"/>
      <c r="AC78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rocket_technical; Tools/models/reference_real.json: units.rocket_technical</t>
        </is>
      </c>
      <c r="AK78" t="inlineStr"/>
    </row>
    <row r="79">
      <c r="A79" t="inlineStr">
        <is>
          <t>sam_launcher</t>
        </is>
      </c>
      <c r="B79" t="inlineStr">
        <is>
          <t>sam_launcher</t>
        </is>
      </c>
      <c r="C79" t="inlineStr">
        <is>
          <t>Xe tên lửa phòng không tầm trung</t>
        </is>
      </c>
      <c r="D79" t="inlineStr">
        <is>
          <t>doi_that</t>
        </is>
      </c>
      <c r="E79" t="inlineStr">
        <is>
          <t>9K37 Buk (9A310);9M317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Bệ phóng tên lửa phòng không bánh xích, ray hướng lên mục tiêu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R_unit_refs;R_reference_real;D_army_recognition_buk_m1_2;R_unit_sheet;R_machine_brigade_can_bang;R_sam_launcher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9A310M1 Buk TELAR</t>
        </is>
      </c>
      <c r="W79" t="inlineStr">
        <is>
          <t>approx</t>
        </is>
      </c>
      <c r="X79" t="inlineStr">
        <is>
          <t>0,8 × 9A310 Buk TELAR</t>
        </is>
      </c>
      <c r="Y79" t="inlineStr">
        <is>
          <t>Bệ phóng tên lửa phòng không bánh xích, ray hướng lên mục tiêu</t>
        </is>
      </c>
      <c r="Z79" t="inlineStr">
        <is>
          <t>9K37 Buk (9A310), 9M317 — Bệ phóng tên lửa phòng không bánh xích, ray hướng lên mục tiêu</t>
        </is>
      </c>
      <c r="AA79" t="inlineStr">
        <is>
          <t>Buk TELAR ~10–15 triệu USD | 9M317: Mach 4 | 9A310</t>
        </is>
      </c>
      <c r="AB79" t="inlineStr"/>
      <c r="AC79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sam_launcher; Tools/models/reference_real.json: units.sam_launcher</t>
        </is>
      </c>
      <c r="AK79" t="inlineStr"/>
    </row>
    <row r="80">
      <c r="A80" t="inlineStr">
        <is>
          <t>scout_heli</t>
        </is>
      </c>
      <c r="B80" t="inlineStr">
        <is>
          <t>scout_heli</t>
        </is>
      </c>
      <c r="C80" t="inlineStr">
        <is>
          <t>Trực thăng trinh sát vũ trang</t>
        </is>
      </c>
      <c r="D80" t="inlineStr">
        <is>
          <t>doi_that</t>
        </is>
      </c>
      <c r="E80" t="inlineStr">
        <is>
          <t>MH-6 / AH-6 Little Bird;M134 Minigun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Trực thăng trinh sát nhẹ, ca-bin hình quả trứng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R_unit_refs;R_reference_real;W_wikipedia_md_helicopters_mh_6_little_bird;R_unit_sheet;R_machine_brigade_can_bang;R_scout_heli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MH-6 Little Bird</t>
        </is>
      </c>
      <c r="W80" t="inlineStr">
        <is>
          <t>approx</t>
        </is>
      </c>
      <c r="X80" t="inlineStr">
        <is>
          <t>0,4 × MH-6 Little Bird</t>
        </is>
      </c>
      <c r="Y80" t="inlineStr">
        <is>
          <t>Trực thăng trinh sát nhẹ, ca-bin hình quả trứng</t>
        </is>
      </c>
      <c r="Z80" t="inlineStr">
        <is>
          <t>MH-6 / AH-6 Little Bird, M134 Minigun — Trực thăng trinh sát nhẹ, ca-bin hình quả trứng</t>
        </is>
      </c>
      <c r="AA80" t="inlineStr">
        <is>
          <t>MH-6 Little Bird ~5 triệu USD | AH-6: 2 ống 7 quả Hydra</t>
        </is>
      </c>
      <c r="AB80" t="inlineStr"/>
      <c r="AC80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scout_heli; Tools/models/reference_real.json: units.scout_heli</t>
        </is>
      </c>
      <c r="AK80" t="inlineStr"/>
    </row>
    <row r="81">
      <c r="A81" t="inlineStr">
        <is>
          <t>scout_jeep</t>
        </is>
      </c>
      <c r="B81" t="inlineStr">
        <is>
          <t>scout_jeep</t>
        </is>
      </c>
      <c r="C81" t="inlineStr">
        <is>
          <t>Xe trinh sát hạng nhẹ</t>
        </is>
      </c>
      <c r="D81" t="inlineStr">
        <is>
          <t>doi_that</t>
        </is>
      </c>
      <c r="E81" t="inlineStr">
        <is>
          <t>M151 MUTT;Land Rover WMIK;M2 Browning 12,7 mm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xe trinh sát 4x4 mui trần gắn súng máy trên chốt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R_unit_refs;R_reference_real;W_wikipedia_m151_mutt;R_unit_sheet;R_machine_brigade_can_bang;R_scout_jeep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M151A2 MUTT</t>
        </is>
      </c>
      <c r="W81" t="inlineStr">
        <is>
          <t>high</t>
        </is>
      </c>
      <c r="X81" t="inlineStr">
        <is>
          <t>0,8 × M151 / LRV</t>
        </is>
      </c>
      <c r="Y81" t="inlineStr">
        <is>
          <t>ước đoán: xe trinh sát 4x4 mui trần gắn súng máy trên chốt</t>
        </is>
      </c>
      <c r="Z81" t="inlineStr">
        <is>
          <t>M151 MUTT, Land Rover WMIK, M2 Browning 12,7 mm — ước đoán: xe trinh sát 4x4 mui trần gắn súng máy trên chốt</t>
        </is>
      </c>
      <c r="AA81" t="inlineStr">
        <is>
          <t>Fennek / LRV có cột quan sát và kính nhiệt | Fennek; Wargame (đơn vị trinh sát ẩn khi đứng yên)</t>
        </is>
      </c>
      <c r="AB81" t="inlineStr"/>
      <c r="AC81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scout_jeep; Tools/models/reference_real.json: units.scout_jeep</t>
        </is>
      </c>
      <c r="AK81" t="inlineStr"/>
    </row>
    <row r="82">
      <c r="A82" t="inlineStr">
        <is>
          <t>sea_corvette</t>
        </is>
      </c>
      <c r="B82" t="inlineStr">
        <is>
          <t>sea_corvette</t>
        </is>
      </c>
      <c r="C82" t="inlineStr">
        <is>
          <t>Tàu hộ vệ</t>
        </is>
      </c>
      <c r="D82" t="inlineStr">
        <is>
          <t>doi_that</t>
        </is>
      </c>
      <c r="E82" t="inlineStr">
        <is>
          <t>OTO Melara 76/62;AK-630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Tàu hộ tống 30 m</t>
        </is>
      </c>
      <c r="L82" t="inlineStr"/>
      <c r="M82" t="inlineStr"/>
      <c r="N82" t="inlineStr"/>
      <c r="O82" t="inlineStr">
        <is>
          <t>ban_dau_doan</t>
        </is>
      </c>
      <c r="P82" t="inlineStr">
        <is>
          <t>R_unit_refs;R_sea_corvette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Y82" t="inlineStr">
        <is>
          <t>Tàu hộ tống 30 m</t>
        </is>
      </c>
      <c r="Z82" t="inlineStr"/>
      <c r="AA82" t="inlineStr"/>
      <c r="AB82" t="inlineStr"/>
      <c r="AC82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sea_corvette; Tools/models/reference_real.json: units.sea_corvette</t>
        </is>
      </c>
      <c r="AK82" t="inlineStr"/>
    </row>
    <row r="83">
      <c r="A83" t="inlineStr">
        <is>
          <t>sea_cruiser</t>
        </is>
      </c>
      <c r="B83" t="inlineStr">
        <is>
          <t>sea_cruiser</t>
        </is>
      </c>
      <c r="C83" t="inlineStr">
        <is>
          <t>Tuần dương hạm tên lửa</t>
        </is>
      </c>
      <c r="D83" t="inlineStr">
        <is>
          <t>doi_that</t>
        </is>
      </c>
      <c r="E83" t="inlineStr">
        <is>
          <t>Kirov-class;Iowa-class (cải tiến tên lửa);Mk 71 203 mm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Leviathan đời đầu, nay là tuần dương hạm tên lửa của hạm đội</t>
        </is>
      </c>
      <c r="L83" t="inlineStr"/>
      <c r="M83" t="inlineStr"/>
      <c r="N83" t="inlineStr"/>
      <c r="O83" t="inlineStr">
        <is>
          <t>da_kiem_chung</t>
        </is>
      </c>
      <c r="P83" t="inlineStr">
        <is>
          <t>R_unit_refs;R_reference_real;W_wikipedia_kirov_class_battlecruiser;R_sea_cruiser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>
        <f>INDEX(xe_input_kich_thuoc_that!$B$2:$B$66,MATCH($B$83,xe_input_kich_thuoc_that!$A$2:$A$66,0))</f>
        <v/>
      </c>
      <c r="T83">
        <f>INDEX(xe_input_kich_thuoc_that!$C$2:$C$66,MATCH($B$83,xe_input_kich_thuoc_that!$A$2:$A$66,0))</f>
        <v/>
      </c>
      <c r="U83" t="inlineStr">
        <is>
          <t>NEED_SOURCE</t>
        </is>
      </c>
      <c r="V83" t="inlineStr">
        <is>
          <t>Kirov-class battlecruiser</t>
        </is>
      </c>
      <c r="W83" t="inlineStr">
        <is>
          <t>high</t>
        </is>
      </c>
      <c r="Y83" t="inlineStr">
        <is>
          <t>Leviathan đời đầu, nay là tuần dương hạm tên lửa của hạm đội</t>
        </is>
      </c>
      <c r="Z83" t="inlineStr"/>
      <c r="AA83" t="inlineStr"/>
      <c r="AB83" t="inlineStr"/>
      <c r="AC83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sea_cruiser; Tools/models/reference_real.json: units.sea_cruiser</t>
        </is>
      </c>
      <c r="AK83" t="inlineStr"/>
    </row>
    <row r="84">
      <c r="A84" t="inlineStr">
        <is>
          <t>shahed_truck</t>
        </is>
      </c>
      <c r="B84" t="inlineStr">
        <is>
          <t>shahed_truck</t>
        </is>
      </c>
      <c r="C84" t="inlineStr">
        <is>
          <t>Xe phóng drone cảm tử tầm xa</t>
        </is>
      </c>
      <c r="D84" t="inlineStr">
        <is>
          <t>doi_that</t>
        </is>
      </c>
      <c r="E84" t="inlineStr">
        <is>
          <t>Shahed-136 (Geran-2)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Xe tải phóng drone cánh tam giác Shahed trên giàn 5 ray</t>
        </is>
      </c>
      <c r="L84" t="inlineStr"/>
      <c r="M84" t="inlineStr"/>
      <c r="N84" t="inlineStr"/>
      <c r="O84" t="inlineStr">
        <is>
          <t>ban_dau_doan</t>
        </is>
      </c>
      <c r="P84" t="inlineStr">
        <is>
          <t>R_unit_refs;R_unit_sheet;R_machine_brigade_can_bang;R_shahed_truck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X84" t="inlineStr">
        <is>
          <t>0,8 × xe tải phóng Shahed</t>
        </is>
      </c>
      <c r="Y84" t="inlineStr">
        <is>
          <t>Xe tải phóng drone cánh tam giác Shahed trên giàn 5 ray</t>
        </is>
      </c>
      <c r="Z84" t="inlineStr">
        <is>
          <t>Shahed-136 (Geran-2) — Xe tải phóng drone cánh tam giác Shahed trên giàn 5 ray</t>
        </is>
      </c>
      <c r="AA84" t="inlineStr">
        <is>
          <t>Shahed-136: 40–50 kg</t>
        </is>
      </c>
      <c r="AB84" t="inlineStr"/>
      <c r="AC84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shahed_truck; Tools/models/reference_real.json: units.shahed_truck</t>
        </is>
      </c>
      <c r="AK84" t="inlineStr"/>
    </row>
    <row r="85">
      <c r="A85" t="inlineStr">
        <is>
          <t>shield_carrier</t>
        </is>
      </c>
      <c r="B85" t="inlineStr">
        <is>
          <t>shield_carrier</t>
        </is>
      </c>
      <c r="C85" t="inlineStr">
        <is>
          <t>Xe phát khiên</t>
        </is>
      </c>
      <c r="D85" t="inlineStr">
        <is>
          <t>doi_that</t>
        </is>
      </c>
      <c r="E85" t="inlineStr">
        <is>
          <t>xe 8x8 kiểu Boxer / Stryker</t>
        </is>
      </c>
      <c r="F85" t="inlineStr">
        <is>
          <t>NEED_SOURCE</t>
        </is>
      </c>
      <c r="G85" t="inlineStr">
        <is>
          <t>NEED_SOURCE</t>
        </is>
      </c>
      <c r="H85" t="inlineStr">
        <is>
          <t>StarCraft II;Halo 3</t>
        </is>
      </c>
      <c r="I85" t="inlineStr">
        <is>
          <t>hình dáng: Shield Battery;hình dáng: Bubble Shield</t>
        </is>
      </c>
      <c r="J85" t="inlineStr"/>
      <c r="K85" t="inlineStr">
        <is>
          <t>xe 8x8 mang máy phát khiên năng lượng trên cột lưới</t>
        </is>
      </c>
      <c r="L85" t="inlineStr"/>
      <c r="M85" t="inlineStr"/>
      <c r="N85" t="inlineStr"/>
      <c r="O85" t="inlineStr">
        <is>
          <t>uoc_dinh</t>
        </is>
      </c>
      <c r="P85" t="inlineStr">
        <is>
          <t>R_unit_refs;R_reference_real;W_wikipedia_boxer_armoured_fighting_vehicle;R_unit_sheet;R_machine_brigade_can_bang;R_shield_carrier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>
        <f>INDEX(xe_input_kich_thuoc_that!$B$2:$B$66,MATCH($B$85,xe_input_kich_thuoc_that!$A$2:$A$66,0))</f>
        <v/>
      </c>
      <c r="T85">
        <f>INDEX(xe_input_kich_thuoc_that!$C$2:$C$66,MATCH($B$85,xe_input_kich_thuoc_that!$A$2:$A$66,0))</f>
        <v/>
      </c>
      <c r="U85">
        <f>INDEX(xe_input_kich_thuoc_that!$D$2:$D$66,MATCH($B$85,xe_input_kich_thuoc_that!$A$2:$A$66,0))</f>
        <v/>
      </c>
      <c r="V85" t="inlineStr">
        <is>
          <t>Boxer 8x8</t>
        </is>
      </c>
      <c r="W85" t="inlineStr">
        <is>
          <t>high</t>
        </is>
      </c>
      <c r="X85" t="inlineStr">
        <is>
          <t>0,8 × Boxer 8x8 (khung</t>
        </is>
      </c>
      <c r="Y85" t="inlineStr">
        <is>
          <t>ước đoán: xe 8x8 mang máy phát khiên năng lượng trên cột lưới</t>
        </is>
      </c>
      <c r="Z85" t="inlineStr">
        <is>
          <t>xe 8x8 kiểu Boxer / Stryker · Shield Battery (StarCraft II), Bubble Shield (Halo 3) — ước đoán: xe 8x8 mang máy phát khiên năng lượng</t>
        </is>
      </c>
      <c r="AA85" t="inlineStr"/>
      <c r="AB85" t="inlineStr"/>
      <c r="AC85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shield_carrier; Tools/models/reference_real.json: units.shield_carrier</t>
        </is>
      </c>
      <c r="AK85" t="inlineStr"/>
    </row>
    <row r="86">
      <c r="A86" t="inlineStr">
        <is>
          <t>shield_dome</t>
        </is>
      </c>
      <c r="B86" t="inlineStr">
        <is>
          <t>shield_dome</t>
        </is>
      </c>
      <c r="C86" t="inlineStr">
        <is>
          <t>Khiên vòm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/>
      <c r="T86" t="inlineStr"/>
      <c r="U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>
        <is>
          <t>Tools/docs/unit_refs.json: shield_dome; Tools/models/reference_real.json: units.shield_dome</t>
        </is>
      </c>
      <c r="AK86" t="inlineStr"/>
    </row>
    <row r="87">
      <c r="A87" t="inlineStr">
        <is>
          <t>siege_tank</t>
        </is>
      </c>
      <c r="B87" t="inlineStr">
        <is>
          <t>siege_tank</t>
        </is>
      </c>
      <c r="C87" t="inlineStr">
        <is>
          <t>Pháo cối công thành</t>
        </is>
      </c>
      <c r="D87" t="inlineStr">
        <is>
          <t>doi_that</t>
        </is>
      </c>
      <c r="E87" t="inlineStr">
        <is>
          <t>2S4 Tyulpan (2B8 240 mm);M110 (càng chống);2S7 Pion</t>
        </is>
      </c>
      <c r="F87" t="inlineStr">
        <is>
          <t>NEED_SOURCE</t>
        </is>
      </c>
      <c r="G87" t="inlineStr">
        <is>
          <t>NEED_SOURCE</t>
        </is>
      </c>
      <c r="H87" t="inlineStr">
        <is>
          <t>StarCraft II</t>
        </is>
      </c>
      <c r="I87" t="inlineStr">
        <is>
          <t>hình dáng: Siege Tank Crucio</t>
        </is>
      </c>
      <c r="J87" t="inlineStr"/>
      <c r="K87" t="inlineStr">
        <is>
          <t>Xe tăng công thành hai chế độ, dựng chân chống như StarCraft 2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R_unit_refs;R_reference_real;W_wikipedia_2s4_tyulpan;R_unit_sheet;R_machine_brigade_can_bang;R_siege_tank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INDEX(xe_input_kich_thuoc_that!$B$2:$B$66,MATCH($B$87,xe_input_kich_thuoc_that!$A$2:$A$66,0))</f>
        <v/>
      </c>
      <c r="T87">
        <f>INDEX(xe_input_kich_thuoc_that!$C$2:$C$66,MATCH($B$87,xe_input_kich_thuoc_that!$A$2:$A$66,0))</f>
        <v/>
      </c>
      <c r="U87">
        <f>INDEX(xe_input_kich_thuoc_that!$D$2:$D$66,MATCH($B$87,xe_input_kich_thuoc_that!$A$2:$A$66,0))</f>
        <v/>
      </c>
      <c r="V87" t="inlineStr">
        <is>
          <t>2S4 Tyulpan</t>
        </is>
      </c>
      <c r="W87" t="inlineStr">
        <is>
          <t>approx</t>
        </is>
      </c>
      <c r="X87" t="inlineStr">
        <is>
          <t>0,8 × 2S4 Tyulpan</t>
        </is>
      </c>
      <c r="Y87" t="inlineStr">
        <is>
          <t>Xe tăng công thành hai chế độ, dựng chân chống như StarCraft 2</t>
        </is>
      </c>
      <c r="Z87" t="inlineStr">
        <is>
          <t>2S4 Tyulpan (2B8 240 mm), M110 (càng chống), 2S7 Pion · Siege Tank Crucio (StarCraft II) — Xe tăng công thành hai chế độ, dựng</t>
        </is>
      </c>
      <c r="AA87" t="inlineStr"/>
      <c r="AB87" t="inlineStr"/>
      <c r="AC87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siege_tank; Tools/models/reference_real.json: units.siege_tank</t>
        </is>
      </c>
      <c r="AK87" t="inlineStr"/>
    </row>
    <row r="88">
      <c r="A88" t="inlineStr">
        <is>
          <t>sky_gunship</t>
        </is>
      </c>
      <c r="B88" t="inlineStr">
        <is>
          <t>sky_gunship</t>
        </is>
      </c>
      <c r="C88" t="inlineStr">
        <is>
          <t>Pháo hạm bay</t>
        </is>
      </c>
      <c r="D88" t="inlineStr">
        <is>
          <t>doi_that</t>
        </is>
      </c>
      <c r="E88" t="inlineStr">
        <is>
          <t>AC-130U Spooky (M102 105 mm, Bofors 40 mm, GAU-12 25 mm)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Pháo hạm bay bắn sang trái, dàn pháo theo AC-130U</t>
        </is>
      </c>
      <c r="L88" t="inlineStr"/>
      <c r="M88" t="inlineStr"/>
      <c r="N88" t="inlineStr"/>
      <c r="O88" t="inlineStr">
        <is>
          <t>da_kiem_chung</t>
        </is>
      </c>
      <c r="P88" t="inlineStr">
        <is>
          <t>R_unit_refs;R_reference_real;W_wikipedia_lockheed_ac_130;R_unit_sheet;R_machine_brigade_can_bang;R_sky_gunship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AC-130U Spooky</t>
        </is>
      </c>
      <c r="W88" t="inlineStr">
        <is>
          <t>high</t>
        </is>
      </c>
      <c r="X88" t="inlineStr">
        <is>
          <t>0,4 × AC-130</t>
        </is>
      </c>
      <c r="Y88" t="inlineStr">
        <is>
          <t>Pháo hạm bay bắn sang trái, dàn pháo theo AC-130U</t>
        </is>
      </c>
      <c r="Z88" t="inlineStr">
        <is>
          <t>AC-130U Spooky (M102 105 mm, Bofors 40 mm, GAU-12 25 mm) — Pháo hạm bay bắn sang trái, dàn pháo theo AC-130U</t>
        </is>
      </c>
      <c r="AA88" t="inlineStr"/>
      <c r="AB88" t="inlineStr"/>
      <c r="AC88" t="inlineStr">
        <is>
          <t>Tools/blender/specs/sky_gunship.json: real = AC-130U Spooky (M102 105 mm, Bofors 40 mm, GAU-12 25 mm); confidence = xấp xỉ (AC-130U drawings at 0.4 x)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sky_gunship; Tools/models/reference_real.json: units.sky_gunship</t>
        </is>
      </c>
      <c r="AK88" t="inlineStr"/>
    </row>
    <row r="89">
      <c r="A89" t="inlineStr">
        <is>
          <t>sp_mortar</t>
        </is>
      </c>
      <c r="B89" t="inlineStr">
        <is>
          <t>sp_mortar</t>
        </is>
      </c>
      <c r="C89" t="inlineStr">
        <is>
          <t>Cối tự hành tháp kín</t>
        </is>
      </c>
      <c r="D89" t="inlineStr">
        <is>
          <t>NEED_SOURCE</t>
        </is>
      </c>
      <c r="E89" t="inlineStr"/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>
        <is>
          <t>R_sp_mortar</t>
        </is>
      </c>
      <c r="Q89" t="inlineStr">
        <is>
          <t>repo không có tham chiếu cho thực thể này (unit_refs.json, reference_real.json, bảng cân bằng)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Z89" t="inlineStr"/>
      <c r="AA89" t="inlineStr"/>
      <c r="AB89" t="inlineStr"/>
      <c r="AC89" t="inlineStr">
        <is>
          <t>Tools/blender/specs/sp_mortar.json: real = Patria AMV 8x8 with the AMOS twin 120 mm mortar turret; confidence = cao (AMV hull and AMOS turret are well documented; drawn at modelSize)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sp_mortar; Tools/models/reference_real.json: units.sp_mortar</t>
        </is>
      </c>
      <c r="AK89" t="inlineStr"/>
    </row>
    <row r="90">
      <c r="A90" t="inlineStr">
        <is>
          <t>stealth_bomber</t>
        </is>
      </c>
      <c r="B90" t="inlineStr">
        <is>
          <t>stealth_bomber</t>
        </is>
      </c>
      <c r="C90" t="inlineStr">
        <is>
          <t>Oanh tạc cơ tàng hình</t>
        </is>
      </c>
      <c r="D90" t="inlineStr">
        <is>
          <t>doi_that</t>
        </is>
      </c>
      <c r="E90" t="inlineStr">
        <is>
          <t>B-2 Spirit;GBU-31 JDAM;AGM-158 JASSM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Máy bay ném bom tàng hình cánh bay</t>
        </is>
      </c>
      <c r="L90" t="inlineStr"/>
      <c r="M90" t="inlineStr"/>
      <c r="N90" t="inlineStr"/>
      <c r="O90" t="inlineStr">
        <is>
          <t>da_kiem_chung</t>
        </is>
      </c>
      <c r="P90" t="inlineStr">
        <is>
          <t>R_unit_refs;R_reference_real;W_wikipedia_northrop_b_2_spirit;R_unit_sheet;R_machine_brigade_can_bang;R_stealth_bomber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>
        <f>INDEX(xe_input_kich_thuoc_that!$B$2:$B$66,MATCH($B$90,xe_input_kich_thuoc_that!$A$2:$A$66,0))</f>
        <v/>
      </c>
      <c r="T90">
        <f>INDEX(xe_input_kich_thuoc_that!$C$2:$C$66,MATCH($B$90,xe_input_kich_thuoc_that!$A$2:$A$66,0))</f>
        <v/>
      </c>
      <c r="U90">
        <f>INDEX(xe_input_kich_thuoc_that!$D$2:$D$66,MATCH($B$90,xe_input_kich_thuoc_that!$A$2:$A$66,0))</f>
        <v/>
      </c>
      <c r="V90" t="inlineStr">
        <is>
          <t>B-2A Spirit</t>
        </is>
      </c>
      <c r="W90" t="inlineStr">
        <is>
          <t>high</t>
        </is>
      </c>
      <c r="X90" t="inlineStr">
        <is>
          <t>0,4 × B-2 Spirit</t>
        </is>
      </c>
      <c r="Y90" t="inlineStr">
        <is>
          <t>Máy bay ném bom tàng hình cánh bay</t>
        </is>
      </c>
      <c r="Z90" t="inlineStr">
        <is>
          <t>B-2 Spirit, GBU-31 JDAM, AGM-158 JASSM — Máy bay ném bom tàng hình cánh bay</t>
        </is>
      </c>
      <c r="AA90" t="inlineStr">
        <is>
          <t>B-2 ~2 tỷ USD | JASSM: đầu nổ 450 kg</t>
        </is>
      </c>
      <c r="AB90" t="inlineStr"/>
      <c r="AC90" t="inlineStr">
        <is>
          <t>Tools/blender/specs/stealth_bomber.json: real = B-2 Spirit; GBU-31 JDAM; AGM-158 JASSM; confidence = xấp xỉ (B-2 plan form and photographs at 0.4 x)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stealth_bomber; Tools/models/reference_real.json: units.stealth_bomber</t>
        </is>
      </c>
      <c r="AK90" t="inlineStr"/>
    </row>
    <row r="91">
      <c r="A91" t="inlineStr">
        <is>
          <t>stealth_fighter</t>
        </is>
      </c>
      <c r="B91" t="inlineStr">
        <is>
          <t>stealth_fighter</t>
        </is>
      </c>
      <c r="C91" t="inlineStr">
        <is>
          <t>Tiêm kích tàng hình</t>
        </is>
      </c>
      <c r="D91" t="inlineStr">
        <is>
          <t>doi_that</t>
        </is>
      </c>
      <c r="E91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R_unit_refs;R_reference_real;W_wikipedia_lockheed_martin_f_22_raptor;R_unit_sheet;R_machine_brigade_can_bang;R_stealth_fighter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F-22A Raptor</t>
        </is>
      </c>
      <c r="W91" t="inlineStr">
        <is>
          <t>high</t>
        </is>
      </c>
      <c r="X91" t="inlineStr">
        <is>
          <t>0,4 × F-22 / Su-57</t>
        </is>
      </c>
      <c r="Y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1" t="inlineStr">
        <is>
          <t>F-22 Raptor, Su-57, GAU-22/A 25 mm — Tiêm kích tàng hình hai đuôi</t>
        </is>
      </c>
      <c r="AA91" t="inlineStr">
        <is>
          <t>F-22 mang 6 AIM-120 trong khoang</t>
        </is>
      </c>
      <c r="AB91" t="inlineStr"/>
      <c r="AC91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stealth_fighter; Tools/models/reference_real.json: units.stealth_fighter</t>
        </is>
      </c>
      <c r="AK91" t="inlineStr"/>
    </row>
    <row r="92">
      <c r="A92" t="inlineStr">
        <is>
          <t>stealth_naval_strike</t>
        </is>
      </c>
      <c r="B92" t="inlineStr">
        <is>
          <t>stealth_naval_strike</t>
        </is>
      </c>
      <c r="C92" t="inlineStr">
        <is>
          <t>Cường kích tàng hình trên hạm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>
        <is>
          <t>R_reference_real;W_wikipedia_northrop_b_2_spirit;R_stealth_naval_strike</t>
        </is>
      </c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B-2A Spirit (same frame as the stealth bomber)</t>
        </is>
      </c>
      <c r="W92" t="inlineStr">
        <is>
          <t>approx</t>
        </is>
      </c>
      <c r="Z92" t="inlineStr"/>
      <c r="AA92" t="inlineStr"/>
      <c r="AB92" t="inlineStr"/>
      <c r="AC92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stealth_naval_strike; Tools/models/reference_real.json: units.stealth_naval_strike</t>
        </is>
      </c>
      <c r="AK92" t="inlineStr"/>
    </row>
    <row r="93">
      <c r="A93" t="inlineStr">
        <is>
          <t>strike_drone</t>
        </is>
      </c>
      <c r="B93" t="inlineStr">
        <is>
          <t>strike_drone</t>
        </is>
      </c>
      <c r="C93" t="inlineStr">
        <is>
          <t>UAV tấn công</t>
        </is>
      </c>
      <c r="D93" t="inlineStr">
        <is>
          <t>doi_that</t>
        </is>
      </c>
      <c r="E93" t="inlineStr">
        <is>
          <t>MQ-9 Reaper;AGM-114 Hellfire;GBU-39 SDB</t>
        </is>
      </c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>
        <is>
          <t>Drone tấn công tầm trung, đuôi chữ Y, cánh quạt đẩy</t>
        </is>
      </c>
      <c r="L93" t="inlineStr"/>
      <c r="M93" t="inlineStr"/>
      <c r="N93" t="inlineStr"/>
      <c r="O93" t="inlineStr">
        <is>
          <t>da_kiem_chung</t>
        </is>
      </c>
      <c r="P93" t="inlineStr">
        <is>
          <t>R_unit_refs;R_reference_real;W_wikipedia_general_atomics_mq_9_reaper;R_unit_sheet;R_machine_brigade_can_bang;R_strike_drone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MQ-9A Reaper</t>
        </is>
      </c>
      <c r="W93" t="inlineStr">
        <is>
          <t>high</t>
        </is>
      </c>
      <c r="X93" t="inlineStr">
        <is>
          <t>0,4 × MQ-9 Reaper</t>
        </is>
      </c>
      <c r="Y93" t="inlineStr">
        <is>
          <t>Drone tấn công tầm trung, đuôi chữ Y, cánh quạt đẩy</t>
        </is>
      </c>
      <c r="Z93" t="inlineStr">
        <is>
          <t>MQ-9 Reaper, AGM-114 Hellfire, GBU-39 SDB — Drone tấn công tầm trung, đuôi chữ Y, cánh quạt đẩy</t>
        </is>
      </c>
      <c r="AA93" t="inlineStr">
        <is>
          <t>MQ-9 Reaper ~30 triệu USD, mang 4 Hellfire</t>
        </is>
      </c>
      <c r="AB93" t="inlineStr"/>
      <c r="AC93" t="inlineStr">
        <is>
          <t>Tools/blender/specs/strike_drone.json: real = MQ-9 Reaper; AGM-114 Hellfire; GBU-39 SDB; confidence = xấp xỉ (MQ-9 published photographs; flying, gear retracted)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strike_drone; Tools/models/reference_real.json: units.strike_drone</t>
        </is>
      </c>
      <c r="AK93" t="inlineStr"/>
    </row>
    <row r="94">
      <c r="A94" t="inlineStr">
        <is>
          <t>super_gun_shell</t>
        </is>
      </c>
      <c r="B94" t="inlineStr">
        <is>
          <t>super_gun_shell</t>
        </is>
      </c>
      <c r="C94" t="inlineStr">
        <is>
          <t>Đạn siêu pháo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/>
      <c r="T94" t="inlineStr"/>
      <c r="U94" t="inlineStr"/>
      <c r="Z94" t="inlineStr"/>
      <c r="AA94" t="inlineStr"/>
      <c r="AB94" t="inlineStr"/>
      <c r="AC94" t="inlineStr"/>
      <c r="AD94" t="inlineStr"/>
      <c r="AE94" t="inlineStr"/>
      <c r="AF94" t="inlineStr"/>
      <c r="AG94" t="inlineStr"/>
      <c r="AH94" t="inlineStr"/>
      <c r="AI94" t="inlineStr"/>
      <c r="AJ94" t="inlineStr">
        <is>
          <t>Tools/docs/unit_refs.json: super_gun_shell; Tools/models/reference_real.json: units.super_gun_shell</t>
        </is>
      </c>
      <c r="AK94" t="inlineStr"/>
    </row>
    <row r="95">
      <c r="A95" t="inlineStr">
        <is>
          <t>supply_truck</t>
        </is>
      </c>
      <c r="B95" t="inlineStr">
        <is>
          <t>supply_truck</t>
        </is>
      </c>
      <c r="C95" t="inlineStr">
        <is>
          <t>Xe tải tiếp tế</t>
        </is>
      </c>
      <c r="D95" t="inlineStr">
        <is>
          <t>doi_that</t>
        </is>
      </c>
      <c r="E95" t="inlineStr">
        <is>
          <t>M977 HEMTT;KamAZ-5350;M2 Browning 12,7 mm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xe tải tiếp tế, súng máy trên vòng nóc</t>
        </is>
      </c>
      <c r="L95" t="inlineStr"/>
      <c r="M95" t="inlineStr"/>
      <c r="N95" t="inlineStr"/>
      <c r="O95" t="inlineStr">
        <is>
          <t>uoc_dinh</t>
        </is>
      </c>
      <c r="P95" t="inlineStr">
        <is>
          <t>R_unit_refs;R_reference_real;W_wikipedia_heavy_expanded_mobility_tactical_t;R_unit_sheet;R_machine_brigade_can_bang;R_supply_truck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M977 HEMTT</t>
        </is>
      </c>
      <c r="W95" t="inlineStr">
        <is>
          <t>approx</t>
        </is>
      </c>
      <c r="X95" t="inlineStr">
        <is>
          <t>0,8 × M977 HEMTT</t>
        </is>
      </c>
      <c r="Y95" t="inlineStr">
        <is>
          <t>ước đoán: xe tải tiếp tế, súng máy trên vòng nóc</t>
        </is>
      </c>
      <c r="Z95" t="inlineStr">
        <is>
          <t>M977 HEMTT, KamAZ-5350, M2 Browning 12,7 mm — ước đoán: xe tải tiếp tế, súng máy trên vòng nóc</t>
        </is>
      </c>
      <c r="AA95" t="inlineStr"/>
      <c r="AB95" t="inlineStr"/>
      <c r="AC95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supply_truck; Tools/models/reference_real.json: units.supply_truck</t>
        </is>
      </c>
      <c r="AK95" t="inlineStr"/>
    </row>
    <row r="96">
      <c r="A96" t="inlineStr">
        <is>
          <t>swarm_carrier</t>
        </is>
      </c>
      <c r="B96" t="inlineStr">
        <is>
          <t>swarm_carrier</t>
        </is>
      </c>
      <c r="C96" t="inlineStr">
        <is>
          <t>Máy bay mẹ thả drone</t>
        </is>
      </c>
      <c r="D96" t="inlineStr">
        <is>
          <t>doi_that</t>
        </is>
      </c>
      <c r="E96" t="inlineStr">
        <is>
          <t>C-130 Hercules;drone FPV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Máy bay vận tải bốn động cơ thả bầy drone FPV</t>
        </is>
      </c>
      <c r="L96" t="inlineStr"/>
      <c r="M96" t="inlineStr"/>
      <c r="N96" t="inlineStr"/>
      <c r="O96" t="inlineStr">
        <is>
          <t>da_kiem_chung</t>
        </is>
      </c>
      <c r="P96" t="inlineStr">
        <is>
          <t>R_unit_refs;R_reference_real;W_wikipedia_lockheed_c_130_hercules;R_unit_sheet;R_machine_brigade_can_bang;R_swarm_carrier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C-130H Hercules</t>
        </is>
      </c>
      <c r="W96" t="inlineStr">
        <is>
          <t>high</t>
        </is>
      </c>
      <c r="X96" t="inlineStr">
        <is>
          <t>0,4 × C-130 Hercules</t>
        </is>
      </c>
      <c r="Y96" t="inlineStr">
        <is>
          <t>Máy bay vận tải bốn động cơ thả bầy drone FPV</t>
        </is>
      </c>
      <c r="Z96" t="inlineStr">
        <is>
          <t>C-130 Hercules, drone FPV — Máy bay vận tải bốn động cơ thả bầy drone FPV</t>
        </is>
      </c>
      <c r="AA96" t="inlineStr">
        <is>
          <t>Rapid Dragon (C-130/C-17 thả JASSM-ER) | C-130</t>
        </is>
      </c>
      <c r="AB96" t="inlineStr"/>
      <c r="AC96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swarm_carrier; Tools/models/reference_real.json: units.swarm_carrier</t>
        </is>
      </c>
      <c r="AK96" t="inlineStr"/>
    </row>
    <row r="97">
      <c r="A97" t="inlineStr">
        <is>
          <t>tank_destroyer</t>
        </is>
      </c>
      <c r="B97" t="inlineStr">
        <is>
          <t>tank_destroyer</t>
        </is>
      </c>
      <c r="C97" t="inlineStr">
        <is>
          <t>Pháo chống tăng tự hành</t>
        </is>
      </c>
      <c r="D97" t="inlineStr">
        <is>
          <t>doi_that</t>
        </is>
      </c>
      <c r="E97" t="inlineStr">
        <is>
          <t>2S25 Sprut-SD (2A75 125 mm)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Pháo chống tăng thân thấp, tháp hở, nòng rất dài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R_unit_refs;R_reference_real;W_wikipedia_2s25_sprut_sd;R_unit_sheet;R_machine_brigade_can_bang;R_tank_destroyer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2S25 Sprut-SD</t>
        </is>
      </c>
      <c r="W97" t="inlineStr">
        <is>
          <t>approx</t>
        </is>
      </c>
      <c r="X97" t="inlineStr">
        <is>
          <t>0,8 × 2S25 Sprut-SD</t>
        </is>
      </c>
      <c r="Y97" t="inlineStr">
        <is>
          <t>Pháo chống tăng thân thấp, tháp hở, nòng rất dài</t>
        </is>
      </c>
      <c r="Z97" t="inlineStr">
        <is>
          <t>2S25 Sprut-SD (2A75 125 mm) — Pháo chống tăng thân thấp, tháp hở, nòng rất dài</t>
        </is>
      </c>
      <c r="AA97" t="inlineStr">
        <is>
          <t>2S25 Sprut-SD | Pháo 2A75: sơ tốc cao, bắn xa</t>
        </is>
      </c>
      <c r="AB97" t="inlineStr"/>
      <c r="AC97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tank_destroyer; Tools/models/reference_real.json: units.tank_destroyer</t>
        </is>
      </c>
      <c r="AK97" t="inlineStr"/>
    </row>
    <row r="98">
      <c r="A98" t="inlineStr">
        <is>
          <t>thermobaric_launcher</t>
        </is>
      </c>
      <c r="B98" t="inlineStr">
        <is>
          <t>thermobaric_launcher</t>
        </is>
      </c>
      <c r="C98" t="inlineStr">
        <is>
          <t>Pháo phản lực nhiệt áp</t>
        </is>
      </c>
      <c r="D98" t="inlineStr">
        <is>
          <t>doi_that</t>
        </is>
      </c>
      <c r="E98" t="inlineStr">
        <is>
          <t>TOS-1A Solntsepyok (khung T-72)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Giàn phóng rốc-két nhiệt áp 24 ống trên khung xe tăng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R_unit_refs;R_reference_real;W_wikipedia_tos_1;R_unit_sheet;R_machine_brigade_can_bang;R_thermobaric_launcher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 t="inlineStr">
        <is>
          <t>NEED_SOURCE</t>
        </is>
      </c>
      <c r="V98" t="inlineStr">
        <is>
          <t>TOS-1A Solntsepyok</t>
        </is>
      </c>
      <c r="W98" t="inlineStr">
        <is>
          <t>approx</t>
        </is>
      </c>
      <c r="X98" t="inlineStr">
        <is>
          <t>0,8 × TOS-1A</t>
        </is>
      </c>
      <c r="Y98" t="inlineStr">
        <is>
          <t>Giàn phóng rốc-két nhiệt áp 24 ống trên khung xe tăng</t>
        </is>
      </c>
      <c r="Z98" t="inlineStr">
        <is>
          <t>TOS-1A Solntsepyok (khung T-72) — Giàn phóng rốc-két nhiệt áp 24 ống trên khung xe tăng</t>
        </is>
      </c>
      <c r="AA98" t="inlineStr">
        <is>
          <t>TOS-1A</t>
        </is>
      </c>
      <c r="AB98" t="inlineStr"/>
      <c r="AC98" t="inlineStr">
        <is>
          <t>Tools/blender/specs/thermobaric_launcher.json: real = TOS-1A Solntsepyok (T-72 chassis, 24-tube 220 mm launcher); confidence = xấp xỉ (TOS-1A photographs; sizes at the def's modelSize)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thermobaric_launcher; Tools/models/reference_real.json: units.thermobaric_launcher</t>
        </is>
      </c>
      <c r="AK98" t="inlineStr"/>
    </row>
    <row r="99">
      <c r="A99" t="inlineStr">
        <is>
          <t>titan_tank</t>
        </is>
      </c>
      <c r="B99" t="inlineStr">
        <is>
          <t>titan_tank</t>
        </is>
      </c>
      <c r="C99" t="inlineStr">
        <is>
          <t>Siêu tăng</t>
        </is>
      </c>
      <c r="D99" t="inlineStr">
        <is>
          <t>doi_that</t>
        </is>
      </c>
      <c r="E99" t="inlineStr">
        <is>
          <t>Rheinmetall NPzK 140 mm;dáng siêu tăng khái niệm tương lai</t>
        </is>
      </c>
      <c r="F99" t="inlineStr">
        <is>
          <t>NEED_SOURCE</t>
        </is>
      </c>
      <c r="G99" t="inlineStr">
        <is>
          <t>NEED_SOURCE</t>
        </is>
      </c>
      <c r="H99" t="inlineStr">
        <is>
          <t>Command &amp; Conquer</t>
        </is>
      </c>
      <c r="I99" t="inlineStr">
        <is>
          <t>hình dáng: Mammoth Tank</t>
        </is>
      </c>
      <c r="J99" t="inlineStr"/>
      <c r="K99" t="inlineStr">
        <is>
          <t>siêu tăng hai nòng 140 mm, giáp composite, APS và cảm biến hiện đại, có tháp phụ</t>
        </is>
      </c>
      <c r="L99" t="inlineStr"/>
      <c r="M99" t="inlineStr">
        <is>
          <t>gia_tuong</t>
        </is>
      </c>
      <c r="N99" t="inlineStr"/>
      <c r="O99" t="inlineStr">
        <is>
          <t>uoc_dinh</t>
        </is>
      </c>
      <c r="P99" t="inlineStr">
        <is>
          <t>R_unit_refs;R_reference_real;R_machine_brigade_can_bang;R_titan_tank</t>
        </is>
      </c>
      <c r="Q99" t="inlineStr">
        <is>
          <t>reference_real.json: fictional (mẫu 'Rheinmetall NPzK concept, a super tank', thiết kế giả tưởng)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Rheinmetall NPzK concept, a super tank</t>
        </is>
      </c>
      <c r="W99" t="inlineStr">
        <is>
          <t>inspiration</t>
        </is>
      </c>
      <c r="Y99" t="inlineStr">
        <is>
          <t>ước đoán: siêu tăng hai nòng 140 mm, giáp composite, APS và cảm biến hiện đại, có tháp phụ</t>
        </is>
      </c>
      <c r="Z99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99" t="inlineStr">
        <is>
          <t>Landkreuzer Ratte (thiết kế 1.000 tấn)</t>
        </is>
      </c>
      <c r="AB99" t="inlineStr"/>
      <c r="AC99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titan_tank; Tools/models/reference_real.json: units.titan_tank</t>
        </is>
      </c>
      <c r="AK99" t="inlineStr"/>
    </row>
    <row r="100">
      <c r="A100" t="inlineStr">
        <is>
          <t>twin_rotor_gunship</t>
        </is>
      </c>
      <c r="B100" t="inlineStr">
        <is>
          <t>twin_rotor_gunship</t>
        </is>
      </c>
      <c r="C100" t="inlineStr">
        <is>
          <t>Pháo hạm trực thăng hai rô-to</t>
        </is>
      </c>
      <c r="D100" t="inlineStr">
        <is>
          <t>NEED_SOURCE</t>
        </is>
      </c>
      <c r="E100" t="inlineStr"/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>
        <is>
          <t>R_twin_rotor_gunship</t>
        </is>
      </c>
      <c r="Q100" t="inlineStr">
        <is>
          <t>repo không có tham chiếu cho thực thể này (unit_refs.json, reference_real.json, bảng cân bằng)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Z100" t="inlineStr"/>
      <c r="AA100" t="inlineStr"/>
      <c r="AB100" t="inlineStr"/>
      <c r="AC100" t="inlineStr">
        <is>
          <t>Tools/blender/specs/twin_rotor_gunship.json: real = Boeing ACH-47A 'Guns-A-Go-Go' (armed CH-47 Chinook); confidence = cao (ACH-47A is documented: chin M5 40 mm, pylon guns, door guns)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twin_rotor_gunship; Tools/models/reference_real.json: units.twin_rotor_gunship</t>
        </is>
      </c>
      <c r="AK100" t="inlineStr"/>
    </row>
    <row r="101">
      <c r="A101" t="inlineStr">
        <is>
          <t>twin_tank</t>
        </is>
      </c>
      <c r="B101" t="inlineStr">
        <is>
          <t>twin_tank</t>
        </is>
      </c>
      <c r="C101" t="inlineStr">
        <is>
          <t>Tăng hai nòng</t>
        </is>
      </c>
      <c r="D101" t="inlineStr">
        <is>
          <t>doi_that</t>
        </is>
      </c>
      <c r="E101" t="inlineStr">
        <is>
          <t>Rh-120 L/44 (hai nòng)</t>
        </is>
      </c>
      <c r="F101" t="inlineStr">
        <is>
          <t>NEED_SOURCE</t>
        </is>
      </c>
      <c r="G101" t="inlineStr">
        <is>
          <t>NEED_SOURCE</t>
        </is>
      </c>
      <c r="H101" t="inlineStr">
        <is>
          <t>Command &amp; Conquer;Red Alert 2</t>
        </is>
      </c>
      <c r="I101" t="inlineStr">
        <is>
          <t>hình dáng: Mammoth Tank;hình dáng: Apocalypse Tank</t>
        </is>
      </c>
      <c r="J101" t="inlineStr"/>
      <c r="K101" t="inlineStr">
        <is>
          <t>xe tăng hai nòng đặt song song</t>
        </is>
      </c>
      <c r="L101" t="inlineStr"/>
      <c r="M101" t="inlineStr">
        <is>
          <t>gia_tuong</t>
        </is>
      </c>
      <c r="N101" t="inlineStr"/>
      <c r="O101" t="inlineStr">
        <is>
          <t>uoc_dinh</t>
        </is>
      </c>
      <c r="P101" t="inlineStr">
        <is>
          <t>R_unit_refs;R_reference_real;R_machine_brigade_can_bang;R_twin_tank</t>
        </is>
      </c>
      <c r="Q101" t="inlineStr">
        <is>
          <t>reference_real.json: fictional (mẫu 'twin Rh-120 L/44 tank', thiết kế giả tưởng)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V101" t="inlineStr">
        <is>
          <t>twin Rh-120 L/44 tank</t>
        </is>
      </c>
      <c r="W101" t="inlineStr">
        <is>
          <t>inspiration</t>
        </is>
      </c>
      <c r="Y101" t="inlineStr">
        <is>
          <t>ước đoán: xe tăng hai nòng đặt song song</t>
        </is>
      </c>
      <c r="Z101" t="inlineStr">
        <is>
          <t>Rh-120 L/44 (hai nòng) · Mammoth Tank (Command &amp; Conquer), Apocalypse Tank (Red Alert 2) — ước đoán: xe tăng hai nòng đặt</t>
        </is>
      </c>
      <c r="AA101" t="inlineStr"/>
      <c r="AB101" t="inlineStr"/>
      <c r="AC101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twin_tank; Tools/models/reference_real.json: units.twin_tank</t>
        </is>
      </c>
      <c r="AK101" t="inlineStr"/>
    </row>
    <row r="102">
      <c r="A102" t="inlineStr">
        <is>
          <t>vbied</t>
        </is>
      </c>
      <c r="B102" t="inlineStr">
        <is>
          <t>vbied</t>
        </is>
      </c>
      <c r="C102" t="inlineStr">
        <is>
          <t>Xe bom bọc thép</t>
        </is>
      </c>
      <c r="D102" t="inlineStr">
        <is>
          <t>doi_that</t>
        </is>
      </c>
      <c r="E102" t="inlineStr">
        <is>
          <t>xe bom tự sát bọc thép ở Mosul 2016-17 ('Iron Coffin')</t>
        </is>
      </c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>
        <is>
          <t>Xe bán tải bom tự sát bọc thép hàn chắp vá</t>
        </is>
      </c>
      <c r="L102" t="inlineStr"/>
      <c r="M102" t="inlineStr">
        <is>
          <t>gia_tuong</t>
        </is>
      </c>
      <c r="N102" t="inlineStr"/>
      <c r="O102" t="inlineStr">
        <is>
          <t>ban_dau_doan</t>
        </is>
      </c>
      <c r="P102" t="inlineStr">
        <is>
          <t>R_unit_refs;R_reference_real;R_unit_sheet;R_machine_brigade_can_bang;R_vbied</t>
        </is>
      </c>
      <c r="Q102" t="inlineStr">
        <is>
          <t>reference_real.json: improvised; no standard (mẫu 'armoured VBIED pickup (Mosul)',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armoured VBIED pickup (Mosul)</t>
        </is>
      </c>
      <c r="W102" t="inlineStr">
        <is>
          <t>inspiration</t>
        </is>
      </c>
      <c r="X102" t="inlineStr">
        <is>
          <t>0,8 × bán tải bọc thép chắp vá</t>
        </is>
      </c>
      <c r="Y102" t="inlineStr">
        <is>
          <t>Xe bán tải bom tự sát bọc thép hàn chắp vá</t>
        </is>
      </c>
      <c r="Z102" t="inlineStr">
        <is>
          <t>xe bom tự sát bọc thép ở Mosul 2016-17 ('Iron Coffin') — Xe bán tải bom tự sát bọc thép hàn chắp vá</t>
        </is>
      </c>
      <c r="AA102" t="inlineStr">
        <is>
          <t>"Iron Coffin" ở Mosul hàn thép dày phía trước | Thang bán kính nổ (sheet Tổng quan)</t>
        </is>
      </c>
      <c r="AB102" t="inlineStr"/>
      <c r="AC102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vbied; Tools/models/reference_real.json: units.vbied</t>
        </is>
      </c>
      <c r="AK102" t="inlineStr"/>
    </row>
    <row r="103">
      <c r="A103" t="inlineStr">
        <is>
          <t>wheeled_gun</t>
        </is>
      </c>
      <c r="B103" t="inlineStr">
        <is>
          <t>wheeled_gun</t>
        </is>
      </c>
      <c r="C103" t="inlineStr">
        <is>
          <t>Pháo xung kích bánh lốp</t>
        </is>
      </c>
      <c r="D103" t="inlineStr">
        <is>
          <t>doi_that</t>
        </is>
      </c>
      <c r="E103" t="inlineStr">
        <is>
          <t>Centauro B1 / Centauro II 120 mm;M1128 MGS;Rooikat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Pháo chống tăng bánh lốp 8x8</t>
        </is>
      </c>
      <c r="L103" t="inlineStr"/>
      <c r="M103" t="inlineStr"/>
      <c r="N103" t="inlineStr"/>
      <c r="O103" t="inlineStr">
        <is>
          <t>da_kiem_chung</t>
        </is>
      </c>
      <c r="P103" t="inlineStr">
        <is>
          <t>R_unit_refs;R_reference_real;W_wikipedia_b1_centauro;R_unit_sheet;R_machine_brigade_can_bang;R_wheeled_gun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>
        <f>INDEX(xe_input_kich_thuoc_that!$B$2:$B$66,MATCH($B$103,xe_input_kich_thuoc_that!$A$2:$A$66,0))</f>
        <v/>
      </c>
      <c r="T103">
        <f>INDEX(xe_input_kich_thuoc_that!$C$2:$C$66,MATCH($B$103,xe_input_kich_thuoc_that!$A$2:$A$66,0))</f>
        <v/>
      </c>
      <c r="U103">
        <f>INDEX(xe_input_kich_thuoc_that!$D$2:$D$66,MATCH($B$103,xe_input_kich_thuoc_that!$A$2:$A$66,0))</f>
        <v/>
      </c>
      <c r="V103" t="inlineStr">
        <is>
          <t>B1 Centauro</t>
        </is>
      </c>
      <c r="W103" t="inlineStr">
        <is>
          <t>high</t>
        </is>
      </c>
      <c r="X103" t="inlineStr">
        <is>
          <t>0,8 × Centauro II</t>
        </is>
      </c>
      <c r="Y103" t="inlineStr">
        <is>
          <t>Pháo chống tăng bánh lốp 8x8</t>
        </is>
      </c>
      <c r="Z103" t="inlineStr">
        <is>
          <t>Centauro B1 / Centauro II 120 mm, M1128 MGS, Rooikat — Pháo chống tăng bánh lốp 8x8</t>
        </is>
      </c>
      <c r="AA103" t="inlineStr">
        <is>
          <t>Centauro II: giáp chống 14,5–30 mm | Centauro II nạp tay</t>
        </is>
      </c>
      <c r="AB103" t="inlineStr"/>
      <c r="AC103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wheeled_gun; Tools/models/reference_real.json: units.wheeled_gun</t>
        </is>
      </c>
      <c r="AK103" t="inlineStr"/>
    </row>
    <row r="104">
      <c r="A104" t="inlineStr">
        <is>
          <t>zu23_technical</t>
        </is>
      </c>
      <c r="B104" t="inlineStr">
        <is>
          <t>zu23_technical</t>
        </is>
      </c>
      <c r="C104" t="inlineStr">
        <is>
          <t>Bán tải cao xạ</t>
        </is>
      </c>
      <c r="D104" t="inlineStr">
        <is>
          <t>doi_that</t>
        </is>
      </c>
      <c r="E104" t="inlineStr">
        <is>
          <t>Toyota Hilux;ZU-23-2 23 mm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Xe bán tải gắn pháo phòng không hai nòng ZU-23-2</t>
        </is>
      </c>
      <c r="L104" t="inlineStr"/>
      <c r="M104" t="inlineStr"/>
      <c r="N104" t="inlineStr"/>
      <c r="O104" t="inlineStr">
        <is>
          <t>uoc_dinh</t>
        </is>
      </c>
      <c r="P104" t="inlineStr">
        <is>
          <t>R_unit_refs;R_reference_real;D_toyota_hilux_an10_an20_specifications;R_unit_sheet;R_machine_brigade_can_bang;R_zu23_technical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Toyota Hilux (7th gen, double cab)</t>
        </is>
      </c>
      <c r="W104" t="inlineStr">
        <is>
          <t>approx</t>
        </is>
      </c>
      <c r="X104" t="inlineStr">
        <is>
          <t>0,8 × Hilux + ZU-23-2</t>
        </is>
      </c>
      <c r="Y104" t="inlineStr">
        <is>
          <t>Xe bán tải gắn pháo phòng không hai nòng ZU-23-2</t>
        </is>
      </c>
      <c r="Z104" t="inlineStr">
        <is>
          <t>Toyota Hilux, ZU-23-2 23 mm — Xe bán tải gắn pháo phòng không hai nòng ZU-23-2</t>
        </is>
      </c>
      <c r="AA104" t="inlineStr">
        <is>
          <t>ZU-23-2: 2.000 phát/phút, tầm 2,5 km</t>
        </is>
      </c>
      <c r="AB104" t="inlineStr"/>
      <c r="AC104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zu23_technical; Tools/models/reference_real.json: units.zu23_technical</t>
        </is>
      </c>
      <c r="AK104" t="inlineStr"/>
    </row>
  </sheetData>
  <autoFilter ref="A1:AK104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INDEX(Phuong_tien_tham_chieu!$U$2:$U$104,MATCH("aa_vehicle",Phuong_tien_tham_chieu!$A$2:$A$104,0))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INDEX(Phuong_tien_tham_chieu!$U$2:$U$104,MATCH("aa_vehicle",Phuong_tien_tham_chieu!$A$2:$A$104,0))/INDEX(Phuong_tien_tham_chieu!$S$2:$S$104,MATCH("aa_vehicle",Phuong_tien_tham_chieu!$A$2:$A$104,0))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INDEX(Phuong_tien_tham_chieu!$S$2:$S$104,MATCH("aa_vehicle",Phuong_tien_tham_chieu!$A$2:$A$104,0))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INDEX(Phuong_tien_tham_chieu!$T$2:$T$104,MATCH("aa_vehicle",Phuong_tien_tham_chieu!$A$2:$A$104,0))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INDEX(Phuong_tien_tham_chieu!$T$2:$T$104,MATCH("aa_vehicle",Phuong_tien_tham_chieu!$A$2:$A$104,0))/INDEX(Phuong_tien_tham_chieu!$S$2:$S$104,MATCH("aa_vehicle",Phuong_tien_tham_chieu!$A$2:$A$104,0))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INDEX(Phuong_tien_tham_chieu!$U$2:$U$104,MATCH("ammo_carrier",Phuong_tien_tham_chieu!$A$2:$A$104,0))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INDEX(Phuong_tien_tham_chieu!$U$2:$U$104,MATCH("ammo_carrier",Phuong_tien_tham_chieu!$A$2:$A$104,0))/INDEX(Phuong_tien_tham_chieu!$S$2:$S$104,MATCH("ammo_carrier",Phuong_tien_tham_chieu!$A$2:$A$104,0))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INDEX(Phuong_tien_tham_chieu!$S$2:$S$104,MATCH("ammo_carrier",Phuong_tien_tham_chieu!$A$2:$A$104,0))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INDEX(Phuong_tien_tham_chieu!$T$2:$T$104,MATCH("ammo_carrier",Phuong_tien_tham_chieu!$A$2:$A$104,0))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INDEX(Phuong_tien_tham_chieu!$T$2:$T$104,MATCH("ammo_carrier",Phuong_tien_tham_chieu!$A$2:$A$104,0))/INDEX(Phuong_tien_tham_chieu!$S$2:$S$104,MATCH("ammo_carrier",Phuong_tien_tham_chieu!$A$2:$A$104,0))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INDEX(Phuong_tien_tham_chieu!$U$2:$U$104,MATCH("armored_bulldozer",Phuong_tien_tham_chieu!$A$2:$A$104,0))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INDEX(Phuong_tien_tham_chieu!$U$2:$U$104,MATCH("armored_bulldozer",Phuong_tien_tham_chieu!$A$2:$A$104,0))/INDEX(Phuong_tien_tham_chieu!$S$2:$S$104,MATCH("armored_bulldozer",Phuong_tien_tham_chieu!$A$2:$A$104,0))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TC0076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INDEX(Phuong_tien_tham_chieu!$S$2:$S$104,MATCH("armored_bulldozer",Phuong_tien_tham_chieu!$A$2:$A$104,0))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INDEX(Phuong_tien_tham_chieu!$T$2:$T$104,MATCH("armored_bulldozer",Phuong_tien_tham_chieu!$A$2:$A$104,0))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INDEX(Phuong_tien_tham_chieu!$T$2:$T$104,MATCH("armored_bulldozer",Phuong_tien_tham_chieu!$A$2:$A$104,0))/INDEX(Phuong_tien_tham_chieu!$S$2:$S$104,MATCH("armored_bulldozer",Phuong_tien_tham_chieu!$A$2:$A$104,0))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TC0077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INDEX(Phuong_tien_tham_chieu!$U$2:$U$104,MATCH("armored_car",Phuong_tien_tham_chieu!$A$2:$A$104,0))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INDEX(Phuong_tien_tham_chieu!$U$2:$U$104,MATCH("armored_car",Phuong_tien_tham_chieu!$A$2:$A$104,0))/INDEX(Phuong_tien_tham_chieu!$S$2:$S$104,MATCH("armored_car",Phuong_tien_tham_chieu!$A$2:$A$104,0))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INDEX(Phuong_tien_tham_chieu!$S$2:$S$104,MATCH("armored_car",Phuong_tien_tham_chieu!$A$2:$A$104,0))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INDEX(Phuong_tien_tham_chieu!$T$2:$T$104,MATCH("armored_car",Phuong_tien_tham_chieu!$A$2:$A$104,0))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INDEX(Phuong_tien_tham_chieu!$T$2:$T$104,MATCH("armored_car",Phuong_tien_tham_chieu!$A$2:$A$104,0))/INDEX(Phuong_tien_tham_chieu!$S$2:$S$104,MATCH("armored_car",Phuong_tien_tham_chieu!$A$2:$A$104,0))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INDEX(Phuong_tien_tham_chieu!$U$2:$U$104,MATCH("artillery",Phuong_tien_tham_chieu!$A$2:$A$104,0))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INDEX(Phuong_tien_tham_chieu!$U$2:$U$104,MATCH("artillery",Phuong_tien_tham_chieu!$A$2:$A$104,0))/INDEX(Phuong_tien_tham_chieu!$S$2:$S$104,MATCH("artillery",Phuong_tien_tham_chieu!$A$2:$A$104,0))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INDEX(Phuong_tien_tham_chieu!$S$2:$S$104,MATCH("artillery",Phuong_tien_tham_chieu!$A$2:$A$104,0))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INDEX(Phuong_tien_tham_chieu!$T$2:$T$104,MATCH("artillery",Phuong_tien_tham_chieu!$A$2:$A$104,0))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INDEX(Phuong_tien_tham_chieu!$T$2:$T$104,MATCH("artillery",Phuong_tien_tham_chieu!$A$2:$A$104,0))/INDEX(Phuong_tien_tham_chieu!$S$2:$S$104,MATCH("artillery",Phuong_tien_tham_chieu!$A$2:$A$104,0))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TC0078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INDEX(Phuong_tien_tham_chieu!$U$2:$U$104,MATCH("attack_helicopter",Phuong_tien_tham_chieu!$A$2:$A$104,0))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INDEX(Phuong_tien_tham_chieu!$U$2:$U$104,MATCH("attack_helicopter",Phuong_tien_tham_chieu!$A$2:$A$104,0))/INDEX(Phuong_tien_tham_chieu!$S$2:$S$104,MATCH("attack_helicopter",Phuong_tien_tham_chieu!$A$2:$A$104,0))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TC0079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INDEX(Phuong_tien_tham_chieu!$S$2:$S$104,MATCH("attack_helicopter",Phuong_tien_tham_chieu!$A$2:$A$104,0))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INDEX(Phuong_tien_tham_chieu!$T$2:$T$104,MATCH("attack_helicopter",Phuong_tien_tham_chieu!$A$2:$A$104,0))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INDEX(Phuong_tien_tham_chieu!$T$2:$T$104,MATCH("attack_helicopter",Phuong_tien_tham_chieu!$A$2:$A$104,0))/INDEX(Phuong_tien_tham_chieu!$S$2:$S$104,MATCH("attack_helicopter",Phuong_tien_tham_chieu!$A$2:$A$104,0))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TC0080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INDEX(Phuong_tien_tham_chieu!$U$2:$U$104,MATCH("attack_jet",Phuong_tien_tham_chieu!$A$2:$A$104,0))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INDEX(Phuong_tien_tham_chieu!$U$2:$U$104,MATCH("attack_jet",Phuong_tien_tham_chieu!$A$2:$A$104,0))/INDEX(Phuong_tien_tham_chieu!$S$2:$S$104,MATCH("attack_jet",Phuong_tien_tham_chieu!$A$2:$A$104,0))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INDEX(Phuong_tien_tham_chieu!$S$2:$S$104,MATCH("attack_jet",Phuong_tien_tham_chieu!$A$2:$A$104,0))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INDEX(Phuong_tien_tham_chieu!$T$2:$T$104,MATCH("attack_jet",Phuong_tien_tham_chieu!$A$2:$A$104,0))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INDEX(Phuong_tien_tham_chieu!$T$2:$T$104,MATCH("attack_jet",Phuong_tien_tham_chieu!$A$2:$A$104,0))/INDEX(Phuong_tien_tham_chieu!$S$2:$S$104,MATCH("attack_jet",Phuong_tien_tham_chieu!$A$2:$A$104,0))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INDEX(Phuong_tien_tham_chieu!$S$2:$S$104,MATCH("ballistic_launcher",Phuong_tien_tham_chieu!$A$2:$A$104,0))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INDEX(Phuong_tien_tham_chieu!$T$2:$T$104,MATCH("ballistic_launcher",Phuong_tien_tham_chieu!$A$2:$A$104,0))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INDEX(Phuong_tien_tham_chieu!$T$2:$T$104,MATCH("ballistic_launcher",Phuong_tien_tham_chieu!$A$2:$A$104,0))/INDEX(Phuong_tien_tham_chieu!$S$2:$S$104,MATCH("ballistic_launcher",Phuong_tien_tham_chieu!$A$2:$A$104,0))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INDEX(Phuong_tien_tham_chieu!$U$2:$U$104,MATCH("command_vehicle",Phuong_tien_tham_chieu!$A$2:$A$104,0))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INDEX(Phuong_tien_tham_chieu!$U$2:$U$104,MATCH("command_vehicle",Phuong_tien_tham_chieu!$A$2:$A$104,0))/INDEX(Phuong_tien_tham_chieu!$S$2:$S$104,MATCH("command_vehicle",Phuong_tien_tham_chieu!$A$2:$A$104,0))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INDEX(Phuong_tien_tham_chieu!$S$2:$S$104,MATCH("command_vehicle",Phuong_tien_tham_chieu!$A$2:$A$104,0))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INDEX(Phuong_tien_tham_chieu!$T$2:$T$104,MATCH("command_vehicle",Phuong_tien_tham_chieu!$A$2:$A$104,0))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INDEX(Phuong_tien_tham_chieu!$T$2:$T$104,MATCH("command_vehicle",Phuong_tien_tham_chieu!$A$2:$A$104,0))/INDEX(Phuong_tien_tham_chieu!$S$2:$S$104,MATCH("command_vehicle",Phuong_tien_tham_chieu!$A$2:$A$104,0))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INDEX(Phuong_tien_tham_chieu!$U$2:$U$104,MATCH("elite_aa",Phuong_tien_tham_chieu!$A$2:$A$104,0))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INDEX(Phuong_tien_tham_chieu!$U$2:$U$104,MATCH("elite_aa",Phuong_tien_tham_chieu!$A$2:$A$104,0))/INDEX(Phuong_tien_tham_chieu!$S$2:$S$104,MATCH("elite_aa",Phuong_tien_tham_chieu!$A$2:$A$104,0))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INDEX(Phuong_tien_tham_chieu!$S$2:$S$104,MATCH("elite_aa",Phuong_tien_tham_chieu!$A$2:$A$104,0))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INDEX(Phuong_tien_tham_chieu!$T$2:$T$104,MATCH("elite_aa",Phuong_tien_tham_chieu!$A$2:$A$104,0))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INDEX(Phuong_tien_tham_chieu!$T$2:$T$104,MATCH("elite_aa",Phuong_tien_tham_chieu!$A$2:$A$104,0))/INDEX(Phuong_tien_tham_chieu!$S$2:$S$104,MATCH("elite_aa",Phuong_tien_tham_chieu!$A$2:$A$104,0))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INDEX(Phuong_tien_tham_chieu!$U$2:$U$104,MATCH("elite_apc",Phuong_tien_tham_chieu!$A$2:$A$104,0))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INDEX(Phuong_tien_tham_chieu!$U$2:$U$104,MATCH("elite_apc",Phuong_tien_tham_chieu!$A$2:$A$104,0))/INDEX(Phuong_tien_tham_chieu!$S$2:$S$104,MATCH("elite_apc",Phuong_tien_tham_chieu!$A$2:$A$104,0))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INDEX(Phuong_tien_tham_chieu!$S$2:$S$104,MATCH("elite_apc",Phuong_tien_tham_chieu!$A$2:$A$104,0))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INDEX(Phuong_tien_tham_chieu!$T$2:$T$104,MATCH("elite_apc",Phuong_tien_tham_chieu!$A$2:$A$104,0))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INDEX(Phuong_tien_tham_chieu!$T$2:$T$104,MATCH("elite_apc",Phuong_tien_tham_chieu!$A$2:$A$104,0))/INDEX(Phuong_tien_tham_chieu!$S$2:$S$104,MATCH("elite_apc",Phuong_tien_tham_chieu!$A$2:$A$104,0))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INDEX(Phuong_tien_tham_chieu!$U$2:$U$104,MATCH("elite_attack_helicopter",Phuong_tien_tham_chieu!$A$2:$A$104,0))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INDEX(Phuong_tien_tham_chieu!$U$2:$U$104,MATCH("elite_attack_helicopter",Phuong_tien_tham_chieu!$A$2:$A$104,0))/INDEX(Phuong_tien_tham_chieu!$S$2:$S$104,MATCH("elite_attack_helicopter",Phuong_tien_tham_chieu!$A$2:$A$104,0))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TC0081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INDEX(Phuong_tien_tham_chieu!$S$2:$S$104,MATCH("elite_attack_helicopter",Phuong_tien_tham_chieu!$A$2:$A$104,0))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INDEX(Phuong_tien_tham_chieu!$T$2:$T$104,MATCH("elite_attack_helicopter",Phuong_tien_tham_chieu!$A$2:$A$104,0))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INDEX(Phuong_tien_tham_chieu!$T$2:$T$104,MATCH("elite_attack_helicopter",Phuong_tien_tham_chieu!$A$2:$A$104,0))/INDEX(Phuong_tien_tham_chieu!$S$2:$S$104,MATCH("elite_attack_helicopter",Phuong_tien_tham_chieu!$A$2:$A$104,0))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TC0082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INDEX(Phuong_tien_tham_chieu!$U$2:$U$104,MATCH("elite_mbt",Phuong_tien_tham_chieu!$A$2:$A$104,0))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INDEX(Phuong_tien_tham_chieu!$U$2:$U$104,MATCH("elite_mbt",Phuong_tien_tham_chieu!$A$2:$A$104,0))/INDEX(Phuong_tien_tham_chieu!$S$2:$S$104,MATCH("elite_mbt",Phuong_tien_tham_chieu!$A$2:$A$104,0))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TC0083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INDEX(Phuong_tien_tham_chieu!$S$2:$S$104,MATCH("elite_mbt",Phuong_tien_tham_chieu!$A$2:$A$104,0))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INDEX(Phuong_tien_tham_chieu!$T$2:$T$104,MATCH("elite_mbt",Phuong_tien_tham_chieu!$A$2:$A$104,0))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INDEX(Phuong_tien_tham_chieu!$T$2:$T$104,MATCH("elite_mbt",Phuong_tien_tham_chieu!$A$2:$A$104,0))/INDEX(Phuong_tien_tham_chieu!$S$2:$S$104,MATCH("elite_mbt",Phuong_tien_tham_chieu!$A$2:$A$104,0))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INDEX(Phuong_tien_tham_chieu!$U$2:$U$104,MATCH("elite_mlrs",Phuong_tien_tham_chieu!$A$2:$A$104,0))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INDEX(Phuong_tien_tham_chieu!$U$2:$U$104,MATCH("elite_mlrs",Phuong_tien_tham_chieu!$A$2:$A$104,0))/INDEX(Phuong_tien_tham_chieu!$S$2:$S$104,MATCH("elite_mlrs",Phuong_tien_tham_chieu!$A$2:$A$104,0))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INDEX(Phuong_tien_tham_chieu!$S$2:$S$104,MATCH("elite_mlrs",Phuong_tien_tham_chieu!$A$2:$A$104,0))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INDEX(Phuong_tien_tham_chieu!$T$2:$T$104,MATCH("elite_mlrs",Phuong_tien_tham_chieu!$A$2:$A$104,0))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INDEX(Phuong_tien_tham_chieu!$T$2:$T$104,MATCH("elite_mlrs",Phuong_tien_tham_chieu!$A$2:$A$104,0))/INDEX(Phuong_tien_tham_chieu!$S$2:$S$104,MATCH("elite_mlrs",Phuong_tien_tham_chieu!$A$2:$A$104,0))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INDEX(Phuong_tien_tham_chieu!$U$2:$U$104,MATCH("elite_tank_destroyer",Phuong_tien_tham_chieu!$A$2:$A$104,0))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INDEX(Phuong_tien_tham_chieu!$U$2:$U$104,MATCH("elite_tank_destroyer",Phuong_tien_tham_chieu!$A$2:$A$104,0))/INDEX(Phuong_tien_tham_chieu!$S$2:$S$104,MATCH("elite_tank_destroyer",Phuong_tien_tham_chieu!$A$2:$A$104,0))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TC0084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INDEX(Phuong_tien_tham_chieu!$S$2:$S$104,MATCH("elite_tank_destroyer",Phuong_tien_tham_chieu!$A$2:$A$104,0))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INDEX(Phuong_tien_tham_chieu!$T$2:$T$104,MATCH("elite_tank_destroyer",Phuong_tien_tham_chieu!$A$2:$A$104,0))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INDEX(Phuong_tien_tham_chieu!$T$2:$T$104,MATCH("elite_tank_destroyer",Phuong_tien_tham_chieu!$A$2:$A$104,0))/INDEX(Phuong_tien_tham_chieu!$S$2:$S$104,MATCH("elite_tank_destroyer",Phuong_tien_tham_chieu!$A$2:$A$104,0))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INDEX(Phuong_tien_tham_chieu!$U$2:$U$104,MATCH("engineer_vehicle",Phuong_tien_tham_chieu!$A$2:$A$104,0))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TC0085</t>
        </is>
      </c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INDEX(Phuong_tien_tham_chieu!$U$2:$U$104,MATCH("engineer_vehicle",Phuong_tien_tham_chieu!$A$2:$A$104,0))/INDEX(Phuong_tien_tham_chieu!$S$2:$S$104,MATCH("engineer_vehicle",Phuong_tien_tham_chieu!$A$2:$A$104,0))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TC0086</t>
        </is>
      </c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INDEX(Phuong_tien_tham_chieu!$S$2:$S$104,MATCH("engineer_vehicle",Phuong_tien_tham_chieu!$A$2:$A$104,0))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INDEX(Phuong_tien_tham_chieu!$T$2:$T$104,MATCH("engineer_vehicle",Phuong_tien_tham_chieu!$A$2:$A$104,0))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INDEX(Phuong_tien_tham_chieu!$T$2:$T$104,MATCH("engineer_vehicle",Phuong_tien_tham_chieu!$A$2:$A$104,0))/INDEX(Phuong_tien_tham_chieu!$S$2:$S$104,MATCH("engineer_vehicle",Phuong_tien_tham_chieu!$A$2:$A$104,0))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TC0087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INDEX(Phuong_tien_tham_chieu!$U$2:$U$104,MATCH("fighter_jet",Phuong_tien_tham_chieu!$A$2:$A$104,0))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INDEX(Phuong_tien_tham_chieu!$U$2:$U$104,MATCH("fighter_jet",Phuong_tien_tham_chieu!$A$2:$A$104,0))/INDEX(Phuong_tien_tham_chieu!$S$2:$S$104,MATCH("fighter_jet",Phuong_tien_tham_chieu!$A$2:$A$104,0))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INDEX(Phuong_tien_tham_chieu!$S$2:$S$104,MATCH("fighter_jet",Phuong_tien_tham_chieu!$A$2:$A$104,0))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INDEX(Phuong_tien_tham_chieu!$T$2:$T$104,MATCH("fighter_jet",Phuong_tien_tham_chieu!$A$2:$A$104,0))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INDEX(Phuong_tien_tham_chieu!$T$2:$T$104,MATCH("fighter_jet",Phuong_tien_tham_chieu!$A$2:$A$104,0))/INDEX(Phuong_tien_tham_chieu!$S$2:$S$104,MATCH("fighter_jet",Phuong_tien_tham_chieu!$A$2:$A$104,0))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INDEX(Phuong_tien_tham_chieu!$U$2:$U$104,MATCH("flame_tank",Phuong_tien_tham_chieu!$A$2:$A$104,0))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INDEX(Phuong_tien_tham_chieu!$U$2:$U$104,MATCH("flame_tank",Phuong_tien_tham_chieu!$A$2:$A$104,0))/INDEX(Phuong_tien_tham_chieu!$S$2:$S$104,MATCH("flame_tank",Phuong_tien_tham_chieu!$A$2:$A$104,0))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INDEX(Phuong_tien_tham_chieu!$S$2:$S$104,MATCH("flame_tank",Phuong_tien_tham_chieu!$A$2:$A$104,0))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INDEX(Phuong_tien_tham_chieu!$T$2:$T$104,MATCH("flame_tank",Phuong_tien_tham_chieu!$A$2:$A$104,0))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INDEX(Phuong_tien_tham_chieu!$T$2:$T$104,MATCH("flame_tank",Phuong_tien_tham_chieu!$A$2:$A$104,0))/INDEX(Phuong_tien_tham_chieu!$S$2:$S$104,MATCH("flame_tank",Phuong_tien_tham_chieu!$A$2:$A$104,0))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INDEX(Phuong_tien_tham_chieu!$U$2:$U$104,MATCH("fpv_carrier",Phuong_tien_tham_chieu!$A$2:$A$104,0))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INDEX(Phuong_tien_tham_chieu!$U$2:$U$104,MATCH("fpv_carrier",Phuong_tien_tham_chieu!$A$2:$A$104,0))/INDEX(Phuong_tien_tham_chieu!$S$2:$S$104,MATCH("fpv_carrier",Phuong_tien_tham_chieu!$A$2:$A$104,0))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INDEX(Phuong_tien_tham_chieu!$S$2:$S$104,MATCH("fpv_carrier",Phuong_tien_tham_chieu!$A$2:$A$104,0))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INDEX(Phuong_tien_tham_chieu!$T$2:$T$104,MATCH("fpv_carrier",Phuong_tien_tham_chieu!$A$2:$A$104,0))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INDEX(Phuong_tien_tham_chieu!$T$2:$T$104,MATCH("fpv_carrier",Phuong_tien_tham_chieu!$A$2:$A$104,0))/INDEX(Phuong_tien_tham_chieu!$S$2:$S$104,MATCH("fpv_carrier",Phuong_tien_tham_chieu!$A$2:$A$104,0))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INDEX(Phuong_tien_tham_chieu!$U$2:$U$104,MATCH("heavy_bomber",Phuong_tien_tham_chieu!$A$2:$A$104,0))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INDEX(Phuong_tien_tham_chieu!$U$2:$U$104,MATCH("heavy_bomber",Phuong_tien_tham_chieu!$A$2:$A$104,0))/INDEX(Phuong_tien_tham_chieu!$S$2:$S$104,MATCH("heavy_bomber",Phuong_tien_tham_chieu!$A$2:$A$104,0))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TC0088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INDEX(Phuong_tien_tham_chieu!$S$2:$S$104,MATCH("heavy_bomber",Phuong_tien_tham_chieu!$A$2:$A$104,0))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INDEX(Phuong_tien_tham_chieu!$T$2:$T$104,MATCH("heavy_bomber",Phuong_tien_tham_chieu!$A$2:$A$104,0))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INDEX(Phuong_tien_tham_chieu!$T$2:$T$104,MATCH("heavy_bomber",Phuong_tien_tham_chieu!$A$2:$A$104,0))/INDEX(Phuong_tien_tham_chieu!$S$2:$S$104,MATCH("heavy_bomber",Phuong_tien_tham_chieu!$A$2:$A$104,0))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INDEX(Phuong_tien_tham_chieu!$U$2:$U$104,MATCH("heavy_rocket_artillery",Phuong_tien_tham_chieu!$A$2:$A$104,0))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INDEX(Phuong_tien_tham_chieu!$U$2:$U$104,MATCH("heavy_rocket_artillery",Phuong_tien_tham_chieu!$A$2:$A$104,0))/INDEX(Phuong_tien_tham_chieu!$S$2:$S$104,MATCH("heavy_rocket_artillery",Phuong_tien_tham_chieu!$A$2:$A$104,0))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TC0089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INDEX(Phuong_tien_tham_chieu!$S$2:$S$104,MATCH("heavy_rocket_artillery",Phuong_tien_tham_chieu!$A$2:$A$104,0))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INDEX(Phuong_tien_tham_chieu!$T$2:$T$104,MATCH("heavy_rocket_artillery",Phuong_tien_tham_chieu!$A$2:$A$104,0))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INDEX(Phuong_tien_tham_chieu!$T$2:$T$104,MATCH("heavy_rocket_artillery",Phuong_tien_tham_chieu!$A$2:$A$104,0))/INDEX(Phuong_tien_tham_chieu!$S$2:$S$104,MATCH("heavy_rocket_artillery",Phuong_tien_tham_chieu!$A$2:$A$104,0))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INDEX(Phuong_tien_tham_chieu!$U$2:$U$104,MATCH("ifv",Phuong_tien_tham_chieu!$A$2:$A$104,0))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INDEX(Phuong_tien_tham_chieu!$U$2:$U$104,MATCH("ifv",Phuong_tien_tham_chieu!$A$2:$A$104,0))/INDEX(Phuong_tien_tham_chieu!$S$2:$S$104,MATCH("ifv",Phuong_tien_tham_chieu!$A$2:$A$104,0))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INDEX(Phuong_tien_tham_chieu!$S$2:$S$104,MATCH("ifv",Phuong_tien_tham_chieu!$A$2:$A$104,0))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INDEX(Phuong_tien_tham_chieu!$T$2:$T$104,MATCH("ifv",Phuong_tien_tham_chieu!$A$2:$A$104,0))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INDEX(Phuong_tien_tham_chieu!$T$2:$T$104,MATCH("ifv",Phuong_tien_tham_chieu!$A$2:$A$104,0))/INDEX(Phuong_tien_tham_chieu!$S$2:$S$104,MATCH("ifv",Phuong_tien_tham_chieu!$A$2:$A$104,0))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INDEX(Phuong_tien_tham_chieu!$U$2:$U$104,MATCH("light_tank",Phuong_tien_tham_chieu!$A$2:$A$104,0))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INDEX(Phuong_tien_tham_chieu!$U$2:$U$104,MATCH("light_tank",Phuong_tien_tham_chieu!$A$2:$A$104,0))/INDEX(Phuong_tien_tham_chieu!$S$2:$S$104,MATCH("light_tank",Phuong_tien_tham_chieu!$A$2:$A$104,0))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INDEX(Phuong_tien_tham_chieu!$S$2:$S$104,MATCH("light_tank",Phuong_tien_tham_chieu!$A$2:$A$104,0))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INDEX(Phuong_tien_tham_chieu!$T$2:$T$104,MATCH("light_tank",Phuong_tien_tham_chieu!$A$2:$A$104,0))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INDEX(Phuong_tien_tham_chieu!$T$2:$T$104,MATCH("light_tank",Phuong_tien_tham_chieu!$A$2:$A$104,0))/INDEX(Phuong_tien_tham_chieu!$S$2:$S$104,MATCH("light_tank",Phuong_tien_tham_chieu!$A$2:$A$104,0))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INDEX(Phuong_tien_tham_chieu!$U$2:$U$104,MATCH("main_battle_tank",Phuong_tien_tham_chieu!$A$2:$A$104,0))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INDEX(Phuong_tien_tham_chieu!$U$2:$U$104,MATCH("main_battle_tank",Phuong_tien_tham_chieu!$A$2:$A$104,0))/INDEX(Phuong_tien_tham_chieu!$S$2:$S$104,MATCH("main_battle_tank",Phuong_tien_tham_chieu!$A$2:$A$104,0))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TC0090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INDEX(Phuong_tien_tham_chieu!$S$2:$S$104,MATCH("main_battle_tank",Phuong_tien_tham_chieu!$A$2:$A$104,0))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INDEX(Phuong_tien_tham_chieu!$T$2:$T$104,MATCH("main_battle_tank",Phuong_tien_tham_chieu!$A$2:$A$104,0))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INDEX(Phuong_tien_tham_chieu!$T$2:$T$104,MATCH("main_battle_tank",Phuong_tien_tham_chieu!$A$2:$A$104,0))/INDEX(Phuong_tien_tham_chieu!$S$2:$S$104,MATCH("main_battle_tank",Phuong_tien_tham_chieu!$A$2:$A$104,0))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INDEX(Phuong_tien_tham_chieu!$U$2:$U$104,MATCH("mlrs",Phuong_tien_tham_chieu!$A$2:$A$104,0))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INDEX(Phuong_tien_tham_chieu!$U$2:$U$104,MATCH("mlrs",Phuong_tien_tham_chieu!$A$2:$A$104,0))/INDEX(Phuong_tien_tham_chieu!$S$2:$S$104,MATCH("mlrs",Phuong_tien_tham_chieu!$A$2:$A$104,0))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INDEX(Phuong_tien_tham_chieu!$S$2:$S$104,MATCH("mlrs",Phuong_tien_tham_chieu!$A$2:$A$104,0))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INDEX(Phuong_tien_tham_chieu!$T$2:$T$104,MATCH("mlrs",Phuong_tien_tham_chieu!$A$2:$A$104,0))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INDEX(Phuong_tien_tham_chieu!$T$2:$T$104,MATCH("mlrs",Phuong_tien_tham_chieu!$A$2:$A$104,0))/INDEX(Phuong_tien_tham_chieu!$S$2:$S$104,MATCH("mlrs",Phuong_tien_tham_chieu!$A$2:$A$104,0))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INDEX(Phuong_tien_tham_chieu!$U$2:$U$104,MATCH("mortar_carrier",Phuong_tien_tham_chieu!$A$2:$A$104,0))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INDEX(Phuong_tien_tham_chieu!$U$2:$U$104,MATCH("mortar_carrier",Phuong_tien_tham_chieu!$A$2:$A$104,0))/INDEX(Phuong_tien_tham_chieu!$S$2:$S$104,MATCH("mortar_carrier",Phuong_tien_tham_chieu!$A$2:$A$104,0))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TC0091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INDEX(Phuong_tien_tham_chieu!$S$2:$S$104,MATCH("mortar_carrier",Phuong_tien_tham_chieu!$A$2:$A$104,0))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INDEX(Phuong_tien_tham_chieu!$T$2:$T$104,MATCH("mortar_carrier",Phuong_tien_tham_chieu!$A$2:$A$104,0))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INDEX(Phuong_tien_tham_chieu!$T$2:$T$104,MATCH("mortar_carrier",Phuong_tien_tham_chieu!$A$2:$A$104,0))/INDEX(Phuong_tien_tham_chieu!$S$2:$S$104,MATCH("mortar_carrier",Phuong_tien_tham_chieu!$A$2:$A$104,0))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INDEX(Phuong_tien_tham_chieu!$U$2:$U$104,MATCH("next_gen_tank",Phuong_tien_tham_chieu!$A$2:$A$104,0))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INDEX(Phuong_tien_tham_chieu!$U$2:$U$104,MATCH("next_gen_tank",Phuong_tien_tham_chieu!$A$2:$A$104,0))/INDEX(Phuong_tien_tham_chieu!$S$2:$S$104,MATCH("next_gen_tank",Phuong_tien_tham_chieu!$A$2:$A$104,0))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TC0092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INDEX(Phuong_tien_tham_chieu!$S$2:$S$104,MATCH("next_gen_tank",Phuong_tien_tham_chieu!$A$2:$A$104,0))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INDEX(Phuong_tien_tham_chieu!$T$2:$T$104,MATCH("next_gen_tank",Phuong_tien_tham_chieu!$A$2:$A$104,0))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INDEX(Phuong_tien_tham_chieu!$T$2:$T$104,MATCH("next_gen_tank",Phuong_tien_tham_chieu!$A$2:$A$104,0))/INDEX(Phuong_tien_tham_chieu!$S$2:$S$104,MATCH("next_gen_tank",Phuong_tien_tham_chieu!$A$2:$A$104,0))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INDEX(Phuong_tien_tham_chieu!$U$2:$U$104,MATCH("recon_drone",Phuong_tien_tham_chieu!$A$2:$A$104,0))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INDEX(Phuong_tien_tham_chieu!$U$2:$U$104,MATCH("recon_drone",Phuong_tien_tham_chieu!$A$2:$A$104,0))/INDEX(Phuong_tien_tham_chieu!$S$2:$S$104,MATCH("recon_drone",Phuong_tien_tham_chieu!$A$2:$A$104,0))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TC0093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INDEX(Phuong_tien_tham_chieu!$S$2:$S$104,MATCH("recon_drone",Phuong_tien_tham_chieu!$A$2:$A$104,0))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INDEX(Phuong_tien_tham_chieu!$T$2:$T$104,MATCH("recon_drone",Phuong_tien_tham_chieu!$A$2:$A$104,0))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INDEX(Phuong_tien_tham_chieu!$T$2:$T$104,MATCH("recon_drone",Phuong_tien_tham_chieu!$A$2:$A$104,0))/INDEX(Phuong_tien_tham_chieu!$S$2:$S$104,MATCH("recon_drone",Phuong_tien_tham_chieu!$A$2:$A$104,0))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INDEX(Phuong_tien_tham_chieu!$U$2:$U$104,MATCH("rocket_technical",Phuong_tien_tham_chieu!$A$2:$A$104,0))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INDEX(Phuong_tien_tham_chieu!$U$2:$U$104,MATCH("rocket_technical",Phuong_tien_tham_chieu!$A$2:$A$104,0))/INDEX(Phuong_tien_tham_chieu!$S$2:$S$104,MATCH("rocket_technical",Phuong_tien_tham_chieu!$A$2:$A$104,0))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TC0094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INDEX(Phuong_tien_tham_chieu!$S$2:$S$104,MATCH("rocket_technical",Phuong_tien_tham_chieu!$A$2:$A$104,0))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INDEX(Phuong_tien_tham_chieu!$T$2:$T$104,MATCH("rocket_technical",Phuong_tien_tham_chieu!$A$2:$A$104,0))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INDEX(Phuong_tien_tham_chieu!$T$2:$T$104,MATCH("rocket_technical",Phuong_tien_tham_chieu!$A$2:$A$104,0))/INDEX(Phuong_tien_tham_chieu!$S$2:$S$104,MATCH("rocket_technical",Phuong_tien_tham_chieu!$A$2:$A$104,0))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INDEX(Phuong_tien_tham_chieu!$U$2:$U$104,MATCH("sam_launcher",Phuong_tien_tham_chieu!$A$2:$A$104,0))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INDEX(Phuong_tien_tham_chieu!$U$2:$U$104,MATCH("sam_launcher",Phuong_tien_tham_chieu!$A$2:$A$104,0))/INDEX(Phuong_tien_tham_chieu!$S$2:$S$104,MATCH("sam_launcher",Phuong_tien_tham_chieu!$A$2:$A$104,0))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INDEX(Phuong_tien_tham_chieu!$S$2:$S$104,MATCH("sam_launcher",Phuong_tien_tham_chieu!$A$2:$A$104,0))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INDEX(Phuong_tien_tham_chieu!$T$2:$T$104,MATCH("sam_launcher",Phuong_tien_tham_chieu!$A$2:$A$104,0))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INDEX(Phuong_tien_tham_chieu!$T$2:$T$104,MATCH("sam_launcher",Phuong_tien_tham_chieu!$A$2:$A$104,0))/INDEX(Phuong_tien_tham_chieu!$S$2:$S$104,MATCH("sam_launcher",Phuong_tien_tham_chieu!$A$2:$A$104,0))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INDEX(Phuong_tien_tham_chieu!$U$2:$U$104,MATCH("scout_heli",Phuong_tien_tham_chieu!$A$2:$A$104,0))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INDEX(Phuong_tien_tham_chieu!$U$2:$U$104,MATCH("scout_heli",Phuong_tien_tham_chieu!$A$2:$A$104,0))/INDEX(Phuong_tien_tham_chieu!$S$2:$S$104,MATCH("scout_heli",Phuong_tien_tham_chieu!$A$2:$A$104,0))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TC0095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INDEX(Phuong_tien_tham_chieu!$S$2:$S$104,MATCH("scout_heli",Phuong_tien_tham_chieu!$A$2:$A$104,0))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INDEX(Phuong_tien_tham_chieu!$T$2:$T$104,MATCH("scout_heli",Phuong_tien_tham_chieu!$A$2:$A$104,0))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INDEX(Phuong_tien_tham_chieu!$T$2:$T$104,MATCH("scout_heli",Phuong_tien_tham_chieu!$A$2:$A$104,0))/INDEX(Phuong_tien_tham_chieu!$S$2:$S$104,MATCH("scout_heli",Phuong_tien_tham_chieu!$A$2:$A$104,0))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INDEX(Phuong_tien_tham_chieu!$U$2:$U$104,MATCH("scout_jeep",Phuong_tien_tham_chieu!$A$2:$A$104,0))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INDEX(Phuong_tien_tham_chieu!$U$2:$U$104,MATCH("scout_jeep",Phuong_tien_tham_chieu!$A$2:$A$104,0))/INDEX(Phuong_tien_tham_chieu!$S$2:$S$104,MATCH("scout_jeep",Phuong_tien_tham_chieu!$A$2:$A$104,0))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INDEX(Phuong_tien_tham_chieu!$S$2:$S$104,MATCH("scout_jeep",Phuong_tien_tham_chieu!$A$2:$A$104,0))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INDEX(Phuong_tien_tham_chieu!$T$2:$T$104,MATCH("scout_jeep",Phuong_tien_tham_chieu!$A$2:$A$104,0))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INDEX(Phuong_tien_tham_chieu!$T$2:$T$104,MATCH("scout_jeep",Phuong_tien_tham_chieu!$A$2:$A$104,0))/INDEX(Phuong_tien_tham_chieu!$S$2:$S$104,MATCH("scout_jeep",Phuong_tien_tham_chieu!$A$2:$A$104,0))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INDEX(Phuong_tien_tham_chieu!$U$2:$U$104,MATCH("shield_carrier",Phuong_tien_tham_chieu!$A$2:$A$104,0))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INDEX(Phuong_tien_tham_chieu!$U$2:$U$104,MATCH("shield_carrier",Phuong_tien_tham_chieu!$A$2:$A$104,0))/INDEX(Phuong_tien_tham_chieu!$S$2:$S$104,MATCH("shield_carrier",Phuong_tien_tham_chieu!$A$2:$A$104,0))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TC0096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INDEX(Phuong_tien_tham_chieu!$S$2:$S$104,MATCH("shield_carrier",Phuong_tien_tham_chieu!$A$2:$A$104,0))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INDEX(Phuong_tien_tham_chieu!$T$2:$T$104,MATCH("shield_carrier",Phuong_tien_tham_chieu!$A$2:$A$104,0))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INDEX(Phuong_tien_tham_chieu!$T$2:$T$104,MATCH("shield_carrier",Phuong_tien_tham_chieu!$A$2:$A$104,0))/INDEX(Phuong_tien_tham_chieu!$S$2:$S$104,MATCH("shield_carrier",Phuong_tien_tham_chieu!$A$2:$A$104,0))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INDEX(Phuong_tien_tham_chieu!$U$2:$U$104,MATCH("siege_tank",Phuong_tien_tham_chieu!$A$2:$A$104,0))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INDEX(Phuong_tien_tham_chieu!$U$2:$U$104,MATCH("siege_tank",Phuong_tien_tham_chieu!$A$2:$A$104,0))/INDEX(Phuong_tien_tham_chieu!$S$2:$S$104,MATCH("siege_tank",Phuong_tien_tham_chieu!$A$2:$A$104,0))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INDEX(Phuong_tien_tham_chieu!$S$2:$S$104,MATCH("siege_tank",Phuong_tien_tham_chieu!$A$2:$A$104,0))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INDEX(Phuong_tien_tham_chieu!$T$2:$T$104,MATCH("siege_tank",Phuong_tien_tham_chieu!$A$2:$A$104,0))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INDEX(Phuong_tien_tham_chieu!$T$2:$T$104,MATCH("siege_tank",Phuong_tien_tham_chieu!$A$2:$A$104,0))/INDEX(Phuong_tien_tham_chieu!$S$2:$S$104,MATCH("siege_tank",Phuong_tien_tham_chieu!$A$2:$A$104,0))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INDEX(Phuong_tien_tham_chieu!$U$2:$U$104,MATCH("sky_gunship",Phuong_tien_tham_chieu!$A$2:$A$104,0))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INDEX(Phuong_tien_tham_chieu!$U$2:$U$104,MATCH("sky_gunship",Phuong_tien_tham_chieu!$A$2:$A$104,0))/INDEX(Phuong_tien_tham_chieu!$S$2:$S$104,MATCH("sky_gunship",Phuong_tien_tham_chieu!$A$2:$A$104,0))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INDEX(Phuong_tien_tham_chieu!$S$2:$S$104,MATCH("sky_gunship",Phuong_tien_tham_chieu!$A$2:$A$104,0))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INDEX(Phuong_tien_tham_chieu!$T$2:$T$104,MATCH("sky_gunship",Phuong_tien_tham_chieu!$A$2:$A$104,0))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INDEX(Phuong_tien_tham_chieu!$T$2:$T$104,MATCH("sky_gunship",Phuong_tien_tham_chieu!$A$2:$A$104,0))/INDEX(Phuong_tien_tham_chieu!$S$2:$S$104,MATCH("sky_gunship",Phuong_tien_tham_chieu!$A$2:$A$104,0))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INDEX(Phuong_tien_tham_chieu!$U$2:$U$104,MATCH("stealth_bomber",Phuong_tien_tham_chieu!$A$2:$A$104,0))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INDEX(Phuong_tien_tham_chieu!$U$2:$U$104,MATCH("stealth_bomber",Phuong_tien_tham_chieu!$A$2:$A$104,0))/INDEX(Phuong_tien_tham_chieu!$S$2:$S$104,MATCH("stealth_bomber",Phuong_tien_tham_chieu!$A$2:$A$104,0))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TC0097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INDEX(Phuong_tien_tham_chieu!$S$2:$S$104,MATCH("stealth_bomber",Phuong_tien_tham_chieu!$A$2:$A$104,0))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INDEX(Phuong_tien_tham_chieu!$T$2:$T$104,MATCH("stealth_bomber",Phuong_tien_tham_chieu!$A$2:$A$104,0))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INDEX(Phuong_tien_tham_chieu!$T$2:$T$104,MATCH("stealth_bomber",Phuong_tien_tham_chieu!$A$2:$A$104,0))/INDEX(Phuong_tien_tham_chieu!$S$2:$S$104,MATCH("stealth_bomber",Phuong_tien_tham_chieu!$A$2:$A$104,0))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INDEX(Phuong_tien_tham_chieu!$U$2:$U$104,MATCH("stealth_fighter",Phuong_tien_tham_chieu!$A$2:$A$104,0))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INDEX(Phuong_tien_tham_chieu!$U$2:$U$104,MATCH("stealth_fighter",Phuong_tien_tham_chieu!$A$2:$A$104,0))/INDEX(Phuong_tien_tham_chieu!$S$2:$S$104,MATCH("stealth_fighter",Phuong_tien_tham_chieu!$A$2:$A$104,0))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TC0098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INDEX(Phuong_tien_tham_chieu!$S$2:$S$104,MATCH("stealth_fighter",Phuong_tien_tham_chieu!$A$2:$A$104,0))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INDEX(Phuong_tien_tham_chieu!$T$2:$T$104,MATCH("stealth_fighter",Phuong_tien_tham_chieu!$A$2:$A$104,0))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INDEX(Phuong_tien_tham_chieu!$T$2:$T$104,MATCH("stealth_fighter",Phuong_tien_tham_chieu!$A$2:$A$104,0))/INDEX(Phuong_tien_tham_chieu!$S$2:$S$104,MATCH("stealth_fighter",Phuong_tien_tham_chieu!$A$2:$A$104,0))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INDEX(Phuong_tien_tham_chieu!$U$2:$U$104,MATCH("stealth_naval_strike",Phuong_tien_tham_chieu!$A$2:$A$104,0))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INDEX(Phuong_tien_tham_chieu!$U$2:$U$104,MATCH("stealth_naval_strike",Phuong_tien_tham_chieu!$A$2:$A$104,0))/INDEX(Phuong_tien_tham_chieu!$S$2:$S$104,MATCH("stealth_naval_strike",Phuong_tien_tham_chieu!$A$2:$A$104,0))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TC0099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INDEX(Phuong_tien_tham_chieu!$S$2:$S$104,MATCH("stealth_naval_strike",Phuong_tien_tham_chieu!$A$2:$A$104,0))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INDEX(Phuong_tien_tham_chieu!$T$2:$T$104,MATCH("stealth_naval_strike",Phuong_tien_tham_chieu!$A$2:$A$104,0))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INDEX(Phuong_tien_tham_chieu!$T$2:$T$104,MATCH("stealth_naval_strike",Phuong_tien_tham_chieu!$A$2:$A$104,0))/INDEX(Phuong_tien_tham_chieu!$S$2:$S$104,MATCH("stealth_naval_strike",Phuong_tien_tham_chieu!$A$2:$A$104,0))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INDEX(Phuong_tien_tham_chieu!$U$2:$U$104,MATCH("strike_drone",Phuong_tien_tham_chieu!$A$2:$A$104,0))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INDEX(Phuong_tien_tham_chieu!$U$2:$U$104,MATCH("strike_drone",Phuong_tien_tham_chieu!$A$2:$A$104,0))/INDEX(Phuong_tien_tham_chieu!$S$2:$S$104,MATCH("strike_drone",Phuong_tien_tham_chieu!$A$2:$A$104,0))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TC0100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INDEX(Phuong_tien_tham_chieu!$S$2:$S$104,MATCH("strike_drone",Phuong_tien_tham_chieu!$A$2:$A$104,0))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INDEX(Phuong_tien_tham_chieu!$T$2:$T$104,MATCH("strike_drone",Phuong_tien_tham_chieu!$A$2:$A$104,0))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INDEX(Phuong_tien_tham_chieu!$T$2:$T$104,MATCH("strike_drone",Phuong_tien_tham_chieu!$A$2:$A$104,0))/INDEX(Phuong_tien_tham_chieu!$S$2:$S$104,MATCH("strike_drone",Phuong_tien_tham_chieu!$A$2:$A$104,0))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INDEX(Phuong_tien_tham_chieu!$U$2:$U$104,MATCH("supply_truck",Phuong_tien_tham_chieu!$A$2:$A$104,0))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INDEX(Phuong_tien_tham_chieu!$U$2:$U$104,MATCH("supply_truck",Phuong_tien_tham_chieu!$A$2:$A$104,0))/INDEX(Phuong_tien_tham_chieu!$S$2:$S$104,MATCH("supply_truck",Phuong_tien_tham_chieu!$A$2:$A$104,0))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INDEX(Phuong_tien_tham_chieu!$S$2:$S$104,MATCH("supply_truck",Phuong_tien_tham_chieu!$A$2:$A$104,0))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INDEX(Phuong_tien_tham_chieu!$T$2:$T$104,MATCH("supply_truck",Phuong_tien_tham_chieu!$A$2:$A$104,0))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INDEX(Phuong_tien_tham_chieu!$T$2:$T$104,MATCH("supply_truck",Phuong_tien_tham_chieu!$A$2:$A$104,0))/INDEX(Phuong_tien_tham_chieu!$S$2:$S$104,MATCH("supply_truck",Phuong_tien_tham_chieu!$A$2:$A$104,0))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INDEX(Phuong_tien_tham_chieu!$U$2:$U$104,MATCH("swarm_carrier",Phuong_tien_tham_chieu!$A$2:$A$104,0))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INDEX(Phuong_tien_tham_chieu!$U$2:$U$104,MATCH("swarm_carrier",Phuong_tien_tham_chieu!$A$2:$A$104,0))/INDEX(Phuong_tien_tham_chieu!$S$2:$S$104,MATCH("swarm_carrier",Phuong_tien_tham_chieu!$A$2:$A$104,0))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INDEX(Phuong_tien_tham_chieu!$S$2:$S$104,MATCH("swarm_carrier",Phuong_tien_tham_chieu!$A$2:$A$104,0))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INDEX(Phuong_tien_tham_chieu!$T$2:$T$104,MATCH("swarm_carrier",Phuong_tien_tham_chieu!$A$2:$A$104,0))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INDEX(Phuong_tien_tham_chieu!$T$2:$T$104,MATCH("swarm_carrier",Phuong_tien_tham_chieu!$A$2:$A$104,0))/INDEX(Phuong_tien_tham_chieu!$S$2:$S$104,MATCH("swarm_carrier",Phuong_tien_tham_chieu!$A$2:$A$104,0))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INDEX(Phuong_tien_tham_chieu!$U$2:$U$104,MATCH("tank_destroyer",Phuong_tien_tham_chieu!$A$2:$A$104,0))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TC0101</t>
        </is>
      </c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INDEX(Phuong_tien_tham_chieu!$U$2:$U$104,MATCH("tank_destroyer",Phuong_tien_tham_chieu!$A$2:$A$104,0))/INDEX(Phuong_tien_tham_chieu!$S$2:$S$104,MATCH("tank_destroyer",Phuong_tien_tham_chieu!$A$2:$A$104,0))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TC0102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INDEX(Phuong_tien_tham_chieu!$S$2:$S$104,MATCH("tank_destroyer",Phuong_tien_tham_chieu!$A$2:$A$104,0))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INDEX(Phuong_tien_tham_chieu!$T$2:$T$104,MATCH("tank_destroyer",Phuong_tien_tham_chieu!$A$2:$A$104,0))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INDEX(Phuong_tien_tham_chieu!$T$2:$T$104,MATCH("tank_destroyer",Phuong_tien_tham_chieu!$A$2:$A$104,0))/INDEX(Phuong_tien_tham_chieu!$S$2:$S$104,MATCH("tank_destroyer",Phuong_tien_tham_chieu!$A$2:$A$104,0))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INDEX(Phuong_tien_tham_chieu!$S$2:$S$104,MATCH("thermobaric_launcher",Phuong_tien_tham_chieu!$A$2:$A$104,0))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>
        <is>
          <t>TC0103</t>
        </is>
      </c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INDEX(Phuong_tien_tham_chieu!$T$2:$T$104,MATCH("thermobaric_launcher",Phuong_tien_tham_chieu!$A$2:$A$104,0))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INDEX(Phuong_tien_tham_chieu!$T$2:$T$104,MATCH("thermobaric_launcher",Phuong_tien_tham_chieu!$A$2:$A$104,0))/INDEX(Phuong_tien_tham_chieu!$S$2:$S$104,MATCH("thermobaric_launcher",Phuong_tien_tham_chieu!$A$2:$A$104,0))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TC0104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INDEX(Phuong_tien_tham_chieu!$U$2:$U$104,MATCH("wheeled_gun",Phuong_tien_tham_chieu!$A$2:$A$104,0))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INDEX(Phuong_tien_tham_chieu!$U$2:$U$104,MATCH("wheeled_gun",Phuong_tien_tham_chieu!$A$2:$A$104,0))/INDEX(Phuong_tien_tham_chieu!$S$2:$S$104,MATCH("wheeled_gun",Phuong_tien_tham_chieu!$A$2:$A$104,0))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TC0105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INDEX(Phuong_tien_tham_chieu!$S$2:$S$104,MATCH("wheeled_gun",Phuong_tien_tham_chieu!$A$2:$A$104,0))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INDEX(Phuong_tien_tham_chieu!$T$2:$T$104,MATCH("wheeled_gun",Phuong_tien_tham_chieu!$A$2:$A$104,0))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INDEX(Phuong_tien_tham_chieu!$T$2:$T$104,MATCH("wheeled_gun",Phuong_tien_tham_chieu!$A$2:$A$104,0))/INDEX(Phuong_tien_tham_chieu!$S$2:$S$104,MATCH("wheeled_gun",Phuong_tien_tham_chieu!$A$2:$A$104,0))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TC0106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INDEX(Phuong_tien_tham_chieu!$U$2:$U$104,MATCH("zu23_technical",Phuong_tien_tham_chieu!$A$2:$A$104,0))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INDEX(Phuong_tien_tham_chieu!$U$2:$U$104,MATCH("zu23_technical",Phuong_tien_tham_chieu!$A$2:$A$104,0))/INDEX(Phuong_tien_tham_chieu!$S$2:$S$104,MATCH("zu23_technical",Phuong_tien_tham_chieu!$A$2:$A$104,0))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INDEX(Phuong_tien_tham_chieu!$S$2:$S$104,MATCH("zu23_technical",Phuong_tien_tham_chieu!$A$2:$A$104,0))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INDEX(Phuong_tien_tham_chieu!$T$2:$T$104,MATCH("zu23_technical",Phuong_tien_tham_chieu!$A$2:$A$104,0))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INDEX(Phuong_tien_tham_chieu!$T$2:$T$104,MATCH("zu23_technical",Phuong_tien_tham_chieu!$A$2:$A$104,0))/INDEX(Phuong_tien_tham_chieu!$S$2:$S$104,MATCH("zu23_technical",Phuong_tien_tham_chieu!$A$2:$A$104,0))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1.2;1.0;0.85;0.55;0.25;0.1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{"value":[1.2,1.0,0.85,0.55,0.25,0.1],"unit":"x","kind":"sat_thuong","linh_vuc":"01","code":"DamageTable.DefaultPenetration"}</t>
        </is>
      </c>
    </row>
    <row r="24">
      <c r="A24" t="inlineStr">
        <is>
          <t>weapons.fire.firestormShare</t>
        </is>
      </c>
      <c r="B24" t="inlineStr">
        <is>
          <t>fire</t>
        </is>
      </c>
      <c r="C24" t="inlineStr">
        <is>
          <t>firestormShare</t>
        </is>
      </c>
      <c r="D24" t="n">
        <v>0.1</v>
      </c>
      <c r="F24" t="inlineStr">
        <is>
          <t>share</t>
        </is>
      </c>
      <c r="G24" t="inlineStr">
        <is>
          <t>khac</t>
        </is>
      </c>
      <c r="H24" t="inlineStr">
        <is>
          <t>01</t>
        </is>
      </c>
      <c r="I24" t="inlineStr">
        <is>
          <t>GearSystem (pack 2, was Sim/Abilities/GearSystem.cs:847)</t>
        </is>
      </c>
      <c r="J24" t="inlineStr">
        <is>
          <t>Assets/MachineBrigade/Resources/Data/tunables.json: weapons.fire.firestormShare</t>
        </is>
      </c>
      <c r="K24" t="inlineStr">
        <is>
          <t>{"value":0.1,"unit":"share","kind":"khac","linh_vuc":"01","code":"GearSystem (pack 2, was Sim/Abilities/GearSystem.cs:847)"}</t>
        </is>
      </c>
    </row>
    <row r="25">
      <c r="A25" t="inlineStr">
        <is>
          <t>weapons.fire.firestormSpreadRadiusSqM</t>
        </is>
      </c>
      <c r="B25" t="inlineStr">
        <is>
          <t>fire</t>
        </is>
      </c>
      <c r="C25" t="inlineStr">
        <is>
          <t>firestormSpreadRadiusSqM</t>
        </is>
      </c>
      <c r="D25" t="n">
        <v>36</v>
      </c>
      <c r="F25" t="inlineStr">
        <is>
          <t>m2</t>
        </is>
      </c>
      <c r="G25" t="inlineStr">
        <is>
          <t>ban_kinh</t>
        </is>
      </c>
      <c r="H25" t="inlineStr">
        <is>
          <t>01</t>
        </is>
      </c>
      <c r="I25" t="inlineStr">
        <is>
          <t>GearSystem (pack 2, was Sim/Abilities/GearSystem.cs:1256)</t>
        </is>
      </c>
      <c r="J25" t="inlineStr">
        <is>
          <t>Assets/MachineBrigade/Resources/Data/tunables.json: weapons.fire.firestormSpreadRadiusSqM</t>
        </is>
      </c>
      <c r="K25" t="inlineStr">
        <is>
          <t>{"value":36.0,"unit":"m2","kind":"ban_kinh","linh_vuc":"01","code":"GearSystem (pack 2, was Sim/Abilities/GearSystem.cs:1256)"}</t>
        </is>
      </c>
    </row>
    <row r="26">
      <c r="A26" t="inlineStr">
        <is>
          <t>weapons.fire.firestormSpreadSeconds</t>
        </is>
      </c>
      <c r="B26" t="inlineStr">
        <is>
          <t>fire</t>
        </is>
      </c>
      <c r="C26" t="inlineStr">
        <is>
          <t>firestormSpreadSeconds</t>
        </is>
      </c>
      <c r="D26" t="n">
        <v>4</v>
      </c>
      <c r="F26" t="inlineStr">
        <is>
          <t>s</t>
        </is>
      </c>
      <c r="G26" t="inlineStr">
        <is>
          <t>thoi_gian</t>
        </is>
      </c>
      <c r="H26" t="inlineStr">
        <is>
          <t>01</t>
        </is>
      </c>
      <c r="I26" t="inlineStr">
        <is>
          <t>GearSystem (pack 2, was Sim/Abilities/GearSystem.cs:1265)</t>
        </is>
      </c>
      <c r="J26" t="inlineStr">
        <is>
          <t>Assets/MachineBrigade/Resources/Data/tunables.json: weapons.fire.firestormSpreadSeconds</t>
        </is>
      </c>
      <c r="K26" t="inlineStr">
        <is>
          <t>{"value":4.0,"unit":"s","kind":"thoi_gian","linh_vuc":"01","code":"GearSystem (pack 2, was Sim/Abilities/GearSystem.cs:1265)"}</t>
        </is>
      </c>
    </row>
    <row r="27">
      <c r="A27" t="inlineStr">
        <is>
          <t>weapons.fire.incendiaryFlameSeconds</t>
        </is>
      </c>
      <c r="B27" t="inlineStr">
        <is>
          <t>fire</t>
        </is>
      </c>
      <c r="C27" t="inlineStr">
        <is>
          <t>incendiaryFlameSeconds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Sim/Abilities/GearSystem.cs:846)</t>
        </is>
      </c>
      <c r="J27" t="inlineStr">
        <is>
          <t>Assets/MachineBrigade/Resources/Data/tunables.json: weapons.fire.incendiaryFlameSeconds</t>
        </is>
      </c>
      <c r="K27" t="inlineStr">
        <is>
          <t>{"value":6.0,"unit":"s","kind":"thoi_gian","linh_vuc":"01","code":"GearSystem (pack 2, was Sim/Abilities/GearSystem.cs:846)"}</t>
        </is>
      </c>
    </row>
    <row r="28">
      <c r="A28" t="inlineStr">
        <is>
          <t>weapons.fire.incendiaryOtherSeconds</t>
        </is>
      </c>
      <c r="B28" t="inlineStr">
        <is>
          <t>fire</t>
        </is>
      </c>
      <c r="C28" t="inlineStr">
        <is>
          <t>incendiaryOtherSeconds</t>
        </is>
      </c>
      <c r="D28" t="n">
        <v>4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weapons.fire.incendiaryOtherSeconds</t>
        </is>
      </c>
      <c r="K28" t="inlineStr">
        <is>
          <t>{"value":4.0,"unit":"s","kind":"thoi_gian","linh_vuc":"01","code":"GearSystem (pack 2, was Sim/Abilities/GearSystem.cs:846)"}</t>
        </is>
      </c>
    </row>
    <row r="29">
      <c r="A29" t="inlineStr">
        <is>
          <t>weapons.guidance.baseFailChance</t>
        </is>
      </c>
      <c r="B29" t="inlineStr">
        <is>
          <t>guidance</t>
        </is>
      </c>
      <c r="C29" t="inlineStr">
        <is>
          <t>baseFailChance</t>
        </is>
      </c>
      <c r="D29" t="n">
        <v>0.02</v>
      </c>
      <c r="F29" t="inlineStr">
        <is>
          <t>share</t>
        </is>
      </c>
      <c r="G29" t="inlineStr">
        <is>
          <t>xac_suat</t>
        </is>
      </c>
      <c r="H29" t="inlineStr">
        <is>
          <t>01</t>
        </is>
      </c>
      <c r="I29" t="inlineStr">
        <is>
          <t>CombatSystem (pack 2, was Sim/Combat/CombatSystem.cs:1021)</t>
        </is>
      </c>
      <c r="J29" t="inlineStr">
        <is>
          <t>Assets/MachineBrigade/Resources/Data/tunables.json: weapons.guidance.baseFailChance</t>
        </is>
      </c>
      <c r="K29" t="inlineStr">
        <is>
          <t>{"value":0.02,"unit":"share","kind":"xac_suat","linh_vuc":"01","code":"CombatSystem (pack 2, was Sim/Combat/CombatSystem.cs:1021)"}</t>
        </is>
      </c>
    </row>
    <row r="30">
      <c r="A30" t="inlineStr">
        <is>
          <t>weapons.guidance.rangeFailCoeff</t>
        </is>
      </c>
      <c r="B30" t="inlineStr">
        <is>
          <t>guidance</t>
        </is>
      </c>
      <c r="C30" t="inlineStr">
        <is>
          <t>rangeFailCoeff</t>
        </is>
      </c>
      <c r="D30" t="n">
        <v>0.08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weapons.guidance.rangeFailCoeff</t>
        </is>
      </c>
      <c r="K30" t="inlineStr">
        <is>
          <t>{"value":0.08,"unit":"share","kind":"xac_suat","linh_vuc":"01","code":"CombatSystem (pack 2, was Sim/Combat/CombatSystem.cs:1021)"}</t>
        </is>
      </c>
    </row>
    <row r="31">
      <c r="A31" t="inlineStr">
        <is>
          <t>weapons.jamRules.guidedMissMin</t>
        </is>
      </c>
      <c r="B31" t="inlineStr">
        <is>
          <t>jamRules</t>
        </is>
      </c>
      <c r="C31" t="inlineStr">
        <is>
          <t>guidedMissMin</t>
        </is>
      </c>
      <c r="D31" t="n">
        <v>5</v>
      </c>
      <c r="F31" t="inlineStr">
        <is>
          <t>m</t>
        </is>
      </c>
      <c r="G31" t="inlineStr">
        <is>
          <t>ban_kinh</t>
        </is>
      </c>
      <c r="H31" t="inlineStr">
        <is>
          <t>01</t>
        </is>
      </c>
      <c r="I31" t="inlineStr">
        <is>
          <t>CombatSystem.Launch (jammed / lock lost)</t>
        </is>
      </c>
      <c r="J31" t="inlineStr">
        <is>
          <t>Assets/MachineBrigade/Resources/Data/tunables.json: weapons.jamRules.guidedMissMin</t>
        </is>
      </c>
      <c r="K31" t="inlineStr">
        <is>
          <t>{"value":5.0,"unit":"m","kind":"ban_kinh","linh_vuc":"01","code":"CombatSystem.Launch (jammed / lock lost)"}</t>
        </is>
      </c>
    </row>
    <row r="32">
      <c r="A32" t="inlineStr">
        <is>
          <t>weapons.jamRules.guidedMissSpread</t>
        </is>
      </c>
      <c r="B32" t="inlineStr">
        <is>
          <t>jamRules</t>
        </is>
      </c>
      <c r="C32" t="inlineStr">
        <is>
          <t>guidedMissSpread</t>
        </is>
      </c>
      <c r="D32" t="n">
        <v>6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weapons.jamRules.guidedMissSpread</t>
        </is>
      </c>
      <c r="K32" t="inlineStr">
        <is>
          <t>{"value":6.0,"unit":"m","kind":"ban_kinh","linh_vuc":"01","code":"CombatSystem.Launch (jammed / lock lost)"}</t>
        </is>
      </c>
    </row>
    <row r="33">
      <c r="A33" t="inlineStr">
        <is>
          <t>weapons.jamRules.strikeScatter</t>
        </is>
      </c>
      <c r="B33" t="inlineStr">
        <is>
          <t>jamRules</t>
        </is>
      </c>
      <c r="C33" t="inlineStr">
        <is>
          <t>strikeScatter</t>
        </is>
      </c>
      <c r="D33" t="n">
        <v>2.2</v>
      </c>
      <c r="F33" t="inlineStr">
        <is>
          <t>x</t>
        </is>
      </c>
      <c r="G33" t="inlineStr">
        <is>
          <t>ban_kinh</t>
        </is>
      </c>
      <c r="H33" t="inlineStr">
        <is>
          <t>01</t>
        </is>
      </c>
      <c r="I33" t="inlineStr">
        <is>
          <t>StrikeSystem.Launch Scatter</t>
        </is>
      </c>
      <c r="J33" t="inlineStr">
        <is>
          <t>Assets/MachineBrigade/Resources/Data/tunables.json: weapons.jamRules.strikeScatter</t>
        </is>
      </c>
      <c r="K33" t="inlineStr">
        <is>
          <t>{"value":2.2,"unit":"x","kind":"ban_kinh","linh_vuc":"01","code":"StrikeSystem.Launch Scatter"}</t>
        </is>
      </c>
    </row>
    <row r="34">
      <c r="A34" t="inlineStr">
        <is>
          <t>weapons.jamRules.swarmJamChance</t>
        </is>
      </c>
      <c r="B34" t="inlineStr">
        <is>
          <t>jamRules</t>
        </is>
      </c>
      <c r="C34" t="inlineStr">
        <is>
          <t>swarmJamChance</t>
        </is>
      </c>
      <c r="D34" t="n">
        <v>0.5</v>
      </c>
      <c r="F34" t="inlineStr">
        <is>
          <t>share</t>
        </is>
      </c>
      <c r="G34" t="inlineStr">
        <is>
          <t>nguong</t>
        </is>
      </c>
      <c r="H34" t="inlineStr">
        <is>
          <t>01</t>
        </is>
      </c>
      <c r="I34" t="inlineStr">
        <is>
          <t>BossSystem.BigAttacks swarm</t>
        </is>
      </c>
      <c r="J34" t="inlineStr">
        <is>
          <t>Assets/MachineBrigade/Resources/Data/tunables.json: weapons.jamRules.swarmJamChance</t>
        </is>
      </c>
      <c r="K34" t="inlineStr">
        <is>
          <t>{"value":0.5,"unit":"share","kind":"nguong","linh_vuc":"01","code":"BossSystem.BigAttacks swarm"}</t>
        </is>
      </c>
    </row>
    <row r="35">
      <c r="A35" t="inlineStr">
        <is>
          <t>weapons.weaponDef.escapeSpeed</t>
        </is>
      </c>
      <c r="B35" t="inlineStr">
        <is>
          <t>weaponDef</t>
        </is>
      </c>
      <c r="C35" t="inlineStr">
        <is>
          <t>escapeSpeed</t>
        </is>
      </c>
      <c r="D35" t="n">
        <v>4.5</v>
      </c>
      <c r="F35" t="inlineStr">
        <is>
          <t>m/s</t>
        </is>
      </c>
      <c r="G35" t="inlineStr">
        <is>
          <t>tan_suat</t>
        </is>
      </c>
      <c r="H35" t="inlineStr">
        <is>
          <t>01</t>
        </is>
      </c>
      <c r="I35" t="inlineStr">
        <is>
          <t>WeaponDef.EscapeSpeed</t>
        </is>
      </c>
      <c r="J35" t="inlineStr">
        <is>
          <t>Assets/MachineBrigade/Resources/Data/tunables.json: weapons.weaponDef.escapeSpeed</t>
        </is>
      </c>
      <c r="K35" t="inlineStr">
        <is>
          <t>{"value":4.5,"unit":"m/s","kind":"tan_suat","linh_vuc":"01","code":"WeaponDef.EscapeSpeed"}</t>
        </is>
      </c>
    </row>
    <row r="36">
      <c r="A36" t="inlineStr">
        <is>
          <t>weapons.weaponDef.heArmourMax</t>
        </is>
      </c>
      <c r="B36" t="inlineStr">
        <is>
          <t>weaponDef</t>
        </is>
      </c>
      <c r="C36" t="inlineStr">
        <is>
          <t>heArmourMax</t>
        </is>
      </c>
      <c r="D36" t="n">
        <v>1</v>
      </c>
      <c r="F36" t="inlineStr">
        <is>
          <t>armour level</t>
        </is>
      </c>
      <c r="G36" t="inlineStr">
        <is>
          <t>sat_thuong</t>
        </is>
      </c>
      <c r="H36" t="inlineStr">
        <is>
          <t>01</t>
        </is>
      </c>
      <c r="I36" t="inlineStr">
        <is>
          <t>WeaponDef.HeArmourMax</t>
        </is>
      </c>
      <c r="J36" t="inlineStr">
        <is>
          <t>Assets/MachineBrigade/Resources/Data/tunables.json: weapons.weaponDef.heArmourMax</t>
        </is>
      </c>
      <c r="K36" t="inlineStr">
        <is>
          <t>{"value":1,"unit":"armour level","kind":"sat_thuong","linh_vuc":"01","code":"WeaponDef.HeArmourMax"}</t>
        </is>
      </c>
    </row>
    <row r="37">
      <c r="A37" t="inlineStr">
        <is>
          <t>weapons.weaponDef.maxEdge</t>
        </is>
      </c>
      <c r="B37" t="inlineStr">
        <is>
          <t>weaponDef</t>
        </is>
      </c>
      <c r="C37" t="inlineStr">
        <is>
          <t>maxEdge</t>
        </is>
      </c>
      <c r="D37" t="n">
        <v>20</v>
      </c>
      <c r="F37" t="inlineStr">
        <is>
          <t>x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WeaponDef.MaxEdge</t>
        </is>
      </c>
      <c r="J37" t="inlineStr">
        <is>
          <t>Assets/MachineBrigade/Resources/Data/tunables.json: weapons.weaponDef.maxEdge</t>
        </is>
      </c>
      <c r="K37" t="inlineStr">
        <is>
          <t>{"value":20.0,"unit":"x","kind":"sat_thuong","linh_vuc":"01","code":"WeaponDef.MaxEdge"}</t>
        </is>
      </c>
    </row>
    <row r="38">
      <c r="A38" t="inlineStr">
        <is>
          <t>weapons.weaponDef.maxEdgeT5</t>
        </is>
      </c>
      <c r="B38" t="inlineStr">
        <is>
          <t>weaponDef</t>
        </is>
      </c>
      <c r="C38" t="inlineStr">
        <is>
          <t>maxEdgeT5</t>
        </is>
      </c>
      <c r="D38" t="n">
        <v>28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WeaponDef.MaxEdgeT5</t>
        </is>
      </c>
      <c r="J38" t="inlineStr">
        <is>
          <t>Assets/MachineBrigade/Resources/Data/tunables.json: weapons.weaponDef.maxEdgeT5</t>
        </is>
      </c>
      <c r="K38" t="inlineStr">
        <is>
          <t>{"value":28.0,"unit":"x","kind":"sat_thuong","linh_vuc":"01","code":"WeaponDef.MaxEdgeT5"}</t>
        </is>
      </c>
    </row>
    <row r="39">
      <c r="A39" t="inlineStr">
        <is>
          <t>weapons.weaponDef.maxWarning</t>
        </is>
      </c>
      <c r="B39" t="inlineStr">
        <is>
          <t>weaponDef</t>
        </is>
      </c>
      <c r="C39" t="inlineStr">
        <is>
          <t>maxWarning</t>
        </is>
      </c>
      <c r="D39" t="n">
        <v>6</v>
      </c>
      <c r="F39" t="inlineStr">
        <is>
          <t>s</t>
        </is>
      </c>
      <c r="G39" t="inlineStr">
        <is>
          <t>thoi_gian</t>
        </is>
      </c>
      <c r="H39" t="inlineStr">
        <is>
          <t>01</t>
        </is>
      </c>
      <c r="I39" t="inlineStr">
        <is>
          <t>WeaponDef.MaxWarning</t>
        </is>
      </c>
      <c r="J39" t="inlineStr">
        <is>
          <t>Assets/MachineBrigade/Resources/Data/tunables.json: weapons.weaponDef.maxWarning</t>
        </is>
      </c>
      <c r="K39" t="inlineStr">
        <is>
          <t>{"value":6.0,"unit":"s","kind":"thoi_gian","linh_vuc":"01","code":"WeaponDef.MaxWarning"}</t>
        </is>
      </c>
    </row>
    <row r="40">
      <c r="A40" t="inlineStr">
        <is>
          <t>weapons.weaponDef.minSwitchSeconds</t>
        </is>
      </c>
      <c r="B40" t="inlineStr">
        <is>
          <t>weaponDef</t>
        </is>
      </c>
      <c r="C40" t="inlineStr">
        <is>
          <t>minSwitchSeconds</t>
        </is>
      </c>
      <c r="D40" t="n">
        <v>0.5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WeaponDef.MinSwitchSeconds</t>
        </is>
      </c>
      <c r="J40" t="inlineStr">
        <is>
          <t>Assets/MachineBrigade/Resources/Data/tunables.json: weapons.weaponDef.minSwitchSeconds</t>
        </is>
      </c>
      <c r="K40" t="inlineStr">
        <is>
          <t>{"value":0.5,"unit":"s","kind":"thoi_gian","linh_vuc":"01","code":"WeaponDef.MinSwitchSeconds"}</t>
        </is>
      </c>
    </row>
    <row r="41">
      <c r="A41" t="inlineStr">
        <is>
          <t>weapons.weaponDef.roundHoldSeconds</t>
        </is>
      </c>
      <c r="B41" t="inlineStr">
        <is>
          <t>weaponDef</t>
        </is>
      </c>
      <c r="C41" t="inlineStr">
        <is>
          <t>roundHoldSeconds</t>
        </is>
      </c>
      <c r="D41" t="n">
        <v>2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WeaponDef.RoundHoldSeconds</t>
        </is>
      </c>
      <c r="J41" t="inlineStr">
        <is>
          <t>Assets/MachineBrigade/Resources/Data/tunables.json: weapons.weaponDef.roundHoldSeconds</t>
        </is>
      </c>
      <c r="K41" t="inlineStr">
        <is>
          <t>{"value":2.0,"unit":"s","kind":"thoi_gian","linh_vuc":"01","code":"WeaponDef.RoundHoldSeconds"}</t>
        </is>
      </c>
    </row>
  </sheetData>
  <autoFilter ref="A1:K41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</sheetData>
  <autoFilter ref="A1:K95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0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supports[16]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supports[23]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0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210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weapons[219]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0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weapons[202]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n">
        <v>22.5</v>
      </c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n">
        <v>8</v>
      </c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n">
        <v>1.25</v>
      </c>
      <c r="AN14" t="inlineStr">
        <is>
          <t>HighExplosive</t>
        </is>
      </c>
      <c r="AO14" t="n">
        <v>5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10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2.5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n">
        <v>0.909</v>
      </c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weapons[199]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0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16.114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16</v>
      </c>
      <c r="R4" t="inlineStr">
        <is>
          <t>Assets/MachineBrigade/Resources/Data/balance.json: vehicles[169]</t>
        </is>
      </c>
      <c r="S4" t="inlineStr">
        <is>
          <t>{"id":"argus"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supports[16]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16.114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16</v>
      </c>
      <c r="R7" t="inlineStr">
        <is>
          <t>Assets/MachineBrigade/Resources/Data/balance.json: vehicles[151]</t>
        </is>
      </c>
      <c r="S7" t="inlineStr">
        <is>
          <t>{"id":"command_airship"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137250,"weaponDamage":1,"speed":4.5,"turnRate":16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16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supports[23]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supports[16]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supports[23]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weapons[219]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weapons[202]</t>
        </is>
      </c>
      <c r="M13" t="inlineStr"/>
    </row>
    <row r="14">
      <c r="A14" t="inlineStr">
        <is>
          <t>p26_roc_roc_bombs</t>
        </is>
      </c>
      <c r="B14" t="n">
        <v>5</v>
      </c>
      <c r="C14" t="n">
        <v>10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2.5</v>
      </c>
      <c r="L14" t="inlineStr">
        <is>
          <t>Assets/MachineBrigade/Resources/Data/balance.json: weapons[199]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